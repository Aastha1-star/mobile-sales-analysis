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ocuments\"/>
    </mc:Choice>
  </mc:AlternateContent>
  <bookViews>
    <workbookView xWindow="-108" yWindow="-108" windowWidth="19416" windowHeight="10296" activeTab="1"/>
  </bookViews>
  <sheets>
    <sheet name="Sheet10" sheetId="10" r:id="rId1"/>
    <sheet name="Sheet2" sheetId="11" r:id="rId2"/>
    <sheet name="Sheet1" sheetId="1" r:id="rId3"/>
  </sheets>
  <definedNames>
    <definedName name="Slicer_Brand">#N/A</definedName>
  </definedNames>
  <calcPr calcId="152511"/>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E13" i="1"/>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 i="1" l="1"/>
  <c r="AC34" i="1" l="1"/>
  <c r="AC3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2" i="1"/>
  <c r="AC28" i="1"/>
  <c r="AC25" i="1"/>
  <c r="AC16" i="1"/>
  <c r="AC13" i="1"/>
  <c r="AC10" i="1"/>
  <c r="AC7" i="1"/>
  <c r="AC4" i="1"/>
  <c r="Z46" i="1"/>
  <c r="Z42" i="1"/>
  <c r="Z39" i="1"/>
  <c r="Z36" i="1"/>
  <c r="Z33" i="1"/>
  <c r="Z30" i="1"/>
  <c r="Z15" i="1" l="1"/>
  <c r="Z3" i="1"/>
  <c r="F18" i="1"/>
  <c r="T2" i="1" l="1"/>
  <c r="T3836" i="1"/>
  <c r="V3836" i="1" s="1"/>
  <c r="F3836" i="1"/>
  <c r="T3835" i="1"/>
  <c r="V3835" i="1" s="1"/>
  <c r="F3835" i="1"/>
  <c r="T3834" i="1"/>
  <c r="V3834" i="1" s="1"/>
  <c r="F3834" i="1"/>
  <c r="T3833" i="1"/>
  <c r="V3833" i="1" s="1"/>
  <c r="F3833" i="1"/>
  <c r="T3832" i="1"/>
  <c r="V3832" i="1" s="1"/>
  <c r="F3832" i="1"/>
  <c r="T3831" i="1"/>
  <c r="V3831" i="1" s="1"/>
  <c r="F3831" i="1"/>
  <c r="T3830" i="1"/>
  <c r="V3830" i="1" s="1"/>
  <c r="F3830" i="1"/>
  <c r="T3829" i="1"/>
  <c r="V3829" i="1" s="1"/>
  <c r="F3829" i="1"/>
  <c r="T3828" i="1"/>
  <c r="V3828" i="1" s="1"/>
  <c r="F3828" i="1"/>
  <c r="T3827" i="1"/>
  <c r="V3827" i="1" s="1"/>
  <c r="F3827" i="1"/>
  <c r="T3826" i="1"/>
  <c r="V3826" i="1" s="1"/>
  <c r="F3826" i="1"/>
  <c r="T3825" i="1"/>
  <c r="V3825" i="1" s="1"/>
  <c r="F3825" i="1"/>
  <c r="T3824" i="1"/>
  <c r="V3824" i="1" s="1"/>
  <c r="F3824" i="1"/>
  <c r="T3823" i="1"/>
  <c r="V3823" i="1" s="1"/>
  <c r="F3823" i="1"/>
  <c r="T3822" i="1"/>
  <c r="V3822" i="1" s="1"/>
  <c r="F3822" i="1"/>
  <c r="T3821" i="1"/>
  <c r="V3821" i="1" s="1"/>
  <c r="F3821" i="1"/>
  <c r="T3820" i="1"/>
  <c r="V3820" i="1" s="1"/>
  <c r="F3820" i="1"/>
  <c r="T3819" i="1"/>
  <c r="V3819" i="1" s="1"/>
  <c r="F3819" i="1"/>
  <c r="T3818" i="1"/>
  <c r="V3818" i="1" s="1"/>
  <c r="F3818" i="1"/>
  <c r="T3817" i="1"/>
  <c r="V3817" i="1" s="1"/>
  <c r="F3817" i="1"/>
  <c r="T3816" i="1"/>
  <c r="V3816" i="1" s="1"/>
  <c r="F3816" i="1"/>
  <c r="T3815" i="1"/>
  <c r="V3815" i="1" s="1"/>
  <c r="F3815" i="1"/>
  <c r="T3814" i="1"/>
  <c r="V3814" i="1" s="1"/>
  <c r="F3814" i="1"/>
  <c r="T3813" i="1"/>
  <c r="V3813" i="1" s="1"/>
  <c r="F3813" i="1"/>
  <c r="T3812" i="1"/>
  <c r="V3812" i="1" s="1"/>
  <c r="F3812" i="1"/>
  <c r="T3811" i="1"/>
  <c r="V3811" i="1" s="1"/>
  <c r="F3811" i="1"/>
  <c r="T3810" i="1"/>
  <c r="V3810" i="1" s="1"/>
  <c r="F3810" i="1"/>
  <c r="T3809" i="1"/>
  <c r="V3809" i="1" s="1"/>
  <c r="F3809" i="1"/>
  <c r="T3808" i="1"/>
  <c r="V3808" i="1" s="1"/>
  <c r="F3808" i="1"/>
  <c r="T3807" i="1"/>
  <c r="V3807" i="1" s="1"/>
  <c r="F3807" i="1"/>
  <c r="T3806" i="1"/>
  <c r="V3806" i="1" s="1"/>
  <c r="F3806" i="1"/>
  <c r="T3805" i="1"/>
  <c r="V3805" i="1" s="1"/>
  <c r="F3805" i="1"/>
  <c r="T3804" i="1"/>
  <c r="V3804" i="1" s="1"/>
  <c r="F3804" i="1"/>
  <c r="T3803" i="1"/>
  <c r="V3803" i="1" s="1"/>
  <c r="F3803" i="1"/>
  <c r="T3802" i="1"/>
  <c r="V3802" i="1" s="1"/>
  <c r="F3802" i="1"/>
  <c r="T3801" i="1"/>
  <c r="V3801" i="1" s="1"/>
  <c r="F3801" i="1"/>
  <c r="T3800" i="1"/>
  <c r="V3800" i="1" s="1"/>
  <c r="F3800" i="1"/>
  <c r="T3799" i="1"/>
  <c r="V3799" i="1" s="1"/>
  <c r="F3799" i="1"/>
  <c r="T3798" i="1"/>
  <c r="V3798" i="1" s="1"/>
  <c r="F3798" i="1"/>
  <c r="T3797" i="1"/>
  <c r="V3797" i="1" s="1"/>
  <c r="F3797" i="1"/>
  <c r="T3796" i="1"/>
  <c r="V3796" i="1" s="1"/>
  <c r="F3796" i="1"/>
  <c r="T3795" i="1"/>
  <c r="V3795" i="1" s="1"/>
  <c r="F3795" i="1"/>
  <c r="T3794" i="1"/>
  <c r="V3794" i="1" s="1"/>
  <c r="F3794" i="1"/>
  <c r="T3793" i="1"/>
  <c r="V3793" i="1" s="1"/>
  <c r="F3793" i="1"/>
  <c r="T3792" i="1"/>
  <c r="V3792" i="1" s="1"/>
  <c r="F3792" i="1"/>
  <c r="T3791" i="1"/>
  <c r="V3791" i="1" s="1"/>
  <c r="F3791" i="1"/>
  <c r="T3790" i="1"/>
  <c r="V3790" i="1" s="1"/>
  <c r="F3790" i="1"/>
  <c r="T3789" i="1"/>
  <c r="V3789" i="1" s="1"/>
  <c r="F3789" i="1"/>
  <c r="T3788" i="1"/>
  <c r="V3788" i="1" s="1"/>
  <c r="F3788" i="1"/>
  <c r="T3787" i="1"/>
  <c r="V3787" i="1" s="1"/>
  <c r="F3787" i="1"/>
  <c r="T3786" i="1"/>
  <c r="V3786" i="1" s="1"/>
  <c r="F3786" i="1"/>
  <c r="T3785" i="1"/>
  <c r="V3785" i="1" s="1"/>
  <c r="F3785" i="1"/>
  <c r="T3784" i="1"/>
  <c r="V3784" i="1" s="1"/>
  <c r="F3784" i="1"/>
  <c r="T3783" i="1"/>
  <c r="V3783" i="1" s="1"/>
  <c r="F3783" i="1"/>
  <c r="T3782" i="1"/>
  <c r="V3782" i="1" s="1"/>
  <c r="F3782" i="1"/>
  <c r="T3781" i="1"/>
  <c r="V3781" i="1" s="1"/>
  <c r="F3781" i="1"/>
  <c r="T3780" i="1"/>
  <c r="V3780" i="1" s="1"/>
  <c r="F3780" i="1"/>
  <c r="T3779" i="1"/>
  <c r="V3779" i="1" s="1"/>
  <c r="F3779" i="1"/>
  <c r="T3778" i="1"/>
  <c r="V3778" i="1" s="1"/>
  <c r="F3778" i="1"/>
  <c r="T3777" i="1"/>
  <c r="V3777" i="1" s="1"/>
  <c r="F3777" i="1"/>
  <c r="T3776" i="1"/>
  <c r="V3776" i="1" s="1"/>
  <c r="F3776" i="1"/>
  <c r="T3775" i="1"/>
  <c r="V3775" i="1" s="1"/>
  <c r="F3775" i="1"/>
  <c r="T3774" i="1"/>
  <c r="V3774" i="1" s="1"/>
  <c r="F3774" i="1"/>
  <c r="T3773" i="1"/>
  <c r="V3773" i="1" s="1"/>
  <c r="F3773" i="1"/>
  <c r="T3772" i="1"/>
  <c r="V3772" i="1" s="1"/>
  <c r="F3772" i="1"/>
  <c r="T3771" i="1"/>
  <c r="V3771" i="1" s="1"/>
  <c r="F3771" i="1"/>
  <c r="T3770" i="1"/>
  <c r="V3770" i="1" s="1"/>
  <c r="F3770" i="1"/>
  <c r="T3769" i="1"/>
  <c r="V3769" i="1" s="1"/>
  <c r="F3769" i="1"/>
  <c r="T3768" i="1"/>
  <c r="V3768" i="1" s="1"/>
  <c r="F3768" i="1"/>
  <c r="T3767" i="1"/>
  <c r="V3767" i="1" s="1"/>
  <c r="F3767" i="1"/>
  <c r="T3766" i="1"/>
  <c r="V3766" i="1" s="1"/>
  <c r="F3766" i="1"/>
  <c r="T3765" i="1"/>
  <c r="V3765" i="1" s="1"/>
  <c r="F3765" i="1"/>
  <c r="T3764" i="1"/>
  <c r="V3764" i="1" s="1"/>
  <c r="F3764" i="1"/>
  <c r="T3763" i="1"/>
  <c r="V3763" i="1" s="1"/>
  <c r="F3763" i="1"/>
  <c r="T3762" i="1"/>
  <c r="V3762" i="1" s="1"/>
  <c r="F3762" i="1"/>
  <c r="T3761" i="1"/>
  <c r="V3761" i="1" s="1"/>
  <c r="F3761" i="1"/>
  <c r="T3760" i="1"/>
  <c r="V3760" i="1" s="1"/>
  <c r="F3760" i="1"/>
  <c r="T3759" i="1"/>
  <c r="V3759" i="1" s="1"/>
  <c r="F3759" i="1"/>
  <c r="T3758" i="1"/>
  <c r="V3758" i="1" s="1"/>
  <c r="F3758" i="1"/>
  <c r="T3757" i="1"/>
  <c r="V3757" i="1" s="1"/>
  <c r="F3757" i="1"/>
  <c r="T3756" i="1"/>
  <c r="V3756" i="1" s="1"/>
  <c r="F3756" i="1"/>
  <c r="T3755" i="1"/>
  <c r="V3755" i="1" s="1"/>
  <c r="F3755" i="1"/>
  <c r="T3754" i="1"/>
  <c r="V3754" i="1" s="1"/>
  <c r="F3754" i="1"/>
  <c r="T3753" i="1"/>
  <c r="V3753" i="1" s="1"/>
  <c r="F3753" i="1"/>
  <c r="T3752" i="1"/>
  <c r="V3752" i="1" s="1"/>
  <c r="F3752" i="1"/>
  <c r="T3751" i="1"/>
  <c r="V3751" i="1" s="1"/>
  <c r="F3751" i="1"/>
  <c r="T3750" i="1"/>
  <c r="V3750" i="1" s="1"/>
  <c r="F3750" i="1"/>
  <c r="T3749" i="1"/>
  <c r="V3749" i="1" s="1"/>
  <c r="F3749" i="1"/>
  <c r="T3748" i="1"/>
  <c r="V3748" i="1" s="1"/>
  <c r="F3748" i="1"/>
  <c r="T3747" i="1"/>
  <c r="V3747" i="1" s="1"/>
  <c r="F3747" i="1"/>
  <c r="T3746" i="1"/>
  <c r="V3746" i="1" s="1"/>
  <c r="F3746" i="1"/>
  <c r="T3745" i="1"/>
  <c r="V3745" i="1" s="1"/>
  <c r="F3745" i="1"/>
  <c r="T3744" i="1"/>
  <c r="V3744" i="1" s="1"/>
  <c r="F3744" i="1"/>
  <c r="T3743" i="1"/>
  <c r="V3743" i="1" s="1"/>
  <c r="F3743" i="1"/>
  <c r="T3742" i="1"/>
  <c r="V3742" i="1" s="1"/>
  <c r="F3742" i="1"/>
  <c r="T3741" i="1"/>
  <c r="V3741" i="1" s="1"/>
  <c r="F3741" i="1"/>
  <c r="T3740" i="1"/>
  <c r="V3740" i="1" s="1"/>
  <c r="F3740" i="1"/>
  <c r="T3739" i="1"/>
  <c r="V3739" i="1" s="1"/>
  <c r="F3739" i="1"/>
  <c r="T3738" i="1"/>
  <c r="V3738" i="1" s="1"/>
  <c r="F3738" i="1"/>
  <c r="T3737" i="1"/>
  <c r="V3737" i="1" s="1"/>
  <c r="F3737" i="1"/>
  <c r="T3736" i="1"/>
  <c r="V3736" i="1" s="1"/>
  <c r="F3736" i="1"/>
  <c r="T3735" i="1"/>
  <c r="V3735" i="1" s="1"/>
  <c r="F3735" i="1"/>
  <c r="T3734" i="1"/>
  <c r="V3734" i="1" s="1"/>
  <c r="F3734" i="1"/>
  <c r="T3733" i="1"/>
  <c r="V3733" i="1" s="1"/>
  <c r="F3733" i="1"/>
  <c r="T3732" i="1"/>
  <c r="V3732" i="1" s="1"/>
  <c r="F3732" i="1"/>
  <c r="T3731" i="1"/>
  <c r="V3731" i="1" s="1"/>
  <c r="F3731" i="1"/>
  <c r="T3730" i="1"/>
  <c r="V3730" i="1" s="1"/>
  <c r="F3730" i="1"/>
  <c r="T3729" i="1"/>
  <c r="V3729" i="1" s="1"/>
  <c r="F3729" i="1"/>
  <c r="T3728" i="1"/>
  <c r="V3728" i="1" s="1"/>
  <c r="F3728" i="1"/>
  <c r="T3727" i="1"/>
  <c r="V3727" i="1" s="1"/>
  <c r="F3727" i="1"/>
  <c r="T3726" i="1"/>
  <c r="V3726" i="1" s="1"/>
  <c r="F3726" i="1"/>
  <c r="T3725" i="1"/>
  <c r="V3725" i="1" s="1"/>
  <c r="F3725" i="1"/>
  <c r="T3724" i="1"/>
  <c r="V3724" i="1" s="1"/>
  <c r="F3724" i="1"/>
  <c r="T3723" i="1"/>
  <c r="V3723" i="1" s="1"/>
  <c r="F3723" i="1"/>
  <c r="T3722" i="1"/>
  <c r="V3722" i="1" s="1"/>
  <c r="F3722" i="1"/>
  <c r="T3721" i="1"/>
  <c r="V3721" i="1" s="1"/>
  <c r="F3721" i="1"/>
  <c r="T3720" i="1"/>
  <c r="V3720" i="1" s="1"/>
  <c r="F3720" i="1"/>
  <c r="T3719" i="1"/>
  <c r="V3719" i="1" s="1"/>
  <c r="F3719" i="1"/>
  <c r="T3718" i="1"/>
  <c r="V3718" i="1" s="1"/>
  <c r="F3718" i="1"/>
  <c r="T3717" i="1"/>
  <c r="V3717" i="1" s="1"/>
  <c r="F3717" i="1"/>
  <c r="T3716" i="1"/>
  <c r="V3716" i="1" s="1"/>
  <c r="F3716" i="1"/>
  <c r="T3715" i="1"/>
  <c r="V3715" i="1" s="1"/>
  <c r="F3715" i="1"/>
  <c r="T3714" i="1"/>
  <c r="V3714" i="1" s="1"/>
  <c r="F3714" i="1"/>
  <c r="T3713" i="1"/>
  <c r="V3713" i="1" s="1"/>
  <c r="F3713" i="1"/>
  <c r="T3712" i="1"/>
  <c r="V3712" i="1" s="1"/>
  <c r="F3712" i="1"/>
  <c r="T3711" i="1"/>
  <c r="V3711" i="1" s="1"/>
  <c r="F3711" i="1"/>
  <c r="T3710" i="1"/>
  <c r="V3710" i="1" s="1"/>
  <c r="F3710" i="1"/>
  <c r="T3709" i="1"/>
  <c r="V3709" i="1" s="1"/>
  <c r="F3709" i="1"/>
  <c r="T3708" i="1"/>
  <c r="V3708" i="1" s="1"/>
  <c r="F3708" i="1"/>
  <c r="T3707" i="1"/>
  <c r="V3707" i="1" s="1"/>
  <c r="F3707" i="1"/>
  <c r="T3706" i="1"/>
  <c r="V3706" i="1" s="1"/>
  <c r="F3706" i="1"/>
  <c r="T3705" i="1"/>
  <c r="V3705" i="1" s="1"/>
  <c r="F3705" i="1"/>
  <c r="T3704" i="1"/>
  <c r="V3704" i="1" s="1"/>
  <c r="F3704" i="1"/>
  <c r="T3703" i="1"/>
  <c r="V3703" i="1" s="1"/>
  <c r="F3703" i="1"/>
  <c r="T3702" i="1"/>
  <c r="V3702" i="1" s="1"/>
  <c r="F3702" i="1"/>
  <c r="T3701" i="1"/>
  <c r="V3701" i="1" s="1"/>
  <c r="F3701" i="1"/>
  <c r="T3700" i="1"/>
  <c r="V3700" i="1" s="1"/>
  <c r="F3700" i="1"/>
  <c r="T3699" i="1"/>
  <c r="V3699" i="1" s="1"/>
  <c r="F3699" i="1"/>
  <c r="T3698" i="1"/>
  <c r="V3698" i="1" s="1"/>
  <c r="F3698" i="1"/>
  <c r="T3697" i="1"/>
  <c r="V3697" i="1" s="1"/>
  <c r="F3697" i="1"/>
  <c r="T3696" i="1"/>
  <c r="V3696" i="1" s="1"/>
  <c r="F3696" i="1"/>
  <c r="T3695" i="1"/>
  <c r="V3695" i="1" s="1"/>
  <c r="F3695" i="1"/>
  <c r="T3694" i="1"/>
  <c r="V3694" i="1" s="1"/>
  <c r="F3694" i="1"/>
  <c r="T3693" i="1"/>
  <c r="V3693" i="1" s="1"/>
  <c r="F3693" i="1"/>
  <c r="T3692" i="1"/>
  <c r="V3692" i="1" s="1"/>
  <c r="F3692" i="1"/>
  <c r="T3691" i="1"/>
  <c r="V3691" i="1" s="1"/>
  <c r="F3691" i="1"/>
  <c r="T3690" i="1"/>
  <c r="V3690" i="1" s="1"/>
  <c r="F3690" i="1"/>
  <c r="T3689" i="1"/>
  <c r="V3689" i="1" s="1"/>
  <c r="F3689" i="1"/>
  <c r="T3688" i="1"/>
  <c r="V3688" i="1" s="1"/>
  <c r="F3688" i="1"/>
  <c r="T3687" i="1"/>
  <c r="V3687" i="1" s="1"/>
  <c r="F3687" i="1"/>
  <c r="T3686" i="1"/>
  <c r="V3686" i="1" s="1"/>
  <c r="F3686" i="1"/>
  <c r="T3685" i="1"/>
  <c r="V3685" i="1" s="1"/>
  <c r="F3685" i="1"/>
  <c r="T3684" i="1"/>
  <c r="V3684" i="1" s="1"/>
  <c r="F3684" i="1"/>
  <c r="T3683" i="1"/>
  <c r="V3683" i="1" s="1"/>
  <c r="F3683" i="1"/>
  <c r="T3682" i="1"/>
  <c r="V3682" i="1" s="1"/>
  <c r="F3682" i="1"/>
  <c r="T3681" i="1"/>
  <c r="V3681" i="1" s="1"/>
  <c r="F3681" i="1"/>
  <c r="T3680" i="1"/>
  <c r="V3680" i="1" s="1"/>
  <c r="F3680" i="1"/>
  <c r="T3679" i="1"/>
  <c r="V3679" i="1" s="1"/>
  <c r="F3679" i="1"/>
  <c r="T3678" i="1"/>
  <c r="V3678" i="1" s="1"/>
  <c r="F3678" i="1"/>
  <c r="T3677" i="1"/>
  <c r="V3677" i="1" s="1"/>
  <c r="F3677" i="1"/>
  <c r="T3676" i="1"/>
  <c r="V3676" i="1" s="1"/>
  <c r="F3676" i="1"/>
  <c r="T3675" i="1"/>
  <c r="V3675" i="1" s="1"/>
  <c r="F3675" i="1"/>
  <c r="T3674" i="1"/>
  <c r="V3674" i="1" s="1"/>
  <c r="F3674" i="1"/>
  <c r="T3673" i="1"/>
  <c r="V3673" i="1" s="1"/>
  <c r="F3673" i="1"/>
  <c r="T3672" i="1"/>
  <c r="V3672" i="1" s="1"/>
  <c r="F3672" i="1"/>
  <c r="T3671" i="1"/>
  <c r="V3671" i="1" s="1"/>
  <c r="F3671" i="1"/>
  <c r="T3670" i="1"/>
  <c r="V3670" i="1" s="1"/>
  <c r="F3670" i="1"/>
  <c r="T3669" i="1"/>
  <c r="V3669" i="1" s="1"/>
  <c r="F3669" i="1"/>
  <c r="T3668" i="1"/>
  <c r="V3668" i="1" s="1"/>
  <c r="F3668" i="1"/>
  <c r="T3667" i="1"/>
  <c r="V3667" i="1" s="1"/>
  <c r="F3667" i="1"/>
  <c r="T3666" i="1"/>
  <c r="V3666" i="1" s="1"/>
  <c r="F3666" i="1"/>
  <c r="T3665" i="1"/>
  <c r="V3665" i="1" s="1"/>
  <c r="F3665" i="1"/>
  <c r="T3664" i="1"/>
  <c r="V3664" i="1" s="1"/>
  <c r="F3664" i="1"/>
  <c r="T3663" i="1"/>
  <c r="V3663" i="1" s="1"/>
  <c r="F3663" i="1"/>
  <c r="T3662" i="1"/>
  <c r="V3662" i="1" s="1"/>
  <c r="F3662" i="1"/>
  <c r="T3661" i="1"/>
  <c r="V3661" i="1" s="1"/>
  <c r="F3661" i="1"/>
  <c r="T3660" i="1"/>
  <c r="V3660" i="1" s="1"/>
  <c r="F3660" i="1"/>
  <c r="T3659" i="1"/>
  <c r="V3659" i="1" s="1"/>
  <c r="F3659" i="1"/>
  <c r="T3658" i="1"/>
  <c r="V3658" i="1" s="1"/>
  <c r="F3658" i="1"/>
  <c r="T3657" i="1"/>
  <c r="V3657" i="1" s="1"/>
  <c r="F3657" i="1"/>
  <c r="T3656" i="1"/>
  <c r="V3656" i="1" s="1"/>
  <c r="F3656" i="1"/>
  <c r="T3655" i="1"/>
  <c r="V3655" i="1" s="1"/>
  <c r="F3655" i="1"/>
  <c r="T3654" i="1"/>
  <c r="V3654" i="1" s="1"/>
  <c r="F3654" i="1"/>
  <c r="T3653" i="1"/>
  <c r="V3653" i="1" s="1"/>
  <c r="F3653" i="1"/>
  <c r="T3652" i="1"/>
  <c r="V3652" i="1" s="1"/>
  <c r="F3652" i="1"/>
  <c r="T3651" i="1"/>
  <c r="V3651" i="1" s="1"/>
  <c r="F3651" i="1"/>
  <c r="T3650" i="1"/>
  <c r="V3650" i="1" s="1"/>
  <c r="F3650" i="1"/>
  <c r="T3649" i="1"/>
  <c r="V3649" i="1" s="1"/>
  <c r="F3649" i="1"/>
  <c r="T3648" i="1"/>
  <c r="V3648" i="1" s="1"/>
  <c r="F3648" i="1"/>
  <c r="T3647" i="1"/>
  <c r="V3647" i="1" s="1"/>
  <c r="F3647" i="1"/>
  <c r="T3646" i="1"/>
  <c r="V3646" i="1" s="1"/>
  <c r="F3646" i="1"/>
  <c r="T3645" i="1"/>
  <c r="V3645" i="1" s="1"/>
  <c r="F3645" i="1"/>
  <c r="T3644" i="1"/>
  <c r="V3644" i="1" s="1"/>
  <c r="F3644" i="1"/>
  <c r="T3643" i="1"/>
  <c r="V3643" i="1" s="1"/>
  <c r="F3643" i="1"/>
  <c r="T3642" i="1"/>
  <c r="V3642" i="1" s="1"/>
  <c r="F3642" i="1"/>
  <c r="T3641" i="1"/>
  <c r="V3641" i="1" s="1"/>
  <c r="F3641" i="1"/>
  <c r="T3640" i="1"/>
  <c r="V3640" i="1" s="1"/>
  <c r="F3640" i="1"/>
  <c r="T3639" i="1"/>
  <c r="V3639" i="1" s="1"/>
  <c r="F3639" i="1"/>
  <c r="T3638" i="1"/>
  <c r="V3638" i="1" s="1"/>
  <c r="F3638" i="1"/>
  <c r="T3637" i="1"/>
  <c r="V3637" i="1" s="1"/>
  <c r="F3637" i="1"/>
  <c r="T3636" i="1"/>
  <c r="V3636" i="1" s="1"/>
  <c r="F3636" i="1"/>
  <c r="T3635" i="1"/>
  <c r="V3635" i="1" s="1"/>
  <c r="F3635" i="1"/>
  <c r="T3634" i="1"/>
  <c r="V3634" i="1" s="1"/>
  <c r="F3634" i="1"/>
  <c r="T3633" i="1"/>
  <c r="V3633" i="1" s="1"/>
  <c r="F3633" i="1"/>
  <c r="T3632" i="1"/>
  <c r="V3632" i="1" s="1"/>
  <c r="F3632" i="1"/>
  <c r="T3631" i="1"/>
  <c r="V3631" i="1" s="1"/>
  <c r="F3631" i="1"/>
  <c r="T3630" i="1"/>
  <c r="V3630" i="1" s="1"/>
  <c r="F3630" i="1"/>
  <c r="T3629" i="1"/>
  <c r="V3629" i="1" s="1"/>
  <c r="F3629" i="1"/>
  <c r="T3628" i="1"/>
  <c r="V3628" i="1" s="1"/>
  <c r="F3628" i="1"/>
  <c r="T3627" i="1"/>
  <c r="V3627" i="1" s="1"/>
  <c r="F3627" i="1"/>
  <c r="T3626" i="1"/>
  <c r="V3626" i="1" s="1"/>
  <c r="F3626" i="1"/>
  <c r="T3625" i="1"/>
  <c r="V3625" i="1" s="1"/>
  <c r="F3625" i="1"/>
  <c r="T3624" i="1"/>
  <c r="V3624" i="1" s="1"/>
  <c r="F3624" i="1"/>
  <c r="T3623" i="1"/>
  <c r="V3623" i="1" s="1"/>
  <c r="F3623" i="1"/>
  <c r="T3622" i="1"/>
  <c r="V3622" i="1" s="1"/>
  <c r="F3622" i="1"/>
  <c r="T3621" i="1"/>
  <c r="V3621" i="1" s="1"/>
  <c r="F3621" i="1"/>
  <c r="T3620" i="1"/>
  <c r="V3620" i="1" s="1"/>
  <c r="F3620" i="1"/>
  <c r="T3619" i="1"/>
  <c r="V3619" i="1" s="1"/>
  <c r="F3619" i="1"/>
  <c r="T3618" i="1"/>
  <c r="V3618" i="1" s="1"/>
  <c r="F3618" i="1"/>
  <c r="T3617" i="1"/>
  <c r="V3617" i="1" s="1"/>
  <c r="F3617" i="1"/>
  <c r="T3616" i="1"/>
  <c r="V3616" i="1" s="1"/>
  <c r="F3616" i="1"/>
  <c r="T3615" i="1"/>
  <c r="V3615" i="1" s="1"/>
  <c r="F3615" i="1"/>
  <c r="T3614" i="1"/>
  <c r="V3614" i="1" s="1"/>
  <c r="F3614" i="1"/>
  <c r="T3613" i="1"/>
  <c r="V3613" i="1" s="1"/>
  <c r="F3613" i="1"/>
  <c r="T3612" i="1"/>
  <c r="V3612" i="1" s="1"/>
  <c r="F3612" i="1"/>
  <c r="T3611" i="1"/>
  <c r="V3611" i="1" s="1"/>
  <c r="F3611" i="1"/>
  <c r="T3610" i="1"/>
  <c r="V3610" i="1" s="1"/>
  <c r="F3610" i="1"/>
  <c r="T3609" i="1"/>
  <c r="V3609" i="1" s="1"/>
  <c r="F3609" i="1"/>
  <c r="T3608" i="1"/>
  <c r="V3608" i="1" s="1"/>
  <c r="F3608" i="1"/>
  <c r="T3607" i="1"/>
  <c r="V3607" i="1" s="1"/>
  <c r="F3607" i="1"/>
  <c r="T3606" i="1"/>
  <c r="V3606" i="1" s="1"/>
  <c r="F3606" i="1"/>
  <c r="T3605" i="1"/>
  <c r="V3605" i="1" s="1"/>
  <c r="F3605" i="1"/>
  <c r="T3604" i="1"/>
  <c r="V3604" i="1" s="1"/>
  <c r="F3604" i="1"/>
  <c r="T3603" i="1"/>
  <c r="V3603" i="1" s="1"/>
  <c r="F3603" i="1"/>
  <c r="T3602" i="1"/>
  <c r="V3602" i="1" s="1"/>
  <c r="F3602" i="1"/>
  <c r="T3601" i="1"/>
  <c r="V3601" i="1" s="1"/>
  <c r="F3601" i="1"/>
  <c r="T3600" i="1"/>
  <c r="V3600" i="1" s="1"/>
  <c r="F3600" i="1"/>
  <c r="T3599" i="1"/>
  <c r="V3599" i="1" s="1"/>
  <c r="F3599" i="1"/>
  <c r="T3598" i="1"/>
  <c r="V3598" i="1" s="1"/>
  <c r="F3598" i="1"/>
  <c r="T3597" i="1"/>
  <c r="V3597" i="1" s="1"/>
  <c r="F3597" i="1"/>
  <c r="T3596" i="1"/>
  <c r="V3596" i="1" s="1"/>
  <c r="F3596" i="1"/>
  <c r="T3595" i="1"/>
  <c r="V3595" i="1" s="1"/>
  <c r="F3595" i="1"/>
  <c r="T3594" i="1"/>
  <c r="V3594" i="1" s="1"/>
  <c r="F3594" i="1"/>
  <c r="T3593" i="1"/>
  <c r="V3593" i="1" s="1"/>
  <c r="F3593" i="1"/>
  <c r="T3592" i="1"/>
  <c r="V3592" i="1" s="1"/>
  <c r="F3592" i="1"/>
  <c r="T3591" i="1"/>
  <c r="V3591" i="1" s="1"/>
  <c r="F3591" i="1"/>
  <c r="T3590" i="1"/>
  <c r="V3590" i="1" s="1"/>
  <c r="F3590" i="1"/>
  <c r="T3589" i="1"/>
  <c r="V3589" i="1" s="1"/>
  <c r="F3589" i="1"/>
  <c r="T3588" i="1"/>
  <c r="V3588" i="1" s="1"/>
  <c r="F3588" i="1"/>
  <c r="T3587" i="1"/>
  <c r="V3587" i="1" s="1"/>
  <c r="F3587" i="1"/>
  <c r="T3586" i="1"/>
  <c r="V3586" i="1" s="1"/>
  <c r="F3586" i="1"/>
  <c r="T3585" i="1"/>
  <c r="V3585" i="1" s="1"/>
  <c r="F3585" i="1"/>
  <c r="T3584" i="1"/>
  <c r="V3584" i="1" s="1"/>
  <c r="F3584" i="1"/>
  <c r="T3583" i="1"/>
  <c r="V3583" i="1" s="1"/>
  <c r="F3583" i="1"/>
  <c r="T3582" i="1"/>
  <c r="V3582" i="1" s="1"/>
  <c r="F3582" i="1"/>
  <c r="T3581" i="1"/>
  <c r="V3581" i="1" s="1"/>
  <c r="F3581" i="1"/>
  <c r="T3580" i="1"/>
  <c r="V3580" i="1" s="1"/>
  <c r="F3580" i="1"/>
  <c r="T3579" i="1"/>
  <c r="V3579" i="1" s="1"/>
  <c r="F3579" i="1"/>
  <c r="T3578" i="1"/>
  <c r="V3578" i="1" s="1"/>
  <c r="F3578" i="1"/>
  <c r="T3577" i="1"/>
  <c r="V3577" i="1" s="1"/>
  <c r="F3577" i="1"/>
  <c r="T3576" i="1"/>
  <c r="V3576" i="1" s="1"/>
  <c r="F3576" i="1"/>
  <c r="T3575" i="1"/>
  <c r="V3575" i="1" s="1"/>
  <c r="F3575" i="1"/>
  <c r="T3574" i="1"/>
  <c r="V3574" i="1" s="1"/>
  <c r="F3574" i="1"/>
  <c r="T3573" i="1"/>
  <c r="V3573" i="1" s="1"/>
  <c r="F3573" i="1"/>
  <c r="T3572" i="1"/>
  <c r="V3572" i="1" s="1"/>
  <c r="F3572" i="1"/>
  <c r="T3571" i="1"/>
  <c r="V3571" i="1" s="1"/>
  <c r="F3571" i="1"/>
  <c r="T3570" i="1"/>
  <c r="V3570" i="1" s="1"/>
  <c r="F3570" i="1"/>
  <c r="T3569" i="1"/>
  <c r="V3569" i="1" s="1"/>
  <c r="F3569" i="1"/>
  <c r="T3568" i="1"/>
  <c r="V3568" i="1" s="1"/>
  <c r="F3568" i="1"/>
  <c r="T3567" i="1"/>
  <c r="V3567" i="1" s="1"/>
  <c r="F3567" i="1"/>
  <c r="T3566" i="1"/>
  <c r="V3566" i="1" s="1"/>
  <c r="F3566" i="1"/>
  <c r="T3565" i="1"/>
  <c r="V3565" i="1" s="1"/>
  <c r="F3565" i="1"/>
  <c r="T3564" i="1"/>
  <c r="V3564" i="1" s="1"/>
  <c r="F3564" i="1"/>
  <c r="T3563" i="1"/>
  <c r="V3563" i="1" s="1"/>
  <c r="F3563" i="1"/>
  <c r="T3562" i="1"/>
  <c r="V3562" i="1" s="1"/>
  <c r="F3562" i="1"/>
  <c r="T3561" i="1"/>
  <c r="V3561" i="1" s="1"/>
  <c r="F3561" i="1"/>
  <c r="T3560" i="1"/>
  <c r="V3560" i="1" s="1"/>
  <c r="F3560" i="1"/>
  <c r="T3559" i="1"/>
  <c r="V3559" i="1" s="1"/>
  <c r="F3559" i="1"/>
  <c r="T3558" i="1"/>
  <c r="V3558" i="1" s="1"/>
  <c r="F3558" i="1"/>
  <c r="T3557" i="1"/>
  <c r="V3557" i="1" s="1"/>
  <c r="F3557" i="1"/>
  <c r="T3556" i="1"/>
  <c r="V3556" i="1" s="1"/>
  <c r="F3556" i="1"/>
  <c r="T3555" i="1"/>
  <c r="V3555" i="1" s="1"/>
  <c r="F3555" i="1"/>
  <c r="T3554" i="1"/>
  <c r="V3554" i="1" s="1"/>
  <c r="F3554" i="1"/>
  <c r="T3553" i="1"/>
  <c r="V3553" i="1" s="1"/>
  <c r="F3553" i="1"/>
  <c r="T3552" i="1"/>
  <c r="V3552" i="1" s="1"/>
  <c r="F3552" i="1"/>
  <c r="T3551" i="1"/>
  <c r="V3551" i="1" s="1"/>
  <c r="F3551" i="1"/>
  <c r="T3550" i="1"/>
  <c r="V3550" i="1" s="1"/>
  <c r="F3550" i="1"/>
  <c r="T3549" i="1"/>
  <c r="V3549" i="1" s="1"/>
  <c r="F3549" i="1"/>
  <c r="T3548" i="1"/>
  <c r="V3548" i="1" s="1"/>
  <c r="F3548" i="1"/>
  <c r="T3547" i="1"/>
  <c r="V3547" i="1" s="1"/>
  <c r="F3547" i="1"/>
  <c r="T3546" i="1"/>
  <c r="V3546" i="1" s="1"/>
  <c r="F3546" i="1"/>
  <c r="T3545" i="1"/>
  <c r="V3545" i="1" s="1"/>
  <c r="F3545" i="1"/>
  <c r="T3544" i="1"/>
  <c r="V3544" i="1" s="1"/>
  <c r="F3544" i="1"/>
  <c r="T3543" i="1"/>
  <c r="V3543" i="1" s="1"/>
  <c r="F3543" i="1"/>
  <c r="T3542" i="1"/>
  <c r="V3542" i="1" s="1"/>
  <c r="F3542" i="1"/>
  <c r="T3541" i="1"/>
  <c r="V3541" i="1" s="1"/>
  <c r="F3541" i="1"/>
  <c r="T3540" i="1"/>
  <c r="V3540" i="1" s="1"/>
  <c r="F3540" i="1"/>
  <c r="T3539" i="1"/>
  <c r="V3539" i="1" s="1"/>
  <c r="F3539" i="1"/>
  <c r="T3538" i="1"/>
  <c r="V3538" i="1" s="1"/>
  <c r="F3538" i="1"/>
  <c r="T3537" i="1"/>
  <c r="V3537" i="1" s="1"/>
  <c r="F3537" i="1"/>
  <c r="T3536" i="1"/>
  <c r="V3536" i="1" s="1"/>
  <c r="F3536" i="1"/>
  <c r="T3535" i="1"/>
  <c r="V3535" i="1" s="1"/>
  <c r="F3535" i="1"/>
  <c r="T3534" i="1"/>
  <c r="V3534" i="1" s="1"/>
  <c r="F3534" i="1"/>
  <c r="T3533" i="1"/>
  <c r="V3533" i="1" s="1"/>
  <c r="F3533" i="1"/>
  <c r="T3532" i="1"/>
  <c r="V3532" i="1" s="1"/>
  <c r="F3532" i="1"/>
  <c r="T3531" i="1"/>
  <c r="V3531" i="1" s="1"/>
  <c r="F3531" i="1"/>
  <c r="T3530" i="1"/>
  <c r="V3530" i="1" s="1"/>
  <c r="F3530" i="1"/>
  <c r="T3529" i="1"/>
  <c r="V3529" i="1" s="1"/>
  <c r="F3529" i="1"/>
  <c r="T3528" i="1"/>
  <c r="V3528" i="1" s="1"/>
  <c r="F3528" i="1"/>
  <c r="T3527" i="1"/>
  <c r="V3527" i="1" s="1"/>
  <c r="F3527" i="1"/>
  <c r="T3526" i="1"/>
  <c r="V3526" i="1" s="1"/>
  <c r="F3526" i="1"/>
  <c r="T3525" i="1"/>
  <c r="V3525" i="1" s="1"/>
  <c r="F3525" i="1"/>
  <c r="T3524" i="1"/>
  <c r="V3524" i="1" s="1"/>
  <c r="F3524" i="1"/>
  <c r="T3523" i="1"/>
  <c r="V3523" i="1" s="1"/>
  <c r="F3523" i="1"/>
  <c r="T3522" i="1"/>
  <c r="V3522" i="1" s="1"/>
  <c r="F3522" i="1"/>
  <c r="T3521" i="1"/>
  <c r="V3521" i="1" s="1"/>
  <c r="F3521" i="1"/>
  <c r="T3520" i="1"/>
  <c r="V3520" i="1" s="1"/>
  <c r="F3520" i="1"/>
  <c r="T3519" i="1"/>
  <c r="V3519" i="1" s="1"/>
  <c r="F3519" i="1"/>
  <c r="T3518" i="1"/>
  <c r="V3518" i="1" s="1"/>
  <c r="F3518" i="1"/>
  <c r="T3517" i="1"/>
  <c r="V3517" i="1" s="1"/>
  <c r="F3517" i="1"/>
  <c r="T3516" i="1"/>
  <c r="V3516" i="1" s="1"/>
  <c r="F3516" i="1"/>
  <c r="T3515" i="1"/>
  <c r="V3515" i="1" s="1"/>
  <c r="F3515" i="1"/>
  <c r="T3514" i="1"/>
  <c r="V3514" i="1" s="1"/>
  <c r="F3514" i="1"/>
  <c r="T3513" i="1"/>
  <c r="V3513" i="1" s="1"/>
  <c r="F3513" i="1"/>
  <c r="T3512" i="1"/>
  <c r="V3512" i="1" s="1"/>
  <c r="F3512" i="1"/>
  <c r="T3511" i="1"/>
  <c r="V3511" i="1" s="1"/>
  <c r="F3511" i="1"/>
  <c r="T3510" i="1"/>
  <c r="V3510" i="1" s="1"/>
  <c r="F3510" i="1"/>
  <c r="T3509" i="1"/>
  <c r="V3509" i="1" s="1"/>
  <c r="F3509" i="1"/>
  <c r="T3508" i="1"/>
  <c r="V3508" i="1" s="1"/>
  <c r="F3508" i="1"/>
  <c r="T3507" i="1"/>
  <c r="V3507" i="1" s="1"/>
  <c r="F3507" i="1"/>
  <c r="T3506" i="1"/>
  <c r="V3506" i="1" s="1"/>
  <c r="F3506" i="1"/>
  <c r="T3505" i="1"/>
  <c r="V3505" i="1" s="1"/>
  <c r="F3505" i="1"/>
  <c r="T3504" i="1"/>
  <c r="V3504" i="1" s="1"/>
  <c r="F3504" i="1"/>
  <c r="T3503" i="1"/>
  <c r="V3503" i="1" s="1"/>
  <c r="F3503" i="1"/>
  <c r="T3502" i="1"/>
  <c r="V3502" i="1" s="1"/>
  <c r="F3502" i="1"/>
  <c r="T3501" i="1"/>
  <c r="V3501" i="1" s="1"/>
  <c r="F3501" i="1"/>
  <c r="T3500" i="1"/>
  <c r="V3500" i="1" s="1"/>
  <c r="F3500" i="1"/>
  <c r="T3499" i="1"/>
  <c r="V3499" i="1" s="1"/>
  <c r="F3499" i="1"/>
  <c r="T3498" i="1"/>
  <c r="V3498" i="1" s="1"/>
  <c r="F3498" i="1"/>
  <c r="T3497" i="1"/>
  <c r="V3497" i="1" s="1"/>
  <c r="F3497" i="1"/>
  <c r="T3496" i="1"/>
  <c r="V3496" i="1" s="1"/>
  <c r="F3496" i="1"/>
  <c r="T3495" i="1"/>
  <c r="V3495" i="1" s="1"/>
  <c r="F3495" i="1"/>
  <c r="T3494" i="1"/>
  <c r="V3494" i="1" s="1"/>
  <c r="F3494" i="1"/>
  <c r="T3493" i="1"/>
  <c r="V3493" i="1" s="1"/>
  <c r="F3493" i="1"/>
  <c r="T3492" i="1"/>
  <c r="V3492" i="1" s="1"/>
  <c r="F3492" i="1"/>
  <c r="T3491" i="1"/>
  <c r="V3491" i="1" s="1"/>
  <c r="F3491" i="1"/>
  <c r="T3490" i="1"/>
  <c r="V3490" i="1" s="1"/>
  <c r="F3490" i="1"/>
  <c r="T3489" i="1"/>
  <c r="V3489" i="1" s="1"/>
  <c r="F3489" i="1"/>
  <c r="T3488" i="1"/>
  <c r="V3488" i="1" s="1"/>
  <c r="F3488" i="1"/>
  <c r="T3487" i="1"/>
  <c r="V3487" i="1" s="1"/>
  <c r="F3487" i="1"/>
  <c r="T3486" i="1"/>
  <c r="V3486" i="1" s="1"/>
  <c r="F3486" i="1"/>
  <c r="T3485" i="1"/>
  <c r="V3485" i="1" s="1"/>
  <c r="F3485" i="1"/>
  <c r="T3484" i="1"/>
  <c r="V3484" i="1" s="1"/>
  <c r="F3484" i="1"/>
  <c r="T3483" i="1"/>
  <c r="V3483" i="1" s="1"/>
  <c r="F3483" i="1"/>
  <c r="T3482" i="1"/>
  <c r="V3482" i="1" s="1"/>
  <c r="F3482" i="1"/>
  <c r="T3481" i="1"/>
  <c r="V3481" i="1" s="1"/>
  <c r="F3481" i="1"/>
  <c r="T3480" i="1"/>
  <c r="V3480" i="1" s="1"/>
  <c r="F3480" i="1"/>
  <c r="T3479" i="1"/>
  <c r="V3479" i="1" s="1"/>
  <c r="F3479" i="1"/>
  <c r="T3478" i="1"/>
  <c r="V3478" i="1" s="1"/>
  <c r="F3478" i="1"/>
  <c r="T3477" i="1"/>
  <c r="V3477" i="1" s="1"/>
  <c r="F3477" i="1"/>
  <c r="T3476" i="1"/>
  <c r="V3476" i="1" s="1"/>
  <c r="F3476" i="1"/>
  <c r="T3475" i="1"/>
  <c r="V3475" i="1" s="1"/>
  <c r="F3475" i="1"/>
  <c r="T3474" i="1"/>
  <c r="V3474" i="1" s="1"/>
  <c r="F3474" i="1"/>
  <c r="T3473" i="1"/>
  <c r="V3473" i="1" s="1"/>
  <c r="F3473" i="1"/>
  <c r="T3472" i="1"/>
  <c r="V3472" i="1" s="1"/>
  <c r="F3472" i="1"/>
  <c r="T3471" i="1"/>
  <c r="V3471" i="1" s="1"/>
  <c r="F3471" i="1"/>
  <c r="T3470" i="1"/>
  <c r="V3470" i="1" s="1"/>
  <c r="F3470" i="1"/>
  <c r="T3469" i="1"/>
  <c r="V3469" i="1" s="1"/>
  <c r="F3469" i="1"/>
  <c r="T3468" i="1"/>
  <c r="V3468" i="1" s="1"/>
  <c r="F3468" i="1"/>
  <c r="T3467" i="1"/>
  <c r="V3467" i="1" s="1"/>
  <c r="F3467" i="1"/>
  <c r="T3466" i="1"/>
  <c r="V3466" i="1" s="1"/>
  <c r="F3466" i="1"/>
  <c r="T3465" i="1"/>
  <c r="V3465" i="1" s="1"/>
  <c r="F3465" i="1"/>
  <c r="T3464" i="1"/>
  <c r="V3464" i="1" s="1"/>
  <c r="F3464" i="1"/>
  <c r="T3463" i="1"/>
  <c r="V3463" i="1" s="1"/>
  <c r="F3463" i="1"/>
  <c r="T3462" i="1"/>
  <c r="V3462" i="1" s="1"/>
  <c r="F3462" i="1"/>
  <c r="T3461" i="1"/>
  <c r="V3461" i="1" s="1"/>
  <c r="F3461" i="1"/>
  <c r="T3460" i="1"/>
  <c r="V3460" i="1" s="1"/>
  <c r="F3460" i="1"/>
  <c r="T3459" i="1"/>
  <c r="V3459" i="1" s="1"/>
  <c r="F3459" i="1"/>
  <c r="T3458" i="1"/>
  <c r="V3458" i="1" s="1"/>
  <c r="F3458" i="1"/>
  <c r="T3457" i="1"/>
  <c r="V3457" i="1" s="1"/>
  <c r="F3457" i="1"/>
  <c r="T3456" i="1"/>
  <c r="V3456" i="1" s="1"/>
  <c r="F3456" i="1"/>
  <c r="T3455" i="1"/>
  <c r="V3455" i="1" s="1"/>
  <c r="F3455" i="1"/>
  <c r="T3454" i="1"/>
  <c r="V3454" i="1" s="1"/>
  <c r="F3454" i="1"/>
  <c r="T3453" i="1"/>
  <c r="V3453" i="1" s="1"/>
  <c r="F3453" i="1"/>
  <c r="T3452" i="1"/>
  <c r="V3452" i="1" s="1"/>
  <c r="F3452" i="1"/>
  <c r="T3451" i="1"/>
  <c r="V3451" i="1" s="1"/>
  <c r="F3451" i="1"/>
  <c r="T3450" i="1"/>
  <c r="V3450" i="1" s="1"/>
  <c r="F3450" i="1"/>
  <c r="T3449" i="1"/>
  <c r="V3449" i="1" s="1"/>
  <c r="F3449" i="1"/>
  <c r="T3448" i="1"/>
  <c r="V3448" i="1" s="1"/>
  <c r="F3448" i="1"/>
  <c r="T3447" i="1"/>
  <c r="V3447" i="1" s="1"/>
  <c r="F3447" i="1"/>
  <c r="T3446" i="1"/>
  <c r="V3446" i="1" s="1"/>
  <c r="F3446" i="1"/>
  <c r="T3445" i="1"/>
  <c r="V3445" i="1" s="1"/>
  <c r="F3445" i="1"/>
  <c r="T3444" i="1"/>
  <c r="V3444" i="1" s="1"/>
  <c r="F3444" i="1"/>
  <c r="T3443" i="1"/>
  <c r="V3443" i="1" s="1"/>
  <c r="F3443" i="1"/>
  <c r="T3442" i="1"/>
  <c r="V3442" i="1" s="1"/>
  <c r="F3442" i="1"/>
  <c r="T3441" i="1"/>
  <c r="V3441" i="1" s="1"/>
  <c r="F3441" i="1"/>
  <c r="T3440" i="1"/>
  <c r="V3440" i="1" s="1"/>
  <c r="F3440" i="1"/>
  <c r="T3439" i="1"/>
  <c r="V3439" i="1" s="1"/>
  <c r="F3439" i="1"/>
  <c r="T3438" i="1"/>
  <c r="V3438" i="1" s="1"/>
  <c r="F3438" i="1"/>
  <c r="T3437" i="1"/>
  <c r="V3437" i="1" s="1"/>
  <c r="F3437" i="1"/>
  <c r="T3436" i="1"/>
  <c r="V3436" i="1" s="1"/>
  <c r="F3436" i="1"/>
  <c r="T3435" i="1"/>
  <c r="V3435" i="1" s="1"/>
  <c r="F3435" i="1"/>
  <c r="T3434" i="1"/>
  <c r="V3434" i="1" s="1"/>
  <c r="F3434" i="1"/>
  <c r="T3433" i="1"/>
  <c r="V3433" i="1" s="1"/>
  <c r="F3433" i="1"/>
  <c r="T3432" i="1"/>
  <c r="V3432" i="1" s="1"/>
  <c r="F3432" i="1"/>
  <c r="T3431" i="1"/>
  <c r="V3431" i="1" s="1"/>
  <c r="F3431" i="1"/>
  <c r="T3430" i="1"/>
  <c r="V3430" i="1" s="1"/>
  <c r="F3430" i="1"/>
  <c r="T3429" i="1"/>
  <c r="V3429" i="1" s="1"/>
  <c r="F3429" i="1"/>
  <c r="T3428" i="1"/>
  <c r="V3428" i="1" s="1"/>
  <c r="F3428" i="1"/>
  <c r="T3427" i="1"/>
  <c r="V3427" i="1" s="1"/>
  <c r="F3427" i="1"/>
  <c r="T3426" i="1"/>
  <c r="V3426" i="1" s="1"/>
  <c r="F3426" i="1"/>
  <c r="T3425" i="1"/>
  <c r="V3425" i="1" s="1"/>
  <c r="F3425" i="1"/>
  <c r="T3424" i="1"/>
  <c r="V3424" i="1" s="1"/>
  <c r="F3424" i="1"/>
  <c r="T3423" i="1"/>
  <c r="V3423" i="1" s="1"/>
  <c r="F3423" i="1"/>
  <c r="T3422" i="1"/>
  <c r="V3422" i="1" s="1"/>
  <c r="F3422" i="1"/>
  <c r="T3421" i="1"/>
  <c r="V3421" i="1" s="1"/>
  <c r="F3421" i="1"/>
  <c r="T3420" i="1"/>
  <c r="V3420" i="1" s="1"/>
  <c r="F3420" i="1"/>
  <c r="T3419" i="1"/>
  <c r="V3419" i="1" s="1"/>
  <c r="F3419" i="1"/>
  <c r="T3418" i="1"/>
  <c r="V3418" i="1" s="1"/>
  <c r="F3418" i="1"/>
  <c r="T3417" i="1"/>
  <c r="V3417" i="1" s="1"/>
  <c r="F3417" i="1"/>
  <c r="T3416" i="1"/>
  <c r="V3416" i="1" s="1"/>
  <c r="F3416" i="1"/>
  <c r="T3415" i="1"/>
  <c r="V3415" i="1" s="1"/>
  <c r="F3415" i="1"/>
  <c r="T3414" i="1"/>
  <c r="V3414" i="1" s="1"/>
  <c r="F3414" i="1"/>
  <c r="T3413" i="1"/>
  <c r="V3413" i="1" s="1"/>
  <c r="F3413" i="1"/>
  <c r="T3412" i="1"/>
  <c r="V3412" i="1" s="1"/>
  <c r="F3412" i="1"/>
  <c r="T3411" i="1"/>
  <c r="V3411" i="1" s="1"/>
  <c r="F3411" i="1"/>
  <c r="T3410" i="1"/>
  <c r="V3410" i="1" s="1"/>
  <c r="F3410" i="1"/>
  <c r="T3409" i="1"/>
  <c r="V3409" i="1" s="1"/>
  <c r="F3409" i="1"/>
  <c r="T3408" i="1"/>
  <c r="V3408" i="1" s="1"/>
  <c r="F3408" i="1"/>
  <c r="T3407" i="1"/>
  <c r="V3407" i="1" s="1"/>
  <c r="F3407" i="1"/>
  <c r="T3406" i="1"/>
  <c r="V3406" i="1" s="1"/>
  <c r="F3406" i="1"/>
  <c r="T3405" i="1"/>
  <c r="V3405" i="1" s="1"/>
  <c r="F3405" i="1"/>
  <c r="T3404" i="1"/>
  <c r="V3404" i="1" s="1"/>
  <c r="F3404" i="1"/>
  <c r="T3403" i="1"/>
  <c r="V3403" i="1" s="1"/>
  <c r="F3403" i="1"/>
  <c r="T3402" i="1"/>
  <c r="V3402" i="1" s="1"/>
  <c r="F3402" i="1"/>
  <c r="T3401" i="1"/>
  <c r="V3401" i="1" s="1"/>
  <c r="F3401" i="1"/>
  <c r="T3400" i="1"/>
  <c r="V3400" i="1" s="1"/>
  <c r="F3400" i="1"/>
  <c r="T3399" i="1"/>
  <c r="V3399" i="1" s="1"/>
  <c r="F3399" i="1"/>
  <c r="T3398" i="1"/>
  <c r="V3398" i="1" s="1"/>
  <c r="F3398" i="1"/>
  <c r="T3397" i="1"/>
  <c r="V3397" i="1" s="1"/>
  <c r="F3397" i="1"/>
  <c r="T3396" i="1"/>
  <c r="V3396" i="1" s="1"/>
  <c r="F3396" i="1"/>
  <c r="T3395" i="1"/>
  <c r="V3395" i="1" s="1"/>
  <c r="F3395" i="1"/>
  <c r="T3394" i="1"/>
  <c r="V3394" i="1" s="1"/>
  <c r="F3394" i="1"/>
  <c r="T3393" i="1"/>
  <c r="V3393" i="1" s="1"/>
  <c r="F3393" i="1"/>
  <c r="T3392" i="1"/>
  <c r="V3392" i="1" s="1"/>
  <c r="F3392" i="1"/>
  <c r="T3391" i="1"/>
  <c r="V3391" i="1" s="1"/>
  <c r="F3391" i="1"/>
  <c r="T3390" i="1"/>
  <c r="V3390" i="1" s="1"/>
  <c r="F3390" i="1"/>
  <c r="T3389" i="1"/>
  <c r="V3389" i="1" s="1"/>
  <c r="F3389" i="1"/>
  <c r="T3388" i="1"/>
  <c r="V3388" i="1" s="1"/>
  <c r="F3388" i="1"/>
  <c r="T3387" i="1"/>
  <c r="V3387" i="1" s="1"/>
  <c r="F3387" i="1"/>
  <c r="T3386" i="1"/>
  <c r="V3386" i="1" s="1"/>
  <c r="F3386" i="1"/>
  <c r="T3385" i="1"/>
  <c r="V3385" i="1" s="1"/>
  <c r="F3385" i="1"/>
  <c r="T3384" i="1"/>
  <c r="V3384" i="1" s="1"/>
  <c r="F3384" i="1"/>
  <c r="T3383" i="1"/>
  <c r="V3383" i="1" s="1"/>
  <c r="F3383" i="1"/>
  <c r="T3382" i="1"/>
  <c r="V3382" i="1" s="1"/>
  <c r="F3382" i="1"/>
  <c r="T3381" i="1"/>
  <c r="V3381" i="1" s="1"/>
  <c r="F3381" i="1"/>
  <c r="T3380" i="1"/>
  <c r="V3380" i="1" s="1"/>
  <c r="F3380" i="1"/>
  <c r="T3379" i="1"/>
  <c r="V3379" i="1" s="1"/>
  <c r="F3379" i="1"/>
  <c r="T3378" i="1"/>
  <c r="V3378" i="1" s="1"/>
  <c r="F3378" i="1"/>
  <c r="T3377" i="1"/>
  <c r="V3377" i="1" s="1"/>
  <c r="F3377" i="1"/>
  <c r="T3376" i="1"/>
  <c r="V3376" i="1" s="1"/>
  <c r="F3376" i="1"/>
  <c r="T3375" i="1"/>
  <c r="V3375" i="1" s="1"/>
  <c r="F3375" i="1"/>
  <c r="T3374" i="1"/>
  <c r="V3374" i="1" s="1"/>
  <c r="F3374" i="1"/>
  <c r="T3373" i="1"/>
  <c r="V3373" i="1" s="1"/>
  <c r="F3373" i="1"/>
  <c r="T3372" i="1"/>
  <c r="V3372" i="1" s="1"/>
  <c r="F3372" i="1"/>
  <c r="T3371" i="1"/>
  <c r="V3371" i="1" s="1"/>
  <c r="F3371" i="1"/>
  <c r="T3370" i="1"/>
  <c r="V3370" i="1" s="1"/>
  <c r="F3370" i="1"/>
  <c r="T3369" i="1"/>
  <c r="V3369" i="1" s="1"/>
  <c r="F3369" i="1"/>
  <c r="T3368" i="1"/>
  <c r="V3368" i="1" s="1"/>
  <c r="F3368" i="1"/>
  <c r="T3367" i="1"/>
  <c r="V3367" i="1" s="1"/>
  <c r="F3367" i="1"/>
  <c r="T3366" i="1"/>
  <c r="V3366" i="1" s="1"/>
  <c r="F3366" i="1"/>
  <c r="T3365" i="1"/>
  <c r="V3365" i="1" s="1"/>
  <c r="F3365" i="1"/>
  <c r="T3364" i="1"/>
  <c r="V3364" i="1" s="1"/>
  <c r="F3364" i="1"/>
  <c r="T3363" i="1"/>
  <c r="V3363" i="1" s="1"/>
  <c r="F3363" i="1"/>
  <c r="T3362" i="1"/>
  <c r="V3362" i="1" s="1"/>
  <c r="F3362" i="1"/>
  <c r="T3361" i="1"/>
  <c r="V3361" i="1" s="1"/>
  <c r="F3361" i="1"/>
  <c r="T3360" i="1"/>
  <c r="V3360" i="1" s="1"/>
  <c r="F3360" i="1"/>
  <c r="T3359" i="1"/>
  <c r="V3359" i="1" s="1"/>
  <c r="F3359" i="1"/>
  <c r="T3358" i="1"/>
  <c r="V3358" i="1" s="1"/>
  <c r="F3358" i="1"/>
  <c r="T3357" i="1"/>
  <c r="V3357" i="1" s="1"/>
  <c r="F3357" i="1"/>
  <c r="T3356" i="1"/>
  <c r="V3356" i="1" s="1"/>
  <c r="F3356" i="1"/>
  <c r="T3355" i="1"/>
  <c r="V3355" i="1" s="1"/>
  <c r="F3355" i="1"/>
  <c r="T3354" i="1"/>
  <c r="V3354" i="1" s="1"/>
  <c r="F3354" i="1"/>
  <c r="T3353" i="1"/>
  <c r="V3353" i="1" s="1"/>
  <c r="F3353" i="1"/>
  <c r="T3352" i="1"/>
  <c r="V3352" i="1" s="1"/>
  <c r="F3352" i="1"/>
  <c r="T3351" i="1"/>
  <c r="V3351" i="1" s="1"/>
  <c r="F3351" i="1"/>
  <c r="T3350" i="1"/>
  <c r="V3350" i="1" s="1"/>
  <c r="F3350" i="1"/>
  <c r="T3349" i="1"/>
  <c r="V3349" i="1" s="1"/>
  <c r="F3349" i="1"/>
  <c r="T3348" i="1"/>
  <c r="V3348" i="1" s="1"/>
  <c r="F3348" i="1"/>
  <c r="T3347" i="1"/>
  <c r="V3347" i="1" s="1"/>
  <c r="F3347" i="1"/>
  <c r="T3346" i="1"/>
  <c r="V3346" i="1" s="1"/>
  <c r="F3346" i="1"/>
  <c r="T3345" i="1"/>
  <c r="V3345" i="1" s="1"/>
  <c r="F3345" i="1"/>
  <c r="T3344" i="1"/>
  <c r="V3344" i="1" s="1"/>
  <c r="F3344" i="1"/>
  <c r="T3343" i="1"/>
  <c r="V3343" i="1" s="1"/>
  <c r="F3343" i="1"/>
  <c r="T3342" i="1"/>
  <c r="V3342" i="1" s="1"/>
  <c r="F3342" i="1"/>
  <c r="T3341" i="1"/>
  <c r="V3341" i="1" s="1"/>
  <c r="F3341" i="1"/>
  <c r="T3340" i="1"/>
  <c r="V3340" i="1" s="1"/>
  <c r="F3340" i="1"/>
  <c r="T3339" i="1"/>
  <c r="V3339" i="1" s="1"/>
  <c r="F3339" i="1"/>
  <c r="T3338" i="1"/>
  <c r="V3338" i="1" s="1"/>
  <c r="F3338" i="1"/>
  <c r="T3337" i="1"/>
  <c r="V3337" i="1" s="1"/>
  <c r="F3337" i="1"/>
  <c r="T3336" i="1"/>
  <c r="V3336" i="1" s="1"/>
  <c r="F3336" i="1"/>
  <c r="T3335" i="1"/>
  <c r="V3335" i="1" s="1"/>
  <c r="F3335" i="1"/>
  <c r="T3334" i="1"/>
  <c r="V3334" i="1" s="1"/>
  <c r="F3334" i="1"/>
  <c r="T3333" i="1"/>
  <c r="V3333" i="1" s="1"/>
  <c r="F3333" i="1"/>
  <c r="T3332" i="1"/>
  <c r="V3332" i="1" s="1"/>
  <c r="F3332" i="1"/>
  <c r="T3331" i="1"/>
  <c r="V3331" i="1" s="1"/>
  <c r="F3331" i="1"/>
  <c r="T3330" i="1"/>
  <c r="V3330" i="1" s="1"/>
  <c r="F3330" i="1"/>
  <c r="T3329" i="1"/>
  <c r="V3329" i="1" s="1"/>
  <c r="F3329" i="1"/>
  <c r="T3328" i="1"/>
  <c r="V3328" i="1" s="1"/>
  <c r="F3328" i="1"/>
  <c r="T3327" i="1"/>
  <c r="V3327" i="1" s="1"/>
  <c r="F3327" i="1"/>
  <c r="T3326" i="1"/>
  <c r="V3326" i="1" s="1"/>
  <c r="F3326" i="1"/>
  <c r="T3325" i="1"/>
  <c r="V3325" i="1" s="1"/>
  <c r="F3325" i="1"/>
  <c r="T3324" i="1"/>
  <c r="V3324" i="1" s="1"/>
  <c r="F3324" i="1"/>
  <c r="T3323" i="1"/>
  <c r="V3323" i="1" s="1"/>
  <c r="F3323" i="1"/>
  <c r="T3322" i="1"/>
  <c r="V3322" i="1" s="1"/>
  <c r="F3322" i="1"/>
  <c r="T3321" i="1"/>
  <c r="V3321" i="1" s="1"/>
  <c r="F3321" i="1"/>
  <c r="T3320" i="1"/>
  <c r="V3320" i="1" s="1"/>
  <c r="F3320" i="1"/>
  <c r="T3319" i="1"/>
  <c r="V3319" i="1" s="1"/>
  <c r="F3319" i="1"/>
  <c r="T3318" i="1"/>
  <c r="V3318" i="1" s="1"/>
  <c r="F3318" i="1"/>
  <c r="T3317" i="1"/>
  <c r="V3317" i="1" s="1"/>
  <c r="F3317" i="1"/>
  <c r="T3316" i="1"/>
  <c r="V3316" i="1" s="1"/>
  <c r="F3316" i="1"/>
  <c r="T3315" i="1"/>
  <c r="V3315" i="1" s="1"/>
  <c r="F3315" i="1"/>
  <c r="T3314" i="1"/>
  <c r="V3314" i="1" s="1"/>
  <c r="F3314" i="1"/>
  <c r="T3313" i="1"/>
  <c r="V3313" i="1" s="1"/>
  <c r="F3313" i="1"/>
  <c r="T3312" i="1"/>
  <c r="V3312" i="1" s="1"/>
  <c r="F3312" i="1"/>
  <c r="T3311" i="1"/>
  <c r="V3311" i="1" s="1"/>
  <c r="F3311" i="1"/>
  <c r="T3310" i="1"/>
  <c r="V3310" i="1" s="1"/>
  <c r="F3310" i="1"/>
  <c r="T3309" i="1"/>
  <c r="V3309" i="1" s="1"/>
  <c r="F3309" i="1"/>
  <c r="T3308" i="1"/>
  <c r="V3308" i="1" s="1"/>
  <c r="F3308" i="1"/>
  <c r="T3307" i="1"/>
  <c r="V3307" i="1" s="1"/>
  <c r="F3307" i="1"/>
  <c r="T3306" i="1"/>
  <c r="V3306" i="1" s="1"/>
  <c r="F3306" i="1"/>
  <c r="T3305" i="1"/>
  <c r="V3305" i="1" s="1"/>
  <c r="F3305" i="1"/>
  <c r="T3304" i="1"/>
  <c r="V3304" i="1" s="1"/>
  <c r="F3304" i="1"/>
  <c r="T3303" i="1"/>
  <c r="V3303" i="1" s="1"/>
  <c r="F3303" i="1"/>
  <c r="T3302" i="1"/>
  <c r="V3302" i="1" s="1"/>
  <c r="F3302" i="1"/>
  <c r="T3301" i="1"/>
  <c r="V3301" i="1" s="1"/>
  <c r="F3301" i="1"/>
  <c r="T3300" i="1"/>
  <c r="V3300" i="1" s="1"/>
  <c r="F3300" i="1"/>
  <c r="T3299" i="1"/>
  <c r="V3299" i="1" s="1"/>
  <c r="F3299" i="1"/>
  <c r="T3298" i="1"/>
  <c r="V3298" i="1" s="1"/>
  <c r="F3298" i="1"/>
  <c r="T3297" i="1"/>
  <c r="V3297" i="1" s="1"/>
  <c r="F3297" i="1"/>
  <c r="T3296" i="1"/>
  <c r="V3296" i="1" s="1"/>
  <c r="F3296" i="1"/>
  <c r="T3295" i="1"/>
  <c r="V3295" i="1" s="1"/>
  <c r="F3295" i="1"/>
  <c r="T3294" i="1"/>
  <c r="V3294" i="1" s="1"/>
  <c r="F3294" i="1"/>
  <c r="T3293" i="1"/>
  <c r="V3293" i="1" s="1"/>
  <c r="F3293" i="1"/>
  <c r="T3292" i="1"/>
  <c r="V3292" i="1" s="1"/>
  <c r="F3292" i="1"/>
  <c r="T3291" i="1"/>
  <c r="V3291" i="1" s="1"/>
  <c r="F3291" i="1"/>
  <c r="T3290" i="1"/>
  <c r="V3290" i="1" s="1"/>
  <c r="F3290" i="1"/>
  <c r="T3289" i="1"/>
  <c r="V3289" i="1" s="1"/>
  <c r="F3289" i="1"/>
  <c r="T3288" i="1"/>
  <c r="V3288" i="1" s="1"/>
  <c r="F3288" i="1"/>
  <c r="T3287" i="1"/>
  <c r="V3287" i="1" s="1"/>
  <c r="F3287" i="1"/>
  <c r="T3286" i="1"/>
  <c r="V3286" i="1" s="1"/>
  <c r="F3286" i="1"/>
  <c r="T3285" i="1"/>
  <c r="V3285" i="1" s="1"/>
  <c r="F3285" i="1"/>
  <c r="T3284" i="1"/>
  <c r="V3284" i="1" s="1"/>
  <c r="F3284" i="1"/>
  <c r="T3283" i="1"/>
  <c r="V3283" i="1" s="1"/>
  <c r="F3283" i="1"/>
  <c r="T3282" i="1"/>
  <c r="V3282" i="1" s="1"/>
  <c r="F3282" i="1"/>
  <c r="T3281" i="1"/>
  <c r="V3281" i="1" s="1"/>
  <c r="F3281" i="1"/>
  <c r="T3280" i="1"/>
  <c r="V3280" i="1" s="1"/>
  <c r="F3280" i="1"/>
  <c r="T3279" i="1"/>
  <c r="V3279" i="1" s="1"/>
  <c r="F3279" i="1"/>
  <c r="T3278" i="1"/>
  <c r="V3278" i="1" s="1"/>
  <c r="F3278" i="1"/>
  <c r="T3277" i="1"/>
  <c r="V3277" i="1" s="1"/>
  <c r="F3277" i="1"/>
  <c r="T3276" i="1"/>
  <c r="V3276" i="1" s="1"/>
  <c r="F3276" i="1"/>
  <c r="T3275" i="1"/>
  <c r="V3275" i="1" s="1"/>
  <c r="F3275" i="1"/>
  <c r="T3274" i="1"/>
  <c r="V3274" i="1" s="1"/>
  <c r="F3274" i="1"/>
  <c r="T3273" i="1"/>
  <c r="V3273" i="1" s="1"/>
  <c r="F3273" i="1"/>
  <c r="T3272" i="1"/>
  <c r="V3272" i="1" s="1"/>
  <c r="F3272" i="1"/>
  <c r="T3271" i="1"/>
  <c r="V3271" i="1" s="1"/>
  <c r="F3271" i="1"/>
  <c r="T3270" i="1"/>
  <c r="V3270" i="1" s="1"/>
  <c r="F3270" i="1"/>
  <c r="T3269" i="1"/>
  <c r="V3269" i="1" s="1"/>
  <c r="F3269" i="1"/>
  <c r="T3268" i="1"/>
  <c r="V3268" i="1" s="1"/>
  <c r="F3268" i="1"/>
  <c r="T3267" i="1"/>
  <c r="V3267" i="1" s="1"/>
  <c r="F3267" i="1"/>
  <c r="T3266" i="1"/>
  <c r="V3266" i="1" s="1"/>
  <c r="F3266" i="1"/>
  <c r="T3265" i="1"/>
  <c r="V3265" i="1" s="1"/>
  <c r="F3265" i="1"/>
  <c r="T3264" i="1"/>
  <c r="V3264" i="1" s="1"/>
  <c r="F3264" i="1"/>
  <c r="T3263" i="1"/>
  <c r="V3263" i="1" s="1"/>
  <c r="F3263" i="1"/>
  <c r="T3262" i="1"/>
  <c r="V3262" i="1" s="1"/>
  <c r="F3262" i="1"/>
  <c r="T3261" i="1"/>
  <c r="V3261" i="1" s="1"/>
  <c r="F3261" i="1"/>
  <c r="T3260" i="1"/>
  <c r="V3260" i="1" s="1"/>
  <c r="F3260" i="1"/>
  <c r="T3259" i="1"/>
  <c r="V3259" i="1" s="1"/>
  <c r="F3259" i="1"/>
  <c r="T3258" i="1"/>
  <c r="V3258" i="1" s="1"/>
  <c r="F3258" i="1"/>
  <c r="T3257" i="1"/>
  <c r="V3257" i="1" s="1"/>
  <c r="F3257" i="1"/>
  <c r="T3256" i="1"/>
  <c r="V3256" i="1" s="1"/>
  <c r="F3256" i="1"/>
  <c r="T3255" i="1"/>
  <c r="V3255" i="1" s="1"/>
  <c r="F3255" i="1"/>
  <c r="T3254" i="1"/>
  <c r="V3254" i="1" s="1"/>
  <c r="F3254" i="1"/>
  <c r="T3253" i="1"/>
  <c r="V3253" i="1" s="1"/>
  <c r="F3253" i="1"/>
  <c r="T3252" i="1"/>
  <c r="V3252" i="1" s="1"/>
  <c r="F3252" i="1"/>
  <c r="T3251" i="1"/>
  <c r="V3251" i="1" s="1"/>
  <c r="F3251" i="1"/>
  <c r="T3250" i="1"/>
  <c r="V3250" i="1" s="1"/>
  <c r="F3250" i="1"/>
  <c r="T3249" i="1"/>
  <c r="V3249" i="1" s="1"/>
  <c r="F3249" i="1"/>
  <c r="T3248" i="1"/>
  <c r="V3248" i="1" s="1"/>
  <c r="F3248" i="1"/>
  <c r="T3247" i="1"/>
  <c r="V3247" i="1" s="1"/>
  <c r="F3247" i="1"/>
  <c r="T3246" i="1"/>
  <c r="V3246" i="1" s="1"/>
  <c r="F3246" i="1"/>
  <c r="T3245" i="1"/>
  <c r="V3245" i="1" s="1"/>
  <c r="F3245" i="1"/>
  <c r="T3244" i="1"/>
  <c r="V3244" i="1" s="1"/>
  <c r="F3244" i="1"/>
  <c r="T3243" i="1"/>
  <c r="V3243" i="1" s="1"/>
  <c r="F3243" i="1"/>
  <c r="T3242" i="1"/>
  <c r="V3242" i="1" s="1"/>
  <c r="F3242" i="1"/>
  <c r="T3241" i="1"/>
  <c r="V3241" i="1" s="1"/>
  <c r="F3241" i="1"/>
  <c r="T3240" i="1"/>
  <c r="V3240" i="1" s="1"/>
  <c r="F3240" i="1"/>
  <c r="T3239" i="1"/>
  <c r="V3239" i="1" s="1"/>
  <c r="F3239" i="1"/>
  <c r="T3238" i="1"/>
  <c r="V3238" i="1" s="1"/>
  <c r="F3238" i="1"/>
  <c r="T3237" i="1"/>
  <c r="V3237" i="1" s="1"/>
  <c r="F3237" i="1"/>
  <c r="T3236" i="1"/>
  <c r="V3236" i="1" s="1"/>
  <c r="F3236" i="1"/>
  <c r="T3235" i="1"/>
  <c r="V3235" i="1" s="1"/>
  <c r="F3235" i="1"/>
  <c r="T3234" i="1"/>
  <c r="V3234" i="1" s="1"/>
  <c r="F3234" i="1"/>
  <c r="T3233" i="1"/>
  <c r="V3233" i="1" s="1"/>
  <c r="F3233" i="1"/>
  <c r="T3232" i="1"/>
  <c r="V3232" i="1" s="1"/>
  <c r="F3232" i="1"/>
  <c r="T3231" i="1"/>
  <c r="V3231" i="1" s="1"/>
  <c r="F3231" i="1"/>
  <c r="T3230" i="1"/>
  <c r="V3230" i="1" s="1"/>
  <c r="F3230" i="1"/>
  <c r="T3229" i="1"/>
  <c r="V3229" i="1" s="1"/>
  <c r="F3229" i="1"/>
  <c r="T3228" i="1"/>
  <c r="V3228" i="1" s="1"/>
  <c r="F3228" i="1"/>
  <c r="T3227" i="1"/>
  <c r="V3227" i="1" s="1"/>
  <c r="F3227" i="1"/>
  <c r="T3226" i="1"/>
  <c r="V3226" i="1" s="1"/>
  <c r="F3226" i="1"/>
  <c r="T3225" i="1"/>
  <c r="V3225" i="1" s="1"/>
  <c r="F3225" i="1"/>
  <c r="T3224" i="1"/>
  <c r="V3224" i="1" s="1"/>
  <c r="F3224" i="1"/>
  <c r="T3223" i="1"/>
  <c r="V3223" i="1" s="1"/>
  <c r="F3223" i="1"/>
  <c r="T3222" i="1"/>
  <c r="V3222" i="1" s="1"/>
  <c r="F3222" i="1"/>
  <c r="T3221" i="1"/>
  <c r="V3221" i="1" s="1"/>
  <c r="F3221" i="1"/>
  <c r="T3220" i="1"/>
  <c r="V3220" i="1" s="1"/>
  <c r="F3220" i="1"/>
  <c r="T3219" i="1"/>
  <c r="V3219" i="1" s="1"/>
  <c r="F3219" i="1"/>
  <c r="T3218" i="1"/>
  <c r="V3218" i="1" s="1"/>
  <c r="F3218" i="1"/>
  <c r="T3217" i="1"/>
  <c r="V3217" i="1" s="1"/>
  <c r="F3217" i="1"/>
  <c r="T3216" i="1"/>
  <c r="V3216" i="1" s="1"/>
  <c r="F3216" i="1"/>
  <c r="T3215" i="1"/>
  <c r="V3215" i="1" s="1"/>
  <c r="F3215" i="1"/>
  <c r="T3214" i="1"/>
  <c r="V3214" i="1" s="1"/>
  <c r="F3214" i="1"/>
  <c r="T3213" i="1"/>
  <c r="V3213" i="1" s="1"/>
  <c r="F3213" i="1"/>
  <c r="T3212" i="1"/>
  <c r="V3212" i="1" s="1"/>
  <c r="F3212" i="1"/>
  <c r="T3211" i="1"/>
  <c r="V3211" i="1" s="1"/>
  <c r="F3211" i="1"/>
  <c r="T3210" i="1"/>
  <c r="V3210" i="1" s="1"/>
  <c r="F3210" i="1"/>
  <c r="T3209" i="1"/>
  <c r="V3209" i="1" s="1"/>
  <c r="F3209" i="1"/>
  <c r="T3208" i="1"/>
  <c r="V3208" i="1" s="1"/>
  <c r="F3208" i="1"/>
  <c r="T3207" i="1"/>
  <c r="V3207" i="1" s="1"/>
  <c r="F3207" i="1"/>
  <c r="T3206" i="1"/>
  <c r="V3206" i="1" s="1"/>
  <c r="F3206" i="1"/>
  <c r="T3205" i="1"/>
  <c r="V3205" i="1" s="1"/>
  <c r="F3205" i="1"/>
  <c r="T3204" i="1"/>
  <c r="V3204" i="1" s="1"/>
  <c r="F3204" i="1"/>
  <c r="T3203" i="1"/>
  <c r="V3203" i="1" s="1"/>
  <c r="F3203" i="1"/>
  <c r="T3202" i="1"/>
  <c r="V3202" i="1" s="1"/>
  <c r="F3202" i="1"/>
  <c r="T3201" i="1"/>
  <c r="V3201" i="1" s="1"/>
  <c r="F3201" i="1"/>
  <c r="T3200" i="1"/>
  <c r="V3200" i="1" s="1"/>
  <c r="F3200" i="1"/>
  <c r="T3199" i="1"/>
  <c r="V3199" i="1" s="1"/>
  <c r="F3199" i="1"/>
  <c r="T3198" i="1"/>
  <c r="V3198" i="1" s="1"/>
  <c r="F3198" i="1"/>
  <c r="T3197" i="1"/>
  <c r="V3197" i="1" s="1"/>
  <c r="F3197" i="1"/>
  <c r="T3196" i="1"/>
  <c r="V3196" i="1" s="1"/>
  <c r="F3196" i="1"/>
  <c r="T3195" i="1"/>
  <c r="V3195" i="1" s="1"/>
  <c r="F3195" i="1"/>
  <c r="T3194" i="1"/>
  <c r="V3194" i="1" s="1"/>
  <c r="F3194" i="1"/>
  <c r="T3193" i="1"/>
  <c r="V3193" i="1" s="1"/>
  <c r="F3193" i="1"/>
  <c r="T3192" i="1"/>
  <c r="V3192" i="1" s="1"/>
  <c r="F3192" i="1"/>
  <c r="T3191" i="1"/>
  <c r="V3191" i="1" s="1"/>
  <c r="F3191" i="1"/>
  <c r="T3190" i="1"/>
  <c r="V3190" i="1" s="1"/>
  <c r="F3190" i="1"/>
  <c r="T3189" i="1"/>
  <c r="V3189" i="1" s="1"/>
  <c r="F3189" i="1"/>
  <c r="T3188" i="1"/>
  <c r="V3188" i="1" s="1"/>
  <c r="F3188" i="1"/>
  <c r="T3187" i="1"/>
  <c r="V3187" i="1" s="1"/>
  <c r="F3187" i="1"/>
  <c r="T3186" i="1"/>
  <c r="V3186" i="1" s="1"/>
  <c r="F3186" i="1"/>
  <c r="T3185" i="1"/>
  <c r="V3185" i="1" s="1"/>
  <c r="F3185" i="1"/>
  <c r="T3184" i="1"/>
  <c r="V3184" i="1" s="1"/>
  <c r="F3184" i="1"/>
  <c r="T3183" i="1"/>
  <c r="V3183" i="1" s="1"/>
  <c r="F3183" i="1"/>
  <c r="T3182" i="1"/>
  <c r="V3182" i="1" s="1"/>
  <c r="F3182" i="1"/>
  <c r="T3181" i="1"/>
  <c r="V3181" i="1" s="1"/>
  <c r="F3181" i="1"/>
  <c r="T3180" i="1"/>
  <c r="V3180" i="1" s="1"/>
  <c r="F3180" i="1"/>
  <c r="T3179" i="1"/>
  <c r="V3179" i="1" s="1"/>
  <c r="F3179" i="1"/>
  <c r="T3178" i="1"/>
  <c r="V3178" i="1" s="1"/>
  <c r="F3178" i="1"/>
  <c r="T3177" i="1"/>
  <c r="V3177" i="1" s="1"/>
  <c r="F3177" i="1"/>
  <c r="T3176" i="1"/>
  <c r="V3176" i="1" s="1"/>
  <c r="F3176" i="1"/>
  <c r="T3175" i="1"/>
  <c r="V3175" i="1" s="1"/>
  <c r="F3175" i="1"/>
  <c r="T3174" i="1"/>
  <c r="V3174" i="1" s="1"/>
  <c r="F3174" i="1"/>
  <c r="T3173" i="1"/>
  <c r="V3173" i="1" s="1"/>
  <c r="F3173" i="1"/>
  <c r="T3172" i="1"/>
  <c r="V3172" i="1" s="1"/>
  <c r="F3172" i="1"/>
  <c r="T3171" i="1"/>
  <c r="V3171" i="1" s="1"/>
  <c r="F3171" i="1"/>
  <c r="T3170" i="1"/>
  <c r="V3170" i="1" s="1"/>
  <c r="F3170" i="1"/>
  <c r="T3169" i="1"/>
  <c r="V3169" i="1" s="1"/>
  <c r="F3169" i="1"/>
  <c r="T3168" i="1"/>
  <c r="V3168" i="1" s="1"/>
  <c r="F3168" i="1"/>
  <c r="T3167" i="1"/>
  <c r="V3167" i="1" s="1"/>
  <c r="F3167" i="1"/>
  <c r="T3166" i="1"/>
  <c r="V3166" i="1" s="1"/>
  <c r="F3166" i="1"/>
  <c r="T3165" i="1"/>
  <c r="V3165" i="1" s="1"/>
  <c r="F3165" i="1"/>
  <c r="T3164" i="1"/>
  <c r="V3164" i="1" s="1"/>
  <c r="F3164" i="1"/>
  <c r="T3163" i="1"/>
  <c r="V3163" i="1" s="1"/>
  <c r="F3163" i="1"/>
  <c r="T3162" i="1"/>
  <c r="V3162" i="1" s="1"/>
  <c r="F3162" i="1"/>
  <c r="T3161" i="1"/>
  <c r="V3161" i="1" s="1"/>
  <c r="F3161" i="1"/>
  <c r="T3160" i="1"/>
  <c r="V3160" i="1" s="1"/>
  <c r="F3160" i="1"/>
  <c r="T3159" i="1"/>
  <c r="V3159" i="1" s="1"/>
  <c r="F3159" i="1"/>
  <c r="T3158" i="1"/>
  <c r="V3158" i="1" s="1"/>
  <c r="F3158" i="1"/>
  <c r="T3157" i="1"/>
  <c r="V3157" i="1" s="1"/>
  <c r="F3157" i="1"/>
  <c r="T3156" i="1"/>
  <c r="V3156" i="1" s="1"/>
  <c r="F3156" i="1"/>
  <c r="T3155" i="1"/>
  <c r="V3155" i="1" s="1"/>
  <c r="F3155" i="1"/>
  <c r="T3154" i="1"/>
  <c r="V3154" i="1" s="1"/>
  <c r="F3154" i="1"/>
  <c r="T3153" i="1"/>
  <c r="V3153" i="1" s="1"/>
  <c r="F3153" i="1"/>
  <c r="T3152" i="1"/>
  <c r="V3152" i="1" s="1"/>
  <c r="F3152" i="1"/>
  <c r="T3151" i="1"/>
  <c r="V3151" i="1" s="1"/>
  <c r="F3151" i="1"/>
  <c r="T3150" i="1"/>
  <c r="V3150" i="1" s="1"/>
  <c r="F3150" i="1"/>
  <c r="T3149" i="1"/>
  <c r="V3149" i="1" s="1"/>
  <c r="F3149" i="1"/>
  <c r="T3148" i="1"/>
  <c r="V3148" i="1" s="1"/>
  <c r="F3148" i="1"/>
  <c r="T3147" i="1"/>
  <c r="V3147" i="1" s="1"/>
  <c r="F3147" i="1"/>
  <c r="T3146" i="1"/>
  <c r="V3146" i="1" s="1"/>
  <c r="F3146" i="1"/>
  <c r="T3145" i="1"/>
  <c r="V3145" i="1" s="1"/>
  <c r="F3145" i="1"/>
  <c r="T3144" i="1"/>
  <c r="V3144" i="1" s="1"/>
  <c r="F3144" i="1"/>
  <c r="T3143" i="1"/>
  <c r="V3143" i="1" s="1"/>
  <c r="F3143" i="1"/>
  <c r="T3142" i="1"/>
  <c r="V3142" i="1" s="1"/>
  <c r="F3142" i="1"/>
  <c r="T3141" i="1"/>
  <c r="V3141" i="1" s="1"/>
  <c r="F3141" i="1"/>
  <c r="T3140" i="1"/>
  <c r="V3140" i="1" s="1"/>
  <c r="F3140" i="1"/>
  <c r="T3139" i="1"/>
  <c r="V3139" i="1" s="1"/>
  <c r="F3139" i="1"/>
  <c r="T3138" i="1"/>
  <c r="V3138" i="1" s="1"/>
  <c r="F3138" i="1"/>
  <c r="T3137" i="1"/>
  <c r="V3137" i="1" s="1"/>
  <c r="F3137" i="1"/>
  <c r="T3136" i="1"/>
  <c r="V3136" i="1" s="1"/>
  <c r="F3136" i="1"/>
  <c r="T3135" i="1"/>
  <c r="V3135" i="1" s="1"/>
  <c r="F3135" i="1"/>
  <c r="T3134" i="1"/>
  <c r="V3134" i="1" s="1"/>
  <c r="F3134" i="1"/>
  <c r="T3133" i="1"/>
  <c r="V3133" i="1" s="1"/>
  <c r="F3133" i="1"/>
  <c r="T3132" i="1"/>
  <c r="V3132" i="1" s="1"/>
  <c r="F3132" i="1"/>
  <c r="T3131" i="1"/>
  <c r="V3131" i="1" s="1"/>
  <c r="F3131" i="1"/>
  <c r="T3130" i="1"/>
  <c r="V3130" i="1" s="1"/>
  <c r="F3130" i="1"/>
  <c r="T3129" i="1"/>
  <c r="V3129" i="1" s="1"/>
  <c r="F3129" i="1"/>
  <c r="T3128" i="1"/>
  <c r="V3128" i="1" s="1"/>
  <c r="F3128" i="1"/>
  <c r="T3127" i="1"/>
  <c r="V3127" i="1" s="1"/>
  <c r="F3127" i="1"/>
  <c r="T3126" i="1"/>
  <c r="V3126" i="1" s="1"/>
  <c r="F3126" i="1"/>
  <c r="T3125" i="1"/>
  <c r="V3125" i="1" s="1"/>
  <c r="F3125" i="1"/>
  <c r="T3124" i="1"/>
  <c r="V3124" i="1" s="1"/>
  <c r="F3124" i="1"/>
  <c r="T3123" i="1"/>
  <c r="V3123" i="1" s="1"/>
  <c r="F3123" i="1"/>
  <c r="T3122" i="1"/>
  <c r="V3122" i="1" s="1"/>
  <c r="F3122" i="1"/>
  <c r="T3121" i="1"/>
  <c r="V3121" i="1" s="1"/>
  <c r="F3121" i="1"/>
  <c r="T3120" i="1"/>
  <c r="V3120" i="1" s="1"/>
  <c r="F3120" i="1"/>
  <c r="T3119" i="1"/>
  <c r="V3119" i="1" s="1"/>
  <c r="F3119" i="1"/>
  <c r="T3118" i="1"/>
  <c r="V3118" i="1" s="1"/>
  <c r="F3118" i="1"/>
  <c r="T3117" i="1"/>
  <c r="V3117" i="1" s="1"/>
  <c r="F3117" i="1"/>
  <c r="T3116" i="1"/>
  <c r="V3116" i="1" s="1"/>
  <c r="F3116" i="1"/>
  <c r="T3115" i="1"/>
  <c r="V3115" i="1" s="1"/>
  <c r="F3115" i="1"/>
  <c r="T3114" i="1"/>
  <c r="V3114" i="1" s="1"/>
  <c r="F3114" i="1"/>
  <c r="T3113" i="1"/>
  <c r="V3113" i="1" s="1"/>
  <c r="F3113" i="1"/>
  <c r="T3112" i="1"/>
  <c r="V3112" i="1" s="1"/>
  <c r="F3112" i="1"/>
  <c r="T3111" i="1"/>
  <c r="V3111" i="1" s="1"/>
  <c r="F3111" i="1"/>
  <c r="T3110" i="1"/>
  <c r="V3110" i="1" s="1"/>
  <c r="F3110" i="1"/>
  <c r="T3109" i="1"/>
  <c r="V3109" i="1" s="1"/>
  <c r="F3109" i="1"/>
  <c r="T3108" i="1"/>
  <c r="V3108" i="1" s="1"/>
  <c r="F3108" i="1"/>
  <c r="T3107" i="1"/>
  <c r="V3107" i="1" s="1"/>
  <c r="F3107" i="1"/>
  <c r="T3106" i="1"/>
  <c r="V3106" i="1" s="1"/>
  <c r="F3106" i="1"/>
  <c r="T3105" i="1"/>
  <c r="V3105" i="1" s="1"/>
  <c r="F3105" i="1"/>
  <c r="T3104" i="1"/>
  <c r="V3104" i="1" s="1"/>
  <c r="F3104" i="1"/>
  <c r="T3103" i="1"/>
  <c r="V3103" i="1" s="1"/>
  <c r="F3103" i="1"/>
  <c r="T3102" i="1"/>
  <c r="V3102" i="1" s="1"/>
  <c r="F3102" i="1"/>
  <c r="T3101" i="1"/>
  <c r="V3101" i="1" s="1"/>
  <c r="F3101" i="1"/>
  <c r="T3100" i="1"/>
  <c r="V3100" i="1" s="1"/>
  <c r="F3100" i="1"/>
  <c r="T3099" i="1"/>
  <c r="V3099" i="1" s="1"/>
  <c r="F3099" i="1"/>
  <c r="T3098" i="1"/>
  <c r="V3098" i="1" s="1"/>
  <c r="F3098" i="1"/>
  <c r="T3097" i="1"/>
  <c r="V3097" i="1" s="1"/>
  <c r="F3097" i="1"/>
  <c r="T3096" i="1"/>
  <c r="V3096" i="1" s="1"/>
  <c r="F3096" i="1"/>
  <c r="T3095" i="1"/>
  <c r="V3095" i="1" s="1"/>
  <c r="F3095" i="1"/>
  <c r="T3094" i="1"/>
  <c r="V3094" i="1" s="1"/>
  <c r="F3094" i="1"/>
  <c r="T3093" i="1"/>
  <c r="V3093" i="1" s="1"/>
  <c r="F3093" i="1"/>
  <c r="T3092" i="1"/>
  <c r="V3092" i="1" s="1"/>
  <c r="F3092" i="1"/>
  <c r="T3091" i="1"/>
  <c r="V3091" i="1" s="1"/>
  <c r="F3091" i="1"/>
  <c r="T3090" i="1"/>
  <c r="V3090" i="1" s="1"/>
  <c r="F3090" i="1"/>
  <c r="T3089" i="1"/>
  <c r="V3089" i="1" s="1"/>
  <c r="F3089" i="1"/>
  <c r="T3088" i="1"/>
  <c r="V3088" i="1" s="1"/>
  <c r="F3088" i="1"/>
  <c r="T3087" i="1"/>
  <c r="V3087" i="1" s="1"/>
  <c r="F3087" i="1"/>
  <c r="T3086" i="1"/>
  <c r="V3086" i="1" s="1"/>
  <c r="F3086" i="1"/>
  <c r="T3085" i="1"/>
  <c r="V3085" i="1" s="1"/>
  <c r="F3085" i="1"/>
  <c r="T3084" i="1"/>
  <c r="V3084" i="1" s="1"/>
  <c r="F3084" i="1"/>
  <c r="T3083" i="1"/>
  <c r="V3083" i="1" s="1"/>
  <c r="F3083" i="1"/>
  <c r="T3082" i="1"/>
  <c r="V3082" i="1" s="1"/>
  <c r="F3082" i="1"/>
  <c r="T3081" i="1"/>
  <c r="V3081" i="1" s="1"/>
  <c r="F3081" i="1"/>
  <c r="T3080" i="1"/>
  <c r="V3080" i="1" s="1"/>
  <c r="F3080" i="1"/>
  <c r="T3079" i="1"/>
  <c r="V3079" i="1" s="1"/>
  <c r="F3079" i="1"/>
  <c r="T3078" i="1"/>
  <c r="V3078" i="1" s="1"/>
  <c r="F3078" i="1"/>
  <c r="T3077" i="1"/>
  <c r="V3077" i="1" s="1"/>
  <c r="F3077" i="1"/>
  <c r="T3076" i="1"/>
  <c r="V3076" i="1" s="1"/>
  <c r="F3076" i="1"/>
  <c r="T3075" i="1"/>
  <c r="V3075" i="1" s="1"/>
  <c r="F3075" i="1"/>
  <c r="T3074" i="1"/>
  <c r="V3074" i="1" s="1"/>
  <c r="F3074" i="1"/>
  <c r="T3073" i="1"/>
  <c r="V3073" i="1" s="1"/>
  <c r="F3073" i="1"/>
  <c r="T3072" i="1"/>
  <c r="V3072" i="1" s="1"/>
  <c r="F3072" i="1"/>
  <c r="T3071" i="1"/>
  <c r="V3071" i="1" s="1"/>
  <c r="F3071" i="1"/>
  <c r="T3070" i="1"/>
  <c r="V3070" i="1" s="1"/>
  <c r="F3070" i="1"/>
  <c r="T3069" i="1"/>
  <c r="V3069" i="1" s="1"/>
  <c r="F3069" i="1"/>
  <c r="T3068" i="1"/>
  <c r="V3068" i="1" s="1"/>
  <c r="F3068" i="1"/>
  <c r="T3067" i="1"/>
  <c r="V3067" i="1" s="1"/>
  <c r="F3067" i="1"/>
  <c r="T3066" i="1"/>
  <c r="V3066" i="1" s="1"/>
  <c r="F3066" i="1"/>
  <c r="T3065" i="1"/>
  <c r="V3065" i="1" s="1"/>
  <c r="F3065" i="1"/>
  <c r="T3064" i="1"/>
  <c r="V3064" i="1" s="1"/>
  <c r="F3064" i="1"/>
  <c r="T3063" i="1"/>
  <c r="V3063" i="1" s="1"/>
  <c r="F3063" i="1"/>
  <c r="T3062" i="1"/>
  <c r="V3062" i="1" s="1"/>
  <c r="F3062" i="1"/>
  <c r="T3061" i="1"/>
  <c r="V3061" i="1" s="1"/>
  <c r="F3061" i="1"/>
  <c r="T3060" i="1"/>
  <c r="V3060" i="1" s="1"/>
  <c r="F3060" i="1"/>
  <c r="T3059" i="1"/>
  <c r="V3059" i="1" s="1"/>
  <c r="F3059" i="1"/>
  <c r="T3058" i="1"/>
  <c r="V3058" i="1" s="1"/>
  <c r="F3058" i="1"/>
  <c r="T3057" i="1"/>
  <c r="V3057" i="1" s="1"/>
  <c r="F3057" i="1"/>
  <c r="T3056" i="1"/>
  <c r="V3056" i="1" s="1"/>
  <c r="F3056" i="1"/>
  <c r="T3055" i="1"/>
  <c r="V3055" i="1" s="1"/>
  <c r="F3055" i="1"/>
  <c r="T3054" i="1"/>
  <c r="V3054" i="1" s="1"/>
  <c r="F3054" i="1"/>
  <c r="T3053" i="1"/>
  <c r="V3053" i="1" s="1"/>
  <c r="F3053" i="1"/>
  <c r="T3052" i="1"/>
  <c r="V3052" i="1" s="1"/>
  <c r="F3052" i="1"/>
  <c r="T3051" i="1"/>
  <c r="V3051" i="1" s="1"/>
  <c r="F3051" i="1"/>
  <c r="T3050" i="1"/>
  <c r="V3050" i="1" s="1"/>
  <c r="F3050" i="1"/>
  <c r="T3049" i="1"/>
  <c r="V3049" i="1" s="1"/>
  <c r="F3049" i="1"/>
  <c r="T3048" i="1"/>
  <c r="V3048" i="1" s="1"/>
  <c r="F3048" i="1"/>
  <c r="T3047" i="1"/>
  <c r="V3047" i="1" s="1"/>
  <c r="F3047" i="1"/>
  <c r="T3046" i="1"/>
  <c r="V3046" i="1" s="1"/>
  <c r="F3046" i="1"/>
  <c r="T3045" i="1"/>
  <c r="V3045" i="1" s="1"/>
  <c r="F3045" i="1"/>
  <c r="T3044" i="1"/>
  <c r="V3044" i="1" s="1"/>
  <c r="F3044" i="1"/>
  <c r="T3043" i="1"/>
  <c r="V3043" i="1" s="1"/>
  <c r="F3043" i="1"/>
  <c r="T3042" i="1"/>
  <c r="V3042" i="1" s="1"/>
  <c r="F3042" i="1"/>
  <c r="T3041" i="1"/>
  <c r="V3041" i="1" s="1"/>
  <c r="F3041" i="1"/>
  <c r="T3040" i="1"/>
  <c r="V3040" i="1" s="1"/>
  <c r="F3040" i="1"/>
  <c r="T3039" i="1"/>
  <c r="V3039" i="1" s="1"/>
  <c r="F3039" i="1"/>
  <c r="T3038" i="1"/>
  <c r="V3038" i="1" s="1"/>
  <c r="F3038" i="1"/>
  <c r="T3037" i="1"/>
  <c r="V3037" i="1" s="1"/>
  <c r="F3037" i="1"/>
  <c r="T3036" i="1"/>
  <c r="V3036" i="1" s="1"/>
  <c r="F3036" i="1"/>
  <c r="T3035" i="1"/>
  <c r="V3035" i="1" s="1"/>
  <c r="F3035" i="1"/>
  <c r="T3034" i="1"/>
  <c r="V3034" i="1" s="1"/>
  <c r="F3034" i="1"/>
  <c r="T3033" i="1"/>
  <c r="V3033" i="1" s="1"/>
  <c r="F3033" i="1"/>
  <c r="T3032" i="1"/>
  <c r="V3032" i="1" s="1"/>
  <c r="F3032" i="1"/>
  <c r="T3031" i="1"/>
  <c r="V3031" i="1" s="1"/>
  <c r="F3031" i="1"/>
  <c r="T3030" i="1"/>
  <c r="V3030" i="1" s="1"/>
  <c r="F3030" i="1"/>
  <c r="T3029" i="1"/>
  <c r="V3029" i="1" s="1"/>
  <c r="F3029" i="1"/>
  <c r="T3028" i="1"/>
  <c r="V3028" i="1" s="1"/>
  <c r="F3028" i="1"/>
  <c r="T3027" i="1"/>
  <c r="V3027" i="1" s="1"/>
  <c r="F3027" i="1"/>
  <c r="T3026" i="1"/>
  <c r="V3026" i="1" s="1"/>
  <c r="F3026" i="1"/>
  <c r="T3025" i="1"/>
  <c r="V3025" i="1" s="1"/>
  <c r="F3025" i="1"/>
  <c r="T3024" i="1"/>
  <c r="V3024" i="1" s="1"/>
  <c r="F3024" i="1"/>
  <c r="T3023" i="1"/>
  <c r="V3023" i="1" s="1"/>
  <c r="F3023" i="1"/>
  <c r="T3022" i="1"/>
  <c r="V3022" i="1" s="1"/>
  <c r="F3022" i="1"/>
  <c r="T3021" i="1"/>
  <c r="V3021" i="1" s="1"/>
  <c r="F3021" i="1"/>
  <c r="T3020" i="1"/>
  <c r="V3020" i="1" s="1"/>
  <c r="F3020" i="1"/>
  <c r="T3019" i="1"/>
  <c r="V3019" i="1" s="1"/>
  <c r="F3019" i="1"/>
  <c r="T3018" i="1"/>
  <c r="V3018" i="1" s="1"/>
  <c r="F3018" i="1"/>
  <c r="T3017" i="1"/>
  <c r="V3017" i="1" s="1"/>
  <c r="F3017" i="1"/>
  <c r="T3016" i="1"/>
  <c r="V3016" i="1" s="1"/>
  <c r="F3016" i="1"/>
  <c r="T3015" i="1"/>
  <c r="V3015" i="1" s="1"/>
  <c r="F3015" i="1"/>
  <c r="T3014" i="1"/>
  <c r="V3014" i="1" s="1"/>
  <c r="F3014" i="1"/>
  <c r="T3013" i="1"/>
  <c r="V3013" i="1" s="1"/>
  <c r="F3013" i="1"/>
  <c r="T3012" i="1"/>
  <c r="V3012" i="1" s="1"/>
  <c r="F3012" i="1"/>
  <c r="T3011" i="1"/>
  <c r="V3011" i="1" s="1"/>
  <c r="F3011" i="1"/>
  <c r="T3010" i="1"/>
  <c r="V3010" i="1" s="1"/>
  <c r="F3010" i="1"/>
  <c r="T3009" i="1"/>
  <c r="V3009" i="1" s="1"/>
  <c r="F3009" i="1"/>
  <c r="T3008" i="1"/>
  <c r="V3008" i="1" s="1"/>
  <c r="F3008" i="1"/>
  <c r="T3007" i="1"/>
  <c r="V3007" i="1" s="1"/>
  <c r="F3007" i="1"/>
  <c r="T3006" i="1"/>
  <c r="V3006" i="1" s="1"/>
  <c r="F3006" i="1"/>
  <c r="T3005" i="1"/>
  <c r="V3005" i="1" s="1"/>
  <c r="F3005" i="1"/>
  <c r="T3004" i="1"/>
  <c r="V3004" i="1" s="1"/>
  <c r="F3004" i="1"/>
  <c r="T3003" i="1"/>
  <c r="V3003" i="1" s="1"/>
  <c r="F3003" i="1"/>
  <c r="T3002" i="1"/>
  <c r="V3002" i="1" s="1"/>
  <c r="F3002" i="1"/>
  <c r="T3001" i="1"/>
  <c r="V3001" i="1" s="1"/>
  <c r="F3001" i="1"/>
  <c r="T3000" i="1"/>
  <c r="V3000" i="1" s="1"/>
  <c r="F3000" i="1"/>
  <c r="T2999" i="1"/>
  <c r="V2999" i="1" s="1"/>
  <c r="F2999" i="1"/>
  <c r="T2998" i="1"/>
  <c r="V2998" i="1" s="1"/>
  <c r="F2998" i="1"/>
  <c r="T2997" i="1"/>
  <c r="V2997" i="1" s="1"/>
  <c r="F2997" i="1"/>
  <c r="T2996" i="1"/>
  <c r="V2996" i="1" s="1"/>
  <c r="F2996" i="1"/>
  <c r="T2995" i="1"/>
  <c r="V2995" i="1" s="1"/>
  <c r="F2995" i="1"/>
  <c r="T2994" i="1"/>
  <c r="V2994" i="1" s="1"/>
  <c r="F2994" i="1"/>
  <c r="T2993" i="1"/>
  <c r="V2993" i="1" s="1"/>
  <c r="F2993" i="1"/>
  <c r="T2992" i="1"/>
  <c r="V2992" i="1" s="1"/>
  <c r="F2992" i="1"/>
  <c r="T2991" i="1"/>
  <c r="V2991" i="1" s="1"/>
  <c r="F2991" i="1"/>
  <c r="T2990" i="1"/>
  <c r="V2990" i="1" s="1"/>
  <c r="F2990" i="1"/>
  <c r="T2989" i="1"/>
  <c r="V2989" i="1" s="1"/>
  <c r="F2989" i="1"/>
  <c r="T2988" i="1"/>
  <c r="V2988" i="1" s="1"/>
  <c r="F2988" i="1"/>
  <c r="T2987" i="1"/>
  <c r="V2987" i="1" s="1"/>
  <c r="F2987" i="1"/>
  <c r="T2986" i="1"/>
  <c r="V2986" i="1" s="1"/>
  <c r="F2986" i="1"/>
  <c r="T2985" i="1"/>
  <c r="V2985" i="1" s="1"/>
  <c r="F2985" i="1"/>
  <c r="T2984" i="1"/>
  <c r="V2984" i="1" s="1"/>
  <c r="F2984" i="1"/>
  <c r="T2983" i="1"/>
  <c r="V2983" i="1" s="1"/>
  <c r="F2983" i="1"/>
  <c r="T2982" i="1"/>
  <c r="V2982" i="1" s="1"/>
  <c r="F2982" i="1"/>
  <c r="T2981" i="1"/>
  <c r="V2981" i="1" s="1"/>
  <c r="F2981" i="1"/>
  <c r="T2980" i="1"/>
  <c r="V2980" i="1" s="1"/>
  <c r="F2980" i="1"/>
  <c r="T2979" i="1"/>
  <c r="V2979" i="1" s="1"/>
  <c r="F2979" i="1"/>
  <c r="T2978" i="1"/>
  <c r="V2978" i="1" s="1"/>
  <c r="F2978" i="1"/>
  <c r="T2977" i="1"/>
  <c r="V2977" i="1" s="1"/>
  <c r="F2977" i="1"/>
  <c r="T2976" i="1"/>
  <c r="V2976" i="1" s="1"/>
  <c r="F2976" i="1"/>
  <c r="T2975" i="1"/>
  <c r="V2975" i="1" s="1"/>
  <c r="F2975" i="1"/>
  <c r="T2974" i="1"/>
  <c r="V2974" i="1" s="1"/>
  <c r="F2974" i="1"/>
  <c r="T2973" i="1"/>
  <c r="V2973" i="1" s="1"/>
  <c r="F2973" i="1"/>
  <c r="T2972" i="1"/>
  <c r="V2972" i="1" s="1"/>
  <c r="F2972" i="1"/>
  <c r="T2971" i="1"/>
  <c r="V2971" i="1" s="1"/>
  <c r="F2971" i="1"/>
  <c r="T2970" i="1"/>
  <c r="V2970" i="1" s="1"/>
  <c r="F2970" i="1"/>
  <c r="T2969" i="1"/>
  <c r="V2969" i="1" s="1"/>
  <c r="F2969" i="1"/>
  <c r="T2968" i="1"/>
  <c r="V2968" i="1" s="1"/>
  <c r="F2968" i="1"/>
  <c r="T2967" i="1"/>
  <c r="V2967" i="1" s="1"/>
  <c r="F2967" i="1"/>
  <c r="T2966" i="1"/>
  <c r="V2966" i="1" s="1"/>
  <c r="F2966" i="1"/>
  <c r="T2965" i="1"/>
  <c r="V2965" i="1" s="1"/>
  <c r="F2965" i="1"/>
  <c r="T2964" i="1"/>
  <c r="V2964" i="1" s="1"/>
  <c r="F2964" i="1"/>
  <c r="T2963" i="1"/>
  <c r="V2963" i="1" s="1"/>
  <c r="F2963" i="1"/>
  <c r="T2962" i="1"/>
  <c r="V2962" i="1" s="1"/>
  <c r="F2962" i="1"/>
  <c r="T2961" i="1"/>
  <c r="V2961" i="1" s="1"/>
  <c r="F2961" i="1"/>
  <c r="T2960" i="1"/>
  <c r="V2960" i="1" s="1"/>
  <c r="F2960" i="1"/>
  <c r="T2959" i="1"/>
  <c r="V2959" i="1" s="1"/>
  <c r="F2959" i="1"/>
  <c r="T2958" i="1"/>
  <c r="V2958" i="1" s="1"/>
  <c r="F2958" i="1"/>
  <c r="T2957" i="1"/>
  <c r="V2957" i="1" s="1"/>
  <c r="F2957" i="1"/>
  <c r="T2956" i="1"/>
  <c r="V2956" i="1" s="1"/>
  <c r="F2956" i="1"/>
  <c r="T2955" i="1"/>
  <c r="V2955" i="1" s="1"/>
  <c r="F2955" i="1"/>
  <c r="T2954" i="1"/>
  <c r="V2954" i="1" s="1"/>
  <c r="F2954" i="1"/>
  <c r="T2953" i="1"/>
  <c r="V2953" i="1" s="1"/>
  <c r="F2953" i="1"/>
  <c r="T2952" i="1"/>
  <c r="V2952" i="1" s="1"/>
  <c r="F2952" i="1"/>
  <c r="T2951" i="1"/>
  <c r="V2951" i="1" s="1"/>
  <c r="F2951" i="1"/>
  <c r="T2950" i="1"/>
  <c r="V2950" i="1" s="1"/>
  <c r="F2950" i="1"/>
  <c r="T2949" i="1"/>
  <c r="V2949" i="1" s="1"/>
  <c r="F2949" i="1"/>
  <c r="T2948" i="1"/>
  <c r="V2948" i="1" s="1"/>
  <c r="F2948" i="1"/>
  <c r="T2947" i="1"/>
  <c r="V2947" i="1" s="1"/>
  <c r="F2947" i="1"/>
  <c r="T2946" i="1"/>
  <c r="V2946" i="1" s="1"/>
  <c r="F2946" i="1"/>
  <c r="T2945" i="1"/>
  <c r="V2945" i="1" s="1"/>
  <c r="F2945" i="1"/>
  <c r="T2944" i="1"/>
  <c r="V2944" i="1" s="1"/>
  <c r="F2944" i="1"/>
  <c r="T2943" i="1"/>
  <c r="V2943" i="1" s="1"/>
  <c r="F2943" i="1"/>
  <c r="T2942" i="1"/>
  <c r="V2942" i="1" s="1"/>
  <c r="F2942" i="1"/>
  <c r="T2941" i="1"/>
  <c r="V2941" i="1" s="1"/>
  <c r="F2941" i="1"/>
  <c r="T2940" i="1"/>
  <c r="V2940" i="1" s="1"/>
  <c r="F2940" i="1"/>
  <c r="T2939" i="1"/>
  <c r="V2939" i="1" s="1"/>
  <c r="F2939" i="1"/>
  <c r="T2938" i="1"/>
  <c r="V2938" i="1" s="1"/>
  <c r="F2938" i="1"/>
  <c r="T2937" i="1"/>
  <c r="V2937" i="1" s="1"/>
  <c r="F2937" i="1"/>
  <c r="T2936" i="1"/>
  <c r="V2936" i="1" s="1"/>
  <c r="F2936" i="1"/>
  <c r="T2935" i="1"/>
  <c r="V2935" i="1" s="1"/>
  <c r="F2935" i="1"/>
  <c r="T2934" i="1"/>
  <c r="V2934" i="1" s="1"/>
  <c r="F2934" i="1"/>
  <c r="T2933" i="1"/>
  <c r="V2933" i="1" s="1"/>
  <c r="F2933" i="1"/>
  <c r="T2932" i="1"/>
  <c r="V2932" i="1" s="1"/>
  <c r="F2932" i="1"/>
  <c r="T2931" i="1"/>
  <c r="V2931" i="1" s="1"/>
  <c r="F2931" i="1"/>
  <c r="T2930" i="1"/>
  <c r="V2930" i="1" s="1"/>
  <c r="F2930" i="1"/>
  <c r="T2929" i="1"/>
  <c r="V2929" i="1" s="1"/>
  <c r="F2929" i="1"/>
  <c r="T2928" i="1"/>
  <c r="V2928" i="1" s="1"/>
  <c r="F2928" i="1"/>
  <c r="T2927" i="1"/>
  <c r="V2927" i="1" s="1"/>
  <c r="F2927" i="1"/>
  <c r="T2926" i="1"/>
  <c r="V2926" i="1" s="1"/>
  <c r="F2926" i="1"/>
  <c r="T2925" i="1"/>
  <c r="V2925" i="1" s="1"/>
  <c r="F2925" i="1"/>
  <c r="T2924" i="1"/>
  <c r="V2924" i="1" s="1"/>
  <c r="F2924" i="1"/>
  <c r="T2923" i="1"/>
  <c r="V2923" i="1" s="1"/>
  <c r="F2923" i="1"/>
  <c r="T2922" i="1"/>
  <c r="V2922" i="1" s="1"/>
  <c r="F2922" i="1"/>
  <c r="T2921" i="1"/>
  <c r="V2921" i="1" s="1"/>
  <c r="F2921" i="1"/>
  <c r="T2920" i="1"/>
  <c r="V2920" i="1" s="1"/>
  <c r="F2920" i="1"/>
  <c r="T2919" i="1"/>
  <c r="V2919" i="1" s="1"/>
  <c r="F2919" i="1"/>
  <c r="T2918" i="1"/>
  <c r="V2918" i="1" s="1"/>
  <c r="F2918" i="1"/>
  <c r="T2917" i="1"/>
  <c r="V2917" i="1" s="1"/>
  <c r="F2917" i="1"/>
  <c r="T2916" i="1"/>
  <c r="V2916" i="1" s="1"/>
  <c r="F2916" i="1"/>
  <c r="T2915" i="1"/>
  <c r="V2915" i="1" s="1"/>
  <c r="F2915" i="1"/>
  <c r="T2914" i="1"/>
  <c r="V2914" i="1" s="1"/>
  <c r="F2914" i="1"/>
  <c r="T2913" i="1"/>
  <c r="V2913" i="1" s="1"/>
  <c r="F2913" i="1"/>
  <c r="T2912" i="1"/>
  <c r="V2912" i="1" s="1"/>
  <c r="F2912" i="1"/>
  <c r="T2911" i="1"/>
  <c r="V2911" i="1" s="1"/>
  <c r="F2911" i="1"/>
  <c r="T2910" i="1"/>
  <c r="V2910" i="1" s="1"/>
  <c r="F2910" i="1"/>
  <c r="T2909" i="1"/>
  <c r="V2909" i="1" s="1"/>
  <c r="F2909" i="1"/>
  <c r="T2908" i="1"/>
  <c r="V2908" i="1" s="1"/>
  <c r="F2908" i="1"/>
  <c r="T2907" i="1"/>
  <c r="V2907" i="1" s="1"/>
  <c r="F2907" i="1"/>
  <c r="T2906" i="1"/>
  <c r="V2906" i="1" s="1"/>
  <c r="F2906" i="1"/>
  <c r="T2905" i="1"/>
  <c r="V2905" i="1" s="1"/>
  <c r="F2905" i="1"/>
  <c r="T2904" i="1"/>
  <c r="V2904" i="1" s="1"/>
  <c r="F2904" i="1"/>
  <c r="T2903" i="1"/>
  <c r="V2903" i="1" s="1"/>
  <c r="F2903" i="1"/>
  <c r="T2902" i="1"/>
  <c r="V2902" i="1" s="1"/>
  <c r="F2902" i="1"/>
  <c r="T2901" i="1"/>
  <c r="V2901" i="1" s="1"/>
  <c r="F2901" i="1"/>
  <c r="T2900" i="1"/>
  <c r="V2900" i="1" s="1"/>
  <c r="F2900" i="1"/>
  <c r="T2899" i="1"/>
  <c r="V2899" i="1" s="1"/>
  <c r="F2899" i="1"/>
  <c r="T2898" i="1"/>
  <c r="V2898" i="1" s="1"/>
  <c r="F2898" i="1"/>
  <c r="T2897" i="1"/>
  <c r="V2897" i="1" s="1"/>
  <c r="F2897" i="1"/>
  <c r="T2896" i="1"/>
  <c r="V2896" i="1" s="1"/>
  <c r="F2896" i="1"/>
  <c r="T2895" i="1"/>
  <c r="V2895" i="1" s="1"/>
  <c r="F2895" i="1"/>
  <c r="T2894" i="1"/>
  <c r="V2894" i="1" s="1"/>
  <c r="F2894" i="1"/>
  <c r="T2893" i="1"/>
  <c r="V2893" i="1" s="1"/>
  <c r="F2893" i="1"/>
  <c r="T2892" i="1"/>
  <c r="V2892" i="1" s="1"/>
  <c r="F2892" i="1"/>
  <c r="T2891" i="1"/>
  <c r="V2891" i="1" s="1"/>
  <c r="F2891" i="1"/>
  <c r="T2890" i="1"/>
  <c r="V2890" i="1" s="1"/>
  <c r="F2890" i="1"/>
  <c r="T2889" i="1"/>
  <c r="V2889" i="1" s="1"/>
  <c r="F2889" i="1"/>
  <c r="T2888" i="1"/>
  <c r="V2888" i="1" s="1"/>
  <c r="F2888" i="1"/>
  <c r="T2887" i="1"/>
  <c r="V2887" i="1" s="1"/>
  <c r="F2887" i="1"/>
  <c r="T2886" i="1"/>
  <c r="V2886" i="1" s="1"/>
  <c r="F2886" i="1"/>
  <c r="T2885" i="1"/>
  <c r="V2885" i="1" s="1"/>
  <c r="F2885" i="1"/>
  <c r="T2884" i="1"/>
  <c r="V2884" i="1" s="1"/>
  <c r="F2884" i="1"/>
  <c r="T2883" i="1"/>
  <c r="V2883" i="1" s="1"/>
  <c r="F2883" i="1"/>
  <c r="T2882" i="1"/>
  <c r="V2882" i="1" s="1"/>
  <c r="F2882" i="1"/>
  <c r="T2881" i="1"/>
  <c r="V2881" i="1" s="1"/>
  <c r="F2881" i="1"/>
  <c r="T2880" i="1"/>
  <c r="V2880" i="1" s="1"/>
  <c r="F2880" i="1"/>
  <c r="T2879" i="1"/>
  <c r="V2879" i="1" s="1"/>
  <c r="F2879" i="1"/>
  <c r="T2878" i="1"/>
  <c r="V2878" i="1" s="1"/>
  <c r="F2878" i="1"/>
  <c r="T2877" i="1"/>
  <c r="V2877" i="1" s="1"/>
  <c r="F2877" i="1"/>
  <c r="T2876" i="1"/>
  <c r="V2876" i="1" s="1"/>
  <c r="F2876" i="1"/>
  <c r="T2875" i="1"/>
  <c r="V2875" i="1" s="1"/>
  <c r="F2875" i="1"/>
  <c r="T2874" i="1"/>
  <c r="V2874" i="1" s="1"/>
  <c r="F2874" i="1"/>
  <c r="T2873" i="1"/>
  <c r="V2873" i="1" s="1"/>
  <c r="F2873" i="1"/>
  <c r="T2872" i="1"/>
  <c r="V2872" i="1" s="1"/>
  <c r="F2872" i="1"/>
  <c r="T2871" i="1"/>
  <c r="V2871" i="1" s="1"/>
  <c r="F2871" i="1"/>
  <c r="T2870" i="1"/>
  <c r="V2870" i="1" s="1"/>
  <c r="F2870" i="1"/>
  <c r="T2869" i="1"/>
  <c r="V2869" i="1" s="1"/>
  <c r="F2869" i="1"/>
  <c r="T2868" i="1"/>
  <c r="V2868" i="1" s="1"/>
  <c r="F2868" i="1"/>
  <c r="T2867" i="1"/>
  <c r="V2867" i="1" s="1"/>
  <c r="F2867" i="1"/>
  <c r="T2866" i="1"/>
  <c r="V2866" i="1" s="1"/>
  <c r="F2866" i="1"/>
  <c r="T2865" i="1"/>
  <c r="V2865" i="1" s="1"/>
  <c r="F2865" i="1"/>
  <c r="T2864" i="1"/>
  <c r="V2864" i="1" s="1"/>
  <c r="F2864" i="1"/>
  <c r="T2863" i="1"/>
  <c r="V2863" i="1" s="1"/>
  <c r="F2863" i="1"/>
  <c r="T2862" i="1"/>
  <c r="V2862" i="1" s="1"/>
  <c r="F2862" i="1"/>
  <c r="T2861" i="1"/>
  <c r="V2861" i="1" s="1"/>
  <c r="F2861" i="1"/>
  <c r="T2860" i="1"/>
  <c r="V2860" i="1" s="1"/>
  <c r="F2860" i="1"/>
  <c r="T2859" i="1"/>
  <c r="V2859" i="1" s="1"/>
  <c r="F2859" i="1"/>
  <c r="T2858" i="1"/>
  <c r="V2858" i="1" s="1"/>
  <c r="F2858" i="1"/>
  <c r="T2857" i="1"/>
  <c r="V2857" i="1" s="1"/>
  <c r="F2857" i="1"/>
  <c r="T2856" i="1"/>
  <c r="V2856" i="1" s="1"/>
  <c r="F2856" i="1"/>
  <c r="T2855" i="1"/>
  <c r="V2855" i="1" s="1"/>
  <c r="F2855" i="1"/>
  <c r="T2854" i="1"/>
  <c r="V2854" i="1" s="1"/>
  <c r="F2854" i="1"/>
  <c r="T2853" i="1"/>
  <c r="V2853" i="1" s="1"/>
  <c r="F2853" i="1"/>
  <c r="T2852" i="1"/>
  <c r="V2852" i="1" s="1"/>
  <c r="F2852" i="1"/>
  <c r="T2851" i="1"/>
  <c r="V2851" i="1" s="1"/>
  <c r="F2851" i="1"/>
  <c r="T2850" i="1"/>
  <c r="V2850" i="1" s="1"/>
  <c r="F2850" i="1"/>
  <c r="T2849" i="1"/>
  <c r="V2849" i="1" s="1"/>
  <c r="F2849" i="1"/>
  <c r="T2848" i="1"/>
  <c r="V2848" i="1" s="1"/>
  <c r="F2848" i="1"/>
  <c r="T2847" i="1"/>
  <c r="V2847" i="1" s="1"/>
  <c r="F2847" i="1"/>
  <c r="T2846" i="1"/>
  <c r="V2846" i="1" s="1"/>
  <c r="F2846" i="1"/>
  <c r="T2845" i="1"/>
  <c r="V2845" i="1" s="1"/>
  <c r="F2845" i="1"/>
  <c r="T2844" i="1"/>
  <c r="V2844" i="1" s="1"/>
  <c r="F2844" i="1"/>
  <c r="T2843" i="1"/>
  <c r="V2843" i="1" s="1"/>
  <c r="F2843" i="1"/>
  <c r="T2842" i="1"/>
  <c r="V2842" i="1" s="1"/>
  <c r="F2842" i="1"/>
  <c r="T2841" i="1"/>
  <c r="V2841" i="1" s="1"/>
  <c r="F2841" i="1"/>
  <c r="T2840" i="1"/>
  <c r="V2840" i="1" s="1"/>
  <c r="F2840" i="1"/>
  <c r="T2839" i="1"/>
  <c r="V2839" i="1" s="1"/>
  <c r="F2839" i="1"/>
  <c r="T2838" i="1"/>
  <c r="V2838" i="1" s="1"/>
  <c r="F2838" i="1"/>
  <c r="T2837" i="1"/>
  <c r="V2837" i="1" s="1"/>
  <c r="F2837" i="1"/>
  <c r="T2836" i="1"/>
  <c r="V2836" i="1" s="1"/>
  <c r="F2836" i="1"/>
  <c r="T2835" i="1"/>
  <c r="V2835" i="1" s="1"/>
  <c r="F2835" i="1"/>
  <c r="T2834" i="1"/>
  <c r="V2834" i="1" s="1"/>
  <c r="F2834" i="1"/>
  <c r="T2833" i="1"/>
  <c r="V2833" i="1" s="1"/>
  <c r="F2833" i="1"/>
  <c r="T2832" i="1"/>
  <c r="V2832" i="1" s="1"/>
  <c r="F2832" i="1"/>
  <c r="T2831" i="1"/>
  <c r="V2831" i="1" s="1"/>
  <c r="F2831" i="1"/>
  <c r="T2830" i="1"/>
  <c r="V2830" i="1" s="1"/>
  <c r="F2830" i="1"/>
  <c r="T2829" i="1"/>
  <c r="V2829" i="1" s="1"/>
  <c r="F2829" i="1"/>
  <c r="T2828" i="1"/>
  <c r="V2828" i="1" s="1"/>
  <c r="F2828" i="1"/>
  <c r="T2827" i="1"/>
  <c r="V2827" i="1" s="1"/>
  <c r="F2827" i="1"/>
  <c r="T2826" i="1"/>
  <c r="V2826" i="1" s="1"/>
  <c r="F2826" i="1"/>
  <c r="T2825" i="1"/>
  <c r="V2825" i="1" s="1"/>
  <c r="F2825" i="1"/>
  <c r="T2824" i="1"/>
  <c r="V2824" i="1" s="1"/>
  <c r="F2824" i="1"/>
  <c r="T2823" i="1"/>
  <c r="V2823" i="1" s="1"/>
  <c r="F2823" i="1"/>
  <c r="T2822" i="1"/>
  <c r="V2822" i="1" s="1"/>
  <c r="F2822" i="1"/>
  <c r="T2821" i="1"/>
  <c r="V2821" i="1" s="1"/>
  <c r="F2821" i="1"/>
  <c r="T2820" i="1"/>
  <c r="V2820" i="1" s="1"/>
  <c r="F2820" i="1"/>
  <c r="T2819" i="1"/>
  <c r="V2819" i="1" s="1"/>
  <c r="F2819" i="1"/>
  <c r="T2818" i="1"/>
  <c r="V2818" i="1" s="1"/>
  <c r="F2818" i="1"/>
  <c r="T2817" i="1"/>
  <c r="V2817" i="1" s="1"/>
  <c r="F2817" i="1"/>
  <c r="T2816" i="1"/>
  <c r="V2816" i="1" s="1"/>
  <c r="F2816" i="1"/>
  <c r="T2815" i="1"/>
  <c r="V2815" i="1" s="1"/>
  <c r="F2815" i="1"/>
  <c r="T2814" i="1"/>
  <c r="V2814" i="1" s="1"/>
  <c r="F2814" i="1"/>
  <c r="T2813" i="1"/>
  <c r="V2813" i="1" s="1"/>
  <c r="F2813" i="1"/>
  <c r="T2812" i="1"/>
  <c r="V2812" i="1" s="1"/>
  <c r="F2812" i="1"/>
  <c r="T2811" i="1"/>
  <c r="V2811" i="1" s="1"/>
  <c r="F2811" i="1"/>
  <c r="T2810" i="1"/>
  <c r="V2810" i="1" s="1"/>
  <c r="F2810" i="1"/>
  <c r="T2809" i="1"/>
  <c r="V2809" i="1" s="1"/>
  <c r="F2809" i="1"/>
  <c r="T2808" i="1"/>
  <c r="V2808" i="1" s="1"/>
  <c r="F2808" i="1"/>
  <c r="T2807" i="1"/>
  <c r="V2807" i="1" s="1"/>
  <c r="F2807" i="1"/>
  <c r="T2806" i="1"/>
  <c r="V2806" i="1" s="1"/>
  <c r="F2806" i="1"/>
  <c r="T2805" i="1"/>
  <c r="V2805" i="1" s="1"/>
  <c r="F2805" i="1"/>
  <c r="T2804" i="1"/>
  <c r="V2804" i="1" s="1"/>
  <c r="F2804" i="1"/>
  <c r="T2803" i="1"/>
  <c r="V2803" i="1" s="1"/>
  <c r="F2803" i="1"/>
  <c r="T2802" i="1"/>
  <c r="V2802" i="1" s="1"/>
  <c r="F2802" i="1"/>
  <c r="T2801" i="1"/>
  <c r="V2801" i="1" s="1"/>
  <c r="F2801" i="1"/>
  <c r="T2800" i="1"/>
  <c r="V2800" i="1" s="1"/>
  <c r="F2800" i="1"/>
  <c r="T2799" i="1"/>
  <c r="V2799" i="1" s="1"/>
  <c r="F2799" i="1"/>
  <c r="T2798" i="1"/>
  <c r="V2798" i="1" s="1"/>
  <c r="F2798" i="1"/>
  <c r="T2797" i="1"/>
  <c r="V2797" i="1" s="1"/>
  <c r="F2797" i="1"/>
  <c r="T2796" i="1"/>
  <c r="V2796" i="1" s="1"/>
  <c r="F2796" i="1"/>
  <c r="T2795" i="1"/>
  <c r="V2795" i="1" s="1"/>
  <c r="F2795" i="1"/>
  <c r="T2794" i="1"/>
  <c r="V2794" i="1" s="1"/>
  <c r="F2794" i="1"/>
  <c r="T2793" i="1"/>
  <c r="V2793" i="1" s="1"/>
  <c r="F2793" i="1"/>
  <c r="T2792" i="1"/>
  <c r="V2792" i="1" s="1"/>
  <c r="F2792" i="1"/>
  <c r="T2791" i="1"/>
  <c r="V2791" i="1" s="1"/>
  <c r="F2791" i="1"/>
  <c r="T2790" i="1"/>
  <c r="V2790" i="1" s="1"/>
  <c r="F2790" i="1"/>
  <c r="T2789" i="1"/>
  <c r="V2789" i="1" s="1"/>
  <c r="F2789" i="1"/>
  <c r="T2788" i="1"/>
  <c r="V2788" i="1" s="1"/>
  <c r="F2788" i="1"/>
  <c r="T2787" i="1"/>
  <c r="V2787" i="1" s="1"/>
  <c r="F2787" i="1"/>
  <c r="T2786" i="1"/>
  <c r="V2786" i="1" s="1"/>
  <c r="F2786" i="1"/>
  <c r="T2785" i="1"/>
  <c r="V2785" i="1" s="1"/>
  <c r="F2785" i="1"/>
  <c r="T2784" i="1"/>
  <c r="V2784" i="1" s="1"/>
  <c r="F2784" i="1"/>
  <c r="T2783" i="1"/>
  <c r="V2783" i="1" s="1"/>
  <c r="F2783" i="1"/>
  <c r="T2782" i="1"/>
  <c r="V2782" i="1" s="1"/>
  <c r="F2782" i="1"/>
  <c r="T2781" i="1"/>
  <c r="V2781" i="1" s="1"/>
  <c r="F2781" i="1"/>
  <c r="T2780" i="1"/>
  <c r="V2780" i="1" s="1"/>
  <c r="F2780" i="1"/>
  <c r="T2779" i="1"/>
  <c r="V2779" i="1" s="1"/>
  <c r="F2779" i="1"/>
  <c r="T2778" i="1"/>
  <c r="V2778" i="1" s="1"/>
  <c r="F2778" i="1"/>
  <c r="T2777" i="1"/>
  <c r="V2777" i="1" s="1"/>
  <c r="F2777" i="1"/>
  <c r="T2776" i="1"/>
  <c r="V2776" i="1" s="1"/>
  <c r="F2776" i="1"/>
  <c r="T2775" i="1"/>
  <c r="V2775" i="1" s="1"/>
  <c r="F2775" i="1"/>
  <c r="T2774" i="1"/>
  <c r="V2774" i="1" s="1"/>
  <c r="F2774" i="1"/>
  <c r="T2773" i="1"/>
  <c r="V2773" i="1" s="1"/>
  <c r="F2773" i="1"/>
  <c r="T2772" i="1"/>
  <c r="V2772" i="1" s="1"/>
  <c r="F2772" i="1"/>
  <c r="T2771" i="1"/>
  <c r="V2771" i="1" s="1"/>
  <c r="F2771" i="1"/>
  <c r="T2770" i="1"/>
  <c r="V2770" i="1" s="1"/>
  <c r="F2770" i="1"/>
  <c r="T2769" i="1"/>
  <c r="V2769" i="1" s="1"/>
  <c r="F2769" i="1"/>
  <c r="T2768" i="1"/>
  <c r="V2768" i="1" s="1"/>
  <c r="F2768" i="1"/>
  <c r="T2767" i="1"/>
  <c r="V2767" i="1" s="1"/>
  <c r="F2767" i="1"/>
  <c r="T2766" i="1"/>
  <c r="V2766" i="1" s="1"/>
  <c r="F2766" i="1"/>
  <c r="T2765" i="1"/>
  <c r="V2765" i="1" s="1"/>
  <c r="F2765" i="1"/>
  <c r="T2764" i="1"/>
  <c r="V2764" i="1" s="1"/>
  <c r="F2764" i="1"/>
  <c r="T2763" i="1"/>
  <c r="V2763" i="1" s="1"/>
  <c r="F2763" i="1"/>
  <c r="T2762" i="1"/>
  <c r="V2762" i="1" s="1"/>
  <c r="F2762" i="1"/>
  <c r="T2761" i="1"/>
  <c r="V2761" i="1" s="1"/>
  <c r="F2761" i="1"/>
  <c r="T2760" i="1"/>
  <c r="V2760" i="1" s="1"/>
  <c r="F2760" i="1"/>
  <c r="T2759" i="1"/>
  <c r="V2759" i="1" s="1"/>
  <c r="F2759" i="1"/>
  <c r="T2758" i="1"/>
  <c r="V2758" i="1" s="1"/>
  <c r="F2758" i="1"/>
  <c r="T2757" i="1"/>
  <c r="V2757" i="1" s="1"/>
  <c r="F2757" i="1"/>
  <c r="T2756" i="1"/>
  <c r="V2756" i="1" s="1"/>
  <c r="F2756" i="1"/>
  <c r="T2755" i="1"/>
  <c r="V2755" i="1" s="1"/>
  <c r="F2755" i="1"/>
  <c r="T2754" i="1"/>
  <c r="V2754" i="1" s="1"/>
  <c r="F2754" i="1"/>
  <c r="T2753" i="1"/>
  <c r="V2753" i="1" s="1"/>
  <c r="F2753" i="1"/>
  <c r="T2752" i="1"/>
  <c r="V2752" i="1" s="1"/>
  <c r="F2752" i="1"/>
  <c r="T2751" i="1"/>
  <c r="V2751" i="1" s="1"/>
  <c r="F2751" i="1"/>
  <c r="T2750" i="1"/>
  <c r="V2750" i="1" s="1"/>
  <c r="F2750" i="1"/>
  <c r="T2749" i="1"/>
  <c r="V2749" i="1" s="1"/>
  <c r="F2749" i="1"/>
  <c r="T2748" i="1"/>
  <c r="V2748" i="1" s="1"/>
  <c r="F2748" i="1"/>
  <c r="T2747" i="1"/>
  <c r="V2747" i="1" s="1"/>
  <c r="F2747" i="1"/>
  <c r="T2746" i="1"/>
  <c r="V2746" i="1" s="1"/>
  <c r="F2746" i="1"/>
  <c r="T2745" i="1"/>
  <c r="V2745" i="1" s="1"/>
  <c r="F2745" i="1"/>
  <c r="T2744" i="1"/>
  <c r="V2744" i="1" s="1"/>
  <c r="F2744" i="1"/>
  <c r="T2743" i="1"/>
  <c r="V2743" i="1" s="1"/>
  <c r="F2743" i="1"/>
  <c r="T2742" i="1"/>
  <c r="V2742" i="1" s="1"/>
  <c r="F2742" i="1"/>
  <c r="T2741" i="1"/>
  <c r="V2741" i="1" s="1"/>
  <c r="F2741" i="1"/>
  <c r="T2740" i="1"/>
  <c r="V2740" i="1" s="1"/>
  <c r="F2740" i="1"/>
  <c r="T2739" i="1"/>
  <c r="V2739" i="1" s="1"/>
  <c r="F2739" i="1"/>
  <c r="T2738" i="1"/>
  <c r="V2738" i="1" s="1"/>
  <c r="F2738" i="1"/>
  <c r="T2737" i="1"/>
  <c r="V2737" i="1" s="1"/>
  <c r="F2737" i="1"/>
  <c r="T2736" i="1"/>
  <c r="V2736" i="1" s="1"/>
  <c r="F2736" i="1"/>
  <c r="T2735" i="1"/>
  <c r="V2735" i="1" s="1"/>
  <c r="F2735" i="1"/>
  <c r="T2734" i="1"/>
  <c r="V2734" i="1" s="1"/>
  <c r="F2734" i="1"/>
  <c r="T2733" i="1"/>
  <c r="V2733" i="1" s="1"/>
  <c r="F2733" i="1"/>
  <c r="T2732" i="1"/>
  <c r="V2732" i="1" s="1"/>
  <c r="F2732" i="1"/>
  <c r="T2731" i="1"/>
  <c r="V2731" i="1" s="1"/>
  <c r="F2731" i="1"/>
  <c r="T2730" i="1"/>
  <c r="V2730" i="1" s="1"/>
  <c r="F2730" i="1"/>
  <c r="T2729" i="1"/>
  <c r="V2729" i="1" s="1"/>
  <c r="F2729" i="1"/>
  <c r="T2728" i="1"/>
  <c r="V2728" i="1" s="1"/>
  <c r="F2728" i="1"/>
  <c r="T2727" i="1"/>
  <c r="V2727" i="1" s="1"/>
  <c r="F2727" i="1"/>
  <c r="T2726" i="1"/>
  <c r="V2726" i="1" s="1"/>
  <c r="F2726" i="1"/>
  <c r="T2725" i="1"/>
  <c r="V2725" i="1" s="1"/>
  <c r="F2725" i="1"/>
  <c r="T2724" i="1"/>
  <c r="V2724" i="1" s="1"/>
  <c r="F2724" i="1"/>
  <c r="T2723" i="1"/>
  <c r="V2723" i="1" s="1"/>
  <c r="F2723" i="1"/>
  <c r="T2722" i="1"/>
  <c r="V2722" i="1" s="1"/>
  <c r="F2722" i="1"/>
  <c r="T2721" i="1"/>
  <c r="V2721" i="1" s="1"/>
  <c r="F2721" i="1"/>
  <c r="T2720" i="1"/>
  <c r="V2720" i="1" s="1"/>
  <c r="F2720" i="1"/>
  <c r="T2719" i="1"/>
  <c r="V2719" i="1" s="1"/>
  <c r="F2719" i="1"/>
  <c r="T2718" i="1"/>
  <c r="V2718" i="1" s="1"/>
  <c r="F2718" i="1"/>
  <c r="T2717" i="1"/>
  <c r="V2717" i="1" s="1"/>
  <c r="F2717" i="1"/>
  <c r="T2716" i="1"/>
  <c r="V2716" i="1" s="1"/>
  <c r="F2716" i="1"/>
  <c r="T2715" i="1"/>
  <c r="V2715" i="1" s="1"/>
  <c r="F2715" i="1"/>
  <c r="T2714" i="1"/>
  <c r="V2714" i="1" s="1"/>
  <c r="F2714" i="1"/>
  <c r="T2713" i="1"/>
  <c r="V2713" i="1" s="1"/>
  <c r="F2713" i="1"/>
  <c r="T2712" i="1"/>
  <c r="V2712" i="1" s="1"/>
  <c r="F2712" i="1"/>
  <c r="T2711" i="1"/>
  <c r="V2711" i="1" s="1"/>
  <c r="F2711" i="1"/>
  <c r="T2710" i="1"/>
  <c r="V2710" i="1" s="1"/>
  <c r="F2710" i="1"/>
  <c r="T2709" i="1"/>
  <c r="V2709" i="1" s="1"/>
  <c r="F2709" i="1"/>
  <c r="T2708" i="1"/>
  <c r="V2708" i="1" s="1"/>
  <c r="F2708" i="1"/>
  <c r="T2707" i="1"/>
  <c r="V2707" i="1" s="1"/>
  <c r="F2707" i="1"/>
  <c r="T2706" i="1"/>
  <c r="V2706" i="1" s="1"/>
  <c r="F2706" i="1"/>
  <c r="T2705" i="1"/>
  <c r="V2705" i="1" s="1"/>
  <c r="F2705" i="1"/>
  <c r="T2704" i="1"/>
  <c r="V2704" i="1" s="1"/>
  <c r="F2704" i="1"/>
  <c r="T2703" i="1"/>
  <c r="V2703" i="1" s="1"/>
  <c r="F2703" i="1"/>
  <c r="T2702" i="1"/>
  <c r="V2702" i="1" s="1"/>
  <c r="F2702" i="1"/>
  <c r="T2701" i="1"/>
  <c r="V2701" i="1" s="1"/>
  <c r="F2701" i="1"/>
  <c r="T2700" i="1"/>
  <c r="V2700" i="1" s="1"/>
  <c r="F2700" i="1"/>
  <c r="T2699" i="1"/>
  <c r="V2699" i="1" s="1"/>
  <c r="F2699" i="1"/>
  <c r="T2698" i="1"/>
  <c r="V2698" i="1" s="1"/>
  <c r="F2698" i="1"/>
  <c r="T2697" i="1"/>
  <c r="V2697" i="1" s="1"/>
  <c r="F2697" i="1"/>
  <c r="T2696" i="1"/>
  <c r="V2696" i="1" s="1"/>
  <c r="F2696" i="1"/>
  <c r="T2695" i="1"/>
  <c r="V2695" i="1" s="1"/>
  <c r="F2695" i="1"/>
  <c r="T2694" i="1"/>
  <c r="V2694" i="1" s="1"/>
  <c r="F2694" i="1"/>
  <c r="T2693" i="1"/>
  <c r="V2693" i="1" s="1"/>
  <c r="F2693" i="1"/>
  <c r="T2692" i="1"/>
  <c r="V2692" i="1" s="1"/>
  <c r="F2692" i="1"/>
  <c r="T2691" i="1"/>
  <c r="V2691" i="1" s="1"/>
  <c r="F2691" i="1"/>
  <c r="T2690" i="1"/>
  <c r="V2690" i="1" s="1"/>
  <c r="F2690" i="1"/>
  <c r="T2689" i="1"/>
  <c r="V2689" i="1" s="1"/>
  <c r="F2689" i="1"/>
  <c r="T2688" i="1"/>
  <c r="V2688" i="1" s="1"/>
  <c r="F2688" i="1"/>
  <c r="T2687" i="1"/>
  <c r="V2687" i="1" s="1"/>
  <c r="F2687" i="1"/>
  <c r="T2686" i="1"/>
  <c r="V2686" i="1" s="1"/>
  <c r="F2686" i="1"/>
  <c r="T2685" i="1"/>
  <c r="V2685" i="1" s="1"/>
  <c r="F2685" i="1"/>
  <c r="T2684" i="1"/>
  <c r="V2684" i="1" s="1"/>
  <c r="F2684" i="1"/>
  <c r="T2683" i="1"/>
  <c r="V2683" i="1" s="1"/>
  <c r="F2683" i="1"/>
  <c r="T2682" i="1"/>
  <c r="V2682" i="1" s="1"/>
  <c r="F2682" i="1"/>
  <c r="T2681" i="1"/>
  <c r="V2681" i="1" s="1"/>
  <c r="F2681" i="1"/>
  <c r="T2680" i="1"/>
  <c r="V2680" i="1" s="1"/>
  <c r="F2680" i="1"/>
  <c r="T2679" i="1"/>
  <c r="V2679" i="1" s="1"/>
  <c r="F2679" i="1"/>
  <c r="T2678" i="1"/>
  <c r="V2678" i="1" s="1"/>
  <c r="F2678" i="1"/>
  <c r="T2677" i="1"/>
  <c r="V2677" i="1" s="1"/>
  <c r="F2677" i="1"/>
  <c r="T2676" i="1"/>
  <c r="V2676" i="1" s="1"/>
  <c r="F2676" i="1"/>
  <c r="T2675" i="1"/>
  <c r="V2675" i="1" s="1"/>
  <c r="F2675" i="1"/>
  <c r="T2674" i="1"/>
  <c r="V2674" i="1" s="1"/>
  <c r="F2674" i="1"/>
  <c r="T2673" i="1"/>
  <c r="V2673" i="1" s="1"/>
  <c r="F2673" i="1"/>
  <c r="T2672" i="1"/>
  <c r="V2672" i="1" s="1"/>
  <c r="F2672" i="1"/>
  <c r="T2671" i="1"/>
  <c r="V2671" i="1" s="1"/>
  <c r="F2671" i="1"/>
  <c r="T2670" i="1"/>
  <c r="V2670" i="1" s="1"/>
  <c r="F2670" i="1"/>
  <c r="T2669" i="1"/>
  <c r="V2669" i="1" s="1"/>
  <c r="F2669" i="1"/>
  <c r="T2668" i="1"/>
  <c r="V2668" i="1" s="1"/>
  <c r="F2668" i="1"/>
  <c r="T2667" i="1"/>
  <c r="V2667" i="1" s="1"/>
  <c r="F2667" i="1"/>
  <c r="T2666" i="1"/>
  <c r="V2666" i="1" s="1"/>
  <c r="F2666" i="1"/>
  <c r="T2665" i="1"/>
  <c r="V2665" i="1" s="1"/>
  <c r="F2665" i="1"/>
  <c r="T2664" i="1"/>
  <c r="V2664" i="1" s="1"/>
  <c r="F2664" i="1"/>
  <c r="T2663" i="1"/>
  <c r="V2663" i="1" s="1"/>
  <c r="F2663" i="1"/>
  <c r="T2662" i="1"/>
  <c r="V2662" i="1" s="1"/>
  <c r="F2662" i="1"/>
  <c r="T2661" i="1"/>
  <c r="V2661" i="1" s="1"/>
  <c r="F2661" i="1"/>
  <c r="T2660" i="1"/>
  <c r="V2660" i="1" s="1"/>
  <c r="F2660" i="1"/>
  <c r="T2659" i="1"/>
  <c r="V2659" i="1" s="1"/>
  <c r="F2659" i="1"/>
  <c r="T2658" i="1"/>
  <c r="V2658" i="1" s="1"/>
  <c r="F2658" i="1"/>
  <c r="T2657" i="1"/>
  <c r="V2657" i="1" s="1"/>
  <c r="F2657" i="1"/>
  <c r="T2656" i="1"/>
  <c r="V2656" i="1" s="1"/>
  <c r="F2656" i="1"/>
  <c r="T2655" i="1"/>
  <c r="V2655" i="1" s="1"/>
  <c r="F2655" i="1"/>
  <c r="T2654" i="1"/>
  <c r="V2654" i="1" s="1"/>
  <c r="F2654" i="1"/>
  <c r="T2653" i="1"/>
  <c r="V2653" i="1" s="1"/>
  <c r="F2653" i="1"/>
  <c r="T2652" i="1"/>
  <c r="V2652" i="1" s="1"/>
  <c r="F2652" i="1"/>
  <c r="T2651" i="1"/>
  <c r="V2651" i="1" s="1"/>
  <c r="F2651" i="1"/>
  <c r="T2650" i="1"/>
  <c r="V2650" i="1" s="1"/>
  <c r="F2650" i="1"/>
  <c r="T2649" i="1"/>
  <c r="V2649" i="1" s="1"/>
  <c r="F2649" i="1"/>
  <c r="T2648" i="1"/>
  <c r="V2648" i="1" s="1"/>
  <c r="F2648" i="1"/>
  <c r="T2647" i="1"/>
  <c r="V2647" i="1" s="1"/>
  <c r="F2647" i="1"/>
  <c r="T2646" i="1"/>
  <c r="V2646" i="1" s="1"/>
  <c r="F2646" i="1"/>
  <c r="T2645" i="1"/>
  <c r="V2645" i="1" s="1"/>
  <c r="F2645" i="1"/>
  <c r="T2644" i="1"/>
  <c r="V2644" i="1" s="1"/>
  <c r="F2644" i="1"/>
  <c r="T2643" i="1"/>
  <c r="V2643" i="1" s="1"/>
  <c r="F2643" i="1"/>
  <c r="T2642" i="1"/>
  <c r="V2642" i="1" s="1"/>
  <c r="F2642" i="1"/>
  <c r="T2641" i="1"/>
  <c r="V2641" i="1" s="1"/>
  <c r="F2641" i="1"/>
  <c r="T2640" i="1"/>
  <c r="V2640" i="1" s="1"/>
  <c r="F2640" i="1"/>
  <c r="T2639" i="1"/>
  <c r="V2639" i="1" s="1"/>
  <c r="F2639" i="1"/>
  <c r="T2638" i="1"/>
  <c r="V2638" i="1" s="1"/>
  <c r="F2638" i="1"/>
  <c r="T2637" i="1"/>
  <c r="V2637" i="1" s="1"/>
  <c r="F2637" i="1"/>
  <c r="T2636" i="1"/>
  <c r="V2636" i="1" s="1"/>
  <c r="F2636" i="1"/>
  <c r="T2635" i="1"/>
  <c r="V2635" i="1" s="1"/>
  <c r="F2635" i="1"/>
  <c r="T2634" i="1"/>
  <c r="V2634" i="1" s="1"/>
  <c r="F2634" i="1"/>
  <c r="T2633" i="1"/>
  <c r="V2633" i="1" s="1"/>
  <c r="F2633" i="1"/>
  <c r="T2632" i="1"/>
  <c r="V2632" i="1" s="1"/>
  <c r="F2632" i="1"/>
  <c r="T2631" i="1"/>
  <c r="V2631" i="1" s="1"/>
  <c r="F2631" i="1"/>
  <c r="T2630" i="1"/>
  <c r="V2630" i="1" s="1"/>
  <c r="F2630" i="1"/>
  <c r="T2629" i="1"/>
  <c r="V2629" i="1" s="1"/>
  <c r="F2629" i="1"/>
  <c r="T2628" i="1"/>
  <c r="V2628" i="1" s="1"/>
  <c r="F2628" i="1"/>
  <c r="T2627" i="1"/>
  <c r="V2627" i="1" s="1"/>
  <c r="F2627" i="1"/>
  <c r="T2626" i="1"/>
  <c r="V2626" i="1" s="1"/>
  <c r="F2626" i="1"/>
  <c r="T2625" i="1"/>
  <c r="V2625" i="1" s="1"/>
  <c r="F2625" i="1"/>
  <c r="T2624" i="1"/>
  <c r="V2624" i="1" s="1"/>
  <c r="F2624" i="1"/>
  <c r="T2623" i="1"/>
  <c r="V2623" i="1" s="1"/>
  <c r="F2623" i="1"/>
  <c r="T2622" i="1"/>
  <c r="V2622" i="1" s="1"/>
  <c r="F2622" i="1"/>
  <c r="T2621" i="1"/>
  <c r="V2621" i="1" s="1"/>
  <c r="F2621" i="1"/>
  <c r="T2620" i="1"/>
  <c r="V2620" i="1" s="1"/>
  <c r="F2620" i="1"/>
  <c r="T2619" i="1"/>
  <c r="V2619" i="1" s="1"/>
  <c r="F2619" i="1"/>
  <c r="T2618" i="1"/>
  <c r="V2618" i="1" s="1"/>
  <c r="F2618" i="1"/>
  <c r="T2617" i="1"/>
  <c r="V2617" i="1" s="1"/>
  <c r="F2617" i="1"/>
  <c r="T2616" i="1"/>
  <c r="V2616" i="1" s="1"/>
  <c r="F2616" i="1"/>
  <c r="T2615" i="1"/>
  <c r="V2615" i="1" s="1"/>
  <c r="F2615" i="1"/>
  <c r="T2614" i="1"/>
  <c r="V2614" i="1" s="1"/>
  <c r="F2614" i="1"/>
  <c r="T2613" i="1"/>
  <c r="V2613" i="1" s="1"/>
  <c r="F2613" i="1"/>
  <c r="T2612" i="1"/>
  <c r="V2612" i="1" s="1"/>
  <c r="F2612" i="1"/>
  <c r="T2611" i="1"/>
  <c r="V2611" i="1" s="1"/>
  <c r="F2611" i="1"/>
  <c r="T2610" i="1"/>
  <c r="V2610" i="1" s="1"/>
  <c r="F2610" i="1"/>
  <c r="T2609" i="1"/>
  <c r="V2609" i="1" s="1"/>
  <c r="F2609" i="1"/>
  <c r="T2608" i="1"/>
  <c r="V2608" i="1" s="1"/>
  <c r="F2608" i="1"/>
  <c r="T2607" i="1"/>
  <c r="V2607" i="1" s="1"/>
  <c r="F2607" i="1"/>
  <c r="T2606" i="1"/>
  <c r="V2606" i="1" s="1"/>
  <c r="F2606" i="1"/>
  <c r="T2605" i="1"/>
  <c r="V2605" i="1" s="1"/>
  <c r="F2605" i="1"/>
  <c r="T2604" i="1"/>
  <c r="V2604" i="1" s="1"/>
  <c r="F2604" i="1"/>
  <c r="T2603" i="1"/>
  <c r="V2603" i="1" s="1"/>
  <c r="F2603" i="1"/>
  <c r="T2602" i="1"/>
  <c r="V2602" i="1" s="1"/>
  <c r="F2602" i="1"/>
  <c r="T2601" i="1"/>
  <c r="V2601" i="1" s="1"/>
  <c r="F2601" i="1"/>
  <c r="T2600" i="1"/>
  <c r="V2600" i="1" s="1"/>
  <c r="F2600" i="1"/>
  <c r="T2599" i="1"/>
  <c r="V2599" i="1" s="1"/>
  <c r="F2599" i="1"/>
  <c r="T2598" i="1"/>
  <c r="V2598" i="1" s="1"/>
  <c r="F2598" i="1"/>
  <c r="T2597" i="1"/>
  <c r="V2597" i="1" s="1"/>
  <c r="F2597" i="1"/>
  <c r="T2596" i="1"/>
  <c r="V2596" i="1" s="1"/>
  <c r="F2596" i="1"/>
  <c r="T2595" i="1"/>
  <c r="V2595" i="1" s="1"/>
  <c r="F2595" i="1"/>
  <c r="T2594" i="1"/>
  <c r="V2594" i="1" s="1"/>
  <c r="F2594" i="1"/>
  <c r="T2593" i="1"/>
  <c r="V2593" i="1" s="1"/>
  <c r="F2593" i="1"/>
  <c r="T2592" i="1"/>
  <c r="V2592" i="1" s="1"/>
  <c r="F2592" i="1"/>
  <c r="T2591" i="1"/>
  <c r="V2591" i="1" s="1"/>
  <c r="F2591" i="1"/>
  <c r="T2590" i="1"/>
  <c r="V2590" i="1" s="1"/>
  <c r="F2590" i="1"/>
  <c r="T2589" i="1"/>
  <c r="V2589" i="1" s="1"/>
  <c r="F2589" i="1"/>
  <c r="T2588" i="1"/>
  <c r="V2588" i="1" s="1"/>
  <c r="F2588" i="1"/>
  <c r="T2587" i="1"/>
  <c r="V2587" i="1" s="1"/>
  <c r="F2587" i="1"/>
  <c r="T2586" i="1"/>
  <c r="V2586" i="1" s="1"/>
  <c r="F2586" i="1"/>
  <c r="T2585" i="1"/>
  <c r="V2585" i="1" s="1"/>
  <c r="F2585" i="1"/>
  <c r="T2584" i="1"/>
  <c r="V2584" i="1" s="1"/>
  <c r="F2584" i="1"/>
  <c r="T2583" i="1"/>
  <c r="V2583" i="1" s="1"/>
  <c r="F2583" i="1"/>
  <c r="T2582" i="1"/>
  <c r="V2582" i="1" s="1"/>
  <c r="F2582" i="1"/>
  <c r="T2581" i="1"/>
  <c r="V2581" i="1" s="1"/>
  <c r="F2581" i="1"/>
  <c r="T2580" i="1"/>
  <c r="V2580" i="1" s="1"/>
  <c r="F2580" i="1"/>
  <c r="T2579" i="1"/>
  <c r="V2579" i="1" s="1"/>
  <c r="F2579" i="1"/>
  <c r="T2578" i="1"/>
  <c r="V2578" i="1" s="1"/>
  <c r="F2578" i="1"/>
  <c r="T2577" i="1"/>
  <c r="V2577" i="1" s="1"/>
  <c r="F2577" i="1"/>
  <c r="T2576" i="1"/>
  <c r="V2576" i="1" s="1"/>
  <c r="F2576" i="1"/>
  <c r="T2575" i="1"/>
  <c r="V2575" i="1" s="1"/>
  <c r="F2575" i="1"/>
  <c r="T2574" i="1"/>
  <c r="V2574" i="1" s="1"/>
  <c r="F2574" i="1"/>
  <c r="T2573" i="1"/>
  <c r="V2573" i="1" s="1"/>
  <c r="F2573" i="1"/>
  <c r="T2572" i="1"/>
  <c r="V2572" i="1" s="1"/>
  <c r="F2572" i="1"/>
  <c r="T2571" i="1"/>
  <c r="V2571" i="1" s="1"/>
  <c r="F2571" i="1"/>
  <c r="T2570" i="1"/>
  <c r="V2570" i="1" s="1"/>
  <c r="F2570" i="1"/>
  <c r="T2569" i="1"/>
  <c r="V2569" i="1" s="1"/>
  <c r="F2569" i="1"/>
  <c r="T2568" i="1"/>
  <c r="V2568" i="1" s="1"/>
  <c r="F2568" i="1"/>
  <c r="T2567" i="1"/>
  <c r="V2567" i="1" s="1"/>
  <c r="F2567" i="1"/>
  <c r="T2566" i="1"/>
  <c r="V2566" i="1" s="1"/>
  <c r="F2566" i="1"/>
  <c r="T2565" i="1"/>
  <c r="V2565" i="1" s="1"/>
  <c r="F2565" i="1"/>
  <c r="T2564" i="1"/>
  <c r="V2564" i="1" s="1"/>
  <c r="F2564" i="1"/>
  <c r="T2563" i="1"/>
  <c r="V2563" i="1" s="1"/>
  <c r="F2563" i="1"/>
  <c r="T2562" i="1"/>
  <c r="V2562" i="1" s="1"/>
  <c r="F2562" i="1"/>
  <c r="T2561" i="1"/>
  <c r="V2561" i="1" s="1"/>
  <c r="F2561" i="1"/>
  <c r="T2560" i="1"/>
  <c r="V2560" i="1" s="1"/>
  <c r="F2560" i="1"/>
  <c r="T2559" i="1"/>
  <c r="V2559" i="1" s="1"/>
  <c r="F2559" i="1"/>
  <c r="T2558" i="1"/>
  <c r="V2558" i="1" s="1"/>
  <c r="F2558" i="1"/>
  <c r="T2557" i="1"/>
  <c r="V2557" i="1" s="1"/>
  <c r="F2557" i="1"/>
  <c r="T2556" i="1"/>
  <c r="V2556" i="1" s="1"/>
  <c r="F2556" i="1"/>
  <c r="T2555" i="1"/>
  <c r="V2555" i="1" s="1"/>
  <c r="F2555" i="1"/>
  <c r="T2554" i="1"/>
  <c r="V2554" i="1" s="1"/>
  <c r="F2554" i="1"/>
  <c r="T2553" i="1"/>
  <c r="V2553" i="1" s="1"/>
  <c r="F2553" i="1"/>
  <c r="T2552" i="1"/>
  <c r="V2552" i="1" s="1"/>
  <c r="F2552" i="1"/>
  <c r="T2551" i="1"/>
  <c r="V2551" i="1" s="1"/>
  <c r="F2551" i="1"/>
  <c r="T2550" i="1"/>
  <c r="V2550" i="1" s="1"/>
  <c r="F2550" i="1"/>
  <c r="T2549" i="1"/>
  <c r="V2549" i="1" s="1"/>
  <c r="F2549" i="1"/>
  <c r="T2548" i="1"/>
  <c r="V2548" i="1" s="1"/>
  <c r="F2548" i="1"/>
  <c r="T2547" i="1"/>
  <c r="V2547" i="1" s="1"/>
  <c r="F2547" i="1"/>
  <c r="T2546" i="1"/>
  <c r="V2546" i="1" s="1"/>
  <c r="F2546" i="1"/>
  <c r="T2545" i="1"/>
  <c r="V2545" i="1" s="1"/>
  <c r="F2545" i="1"/>
  <c r="T2544" i="1"/>
  <c r="V2544" i="1" s="1"/>
  <c r="F2544" i="1"/>
  <c r="T2543" i="1"/>
  <c r="V2543" i="1" s="1"/>
  <c r="F2543" i="1"/>
  <c r="T2542" i="1"/>
  <c r="V2542" i="1" s="1"/>
  <c r="F2542" i="1"/>
  <c r="T2541" i="1"/>
  <c r="V2541" i="1" s="1"/>
  <c r="F2541" i="1"/>
  <c r="T2540" i="1"/>
  <c r="V2540" i="1" s="1"/>
  <c r="F2540" i="1"/>
  <c r="T2539" i="1"/>
  <c r="V2539" i="1" s="1"/>
  <c r="F2539" i="1"/>
  <c r="T2538" i="1"/>
  <c r="V2538" i="1" s="1"/>
  <c r="F2538" i="1"/>
  <c r="T2537" i="1"/>
  <c r="V2537" i="1" s="1"/>
  <c r="F2537" i="1"/>
  <c r="T2536" i="1"/>
  <c r="V2536" i="1" s="1"/>
  <c r="F2536" i="1"/>
  <c r="T2535" i="1"/>
  <c r="V2535" i="1" s="1"/>
  <c r="F2535" i="1"/>
  <c r="T2534" i="1"/>
  <c r="V2534" i="1" s="1"/>
  <c r="F2534" i="1"/>
  <c r="T2533" i="1"/>
  <c r="V2533" i="1" s="1"/>
  <c r="F2533" i="1"/>
  <c r="T2532" i="1"/>
  <c r="V2532" i="1" s="1"/>
  <c r="F2532" i="1"/>
  <c r="T2531" i="1"/>
  <c r="V2531" i="1" s="1"/>
  <c r="F2531" i="1"/>
  <c r="T2530" i="1"/>
  <c r="V2530" i="1" s="1"/>
  <c r="F2530" i="1"/>
  <c r="T2529" i="1"/>
  <c r="V2529" i="1" s="1"/>
  <c r="F2529" i="1"/>
  <c r="T2528" i="1"/>
  <c r="V2528" i="1" s="1"/>
  <c r="F2528" i="1"/>
  <c r="T2527" i="1"/>
  <c r="V2527" i="1" s="1"/>
  <c r="F2527" i="1"/>
  <c r="T2526" i="1"/>
  <c r="V2526" i="1" s="1"/>
  <c r="F2526" i="1"/>
  <c r="T2525" i="1"/>
  <c r="V2525" i="1" s="1"/>
  <c r="F2525" i="1"/>
  <c r="T2524" i="1"/>
  <c r="V2524" i="1" s="1"/>
  <c r="F2524" i="1"/>
  <c r="T2523" i="1"/>
  <c r="V2523" i="1" s="1"/>
  <c r="F2523" i="1"/>
  <c r="T2522" i="1"/>
  <c r="V2522" i="1" s="1"/>
  <c r="F2522" i="1"/>
  <c r="T2521" i="1"/>
  <c r="V2521" i="1" s="1"/>
  <c r="F2521" i="1"/>
  <c r="T2520" i="1"/>
  <c r="V2520" i="1" s="1"/>
  <c r="F2520" i="1"/>
  <c r="T2519" i="1"/>
  <c r="V2519" i="1" s="1"/>
  <c r="F2519" i="1"/>
  <c r="T2518" i="1"/>
  <c r="V2518" i="1" s="1"/>
  <c r="F2518" i="1"/>
  <c r="T2517" i="1"/>
  <c r="V2517" i="1" s="1"/>
  <c r="F2517" i="1"/>
  <c r="T2516" i="1"/>
  <c r="V2516" i="1" s="1"/>
  <c r="F2516" i="1"/>
  <c r="T2515" i="1"/>
  <c r="V2515" i="1" s="1"/>
  <c r="F2515" i="1"/>
  <c r="T2514" i="1"/>
  <c r="V2514" i="1" s="1"/>
  <c r="F2514" i="1"/>
  <c r="T2513" i="1"/>
  <c r="V2513" i="1" s="1"/>
  <c r="F2513" i="1"/>
  <c r="T2512" i="1"/>
  <c r="V2512" i="1" s="1"/>
  <c r="F2512" i="1"/>
  <c r="T2511" i="1"/>
  <c r="V2511" i="1" s="1"/>
  <c r="F2511" i="1"/>
  <c r="T2510" i="1"/>
  <c r="V2510" i="1" s="1"/>
  <c r="F2510" i="1"/>
  <c r="T2509" i="1"/>
  <c r="V2509" i="1" s="1"/>
  <c r="F2509" i="1"/>
  <c r="T2508" i="1"/>
  <c r="V2508" i="1" s="1"/>
  <c r="F2508" i="1"/>
  <c r="T2507" i="1"/>
  <c r="V2507" i="1" s="1"/>
  <c r="F2507" i="1"/>
  <c r="T2506" i="1"/>
  <c r="V2506" i="1" s="1"/>
  <c r="F2506" i="1"/>
  <c r="T2505" i="1"/>
  <c r="V2505" i="1" s="1"/>
  <c r="F2505" i="1"/>
  <c r="T2504" i="1"/>
  <c r="V2504" i="1" s="1"/>
  <c r="F2504" i="1"/>
  <c r="T2503" i="1"/>
  <c r="V2503" i="1" s="1"/>
  <c r="F2503" i="1"/>
  <c r="T2502" i="1"/>
  <c r="V2502" i="1" s="1"/>
  <c r="F2502" i="1"/>
  <c r="T2501" i="1"/>
  <c r="V2501" i="1" s="1"/>
  <c r="F2501" i="1"/>
  <c r="T2500" i="1"/>
  <c r="V2500" i="1" s="1"/>
  <c r="F2500" i="1"/>
  <c r="T2499" i="1"/>
  <c r="V2499" i="1" s="1"/>
  <c r="F2499" i="1"/>
  <c r="T2498" i="1"/>
  <c r="V2498" i="1" s="1"/>
  <c r="F2498" i="1"/>
  <c r="T2497" i="1"/>
  <c r="V2497" i="1" s="1"/>
  <c r="F2497" i="1"/>
  <c r="T2496" i="1"/>
  <c r="V2496" i="1" s="1"/>
  <c r="F2496" i="1"/>
  <c r="T2495" i="1"/>
  <c r="V2495" i="1" s="1"/>
  <c r="F2495" i="1"/>
  <c r="T2494" i="1"/>
  <c r="V2494" i="1" s="1"/>
  <c r="F2494" i="1"/>
  <c r="T2493" i="1"/>
  <c r="V2493" i="1" s="1"/>
  <c r="F2493" i="1"/>
  <c r="T2492" i="1"/>
  <c r="V2492" i="1" s="1"/>
  <c r="F2492" i="1"/>
  <c r="T2491" i="1"/>
  <c r="V2491" i="1" s="1"/>
  <c r="F2491" i="1"/>
  <c r="T2490" i="1"/>
  <c r="V2490" i="1" s="1"/>
  <c r="F2490" i="1"/>
  <c r="T2489" i="1"/>
  <c r="V2489" i="1" s="1"/>
  <c r="F2489" i="1"/>
  <c r="T2488" i="1"/>
  <c r="V2488" i="1" s="1"/>
  <c r="F2488" i="1"/>
  <c r="T2487" i="1"/>
  <c r="V2487" i="1" s="1"/>
  <c r="F2487" i="1"/>
  <c r="T2486" i="1"/>
  <c r="V2486" i="1" s="1"/>
  <c r="F2486" i="1"/>
  <c r="T2485" i="1"/>
  <c r="V2485" i="1" s="1"/>
  <c r="F2485" i="1"/>
  <c r="T2484" i="1"/>
  <c r="V2484" i="1" s="1"/>
  <c r="F2484" i="1"/>
  <c r="T2483" i="1"/>
  <c r="V2483" i="1" s="1"/>
  <c r="F2483" i="1"/>
  <c r="T2482" i="1"/>
  <c r="V2482" i="1" s="1"/>
  <c r="F2482" i="1"/>
  <c r="T2481" i="1"/>
  <c r="V2481" i="1" s="1"/>
  <c r="F2481" i="1"/>
  <c r="T2480" i="1"/>
  <c r="V2480" i="1" s="1"/>
  <c r="F2480" i="1"/>
  <c r="T2479" i="1"/>
  <c r="V2479" i="1" s="1"/>
  <c r="F2479" i="1"/>
  <c r="T2478" i="1"/>
  <c r="V2478" i="1" s="1"/>
  <c r="F2478" i="1"/>
  <c r="T2477" i="1"/>
  <c r="V2477" i="1" s="1"/>
  <c r="F2477" i="1"/>
  <c r="T2476" i="1"/>
  <c r="V2476" i="1" s="1"/>
  <c r="F2476" i="1"/>
  <c r="T2475" i="1"/>
  <c r="V2475" i="1" s="1"/>
  <c r="F2475" i="1"/>
  <c r="T2474" i="1"/>
  <c r="V2474" i="1" s="1"/>
  <c r="F2474" i="1"/>
  <c r="T2473" i="1"/>
  <c r="V2473" i="1" s="1"/>
  <c r="F2473" i="1"/>
  <c r="T2472" i="1"/>
  <c r="V2472" i="1" s="1"/>
  <c r="F2472" i="1"/>
  <c r="T2471" i="1"/>
  <c r="V2471" i="1" s="1"/>
  <c r="F2471" i="1"/>
  <c r="T2470" i="1"/>
  <c r="V2470" i="1" s="1"/>
  <c r="F2470" i="1"/>
  <c r="T2469" i="1"/>
  <c r="V2469" i="1" s="1"/>
  <c r="F2469" i="1"/>
  <c r="T2468" i="1"/>
  <c r="V2468" i="1" s="1"/>
  <c r="F2468" i="1"/>
  <c r="T2467" i="1"/>
  <c r="V2467" i="1" s="1"/>
  <c r="F2467" i="1"/>
  <c r="T2466" i="1"/>
  <c r="V2466" i="1" s="1"/>
  <c r="F2466" i="1"/>
  <c r="T2465" i="1"/>
  <c r="V2465" i="1" s="1"/>
  <c r="F2465" i="1"/>
  <c r="T2464" i="1"/>
  <c r="V2464" i="1" s="1"/>
  <c r="F2464" i="1"/>
  <c r="T2463" i="1"/>
  <c r="V2463" i="1" s="1"/>
  <c r="F2463" i="1"/>
  <c r="T2462" i="1"/>
  <c r="V2462" i="1" s="1"/>
  <c r="F2462" i="1"/>
  <c r="T2461" i="1"/>
  <c r="V2461" i="1" s="1"/>
  <c r="F2461" i="1"/>
  <c r="T2460" i="1"/>
  <c r="V2460" i="1" s="1"/>
  <c r="F2460" i="1"/>
  <c r="T2459" i="1"/>
  <c r="V2459" i="1" s="1"/>
  <c r="F2459" i="1"/>
  <c r="T2458" i="1"/>
  <c r="V2458" i="1" s="1"/>
  <c r="F2458" i="1"/>
  <c r="T2457" i="1"/>
  <c r="V2457" i="1" s="1"/>
  <c r="F2457" i="1"/>
  <c r="T2456" i="1"/>
  <c r="V2456" i="1" s="1"/>
  <c r="F2456" i="1"/>
  <c r="T2455" i="1"/>
  <c r="V2455" i="1" s="1"/>
  <c r="F2455" i="1"/>
  <c r="T2454" i="1"/>
  <c r="V2454" i="1" s="1"/>
  <c r="F2454" i="1"/>
  <c r="T2453" i="1"/>
  <c r="V2453" i="1" s="1"/>
  <c r="F2453" i="1"/>
  <c r="T2452" i="1"/>
  <c r="V2452" i="1" s="1"/>
  <c r="F2452" i="1"/>
  <c r="T2451" i="1"/>
  <c r="V2451" i="1" s="1"/>
  <c r="F2451" i="1"/>
  <c r="T2450" i="1"/>
  <c r="V2450" i="1" s="1"/>
  <c r="F2450" i="1"/>
  <c r="T2449" i="1"/>
  <c r="V2449" i="1" s="1"/>
  <c r="F2449" i="1"/>
  <c r="T2448" i="1"/>
  <c r="V2448" i="1" s="1"/>
  <c r="F2448" i="1"/>
  <c r="T2447" i="1"/>
  <c r="V2447" i="1" s="1"/>
  <c r="F2447" i="1"/>
  <c r="T2446" i="1"/>
  <c r="V2446" i="1" s="1"/>
  <c r="F2446" i="1"/>
  <c r="T2445" i="1"/>
  <c r="V2445" i="1" s="1"/>
  <c r="F2445" i="1"/>
  <c r="T2444" i="1"/>
  <c r="V2444" i="1" s="1"/>
  <c r="F2444" i="1"/>
  <c r="T2443" i="1"/>
  <c r="V2443" i="1" s="1"/>
  <c r="F2443" i="1"/>
  <c r="T2442" i="1"/>
  <c r="V2442" i="1" s="1"/>
  <c r="F2442" i="1"/>
  <c r="T2441" i="1"/>
  <c r="V2441" i="1" s="1"/>
  <c r="F2441" i="1"/>
  <c r="T2440" i="1"/>
  <c r="V2440" i="1" s="1"/>
  <c r="F2440" i="1"/>
  <c r="T2439" i="1"/>
  <c r="V2439" i="1" s="1"/>
  <c r="F2439" i="1"/>
  <c r="T2438" i="1"/>
  <c r="V2438" i="1" s="1"/>
  <c r="F2438" i="1"/>
  <c r="T2437" i="1"/>
  <c r="V2437" i="1" s="1"/>
  <c r="F2437" i="1"/>
  <c r="T2436" i="1"/>
  <c r="V2436" i="1" s="1"/>
  <c r="F2436" i="1"/>
  <c r="T2435" i="1"/>
  <c r="V2435" i="1" s="1"/>
  <c r="F2435" i="1"/>
  <c r="T2434" i="1"/>
  <c r="V2434" i="1" s="1"/>
  <c r="F2434" i="1"/>
  <c r="T2433" i="1"/>
  <c r="V2433" i="1" s="1"/>
  <c r="F2433" i="1"/>
  <c r="T2432" i="1"/>
  <c r="V2432" i="1" s="1"/>
  <c r="F2432" i="1"/>
  <c r="T2431" i="1"/>
  <c r="V2431" i="1" s="1"/>
  <c r="F2431" i="1"/>
  <c r="T2430" i="1"/>
  <c r="V2430" i="1" s="1"/>
  <c r="F2430" i="1"/>
  <c r="T2429" i="1"/>
  <c r="V2429" i="1" s="1"/>
  <c r="F2429" i="1"/>
  <c r="T2428" i="1"/>
  <c r="V2428" i="1" s="1"/>
  <c r="F2428" i="1"/>
  <c r="T2427" i="1"/>
  <c r="V2427" i="1" s="1"/>
  <c r="F2427" i="1"/>
  <c r="T2426" i="1"/>
  <c r="V2426" i="1" s="1"/>
  <c r="F2426" i="1"/>
  <c r="T2425" i="1"/>
  <c r="V2425" i="1" s="1"/>
  <c r="F2425" i="1"/>
  <c r="T2424" i="1"/>
  <c r="V2424" i="1" s="1"/>
  <c r="F2424" i="1"/>
  <c r="T2423" i="1"/>
  <c r="V2423" i="1" s="1"/>
  <c r="F2423" i="1"/>
  <c r="T2422" i="1"/>
  <c r="V2422" i="1" s="1"/>
  <c r="F2422" i="1"/>
  <c r="T2421" i="1"/>
  <c r="V2421" i="1" s="1"/>
  <c r="F2421" i="1"/>
  <c r="T2420" i="1"/>
  <c r="V2420" i="1" s="1"/>
  <c r="F2420" i="1"/>
  <c r="T2419" i="1"/>
  <c r="V2419" i="1" s="1"/>
  <c r="F2419" i="1"/>
  <c r="T2418" i="1"/>
  <c r="V2418" i="1" s="1"/>
  <c r="F2418" i="1"/>
  <c r="T2417" i="1"/>
  <c r="V2417" i="1" s="1"/>
  <c r="F2417" i="1"/>
  <c r="T2416" i="1"/>
  <c r="V2416" i="1" s="1"/>
  <c r="F2416" i="1"/>
  <c r="T2415" i="1"/>
  <c r="V2415" i="1" s="1"/>
  <c r="F2415" i="1"/>
  <c r="T2414" i="1"/>
  <c r="V2414" i="1" s="1"/>
  <c r="F2414" i="1"/>
  <c r="T2413" i="1"/>
  <c r="V2413" i="1" s="1"/>
  <c r="F2413" i="1"/>
  <c r="T2412" i="1"/>
  <c r="V2412" i="1" s="1"/>
  <c r="F2412" i="1"/>
  <c r="T2411" i="1"/>
  <c r="V2411" i="1" s="1"/>
  <c r="F2411" i="1"/>
  <c r="T2410" i="1"/>
  <c r="V2410" i="1" s="1"/>
  <c r="F2410" i="1"/>
  <c r="T2409" i="1"/>
  <c r="V2409" i="1" s="1"/>
  <c r="F2409" i="1"/>
  <c r="T2408" i="1"/>
  <c r="V2408" i="1" s="1"/>
  <c r="F2408" i="1"/>
  <c r="T2407" i="1"/>
  <c r="V2407" i="1" s="1"/>
  <c r="F2407" i="1"/>
  <c r="T2406" i="1"/>
  <c r="V2406" i="1" s="1"/>
  <c r="F2406" i="1"/>
  <c r="T2405" i="1"/>
  <c r="V2405" i="1" s="1"/>
  <c r="F2405" i="1"/>
  <c r="T2404" i="1"/>
  <c r="V2404" i="1" s="1"/>
  <c r="F2404" i="1"/>
  <c r="T2403" i="1"/>
  <c r="V2403" i="1" s="1"/>
  <c r="F2403" i="1"/>
  <c r="T2402" i="1"/>
  <c r="V2402" i="1" s="1"/>
  <c r="F2402" i="1"/>
  <c r="T2401" i="1"/>
  <c r="V2401" i="1" s="1"/>
  <c r="F2401" i="1"/>
  <c r="T2400" i="1"/>
  <c r="V2400" i="1" s="1"/>
  <c r="F2400" i="1"/>
  <c r="T2399" i="1"/>
  <c r="V2399" i="1" s="1"/>
  <c r="F2399" i="1"/>
  <c r="T2398" i="1"/>
  <c r="V2398" i="1" s="1"/>
  <c r="F2398" i="1"/>
  <c r="T2397" i="1"/>
  <c r="V2397" i="1" s="1"/>
  <c r="F2397" i="1"/>
  <c r="T2396" i="1"/>
  <c r="V2396" i="1" s="1"/>
  <c r="F2396" i="1"/>
  <c r="T2395" i="1"/>
  <c r="V2395" i="1" s="1"/>
  <c r="F2395" i="1"/>
  <c r="T2394" i="1"/>
  <c r="V2394" i="1" s="1"/>
  <c r="F2394" i="1"/>
  <c r="T2393" i="1"/>
  <c r="V2393" i="1" s="1"/>
  <c r="F2393" i="1"/>
  <c r="T2392" i="1"/>
  <c r="V2392" i="1" s="1"/>
  <c r="F2392" i="1"/>
  <c r="T2391" i="1"/>
  <c r="V2391" i="1" s="1"/>
  <c r="F2391" i="1"/>
  <c r="T2390" i="1"/>
  <c r="V2390" i="1" s="1"/>
  <c r="F2390" i="1"/>
  <c r="T2389" i="1"/>
  <c r="V2389" i="1" s="1"/>
  <c r="F2389" i="1"/>
  <c r="T2388" i="1"/>
  <c r="V2388" i="1" s="1"/>
  <c r="F2388" i="1"/>
  <c r="T2387" i="1"/>
  <c r="V2387" i="1" s="1"/>
  <c r="F2387" i="1"/>
  <c r="T2386" i="1"/>
  <c r="V2386" i="1" s="1"/>
  <c r="F2386" i="1"/>
  <c r="T2385" i="1"/>
  <c r="V2385" i="1" s="1"/>
  <c r="F2385" i="1"/>
  <c r="T2384" i="1"/>
  <c r="V2384" i="1" s="1"/>
  <c r="F2384" i="1"/>
  <c r="T2383" i="1"/>
  <c r="V2383" i="1" s="1"/>
  <c r="F2383" i="1"/>
  <c r="T2382" i="1"/>
  <c r="V2382" i="1" s="1"/>
  <c r="F2382" i="1"/>
  <c r="T2381" i="1"/>
  <c r="V2381" i="1" s="1"/>
  <c r="F2381" i="1"/>
  <c r="T2380" i="1"/>
  <c r="V2380" i="1" s="1"/>
  <c r="F2380" i="1"/>
  <c r="T2379" i="1"/>
  <c r="V2379" i="1" s="1"/>
  <c r="F2379" i="1"/>
  <c r="T2378" i="1"/>
  <c r="V2378" i="1" s="1"/>
  <c r="F2378" i="1"/>
  <c r="T2377" i="1"/>
  <c r="V2377" i="1" s="1"/>
  <c r="F2377" i="1"/>
  <c r="T2376" i="1"/>
  <c r="V2376" i="1" s="1"/>
  <c r="F2376" i="1"/>
  <c r="T2375" i="1"/>
  <c r="V2375" i="1" s="1"/>
  <c r="F2375" i="1"/>
  <c r="T2374" i="1"/>
  <c r="V2374" i="1" s="1"/>
  <c r="F2374" i="1"/>
  <c r="T2373" i="1"/>
  <c r="V2373" i="1" s="1"/>
  <c r="F2373" i="1"/>
  <c r="T2372" i="1"/>
  <c r="V2372" i="1" s="1"/>
  <c r="F2372" i="1"/>
  <c r="T2371" i="1"/>
  <c r="V2371" i="1" s="1"/>
  <c r="F2371" i="1"/>
  <c r="T2370" i="1"/>
  <c r="V2370" i="1" s="1"/>
  <c r="F2370" i="1"/>
  <c r="T2369" i="1"/>
  <c r="V2369" i="1" s="1"/>
  <c r="F2369" i="1"/>
  <c r="T2368" i="1"/>
  <c r="V2368" i="1" s="1"/>
  <c r="F2368" i="1"/>
  <c r="T2367" i="1"/>
  <c r="V2367" i="1" s="1"/>
  <c r="F2367" i="1"/>
  <c r="T2366" i="1"/>
  <c r="V2366" i="1" s="1"/>
  <c r="F2366" i="1"/>
  <c r="T2365" i="1"/>
  <c r="V2365" i="1" s="1"/>
  <c r="F2365" i="1"/>
  <c r="T2364" i="1"/>
  <c r="V2364" i="1" s="1"/>
  <c r="F2364" i="1"/>
  <c r="T2363" i="1"/>
  <c r="V2363" i="1" s="1"/>
  <c r="F2363" i="1"/>
  <c r="T2362" i="1"/>
  <c r="V2362" i="1" s="1"/>
  <c r="F2362" i="1"/>
  <c r="T2361" i="1"/>
  <c r="V2361" i="1" s="1"/>
  <c r="F2361" i="1"/>
  <c r="T2360" i="1"/>
  <c r="V2360" i="1" s="1"/>
  <c r="F2360" i="1"/>
  <c r="T2359" i="1"/>
  <c r="V2359" i="1" s="1"/>
  <c r="F2359" i="1"/>
  <c r="T2358" i="1"/>
  <c r="V2358" i="1" s="1"/>
  <c r="F2358" i="1"/>
  <c r="T2357" i="1"/>
  <c r="V2357" i="1" s="1"/>
  <c r="F2357" i="1"/>
  <c r="T2356" i="1"/>
  <c r="V2356" i="1" s="1"/>
  <c r="F2356" i="1"/>
  <c r="T2355" i="1"/>
  <c r="V2355" i="1" s="1"/>
  <c r="F2355" i="1"/>
  <c r="T2354" i="1"/>
  <c r="V2354" i="1" s="1"/>
  <c r="F2354" i="1"/>
  <c r="T2353" i="1"/>
  <c r="V2353" i="1" s="1"/>
  <c r="F2353" i="1"/>
  <c r="T2352" i="1"/>
  <c r="V2352" i="1" s="1"/>
  <c r="F2352" i="1"/>
  <c r="T2351" i="1"/>
  <c r="V2351" i="1" s="1"/>
  <c r="F2351" i="1"/>
  <c r="T2350" i="1"/>
  <c r="V2350" i="1" s="1"/>
  <c r="F2350" i="1"/>
  <c r="T2349" i="1"/>
  <c r="V2349" i="1" s="1"/>
  <c r="F2349" i="1"/>
  <c r="T2348" i="1"/>
  <c r="V2348" i="1" s="1"/>
  <c r="F2348" i="1"/>
  <c r="T2347" i="1"/>
  <c r="V2347" i="1" s="1"/>
  <c r="F2347" i="1"/>
  <c r="T2346" i="1"/>
  <c r="V2346" i="1" s="1"/>
  <c r="F2346" i="1"/>
  <c r="T2345" i="1"/>
  <c r="V2345" i="1" s="1"/>
  <c r="F2345" i="1"/>
  <c r="T2344" i="1"/>
  <c r="V2344" i="1" s="1"/>
  <c r="F2344" i="1"/>
  <c r="T2343" i="1"/>
  <c r="V2343" i="1" s="1"/>
  <c r="F2343" i="1"/>
  <c r="T2342" i="1"/>
  <c r="V2342" i="1" s="1"/>
  <c r="F2342" i="1"/>
  <c r="T2341" i="1"/>
  <c r="V2341" i="1" s="1"/>
  <c r="F2341" i="1"/>
  <c r="T2340" i="1"/>
  <c r="V2340" i="1" s="1"/>
  <c r="F2340" i="1"/>
  <c r="T2339" i="1"/>
  <c r="V2339" i="1" s="1"/>
  <c r="F2339" i="1"/>
  <c r="T2338" i="1"/>
  <c r="V2338" i="1" s="1"/>
  <c r="F2338" i="1"/>
  <c r="T2337" i="1"/>
  <c r="V2337" i="1" s="1"/>
  <c r="F2337" i="1"/>
  <c r="T2336" i="1"/>
  <c r="V2336" i="1" s="1"/>
  <c r="F2336" i="1"/>
  <c r="T2335" i="1"/>
  <c r="V2335" i="1" s="1"/>
  <c r="F2335" i="1"/>
  <c r="T2334" i="1"/>
  <c r="V2334" i="1" s="1"/>
  <c r="F2334" i="1"/>
  <c r="T2333" i="1"/>
  <c r="V2333" i="1" s="1"/>
  <c r="F2333" i="1"/>
  <c r="T2332" i="1"/>
  <c r="V2332" i="1" s="1"/>
  <c r="F2332" i="1"/>
  <c r="T2331" i="1"/>
  <c r="V2331" i="1" s="1"/>
  <c r="F2331" i="1"/>
  <c r="T2330" i="1"/>
  <c r="V2330" i="1" s="1"/>
  <c r="F2330" i="1"/>
  <c r="T2329" i="1"/>
  <c r="V2329" i="1" s="1"/>
  <c r="F2329" i="1"/>
  <c r="T2328" i="1"/>
  <c r="V2328" i="1" s="1"/>
  <c r="F2328" i="1"/>
  <c r="T2327" i="1"/>
  <c r="V2327" i="1" s="1"/>
  <c r="F2327" i="1"/>
  <c r="T2326" i="1"/>
  <c r="V2326" i="1" s="1"/>
  <c r="F2326" i="1"/>
  <c r="T2325" i="1"/>
  <c r="V2325" i="1" s="1"/>
  <c r="F2325" i="1"/>
  <c r="T2324" i="1"/>
  <c r="V2324" i="1" s="1"/>
  <c r="F2324" i="1"/>
  <c r="T2323" i="1"/>
  <c r="V2323" i="1" s="1"/>
  <c r="F2323" i="1"/>
  <c r="T2322" i="1"/>
  <c r="V2322" i="1" s="1"/>
  <c r="F2322" i="1"/>
  <c r="T2321" i="1"/>
  <c r="V2321" i="1" s="1"/>
  <c r="F2321" i="1"/>
  <c r="T2320" i="1"/>
  <c r="V2320" i="1" s="1"/>
  <c r="F2320" i="1"/>
  <c r="T2319" i="1"/>
  <c r="V2319" i="1" s="1"/>
  <c r="F2319" i="1"/>
  <c r="T2318" i="1"/>
  <c r="V2318" i="1" s="1"/>
  <c r="F2318" i="1"/>
  <c r="T2317" i="1"/>
  <c r="V2317" i="1" s="1"/>
  <c r="F2317" i="1"/>
  <c r="T2316" i="1"/>
  <c r="V2316" i="1" s="1"/>
  <c r="F2316" i="1"/>
  <c r="T2315" i="1"/>
  <c r="V2315" i="1" s="1"/>
  <c r="F2315" i="1"/>
  <c r="T2314" i="1"/>
  <c r="V2314" i="1" s="1"/>
  <c r="F2314" i="1"/>
  <c r="T2313" i="1"/>
  <c r="V2313" i="1" s="1"/>
  <c r="F2313" i="1"/>
  <c r="T2312" i="1"/>
  <c r="V2312" i="1" s="1"/>
  <c r="F2312" i="1"/>
  <c r="T2311" i="1"/>
  <c r="V2311" i="1" s="1"/>
  <c r="F2311" i="1"/>
  <c r="T2310" i="1"/>
  <c r="V2310" i="1" s="1"/>
  <c r="F2310" i="1"/>
  <c r="T2309" i="1"/>
  <c r="V2309" i="1" s="1"/>
  <c r="F2309" i="1"/>
  <c r="T2308" i="1"/>
  <c r="V2308" i="1" s="1"/>
  <c r="F2308" i="1"/>
  <c r="T2307" i="1"/>
  <c r="V2307" i="1" s="1"/>
  <c r="F2307" i="1"/>
  <c r="T2306" i="1"/>
  <c r="V2306" i="1" s="1"/>
  <c r="F2306" i="1"/>
  <c r="T2305" i="1"/>
  <c r="V2305" i="1" s="1"/>
  <c r="F2305" i="1"/>
  <c r="T2304" i="1"/>
  <c r="V2304" i="1" s="1"/>
  <c r="F2304" i="1"/>
  <c r="T2303" i="1"/>
  <c r="V2303" i="1" s="1"/>
  <c r="F2303" i="1"/>
  <c r="T2302" i="1"/>
  <c r="V2302" i="1" s="1"/>
  <c r="F2302" i="1"/>
  <c r="T2301" i="1"/>
  <c r="V2301" i="1" s="1"/>
  <c r="F2301" i="1"/>
  <c r="T2300" i="1"/>
  <c r="V2300" i="1" s="1"/>
  <c r="F2300" i="1"/>
  <c r="T2299" i="1"/>
  <c r="V2299" i="1" s="1"/>
  <c r="F2299" i="1"/>
  <c r="T2298" i="1"/>
  <c r="V2298" i="1" s="1"/>
  <c r="F2298" i="1"/>
  <c r="T2297" i="1"/>
  <c r="V2297" i="1" s="1"/>
  <c r="F2297" i="1"/>
  <c r="T2296" i="1"/>
  <c r="V2296" i="1" s="1"/>
  <c r="F2296" i="1"/>
  <c r="T2295" i="1"/>
  <c r="V2295" i="1" s="1"/>
  <c r="F2295" i="1"/>
  <c r="T2294" i="1"/>
  <c r="V2294" i="1" s="1"/>
  <c r="F2294" i="1"/>
  <c r="T2293" i="1"/>
  <c r="V2293" i="1" s="1"/>
  <c r="F2293" i="1"/>
  <c r="T2292" i="1"/>
  <c r="V2292" i="1" s="1"/>
  <c r="F2292" i="1"/>
  <c r="T2291" i="1"/>
  <c r="V2291" i="1" s="1"/>
  <c r="F2291" i="1"/>
  <c r="T2290" i="1"/>
  <c r="V2290" i="1" s="1"/>
  <c r="F2290" i="1"/>
  <c r="T2289" i="1"/>
  <c r="V2289" i="1" s="1"/>
  <c r="F2289" i="1"/>
  <c r="T2288" i="1"/>
  <c r="V2288" i="1" s="1"/>
  <c r="F2288" i="1"/>
  <c r="T2287" i="1"/>
  <c r="V2287" i="1" s="1"/>
  <c r="F2287" i="1"/>
  <c r="T2286" i="1"/>
  <c r="V2286" i="1" s="1"/>
  <c r="F2286" i="1"/>
  <c r="T2285" i="1"/>
  <c r="V2285" i="1" s="1"/>
  <c r="F2285" i="1"/>
  <c r="T2284" i="1"/>
  <c r="V2284" i="1" s="1"/>
  <c r="F2284" i="1"/>
  <c r="T2283" i="1"/>
  <c r="V2283" i="1" s="1"/>
  <c r="F2283" i="1"/>
  <c r="T2282" i="1"/>
  <c r="V2282" i="1" s="1"/>
  <c r="F2282" i="1"/>
  <c r="T2281" i="1"/>
  <c r="V2281" i="1" s="1"/>
  <c r="F2281" i="1"/>
  <c r="T2280" i="1"/>
  <c r="V2280" i="1" s="1"/>
  <c r="F2280" i="1"/>
  <c r="T2279" i="1"/>
  <c r="V2279" i="1" s="1"/>
  <c r="F2279" i="1"/>
  <c r="T2278" i="1"/>
  <c r="V2278" i="1" s="1"/>
  <c r="F2278" i="1"/>
  <c r="T2277" i="1"/>
  <c r="V2277" i="1" s="1"/>
  <c r="F2277" i="1"/>
  <c r="T2276" i="1"/>
  <c r="V2276" i="1" s="1"/>
  <c r="F2276" i="1"/>
  <c r="T2275" i="1"/>
  <c r="V2275" i="1" s="1"/>
  <c r="F2275" i="1"/>
  <c r="T2274" i="1"/>
  <c r="V2274" i="1" s="1"/>
  <c r="F2274" i="1"/>
  <c r="T2273" i="1"/>
  <c r="V2273" i="1" s="1"/>
  <c r="F2273" i="1"/>
  <c r="T2272" i="1"/>
  <c r="V2272" i="1" s="1"/>
  <c r="F2272" i="1"/>
  <c r="T2271" i="1"/>
  <c r="V2271" i="1" s="1"/>
  <c r="F2271" i="1"/>
  <c r="T2270" i="1"/>
  <c r="V2270" i="1" s="1"/>
  <c r="F2270" i="1"/>
  <c r="T2269" i="1"/>
  <c r="V2269" i="1" s="1"/>
  <c r="F2269" i="1"/>
  <c r="T2268" i="1"/>
  <c r="V2268" i="1" s="1"/>
  <c r="F2268" i="1"/>
  <c r="T2267" i="1"/>
  <c r="V2267" i="1" s="1"/>
  <c r="F2267" i="1"/>
  <c r="T2266" i="1"/>
  <c r="V2266" i="1" s="1"/>
  <c r="F2266" i="1"/>
  <c r="T2265" i="1"/>
  <c r="V2265" i="1" s="1"/>
  <c r="F2265" i="1"/>
  <c r="T2264" i="1"/>
  <c r="V2264" i="1" s="1"/>
  <c r="F2264" i="1"/>
  <c r="T2263" i="1"/>
  <c r="V2263" i="1" s="1"/>
  <c r="F2263" i="1"/>
  <c r="T2262" i="1"/>
  <c r="V2262" i="1" s="1"/>
  <c r="F2262" i="1"/>
  <c r="T2261" i="1"/>
  <c r="V2261" i="1" s="1"/>
  <c r="F2261" i="1"/>
  <c r="T2260" i="1"/>
  <c r="V2260" i="1" s="1"/>
  <c r="F2260" i="1"/>
  <c r="T2259" i="1"/>
  <c r="V2259" i="1" s="1"/>
  <c r="F2259" i="1"/>
  <c r="T2258" i="1"/>
  <c r="V2258" i="1" s="1"/>
  <c r="F2258" i="1"/>
  <c r="T2257" i="1"/>
  <c r="V2257" i="1" s="1"/>
  <c r="F2257" i="1"/>
  <c r="T2256" i="1"/>
  <c r="V2256" i="1" s="1"/>
  <c r="F2256" i="1"/>
  <c r="T2255" i="1"/>
  <c r="V2255" i="1" s="1"/>
  <c r="F2255" i="1"/>
  <c r="T2254" i="1"/>
  <c r="V2254" i="1" s="1"/>
  <c r="F2254" i="1"/>
  <c r="T2253" i="1"/>
  <c r="V2253" i="1" s="1"/>
  <c r="F2253" i="1"/>
  <c r="T2252" i="1"/>
  <c r="V2252" i="1" s="1"/>
  <c r="F2252" i="1"/>
  <c r="T2251" i="1"/>
  <c r="V2251" i="1" s="1"/>
  <c r="F2251" i="1"/>
  <c r="T2250" i="1"/>
  <c r="V2250" i="1" s="1"/>
  <c r="F2250" i="1"/>
  <c r="T2249" i="1"/>
  <c r="V2249" i="1" s="1"/>
  <c r="F2249" i="1"/>
  <c r="T2248" i="1"/>
  <c r="V2248" i="1" s="1"/>
  <c r="F2248" i="1"/>
  <c r="T2247" i="1"/>
  <c r="V2247" i="1" s="1"/>
  <c r="F2247" i="1"/>
  <c r="T2246" i="1"/>
  <c r="V2246" i="1" s="1"/>
  <c r="F2246" i="1"/>
  <c r="T2245" i="1"/>
  <c r="V2245" i="1" s="1"/>
  <c r="F2245" i="1"/>
  <c r="T2244" i="1"/>
  <c r="V2244" i="1" s="1"/>
  <c r="F2244" i="1"/>
  <c r="T2243" i="1"/>
  <c r="V2243" i="1" s="1"/>
  <c r="F2243" i="1"/>
  <c r="T2242" i="1"/>
  <c r="V2242" i="1" s="1"/>
  <c r="F2242" i="1"/>
  <c r="T2241" i="1"/>
  <c r="V2241" i="1" s="1"/>
  <c r="F2241" i="1"/>
  <c r="T2240" i="1"/>
  <c r="V2240" i="1" s="1"/>
  <c r="F2240" i="1"/>
  <c r="T2239" i="1"/>
  <c r="V2239" i="1" s="1"/>
  <c r="F2239" i="1"/>
  <c r="T2238" i="1"/>
  <c r="V2238" i="1" s="1"/>
  <c r="F2238" i="1"/>
  <c r="T2237" i="1"/>
  <c r="V2237" i="1" s="1"/>
  <c r="F2237" i="1"/>
  <c r="T2236" i="1"/>
  <c r="V2236" i="1" s="1"/>
  <c r="F2236" i="1"/>
  <c r="T2235" i="1"/>
  <c r="V2235" i="1" s="1"/>
  <c r="F2235" i="1"/>
  <c r="T2234" i="1"/>
  <c r="V2234" i="1" s="1"/>
  <c r="F2234" i="1"/>
  <c r="T2233" i="1"/>
  <c r="V2233" i="1" s="1"/>
  <c r="F2233" i="1"/>
  <c r="T2232" i="1"/>
  <c r="V2232" i="1" s="1"/>
  <c r="F2232" i="1"/>
  <c r="T2231" i="1"/>
  <c r="V2231" i="1" s="1"/>
  <c r="F2231" i="1"/>
  <c r="T2230" i="1"/>
  <c r="V2230" i="1" s="1"/>
  <c r="F2230" i="1"/>
  <c r="T2229" i="1"/>
  <c r="V2229" i="1" s="1"/>
  <c r="F2229" i="1"/>
  <c r="T2228" i="1"/>
  <c r="V2228" i="1" s="1"/>
  <c r="F2228" i="1"/>
  <c r="T2227" i="1"/>
  <c r="V2227" i="1" s="1"/>
  <c r="F2227" i="1"/>
  <c r="T2226" i="1"/>
  <c r="V2226" i="1" s="1"/>
  <c r="F2226" i="1"/>
  <c r="T2225" i="1"/>
  <c r="V2225" i="1" s="1"/>
  <c r="F2225" i="1"/>
  <c r="T2224" i="1"/>
  <c r="V2224" i="1" s="1"/>
  <c r="F2224" i="1"/>
  <c r="T2223" i="1"/>
  <c r="V2223" i="1" s="1"/>
  <c r="F2223" i="1"/>
  <c r="T2222" i="1"/>
  <c r="V2222" i="1" s="1"/>
  <c r="F2222" i="1"/>
  <c r="T2221" i="1"/>
  <c r="V2221" i="1" s="1"/>
  <c r="F2221" i="1"/>
  <c r="T2220" i="1"/>
  <c r="V2220" i="1" s="1"/>
  <c r="F2220" i="1"/>
  <c r="T2219" i="1"/>
  <c r="V2219" i="1" s="1"/>
  <c r="F2219" i="1"/>
  <c r="T2218" i="1"/>
  <c r="V2218" i="1" s="1"/>
  <c r="F2218" i="1"/>
  <c r="T2217" i="1"/>
  <c r="V2217" i="1" s="1"/>
  <c r="F2217" i="1"/>
  <c r="T2216" i="1"/>
  <c r="V2216" i="1" s="1"/>
  <c r="F2216" i="1"/>
  <c r="T2215" i="1"/>
  <c r="V2215" i="1" s="1"/>
  <c r="F2215" i="1"/>
  <c r="T2214" i="1"/>
  <c r="V2214" i="1" s="1"/>
  <c r="F2214" i="1"/>
  <c r="T2213" i="1"/>
  <c r="V2213" i="1" s="1"/>
  <c r="F2213" i="1"/>
  <c r="T2212" i="1"/>
  <c r="V2212" i="1" s="1"/>
  <c r="F2212" i="1"/>
  <c r="T2211" i="1"/>
  <c r="V2211" i="1" s="1"/>
  <c r="F2211" i="1"/>
  <c r="T2210" i="1"/>
  <c r="V2210" i="1" s="1"/>
  <c r="F2210" i="1"/>
  <c r="T2209" i="1"/>
  <c r="V2209" i="1" s="1"/>
  <c r="F2209" i="1"/>
  <c r="T2208" i="1"/>
  <c r="V2208" i="1" s="1"/>
  <c r="F2208" i="1"/>
  <c r="T2207" i="1"/>
  <c r="V2207" i="1" s="1"/>
  <c r="F2207" i="1"/>
  <c r="T2206" i="1"/>
  <c r="V2206" i="1" s="1"/>
  <c r="F2206" i="1"/>
  <c r="T2205" i="1"/>
  <c r="V2205" i="1" s="1"/>
  <c r="F2205" i="1"/>
  <c r="T2204" i="1"/>
  <c r="V2204" i="1" s="1"/>
  <c r="F2204" i="1"/>
  <c r="T2203" i="1"/>
  <c r="V2203" i="1" s="1"/>
  <c r="F2203" i="1"/>
  <c r="T2202" i="1"/>
  <c r="V2202" i="1" s="1"/>
  <c r="F2202" i="1"/>
  <c r="T2201" i="1"/>
  <c r="V2201" i="1" s="1"/>
  <c r="F2201" i="1"/>
  <c r="T2200" i="1"/>
  <c r="V2200" i="1" s="1"/>
  <c r="F2200" i="1"/>
  <c r="T2199" i="1"/>
  <c r="V2199" i="1" s="1"/>
  <c r="F2199" i="1"/>
  <c r="T2198" i="1"/>
  <c r="V2198" i="1" s="1"/>
  <c r="F2198" i="1"/>
  <c r="T2197" i="1"/>
  <c r="V2197" i="1" s="1"/>
  <c r="F2197" i="1"/>
  <c r="T2196" i="1"/>
  <c r="V2196" i="1" s="1"/>
  <c r="F2196" i="1"/>
  <c r="T2195" i="1"/>
  <c r="V2195" i="1" s="1"/>
  <c r="F2195" i="1"/>
  <c r="T2194" i="1"/>
  <c r="V2194" i="1" s="1"/>
  <c r="F2194" i="1"/>
  <c r="T2193" i="1"/>
  <c r="V2193" i="1" s="1"/>
  <c r="F2193" i="1"/>
  <c r="T2192" i="1"/>
  <c r="V2192" i="1" s="1"/>
  <c r="F2192" i="1"/>
  <c r="T2191" i="1"/>
  <c r="V2191" i="1" s="1"/>
  <c r="F2191" i="1"/>
  <c r="T2190" i="1"/>
  <c r="V2190" i="1" s="1"/>
  <c r="F2190" i="1"/>
  <c r="T2189" i="1"/>
  <c r="V2189" i="1" s="1"/>
  <c r="F2189" i="1"/>
  <c r="T2188" i="1"/>
  <c r="V2188" i="1" s="1"/>
  <c r="F2188" i="1"/>
  <c r="T2187" i="1"/>
  <c r="V2187" i="1" s="1"/>
  <c r="F2187" i="1"/>
  <c r="T2186" i="1"/>
  <c r="V2186" i="1" s="1"/>
  <c r="F2186" i="1"/>
  <c r="T2185" i="1"/>
  <c r="V2185" i="1" s="1"/>
  <c r="F2185" i="1"/>
  <c r="T2184" i="1"/>
  <c r="V2184" i="1" s="1"/>
  <c r="F2184" i="1"/>
  <c r="T2183" i="1"/>
  <c r="V2183" i="1" s="1"/>
  <c r="F2183" i="1"/>
  <c r="T2182" i="1"/>
  <c r="V2182" i="1" s="1"/>
  <c r="F2182" i="1"/>
  <c r="T2181" i="1"/>
  <c r="V2181" i="1" s="1"/>
  <c r="F2181" i="1"/>
  <c r="T2180" i="1"/>
  <c r="V2180" i="1" s="1"/>
  <c r="F2180" i="1"/>
  <c r="T2179" i="1"/>
  <c r="V2179" i="1" s="1"/>
  <c r="F2179" i="1"/>
  <c r="T2178" i="1"/>
  <c r="V2178" i="1" s="1"/>
  <c r="F2178" i="1"/>
  <c r="T2177" i="1"/>
  <c r="V2177" i="1" s="1"/>
  <c r="F2177" i="1"/>
  <c r="T2176" i="1"/>
  <c r="V2176" i="1" s="1"/>
  <c r="F2176" i="1"/>
  <c r="T2175" i="1"/>
  <c r="V2175" i="1" s="1"/>
  <c r="F2175" i="1"/>
  <c r="T2174" i="1"/>
  <c r="V2174" i="1" s="1"/>
  <c r="F2174" i="1"/>
  <c r="T2173" i="1"/>
  <c r="V2173" i="1" s="1"/>
  <c r="F2173" i="1"/>
  <c r="T2172" i="1"/>
  <c r="V2172" i="1" s="1"/>
  <c r="F2172" i="1"/>
  <c r="T2171" i="1"/>
  <c r="V2171" i="1" s="1"/>
  <c r="F2171" i="1"/>
  <c r="T2170" i="1"/>
  <c r="V2170" i="1" s="1"/>
  <c r="F2170" i="1"/>
  <c r="T2169" i="1"/>
  <c r="V2169" i="1" s="1"/>
  <c r="F2169" i="1"/>
  <c r="T2168" i="1"/>
  <c r="V2168" i="1" s="1"/>
  <c r="F2168" i="1"/>
  <c r="T2167" i="1"/>
  <c r="V2167" i="1" s="1"/>
  <c r="F2167" i="1"/>
  <c r="T2166" i="1"/>
  <c r="V2166" i="1" s="1"/>
  <c r="F2166" i="1"/>
  <c r="T2165" i="1"/>
  <c r="V2165" i="1" s="1"/>
  <c r="F2165" i="1"/>
  <c r="T2164" i="1"/>
  <c r="V2164" i="1" s="1"/>
  <c r="F2164" i="1"/>
  <c r="T2163" i="1"/>
  <c r="V2163" i="1" s="1"/>
  <c r="F2163" i="1"/>
  <c r="T2162" i="1"/>
  <c r="V2162" i="1" s="1"/>
  <c r="F2162" i="1"/>
  <c r="T2161" i="1"/>
  <c r="V2161" i="1" s="1"/>
  <c r="F2161" i="1"/>
  <c r="T2160" i="1"/>
  <c r="V2160" i="1" s="1"/>
  <c r="F2160" i="1"/>
  <c r="T2159" i="1"/>
  <c r="V2159" i="1" s="1"/>
  <c r="F2159" i="1"/>
  <c r="T2158" i="1"/>
  <c r="V2158" i="1" s="1"/>
  <c r="F2158" i="1"/>
  <c r="T2157" i="1"/>
  <c r="V2157" i="1" s="1"/>
  <c r="F2157" i="1"/>
  <c r="T2156" i="1"/>
  <c r="V2156" i="1" s="1"/>
  <c r="F2156" i="1"/>
  <c r="T2155" i="1"/>
  <c r="V2155" i="1" s="1"/>
  <c r="F2155" i="1"/>
  <c r="T2154" i="1"/>
  <c r="V2154" i="1" s="1"/>
  <c r="F2154" i="1"/>
  <c r="T2153" i="1"/>
  <c r="V2153" i="1" s="1"/>
  <c r="F2153" i="1"/>
  <c r="T2152" i="1"/>
  <c r="V2152" i="1" s="1"/>
  <c r="F2152" i="1"/>
  <c r="T2151" i="1"/>
  <c r="V2151" i="1" s="1"/>
  <c r="F2151" i="1"/>
  <c r="T2150" i="1"/>
  <c r="V2150" i="1" s="1"/>
  <c r="F2150" i="1"/>
  <c r="T2149" i="1"/>
  <c r="V2149" i="1" s="1"/>
  <c r="F2149" i="1"/>
  <c r="T2148" i="1"/>
  <c r="V2148" i="1" s="1"/>
  <c r="F2148" i="1"/>
  <c r="T2147" i="1"/>
  <c r="V2147" i="1" s="1"/>
  <c r="F2147" i="1"/>
  <c r="T2146" i="1"/>
  <c r="V2146" i="1" s="1"/>
  <c r="F2146" i="1"/>
  <c r="T2145" i="1"/>
  <c r="V2145" i="1" s="1"/>
  <c r="F2145" i="1"/>
  <c r="T2144" i="1"/>
  <c r="V2144" i="1" s="1"/>
  <c r="F2144" i="1"/>
  <c r="T2143" i="1"/>
  <c r="V2143" i="1" s="1"/>
  <c r="F2143" i="1"/>
  <c r="T2142" i="1"/>
  <c r="V2142" i="1" s="1"/>
  <c r="F2142" i="1"/>
  <c r="T2141" i="1"/>
  <c r="V2141" i="1" s="1"/>
  <c r="F2141" i="1"/>
  <c r="T2140" i="1"/>
  <c r="V2140" i="1" s="1"/>
  <c r="F2140" i="1"/>
  <c r="T2139" i="1"/>
  <c r="V2139" i="1" s="1"/>
  <c r="F2139" i="1"/>
  <c r="T2138" i="1"/>
  <c r="V2138" i="1" s="1"/>
  <c r="F2138" i="1"/>
  <c r="T2137" i="1"/>
  <c r="V2137" i="1" s="1"/>
  <c r="F2137" i="1"/>
  <c r="T2136" i="1"/>
  <c r="V2136" i="1" s="1"/>
  <c r="F2136" i="1"/>
  <c r="T2135" i="1"/>
  <c r="V2135" i="1" s="1"/>
  <c r="F2135" i="1"/>
  <c r="T2134" i="1"/>
  <c r="V2134" i="1" s="1"/>
  <c r="F2134" i="1"/>
  <c r="T2133" i="1"/>
  <c r="V2133" i="1" s="1"/>
  <c r="F2133" i="1"/>
  <c r="T2132" i="1"/>
  <c r="V2132" i="1" s="1"/>
  <c r="F2132" i="1"/>
  <c r="T2131" i="1"/>
  <c r="V2131" i="1" s="1"/>
  <c r="F2131" i="1"/>
  <c r="T2130" i="1"/>
  <c r="V2130" i="1" s="1"/>
  <c r="F2130" i="1"/>
  <c r="T2129" i="1"/>
  <c r="V2129" i="1" s="1"/>
  <c r="F2129" i="1"/>
  <c r="T2128" i="1"/>
  <c r="V2128" i="1" s="1"/>
  <c r="F2128" i="1"/>
  <c r="T2127" i="1"/>
  <c r="V2127" i="1" s="1"/>
  <c r="F2127" i="1"/>
  <c r="T2126" i="1"/>
  <c r="V2126" i="1" s="1"/>
  <c r="F2126" i="1"/>
  <c r="T2125" i="1"/>
  <c r="V2125" i="1" s="1"/>
  <c r="F2125" i="1"/>
  <c r="T2124" i="1"/>
  <c r="V2124" i="1" s="1"/>
  <c r="F2124" i="1"/>
  <c r="T2123" i="1"/>
  <c r="V2123" i="1" s="1"/>
  <c r="F2123" i="1"/>
  <c r="T2122" i="1"/>
  <c r="V2122" i="1" s="1"/>
  <c r="F2122" i="1"/>
  <c r="T2121" i="1"/>
  <c r="V2121" i="1" s="1"/>
  <c r="F2121" i="1"/>
  <c r="T2120" i="1"/>
  <c r="V2120" i="1" s="1"/>
  <c r="F2120" i="1"/>
  <c r="T2119" i="1"/>
  <c r="V2119" i="1" s="1"/>
  <c r="F2119" i="1"/>
  <c r="T2118" i="1"/>
  <c r="V2118" i="1" s="1"/>
  <c r="F2118" i="1"/>
  <c r="T2117" i="1"/>
  <c r="V2117" i="1" s="1"/>
  <c r="F2117" i="1"/>
  <c r="T2116" i="1"/>
  <c r="V2116" i="1" s="1"/>
  <c r="F2116" i="1"/>
  <c r="T2115" i="1"/>
  <c r="V2115" i="1" s="1"/>
  <c r="F2115" i="1"/>
  <c r="T2114" i="1"/>
  <c r="V2114" i="1" s="1"/>
  <c r="F2114" i="1"/>
  <c r="T2113" i="1"/>
  <c r="V2113" i="1" s="1"/>
  <c r="F2113" i="1"/>
  <c r="T2112" i="1"/>
  <c r="V2112" i="1" s="1"/>
  <c r="F2112" i="1"/>
  <c r="T2111" i="1"/>
  <c r="V2111" i="1" s="1"/>
  <c r="F2111" i="1"/>
  <c r="T2110" i="1"/>
  <c r="V2110" i="1" s="1"/>
  <c r="F2110" i="1"/>
  <c r="T2109" i="1"/>
  <c r="V2109" i="1" s="1"/>
  <c r="F2109" i="1"/>
  <c r="T2108" i="1"/>
  <c r="V2108" i="1" s="1"/>
  <c r="F2108" i="1"/>
  <c r="T2107" i="1"/>
  <c r="V2107" i="1" s="1"/>
  <c r="F2107" i="1"/>
  <c r="T2106" i="1"/>
  <c r="V2106" i="1" s="1"/>
  <c r="F2106" i="1"/>
  <c r="T2105" i="1"/>
  <c r="V2105" i="1" s="1"/>
  <c r="F2105" i="1"/>
  <c r="T2104" i="1"/>
  <c r="V2104" i="1" s="1"/>
  <c r="F2104" i="1"/>
  <c r="T2103" i="1"/>
  <c r="V2103" i="1" s="1"/>
  <c r="F2103" i="1"/>
  <c r="T2102" i="1"/>
  <c r="V2102" i="1" s="1"/>
  <c r="F2102" i="1"/>
  <c r="T2101" i="1"/>
  <c r="V2101" i="1" s="1"/>
  <c r="F2101" i="1"/>
  <c r="T2100" i="1"/>
  <c r="V2100" i="1" s="1"/>
  <c r="F2100" i="1"/>
  <c r="T2099" i="1"/>
  <c r="V2099" i="1" s="1"/>
  <c r="F2099" i="1"/>
  <c r="T2098" i="1"/>
  <c r="V2098" i="1" s="1"/>
  <c r="F2098" i="1"/>
  <c r="T2097" i="1"/>
  <c r="V2097" i="1" s="1"/>
  <c r="F2097" i="1"/>
  <c r="T2096" i="1"/>
  <c r="V2096" i="1" s="1"/>
  <c r="F2096" i="1"/>
  <c r="T2095" i="1"/>
  <c r="V2095" i="1" s="1"/>
  <c r="F2095" i="1"/>
  <c r="T2094" i="1"/>
  <c r="V2094" i="1" s="1"/>
  <c r="F2094" i="1"/>
  <c r="T2093" i="1"/>
  <c r="V2093" i="1" s="1"/>
  <c r="F2093" i="1"/>
  <c r="T2092" i="1"/>
  <c r="V2092" i="1" s="1"/>
  <c r="F2092" i="1"/>
  <c r="T2091" i="1"/>
  <c r="V2091" i="1" s="1"/>
  <c r="F2091" i="1"/>
  <c r="T2090" i="1"/>
  <c r="V2090" i="1" s="1"/>
  <c r="F2090" i="1"/>
  <c r="T2089" i="1"/>
  <c r="V2089" i="1" s="1"/>
  <c r="F2089" i="1"/>
  <c r="T2088" i="1"/>
  <c r="V2088" i="1" s="1"/>
  <c r="F2088" i="1"/>
  <c r="T2087" i="1"/>
  <c r="V2087" i="1" s="1"/>
  <c r="F2087" i="1"/>
  <c r="T2086" i="1"/>
  <c r="V2086" i="1" s="1"/>
  <c r="F2086" i="1"/>
  <c r="T2085" i="1"/>
  <c r="V2085" i="1" s="1"/>
  <c r="F2085" i="1"/>
  <c r="T2084" i="1"/>
  <c r="V2084" i="1" s="1"/>
  <c r="F2084" i="1"/>
  <c r="T2083" i="1"/>
  <c r="V2083" i="1" s="1"/>
  <c r="F2083" i="1"/>
  <c r="T2082" i="1"/>
  <c r="V2082" i="1" s="1"/>
  <c r="F2082" i="1"/>
  <c r="T2081" i="1"/>
  <c r="V2081" i="1" s="1"/>
  <c r="F2081" i="1"/>
  <c r="T2080" i="1"/>
  <c r="V2080" i="1" s="1"/>
  <c r="F2080" i="1"/>
  <c r="T2079" i="1"/>
  <c r="V2079" i="1" s="1"/>
  <c r="F2079" i="1"/>
  <c r="T2078" i="1"/>
  <c r="V2078" i="1" s="1"/>
  <c r="F2078" i="1"/>
  <c r="T2077" i="1"/>
  <c r="V2077" i="1" s="1"/>
  <c r="F2077" i="1"/>
  <c r="T2076" i="1"/>
  <c r="V2076" i="1" s="1"/>
  <c r="F2076" i="1"/>
  <c r="T2075" i="1"/>
  <c r="V2075" i="1" s="1"/>
  <c r="F2075" i="1"/>
  <c r="T2074" i="1"/>
  <c r="V2074" i="1" s="1"/>
  <c r="F2074" i="1"/>
  <c r="T2073" i="1"/>
  <c r="V2073" i="1" s="1"/>
  <c r="F2073" i="1"/>
  <c r="T2072" i="1"/>
  <c r="V2072" i="1" s="1"/>
  <c r="F2072" i="1"/>
  <c r="T2071" i="1"/>
  <c r="V2071" i="1" s="1"/>
  <c r="F2071" i="1"/>
  <c r="T2070" i="1"/>
  <c r="V2070" i="1" s="1"/>
  <c r="F2070" i="1"/>
  <c r="T2069" i="1"/>
  <c r="V2069" i="1" s="1"/>
  <c r="F2069" i="1"/>
  <c r="T2068" i="1"/>
  <c r="V2068" i="1" s="1"/>
  <c r="F2068" i="1"/>
  <c r="T2067" i="1"/>
  <c r="V2067" i="1" s="1"/>
  <c r="F2067" i="1"/>
  <c r="T2066" i="1"/>
  <c r="V2066" i="1" s="1"/>
  <c r="F2066" i="1"/>
  <c r="T2065" i="1"/>
  <c r="V2065" i="1" s="1"/>
  <c r="F2065" i="1"/>
  <c r="T2064" i="1"/>
  <c r="V2064" i="1" s="1"/>
  <c r="F2064" i="1"/>
  <c r="T2063" i="1"/>
  <c r="V2063" i="1" s="1"/>
  <c r="F2063" i="1"/>
  <c r="T2062" i="1"/>
  <c r="V2062" i="1" s="1"/>
  <c r="F2062" i="1"/>
  <c r="T2061" i="1"/>
  <c r="V2061" i="1" s="1"/>
  <c r="F2061" i="1"/>
  <c r="T2060" i="1"/>
  <c r="V2060" i="1" s="1"/>
  <c r="F2060" i="1"/>
  <c r="T2059" i="1"/>
  <c r="V2059" i="1" s="1"/>
  <c r="F2059" i="1"/>
  <c r="T2058" i="1"/>
  <c r="V2058" i="1" s="1"/>
  <c r="F2058" i="1"/>
  <c r="T2057" i="1"/>
  <c r="V2057" i="1" s="1"/>
  <c r="F2057" i="1"/>
  <c r="T2056" i="1"/>
  <c r="V2056" i="1" s="1"/>
  <c r="F2056" i="1"/>
  <c r="T2055" i="1"/>
  <c r="V2055" i="1" s="1"/>
  <c r="F2055" i="1"/>
  <c r="T2054" i="1"/>
  <c r="V2054" i="1" s="1"/>
  <c r="F2054" i="1"/>
  <c r="T2053" i="1"/>
  <c r="V2053" i="1" s="1"/>
  <c r="F2053" i="1"/>
  <c r="T2052" i="1"/>
  <c r="V2052" i="1" s="1"/>
  <c r="F2052" i="1"/>
  <c r="T2051" i="1"/>
  <c r="V2051" i="1" s="1"/>
  <c r="F2051" i="1"/>
  <c r="T2050" i="1"/>
  <c r="V2050" i="1" s="1"/>
  <c r="F2050" i="1"/>
  <c r="T2049" i="1"/>
  <c r="V2049" i="1" s="1"/>
  <c r="F2049" i="1"/>
  <c r="T2048" i="1"/>
  <c r="V2048" i="1" s="1"/>
  <c r="F2048" i="1"/>
  <c r="T2047" i="1"/>
  <c r="V2047" i="1" s="1"/>
  <c r="F2047" i="1"/>
  <c r="T2046" i="1"/>
  <c r="V2046" i="1" s="1"/>
  <c r="F2046" i="1"/>
  <c r="T2045" i="1"/>
  <c r="V2045" i="1" s="1"/>
  <c r="F2045" i="1"/>
  <c r="T2044" i="1"/>
  <c r="V2044" i="1" s="1"/>
  <c r="F2044" i="1"/>
  <c r="T2043" i="1"/>
  <c r="V2043" i="1" s="1"/>
  <c r="F2043" i="1"/>
  <c r="T2042" i="1"/>
  <c r="V2042" i="1" s="1"/>
  <c r="F2042" i="1"/>
  <c r="T2041" i="1"/>
  <c r="V2041" i="1" s="1"/>
  <c r="F2041" i="1"/>
  <c r="T2040" i="1"/>
  <c r="V2040" i="1" s="1"/>
  <c r="F2040" i="1"/>
  <c r="T2039" i="1"/>
  <c r="V2039" i="1" s="1"/>
  <c r="F2039" i="1"/>
  <c r="T2038" i="1"/>
  <c r="V2038" i="1" s="1"/>
  <c r="F2038" i="1"/>
  <c r="T2037" i="1"/>
  <c r="V2037" i="1" s="1"/>
  <c r="F2037" i="1"/>
  <c r="T2036" i="1"/>
  <c r="V2036" i="1" s="1"/>
  <c r="F2036" i="1"/>
  <c r="T2035" i="1"/>
  <c r="V2035" i="1" s="1"/>
  <c r="F2035" i="1"/>
  <c r="T2034" i="1"/>
  <c r="V2034" i="1" s="1"/>
  <c r="F2034" i="1"/>
  <c r="T2033" i="1"/>
  <c r="V2033" i="1" s="1"/>
  <c r="F2033" i="1"/>
  <c r="T2032" i="1"/>
  <c r="V2032" i="1" s="1"/>
  <c r="F2032" i="1"/>
  <c r="T2031" i="1"/>
  <c r="V2031" i="1" s="1"/>
  <c r="F2031" i="1"/>
  <c r="T2030" i="1"/>
  <c r="V2030" i="1" s="1"/>
  <c r="F2030" i="1"/>
  <c r="T2029" i="1"/>
  <c r="V2029" i="1" s="1"/>
  <c r="F2029" i="1"/>
  <c r="T2028" i="1"/>
  <c r="V2028" i="1" s="1"/>
  <c r="F2028" i="1"/>
  <c r="T2027" i="1"/>
  <c r="V2027" i="1" s="1"/>
  <c r="F2027" i="1"/>
  <c r="T2026" i="1"/>
  <c r="V2026" i="1" s="1"/>
  <c r="F2026" i="1"/>
  <c r="T2025" i="1"/>
  <c r="V2025" i="1" s="1"/>
  <c r="F2025" i="1"/>
  <c r="T2024" i="1"/>
  <c r="V2024" i="1" s="1"/>
  <c r="F2024" i="1"/>
  <c r="T2023" i="1"/>
  <c r="V2023" i="1" s="1"/>
  <c r="F2023" i="1"/>
  <c r="T2022" i="1"/>
  <c r="V2022" i="1" s="1"/>
  <c r="F2022" i="1"/>
  <c r="T2021" i="1"/>
  <c r="V2021" i="1" s="1"/>
  <c r="F2021" i="1"/>
  <c r="T2020" i="1"/>
  <c r="V2020" i="1" s="1"/>
  <c r="F2020" i="1"/>
  <c r="T2019" i="1"/>
  <c r="V2019" i="1" s="1"/>
  <c r="F2019" i="1"/>
  <c r="T2018" i="1"/>
  <c r="V2018" i="1" s="1"/>
  <c r="F2018" i="1"/>
  <c r="T2017" i="1"/>
  <c r="V2017" i="1" s="1"/>
  <c r="F2017" i="1"/>
  <c r="T2016" i="1"/>
  <c r="V2016" i="1" s="1"/>
  <c r="F2016" i="1"/>
  <c r="T2015" i="1"/>
  <c r="V2015" i="1" s="1"/>
  <c r="F2015" i="1"/>
  <c r="T2014" i="1"/>
  <c r="V2014" i="1" s="1"/>
  <c r="F2014" i="1"/>
  <c r="T2013" i="1"/>
  <c r="V2013" i="1" s="1"/>
  <c r="F2013" i="1"/>
  <c r="T2012" i="1"/>
  <c r="V2012" i="1" s="1"/>
  <c r="F2012" i="1"/>
  <c r="T2011" i="1"/>
  <c r="V2011" i="1" s="1"/>
  <c r="F2011" i="1"/>
  <c r="T2010" i="1"/>
  <c r="V2010" i="1" s="1"/>
  <c r="F2010" i="1"/>
  <c r="T2009" i="1"/>
  <c r="V2009" i="1" s="1"/>
  <c r="F2009" i="1"/>
  <c r="T2008" i="1"/>
  <c r="V2008" i="1" s="1"/>
  <c r="F2008" i="1"/>
  <c r="T2007" i="1"/>
  <c r="V2007" i="1" s="1"/>
  <c r="F2007" i="1"/>
  <c r="T2006" i="1"/>
  <c r="V2006" i="1" s="1"/>
  <c r="F2006" i="1"/>
  <c r="T2005" i="1"/>
  <c r="V2005" i="1" s="1"/>
  <c r="F2005" i="1"/>
  <c r="T2004" i="1"/>
  <c r="V2004" i="1" s="1"/>
  <c r="F2004" i="1"/>
  <c r="T2003" i="1"/>
  <c r="V2003" i="1" s="1"/>
  <c r="F2003" i="1"/>
  <c r="T2002" i="1"/>
  <c r="V2002" i="1" s="1"/>
  <c r="F2002" i="1"/>
  <c r="T2001" i="1"/>
  <c r="V2001" i="1" s="1"/>
  <c r="F2001" i="1"/>
  <c r="T2000" i="1"/>
  <c r="V2000" i="1" s="1"/>
  <c r="F2000" i="1"/>
  <c r="T1999" i="1"/>
  <c r="V1999" i="1" s="1"/>
  <c r="F1999" i="1"/>
  <c r="T1998" i="1"/>
  <c r="V1998" i="1" s="1"/>
  <c r="F1998" i="1"/>
  <c r="T1997" i="1"/>
  <c r="V1997" i="1" s="1"/>
  <c r="F1997" i="1"/>
  <c r="T1996" i="1"/>
  <c r="V1996" i="1" s="1"/>
  <c r="F1996" i="1"/>
  <c r="T1995" i="1"/>
  <c r="V1995" i="1" s="1"/>
  <c r="F1995" i="1"/>
  <c r="T1994" i="1"/>
  <c r="V1994" i="1" s="1"/>
  <c r="F1994" i="1"/>
  <c r="T1993" i="1"/>
  <c r="V1993" i="1" s="1"/>
  <c r="F1993" i="1"/>
  <c r="T1992" i="1"/>
  <c r="V1992" i="1" s="1"/>
  <c r="F1992" i="1"/>
  <c r="T1991" i="1"/>
  <c r="V1991" i="1" s="1"/>
  <c r="F1991" i="1"/>
  <c r="T1990" i="1"/>
  <c r="V1990" i="1" s="1"/>
  <c r="F1990" i="1"/>
  <c r="T1989" i="1"/>
  <c r="V1989" i="1" s="1"/>
  <c r="F1989" i="1"/>
  <c r="T1988" i="1"/>
  <c r="V1988" i="1" s="1"/>
  <c r="F1988" i="1"/>
  <c r="T1987" i="1"/>
  <c r="V1987" i="1" s="1"/>
  <c r="F1987" i="1"/>
  <c r="T1986" i="1"/>
  <c r="V1986" i="1" s="1"/>
  <c r="F1986" i="1"/>
  <c r="T1985" i="1"/>
  <c r="V1985" i="1" s="1"/>
  <c r="F1985" i="1"/>
  <c r="T1984" i="1"/>
  <c r="V1984" i="1" s="1"/>
  <c r="F1984" i="1"/>
  <c r="T1983" i="1"/>
  <c r="V1983" i="1" s="1"/>
  <c r="F1983" i="1"/>
  <c r="T1982" i="1"/>
  <c r="V1982" i="1" s="1"/>
  <c r="F1982" i="1"/>
  <c r="T1981" i="1"/>
  <c r="V1981" i="1" s="1"/>
  <c r="F1981" i="1"/>
  <c r="T1980" i="1"/>
  <c r="V1980" i="1" s="1"/>
  <c r="F1980" i="1"/>
  <c r="T1979" i="1"/>
  <c r="V1979" i="1" s="1"/>
  <c r="F1979" i="1"/>
  <c r="T1978" i="1"/>
  <c r="V1978" i="1" s="1"/>
  <c r="F1978" i="1"/>
  <c r="T1977" i="1"/>
  <c r="V1977" i="1" s="1"/>
  <c r="F1977" i="1"/>
  <c r="T1976" i="1"/>
  <c r="V1976" i="1" s="1"/>
  <c r="F1976" i="1"/>
  <c r="T1975" i="1"/>
  <c r="V1975" i="1" s="1"/>
  <c r="F1975" i="1"/>
  <c r="T1974" i="1"/>
  <c r="V1974" i="1" s="1"/>
  <c r="F1974" i="1"/>
  <c r="T1973" i="1"/>
  <c r="V1973" i="1" s="1"/>
  <c r="F1973" i="1"/>
  <c r="T1972" i="1"/>
  <c r="V1972" i="1" s="1"/>
  <c r="F1972" i="1"/>
  <c r="T1971" i="1"/>
  <c r="V1971" i="1" s="1"/>
  <c r="F1971" i="1"/>
  <c r="T1970" i="1"/>
  <c r="V1970" i="1" s="1"/>
  <c r="F1970" i="1"/>
  <c r="T1969" i="1"/>
  <c r="V1969" i="1" s="1"/>
  <c r="F1969" i="1"/>
  <c r="T1968" i="1"/>
  <c r="V1968" i="1" s="1"/>
  <c r="F1968" i="1"/>
  <c r="T1967" i="1"/>
  <c r="V1967" i="1" s="1"/>
  <c r="F1967" i="1"/>
  <c r="T1966" i="1"/>
  <c r="V1966" i="1" s="1"/>
  <c r="F1966" i="1"/>
  <c r="T1965" i="1"/>
  <c r="V1965" i="1" s="1"/>
  <c r="F1965" i="1"/>
  <c r="T1964" i="1"/>
  <c r="V1964" i="1" s="1"/>
  <c r="F1964" i="1"/>
  <c r="T1963" i="1"/>
  <c r="V1963" i="1" s="1"/>
  <c r="F1963" i="1"/>
  <c r="T1962" i="1"/>
  <c r="V1962" i="1" s="1"/>
  <c r="F1962" i="1"/>
  <c r="T1961" i="1"/>
  <c r="V1961" i="1" s="1"/>
  <c r="F1961" i="1"/>
  <c r="T1960" i="1"/>
  <c r="V1960" i="1" s="1"/>
  <c r="F1960" i="1"/>
  <c r="T1959" i="1"/>
  <c r="V1959" i="1" s="1"/>
  <c r="F1959" i="1"/>
  <c r="T1958" i="1"/>
  <c r="V1958" i="1" s="1"/>
  <c r="F1958" i="1"/>
  <c r="T1957" i="1"/>
  <c r="V1957" i="1" s="1"/>
  <c r="F1957" i="1"/>
  <c r="T1956" i="1"/>
  <c r="V1956" i="1" s="1"/>
  <c r="F1956" i="1"/>
  <c r="T1955" i="1"/>
  <c r="V1955" i="1" s="1"/>
  <c r="F1955" i="1"/>
  <c r="T1954" i="1"/>
  <c r="V1954" i="1" s="1"/>
  <c r="F1954" i="1"/>
  <c r="T1953" i="1"/>
  <c r="V1953" i="1" s="1"/>
  <c r="F1953" i="1"/>
  <c r="T1952" i="1"/>
  <c r="V1952" i="1" s="1"/>
  <c r="F1952" i="1"/>
  <c r="T1951" i="1"/>
  <c r="V1951" i="1" s="1"/>
  <c r="F1951" i="1"/>
  <c r="T1950" i="1"/>
  <c r="V1950" i="1" s="1"/>
  <c r="F1950" i="1"/>
  <c r="T1949" i="1"/>
  <c r="V1949" i="1" s="1"/>
  <c r="F1949" i="1"/>
  <c r="T1948" i="1"/>
  <c r="V1948" i="1" s="1"/>
  <c r="F1948" i="1"/>
  <c r="T1947" i="1"/>
  <c r="V1947" i="1" s="1"/>
  <c r="F1947" i="1"/>
  <c r="T1946" i="1"/>
  <c r="V1946" i="1" s="1"/>
  <c r="F1946" i="1"/>
  <c r="T1945" i="1"/>
  <c r="V1945" i="1" s="1"/>
  <c r="F1945" i="1"/>
  <c r="T1944" i="1"/>
  <c r="V1944" i="1" s="1"/>
  <c r="F1944" i="1"/>
  <c r="T1943" i="1"/>
  <c r="V1943" i="1" s="1"/>
  <c r="F1943" i="1"/>
  <c r="T1942" i="1"/>
  <c r="V1942" i="1" s="1"/>
  <c r="F1942" i="1"/>
  <c r="T1941" i="1"/>
  <c r="V1941" i="1" s="1"/>
  <c r="F1941" i="1"/>
  <c r="T1940" i="1"/>
  <c r="V1940" i="1" s="1"/>
  <c r="F1940" i="1"/>
  <c r="T1939" i="1"/>
  <c r="V1939" i="1" s="1"/>
  <c r="F1939" i="1"/>
  <c r="T1938" i="1"/>
  <c r="V1938" i="1" s="1"/>
  <c r="F1938" i="1"/>
  <c r="T1937" i="1"/>
  <c r="V1937" i="1" s="1"/>
  <c r="F1937" i="1"/>
  <c r="T1936" i="1"/>
  <c r="V1936" i="1" s="1"/>
  <c r="F1936" i="1"/>
  <c r="T1935" i="1"/>
  <c r="V1935" i="1" s="1"/>
  <c r="F1935" i="1"/>
  <c r="T1934" i="1"/>
  <c r="V1934" i="1" s="1"/>
  <c r="F1934" i="1"/>
  <c r="T1933" i="1"/>
  <c r="V1933" i="1" s="1"/>
  <c r="F1933" i="1"/>
  <c r="T1932" i="1"/>
  <c r="V1932" i="1" s="1"/>
  <c r="F1932" i="1"/>
  <c r="T1931" i="1"/>
  <c r="V1931" i="1" s="1"/>
  <c r="F1931" i="1"/>
  <c r="T1930" i="1"/>
  <c r="V1930" i="1" s="1"/>
  <c r="F1930" i="1"/>
  <c r="T1929" i="1"/>
  <c r="V1929" i="1" s="1"/>
  <c r="F1929" i="1"/>
  <c r="T1928" i="1"/>
  <c r="V1928" i="1" s="1"/>
  <c r="F1928" i="1"/>
  <c r="T1927" i="1"/>
  <c r="V1927" i="1" s="1"/>
  <c r="F1927" i="1"/>
  <c r="T1926" i="1"/>
  <c r="V1926" i="1" s="1"/>
  <c r="F1926" i="1"/>
  <c r="T1925" i="1"/>
  <c r="V1925" i="1" s="1"/>
  <c r="F1925" i="1"/>
  <c r="T1924" i="1"/>
  <c r="V1924" i="1" s="1"/>
  <c r="F1924" i="1"/>
  <c r="T1923" i="1"/>
  <c r="V1923" i="1" s="1"/>
  <c r="F1923" i="1"/>
  <c r="T1922" i="1"/>
  <c r="V1922" i="1" s="1"/>
  <c r="F1922" i="1"/>
  <c r="T1921" i="1"/>
  <c r="V1921" i="1" s="1"/>
  <c r="F1921" i="1"/>
  <c r="T1920" i="1"/>
  <c r="V1920" i="1" s="1"/>
  <c r="F1920" i="1"/>
  <c r="T1919" i="1"/>
  <c r="V1919" i="1" s="1"/>
  <c r="F1919" i="1"/>
  <c r="T1918" i="1"/>
  <c r="V1918" i="1" s="1"/>
  <c r="F1918" i="1"/>
  <c r="T1917" i="1"/>
  <c r="V1917" i="1" s="1"/>
  <c r="F1917" i="1"/>
  <c r="T1916" i="1"/>
  <c r="V1916" i="1" s="1"/>
  <c r="F1916" i="1"/>
  <c r="T1915" i="1"/>
  <c r="V1915" i="1" s="1"/>
  <c r="F1915" i="1"/>
  <c r="T1914" i="1"/>
  <c r="V1914" i="1" s="1"/>
  <c r="F1914" i="1"/>
  <c r="T1913" i="1"/>
  <c r="V1913" i="1" s="1"/>
  <c r="F1913" i="1"/>
  <c r="T1912" i="1"/>
  <c r="V1912" i="1" s="1"/>
  <c r="F1912" i="1"/>
  <c r="T1911" i="1"/>
  <c r="V1911" i="1" s="1"/>
  <c r="F1911" i="1"/>
  <c r="T1910" i="1"/>
  <c r="V1910" i="1" s="1"/>
  <c r="F1910" i="1"/>
  <c r="T1909" i="1"/>
  <c r="V1909" i="1" s="1"/>
  <c r="F1909" i="1"/>
  <c r="T1908" i="1"/>
  <c r="V1908" i="1" s="1"/>
  <c r="F1908" i="1"/>
  <c r="T1907" i="1"/>
  <c r="V1907" i="1" s="1"/>
  <c r="F1907" i="1"/>
  <c r="T1906" i="1"/>
  <c r="V1906" i="1" s="1"/>
  <c r="F1906" i="1"/>
  <c r="T1905" i="1"/>
  <c r="V1905" i="1" s="1"/>
  <c r="F1905" i="1"/>
  <c r="T1904" i="1"/>
  <c r="V1904" i="1" s="1"/>
  <c r="F1904" i="1"/>
  <c r="T1903" i="1"/>
  <c r="V1903" i="1" s="1"/>
  <c r="F1903" i="1"/>
  <c r="T1902" i="1"/>
  <c r="V1902" i="1" s="1"/>
  <c r="F1902" i="1"/>
  <c r="T1901" i="1"/>
  <c r="V1901" i="1" s="1"/>
  <c r="F1901" i="1"/>
  <c r="T1900" i="1"/>
  <c r="V1900" i="1" s="1"/>
  <c r="F1900" i="1"/>
  <c r="T1899" i="1"/>
  <c r="V1899" i="1" s="1"/>
  <c r="F1899" i="1"/>
  <c r="T1898" i="1"/>
  <c r="V1898" i="1" s="1"/>
  <c r="F1898" i="1"/>
  <c r="T1897" i="1"/>
  <c r="V1897" i="1" s="1"/>
  <c r="F1897" i="1"/>
  <c r="T1896" i="1"/>
  <c r="V1896" i="1" s="1"/>
  <c r="F1896" i="1"/>
  <c r="T1895" i="1"/>
  <c r="V1895" i="1" s="1"/>
  <c r="F1895" i="1"/>
  <c r="T1894" i="1"/>
  <c r="V1894" i="1" s="1"/>
  <c r="F1894" i="1"/>
  <c r="T1893" i="1"/>
  <c r="V1893" i="1" s="1"/>
  <c r="F1893" i="1"/>
  <c r="T1892" i="1"/>
  <c r="V1892" i="1" s="1"/>
  <c r="F1892" i="1"/>
  <c r="T1891" i="1"/>
  <c r="V1891" i="1" s="1"/>
  <c r="F1891" i="1"/>
  <c r="T1890" i="1"/>
  <c r="V1890" i="1" s="1"/>
  <c r="F1890" i="1"/>
  <c r="T1889" i="1"/>
  <c r="V1889" i="1" s="1"/>
  <c r="F1889" i="1"/>
  <c r="T1888" i="1"/>
  <c r="V1888" i="1" s="1"/>
  <c r="F1888" i="1"/>
  <c r="T1887" i="1"/>
  <c r="V1887" i="1" s="1"/>
  <c r="F1887" i="1"/>
  <c r="T1886" i="1"/>
  <c r="V1886" i="1" s="1"/>
  <c r="F1886" i="1"/>
  <c r="T1885" i="1"/>
  <c r="V1885" i="1" s="1"/>
  <c r="F1885" i="1"/>
  <c r="T1884" i="1"/>
  <c r="V1884" i="1" s="1"/>
  <c r="F1884" i="1"/>
  <c r="T1883" i="1"/>
  <c r="V1883" i="1" s="1"/>
  <c r="F1883" i="1"/>
  <c r="T1882" i="1"/>
  <c r="V1882" i="1" s="1"/>
  <c r="F1882" i="1"/>
  <c r="T1881" i="1"/>
  <c r="V1881" i="1" s="1"/>
  <c r="F1881" i="1"/>
  <c r="T1880" i="1"/>
  <c r="V1880" i="1" s="1"/>
  <c r="F1880" i="1"/>
  <c r="T1879" i="1"/>
  <c r="V1879" i="1" s="1"/>
  <c r="F1879" i="1"/>
  <c r="T1878" i="1"/>
  <c r="V1878" i="1" s="1"/>
  <c r="F1878" i="1"/>
  <c r="T1877" i="1"/>
  <c r="V1877" i="1" s="1"/>
  <c r="F1877" i="1"/>
  <c r="T1876" i="1"/>
  <c r="V1876" i="1" s="1"/>
  <c r="F1876" i="1"/>
  <c r="T1875" i="1"/>
  <c r="V1875" i="1" s="1"/>
  <c r="F1875" i="1"/>
  <c r="T1874" i="1"/>
  <c r="V1874" i="1" s="1"/>
  <c r="F1874" i="1"/>
  <c r="T1873" i="1"/>
  <c r="V1873" i="1" s="1"/>
  <c r="F1873" i="1"/>
  <c r="T1872" i="1"/>
  <c r="V1872" i="1" s="1"/>
  <c r="F1872" i="1"/>
  <c r="T1871" i="1"/>
  <c r="V1871" i="1" s="1"/>
  <c r="F1871" i="1"/>
  <c r="T1870" i="1"/>
  <c r="V1870" i="1" s="1"/>
  <c r="F1870" i="1"/>
  <c r="T1869" i="1"/>
  <c r="V1869" i="1" s="1"/>
  <c r="F1869" i="1"/>
  <c r="T1868" i="1"/>
  <c r="V1868" i="1" s="1"/>
  <c r="F1868" i="1"/>
  <c r="T1867" i="1"/>
  <c r="V1867" i="1" s="1"/>
  <c r="F1867" i="1"/>
  <c r="T1866" i="1"/>
  <c r="V1866" i="1" s="1"/>
  <c r="F1866" i="1"/>
  <c r="T1865" i="1"/>
  <c r="V1865" i="1" s="1"/>
  <c r="F1865" i="1"/>
  <c r="T1864" i="1"/>
  <c r="V1864" i="1" s="1"/>
  <c r="F1864" i="1"/>
  <c r="T1863" i="1"/>
  <c r="V1863" i="1" s="1"/>
  <c r="F1863" i="1"/>
  <c r="T1862" i="1"/>
  <c r="V1862" i="1" s="1"/>
  <c r="F1862" i="1"/>
  <c r="T1861" i="1"/>
  <c r="V1861" i="1" s="1"/>
  <c r="F1861" i="1"/>
  <c r="T1860" i="1"/>
  <c r="V1860" i="1" s="1"/>
  <c r="F1860" i="1"/>
  <c r="T1859" i="1"/>
  <c r="V1859" i="1" s="1"/>
  <c r="F1859" i="1"/>
  <c r="T1858" i="1"/>
  <c r="V1858" i="1" s="1"/>
  <c r="F1858" i="1"/>
  <c r="T1857" i="1"/>
  <c r="V1857" i="1" s="1"/>
  <c r="F1857" i="1"/>
  <c r="T1856" i="1"/>
  <c r="V1856" i="1" s="1"/>
  <c r="F1856" i="1"/>
  <c r="T1855" i="1"/>
  <c r="V1855" i="1" s="1"/>
  <c r="F1855" i="1"/>
  <c r="T1854" i="1"/>
  <c r="V1854" i="1" s="1"/>
  <c r="F1854" i="1"/>
  <c r="T1853" i="1"/>
  <c r="V1853" i="1" s="1"/>
  <c r="F1853" i="1"/>
  <c r="T1852" i="1"/>
  <c r="V1852" i="1" s="1"/>
  <c r="F1852" i="1"/>
  <c r="T1851" i="1"/>
  <c r="V1851" i="1" s="1"/>
  <c r="F1851" i="1"/>
  <c r="T1850" i="1"/>
  <c r="V1850" i="1" s="1"/>
  <c r="F1850" i="1"/>
  <c r="T1849" i="1"/>
  <c r="V1849" i="1" s="1"/>
  <c r="F1849" i="1"/>
  <c r="T1848" i="1"/>
  <c r="V1848" i="1" s="1"/>
  <c r="F1848" i="1"/>
  <c r="T1847" i="1"/>
  <c r="V1847" i="1" s="1"/>
  <c r="F1847" i="1"/>
  <c r="T1846" i="1"/>
  <c r="V1846" i="1" s="1"/>
  <c r="F1846" i="1"/>
  <c r="T1845" i="1"/>
  <c r="V1845" i="1" s="1"/>
  <c r="F1845" i="1"/>
  <c r="T1844" i="1"/>
  <c r="V1844" i="1" s="1"/>
  <c r="F1844" i="1"/>
  <c r="T1843" i="1"/>
  <c r="V1843" i="1" s="1"/>
  <c r="F1843" i="1"/>
  <c r="T1842" i="1"/>
  <c r="V1842" i="1" s="1"/>
  <c r="F1842" i="1"/>
  <c r="T1841" i="1"/>
  <c r="V1841" i="1" s="1"/>
  <c r="F1841" i="1"/>
  <c r="T1840" i="1"/>
  <c r="V1840" i="1" s="1"/>
  <c r="F1840" i="1"/>
  <c r="T1839" i="1"/>
  <c r="V1839" i="1" s="1"/>
  <c r="F1839" i="1"/>
  <c r="T1838" i="1"/>
  <c r="V1838" i="1" s="1"/>
  <c r="F1838" i="1"/>
  <c r="T1837" i="1"/>
  <c r="V1837" i="1" s="1"/>
  <c r="F1837" i="1"/>
  <c r="T1836" i="1"/>
  <c r="V1836" i="1" s="1"/>
  <c r="F1836" i="1"/>
  <c r="T1835" i="1"/>
  <c r="V1835" i="1" s="1"/>
  <c r="F1835" i="1"/>
  <c r="T1834" i="1"/>
  <c r="V1834" i="1" s="1"/>
  <c r="F1834" i="1"/>
  <c r="T1833" i="1"/>
  <c r="V1833" i="1" s="1"/>
  <c r="F1833" i="1"/>
  <c r="T1832" i="1"/>
  <c r="V1832" i="1" s="1"/>
  <c r="F1832" i="1"/>
  <c r="T1831" i="1"/>
  <c r="V1831" i="1" s="1"/>
  <c r="F1831" i="1"/>
  <c r="T1830" i="1"/>
  <c r="V1830" i="1" s="1"/>
  <c r="F1830" i="1"/>
  <c r="T1829" i="1"/>
  <c r="V1829" i="1" s="1"/>
  <c r="F1829" i="1"/>
  <c r="T1828" i="1"/>
  <c r="V1828" i="1" s="1"/>
  <c r="F1828" i="1"/>
  <c r="T1827" i="1"/>
  <c r="V1827" i="1" s="1"/>
  <c r="F1827" i="1"/>
  <c r="T1826" i="1"/>
  <c r="V1826" i="1" s="1"/>
  <c r="F1826" i="1"/>
  <c r="T1825" i="1"/>
  <c r="V1825" i="1" s="1"/>
  <c r="F1825" i="1"/>
  <c r="T1824" i="1"/>
  <c r="V1824" i="1" s="1"/>
  <c r="F1824" i="1"/>
  <c r="T1823" i="1"/>
  <c r="V1823" i="1" s="1"/>
  <c r="F1823" i="1"/>
  <c r="T1822" i="1"/>
  <c r="V1822" i="1" s="1"/>
  <c r="F1822" i="1"/>
  <c r="T1821" i="1"/>
  <c r="V1821" i="1" s="1"/>
  <c r="F1821" i="1"/>
  <c r="T1820" i="1"/>
  <c r="V1820" i="1" s="1"/>
  <c r="F1820" i="1"/>
  <c r="T1819" i="1"/>
  <c r="V1819" i="1" s="1"/>
  <c r="F1819" i="1"/>
  <c r="T1818" i="1"/>
  <c r="V1818" i="1" s="1"/>
  <c r="F1818" i="1"/>
  <c r="T1817" i="1"/>
  <c r="V1817" i="1" s="1"/>
  <c r="F1817" i="1"/>
  <c r="T1816" i="1"/>
  <c r="V1816" i="1" s="1"/>
  <c r="F1816" i="1"/>
  <c r="T1815" i="1"/>
  <c r="V1815" i="1" s="1"/>
  <c r="F1815" i="1"/>
  <c r="T1814" i="1"/>
  <c r="V1814" i="1" s="1"/>
  <c r="F1814" i="1"/>
  <c r="T1813" i="1"/>
  <c r="V1813" i="1" s="1"/>
  <c r="F1813" i="1"/>
  <c r="T1812" i="1"/>
  <c r="V1812" i="1" s="1"/>
  <c r="F1812" i="1"/>
  <c r="T1811" i="1"/>
  <c r="V1811" i="1" s="1"/>
  <c r="F1811" i="1"/>
  <c r="T1810" i="1"/>
  <c r="V1810" i="1" s="1"/>
  <c r="F1810" i="1"/>
  <c r="T1809" i="1"/>
  <c r="V1809" i="1" s="1"/>
  <c r="F1809" i="1"/>
  <c r="T1808" i="1"/>
  <c r="V1808" i="1" s="1"/>
  <c r="F1808" i="1"/>
  <c r="T1807" i="1"/>
  <c r="V1807" i="1" s="1"/>
  <c r="F1807" i="1"/>
  <c r="T1806" i="1"/>
  <c r="V1806" i="1" s="1"/>
  <c r="F1806" i="1"/>
  <c r="T1805" i="1"/>
  <c r="V1805" i="1" s="1"/>
  <c r="F1805" i="1"/>
  <c r="T1804" i="1"/>
  <c r="V1804" i="1" s="1"/>
  <c r="F1804" i="1"/>
  <c r="T1803" i="1"/>
  <c r="V1803" i="1" s="1"/>
  <c r="F1803" i="1"/>
  <c r="T1802" i="1"/>
  <c r="V1802" i="1" s="1"/>
  <c r="F1802" i="1"/>
  <c r="T1801" i="1"/>
  <c r="V1801" i="1" s="1"/>
  <c r="F1801" i="1"/>
  <c r="T1800" i="1"/>
  <c r="V1800" i="1" s="1"/>
  <c r="F1800" i="1"/>
  <c r="T1799" i="1"/>
  <c r="V1799" i="1" s="1"/>
  <c r="F1799" i="1"/>
  <c r="T1798" i="1"/>
  <c r="V1798" i="1" s="1"/>
  <c r="F1798" i="1"/>
  <c r="T1797" i="1"/>
  <c r="V1797" i="1" s="1"/>
  <c r="F1797" i="1"/>
  <c r="T1796" i="1"/>
  <c r="V1796" i="1" s="1"/>
  <c r="F1796" i="1"/>
  <c r="T1795" i="1"/>
  <c r="V1795" i="1" s="1"/>
  <c r="F1795" i="1"/>
  <c r="T1794" i="1"/>
  <c r="V1794" i="1" s="1"/>
  <c r="F1794" i="1"/>
  <c r="T1793" i="1"/>
  <c r="V1793" i="1" s="1"/>
  <c r="F1793" i="1"/>
  <c r="T1792" i="1"/>
  <c r="V1792" i="1" s="1"/>
  <c r="F1792" i="1"/>
  <c r="T1791" i="1"/>
  <c r="V1791" i="1" s="1"/>
  <c r="F1791" i="1"/>
  <c r="T1790" i="1"/>
  <c r="V1790" i="1" s="1"/>
  <c r="F1790" i="1"/>
  <c r="T1789" i="1"/>
  <c r="V1789" i="1" s="1"/>
  <c r="F1789" i="1"/>
  <c r="T1788" i="1"/>
  <c r="V1788" i="1" s="1"/>
  <c r="F1788" i="1"/>
  <c r="T1787" i="1"/>
  <c r="V1787" i="1" s="1"/>
  <c r="F1787" i="1"/>
  <c r="T1786" i="1"/>
  <c r="V1786" i="1" s="1"/>
  <c r="F1786" i="1"/>
  <c r="T1785" i="1"/>
  <c r="V1785" i="1" s="1"/>
  <c r="F1785" i="1"/>
  <c r="T1784" i="1"/>
  <c r="V1784" i="1" s="1"/>
  <c r="F1784" i="1"/>
  <c r="T1783" i="1"/>
  <c r="V1783" i="1" s="1"/>
  <c r="F1783" i="1"/>
  <c r="T1782" i="1"/>
  <c r="V1782" i="1" s="1"/>
  <c r="F1782" i="1"/>
  <c r="T1781" i="1"/>
  <c r="V1781" i="1" s="1"/>
  <c r="F1781" i="1"/>
  <c r="T1780" i="1"/>
  <c r="V1780" i="1" s="1"/>
  <c r="F1780" i="1"/>
  <c r="T1779" i="1"/>
  <c r="V1779" i="1" s="1"/>
  <c r="F1779" i="1"/>
  <c r="T1778" i="1"/>
  <c r="V1778" i="1" s="1"/>
  <c r="F1778" i="1"/>
  <c r="T1777" i="1"/>
  <c r="V1777" i="1" s="1"/>
  <c r="F1777" i="1"/>
  <c r="T1776" i="1"/>
  <c r="V1776" i="1" s="1"/>
  <c r="F1776" i="1"/>
  <c r="T1775" i="1"/>
  <c r="V1775" i="1" s="1"/>
  <c r="F1775" i="1"/>
  <c r="T1774" i="1"/>
  <c r="V1774" i="1" s="1"/>
  <c r="F1774" i="1"/>
  <c r="T1773" i="1"/>
  <c r="V1773" i="1" s="1"/>
  <c r="F1773" i="1"/>
  <c r="T1772" i="1"/>
  <c r="V1772" i="1" s="1"/>
  <c r="F1772" i="1"/>
  <c r="T1771" i="1"/>
  <c r="V1771" i="1" s="1"/>
  <c r="F1771" i="1"/>
  <c r="T1770" i="1"/>
  <c r="V1770" i="1" s="1"/>
  <c r="F1770" i="1"/>
  <c r="T1769" i="1"/>
  <c r="V1769" i="1" s="1"/>
  <c r="F1769" i="1"/>
  <c r="T1768" i="1"/>
  <c r="V1768" i="1" s="1"/>
  <c r="F1768" i="1"/>
  <c r="T1767" i="1"/>
  <c r="V1767" i="1" s="1"/>
  <c r="F1767" i="1"/>
  <c r="T1766" i="1"/>
  <c r="V1766" i="1" s="1"/>
  <c r="F1766" i="1"/>
  <c r="T1765" i="1"/>
  <c r="V1765" i="1" s="1"/>
  <c r="F1765" i="1"/>
  <c r="T1764" i="1"/>
  <c r="V1764" i="1" s="1"/>
  <c r="F1764" i="1"/>
  <c r="T1763" i="1"/>
  <c r="V1763" i="1" s="1"/>
  <c r="F1763" i="1"/>
  <c r="T1762" i="1"/>
  <c r="V1762" i="1" s="1"/>
  <c r="F1762" i="1"/>
  <c r="T1761" i="1"/>
  <c r="V1761" i="1" s="1"/>
  <c r="F1761" i="1"/>
  <c r="T1760" i="1"/>
  <c r="V1760" i="1" s="1"/>
  <c r="F1760" i="1"/>
  <c r="T1759" i="1"/>
  <c r="V1759" i="1" s="1"/>
  <c r="F1759" i="1"/>
  <c r="T1758" i="1"/>
  <c r="V1758" i="1" s="1"/>
  <c r="F1758" i="1"/>
  <c r="T1757" i="1"/>
  <c r="V1757" i="1" s="1"/>
  <c r="F1757" i="1"/>
  <c r="T1756" i="1"/>
  <c r="V1756" i="1" s="1"/>
  <c r="F1756" i="1"/>
  <c r="T1755" i="1"/>
  <c r="V1755" i="1" s="1"/>
  <c r="F1755" i="1"/>
  <c r="T1754" i="1"/>
  <c r="V1754" i="1" s="1"/>
  <c r="F1754" i="1"/>
  <c r="T1753" i="1"/>
  <c r="V1753" i="1" s="1"/>
  <c r="F1753" i="1"/>
  <c r="T1752" i="1"/>
  <c r="V1752" i="1" s="1"/>
  <c r="F1752" i="1"/>
  <c r="T1751" i="1"/>
  <c r="V1751" i="1" s="1"/>
  <c r="F1751" i="1"/>
  <c r="T1750" i="1"/>
  <c r="V1750" i="1" s="1"/>
  <c r="F1750" i="1"/>
  <c r="T1749" i="1"/>
  <c r="V1749" i="1" s="1"/>
  <c r="F1749" i="1"/>
  <c r="T1748" i="1"/>
  <c r="V1748" i="1" s="1"/>
  <c r="F1748" i="1"/>
  <c r="T1747" i="1"/>
  <c r="V1747" i="1" s="1"/>
  <c r="F1747" i="1"/>
  <c r="T1746" i="1"/>
  <c r="V1746" i="1" s="1"/>
  <c r="F1746" i="1"/>
  <c r="T1745" i="1"/>
  <c r="V1745" i="1" s="1"/>
  <c r="F1745" i="1"/>
  <c r="T1744" i="1"/>
  <c r="V1744" i="1" s="1"/>
  <c r="F1744" i="1"/>
  <c r="T1743" i="1"/>
  <c r="V1743" i="1" s="1"/>
  <c r="F1743" i="1"/>
  <c r="T1742" i="1"/>
  <c r="V1742" i="1" s="1"/>
  <c r="F1742" i="1"/>
  <c r="T1741" i="1"/>
  <c r="V1741" i="1" s="1"/>
  <c r="F1741" i="1"/>
  <c r="T1740" i="1"/>
  <c r="V1740" i="1" s="1"/>
  <c r="F1740" i="1"/>
  <c r="T1739" i="1"/>
  <c r="V1739" i="1" s="1"/>
  <c r="F1739" i="1"/>
  <c r="T1738" i="1"/>
  <c r="V1738" i="1" s="1"/>
  <c r="F1738" i="1"/>
  <c r="T1737" i="1"/>
  <c r="V1737" i="1" s="1"/>
  <c r="F1737" i="1"/>
  <c r="T1736" i="1"/>
  <c r="V1736" i="1" s="1"/>
  <c r="F1736" i="1"/>
  <c r="T1735" i="1"/>
  <c r="V1735" i="1" s="1"/>
  <c r="F1735" i="1"/>
  <c r="T1734" i="1"/>
  <c r="V1734" i="1" s="1"/>
  <c r="F1734" i="1"/>
  <c r="T1733" i="1"/>
  <c r="V1733" i="1" s="1"/>
  <c r="F1733" i="1"/>
  <c r="T1732" i="1"/>
  <c r="V1732" i="1" s="1"/>
  <c r="F1732" i="1"/>
  <c r="T1731" i="1"/>
  <c r="V1731" i="1" s="1"/>
  <c r="F1731" i="1"/>
  <c r="T1730" i="1"/>
  <c r="V1730" i="1" s="1"/>
  <c r="F1730" i="1"/>
  <c r="T1729" i="1"/>
  <c r="V1729" i="1" s="1"/>
  <c r="F1729" i="1"/>
  <c r="T1728" i="1"/>
  <c r="V1728" i="1" s="1"/>
  <c r="F1728" i="1"/>
  <c r="T1727" i="1"/>
  <c r="V1727" i="1" s="1"/>
  <c r="F1727" i="1"/>
  <c r="T1726" i="1"/>
  <c r="V1726" i="1" s="1"/>
  <c r="F1726" i="1"/>
  <c r="T1725" i="1"/>
  <c r="V1725" i="1" s="1"/>
  <c r="F1725" i="1"/>
  <c r="T1724" i="1"/>
  <c r="V1724" i="1" s="1"/>
  <c r="F1724" i="1"/>
  <c r="T1723" i="1"/>
  <c r="V1723" i="1" s="1"/>
  <c r="F1723" i="1"/>
  <c r="T1722" i="1"/>
  <c r="V1722" i="1" s="1"/>
  <c r="F1722" i="1"/>
  <c r="T1721" i="1"/>
  <c r="V1721" i="1" s="1"/>
  <c r="F1721" i="1"/>
  <c r="T1720" i="1"/>
  <c r="V1720" i="1" s="1"/>
  <c r="F1720" i="1"/>
  <c r="T1719" i="1"/>
  <c r="V1719" i="1" s="1"/>
  <c r="F1719" i="1"/>
  <c r="T1718" i="1"/>
  <c r="V1718" i="1" s="1"/>
  <c r="F1718" i="1"/>
  <c r="T1717" i="1"/>
  <c r="V1717" i="1" s="1"/>
  <c r="F1717" i="1"/>
  <c r="T1716" i="1"/>
  <c r="V1716" i="1" s="1"/>
  <c r="F1716" i="1"/>
  <c r="T1715" i="1"/>
  <c r="V1715" i="1" s="1"/>
  <c r="F1715" i="1"/>
  <c r="T1714" i="1"/>
  <c r="V1714" i="1" s="1"/>
  <c r="F1714" i="1"/>
  <c r="T1713" i="1"/>
  <c r="V1713" i="1" s="1"/>
  <c r="F1713" i="1"/>
  <c r="T1712" i="1"/>
  <c r="V1712" i="1" s="1"/>
  <c r="F1712" i="1"/>
  <c r="T1711" i="1"/>
  <c r="V1711" i="1" s="1"/>
  <c r="F1711" i="1"/>
  <c r="T1710" i="1"/>
  <c r="V1710" i="1" s="1"/>
  <c r="F1710" i="1"/>
  <c r="T1709" i="1"/>
  <c r="V1709" i="1" s="1"/>
  <c r="F1709" i="1"/>
  <c r="T1708" i="1"/>
  <c r="V1708" i="1" s="1"/>
  <c r="F1708" i="1"/>
  <c r="T1707" i="1"/>
  <c r="V1707" i="1" s="1"/>
  <c r="F1707" i="1"/>
  <c r="T1706" i="1"/>
  <c r="V1706" i="1" s="1"/>
  <c r="F1706" i="1"/>
  <c r="T1705" i="1"/>
  <c r="V1705" i="1" s="1"/>
  <c r="F1705" i="1"/>
  <c r="T1704" i="1"/>
  <c r="V1704" i="1" s="1"/>
  <c r="F1704" i="1"/>
  <c r="T1703" i="1"/>
  <c r="V1703" i="1" s="1"/>
  <c r="F1703" i="1"/>
  <c r="T1702" i="1"/>
  <c r="V1702" i="1" s="1"/>
  <c r="F1702" i="1"/>
  <c r="T1701" i="1"/>
  <c r="V1701" i="1" s="1"/>
  <c r="F1701" i="1"/>
  <c r="T1700" i="1"/>
  <c r="V1700" i="1" s="1"/>
  <c r="F1700" i="1"/>
  <c r="T1699" i="1"/>
  <c r="V1699" i="1" s="1"/>
  <c r="F1699" i="1"/>
  <c r="T1698" i="1"/>
  <c r="V1698" i="1" s="1"/>
  <c r="F1698" i="1"/>
  <c r="T1697" i="1"/>
  <c r="V1697" i="1" s="1"/>
  <c r="F1697" i="1"/>
  <c r="T1696" i="1"/>
  <c r="V1696" i="1" s="1"/>
  <c r="F1696" i="1"/>
  <c r="T1695" i="1"/>
  <c r="V1695" i="1" s="1"/>
  <c r="F1695" i="1"/>
  <c r="T1694" i="1"/>
  <c r="V1694" i="1" s="1"/>
  <c r="F1694" i="1"/>
  <c r="T1693" i="1"/>
  <c r="V1693" i="1" s="1"/>
  <c r="F1693" i="1"/>
  <c r="T1692" i="1"/>
  <c r="V1692" i="1" s="1"/>
  <c r="F1692" i="1"/>
  <c r="T1691" i="1"/>
  <c r="V1691" i="1" s="1"/>
  <c r="F1691" i="1"/>
  <c r="T1690" i="1"/>
  <c r="V1690" i="1" s="1"/>
  <c r="F1690" i="1"/>
  <c r="T1689" i="1"/>
  <c r="V1689" i="1" s="1"/>
  <c r="F1689" i="1"/>
  <c r="T1688" i="1"/>
  <c r="V1688" i="1" s="1"/>
  <c r="F1688" i="1"/>
  <c r="T1687" i="1"/>
  <c r="V1687" i="1" s="1"/>
  <c r="F1687" i="1"/>
  <c r="T1686" i="1"/>
  <c r="V1686" i="1" s="1"/>
  <c r="F1686" i="1"/>
  <c r="T1685" i="1"/>
  <c r="V1685" i="1" s="1"/>
  <c r="F1685" i="1"/>
  <c r="T1684" i="1"/>
  <c r="V1684" i="1" s="1"/>
  <c r="F1684" i="1"/>
  <c r="T1683" i="1"/>
  <c r="V1683" i="1" s="1"/>
  <c r="F1683" i="1"/>
  <c r="T1682" i="1"/>
  <c r="V1682" i="1" s="1"/>
  <c r="F1682" i="1"/>
  <c r="T1681" i="1"/>
  <c r="V1681" i="1" s="1"/>
  <c r="F1681" i="1"/>
  <c r="T1680" i="1"/>
  <c r="V1680" i="1" s="1"/>
  <c r="F1680" i="1"/>
  <c r="T1679" i="1"/>
  <c r="V1679" i="1" s="1"/>
  <c r="F1679" i="1"/>
  <c r="T1678" i="1"/>
  <c r="V1678" i="1" s="1"/>
  <c r="F1678" i="1"/>
  <c r="T1677" i="1"/>
  <c r="V1677" i="1" s="1"/>
  <c r="F1677" i="1"/>
  <c r="T1676" i="1"/>
  <c r="V1676" i="1" s="1"/>
  <c r="F1676" i="1"/>
  <c r="T1675" i="1"/>
  <c r="V1675" i="1" s="1"/>
  <c r="F1675" i="1"/>
  <c r="T1674" i="1"/>
  <c r="V1674" i="1" s="1"/>
  <c r="F1674" i="1"/>
  <c r="T1673" i="1"/>
  <c r="V1673" i="1" s="1"/>
  <c r="F1673" i="1"/>
  <c r="T1672" i="1"/>
  <c r="V1672" i="1" s="1"/>
  <c r="F1672" i="1"/>
  <c r="T1671" i="1"/>
  <c r="V1671" i="1" s="1"/>
  <c r="F1671" i="1"/>
  <c r="T1670" i="1"/>
  <c r="V1670" i="1" s="1"/>
  <c r="F1670" i="1"/>
  <c r="T1669" i="1"/>
  <c r="V1669" i="1" s="1"/>
  <c r="F1669" i="1"/>
  <c r="T1668" i="1"/>
  <c r="V1668" i="1" s="1"/>
  <c r="F1668" i="1"/>
  <c r="T1667" i="1"/>
  <c r="V1667" i="1" s="1"/>
  <c r="F1667" i="1"/>
  <c r="T1666" i="1"/>
  <c r="V1666" i="1" s="1"/>
  <c r="F1666" i="1"/>
  <c r="T1665" i="1"/>
  <c r="V1665" i="1" s="1"/>
  <c r="F1665" i="1"/>
  <c r="T1664" i="1"/>
  <c r="V1664" i="1" s="1"/>
  <c r="F1664" i="1"/>
  <c r="T1663" i="1"/>
  <c r="V1663" i="1" s="1"/>
  <c r="F1663" i="1"/>
  <c r="T1662" i="1"/>
  <c r="V1662" i="1" s="1"/>
  <c r="F1662" i="1"/>
  <c r="T1661" i="1"/>
  <c r="V1661" i="1" s="1"/>
  <c r="F1661" i="1"/>
  <c r="T1660" i="1"/>
  <c r="V1660" i="1" s="1"/>
  <c r="F1660" i="1"/>
  <c r="T1659" i="1"/>
  <c r="V1659" i="1" s="1"/>
  <c r="F1659" i="1"/>
  <c r="T1658" i="1"/>
  <c r="V1658" i="1" s="1"/>
  <c r="F1658" i="1"/>
  <c r="T1657" i="1"/>
  <c r="V1657" i="1" s="1"/>
  <c r="F1657" i="1"/>
  <c r="T1656" i="1"/>
  <c r="V1656" i="1" s="1"/>
  <c r="F1656" i="1"/>
  <c r="T1655" i="1"/>
  <c r="V1655" i="1" s="1"/>
  <c r="F1655" i="1"/>
  <c r="T1654" i="1"/>
  <c r="V1654" i="1" s="1"/>
  <c r="F1654" i="1"/>
  <c r="T1653" i="1"/>
  <c r="V1653" i="1" s="1"/>
  <c r="F1653" i="1"/>
  <c r="T1652" i="1"/>
  <c r="V1652" i="1" s="1"/>
  <c r="F1652" i="1"/>
  <c r="T1651" i="1"/>
  <c r="V1651" i="1" s="1"/>
  <c r="F1651" i="1"/>
  <c r="T1650" i="1"/>
  <c r="V1650" i="1" s="1"/>
  <c r="F1650" i="1"/>
  <c r="T1649" i="1"/>
  <c r="V1649" i="1" s="1"/>
  <c r="F1649" i="1"/>
  <c r="T1648" i="1"/>
  <c r="V1648" i="1" s="1"/>
  <c r="F1648" i="1"/>
  <c r="T1647" i="1"/>
  <c r="V1647" i="1" s="1"/>
  <c r="F1647" i="1"/>
  <c r="T1646" i="1"/>
  <c r="V1646" i="1" s="1"/>
  <c r="F1646" i="1"/>
  <c r="T1645" i="1"/>
  <c r="V1645" i="1" s="1"/>
  <c r="F1645" i="1"/>
  <c r="T1644" i="1"/>
  <c r="V1644" i="1" s="1"/>
  <c r="F1644" i="1"/>
  <c r="T1643" i="1"/>
  <c r="V1643" i="1" s="1"/>
  <c r="F1643" i="1"/>
  <c r="T1642" i="1"/>
  <c r="V1642" i="1" s="1"/>
  <c r="F1642" i="1"/>
  <c r="T1641" i="1"/>
  <c r="V1641" i="1" s="1"/>
  <c r="F1641" i="1"/>
  <c r="T1640" i="1"/>
  <c r="V1640" i="1" s="1"/>
  <c r="F1640" i="1"/>
  <c r="T1639" i="1"/>
  <c r="V1639" i="1" s="1"/>
  <c r="F1639" i="1"/>
  <c r="T1638" i="1"/>
  <c r="V1638" i="1" s="1"/>
  <c r="F1638" i="1"/>
  <c r="T1637" i="1"/>
  <c r="V1637" i="1" s="1"/>
  <c r="F1637" i="1"/>
  <c r="T1636" i="1"/>
  <c r="V1636" i="1" s="1"/>
  <c r="F1636" i="1"/>
  <c r="T1635" i="1"/>
  <c r="V1635" i="1" s="1"/>
  <c r="F1635" i="1"/>
  <c r="T1634" i="1"/>
  <c r="V1634" i="1" s="1"/>
  <c r="F1634" i="1"/>
  <c r="T1633" i="1"/>
  <c r="V1633" i="1" s="1"/>
  <c r="F1633" i="1"/>
  <c r="T1632" i="1"/>
  <c r="V1632" i="1" s="1"/>
  <c r="F1632" i="1"/>
  <c r="T1631" i="1"/>
  <c r="V1631" i="1" s="1"/>
  <c r="F1631" i="1"/>
  <c r="T1630" i="1"/>
  <c r="V1630" i="1" s="1"/>
  <c r="F1630" i="1"/>
  <c r="T1629" i="1"/>
  <c r="V1629" i="1" s="1"/>
  <c r="F1629" i="1"/>
  <c r="T1628" i="1"/>
  <c r="V1628" i="1" s="1"/>
  <c r="F1628" i="1"/>
  <c r="T1627" i="1"/>
  <c r="V1627" i="1" s="1"/>
  <c r="F1627" i="1"/>
  <c r="T1626" i="1"/>
  <c r="V1626" i="1" s="1"/>
  <c r="F1626" i="1"/>
  <c r="T1625" i="1"/>
  <c r="V1625" i="1" s="1"/>
  <c r="F1625" i="1"/>
  <c r="T1624" i="1"/>
  <c r="V1624" i="1" s="1"/>
  <c r="F1624" i="1"/>
  <c r="T1623" i="1"/>
  <c r="V1623" i="1" s="1"/>
  <c r="F1623" i="1"/>
  <c r="T1622" i="1"/>
  <c r="V1622" i="1" s="1"/>
  <c r="F1622" i="1"/>
  <c r="T1621" i="1"/>
  <c r="V1621" i="1" s="1"/>
  <c r="F1621" i="1"/>
  <c r="T1620" i="1"/>
  <c r="V1620" i="1" s="1"/>
  <c r="F1620" i="1"/>
  <c r="T1619" i="1"/>
  <c r="V1619" i="1" s="1"/>
  <c r="F1619" i="1"/>
  <c r="T1618" i="1"/>
  <c r="V1618" i="1" s="1"/>
  <c r="F1618" i="1"/>
  <c r="T1617" i="1"/>
  <c r="V1617" i="1" s="1"/>
  <c r="F1617" i="1"/>
  <c r="T1616" i="1"/>
  <c r="V1616" i="1" s="1"/>
  <c r="F1616" i="1"/>
  <c r="T1615" i="1"/>
  <c r="V1615" i="1" s="1"/>
  <c r="F1615" i="1"/>
  <c r="T1614" i="1"/>
  <c r="V1614" i="1" s="1"/>
  <c r="F1614" i="1"/>
  <c r="T1613" i="1"/>
  <c r="V1613" i="1" s="1"/>
  <c r="F1613" i="1"/>
  <c r="T1612" i="1"/>
  <c r="V1612" i="1" s="1"/>
  <c r="F1612" i="1"/>
  <c r="T1611" i="1"/>
  <c r="V1611" i="1" s="1"/>
  <c r="F1611" i="1"/>
  <c r="T1610" i="1"/>
  <c r="V1610" i="1" s="1"/>
  <c r="F1610" i="1"/>
  <c r="T1609" i="1"/>
  <c r="V1609" i="1" s="1"/>
  <c r="F1609" i="1"/>
  <c r="T1608" i="1"/>
  <c r="V1608" i="1" s="1"/>
  <c r="F1608" i="1"/>
  <c r="T1607" i="1"/>
  <c r="V1607" i="1" s="1"/>
  <c r="F1607" i="1"/>
  <c r="T1606" i="1"/>
  <c r="V1606" i="1" s="1"/>
  <c r="F1606" i="1"/>
  <c r="T1605" i="1"/>
  <c r="V1605" i="1" s="1"/>
  <c r="F1605" i="1"/>
  <c r="T1604" i="1"/>
  <c r="V1604" i="1" s="1"/>
  <c r="F1604" i="1"/>
  <c r="T1603" i="1"/>
  <c r="V1603" i="1" s="1"/>
  <c r="F1603" i="1"/>
  <c r="T1602" i="1"/>
  <c r="V1602" i="1" s="1"/>
  <c r="F1602" i="1"/>
  <c r="T1601" i="1"/>
  <c r="V1601" i="1" s="1"/>
  <c r="F1601" i="1"/>
  <c r="T1600" i="1"/>
  <c r="V1600" i="1" s="1"/>
  <c r="F1600" i="1"/>
  <c r="T1599" i="1"/>
  <c r="V1599" i="1" s="1"/>
  <c r="F1599" i="1"/>
  <c r="T1598" i="1"/>
  <c r="V1598" i="1" s="1"/>
  <c r="F1598" i="1"/>
  <c r="T1597" i="1"/>
  <c r="V1597" i="1" s="1"/>
  <c r="F1597" i="1"/>
  <c r="T1596" i="1"/>
  <c r="V1596" i="1" s="1"/>
  <c r="F1596" i="1"/>
  <c r="T1595" i="1"/>
  <c r="V1595" i="1" s="1"/>
  <c r="F1595" i="1"/>
  <c r="T1594" i="1"/>
  <c r="V1594" i="1" s="1"/>
  <c r="F1594" i="1"/>
  <c r="T1593" i="1"/>
  <c r="V1593" i="1" s="1"/>
  <c r="F1593" i="1"/>
  <c r="T1592" i="1"/>
  <c r="V1592" i="1" s="1"/>
  <c r="F1592" i="1"/>
  <c r="T1591" i="1"/>
  <c r="V1591" i="1" s="1"/>
  <c r="F1591" i="1"/>
  <c r="T1590" i="1"/>
  <c r="V1590" i="1" s="1"/>
  <c r="F1590" i="1"/>
  <c r="T1589" i="1"/>
  <c r="V1589" i="1" s="1"/>
  <c r="F1589" i="1"/>
  <c r="T1588" i="1"/>
  <c r="V1588" i="1" s="1"/>
  <c r="F1588" i="1"/>
  <c r="T1587" i="1"/>
  <c r="V1587" i="1" s="1"/>
  <c r="F1587" i="1"/>
  <c r="T1586" i="1"/>
  <c r="V1586" i="1" s="1"/>
  <c r="F1586" i="1"/>
  <c r="T1585" i="1"/>
  <c r="V1585" i="1" s="1"/>
  <c r="F1585" i="1"/>
  <c r="T1584" i="1"/>
  <c r="V1584" i="1" s="1"/>
  <c r="F1584" i="1"/>
  <c r="T1583" i="1"/>
  <c r="V1583" i="1" s="1"/>
  <c r="F1583" i="1"/>
  <c r="T1582" i="1"/>
  <c r="V1582" i="1" s="1"/>
  <c r="F1582" i="1"/>
  <c r="T1581" i="1"/>
  <c r="V1581" i="1" s="1"/>
  <c r="F1581" i="1"/>
  <c r="T1580" i="1"/>
  <c r="V1580" i="1" s="1"/>
  <c r="F1580" i="1"/>
  <c r="T1579" i="1"/>
  <c r="V1579" i="1" s="1"/>
  <c r="F1579" i="1"/>
  <c r="T1578" i="1"/>
  <c r="V1578" i="1" s="1"/>
  <c r="F1578" i="1"/>
  <c r="T1577" i="1"/>
  <c r="V1577" i="1" s="1"/>
  <c r="F1577" i="1"/>
  <c r="T1576" i="1"/>
  <c r="V1576" i="1" s="1"/>
  <c r="F1576" i="1"/>
  <c r="T1575" i="1"/>
  <c r="V1575" i="1" s="1"/>
  <c r="F1575" i="1"/>
  <c r="T1574" i="1"/>
  <c r="V1574" i="1" s="1"/>
  <c r="F1574" i="1"/>
  <c r="T1573" i="1"/>
  <c r="V1573" i="1" s="1"/>
  <c r="F1573" i="1"/>
  <c r="T1572" i="1"/>
  <c r="V1572" i="1" s="1"/>
  <c r="F1572" i="1"/>
  <c r="T1571" i="1"/>
  <c r="V1571" i="1" s="1"/>
  <c r="F1571" i="1"/>
  <c r="T1570" i="1"/>
  <c r="V1570" i="1" s="1"/>
  <c r="F1570" i="1"/>
  <c r="T1569" i="1"/>
  <c r="V1569" i="1" s="1"/>
  <c r="F1569" i="1"/>
  <c r="T1568" i="1"/>
  <c r="V1568" i="1" s="1"/>
  <c r="F1568" i="1"/>
  <c r="T1567" i="1"/>
  <c r="V1567" i="1" s="1"/>
  <c r="F1567" i="1"/>
  <c r="T1566" i="1"/>
  <c r="V1566" i="1" s="1"/>
  <c r="F1566" i="1"/>
  <c r="T1565" i="1"/>
  <c r="V1565" i="1" s="1"/>
  <c r="F1565" i="1"/>
  <c r="T1564" i="1"/>
  <c r="V1564" i="1" s="1"/>
  <c r="F1564" i="1"/>
  <c r="T1563" i="1"/>
  <c r="V1563" i="1" s="1"/>
  <c r="F1563" i="1"/>
  <c r="T1562" i="1"/>
  <c r="V1562" i="1" s="1"/>
  <c r="F1562" i="1"/>
  <c r="T1561" i="1"/>
  <c r="V1561" i="1" s="1"/>
  <c r="F1561" i="1"/>
  <c r="T1560" i="1"/>
  <c r="V1560" i="1" s="1"/>
  <c r="F1560" i="1"/>
  <c r="T1559" i="1"/>
  <c r="V1559" i="1" s="1"/>
  <c r="F1559" i="1"/>
  <c r="T1558" i="1"/>
  <c r="V1558" i="1" s="1"/>
  <c r="F1558" i="1"/>
  <c r="T1557" i="1"/>
  <c r="V1557" i="1" s="1"/>
  <c r="F1557" i="1"/>
  <c r="T1556" i="1"/>
  <c r="V1556" i="1" s="1"/>
  <c r="F1556" i="1"/>
  <c r="T1555" i="1"/>
  <c r="V1555" i="1" s="1"/>
  <c r="F1555" i="1"/>
  <c r="T1554" i="1"/>
  <c r="V1554" i="1" s="1"/>
  <c r="F1554" i="1"/>
  <c r="T1553" i="1"/>
  <c r="V1553" i="1" s="1"/>
  <c r="F1553" i="1"/>
  <c r="T1552" i="1"/>
  <c r="V1552" i="1" s="1"/>
  <c r="F1552" i="1"/>
  <c r="T1551" i="1"/>
  <c r="V1551" i="1" s="1"/>
  <c r="F1551" i="1"/>
  <c r="T1550" i="1"/>
  <c r="V1550" i="1" s="1"/>
  <c r="F1550" i="1"/>
  <c r="T1549" i="1"/>
  <c r="V1549" i="1" s="1"/>
  <c r="F1549" i="1"/>
  <c r="T1548" i="1"/>
  <c r="V1548" i="1" s="1"/>
  <c r="F1548" i="1"/>
  <c r="T1547" i="1"/>
  <c r="V1547" i="1" s="1"/>
  <c r="F1547" i="1"/>
  <c r="T1546" i="1"/>
  <c r="V1546" i="1" s="1"/>
  <c r="F1546" i="1"/>
  <c r="T1545" i="1"/>
  <c r="V1545" i="1" s="1"/>
  <c r="F1545" i="1"/>
  <c r="T1544" i="1"/>
  <c r="V1544" i="1" s="1"/>
  <c r="F1544" i="1"/>
  <c r="T1543" i="1"/>
  <c r="V1543" i="1" s="1"/>
  <c r="F1543" i="1"/>
  <c r="T1542" i="1"/>
  <c r="V1542" i="1" s="1"/>
  <c r="F1542" i="1"/>
  <c r="T1541" i="1"/>
  <c r="V1541" i="1" s="1"/>
  <c r="F1541" i="1"/>
  <c r="T1540" i="1"/>
  <c r="V1540" i="1" s="1"/>
  <c r="F1540" i="1"/>
  <c r="T1539" i="1"/>
  <c r="V1539" i="1" s="1"/>
  <c r="F1539" i="1"/>
  <c r="T1538" i="1"/>
  <c r="V1538" i="1" s="1"/>
  <c r="F1538" i="1"/>
  <c r="T1537" i="1"/>
  <c r="V1537" i="1" s="1"/>
  <c r="F1537" i="1"/>
  <c r="T1536" i="1"/>
  <c r="V1536" i="1" s="1"/>
  <c r="F1536" i="1"/>
  <c r="T1535" i="1"/>
  <c r="V1535" i="1" s="1"/>
  <c r="F1535" i="1"/>
  <c r="T1534" i="1"/>
  <c r="V1534" i="1" s="1"/>
  <c r="F1534" i="1"/>
  <c r="T1533" i="1"/>
  <c r="V1533" i="1" s="1"/>
  <c r="F1533" i="1"/>
  <c r="T1532" i="1"/>
  <c r="V1532" i="1" s="1"/>
  <c r="F1532" i="1"/>
  <c r="T1531" i="1"/>
  <c r="V1531" i="1" s="1"/>
  <c r="F1531" i="1"/>
  <c r="T1530" i="1"/>
  <c r="V1530" i="1" s="1"/>
  <c r="F1530" i="1"/>
  <c r="T1529" i="1"/>
  <c r="V1529" i="1" s="1"/>
  <c r="F1529" i="1"/>
  <c r="T1528" i="1"/>
  <c r="V1528" i="1" s="1"/>
  <c r="F1528" i="1"/>
  <c r="T1527" i="1"/>
  <c r="V1527" i="1" s="1"/>
  <c r="F1527" i="1"/>
  <c r="T1526" i="1"/>
  <c r="V1526" i="1" s="1"/>
  <c r="F1526" i="1"/>
  <c r="T1525" i="1"/>
  <c r="V1525" i="1" s="1"/>
  <c r="F1525" i="1"/>
  <c r="T1524" i="1"/>
  <c r="V1524" i="1" s="1"/>
  <c r="F1524" i="1"/>
  <c r="T1523" i="1"/>
  <c r="V1523" i="1" s="1"/>
  <c r="F1523" i="1"/>
  <c r="T1522" i="1"/>
  <c r="V1522" i="1" s="1"/>
  <c r="F1522" i="1"/>
  <c r="T1521" i="1"/>
  <c r="V1521" i="1" s="1"/>
  <c r="F1521" i="1"/>
  <c r="T1520" i="1"/>
  <c r="V1520" i="1" s="1"/>
  <c r="F1520" i="1"/>
  <c r="T1519" i="1"/>
  <c r="V1519" i="1" s="1"/>
  <c r="F1519" i="1"/>
  <c r="T1518" i="1"/>
  <c r="V1518" i="1" s="1"/>
  <c r="F1518" i="1"/>
  <c r="T1517" i="1"/>
  <c r="V1517" i="1" s="1"/>
  <c r="F1517" i="1"/>
  <c r="T1516" i="1"/>
  <c r="V1516" i="1" s="1"/>
  <c r="F1516" i="1"/>
  <c r="T1515" i="1"/>
  <c r="V1515" i="1" s="1"/>
  <c r="F1515" i="1"/>
  <c r="T1514" i="1"/>
  <c r="V1514" i="1" s="1"/>
  <c r="F1514" i="1"/>
  <c r="T1513" i="1"/>
  <c r="V1513" i="1" s="1"/>
  <c r="F1513" i="1"/>
  <c r="T1512" i="1"/>
  <c r="V1512" i="1" s="1"/>
  <c r="F1512" i="1"/>
  <c r="T1511" i="1"/>
  <c r="V1511" i="1" s="1"/>
  <c r="F1511" i="1"/>
  <c r="T1510" i="1"/>
  <c r="V1510" i="1" s="1"/>
  <c r="F1510" i="1"/>
  <c r="T1509" i="1"/>
  <c r="V1509" i="1" s="1"/>
  <c r="F1509" i="1"/>
  <c r="T1508" i="1"/>
  <c r="V1508" i="1" s="1"/>
  <c r="F1508" i="1"/>
  <c r="T1507" i="1"/>
  <c r="V1507" i="1" s="1"/>
  <c r="F1507" i="1"/>
  <c r="T1506" i="1"/>
  <c r="V1506" i="1" s="1"/>
  <c r="F1506" i="1"/>
  <c r="T1505" i="1"/>
  <c r="V1505" i="1" s="1"/>
  <c r="F1505" i="1"/>
  <c r="T1504" i="1"/>
  <c r="V1504" i="1" s="1"/>
  <c r="F1504" i="1"/>
  <c r="T1503" i="1"/>
  <c r="V1503" i="1" s="1"/>
  <c r="F1503" i="1"/>
  <c r="T1502" i="1"/>
  <c r="V1502" i="1" s="1"/>
  <c r="F1502" i="1"/>
  <c r="T1501" i="1"/>
  <c r="V1501" i="1" s="1"/>
  <c r="F1501" i="1"/>
  <c r="T1500" i="1"/>
  <c r="V1500" i="1" s="1"/>
  <c r="F1500" i="1"/>
  <c r="T1499" i="1"/>
  <c r="V1499" i="1" s="1"/>
  <c r="F1499" i="1"/>
  <c r="T1498" i="1"/>
  <c r="V1498" i="1" s="1"/>
  <c r="F1498" i="1"/>
  <c r="T1497" i="1"/>
  <c r="V1497" i="1" s="1"/>
  <c r="F1497" i="1"/>
  <c r="T1496" i="1"/>
  <c r="V1496" i="1" s="1"/>
  <c r="F1496" i="1"/>
  <c r="T1495" i="1"/>
  <c r="V1495" i="1" s="1"/>
  <c r="F1495" i="1"/>
  <c r="T1494" i="1"/>
  <c r="V1494" i="1" s="1"/>
  <c r="F1494" i="1"/>
  <c r="T1493" i="1"/>
  <c r="V1493" i="1" s="1"/>
  <c r="F1493" i="1"/>
  <c r="T1492" i="1"/>
  <c r="V1492" i="1" s="1"/>
  <c r="F1492" i="1"/>
  <c r="T1491" i="1"/>
  <c r="V1491" i="1" s="1"/>
  <c r="F1491" i="1"/>
  <c r="T1490" i="1"/>
  <c r="V1490" i="1" s="1"/>
  <c r="F1490" i="1"/>
  <c r="T1489" i="1"/>
  <c r="V1489" i="1" s="1"/>
  <c r="F1489" i="1"/>
  <c r="T1488" i="1"/>
  <c r="V1488" i="1" s="1"/>
  <c r="F1488" i="1"/>
  <c r="T1487" i="1"/>
  <c r="V1487" i="1" s="1"/>
  <c r="F1487" i="1"/>
  <c r="T1486" i="1"/>
  <c r="V1486" i="1" s="1"/>
  <c r="F1486" i="1"/>
  <c r="T1485" i="1"/>
  <c r="V1485" i="1" s="1"/>
  <c r="F1485" i="1"/>
  <c r="T1484" i="1"/>
  <c r="V1484" i="1" s="1"/>
  <c r="F1484" i="1"/>
  <c r="T1483" i="1"/>
  <c r="V1483" i="1" s="1"/>
  <c r="F1483" i="1"/>
  <c r="T1482" i="1"/>
  <c r="V1482" i="1" s="1"/>
  <c r="F1482" i="1"/>
  <c r="T1481" i="1"/>
  <c r="V1481" i="1" s="1"/>
  <c r="F1481" i="1"/>
  <c r="T1480" i="1"/>
  <c r="V1480" i="1" s="1"/>
  <c r="F1480" i="1"/>
  <c r="T1479" i="1"/>
  <c r="V1479" i="1" s="1"/>
  <c r="F1479" i="1"/>
  <c r="T1478" i="1"/>
  <c r="V1478" i="1" s="1"/>
  <c r="F1478" i="1"/>
  <c r="T1477" i="1"/>
  <c r="V1477" i="1" s="1"/>
  <c r="F1477" i="1"/>
  <c r="T1476" i="1"/>
  <c r="V1476" i="1" s="1"/>
  <c r="F1476" i="1"/>
  <c r="T1475" i="1"/>
  <c r="V1475" i="1" s="1"/>
  <c r="F1475" i="1"/>
  <c r="T1474" i="1"/>
  <c r="V1474" i="1" s="1"/>
  <c r="F1474" i="1"/>
  <c r="T1473" i="1"/>
  <c r="V1473" i="1" s="1"/>
  <c r="F1473" i="1"/>
  <c r="T1472" i="1"/>
  <c r="V1472" i="1" s="1"/>
  <c r="F1472" i="1"/>
  <c r="T1471" i="1"/>
  <c r="V1471" i="1" s="1"/>
  <c r="F1471" i="1"/>
  <c r="T1470" i="1"/>
  <c r="V1470" i="1" s="1"/>
  <c r="F1470" i="1"/>
  <c r="T1469" i="1"/>
  <c r="V1469" i="1" s="1"/>
  <c r="F1469" i="1"/>
  <c r="T1468" i="1"/>
  <c r="V1468" i="1" s="1"/>
  <c r="F1468" i="1"/>
  <c r="T1467" i="1"/>
  <c r="V1467" i="1" s="1"/>
  <c r="F1467" i="1"/>
  <c r="T1466" i="1"/>
  <c r="V1466" i="1" s="1"/>
  <c r="F1466" i="1"/>
  <c r="T1465" i="1"/>
  <c r="V1465" i="1" s="1"/>
  <c r="F1465" i="1"/>
  <c r="T1464" i="1"/>
  <c r="V1464" i="1" s="1"/>
  <c r="F1464" i="1"/>
  <c r="T1463" i="1"/>
  <c r="V1463" i="1" s="1"/>
  <c r="F1463" i="1"/>
  <c r="T1462" i="1"/>
  <c r="V1462" i="1" s="1"/>
  <c r="F1462" i="1"/>
  <c r="T1461" i="1"/>
  <c r="V1461" i="1" s="1"/>
  <c r="F1461" i="1"/>
  <c r="T1460" i="1"/>
  <c r="V1460" i="1" s="1"/>
  <c r="F1460" i="1"/>
  <c r="T1459" i="1"/>
  <c r="V1459" i="1" s="1"/>
  <c r="F1459" i="1"/>
  <c r="T1458" i="1"/>
  <c r="V1458" i="1" s="1"/>
  <c r="F1458" i="1"/>
  <c r="T1457" i="1"/>
  <c r="V1457" i="1" s="1"/>
  <c r="F1457" i="1"/>
  <c r="T1456" i="1"/>
  <c r="V1456" i="1" s="1"/>
  <c r="F1456" i="1"/>
  <c r="T1455" i="1"/>
  <c r="V1455" i="1" s="1"/>
  <c r="F1455" i="1"/>
  <c r="T1454" i="1"/>
  <c r="V1454" i="1" s="1"/>
  <c r="F1454" i="1"/>
  <c r="T1453" i="1"/>
  <c r="V1453" i="1" s="1"/>
  <c r="F1453" i="1"/>
  <c r="T1452" i="1"/>
  <c r="V1452" i="1" s="1"/>
  <c r="F1452" i="1"/>
  <c r="T1451" i="1"/>
  <c r="V1451" i="1" s="1"/>
  <c r="F1451" i="1"/>
  <c r="T1450" i="1"/>
  <c r="V1450" i="1" s="1"/>
  <c r="F1450" i="1"/>
  <c r="T1449" i="1"/>
  <c r="V1449" i="1" s="1"/>
  <c r="F1449" i="1"/>
  <c r="T1448" i="1"/>
  <c r="V1448" i="1" s="1"/>
  <c r="F1448" i="1"/>
  <c r="T1447" i="1"/>
  <c r="V1447" i="1" s="1"/>
  <c r="F1447" i="1"/>
  <c r="T1446" i="1"/>
  <c r="V1446" i="1" s="1"/>
  <c r="F1446" i="1"/>
  <c r="T1445" i="1"/>
  <c r="V1445" i="1" s="1"/>
  <c r="F1445" i="1"/>
  <c r="T1444" i="1"/>
  <c r="V1444" i="1" s="1"/>
  <c r="F1444" i="1"/>
  <c r="T1443" i="1"/>
  <c r="V1443" i="1" s="1"/>
  <c r="F1443" i="1"/>
  <c r="T1442" i="1"/>
  <c r="V1442" i="1" s="1"/>
  <c r="F1442" i="1"/>
  <c r="T1441" i="1"/>
  <c r="V1441" i="1" s="1"/>
  <c r="F1441" i="1"/>
  <c r="T1440" i="1"/>
  <c r="V1440" i="1" s="1"/>
  <c r="F1440" i="1"/>
  <c r="T1439" i="1"/>
  <c r="V1439" i="1" s="1"/>
  <c r="F1439" i="1"/>
  <c r="T1438" i="1"/>
  <c r="V1438" i="1" s="1"/>
  <c r="F1438" i="1"/>
  <c r="T1437" i="1"/>
  <c r="V1437" i="1" s="1"/>
  <c r="F1437" i="1"/>
  <c r="T1436" i="1"/>
  <c r="V1436" i="1" s="1"/>
  <c r="F1436" i="1"/>
  <c r="T1435" i="1"/>
  <c r="V1435" i="1" s="1"/>
  <c r="F1435" i="1"/>
  <c r="T1434" i="1"/>
  <c r="V1434" i="1" s="1"/>
  <c r="F1434" i="1"/>
  <c r="T1433" i="1"/>
  <c r="V1433" i="1" s="1"/>
  <c r="F1433" i="1"/>
  <c r="T1432" i="1"/>
  <c r="V1432" i="1" s="1"/>
  <c r="F1432" i="1"/>
  <c r="T1431" i="1"/>
  <c r="V1431" i="1" s="1"/>
  <c r="F1431" i="1"/>
  <c r="T1430" i="1"/>
  <c r="V1430" i="1" s="1"/>
  <c r="F1430" i="1"/>
  <c r="T1429" i="1"/>
  <c r="V1429" i="1" s="1"/>
  <c r="F1429" i="1"/>
  <c r="T1428" i="1"/>
  <c r="V1428" i="1" s="1"/>
  <c r="F1428" i="1"/>
  <c r="T1427" i="1"/>
  <c r="V1427" i="1" s="1"/>
  <c r="F1427" i="1"/>
  <c r="T1426" i="1"/>
  <c r="V1426" i="1" s="1"/>
  <c r="F1426" i="1"/>
  <c r="T1425" i="1"/>
  <c r="V1425" i="1" s="1"/>
  <c r="F1425" i="1"/>
  <c r="T1424" i="1"/>
  <c r="V1424" i="1" s="1"/>
  <c r="F1424" i="1"/>
  <c r="T1423" i="1"/>
  <c r="V1423" i="1" s="1"/>
  <c r="F1423" i="1"/>
  <c r="T1422" i="1"/>
  <c r="V1422" i="1" s="1"/>
  <c r="F1422" i="1"/>
  <c r="T1421" i="1"/>
  <c r="V1421" i="1" s="1"/>
  <c r="F1421" i="1"/>
  <c r="T1420" i="1"/>
  <c r="V1420" i="1" s="1"/>
  <c r="F1420" i="1"/>
  <c r="T1419" i="1"/>
  <c r="V1419" i="1" s="1"/>
  <c r="F1419" i="1"/>
  <c r="T1418" i="1"/>
  <c r="V1418" i="1" s="1"/>
  <c r="F1418" i="1"/>
  <c r="T1417" i="1"/>
  <c r="V1417" i="1" s="1"/>
  <c r="F1417" i="1"/>
  <c r="T1416" i="1"/>
  <c r="V1416" i="1" s="1"/>
  <c r="F1416" i="1"/>
  <c r="T1415" i="1"/>
  <c r="V1415" i="1" s="1"/>
  <c r="F1415" i="1"/>
  <c r="T1414" i="1"/>
  <c r="V1414" i="1" s="1"/>
  <c r="F1414" i="1"/>
  <c r="T1413" i="1"/>
  <c r="V1413" i="1" s="1"/>
  <c r="F1413" i="1"/>
  <c r="T1412" i="1"/>
  <c r="V1412" i="1" s="1"/>
  <c r="F1412" i="1"/>
  <c r="T1411" i="1"/>
  <c r="V1411" i="1" s="1"/>
  <c r="F1411" i="1"/>
  <c r="T1410" i="1"/>
  <c r="V1410" i="1" s="1"/>
  <c r="F1410" i="1"/>
  <c r="T1409" i="1"/>
  <c r="V1409" i="1" s="1"/>
  <c r="F1409" i="1"/>
  <c r="T1408" i="1"/>
  <c r="V1408" i="1" s="1"/>
  <c r="F1408" i="1"/>
  <c r="T1407" i="1"/>
  <c r="V1407" i="1" s="1"/>
  <c r="F1407" i="1"/>
  <c r="T1406" i="1"/>
  <c r="V1406" i="1" s="1"/>
  <c r="F1406" i="1"/>
  <c r="T1405" i="1"/>
  <c r="V1405" i="1" s="1"/>
  <c r="F1405" i="1"/>
  <c r="T1404" i="1"/>
  <c r="V1404" i="1" s="1"/>
  <c r="F1404" i="1"/>
  <c r="T1403" i="1"/>
  <c r="V1403" i="1" s="1"/>
  <c r="F1403" i="1"/>
  <c r="T1402" i="1"/>
  <c r="V1402" i="1" s="1"/>
  <c r="F1402" i="1"/>
  <c r="T1401" i="1"/>
  <c r="V1401" i="1" s="1"/>
  <c r="F1401" i="1"/>
  <c r="T1400" i="1"/>
  <c r="V1400" i="1" s="1"/>
  <c r="F1400" i="1"/>
  <c r="T1399" i="1"/>
  <c r="V1399" i="1" s="1"/>
  <c r="F1399" i="1"/>
  <c r="T1398" i="1"/>
  <c r="V1398" i="1" s="1"/>
  <c r="F1398" i="1"/>
  <c r="T1397" i="1"/>
  <c r="V1397" i="1" s="1"/>
  <c r="F1397" i="1"/>
  <c r="T1396" i="1"/>
  <c r="V1396" i="1" s="1"/>
  <c r="F1396" i="1"/>
  <c r="T1395" i="1"/>
  <c r="V1395" i="1" s="1"/>
  <c r="F1395" i="1"/>
  <c r="T1394" i="1"/>
  <c r="V1394" i="1" s="1"/>
  <c r="F1394" i="1"/>
  <c r="T1393" i="1"/>
  <c r="V1393" i="1" s="1"/>
  <c r="F1393" i="1"/>
  <c r="T1392" i="1"/>
  <c r="V1392" i="1" s="1"/>
  <c r="F1392" i="1"/>
  <c r="T1391" i="1"/>
  <c r="V1391" i="1" s="1"/>
  <c r="F1391" i="1"/>
  <c r="T1390" i="1"/>
  <c r="V1390" i="1" s="1"/>
  <c r="F1390" i="1"/>
  <c r="T1389" i="1"/>
  <c r="V1389" i="1" s="1"/>
  <c r="F1389" i="1"/>
  <c r="T1388" i="1"/>
  <c r="V1388" i="1" s="1"/>
  <c r="F1388" i="1"/>
  <c r="T1387" i="1"/>
  <c r="V1387" i="1" s="1"/>
  <c r="F1387" i="1"/>
  <c r="T1386" i="1"/>
  <c r="V1386" i="1" s="1"/>
  <c r="F1386" i="1"/>
  <c r="T1385" i="1"/>
  <c r="V1385" i="1" s="1"/>
  <c r="F1385" i="1"/>
  <c r="T1384" i="1"/>
  <c r="V1384" i="1" s="1"/>
  <c r="F1384" i="1"/>
  <c r="T1383" i="1"/>
  <c r="V1383" i="1" s="1"/>
  <c r="F1383" i="1"/>
  <c r="T1382" i="1"/>
  <c r="V1382" i="1" s="1"/>
  <c r="F1382" i="1"/>
  <c r="T1381" i="1"/>
  <c r="V1381" i="1" s="1"/>
  <c r="F1381" i="1"/>
  <c r="T1380" i="1"/>
  <c r="V1380" i="1" s="1"/>
  <c r="F1380" i="1"/>
  <c r="T1379" i="1"/>
  <c r="V1379" i="1" s="1"/>
  <c r="F1379" i="1"/>
  <c r="T1378" i="1"/>
  <c r="V1378" i="1" s="1"/>
  <c r="F1378" i="1"/>
  <c r="T1377" i="1"/>
  <c r="V1377" i="1" s="1"/>
  <c r="F1377" i="1"/>
  <c r="T1376" i="1"/>
  <c r="V1376" i="1" s="1"/>
  <c r="F1376" i="1"/>
  <c r="T1375" i="1"/>
  <c r="V1375" i="1" s="1"/>
  <c r="F1375" i="1"/>
  <c r="T1374" i="1"/>
  <c r="V1374" i="1" s="1"/>
  <c r="F1374" i="1"/>
  <c r="T1373" i="1"/>
  <c r="V1373" i="1" s="1"/>
  <c r="F1373" i="1"/>
  <c r="T1372" i="1"/>
  <c r="V1372" i="1" s="1"/>
  <c r="F1372" i="1"/>
  <c r="T1371" i="1"/>
  <c r="V1371" i="1" s="1"/>
  <c r="F1371" i="1"/>
  <c r="T1370" i="1"/>
  <c r="V1370" i="1" s="1"/>
  <c r="F1370" i="1"/>
  <c r="T1369" i="1"/>
  <c r="V1369" i="1" s="1"/>
  <c r="F1369" i="1"/>
  <c r="T1368" i="1"/>
  <c r="V1368" i="1" s="1"/>
  <c r="F1368" i="1"/>
  <c r="T1367" i="1"/>
  <c r="V1367" i="1" s="1"/>
  <c r="F1367" i="1"/>
  <c r="T1366" i="1"/>
  <c r="V1366" i="1" s="1"/>
  <c r="F1366" i="1"/>
  <c r="T1365" i="1"/>
  <c r="V1365" i="1" s="1"/>
  <c r="F1365" i="1"/>
  <c r="T1364" i="1"/>
  <c r="V1364" i="1" s="1"/>
  <c r="F1364" i="1"/>
  <c r="T1363" i="1"/>
  <c r="V1363" i="1" s="1"/>
  <c r="F1363" i="1"/>
  <c r="T1362" i="1"/>
  <c r="V1362" i="1" s="1"/>
  <c r="F1362" i="1"/>
  <c r="T1361" i="1"/>
  <c r="V1361" i="1" s="1"/>
  <c r="F1361" i="1"/>
  <c r="T1360" i="1"/>
  <c r="V1360" i="1" s="1"/>
  <c r="F1360" i="1"/>
  <c r="T1359" i="1"/>
  <c r="V1359" i="1" s="1"/>
  <c r="F1359" i="1"/>
  <c r="T1358" i="1"/>
  <c r="V1358" i="1" s="1"/>
  <c r="F1358" i="1"/>
  <c r="T1357" i="1"/>
  <c r="V1357" i="1" s="1"/>
  <c r="F1357" i="1"/>
  <c r="T1356" i="1"/>
  <c r="V1356" i="1" s="1"/>
  <c r="F1356" i="1"/>
  <c r="T1355" i="1"/>
  <c r="V1355" i="1" s="1"/>
  <c r="F1355" i="1"/>
  <c r="T1354" i="1"/>
  <c r="V1354" i="1" s="1"/>
  <c r="F1354" i="1"/>
  <c r="T1353" i="1"/>
  <c r="V1353" i="1" s="1"/>
  <c r="F1353" i="1"/>
  <c r="T1352" i="1"/>
  <c r="V1352" i="1" s="1"/>
  <c r="F1352" i="1"/>
  <c r="T1351" i="1"/>
  <c r="V1351" i="1" s="1"/>
  <c r="F1351" i="1"/>
  <c r="T1350" i="1"/>
  <c r="V1350" i="1" s="1"/>
  <c r="F1350" i="1"/>
  <c r="T1349" i="1"/>
  <c r="V1349" i="1" s="1"/>
  <c r="F1349" i="1"/>
  <c r="T1348" i="1"/>
  <c r="V1348" i="1" s="1"/>
  <c r="F1348" i="1"/>
  <c r="T1347" i="1"/>
  <c r="V1347" i="1" s="1"/>
  <c r="F1347" i="1"/>
  <c r="T1346" i="1"/>
  <c r="V1346" i="1" s="1"/>
  <c r="F1346" i="1"/>
  <c r="T1345" i="1"/>
  <c r="V1345" i="1" s="1"/>
  <c r="F1345" i="1"/>
  <c r="T1344" i="1"/>
  <c r="V1344" i="1" s="1"/>
  <c r="F1344" i="1"/>
  <c r="T1343" i="1"/>
  <c r="V1343" i="1" s="1"/>
  <c r="F1343" i="1"/>
  <c r="T1342" i="1"/>
  <c r="V1342" i="1" s="1"/>
  <c r="F1342" i="1"/>
  <c r="T1341" i="1"/>
  <c r="V1341" i="1" s="1"/>
  <c r="F1341" i="1"/>
  <c r="T1340" i="1"/>
  <c r="V1340" i="1" s="1"/>
  <c r="F1340" i="1"/>
  <c r="T1339" i="1"/>
  <c r="V1339" i="1" s="1"/>
  <c r="F1339" i="1"/>
  <c r="T1338" i="1"/>
  <c r="V1338" i="1" s="1"/>
  <c r="F1338" i="1"/>
  <c r="T1337" i="1"/>
  <c r="V1337" i="1" s="1"/>
  <c r="F1337" i="1"/>
  <c r="T1336" i="1"/>
  <c r="V1336" i="1" s="1"/>
  <c r="F1336" i="1"/>
  <c r="T1335" i="1"/>
  <c r="V1335" i="1" s="1"/>
  <c r="F1335" i="1"/>
  <c r="T1334" i="1"/>
  <c r="V1334" i="1" s="1"/>
  <c r="F1334" i="1"/>
  <c r="T1333" i="1"/>
  <c r="V1333" i="1" s="1"/>
  <c r="F1333" i="1"/>
  <c r="T1332" i="1"/>
  <c r="V1332" i="1" s="1"/>
  <c r="F1332" i="1"/>
  <c r="T1331" i="1"/>
  <c r="V1331" i="1" s="1"/>
  <c r="F1331" i="1"/>
  <c r="T1330" i="1"/>
  <c r="V1330" i="1" s="1"/>
  <c r="F1330" i="1"/>
  <c r="T1329" i="1"/>
  <c r="V1329" i="1" s="1"/>
  <c r="F1329" i="1"/>
  <c r="T1328" i="1"/>
  <c r="V1328" i="1" s="1"/>
  <c r="F1328" i="1"/>
  <c r="T1327" i="1"/>
  <c r="V1327" i="1" s="1"/>
  <c r="F1327" i="1"/>
  <c r="T1326" i="1"/>
  <c r="V1326" i="1" s="1"/>
  <c r="F1326" i="1"/>
  <c r="T1325" i="1"/>
  <c r="V1325" i="1" s="1"/>
  <c r="F1325" i="1"/>
  <c r="T1324" i="1"/>
  <c r="V1324" i="1" s="1"/>
  <c r="F1324" i="1"/>
  <c r="T1323" i="1"/>
  <c r="V1323" i="1" s="1"/>
  <c r="F1323" i="1"/>
  <c r="T1322" i="1"/>
  <c r="V1322" i="1" s="1"/>
  <c r="F1322" i="1"/>
  <c r="T1321" i="1"/>
  <c r="V1321" i="1" s="1"/>
  <c r="F1321" i="1"/>
  <c r="T1320" i="1"/>
  <c r="V1320" i="1" s="1"/>
  <c r="F1320" i="1"/>
  <c r="T1319" i="1"/>
  <c r="V1319" i="1" s="1"/>
  <c r="F1319" i="1"/>
  <c r="T1318" i="1"/>
  <c r="V1318" i="1" s="1"/>
  <c r="F1318" i="1"/>
  <c r="T1317" i="1"/>
  <c r="V1317" i="1" s="1"/>
  <c r="F1317" i="1"/>
  <c r="T1316" i="1"/>
  <c r="V1316" i="1" s="1"/>
  <c r="F1316" i="1"/>
  <c r="T1315" i="1"/>
  <c r="V1315" i="1" s="1"/>
  <c r="F1315" i="1"/>
  <c r="T1314" i="1"/>
  <c r="V1314" i="1" s="1"/>
  <c r="F1314" i="1"/>
  <c r="T1313" i="1"/>
  <c r="V1313" i="1" s="1"/>
  <c r="F1313" i="1"/>
  <c r="T1312" i="1"/>
  <c r="V1312" i="1" s="1"/>
  <c r="F1312" i="1"/>
  <c r="T1311" i="1"/>
  <c r="V1311" i="1" s="1"/>
  <c r="F1311" i="1"/>
  <c r="T1310" i="1"/>
  <c r="V1310" i="1" s="1"/>
  <c r="F1310" i="1"/>
  <c r="T1309" i="1"/>
  <c r="V1309" i="1" s="1"/>
  <c r="F1309" i="1"/>
  <c r="T1308" i="1"/>
  <c r="V1308" i="1" s="1"/>
  <c r="F1308" i="1"/>
  <c r="T1307" i="1"/>
  <c r="V1307" i="1" s="1"/>
  <c r="F1307" i="1"/>
  <c r="T1306" i="1"/>
  <c r="V1306" i="1" s="1"/>
  <c r="F1306" i="1"/>
  <c r="T1305" i="1"/>
  <c r="V1305" i="1" s="1"/>
  <c r="F1305" i="1"/>
  <c r="T1304" i="1"/>
  <c r="V1304" i="1" s="1"/>
  <c r="F1304" i="1"/>
  <c r="T1303" i="1"/>
  <c r="V1303" i="1" s="1"/>
  <c r="F1303" i="1"/>
  <c r="T1302" i="1"/>
  <c r="V1302" i="1" s="1"/>
  <c r="F1302" i="1"/>
  <c r="T1301" i="1"/>
  <c r="V1301" i="1" s="1"/>
  <c r="F1301" i="1"/>
  <c r="T1300" i="1"/>
  <c r="V1300" i="1" s="1"/>
  <c r="F1300" i="1"/>
  <c r="T1299" i="1"/>
  <c r="V1299" i="1" s="1"/>
  <c r="F1299" i="1"/>
  <c r="T1298" i="1"/>
  <c r="V1298" i="1" s="1"/>
  <c r="F1298" i="1"/>
  <c r="T1297" i="1"/>
  <c r="V1297" i="1" s="1"/>
  <c r="F1297" i="1"/>
  <c r="T1296" i="1"/>
  <c r="V1296" i="1" s="1"/>
  <c r="F1296" i="1"/>
  <c r="T1295" i="1"/>
  <c r="V1295" i="1" s="1"/>
  <c r="F1295" i="1"/>
  <c r="T1294" i="1"/>
  <c r="V1294" i="1" s="1"/>
  <c r="F1294" i="1"/>
  <c r="T1293" i="1"/>
  <c r="V1293" i="1" s="1"/>
  <c r="F1293" i="1"/>
  <c r="T1292" i="1"/>
  <c r="V1292" i="1" s="1"/>
  <c r="F1292" i="1"/>
  <c r="T1291" i="1"/>
  <c r="V1291" i="1" s="1"/>
  <c r="F1291" i="1"/>
  <c r="T1290" i="1"/>
  <c r="V1290" i="1" s="1"/>
  <c r="F1290" i="1"/>
  <c r="T1289" i="1"/>
  <c r="V1289" i="1" s="1"/>
  <c r="F1289" i="1"/>
  <c r="T1288" i="1"/>
  <c r="V1288" i="1" s="1"/>
  <c r="F1288" i="1"/>
  <c r="T1287" i="1"/>
  <c r="V1287" i="1" s="1"/>
  <c r="F1287" i="1"/>
  <c r="T1286" i="1"/>
  <c r="V1286" i="1" s="1"/>
  <c r="F1286" i="1"/>
  <c r="T1285" i="1"/>
  <c r="V1285" i="1" s="1"/>
  <c r="F1285" i="1"/>
  <c r="T1284" i="1"/>
  <c r="V1284" i="1" s="1"/>
  <c r="F1284" i="1"/>
  <c r="T1283" i="1"/>
  <c r="V1283" i="1" s="1"/>
  <c r="F1283" i="1"/>
  <c r="T1282" i="1"/>
  <c r="V1282" i="1" s="1"/>
  <c r="F1282" i="1"/>
  <c r="T1281" i="1"/>
  <c r="V1281" i="1" s="1"/>
  <c r="F1281" i="1"/>
  <c r="T1280" i="1"/>
  <c r="V1280" i="1" s="1"/>
  <c r="F1280" i="1"/>
  <c r="T1279" i="1"/>
  <c r="V1279" i="1" s="1"/>
  <c r="F1279" i="1"/>
  <c r="T1278" i="1"/>
  <c r="V1278" i="1" s="1"/>
  <c r="F1278" i="1"/>
  <c r="T1277" i="1"/>
  <c r="V1277" i="1" s="1"/>
  <c r="F1277" i="1"/>
  <c r="T1276" i="1"/>
  <c r="V1276" i="1" s="1"/>
  <c r="F1276" i="1"/>
  <c r="T1275" i="1"/>
  <c r="V1275" i="1" s="1"/>
  <c r="F1275" i="1"/>
  <c r="T1274" i="1"/>
  <c r="V1274" i="1" s="1"/>
  <c r="F1274" i="1"/>
  <c r="T1273" i="1"/>
  <c r="V1273" i="1" s="1"/>
  <c r="F1273" i="1"/>
  <c r="T1272" i="1"/>
  <c r="V1272" i="1" s="1"/>
  <c r="F1272" i="1"/>
  <c r="T1271" i="1"/>
  <c r="V1271" i="1" s="1"/>
  <c r="F1271" i="1"/>
  <c r="T1270" i="1"/>
  <c r="V1270" i="1" s="1"/>
  <c r="F1270" i="1"/>
  <c r="T1269" i="1"/>
  <c r="V1269" i="1" s="1"/>
  <c r="F1269" i="1"/>
  <c r="T1268" i="1"/>
  <c r="V1268" i="1" s="1"/>
  <c r="F1268" i="1"/>
  <c r="T1267" i="1"/>
  <c r="V1267" i="1" s="1"/>
  <c r="F1267" i="1"/>
  <c r="T1266" i="1"/>
  <c r="V1266" i="1" s="1"/>
  <c r="F1266" i="1"/>
  <c r="T1265" i="1"/>
  <c r="V1265" i="1" s="1"/>
  <c r="F1265" i="1"/>
  <c r="T1264" i="1"/>
  <c r="V1264" i="1" s="1"/>
  <c r="F1264" i="1"/>
  <c r="T1263" i="1"/>
  <c r="V1263" i="1" s="1"/>
  <c r="F1263" i="1"/>
  <c r="T1262" i="1"/>
  <c r="V1262" i="1" s="1"/>
  <c r="F1262" i="1"/>
  <c r="T1261" i="1"/>
  <c r="V1261" i="1" s="1"/>
  <c r="F1261" i="1"/>
  <c r="T1260" i="1"/>
  <c r="V1260" i="1" s="1"/>
  <c r="F1260" i="1"/>
  <c r="T1259" i="1"/>
  <c r="V1259" i="1" s="1"/>
  <c r="F1259" i="1"/>
  <c r="T1258" i="1"/>
  <c r="V1258" i="1" s="1"/>
  <c r="F1258" i="1"/>
  <c r="T1257" i="1"/>
  <c r="V1257" i="1" s="1"/>
  <c r="F1257" i="1"/>
  <c r="T1256" i="1"/>
  <c r="V1256" i="1" s="1"/>
  <c r="F1256" i="1"/>
  <c r="T1255" i="1"/>
  <c r="V1255" i="1" s="1"/>
  <c r="F1255" i="1"/>
  <c r="T1254" i="1"/>
  <c r="V1254" i="1" s="1"/>
  <c r="F1254" i="1"/>
  <c r="T1253" i="1"/>
  <c r="V1253" i="1" s="1"/>
  <c r="F1253" i="1"/>
  <c r="T1252" i="1"/>
  <c r="V1252" i="1" s="1"/>
  <c r="F1252" i="1"/>
  <c r="T1251" i="1"/>
  <c r="V1251" i="1" s="1"/>
  <c r="F1251" i="1"/>
  <c r="T1250" i="1"/>
  <c r="V1250" i="1" s="1"/>
  <c r="F1250" i="1"/>
  <c r="T1249" i="1"/>
  <c r="V1249" i="1" s="1"/>
  <c r="F1249" i="1"/>
  <c r="T1248" i="1"/>
  <c r="V1248" i="1" s="1"/>
  <c r="F1248" i="1"/>
  <c r="T1247" i="1"/>
  <c r="V1247" i="1" s="1"/>
  <c r="F1247" i="1"/>
  <c r="T1246" i="1"/>
  <c r="V1246" i="1" s="1"/>
  <c r="F1246" i="1"/>
  <c r="T1245" i="1"/>
  <c r="V1245" i="1" s="1"/>
  <c r="F1245" i="1"/>
  <c r="T1244" i="1"/>
  <c r="V1244" i="1" s="1"/>
  <c r="F1244" i="1"/>
  <c r="T1243" i="1"/>
  <c r="V1243" i="1" s="1"/>
  <c r="F1243" i="1"/>
  <c r="T1242" i="1"/>
  <c r="V1242" i="1" s="1"/>
  <c r="F1242" i="1"/>
  <c r="T1241" i="1"/>
  <c r="V1241" i="1" s="1"/>
  <c r="F1241" i="1"/>
  <c r="T1240" i="1"/>
  <c r="V1240" i="1" s="1"/>
  <c r="F1240" i="1"/>
  <c r="T1239" i="1"/>
  <c r="V1239" i="1" s="1"/>
  <c r="F1239" i="1"/>
  <c r="T1238" i="1"/>
  <c r="V1238" i="1" s="1"/>
  <c r="F1238" i="1"/>
  <c r="T1237" i="1"/>
  <c r="V1237" i="1" s="1"/>
  <c r="F1237" i="1"/>
  <c r="T1236" i="1"/>
  <c r="V1236" i="1" s="1"/>
  <c r="F1236" i="1"/>
  <c r="T1235" i="1"/>
  <c r="V1235" i="1" s="1"/>
  <c r="F1235" i="1"/>
  <c r="T1234" i="1"/>
  <c r="V1234" i="1" s="1"/>
  <c r="F1234" i="1"/>
  <c r="T1233" i="1"/>
  <c r="V1233" i="1" s="1"/>
  <c r="F1233" i="1"/>
  <c r="T1232" i="1"/>
  <c r="V1232" i="1" s="1"/>
  <c r="F1232" i="1"/>
  <c r="T1231" i="1"/>
  <c r="V1231" i="1" s="1"/>
  <c r="F1231" i="1"/>
  <c r="T1230" i="1"/>
  <c r="V1230" i="1" s="1"/>
  <c r="F1230" i="1"/>
  <c r="T1229" i="1"/>
  <c r="V1229" i="1" s="1"/>
  <c r="F1229" i="1"/>
  <c r="T1228" i="1"/>
  <c r="V1228" i="1" s="1"/>
  <c r="F1228" i="1"/>
  <c r="T1227" i="1"/>
  <c r="V1227" i="1" s="1"/>
  <c r="F1227" i="1"/>
  <c r="T1226" i="1"/>
  <c r="V1226" i="1" s="1"/>
  <c r="F1226" i="1"/>
  <c r="T1225" i="1"/>
  <c r="V1225" i="1" s="1"/>
  <c r="F1225" i="1"/>
  <c r="T1224" i="1"/>
  <c r="V1224" i="1" s="1"/>
  <c r="F1224" i="1"/>
  <c r="T1223" i="1"/>
  <c r="V1223" i="1" s="1"/>
  <c r="F1223" i="1"/>
  <c r="T1222" i="1"/>
  <c r="V1222" i="1" s="1"/>
  <c r="F1222" i="1"/>
  <c r="T1221" i="1"/>
  <c r="V1221" i="1" s="1"/>
  <c r="F1221" i="1"/>
  <c r="T1220" i="1"/>
  <c r="V1220" i="1" s="1"/>
  <c r="F1220" i="1"/>
  <c r="T1219" i="1"/>
  <c r="V1219" i="1" s="1"/>
  <c r="F1219" i="1"/>
  <c r="T1218" i="1"/>
  <c r="V1218" i="1" s="1"/>
  <c r="F1218" i="1"/>
  <c r="T1217" i="1"/>
  <c r="V1217" i="1" s="1"/>
  <c r="F1217" i="1"/>
  <c r="T1216" i="1"/>
  <c r="V1216" i="1" s="1"/>
  <c r="F1216" i="1"/>
  <c r="T1215" i="1"/>
  <c r="V1215" i="1" s="1"/>
  <c r="F1215" i="1"/>
  <c r="T1214" i="1"/>
  <c r="V1214" i="1" s="1"/>
  <c r="F1214" i="1"/>
  <c r="T1213" i="1"/>
  <c r="V1213" i="1" s="1"/>
  <c r="F1213" i="1"/>
  <c r="T1212" i="1"/>
  <c r="V1212" i="1" s="1"/>
  <c r="F1212" i="1"/>
  <c r="T1211" i="1"/>
  <c r="V1211" i="1" s="1"/>
  <c r="F1211" i="1"/>
  <c r="T1210" i="1"/>
  <c r="V1210" i="1" s="1"/>
  <c r="F1210" i="1"/>
  <c r="T1209" i="1"/>
  <c r="V1209" i="1" s="1"/>
  <c r="F1209" i="1"/>
  <c r="T1208" i="1"/>
  <c r="V1208" i="1" s="1"/>
  <c r="F1208" i="1"/>
  <c r="T1207" i="1"/>
  <c r="V1207" i="1" s="1"/>
  <c r="F1207" i="1"/>
  <c r="T1206" i="1"/>
  <c r="V1206" i="1" s="1"/>
  <c r="F1206" i="1"/>
  <c r="T1205" i="1"/>
  <c r="V1205" i="1" s="1"/>
  <c r="F1205" i="1"/>
  <c r="T1204" i="1"/>
  <c r="V1204" i="1" s="1"/>
  <c r="F1204" i="1"/>
  <c r="T1203" i="1"/>
  <c r="V1203" i="1" s="1"/>
  <c r="F1203" i="1"/>
  <c r="T1202" i="1"/>
  <c r="V1202" i="1" s="1"/>
  <c r="F1202" i="1"/>
  <c r="T1201" i="1"/>
  <c r="V1201" i="1" s="1"/>
  <c r="F1201" i="1"/>
  <c r="T1200" i="1"/>
  <c r="V1200" i="1" s="1"/>
  <c r="F1200" i="1"/>
  <c r="T1199" i="1"/>
  <c r="V1199" i="1" s="1"/>
  <c r="F1199" i="1"/>
  <c r="T1198" i="1"/>
  <c r="V1198" i="1" s="1"/>
  <c r="F1198" i="1"/>
  <c r="T1197" i="1"/>
  <c r="V1197" i="1" s="1"/>
  <c r="F1197" i="1"/>
  <c r="T1196" i="1"/>
  <c r="V1196" i="1" s="1"/>
  <c r="F1196" i="1"/>
  <c r="T1195" i="1"/>
  <c r="V1195" i="1" s="1"/>
  <c r="F1195" i="1"/>
  <c r="T1194" i="1"/>
  <c r="V1194" i="1" s="1"/>
  <c r="F1194" i="1"/>
  <c r="T1193" i="1"/>
  <c r="V1193" i="1" s="1"/>
  <c r="F1193" i="1"/>
  <c r="T1192" i="1"/>
  <c r="V1192" i="1" s="1"/>
  <c r="F1192" i="1"/>
  <c r="T1191" i="1"/>
  <c r="V1191" i="1" s="1"/>
  <c r="F1191" i="1"/>
  <c r="T1190" i="1"/>
  <c r="V1190" i="1" s="1"/>
  <c r="F1190" i="1"/>
  <c r="T1189" i="1"/>
  <c r="V1189" i="1" s="1"/>
  <c r="F1189" i="1"/>
  <c r="T1188" i="1"/>
  <c r="V1188" i="1" s="1"/>
  <c r="F1188" i="1"/>
  <c r="T1187" i="1"/>
  <c r="V1187" i="1" s="1"/>
  <c r="F1187" i="1"/>
  <c r="T1186" i="1"/>
  <c r="V1186" i="1" s="1"/>
  <c r="F1186" i="1"/>
  <c r="T1185" i="1"/>
  <c r="V1185" i="1" s="1"/>
  <c r="F1185" i="1"/>
  <c r="T1184" i="1"/>
  <c r="V1184" i="1" s="1"/>
  <c r="F1184" i="1"/>
  <c r="T1183" i="1"/>
  <c r="V1183" i="1" s="1"/>
  <c r="F1183" i="1"/>
  <c r="T1182" i="1"/>
  <c r="V1182" i="1" s="1"/>
  <c r="F1182" i="1"/>
  <c r="T1181" i="1"/>
  <c r="V1181" i="1" s="1"/>
  <c r="F1181" i="1"/>
  <c r="T1180" i="1"/>
  <c r="V1180" i="1" s="1"/>
  <c r="F1180" i="1"/>
  <c r="T1179" i="1"/>
  <c r="V1179" i="1" s="1"/>
  <c r="F1179" i="1"/>
  <c r="T1178" i="1"/>
  <c r="V1178" i="1" s="1"/>
  <c r="F1178" i="1"/>
  <c r="T1177" i="1"/>
  <c r="V1177" i="1" s="1"/>
  <c r="F1177" i="1"/>
  <c r="T1176" i="1"/>
  <c r="V1176" i="1" s="1"/>
  <c r="F1176" i="1"/>
  <c r="T1175" i="1"/>
  <c r="V1175" i="1" s="1"/>
  <c r="F1175" i="1"/>
  <c r="T1174" i="1"/>
  <c r="V1174" i="1" s="1"/>
  <c r="F1174" i="1"/>
  <c r="T1173" i="1"/>
  <c r="V1173" i="1" s="1"/>
  <c r="F1173" i="1"/>
  <c r="T1172" i="1"/>
  <c r="V1172" i="1" s="1"/>
  <c r="F1172" i="1"/>
  <c r="T1171" i="1"/>
  <c r="V1171" i="1" s="1"/>
  <c r="F1171" i="1"/>
  <c r="T1170" i="1"/>
  <c r="V1170" i="1" s="1"/>
  <c r="F1170" i="1"/>
  <c r="T1169" i="1"/>
  <c r="V1169" i="1" s="1"/>
  <c r="F1169" i="1"/>
  <c r="T1168" i="1"/>
  <c r="V1168" i="1" s="1"/>
  <c r="F1168" i="1"/>
  <c r="T1167" i="1"/>
  <c r="V1167" i="1" s="1"/>
  <c r="F1167" i="1"/>
  <c r="T1166" i="1"/>
  <c r="V1166" i="1" s="1"/>
  <c r="F1166" i="1"/>
  <c r="T1165" i="1"/>
  <c r="V1165" i="1" s="1"/>
  <c r="F1165" i="1"/>
  <c r="T1164" i="1"/>
  <c r="V1164" i="1" s="1"/>
  <c r="F1164" i="1"/>
  <c r="T1163" i="1"/>
  <c r="V1163" i="1" s="1"/>
  <c r="F1163" i="1"/>
  <c r="T1162" i="1"/>
  <c r="V1162" i="1" s="1"/>
  <c r="F1162" i="1"/>
  <c r="T1161" i="1"/>
  <c r="V1161" i="1" s="1"/>
  <c r="F1161" i="1"/>
  <c r="T1160" i="1"/>
  <c r="V1160" i="1" s="1"/>
  <c r="F1160" i="1"/>
  <c r="T1159" i="1"/>
  <c r="V1159" i="1" s="1"/>
  <c r="F1159" i="1"/>
  <c r="T1158" i="1"/>
  <c r="V1158" i="1" s="1"/>
  <c r="F1158" i="1"/>
  <c r="T1157" i="1"/>
  <c r="V1157" i="1" s="1"/>
  <c r="F1157" i="1"/>
  <c r="T1156" i="1"/>
  <c r="V1156" i="1" s="1"/>
  <c r="F1156" i="1"/>
  <c r="T1155" i="1"/>
  <c r="V1155" i="1" s="1"/>
  <c r="F1155" i="1"/>
  <c r="T1154" i="1"/>
  <c r="V1154" i="1" s="1"/>
  <c r="F1154" i="1"/>
  <c r="T1153" i="1"/>
  <c r="V1153" i="1" s="1"/>
  <c r="F1153" i="1"/>
  <c r="T1152" i="1"/>
  <c r="V1152" i="1" s="1"/>
  <c r="F1152" i="1"/>
  <c r="T1151" i="1"/>
  <c r="V1151" i="1" s="1"/>
  <c r="F1151" i="1"/>
  <c r="T1150" i="1"/>
  <c r="V1150" i="1" s="1"/>
  <c r="F1150" i="1"/>
  <c r="T1149" i="1"/>
  <c r="V1149" i="1" s="1"/>
  <c r="F1149" i="1"/>
  <c r="T1148" i="1"/>
  <c r="V1148" i="1" s="1"/>
  <c r="F1148" i="1"/>
  <c r="T1147" i="1"/>
  <c r="V1147" i="1" s="1"/>
  <c r="F1147" i="1"/>
  <c r="T1146" i="1"/>
  <c r="V1146" i="1" s="1"/>
  <c r="F1146" i="1"/>
  <c r="T1145" i="1"/>
  <c r="V1145" i="1" s="1"/>
  <c r="F1145" i="1"/>
  <c r="T1144" i="1"/>
  <c r="V1144" i="1" s="1"/>
  <c r="F1144" i="1"/>
  <c r="T1143" i="1"/>
  <c r="V1143" i="1" s="1"/>
  <c r="F1143" i="1"/>
  <c r="T1142" i="1"/>
  <c r="V1142" i="1" s="1"/>
  <c r="F1142" i="1"/>
  <c r="T1141" i="1"/>
  <c r="V1141" i="1" s="1"/>
  <c r="F1141" i="1"/>
  <c r="T1140" i="1"/>
  <c r="V1140" i="1" s="1"/>
  <c r="F1140" i="1"/>
  <c r="T1139" i="1"/>
  <c r="V1139" i="1" s="1"/>
  <c r="F1139" i="1"/>
  <c r="T1138" i="1"/>
  <c r="V1138" i="1" s="1"/>
  <c r="F1138" i="1"/>
  <c r="T1137" i="1"/>
  <c r="V1137" i="1" s="1"/>
  <c r="F1137" i="1"/>
  <c r="T1136" i="1"/>
  <c r="V1136" i="1" s="1"/>
  <c r="F1136" i="1"/>
  <c r="T1135" i="1"/>
  <c r="V1135" i="1" s="1"/>
  <c r="F1135" i="1"/>
  <c r="T1134" i="1"/>
  <c r="V1134" i="1" s="1"/>
  <c r="F1134" i="1"/>
  <c r="T1133" i="1"/>
  <c r="V1133" i="1" s="1"/>
  <c r="F1133" i="1"/>
  <c r="T1132" i="1"/>
  <c r="V1132" i="1" s="1"/>
  <c r="F1132" i="1"/>
  <c r="T1131" i="1"/>
  <c r="V1131" i="1" s="1"/>
  <c r="F1131" i="1"/>
  <c r="T1130" i="1"/>
  <c r="V1130" i="1" s="1"/>
  <c r="F1130" i="1"/>
  <c r="T1129" i="1"/>
  <c r="V1129" i="1" s="1"/>
  <c r="F1129" i="1"/>
  <c r="T1128" i="1"/>
  <c r="V1128" i="1" s="1"/>
  <c r="F1128" i="1"/>
  <c r="T1127" i="1"/>
  <c r="V1127" i="1" s="1"/>
  <c r="F1127" i="1"/>
  <c r="T1126" i="1"/>
  <c r="V1126" i="1" s="1"/>
  <c r="F1126" i="1"/>
  <c r="T1125" i="1"/>
  <c r="V1125" i="1" s="1"/>
  <c r="F1125" i="1"/>
  <c r="T1124" i="1"/>
  <c r="V1124" i="1" s="1"/>
  <c r="F1124" i="1"/>
  <c r="T1123" i="1"/>
  <c r="V1123" i="1" s="1"/>
  <c r="F1123" i="1"/>
  <c r="T1122" i="1"/>
  <c r="V1122" i="1" s="1"/>
  <c r="F1122" i="1"/>
  <c r="T1121" i="1"/>
  <c r="V1121" i="1" s="1"/>
  <c r="F1121" i="1"/>
  <c r="T1120" i="1"/>
  <c r="V1120" i="1" s="1"/>
  <c r="F1120" i="1"/>
  <c r="T1119" i="1"/>
  <c r="V1119" i="1" s="1"/>
  <c r="F1119" i="1"/>
  <c r="T1118" i="1"/>
  <c r="V1118" i="1" s="1"/>
  <c r="F1118" i="1"/>
  <c r="T1117" i="1"/>
  <c r="V1117" i="1" s="1"/>
  <c r="F1117" i="1"/>
  <c r="T1116" i="1"/>
  <c r="V1116" i="1" s="1"/>
  <c r="F1116" i="1"/>
  <c r="T1115" i="1"/>
  <c r="V1115" i="1" s="1"/>
  <c r="F1115" i="1"/>
  <c r="T1114" i="1"/>
  <c r="V1114" i="1" s="1"/>
  <c r="F1114" i="1"/>
  <c r="T1113" i="1"/>
  <c r="V1113" i="1" s="1"/>
  <c r="F1113" i="1"/>
  <c r="T1112" i="1"/>
  <c r="V1112" i="1" s="1"/>
  <c r="F1112" i="1"/>
  <c r="T1111" i="1"/>
  <c r="V1111" i="1" s="1"/>
  <c r="F1111" i="1"/>
  <c r="T1110" i="1"/>
  <c r="V1110" i="1" s="1"/>
  <c r="F1110" i="1"/>
  <c r="T1109" i="1"/>
  <c r="V1109" i="1" s="1"/>
  <c r="F1109" i="1"/>
  <c r="T1108" i="1"/>
  <c r="V1108" i="1" s="1"/>
  <c r="F1108" i="1"/>
  <c r="T1107" i="1"/>
  <c r="V1107" i="1" s="1"/>
  <c r="F1107" i="1"/>
  <c r="T1106" i="1"/>
  <c r="V1106" i="1" s="1"/>
  <c r="F1106" i="1"/>
  <c r="T1105" i="1"/>
  <c r="V1105" i="1" s="1"/>
  <c r="F1105" i="1"/>
  <c r="T1104" i="1"/>
  <c r="V1104" i="1" s="1"/>
  <c r="F1104" i="1"/>
  <c r="T1103" i="1"/>
  <c r="V1103" i="1" s="1"/>
  <c r="F1103" i="1"/>
  <c r="T1102" i="1"/>
  <c r="V1102" i="1" s="1"/>
  <c r="F1102" i="1"/>
  <c r="T1101" i="1"/>
  <c r="V1101" i="1" s="1"/>
  <c r="F1101" i="1"/>
  <c r="T1100" i="1"/>
  <c r="V1100" i="1" s="1"/>
  <c r="F1100" i="1"/>
  <c r="T1099" i="1"/>
  <c r="V1099" i="1" s="1"/>
  <c r="F1099" i="1"/>
  <c r="T1098" i="1"/>
  <c r="V1098" i="1" s="1"/>
  <c r="F1098" i="1"/>
  <c r="T1097" i="1"/>
  <c r="V1097" i="1" s="1"/>
  <c r="F1097" i="1"/>
  <c r="T1096" i="1"/>
  <c r="V1096" i="1" s="1"/>
  <c r="F1096" i="1"/>
  <c r="T1095" i="1"/>
  <c r="V1095" i="1" s="1"/>
  <c r="F1095" i="1"/>
  <c r="T1094" i="1"/>
  <c r="V1094" i="1" s="1"/>
  <c r="F1094" i="1"/>
  <c r="T1093" i="1"/>
  <c r="V1093" i="1" s="1"/>
  <c r="F1093" i="1"/>
  <c r="T1092" i="1"/>
  <c r="V1092" i="1" s="1"/>
  <c r="F1092" i="1"/>
  <c r="T1091" i="1"/>
  <c r="V1091" i="1" s="1"/>
  <c r="F1091" i="1"/>
  <c r="T1090" i="1"/>
  <c r="V1090" i="1" s="1"/>
  <c r="F1090" i="1"/>
  <c r="T1089" i="1"/>
  <c r="V1089" i="1" s="1"/>
  <c r="F1089" i="1"/>
  <c r="T1088" i="1"/>
  <c r="V1088" i="1" s="1"/>
  <c r="F1088" i="1"/>
  <c r="T1087" i="1"/>
  <c r="V1087" i="1" s="1"/>
  <c r="F1087" i="1"/>
  <c r="T1086" i="1"/>
  <c r="V1086" i="1" s="1"/>
  <c r="F1086" i="1"/>
  <c r="T1085" i="1"/>
  <c r="V1085" i="1" s="1"/>
  <c r="F1085" i="1"/>
  <c r="T1084" i="1"/>
  <c r="V1084" i="1" s="1"/>
  <c r="F1084" i="1"/>
  <c r="T1083" i="1"/>
  <c r="V1083" i="1" s="1"/>
  <c r="F1083" i="1"/>
  <c r="T1082" i="1"/>
  <c r="V1082" i="1" s="1"/>
  <c r="F1082" i="1"/>
  <c r="T1081" i="1"/>
  <c r="V1081" i="1" s="1"/>
  <c r="F1081" i="1"/>
  <c r="T1080" i="1"/>
  <c r="V1080" i="1" s="1"/>
  <c r="F1080" i="1"/>
  <c r="T1079" i="1"/>
  <c r="V1079" i="1" s="1"/>
  <c r="F1079" i="1"/>
  <c r="T1078" i="1"/>
  <c r="V1078" i="1" s="1"/>
  <c r="F1078" i="1"/>
  <c r="T1077" i="1"/>
  <c r="V1077" i="1" s="1"/>
  <c r="F1077" i="1"/>
  <c r="T1076" i="1"/>
  <c r="V1076" i="1" s="1"/>
  <c r="F1076" i="1"/>
  <c r="T1075" i="1"/>
  <c r="V1075" i="1" s="1"/>
  <c r="F1075" i="1"/>
  <c r="T1074" i="1"/>
  <c r="V1074" i="1" s="1"/>
  <c r="F1074" i="1"/>
  <c r="T1073" i="1"/>
  <c r="V1073" i="1" s="1"/>
  <c r="F1073" i="1"/>
  <c r="T1072" i="1"/>
  <c r="V1072" i="1" s="1"/>
  <c r="F1072" i="1"/>
  <c r="T1071" i="1"/>
  <c r="V1071" i="1" s="1"/>
  <c r="F1071" i="1"/>
  <c r="T1070" i="1"/>
  <c r="V1070" i="1" s="1"/>
  <c r="F1070" i="1"/>
  <c r="T1069" i="1"/>
  <c r="V1069" i="1" s="1"/>
  <c r="F1069" i="1"/>
  <c r="T1068" i="1"/>
  <c r="V1068" i="1" s="1"/>
  <c r="F1068" i="1"/>
  <c r="T1067" i="1"/>
  <c r="V1067" i="1" s="1"/>
  <c r="F1067" i="1"/>
  <c r="T1066" i="1"/>
  <c r="V1066" i="1" s="1"/>
  <c r="F1066" i="1"/>
  <c r="T1065" i="1"/>
  <c r="V1065" i="1" s="1"/>
  <c r="F1065" i="1"/>
  <c r="T1064" i="1"/>
  <c r="V1064" i="1" s="1"/>
  <c r="F1064" i="1"/>
  <c r="T1063" i="1"/>
  <c r="V1063" i="1" s="1"/>
  <c r="F1063" i="1"/>
  <c r="T1062" i="1"/>
  <c r="V1062" i="1" s="1"/>
  <c r="F1062" i="1"/>
  <c r="T1061" i="1"/>
  <c r="V1061" i="1" s="1"/>
  <c r="F1061" i="1"/>
  <c r="T1060" i="1"/>
  <c r="V1060" i="1" s="1"/>
  <c r="F1060" i="1"/>
  <c r="T1059" i="1"/>
  <c r="V1059" i="1" s="1"/>
  <c r="F1059" i="1"/>
  <c r="T1058" i="1"/>
  <c r="V1058" i="1" s="1"/>
  <c r="F1058" i="1"/>
  <c r="T1057" i="1"/>
  <c r="V1057" i="1" s="1"/>
  <c r="F1057" i="1"/>
  <c r="T1056" i="1"/>
  <c r="V1056" i="1" s="1"/>
  <c r="F1056" i="1"/>
  <c r="T1055" i="1"/>
  <c r="V1055" i="1" s="1"/>
  <c r="F1055" i="1"/>
  <c r="T1054" i="1"/>
  <c r="V1054" i="1" s="1"/>
  <c r="F1054" i="1"/>
  <c r="T1053" i="1"/>
  <c r="V1053" i="1" s="1"/>
  <c r="F1053" i="1"/>
  <c r="T1052" i="1"/>
  <c r="V1052" i="1" s="1"/>
  <c r="F1052" i="1"/>
  <c r="T1051" i="1"/>
  <c r="V1051" i="1" s="1"/>
  <c r="F1051" i="1"/>
  <c r="T1050" i="1"/>
  <c r="V1050" i="1" s="1"/>
  <c r="F1050" i="1"/>
  <c r="T1049" i="1"/>
  <c r="V1049" i="1" s="1"/>
  <c r="F1049" i="1"/>
  <c r="T1048" i="1"/>
  <c r="V1048" i="1" s="1"/>
  <c r="F1048" i="1"/>
  <c r="T1047" i="1"/>
  <c r="V1047" i="1" s="1"/>
  <c r="F1047" i="1"/>
  <c r="T1046" i="1"/>
  <c r="V1046" i="1" s="1"/>
  <c r="F1046" i="1"/>
  <c r="T1045" i="1"/>
  <c r="V1045" i="1" s="1"/>
  <c r="F1045" i="1"/>
  <c r="T1044" i="1"/>
  <c r="V1044" i="1" s="1"/>
  <c r="F1044" i="1"/>
  <c r="T1043" i="1"/>
  <c r="V1043" i="1" s="1"/>
  <c r="F1043" i="1"/>
  <c r="T1042" i="1"/>
  <c r="V1042" i="1" s="1"/>
  <c r="F1042" i="1"/>
  <c r="T1041" i="1"/>
  <c r="V1041" i="1" s="1"/>
  <c r="F1041" i="1"/>
  <c r="T1040" i="1"/>
  <c r="V1040" i="1" s="1"/>
  <c r="F1040" i="1"/>
  <c r="T1039" i="1"/>
  <c r="V1039" i="1" s="1"/>
  <c r="F1039" i="1"/>
  <c r="T1038" i="1"/>
  <c r="V1038" i="1" s="1"/>
  <c r="F1038" i="1"/>
  <c r="T1037" i="1"/>
  <c r="V1037" i="1" s="1"/>
  <c r="F1037" i="1"/>
  <c r="T1036" i="1"/>
  <c r="V1036" i="1" s="1"/>
  <c r="F1036" i="1"/>
  <c r="T1035" i="1"/>
  <c r="V1035" i="1" s="1"/>
  <c r="F1035" i="1"/>
  <c r="T1034" i="1"/>
  <c r="V1034" i="1" s="1"/>
  <c r="F1034" i="1"/>
  <c r="T1033" i="1"/>
  <c r="V1033" i="1" s="1"/>
  <c r="F1033" i="1"/>
  <c r="T1032" i="1"/>
  <c r="V1032" i="1" s="1"/>
  <c r="F1032" i="1"/>
  <c r="T1031" i="1"/>
  <c r="V1031" i="1" s="1"/>
  <c r="F1031" i="1"/>
  <c r="T1030" i="1"/>
  <c r="V1030" i="1" s="1"/>
  <c r="F1030" i="1"/>
  <c r="T1029" i="1"/>
  <c r="V1029" i="1" s="1"/>
  <c r="F1029" i="1"/>
  <c r="T1028" i="1"/>
  <c r="V1028" i="1" s="1"/>
  <c r="F1028" i="1"/>
  <c r="T1027" i="1"/>
  <c r="V1027" i="1" s="1"/>
  <c r="F1027" i="1"/>
  <c r="T1026" i="1"/>
  <c r="V1026" i="1" s="1"/>
  <c r="F1026" i="1"/>
  <c r="T1025" i="1"/>
  <c r="V1025" i="1" s="1"/>
  <c r="F1025" i="1"/>
  <c r="T1024" i="1"/>
  <c r="V1024" i="1" s="1"/>
  <c r="F1024" i="1"/>
  <c r="T1023" i="1"/>
  <c r="V1023" i="1" s="1"/>
  <c r="F1023" i="1"/>
  <c r="T1022" i="1"/>
  <c r="V1022" i="1" s="1"/>
  <c r="F1022" i="1"/>
  <c r="T1021" i="1"/>
  <c r="V1021" i="1" s="1"/>
  <c r="F1021" i="1"/>
  <c r="T1020" i="1"/>
  <c r="V1020" i="1" s="1"/>
  <c r="F1020" i="1"/>
  <c r="T1019" i="1"/>
  <c r="V1019" i="1" s="1"/>
  <c r="F1019" i="1"/>
  <c r="T1018" i="1"/>
  <c r="V1018" i="1" s="1"/>
  <c r="F1018" i="1"/>
  <c r="T1017" i="1"/>
  <c r="V1017" i="1" s="1"/>
  <c r="F1017" i="1"/>
  <c r="T1016" i="1"/>
  <c r="V1016" i="1" s="1"/>
  <c r="F1016" i="1"/>
  <c r="T1015" i="1"/>
  <c r="V1015" i="1" s="1"/>
  <c r="F1015" i="1"/>
  <c r="T1014" i="1"/>
  <c r="V1014" i="1" s="1"/>
  <c r="F1014" i="1"/>
  <c r="T1013" i="1"/>
  <c r="V1013" i="1" s="1"/>
  <c r="F1013" i="1"/>
  <c r="T1012" i="1"/>
  <c r="V1012" i="1" s="1"/>
  <c r="F1012" i="1"/>
  <c r="T1011" i="1"/>
  <c r="V1011" i="1" s="1"/>
  <c r="F1011" i="1"/>
  <c r="T1010" i="1"/>
  <c r="V1010" i="1" s="1"/>
  <c r="F1010" i="1"/>
  <c r="T1009" i="1"/>
  <c r="V1009" i="1" s="1"/>
  <c r="F1009" i="1"/>
  <c r="T1008" i="1"/>
  <c r="V1008" i="1" s="1"/>
  <c r="F1008" i="1"/>
  <c r="T1007" i="1"/>
  <c r="V1007" i="1" s="1"/>
  <c r="F1007" i="1"/>
  <c r="T1006" i="1"/>
  <c r="V1006" i="1" s="1"/>
  <c r="F1006" i="1"/>
  <c r="T1005" i="1"/>
  <c r="V1005" i="1" s="1"/>
  <c r="F1005" i="1"/>
  <c r="T1004" i="1"/>
  <c r="V1004" i="1" s="1"/>
  <c r="F1004" i="1"/>
  <c r="T1003" i="1"/>
  <c r="V1003" i="1" s="1"/>
  <c r="F1003" i="1"/>
  <c r="T1002" i="1"/>
  <c r="V1002" i="1" s="1"/>
  <c r="F1002" i="1"/>
  <c r="T1001" i="1"/>
  <c r="V1001" i="1" s="1"/>
  <c r="F1001" i="1"/>
  <c r="T1000" i="1"/>
  <c r="V1000" i="1" s="1"/>
  <c r="F1000" i="1"/>
  <c r="T999" i="1"/>
  <c r="V999" i="1" s="1"/>
  <c r="F999" i="1"/>
  <c r="T998" i="1"/>
  <c r="V998" i="1" s="1"/>
  <c r="F998" i="1"/>
  <c r="T997" i="1"/>
  <c r="V997" i="1" s="1"/>
  <c r="F997" i="1"/>
  <c r="T996" i="1"/>
  <c r="V996" i="1" s="1"/>
  <c r="F996" i="1"/>
  <c r="T995" i="1"/>
  <c r="V995" i="1" s="1"/>
  <c r="F995" i="1"/>
  <c r="T994" i="1"/>
  <c r="V994" i="1" s="1"/>
  <c r="F994" i="1"/>
  <c r="T993" i="1"/>
  <c r="V993" i="1" s="1"/>
  <c r="F993" i="1"/>
  <c r="T992" i="1"/>
  <c r="V992" i="1" s="1"/>
  <c r="F992" i="1"/>
  <c r="T991" i="1"/>
  <c r="V991" i="1" s="1"/>
  <c r="F991" i="1"/>
  <c r="T990" i="1"/>
  <c r="V990" i="1" s="1"/>
  <c r="F990" i="1"/>
  <c r="T989" i="1"/>
  <c r="V989" i="1" s="1"/>
  <c r="F989" i="1"/>
  <c r="T988" i="1"/>
  <c r="V988" i="1" s="1"/>
  <c r="F988" i="1"/>
  <c r="T987" i="1"/>
  <c r="V987" i="1" s="1"/>
  <c r="F987" i="1"/>
  <c r="T986" i="1"/>
  <c r="V986" i="1" s="1"/>
  <c r="F986" i="1"/>
  <c r="T985" i="1"/>
  <c r="V985" i="1" s="1"/>
  <c r="F985" i="1"/>
  <c r="T984" i="1"/>
  <c r="V984" i="1" s="1"/>
  <c r="F984" i="1"/>
  <c r="T983" i="1"/>
  <c r="V983" i="1" s="1"/>
  <c r="F983" i="1"/>
  <c r="T982" i="1"/>
  <c r="V982" i="1" s="1"/>
  <c r="F982" i="1"/>
  <c r="T981" i="1"/>
  <c r="V981" i="1" s="1"/>
  <c r="F981" i="1"/>
  <c r="T980" i="1"/>
  <c r="V980" i="1" s="1"/>
  <c r="F980" i="1"/>
  <c r="T979" i="1"/>
  <c r="V979" i="1" s="1"/>
  <c r="F979" i="1"/>
  <c r="T978" i="1"/>
  <c r="V978" i="1" s="1"/>
  <c r="F978" i="1"/>
  <c r="T977" i="1"/>
  <c r="V977" i="1" s="1"/>
  <c r="F977" i="1"/>
  <c r="T976" i="1"/>
  <c r="V976" i="1" s="1"/>
  <c r="F976" i="1"/>
  <c r="T975" i="1"/>
  <c r="V975" i="1" s="1"/>
  <c r="F975" i="1"/>
  <c r="T974" i="1"/>
  <c r="V974" i="1" s="1"/>
  <c r="F974" i="1"/>
  <c r="T973" i="1"/>
  <c r="V973" i="1" s="1"/>
  <c r="F973" i="1"/>
  <c r="T972" i="1"/>
  <c r="V972" i="1" s="1"/>
  <c r="F972" i="1"/>
  <c r="T971" i="1"/>
  <c r="V971" i="1" s="1"/>
  <c r="F971" i="1"/>
  <c r="T970" i="1"/>
  <c r="V970" i="1" s="1"/>
  <c r="F970" i="1"/>
  <c r="T969" i="1"/>
  <c r="V969" i="1" s="1"/>
  <c r="F969" i="1"/>
  <c r="T968" i="1"/>
  <c r="V968" i="1" s="1"/>
  <c r="F968" i="1"/>
  <c r="T967" i="1"/>
  <c r="V967" i="1" s="1"/>
  <c r="F967" i="1"/>
  <c r="T966" i="1"/>
  <c r="V966" i="1" s="1"/>
  <c r="F966" i="1"/>
  <c r="T965" i="1"/>
  <c r="V965" i="1" s="1"/>
  <c r="F965" i="1"/>
  <c r="T964" i="1"/>
  <c r="V964" i="1" s="1"/>
  <c r="F964" i="1"/>
  <c r="T963" i="1"/>
  <c r="V963" i="1" s="1"/>
  <c r="F963" i="1"/>
  <c r="T962" i="1"/>
  <c r="V962" i="1" s="1"/>
  <c r="F962" i="1"/>
  <c r="T961" i="1"/>
  <c r="V961" i="1" s="1"/>
  <c r="F961" i="1"/>
  <c r="T960" i="1"/>
  <c r="V960" i="1" s="1"/>
  <c r="F960" i="1"/>
  <c r="T959" i="1"/>
  <c r="V959" i="1" s="1"/>
  <c r="F959" i="1"/>
  <c r="T958" i="1"/>
  <c r="V958" i="1" s="1"/>
  <c r="F958" i="1"/>
  <c r="T957" i="1"/>
  <c r="V957" i="1" s="1"/>
  <c r="F957" i="1"/>
  <c r="T956" i="1"/>
  <c r="V956" i="1" s="1"/>
  <c r="F956" i="1"/>
  <c r="T955" i="1"/>
  <c r="V955" i="1" s="1"/>
  <c r="F955" i="1"/>
  <c r="T954" i="1"/>
  <c r="V954" i="1" s="1"/>
  <c r="F954" i="1"/>
  <c r="T953" i="1"/>
  <c r="V953" i="1" s="1"/>
  <c r="F953" i="1"/>
  <c r="T952" i="1"/>
  <c r="V952" i="1" s="1"/>
  <c r="F952" i="1"/>
  <c r="T951" i="1"/>
  <c r="V951" i="1" s="1"/>
  <c r="F951" i="1"/>
  <c r="T950" i="1"/>
  <c r="V950" i="1" s="1"/>
  <c r="F950" i="1"/>
  <c r="T949" i="1"/>
  <c r="V949" i="1" s="1"/>
  <c r="F949" i="1"/>
  <c r="T948" i="1"/>
  <c r="V948" i="1" s="1"/>
  <c r="F948" i="1"/>
  <c r="T947" i="1"/>
  <c r="V947" i="1" s="1"/>
  <c r="F947" i="1"/>
  <c r="T946" i="1"/>
  <c r="V946" i="1" s="1"/>
  <c r="F946" i="1"/>
  <c r="T945" i="1"/>
  <c r="V945" i="1" s="1"/>
  <c r="F945" i="1"/>
  <c r="T944" i="1"/>
  <c r="V944" i="1" s="1"/>
  <c r="F944" i="1"/>
  <c r="T943" i="1"/>
  <c r="V943" i="1" s="1"/>
  <c r="F943" i="1"/>
  <c r="T942" i="1"/>
  <c r="V942" i="1" s="1"/>
  <c r="F942" i="1"/>
  <c r="T941" i="1"/>
  <c r="V941" i="1" s="1"/>
  <c r="F941" i="1"/>
  <c r="T940" i="1"/>
  <c r="V940" i="1" s="1"/>
  <c r="F940" i="1"/>
  <c r="T939" i="1"/>
  <c r="V939" i="1" s="1"/>
  <c r="F939" i="1"/>
  <c r="T938" i="1"/>
  <c r="V938" i="1" s="1"/>
  <c r="F938" i="1"/>
  <c r="T937" i="1"/>
  <c r="V937" i="1" s="1"/>
  <c r="F937" i="1"/>
  <c r="T936" i="1"/>
  <c r="V936" i="1" s="1"/>
  <c r="F936" i="1"/>
  <c r="T935" i="1"/>
  <c r="V935" i="1" s="1"/>
  <c r="F935" i="1"/>
  <c r="T934" i="1"/>
  <c r="V934" i="1" s="1"/>
  <c r="F934" i="1"/>
  <c r="T933" i="1"/>
  <c r="V933" i="1" s="1"/>
  <c r="F933" i="1"/>
  <c r="T932" i="1"/>
  <c r="V932" i="1" s="1"/>
  <c r="F932" i="1"/>
  <c r="T931" i="1"/>
  <c r="V931" i="1" s="1"/>
  <c r="F931" i="1"/>
  <c r="T930" i="1"/>
  <c r="V930" i="1" s="1"/>
  <c r="F930" i="1"/>
  <c r="T929" i="1"/>
  <c r="V929" i="1" s="1"/>
  <c r="F929" i="1"/>
  <c r="T928" i="1"/>
  <c r="V928" i="1" s="1"/>
  <c r="F928" i="1"/>
  <c r="T927" i="1"/>
  <c r="V927" i="1" s="1"/>
  <c r="F927" i="1"/>
  <c r="T926" i="1"/>
  <c r="V926" i="1" s="1"/>
  <c r="F926" i="1"/>
  <c r="T925" i="1"/>
  <c r="V925" i="1" s="1"/>
  <c r="F925" i="1"/>
  <c r="T924" i="1"/>
  <c r="V924" i="1" s="1"/>
  <c r="F924" i="1"/>
  <c r="T923" i="1"/>
  <c r="V923" i="1" s="1"/>
  <c r="F923" i="1"/>
  <c r="T922" i="1"/>
  <c r="V922" i="1" s="1"/>
  <c r="F922" i="1"/>
  <c r="T921" i="1"/>
  <c r="V921" i="1" s="1"/>
  <c r="F921" i="1"/>
  <c r="T920" i="1"/>
  <c r="V920" i="1" s="1"/>
  <c r="F920" i="1"/>
  <c r="T919" i="1"/>
  <c r="V919" i="1" s="1"/>
  <c r="F919" i="1"/>
  <c r="T918" i="1"/>
  <c r="V918" i="1" s="1"/>
  <c r="F918" i="1"/>
  <c r="T917" i="1"/>
  <c r="V917" i="1" s="1"/>
  <c r="F917" i="1"/>
  <c r="T916" i="1"/>
  <c r="V916" i="1" s="1"/>
  <c r="F916" i="1"/>
  <c r="T915" i="1"/>
  <c r="V915" i="1" s="1"/>
  <c r="F915" i="1"/>
  <c r="T914" i="1"/>
  <c r="V914" i="1" s="1"/>
  <c r="F914" i="1"/>
  <c r="T913" i="1"/>
  <c r="V913" i="1" s="1"/>
  <c r="F913" i="1"/>
  <c r="T912" i="1"/>
  <c r="V912" i="1" s="1"/>
  <c r="F912" i="1"/>
  <c r="T911" i="1"/>
  <c r="V911" i="1" s="1"/>
  <c r="F911" i="1"/>
  <c r="T910" i="1"/>
  <c r="V910" i="1" s="1"/>
  <c r="F910" i="1"/>
  <c r="T909" i="1"/>
  <c r="V909" i="1" s="1"/>
  <c r="F909" i="1"/>
  <c r="T908" i="1"/>
  <c r="V908" i="1" s="1"/>
  <c r="F908" i="1"/>
  <c r="T907" i="1"/>
  <c r="V907" i="1" s="1"/>
  <c r="F907" i="1"/>
  <c r="T906" i="1"/>
  <c r="V906" i="1" s="1"/>
  <c r="F906" i="1"/>
  <c r="T905" i="1"/>
  <c r="V905" i="1" s="1"/>
  <c r="F905" i="1"/>
  <c r="T904" i="1"/>
  <c r="V904" i="1" s="1"/>
  <c r="F904" i="1"/>
  <c r="T903" i="1"/>
  <c r="V903" i="1" s="1"/>
  <c r="F903" i="1"/>
  <c r="T902" i="1"/>
  <c r="V902" i="1" s="1"/>
  <c r="F902" i="1"/>
  <c r="T901" i="1"/>
  <c r="V901" i="1" s="1"/>
  <c r="F901" i="1"/>
  <c r="T900" i="1"/>
  <c r="V900" i="1" s="1"/>
  <c r="F900" i="1"/>
  <c r="T899" i="1"/>
  <c r="V899" i="1" s="1"/>
  <c r="F899" i="1"/>
  <c r="T898" i="1"/>
  <c r="V898" i="1" s="1"/>
  <c r="F898" i="1"/>
  <c r="T897" i="1"/>
  <c r="V897" i="1" s="1"/>
  <c r="F897" i="1"/>
  <c r="T896" i="1"/>
  <c r="V896" i="1" s="1"/>
  <c r="F896" i="1"/>
  <c r="T895" i="1"/>
  <c r="V895" i="1" s="1"/>
  <c r="F895" i="1"/>
  <c r="T894" i="1"/>
  <c r="V894" i="1" s="1"/>
  <c r="F894" i="1"/>
  <c r="T893" i="1"/>
  <c r="V893" i="1" s="1"/>
  <c r="F893" i="1"/>
  <c r="T892" i="1"/>
  <c r="V892" i="1" s="1"/>
  <c r="F892" i="1"/>
  <c r="T891" i="1"/>
  <c r="V891" i="1" s="1"/>
  <c r="F891" i="1"/>
  <c r="T890" i="1"/>
  <c r="V890" i="1" s="1"/>
  <c r="F890" i="1"/>
  <c r="T889" i="1"/>
  <c r="V889" i="1" s="1"/>
  <c r="F889" i="1"/>
  <c r="T888" i="1"/>
  <c r="V888" i="1" s="1"/>
  <c r="F888" i="1"/>
  <c r="T887" i="1"/>
  <c r="V887" i="1" s="1"/>
  <c r="F887" i="1"/>
  <c r="T886" i="1"/>
  <c r="V886" i="1" s="1"/>
  <c r="F886" i="1"/>
  <c r="T885" i="1"/>
  <c r="V885" i="1" s="1"/>
  <c r="F885" i="1"/>
  <c r="T884" i="1"/>
  <c r="V884" i="1" s="1"/>
  <c r="F884" i="1"/>
  <c r="T883" i="1"/>
  <c r="V883" i="1" s="1"/>
  <c r="F883" i="1"/>
  <c r="T882" i="1"/>
  <c r="V882" i="1" s="1"/>
  <c r="F882" i="1"/>
  <c r="T881" i="1"/>
  <c r="V881" i="1" s="1"/>
  <c r="F881" i="1"/>
  <c r="T880" i="1"/>
  <c r="V880" i="1" s="1"/>
  <c r="F880" i="1"/>
  <c r="T879" i="1"/>
  <c r="V879" i="1" s="1"/>
  <c r="F879" i="1"/>
  <c r="T878" i="1"/>
  <c r="V878" i="1" s="1"/>
  <c r="F878" i="1"/>
  <c r="T877" i="1"/>
  <c r="V877" i="1" s="1"/>
  <c r="F877" i="1"/>
  <c r="T876" i="1"/>
  <c r="V876" i="1" s="1"/>
  <c r="F876" i="1"/>
  <c r="T875" i="1"/>
  <c r="V875" i="1" s="1"/>
  <c r="F875" i="1"/>
  <c r="T874" i="1"/>
  <c r="V874" i="1" s="1"/>
  <c r="F874" i="1"/>
  <c r="T873" i="1"/>
  <c r="V873" i="1" s="1"/>
  <c r="F873" i="1"/>
  <c r="T872" i="1"/>
  <c r="V872" i="1" s="1"/>
  <c r="F872" i="1"/>
  <c r="T871" i="1"/>
  <c r="V871" i="1" s="1"/>
  <c r="F871" i="1"/>
  <c r="T870" i="1"/>
  <c r="V870" i="1" s="1"/>
  <c r="F870" i="1"/>
  <c r="T869" i="1"/>
  <c r="V869" i="1" s="1"/>
  <c r="F869" i="1"/>
  <c r="T868" i="1"/>
  <c r="V868" i="1" s="1"/>
  <c r="F868" i="1"/>
  <c r="T867" i="1"/>
  <c r="V867" i="1" s="1"/>
  <c r="F867" i="1"/>
  <c r="T866" i="1"/>
  <c r="V866" i="1" s="1"/>
  <c r="F866" i="1"/>
  <c r="T865" i="1"/>
  <c r="V865" i="1" s="1"/>
  <c r="F865" i="1"/>
  <c r="T864" i="1"/>
  <c r="V864" i="1" s="1"/>
  <c r="F864" i="1"/>
  <c r="T863" i="1"/>
  <c r="V863" i="1" s="1"/>
  <c r="F863" i="1"/>
  <c r="T862" i="1"/>
  <c r="V862" i="1" s="1"/>
  <c r="F862" i="1"/>
  <c r="T861" i="1"/>
  <c r="V861" i="1" s="1"/>
  <c r="F861" i="1"/>
  <c r="T860" i="1"/>
  <c r="V860" i="1" s="1"/>
  <c r="F860" i="1"/>
  <c r="T859" i="1"/>
  <c r="V859" i="1" s="1"/>
  <c r="F859" i="1"/>
  <c r="T858" i="1"/>
  <c r="V858" i="1" s="1"/>
  <c r="F858" i="1"/>
  <c r="T857" i="1"/>
  <c r="V857" i="1" s="1"/>
  <c r="F857" i="1"/>
  <c r="T856" i="1"/>
  <c r="V856" i="1" s="1"/>
  <c r="F856" i="1"/>
  <c r="T855" i="1"/>
  <c r="V855" i="1" s="1"/>
  <c r="F855" i="1"/>
  <c r="T854" i="1"/>
  <c r="V854" i="1" s="1"/>
  <c r="F854" i="1"/>
  <c r="T853" i="1"/>
  <c r="V853" i="1" s="1"/>
  <c r="F853" i="1"/>
  <c r="T852" i="1"/>
  <c r="V852" i="1" s="1"/>
  <c r="F852" i="1"/>
  <c r="T851" i="1"/>
  <c r="V851" i="1" s="1"/>
  <c r="F851" i="1"/>
  <c r="T850" i="1"/>
  <c r="V850" i="1" s="1"/>
  <c r="F850" i="1"/>
  <c r="T849" i="1"/>
  <c r="V849" i="1" s="1"/>
  <c r="F849" i="1"/>
  <c r="T848" i="1"/>
  <c r="V848" i="1" s="1"/>
  <c r="F848" i="1"/>
  <c r="T847" i="1"/>
  <c r="V847" i="1" s="1"/>
  <c r="F847" i="1"/>
  <c r="T846" i="1"/>
  <c r="V846" i="1" s="1"/>
  <c r="F846" i="1"/>
  <c r="T845" i="1"/>
  <c r="V845" i="1" s="1"/>
  <c r="F845" i="1"/>
  <c r="T844" i="1"/>
  <c r="V844" i="1" s="1"/>
  <c r="F844" i="1"/>
  <c r="T843" i="1"/>
  <c r="V843" i="1" s="1"/>
  <c r="F843" i="1"/>
  <c r="T842" i="1"/>
  <c r="V842" i="1" s="1"/>
  <c r="F842" i="1"/>
  <c r="T841" i="1"/>
  <c r="V841" i="1" s="1"/>
  <c r="F841" i="1"/>
  <c r="T840" i="1"/>
  <c r="V840" i="1" s="1"/>
  <c r="F840" i="1"/>
  <c r="T839" i="1"/>
  <c r="V839" i="1" s="1"/>
  <c r="F839" i="1"/>
  <c r="T838" i="1"/>
  <c r="V838" i="1" s="1"/>
  <c r="F838" i="1"/>
  <c r="T837" i="1"/>
  <c r="V837" i="1" s="1"/>
  <c r="F837" i="1"/>
  <c r="T836" i="1"/>
  <c r="V836" i="1" s="1"/>
  <c r="F836" i="1"/>
  <c r="T835" i="1"/>
  <c r="V835" i="1" s="1"/>
  <c r="F835" i="1"/>
  <c r="T834" i="1"/>
  <c r="V834" i="1" s="1"/>
  <c r="F834" i="1"/>
  <c r="T833" i="1"/>
  <c r="V833" i="1" s="1"/>
  <c r="F833" i="1"/>
  <c r="T832" i="1"/>
  <c r="V832" i="1" s="1"/>
  <c r="F832" i="1"/>
  <c r="T831" i="1"/>
  <c r="V831" i="1" s="1"/>
  <c r="F831" i="1"/>
  <c r="T830" i="1"/>
  <c r="V830" i="1" s="1"/>
  <c r="F830" i="1"/>
  <c r="T829" i="1"/>
  <c r="V829" i="1" s="1"/>
  <c r="F829" i="1"/>
  <c r="T828" i="1"/>
  <c r="V828" i="1" s="1"/>
  <c r="F828" i="1"/>
  <c r="T827" i="1"/>
  <c r="V827" i="1" s="1"/>
  <c r="F827" i="1"/>
  <c r="T826" i="1"/>
  <c r="V826" i="1" s="1"/>
  <c r="F826" i="1"/>
  <c r="T825" i="1"/>
  <c r="V825" i="1" s="1"/>
  <c r="F825" i="1"/>
  <c r="T824" i="1"/>
  <c r="V824" i="1" s="1"/>
  <c r="F824" i="1"/>
  <c r="T823" i="1"/>
  <c r="V823" i="1" s="1"/>
  <c r="F823" i="1"/>
  <c r="T822" i="1"/>
  <c r="V822" i="1" s="1"/>
  <c r="F822" i="1"/>
  <c r="T821" i="1"/>
  <c r="V821" i="1" s="1"/>
  <c r="F821" i="1"/>
  <c r="T820" i="1"/>
  <c r="V820" i="1" s="1"/>
  <c r="F820" i="1"/>
  <c r="T819" i="1"/>
  <c r="V819" i="1" s="1"/>
  <c r="F819" i="1"/>
  <c r="T818" i="1"/>
  <c r="V818" i="1" s="1"/>
  <c r="F818" i="1"/>
  <c r="T817" i="1"/>
  <c r="V817" i="1" s="1"/>
  <c r="F817" i="1"/>
  <c r="T816" i="1"/>
  <c r="V816" i="1" s="1"/>
  <c r="F816" i="1"/>
  <c r="T815" i="1"/>
  <c r="V815" i="1" s="1"/>
  <c r="F815" i="1"/>
  <c r="T814" i="1"/>
  <c r="V814" i="1" s="1"/>
  <c r="F814" i="1"/>
  <c r="T813" i="1"/>
  <c r="V813" i="1" s="1"/>
  <c r="F813" i="1"/>
  <c r="T812" i="1"/>
  <c r="V812" i="1" s="1"/>
  <c r="F812" i="1"/>
  <c r="T811" i="1"/>
  <c r="V811" i="1" s="1"/>
  <c r="F811" i="1"/>
  <c r="T810" i="1"/>
  <c r="V810" i="1" s="1"/>
  <c r="F810" i="1"/>
  <c r="T809" i="1"/>
  <c r="V809" i="1" s="1"/>
  <c r="F809" i="1"/>
  <c r="T808" i="1"/>
  <c r="V808" i="1" s="1"/>
  <c r="F808" i="1"/>
  <c r="T807" i="1"/>
  <c r="V807" i="1" s="1"/>
  <c r="F807" i="1"/>
  <c r="T806" i="1"/>
  <c r="V806" i="1" s="1"/>
  <c r="F806" i="1"/>
  <c r="T805" i="1"/>
  <c r="V805" i="1" s="1"/>
  <c r="F805" i="1"/>
  <c r="T804" i="1"/>
  <c r="V804" i="1" s="1"/>
  <c r="F804" i="1"/>
  <c r="T803" i="1"/>
  <c r="V803" i="1" s="1"/>
  <c r="F803" i="1"/>
  <c r="T802" i="1"/>
  <c r="V802" i="1" s="1"/>
  <c r="F802" i="1"/>
  <c r="T801" i="1"/>
  <c r="V801" i="1" s="1"/>
  <c r="F801" i="1"/>
  <c r="T800" i="1"/>
  <c r="V800" i="1" s="1"/>
  <c r="F800" i="1"/>
  <c r="T799" i="1"/>
  <c r="V799" i="1" s="1"/>
  <c r="F799" i="1"/>
  <c r="T798" i="1"/>
  <c r="V798" i="1" s="1"/>
  <c r="F798" i="1"/>
  <c r="T797" i="1"/>
  <c r="V797" i="1" s="1"/>
  <c r="F797" i="1"/>
  <c r="T796" i="1"/>
  <c r="V796" i="1" s="1"/>
  <c r="F796" i="1"/>
  <c r="T795" i="1"/>
  <c r="V795" i="1" s="1"/>
  <c r="F795" i="1"/>
  <c r="T794" i="1"/>
  <c r="V794" i="1" s="1"/>
  <c r="F794" i="1"/>
  <c r="T793" i="1"/>
  <c r="V793" i="1" s="1"/>
  <c r="F793" i="1"/>
  <c r="T792" i="1"/>
  <c r="V792" i="1" s="1"/>
  <c r="F792" i="1"/>
  <c r="T791" i="1"/>
  <c r="V791" i="1" s="1"/>
  <c r="F791" i="1"/>
  <c r="T790" i="1"/>
  <c r="V790" i="1" s="1"/>
  <c r="F790" i="1"/>
  <c r="T789" i="1"/>
  <c r="V789" i="1" s="1"/>
  <c r="F789" i="1"/>
  <c r="T788" i="1"/>
  <c r="V788" i="1" s="1"/>
  <c r="F788" i="1"/>
  <c r="T787" i="1"/>
  <c r="V787" i="1" s="1"/>
  <c r="F787" i="1"/>
  <c r="T786" i="1"/>
  <c r="V786" i="1" s="1"/>
  <c r="F786" i="1"/>
  <c r="T785" i="1"/>
  <c r="V785" i="1" s="1"/>
  <c r="F785" i="1"/>
  <c r="T784" i="1"/>
  <c r="V784" i="1" s="1"/>
  <c r="F784" i="1"/>
  <c r="T783" i="1"/>
  <c r="V783" i="1" s="1"/>
  <c r="F783" i="1"/>
  <c r="T782" i="1"/>
  <c r="V782" i="1" s="1"/>
  <c r="F782" i="1"/>
  <c r="T781" i="1"/>
  <c r="V781" i="1" s="1"/>
  <c r="F781" i="1"/>
  <c r="T780" i="1"/>
  <c r="V780" i="1" s="1"/>
  <c r="F780" i="1"/>
  <c r="T779" i="1"/>
  <c r="V779" i="1" s="1"/>
  <c r="F779" i="1"/>
  <c r="T778" i="1"/>
  <c r="V778" i="1" s="1"/>
  <c r="F778" i="1"/>
  <c r="T777" i="1"/>
  <c r="V777" i="1" s="1"/>
  <c r="F777" i="1"/>
  <c r="T776" i="1"/>
  <c r="V776" i="1" s="1"/>
  <c r="F776" i="1"/>
  <c r="T775" i="1"/>
  <c r="V775" i="1" s="1"/>
  <c r="F775" i="1"/>
  <c r="T774" i="1"/>
  <c r="V774" i="1" s="1"/>
  <c r="F774" i="1"/>
  <c r="T773" i="1"/>
  <c r="V773" i="1" s="1"/>
  <c r="F773" i="1"/>
  <c r="T772" i="1"/>
  <c r="V772" i="1" s="1"/>
  <c r="F772" i="1"/>
  <c r="T771" i="1"/>
  <c r="V771" i="1" s="1"/>
  <c r="F771" i="1"/>
  <c r="T770" i="1"/>
  <c r="V770" i="1" s="1"/>
  <c r="F770" i="1"/>
  <c r="T769" i="1"/>
  <c r="V769" i="1" s="1"/>
  <c r="F769" i="1"/>
  <c r="T768" i="1"/>
  <c r="V768" i="1" s="1"/>
  <c r="F768" i="1"/>
  <c r="T767" i="1"/>
  <c r="V767" i="1" s="1"/>
  <c r="F767" i="1"/>
  <c r="T766" i="1"/>
  <c r="V766" i="1" s="1"/>
  <c r="F766" i="1"/>
  <c r="T765" i="1"/>
  <c r="V765" i="1" s="1"/>
  <c r="F765" i="1"/>
  <c r="T764" i="1"/>
  <c r="V764" i="1" s="1"/>
  <c r="F764" i="1"/>
  <c r="T763" i="1"/>
  <c r="V763" i="1" s="1"/>
  <c r="F763" i="1"/>
  <c r="T762" i="1"/>
  <c r="V762" i="1" s="1"/>
  <c r="F762" i="1"/>
  <c r="T761" i="1"/>
  <c r="V761" i="1" s="1"/>
  <c r="F761" i="1"/>
  <c r="T760" i="1"/>
  <c r="V760" i="1" s="1"/>
  <c r="F760" i="1"/>
  <c r="T759" i="1"/>
  <c r="V759" i="1" s="1"/>
  <c r="F759" i="1"/>
  <c r="T758" i="1"/>
  <c r="V758" i="1" s="1"/>
  <c r="F758" i="1"/>
  <c r="T757" i="1"/>
  <c r="V757" i="1" s="1"/>
  <c r="F757" i="1"/>
  <c r="T756" i="1"/>
  <c r="V756" i="1" s="1"/>
  <c r="F756" i="1"/>
  <c r="T755" i="1"/>
  <c r="V755" i="1" s="1"/>
  <c r="F755" i="1"/>
  <c r="T754" i="1"/>
  <c r="V754" i="1" s="1"/>
  <c r="F754" i="1"/>
  <c r="T753" i="1"/>
  <c r="V753" i="1" s="1"/>
  <c r="F753" i="1"/>
  <c r="T752" i="1"/>
  <c r="V752" i="1" s="1"/>
  <c r="F752" i="1"/>
  <c r="T751" i="1"/>
  <c r="V751" i="1" s="1"/>
  <c r="F751" i="1"/>
  <c r="T750" i="1"/>
  <c r="V750" i="1" s="1"/>
  <c r="F750" i="1"/>
  <c r="T749" i="1"/>
  <c r="V749" i="1" s="1"/>
  <c r="F749" i="1"/>
  <c r="T748" i="1"/>
  <c r="V748" i="1" s="1"/>
  <c r="F748" i="1"/>
  <c r="T747" i="1"/>
  <c r="V747" i="1" s="1"/>
  <c r="F747" i="1"/>
  <c r="T746" i="1"/>
  <c r="V746" i="1" s="1"/>
  <c r="F746" i="1"/>
  <c r="T745" i="1"/>
  <c r="V745" i="1" s="1"/>
  <c r="F745" i="1"/>
  <c r="T744" i="1"/>
  <c r="V744" i="1" s="1"/>
  <c r="F744" i="1"/>
  <c r="T743" i="1"/>
  <c r="V743" i="1" s="1"/>
  <c r="F743" i="1"/>
  <c r="T742" i="1"/>
  <c r="V742" i="1" s="1"/>
  <c r="F742" i="1"/>
  <c r="T741" i="1"/>
  <c r="V741" i="1" s="1"/>
  <c r="F741" i="1"/>
  <c r="T740" i="1"/>
  <c r="V740" i="1" s="1"/>
  <c r="F740" i="1"/>
  <c r="T739" i="1"/>
  <c r="V739" i="1" s="1"/>
  <c r="F739" i="1"/>
  <c r="T738" i="1"/>
  <c r="V738" i="1" s="1"/>
  <c r="F738" i="1"/>
  <c r="T737" i="1"/>
  <c r="V737" i="1" s="1"/>
  <c r="F737" i="1"/>
  <c r="T736" i="1"/>
  <c r="V736" i="1" s="1"/>
  <c r="F736" i="1"/>
  <c r="T735" i="1"/>
  <c r="V735" i="1" s="1"/>
  <c r="F735" i="1"/>
  <c r="T734" i="1"/>
  <c r="V734" i="1" s="1"/>
  <c r="F734" i="1"/>
  <c r="T733" i="1"/>
  <c r="V733" i="1" s="1"/>
  <c r="F733" i="1"/>
  <c r="T732" i="1"/>
  <c r="V732" i="1" s="1"/>
  <c r="F732" i="1"/>
  <c r="T731" i="1"/>
  <c r="V731" i="1" s="1"/>
  <c r="F731" i="1"/>
  <c r="T730" i="1"/>
  <c r="V730" i="1" s="1"/>
  <c r="F730" i="1"/>
  <c r="T729" i="1"/>
  <c r="V729" i="1" s="1"/>
  <c r="F729" i="1"/>
  <c r="T728" i="1"/>
  <c r="V728" i="1" s="1"/>
  <c r="F728" i="1"/>
  <c r="T727" i="1"/>
  <c r="V727" i="1" s="1"/>
  <c r="F727" i="1"/>
  <c r="T726" i="1"/>
  <c r="V726" i="1" s="1"/>
  <c r="F726" i="1"/>
  <c r="T725" i="1"/>
  <c r="V725" i="1" s="1"/>
  <c r="F725" i="1"/>
  <c r="T724" i="1"/>
  <c r="V724" i="1" s="1"/>
  <c r="F724" i="1"/>
  <c r="T723" i="1"/>
  <c r="V723" i="1" s="1"/>
  <c r="F723" i="1"/>
  <c r="T722" i="1"/>
  <c r="V722" i="1" s="1"/>
  <c r="F722" i="1"/>
  <c r="T721" i="1"/>
  <c r="V721" i="1" s="1"/>
  <c r="F721" i="1"/>
  <c r="T720" i="1"/>
  <c r="V720" i="1" s="1"/>
  <c r="F720" i="1"/>
  <c r="T719" i="1"/>
  <c r="V719" i="1" s="1"/>
  <c r="F719" i="1"/>
  <c r="T718" i="1"/>
  <c r="V718" i="1" s="1"/>
  <c r="F718" i="1"/>
  <c r="T717" i="1"/>
  <c r="V717" i="1" s="1"/>
  <c r="F717" i="1"/>
  <c r="T716" i="1"/>
  <c r="V716" i="1" s="1"/>
  <c r="F716" i="1"/>
  <c r="T715" i="1"/>
  <c r="V715" i="1" s="1"/>
  <c r="F715" i="1"/>
  <c r="T714" i="1"/>
  <c r="V714" i="1" s="1"/>
  <c r="F714" i="1"/>
  <c r="T713" i="1"/>
  <c r="V713" i="1" s="1"/>
  <c r="F713" i="1"/>
  <c r="T712" i="1"/>
  <c r="V712" i="1" s="1"/>
  <c r="F712" i="1"/>
  <c r="T711" i="1"/>
  <c r="V711" i="1" s="1"/>
  <c r="F711" i="1"/>
  <c r="T710" i="1"/>
  <c r="V710" i="1" s="1"/>
  <c r="F710" i="1"/>
  <c r="T709" i="1"/>
  <c r="V709" i="1" s="1"/>
  <c r="F709" i="1"/>
  <c r="T708" i="1"/>
  <c r="V708" i="1" s="1"/>
  <c r="F708" i="1"/>
  <c r="T707" i="1"/>
  <c r="V707" i="1" s="1"/>
  <c r="F707" i="1"/>
  <c r="T706" i="1"/>
  <c r="V706" i="1" s="1"/>
  <c r="F706" i="1"/>
  <c r="T705" i="1"/>
  <c r="V705" i="1" s="1"/>
  <c r="F705" i="1"/>
  <c r="T704" i="1"/>
  <c r="V704" i="1" s="1"/>
  <c r="F704" i="1"/>
  <c r="T703" i="1"/>
  <c r="V703" i="1" s="1"/>
  <c r="F703" i="1"/>
  <c r="T702" i="1"/>
  <c r="V702" i="1" s="1"/>
  <c r="F702" i="1"/>
  <c r="T701" i="1"/>
  <c r="V701" i="1" s="1"/>
  <c r="F701" i="1"/>
  <c r="T700" i="1"/>
  <c r="V700" i="1" s="1"/>
  <c r="F700" i="1"/>
  <c r="T699" i="1"/>
  <c r="V699" i="1" s="1"/>
  <c r="F699" i="1"/>
  <c r="T698" i="1"/>
  <c r="V698" i="1" s="1"/>
  <c r="F698" i="1"/>
  <c r="T697" i="1"/>
  <c r="V697" i="1" s="1"/>
  <c r="F697" i="1"/>
  <c r="T696" i="1"/>
  <c r="V696" i="1" s="1"/>
  <c r="F696" i="1"/>
  <c r="T695" i="1"/>
  <c r="V695" i="1" s="1"/>
  <c r="F695" i="1"/>
  <c r="T694" i="1"/>
  <c r="V694" i="1" s="1"/>
  <c r="F694" i="1"/>
  <c r="T693" i="1"/>
  <c r="V693" i="1" s="1"/>
  <c r="F693" i="1"/>
  <c r="T692" i="1"/>
  <c r="V692" i="1" s="1"/>
  <c r="F692" i="1"/>
  <c r="T691" i="1"/>
  <c r="V691" i="1" s="1"/>
  <c r="F691" i="1"/>
  <c r="T690" i="1"/>
  <c r="V690" i="1" s="1"/>
  <c r="F690" i="1"/>
  <c r="T689" i="1"/>
  <c r="V689" i="1" s="1"/>
  <c r="F689" i="1"/>
  <c r="T688" i="1"/>
  <c r="V688" i="1" s="1"/>
  <c r="F688" i="1"/>
  <c r="T687" i="1"/>
  <c r="V687" i="1" s="1"/>
  <c r="F687" i="1"/>
  <c r="T686" i="1"/>
  <c r="V686" i="1" s="1"/>
  <c r="F686" i="1"/>
  <c r="T685" i="1"/>
  <c r="V685" i="1" s="1"/>
  <c r="F685" i="1"/>
  <c r="T684" i="1"/>
  <c r="V684" i="1" s="1"/>
  <c r="F684" i="1"/>
  <c r="T683" i="1"/>
  <c r="V683" i="1" s="1"/>
  <c r="F683" i="1"/>
  <c r="T682" i="1"/>
  <c r="V682" i="1" s="1"/>
  <c r="F682" i="1"/>
  <c r="T681" i="1"/>
  <c r="V681" i="1" s="1"/>
  <c r="F681" i="1"/>
  <c r="T680" i="1"/>
  <c r="V680" i="1" s="1"/>
  <c r="F680" i="1"/>
  <c r="T679" i="1"/>
  <c r="V679" i="1" s="1"/>
  <c r="F679" i="1"/>
  <c r="T678" i="1"/>
  <c r="V678" i="1" s="1"/>
  <c r="F678" i="1"/>
  <c r="T677" i="1"/>
  <c r="V677" i="1" s="1"/>
  <c r="F677" i="1"/>
  <c r="T676" i="1"/>
  <c r="V676" i="1" s="1"/>
  <c r="F676" i="1"/>
  <c r="T675" i="1"/>
  <c r="V675" i="1" s="1"/>
  <c r="F675" i="1"/>
  <c r="T674" i="1"/>
  <c r="V674" i="1" s="1"/>
  <c r="F674" i="1"/>
  <c r="T673" i="1"/>
  <c r="V673" i="1" s="1"/>
  <c r="F673" i="1"/>
  <c r="T672" i="1"/>
  <c r="V672" i="1" s="1"/>
  <c r="F672" i="1"/>
  <c r="T671" i="1"/>
  <c r="V671" i="1" s="1"/>
  <c r="F671" i="1"/>
  <c r="T670" i="1"/>
  <c r="V670" i="1" s="1"/>
  <c r="F670" i="1"/>
  <c r="T669" i="1"/>
  <c r="V669" i="1" s="1"/>
  <c r="F669" i="1"/>
  <c r="T668" i="1"/>
  <c r="V668" i="1" s="1"/>
  <c r="F668" i="1"/>
  <c r="T667" i="1"/>
  <c r="V667" i="1" s="1"/>
  <c r="F667" i="1"/>
  <c r="T666" i="1"/>
  <c r="V666" i="1" s="1"/>
  <c r="F666" i="1"/>
  <c r="T665" i="1"/>
  <c r="V665" i="1" s="1"/>
  <c r="F665" i="1"/>
  <c r="T664" i="1"/>
  <c r="V664" i="1" s="1"/>
  <c r="F664" i="1"/>
  <c r="T663" i="1"/>
  <c r="V663" i="1" s="1"/>
  <c r="F663" i="1"/>
  <c r="T662" i="1"/>
  <c r="V662" i="1" s="1"/>
  <c r="F662" i="1"/>
  <c r="T661" i="1"/>
  <c r="V661" i="1" s="1"/>
  <c r="F661" i="1"/>
  <c r="T660" i="1"/>
  <c r="V660" i="1" s="1"/>
  <c r="F660" i="1"/>
  <c r="T659" i="1"/>
  <c r="V659" i="1" s="1"/>
  <c r="F659" i="1"/>
  <c r="T658" i="1"/>
  <c r="V658" i="1" s="1"/>
  <c r="F658" i="1"/>
  <c r="T657" i="1"/>
  <c r="V657" i="1" s="1"/>
  <c r="F657" i="1"/>
  <c r="T656" i="1"/>
  <c r="V656" i="1" s="1"/>
  <c r="F656" i="1"/>
  <c r="T655" i="1"/>
  <c r="V655" i="1" s="1"/>
  <c r="F655" i="1"/>
  <c r="T654" i="1"/>
  <c r="V654" i="1" s="1"/>
  <c r="F654" i="1"/>
  <c r="T653" i="1"/>
  <c r="V653" i="1" s="1"/>
  <c r="F653" i="1"/>
  <c r="T652" i="1"/>
  <c r="V652" i="1" s="1"/>
  <c r="F652" i="1"/>
  <c r="T651" i="1"/>
  <c r="V651" i="1" s="1"/>
  <c r="F651" i="1"/>
  <c r="T650" i="1"/>
  <c r="V650" i="1" s="1"/>
  <c r="F650" i="1"/>
  <c r="T649" i="1"/>
  <c r="V649" i="1" s="1"/>
  <c r="F649" i="1"/>
  <c r="T648" i="1"/>
  <c r="V648" i="1" s="1"/>
  <c r="F648" i="1"/>
  <c r="T647" i="1"/>
  <c r="V647" i="1" s="1"/>
  <c r="F647" i="1"/>
  <c r="T646" i="1"/>
  <c r="V646" i="1" s="1"/>
  <c r="F646" i="1"/>
  <c r="T645" i="1"/>
  <c r="V645" i="1" s="1"/>
  <c r="F645" i="1"/>
  <c r="T644" i="1"/>
  <c r="V644" i="1" s="1"/>
  <c r="F644" i="1"/>
  <c r="T643" i="1"/>
  <c r="V643" i="1" s="1"/>
  <c r="F643" i="1"/>
  <c r="T642" i="1"/>
  <c r="V642" i="1" s="1"/>
  <c r="F642" i="1"/>
  <c r="T641" i="1"/>
  <c r="V641" i="1" s="1"/>
  <c r="F641" i="1"/>
  <c r="T640" i="1"/>
  <c r="V640" i="1" s="1"/>
  <c r="F640" i="1"/>
  <c r="T639" i="1"/>
  <c r="V639" i="1" s="1"/>
  <c r="F639" i="1"/>
  <c r="T638" i="1"/>
  <c r="V638" i="1" s="1"/>
  <c r="F638" i="1"/>
  <c r="T637" i="1"/>
  <c r="V637" i="1" s="1"/>
  <c r="F637" i="1"/>
  <c r="T636" i="1"/>
  <c r="V636" i="1" s="1"/>
  <c r="F636" i="1"/>
  <c r="T635" i="1"/>
  <c r="V635" i="1" s="1"/>
  <c r="F635" i="1"/>
  <c r="T634" i="1"/>
  <c r="V634" i="1" s="1"/>
  <c r="F634" i="1"/>
  <c r="T633" i="1"/>
  <c r="V633" i="1" s="1"/>
  <c r="F633" i="1"/>
  <c r="T632" i="1"/>
  <c r="V632" i="1" s="1"/>
  <c r="F632" i="1"/>
  <c r="T631" i="1"/>
  <c r="V631" i="1" s="1"/>
  <c r="F631" i="1"/>
  <c r="T630" i="1"/>
  <c r="V630" i="1" s="1"/>
  <c r="F630" i="1"/>
  <c r="T629" i="1"/>
  <c r="V629" i="1" s="1"/>
  <c r="F629" i="1"/>
  <c r="T628" i="1"/>
  <c r="V628" i="1" s="1"/>
  <c r="F628" i="1"/>
  <c r="T627" i="1"/>
  <c r="V627" i="1" s="1"/>
  <c r="F627" i="1"/>
  <c r="T626" i="1"/>
  <c r="V626" i="1" s="1"/>
  <c r="F626" i="1"/>
  <c r="T625" i="1"/>
  <c r="V625" i="1" s="1"/>
  <c r="F625" i="1"/>
  <c r="T624" i="1"/>
  <c r="V624" i="1" s="1"/>
  <c r="F624" i="1"/>
  <c r="T623" i="1"/>
  <c r="V623" i="1" s="1"/>
  <c r="F623" i="1"/>
  <c r="T622" i="1"/>
  <c r="V622" i="1" s="1"/>
  <c r="F622" i="1"/>
  <c r="T621" i="1"/>
  <c r="V621" i="1" s="1"/>
  <c r="F621" i="1"/>
  <c r="T620" i="1"/>
  <c r="V620" i="1" s="1"/>
  <c r="F620" i="1"/>
  <c r="T619" i="1"/>
  <c r="V619" i="1" s="1"/>
  <c r="F619" i="1"/>
  <c r="T618" i="1"/>
  <c r="V618" i="1" s="1"/>
  <c r="F618" i="1"/>
  <c r="T617" i="1"/>
  <c r="V617" i="1" s="1"/>
  <c r="F617" i="1"/>
  <c r="T616" i="1"/>
  <c r="V616" i="1" s="1"/>
  <c r="F616" i="1"/>
  <c r="T615" i="1"/>
  <c r="V615" i="1" s="1"/>
  <c r="F615" i="1"/>
  <c r="T614" i="1"/>
  <c r="V614" i="1" s="1"/>
  <c r="F614" i="1"/>
  <c r="T613" i="1"/>
  <c r="V613" i="1" s="1"/>
  <c r="F613" i="1"/>
  <c r="T612" i="1"/>
  <c r="V612" i="1" s="1"/>
  <c r="F612" i="1"/>
  <c r="T611" i="1"/>
  <c r="V611" i="1" s="1"/>
  <c r="F611" i="1"/>
  <c r="T610" i="1"/>
  <c r="V610" i="1" s="1"/>
  <c r="F610" i="1"/>
  <c r="T609" i="1"/>
  <c r="V609" i="1" s="1"/>
  <c r="F609" i="1"/>
  <c r="T608" i="1"/>
  <c r="V608" i="1" s="1"/>
  <c r="F608" i="1"/>
  <c r="T607" i="1"/>
  <c r="V607" i="1" s="1"/>
  <c r="F607" i="1"/>
  <c r="T606" i="1"/>
  <c r="V606" i="1" s="1"/>
  <c r="F606" i="1"/>
  <c r="T605" i="1"/>
  <c r="V605" i="1" s="1"/>
  <c r="F605" i="1"/>
  <c r="T604" i="1"/>
  <c r="V604" i="1" s="1"/>
  <c r="F604" i="1"/>
  <c r="T603" i="1"/>
  <c r="V603" i="1" s="1"/>
  <c r="F603" i="1"/>
  <c r="T602" i="1"/>
  <c r="V602" i="1" s="1"/>
  <c r="F602" i="1"/>
  <c r="T601" i="1"/>
  <c r="V601" i="1" s="1"/>
  <c r="F601" i="1"/>
  <c r="T600" i="1"/>
  <c r="V600" i="1" s="1"/>
  <c r="F600" i="1"/>
  <c r="T599" i="1"/>
  <c r="V599" i="1" s="1"/>
  <c r="F599" i="1"/>
  <c r="T598" i="1"/>
  <c r="V598" i="1" s="1"/>
  <c r="F598" i="1"/>
  <c r="T597" i="1"/>
  <c r="V597" i="1" s="1"/>
  <c r="F597" i="1"/>
  <c r="T596" i="1"/>
  <c r="V596" i="1" s="1"/>
  <c r="F596" i="1"/>
  <c r="T595" i="1"/>
  <c r="V595" i="1" s="1"/>
  <c r="F595" i="1"/>
  <c r="T594" i="1"/>
  <c r="V594" i="1" s="1"/>
  <c r="F594" i="1"/>
  <c r="T593" i="1"/>
  <c r="V593" i="1" s="1"/>
  <c r="F593" i="1"/>
  <c r="T592" i="1"/>
  <c r="V592" i="1" s="1"/>
  <c r="F592" i="1"/>
  <c r="T591" i="1"/>
  <c r="V591" i="1" s="1"/>
  <c r="F591" i="1"/>
  <c r="T590" i="1"/>
  <c r="V590" i="1" s="1"/>
  <c r="F590" i="1"/>
  <c r="T589" i="1"/>
  <c r="V589" i="1" s="1"/>
  <c r="F589" i="1"/>
  <c r="T588" i="1"/>
  <c r="V588" i="1" s="1"/>
  <c r="F588" i="1"/>
  <c r="T587" i="1"/>
  <c r="V587" i="1" s="1"/>
  <c r="F587" i="1"/>
  <c r="T586" i="1"/>
  <c r="V586" i="1" s="1"/>
  <c r="F586" i="1"/>
  <c r="T585" i="1"/>
  <c r="V585" i="1" s="1"/>
  <c r="F585" i="1"/>
  <c r="T584" i="1"/>
  <c r="V584" i="1" s="1"/>
  <c r="F584" i="1"/>
  <c r="T583" i="1"/>
  <c r="V583" i="1" s="1"/>
  <c r="F583" i="1"/>
  <c r="T582" i="1"/>
  <c r="V582" i="1" s="1"/>
  <c r="F582" i="1"/>
  <c r="T581" i="1"/>
  <c r="V581" i="1" s="1"/>
  <c r="F581" i="1"/>
  <c r="T580" i="1"/>
  <c r="V580" i="1" s="1"/>
  <c r="F580" i="1"/>
  <c r="T579" i="1"/>
  <c r="V579" i="1" s="1"/>
  <c r="F579" i="1"/>
  <c r="T578" i="1"/>
  <c r="V578" i="1" s="1"/>
  <c r="F578" i="1"/>
  <c r="T577" i="1"/>
  <c r="V577" i="1" s="1"/>
  <c r="F577" i="1"/>
  <c r="T576" i="1"/>
  <c r="V576" i="1" s="1"/>
  <c r="F576" i="1"/>
  <c r="T575" i="1"/>
  <c r="V575" i="1" s="1"/>
  <c r="F575" i="1"/>
  <c r="T574" i="1"/>
  <c r="V574" i="1" s="1"/>
  <c r="F574" i="1"/>
  <c r="T573" i="1"/>
  <c r="V573" i="1" s="1"/>
  <c r="F573" i="1"/>
  <c r="T572" i="1"/>
  <c r="V572" i="1" s="1"/>
  <c r="F572" i="1"/>
  <c r="T571" i="1"/>
  <c r="V571" i="1" s="1"/>
  <c r="F571" i="1"/>
  <c r="T570" i="1"/>
  <c r="V570" i="1" s="1"/>
  <c r="F570" i="1"/>
  <c r="T569" i="1"/>
  <c r="V569" i="1" s="1"/>
  <c r="F569" i="1"/>
  <c r="T568" i="1"/>
  <c r="V568" i="1" s="1"/>
  <c r="F568" i="1"/>
  <c r="T567" i="1"/>
  <c r="V567" i="1" s="1"/>
  <c r="F567" i="1"/>
  <c r="T566" i="1"/>
  <c r="V566" i="1" s="1"/>
  <c r="F566" i="1"/>
  <c r="T565" i="1"/>
  <c r="V565" i="1" s="1"/>
  <c r="F565" i="1"/>
  <c r="T564" i="1"/>
  <c r="V564" i="1" s="1"/>
  <c r="F564" i="1"/>
  <c r="T563" i="1"/>
  <c r="V563" i="1" s="1"/>
  <c r="F563" i="1"/>
  <c r="T562" i="1"/>
  <c r="V562" i="1" s="1"/>
  <c r="F562" i="1"/>
  <c r="T561" i="1"/>
  <c r="V561" i="1" s="1"/>
  <c r="F561" i="1"/>
  <c r="T560" i="1"/>
  <c r="V560" i="1" s="1"/>
  <c r="F560" i="1"/>
  <c r="T559" i="1"/>
  <c r="V559" i="1" s="1"/>
  <c r="F559" i="1"/>
  <c r="T558" i="1"/>
  <c r="V558" i="1" s="1"/>
  <c r="F558" i="1"/>
  <c r="T557" i="1"/>
  <c r="V557" i="1" s="1"/>
  <c r="F557" i="1"/>
  <c r="T556" i="1"/>
  <c r="V556" i="1" s="1"/>
  <c r="F556" i="1"/>
  <c r="T555" i="1"/>
  <c r="V555" i="1" s="1"/>
  <c r="F555" i="1"/>
  <c r="T554" i="1"/>
  <c r="V554" i="1" s="1"/>
  <c r="F554" i="1"/>
  <c r="T553" i="1"/>
  <c r="V553" i="1" s="1"/>
  <c r="F553" i="1"/>
  <c r="T552" i="1"/>
  <c r="V552" i="1" s="1"/>
  <c r="F552" i="1"/>
  <c r="T551" i="1"/>
  <c r="V551" i="1" s="1"/>
  <c r="F551" i="1"/>
  <c r="T550" i="1"/>
  <c r="V550" i="1" s="1"/>
  <c r="F550" i="1"/>
  <c r="T549" i="1"/>
  <c r="V549" i="1" s="1"/>
  <c r="F549" i="1"/>
  <c r="T548" i="1"/>
  <c r="V548" i="1" s="1"/>
  <c r="F548" i="1"/>
  <c r="T547" i="1"/>
  <c r="V547" i="1" s="1"/>
  <c r="F547" i="1"/>
  <c r="T546" i="1"/>
  <c r="V546" i="1" s="1"/>
  <c r="F546" i="1"/>
  <c r="T545" i="1"/>
  <c r="V545" i="1" s="1"/>
  <c r="F545" i="1"/>
  <c r="T544" i="1"/>
  <c r="V544" i="1" s="1"/>
  <c r="F544" i="1"/>
  <c r="T543" i="1"/>
  <c r="V543" i="1" s="1"/>
  <c r="F543" i="1"/>
  <c r="T542" i="1"/>
  <c r="V542" i="1" s="1"/>
  <c r="F542" i="1"/>
  <c r="T541" i="1"/>
  <c r="V541" i="1" s="1"/>
  <c r="F541" i="1"/>
  <c r="T540" i="1"/>
  <c r="V540" i="1" s="1"/>
  <c r="F540" i="1"/>
  <c r="T539" i="1"/>
  <c r="V539" i="1" s="1"/>
  <c r="F539" i="1"/>
  <c r="T538" i="1"/>
  <c r="V538" i="1" s="1"/>
  <c r="F538" i="1"/>
  <c r="T537" i="1"/>
  <c r="V537" i="1" s="1"/>
  <c r="F537" i="1"/>
  <c r="T536" i="1"/>
  <c r="V536" i="1" s="1"/>
  <c r="F536" i="1"/>
  <c r="T535" i="1"/>
  <c r="V535" i="1" s="1"/>
  <c r="F535" i="1"/>
  <c r="T534" i="1"/>
  <c r="V534" i="1" s="1"/>
  <c r="F534" i="1"/>
  <c r="T533" i="1"/>
  <c r="V533" i="1" s="1"/>
  <c r="F533" i="1"/>
  <c r="T532" i="1"/>
  <c r="V532" i="1" s="1"/>
  <c r="F532" i="1"/>
  <c r="T531" i="1"/>
  <c r="V531" i="1" s="1"/>
  <c r="F531" i="1"/>
  <c r="T530" i="1"/>
  <c r="V530" i="1" s="1"/>
  <c r="F530" i="1"/>
  <c r="T529" i="1"/>
  <c r="V529" i="1" s="1"/>
  <c r="F529" i="1"/>
  <c r="T528" i="1"/>
  <c r="V528" i="1" s="1"/>
  <c r="F528" i="1"/>
  <c r="T527" i="1"/>
  <c r="V527" i="1" s="1"/>
  <c r="F527" i="1"/>
  <c r="T526" i="1"/>
  <c r="V526" i="1" s="1"/>
  <c r="F526" i="1"/>
  <c r="T525" i="1"/>
  <c r="V525" i="1" s="1"/>
  <c r="F525" i="1"/>
  <c r="T524" i="1"/>
  <c r="V524" i="1" s="1"/>
  <c r="F524" i="1"/>
  <c r="T523" i="1"/>
  <c r="V523" i="1" s="1"/>
  <c r="F523" i="1"/>
  <c r="T522" i="1"/>
  <c r="V522" i="1" s="1"/>
  <c r="F522" i="1"/>
  <c r="T521" i="1"/>
  <c r="V521" i="1" s="1"/>
  <c r="F521" i="1"/>
  <c r="T520" i="1"/>
  <c r="V520" i="1" s="1"/>
  <c r="F520" i="1"/>
  <c r="T519" i="1"/>
  <c r="V519" i="1" s="1"/>
  <c r="F519" i="1"/>
  <c r="T518" i="1"/>
  <c r="V518" i="1" s="1"/>
  <c r="F518" i="1"/>
  <c r="T517" i="1"/>
  <c r="V517" i="1" s="1"/>
  <c r="F517" i="1"/>
  <c r="T516" i="1"/>
  <c r="V516" i="1" s="1"/>
  <c r="F516" i="1"/>
  <c r="T515" i="1"/>
  <c r="V515" i="1" s="1"/>
  <c r="F515" i="1"/>
  <c r="T514" i="1"/>
  <c r="V514" i="1" s="1"/>
  <c r="F514" i="1"/>
  <c r="T513" i="1"/>
  <c r="V513" i="1" s="1"/>
  <c r="F513" i="1"/>
  <c r="T512" i="1"/>
  <c r="V512" i="1" s="1"/>
  <c r="F512" i="1"/>
  <c r="T511" i="1"/>
  <c r="V511" i="1" s="1"/>
  <c r="F511" i="1"/>
  <c r="T510" i="1"/>
  <c r="V510" i="1" s="1"/>
  <c r="F510" i="1"/>
  <c r="T509" i="1"/>
  <c r="V509" i="1" s="1"/>
  <c r="F509" i="1"/>
  <c r="T508" i="1"/>
  <c r="V508" i="1" s="1"/>
  <c r="F508" i="1"/>
  <c r="T507" i="1"/>
  <c r="V507" i="1" s="1"/>
  <c r="F507" i="1"/>
  <c r="T506" i="1"/>
  <c r="V506" i="1" s="1"/>
  <c r="F506" i="1"/>
  <c r="T505" i="1"/>
  <c r="V505" i="1" s="1"/>
  <c r="F505" i="1"/>
  <c r="T504" i="1"/>
  <c r="V504" i="1" s="1"/>
  <c r="F504" i="1"/>
  <c r="T503" i="1"/>
  <c r="V503" i="1" s="1"/>
  <c r="F503" i="1"/>
  <c r="T502" i="1"/>
  <c r="V502" i="1" s="1"/>
  <c r="F502" i="1"/>
  <c r="T501" i="1"/>
  <c r="V501" i="1" s="1"/>
  <c r="F501" i="1"/>
  <c r="T500" i="1"/>
  <c r="V500" i="1" s="1"/>
  <c r="F500" i="1"/>
  <c r="T499" i="1"/>
  <c r="V499" i="1" s="1"/>
  <c r="F499" i="1"/>
  <c r="T498" i="1"/>
  <c r="V498" i="1" s="1"/>
  <c r="F498" i="1"/>
  <c r="T497" i="1"/>
  <c r="V497" i="1" s="1"/>
  <c r="F497" i="1"/>
  <c r="T496" i="1"/>
  <c r="V496" i="1" s="1"/>
  <c r="F496" i="1"/>
  <c r="T495" i="1"/>
  <c r="V495" i="1" s="1"/>
  <c r="F495" i="1"/>
  <c r="T494" i="1"/>
  <c r="V494" i="1" s="1"/>
  <c r="F494" i="1"/>
  <c r="T493" i="1"/>
  <c r="V493" i="1" s="1"/>
  <c r="F493" i="1"/>
  <c r="T492" i="1"/>
  <c r="V492" i="1" s="1"/>
  <c r="F492" i="1"/>
  <c r="T491" i="1"/>
  <c r="V491" i="1" s="1"/>
  <c r="F491" i="1"/>
  <c r="T490" i="1"/>
  <c r="V490" i="1" s="1"/>
  <c r="F490" i="1"/>
  <c r="T489" i="1"/>
  <c r="V489" i="1" s="1"/>
  <c r="F489" i="1"/>
  <c r="T488" i="1"/>
  <c r="V488" i="1" s="1"/>
  <c r="F488" i="1"/>
  <c r="T487" i="1"/>
  <c r="V487" i="1" s="1"/>
  <c r="F487" i="1"/>
  <c r="T486" i="1"/>
  <c r="V486" i="1" s="1"/>
  <c r="F486" i="1"/>
  <c r="T485" i="1"/>
  <c r="V485" i="1" s="1"/>
  <c r="F485" i="1"/>
  <c r="T484" i="1"/>
  <c r="V484" i="1" s="1"/>
  <c r="F484" i="1"/>
  <c r="T483" i="1"/>
  <c r="V483" i="1" s="1"/>
  <c r="F483" i="1"/>
  <c r="T482" i="1"/>
  <c r="V482" i="1" s="1"/>
  <c r="F482" i="1"/>
  <c r="T481" i="1"/>
  <c r="V481" i="1" s="1"/>
  <c r="F481" i="1"/>
  <c r="T480" i="1"/>
  <c r="V480" i="1" s="1"/>
  <c r="F480" i="1"/>
  <c r="T479" i="1"/>
  <c r="V479" i="1" s="1"/>
  <c r="F479" i="1"/>
  <c r="T478" i="1"/>
  <c r="V478" i="1" s="1"/>
  <c r="F478" i="1"/>
  <c r="T477" i="1"/>
  <c r="V477" i="1" s="1"/>
  <c r="F477" i="1"/>
  <c r="T476" i="1"/>
  <c r="V476" i="1" s="1"/>
  <c r="F476" i="1"/>
  <c r="T475" i="1"/>
  <c r="V475" i="1" s="1"/>
  <c r="F475" i="1"/>
  <c r="T474" i="1"/>
  <c r="V474" i="1" s="1"/>
  <c r="F474" i="1"/>
  <c r="T473" i="1"/>
  <c r="V473" i="1" s="1"/>
  <c r="F473" i="1"/>
  <c r="T472" i="1"/>
  <c r="V472" i="1" s="1"/>
  <c r="F472" i="1"/>
  <c r="T471" i="1"/>
  <c r="V471" i="1" s="1"/>
  <c r="F471" i="1"/>
  <c r="T470" i="1"/>
  <c r="V470" i="1" s="1"/>
  <c r="F470" i="1"/>
  <c r="T469" i="1"/>
  <c r="V469" i="1" s="1"/>
  <c r="F469" i="1"/>
  <c r="T468" i="1"/>
  <c r="V468" i="1" s="1"/>
  <c r="F468" i="1"/>
  <c r="T467" i="1"/>
  <c r="V467" i="1" s="1"/>
  <c r="F467" i="1"/>
  <c r="T466" i="1"/>
  <c r="V466" i="1" s="1"/>
  <c r="F466" i="1"/>
  <c r="T465" i="1"/>
  <c r="V465" i="1" s="1"/>
  <c r="F465" i="1"/>
  <c r="T464" i="1"/>
  <c r="V464" i="1" s="1"/>
  <c r="F464" i="1"/>
  <c r="T463" i="1"/>
  <c r="V463" i="1" s="1"/>
  <c r="F463" i="1"/>
  <c r="T462" i="1"/>
  <c r="V462" i="1" s="1"/>
  <c r="F462" i="1"/>
  <c r="T461" i="1"/>
  <c r="V461" i="1" s="1"/>
  <c r="F461" i="1"/>
  <c r="T460" i="1"/>
  <c r="V460" i="1" s="1"/>
  <c r="F460" i="1"/>
  <c r="T459" i="1"/>
  <c r="V459" i="1" s="1"/>
  <c r="F459" i="1"/>
  <c r="T458" i="1"/>
  <c r="V458" i="1" s="1"/>
  <c r="F458" i="1"/>
  <c r="T457" i="1"/>
  <c r="V457" i="1" s="1"/>
  <c r="F457" i="1"/>
  <c r="T456" i="1"/>
  <c r="V456" i="1" s="1"/>
  <c r="F456" i="1"/>
  <c r="T455" i="1"/>
  <c r="V455" i="1" s="1"/>
  <c r="F455" i="1"/>
  <c r="T454" i="1"/>
  <c r="V454" i="1" s="1"/>
  <c r="F454" i="1"/>
  <c r="T453" i="1"/>
  <c r="V453" i="1" s="1"/>
  <c r="F453" i="1"/>
  <c r="T452" i="1"/>
  <c r="V452" i="1" s="1"/>
  <c r="F452" i="1"/>
  <c r="T451" i="1"/>
  <c r="V451" i="1" s="1"/>
  <c r="F451" i="1"/>
  <c r="T450" i="1"/>
  <c r="V450" i="1" s="1"/>
  <c r="F450" i="1"/>
  <c r="T449" i="1"/>
  <c r="V449" i="1" s="1"/>
  <c r="F449" i="1"/>
  <c r="T448" i="1"/>
  <c r="V448" i="1" s="1"/>
  <c r="F448" i="1"/>
  <c r="T447" i="1"/>
  <c r="V447" i="1" s="1"/>
  <c r="F447" i="1"/>
  <c r="T446" i="1"/>
  <c r="V446" i="1" s="1"/>
  <c r="F446" i="1"/>
  <c r="T445" i="1"/>
  <c r="V445" i="1" s="1"/>
  <c r="F445" i="1"/>
  <c r="T444" i="1"/>
  <c r="V444" i="1" s="1"/>
  <c r="F444" i="1"/>
  <c r="T443" i="1"/>
  <c r="V443" i="1" s="1"/>
  <c r="F443" i="1"/>
  <c r="T442" i="1"/>
  <c r="V442" i="1" s="1"/>
  <c r="F442" i="1"/>
  <c r="T441" i="1"/>
  <c r="V441" i="1" s="1"/>
  <c r="F441" i="1"/>
  <c r="T440" i="1"/>
  <c r="V440" i="1" s="1"/>
  <c r="F440" i="1"/>
  <c r="T439" i="1"/>
  <c r="V439" i="1" s="1"/>
  <c r="F439" i="1"/>
  <c r="T438" i="1"/>
  <c r="V438" i="1" s="1"/>
  <c r="F438" i="1"/>
  <c r="T437" i="1"/>
  <c r="V437" i="1" s="1"/>
  <c r="F437" i="1"/>
  <c r="T436" i="1"/>
  <c r="V436" i="1" s="1"/>
  <c r="F436" i="1"/>
  <c r="T435" i="1"/>
  <c r="V435" i="1" s="1"/>
  <c r="F435" i="1"/>
  <c r="T434" i="1"/>
  <c r="V434" i="1" s="1"/>
  <c r="F434" i="1"/>
  <c r="T433" i="1"/>
  <c r="V433" i="1" s="1"/>
  <c r="F433" i="1"/>
  <c r="T432" i="1"/>
  <c r="V432" i="1" s="1"/>
  <c r="F432" i="1"/>
  <c r="T431" i="1"/>
  <c r="V431" i="1" s="1"/>
  <c r="F431" i="1"/>
  <c r="T430" i="1"/>
  <c r="V430" i="1" s="1"/>
  <c r="F430" i="1"/>
  <c r="T429" i="1"/>
  <c r="V429" i="1" s="1"/>
  <c r="F429" i="1"/>
  <c r="T428" i="1"/>
  <c r="V428" i="1" s="1"/>
  <c r="F428" i="1"/>
  <c r="T427" i="1"/>
  <c r="V427" i="1" s="1"/>
  <c r="F427" i="1"/>
  <c r="T426" i="1"/>
  <c r="V426" i="1" s="1"/>
  <c r="F426" i="1"/>
  <c r="T425" i="1"/>
  <c r="V425" i="1" s="1"/>
  <c r="F425" i="1"/>
  <c r="T424" i="1"/>
  <c r="V424" i="1" s="1"/>
  <c r="F424" i="1"/>
  <c r="T423" i="1"/>
  <c r="V423" i="1" s="1"/>
  <c r="F423" i="1"/>
  <c r="T422" i="1"/>
  <c r="V422" i="1" s="1"/>
  <c r="F422" i="1"/>
  <c r="T421" i="1"/>
  <c r="V421" i="1" s="1"/>
  <c r="F421" i="1"/>
  <c r="T420" i="1"/>
  <c r="V420" i="1" s="1"/>
  <c r="F420" i="1"/>
  <c r="T419" i="1"/>
  <c r="V419" i="1" s="1"/>
  <c r="F419" i="1"/>
  <c r="T418" i="1"/>
  <c r="V418" i="1" s="1"/>
  <c r="F418" i="1"/>
  <c r="T417" i="1"/>
  <c r="V417" i="1" s="1"/>
  <c r="F417" i="1"/>
  <c r="T416" i="1"/>
  <c r="V416" i="1" s="1"/>
  <c r="F416" i="1"/>
  <c r="T415" i="1"/>
  <c r="V415" i="1" s="1"/>
  <c r="F415" i="1"/>
  <c r="T414" i="1"/>
  <c r="V414" i="1" s="1"/>
  <c r="F414" i="1"/>
  <c r="T413" i="1"/>
  <c r="V413" i="1" s="1"/>
  <c r="F413" i="1"/>
  <c r="T412" i="1"/>
  <c r="V412" i="1" s="1"/>
  <c r="F412" i="1"/>
  <c r="T411" i="1"/>
  <c r="V411" i="1" s="1"/>
  <c r="F411" i="1"/>
  <c r="T410" i="1"/>
  <c r="V410" i="1" s="1"/>
  <c r="F410" i="1"/>
  <c r="T409" i="1"/>
  <c r="V409" i="1" s="1"/>
  <c r="F409" i="1"/>
  <c r="T408" i="1"/>
  <c r="V408" i="1" s="1"/>
  <c r="F408" i="1"/>
  <c r="T407" i="1"/>
  <c r="V407" i="1" s="1"/>
  <c r="F407" i="1"/>
  <c r="T406" i="1"/>
  <c r="V406" i="1" s="1"/>
  <c r="F406" i="1"/>
  <c r="T405" i="1"/>
  <c r="V405" i="1" s="1"/>
  <c r="F405" i="1"/>
  <c r="T404" i="1"/>
  <c r="V404" i="1" s="1"/>
  <c r="F404" i="1"/>
  <c r="T403" i="1"/>
  <c r="V403" i="1" s="1"/>
  <c r="F403" i="1"/>
  <c r="T402" i="1"/>
  <c r="V402" i="1" s="1"/>
  <c r="F402" i="1"/>
  <c r="T401" i="1"/>
  <c r="V401" i="1" s="1"/>
  <c r="F401" i="1"/>
  <c r="T400" i="1"/>
  <c r="V400" i="1" s="1"/>
  <c r="F400" i="1"/>
  <c r="T399" i="1"/>
  <c r="V399" i="1" s="1"/>
  <c r="F399" i="1"/>
  <c r="T398" i="1"/>
  <c r="V398" i="1" s="1"/>
  <c r="F398" i="1"/>
  <c r="T397" i="1"/>
  <c r="V397" i="1" s="1"/>
  <c r="F397" i="1"/>
  <c r="T396" i="1"/>
  <c r="V396" i="1" s="1"/>
  <c r="F396" i="1"/>
  <c r="T395" i="1"/>
  <c r="V395" i="1" s="1"/>
  <c r="F395" i="1"/>
  <c r="T394" i="1"/>
  <c r="V394" i="1" s="1"/>
  <c r="F394" i="1"/>
  <c r="T393" i="1"/>
  <c r="V393" i="1" s="1"/>
  <c r="F393" i="1"/>
  <c r="T392" i="1"/>
  <c r="V392" i="1" s="1"/>
  <c r="F392" i="1"/>
  <c r="T391" i="1"/>
  <c r="V391" i="1" s="1"/>
  <c r="F391" i="1"/>
  <c r="T390" i="1"/>
  <c r="V390" i="1" s="1"/>
  <c r="F390" i="1"/>
  <c r="T389" i="1"/>
  <c r="V389" i="1" s="1"/>
  <c r="F389" i="1"/>
  <c r="T388" i="1"/>
  <c r="V388" i="1" s="1"/>
  <c r="F388" i="1"/>
  <c r="T387" i="1"/>
  <c r="V387" i="1" s="1"/>
  <c r="F387" i="1"/>
  <c r="T386" i="1"/>
  <c r="V386" i="1" s="1"/>
  <c r="F386" i="1"/>
  <c r="T385" i="1"/>
  <c r="V385" i="1" s="1"/>
  <c r="F385" i="1"/>
  <c r="T384" i="1"/>
  <c r="V384" i="1" s="1"/>
  <c r="F384" i="1"/>
  <c r="T383" i="1"/>
  <c r="V383" i="1" s="1"/>
  <c r="F383" i="1"/>
  <c r="T382" i="1"/>
  <c r="V382" i="1" s="1"/>
  <c r="F382" i="1"/>
  <c r="T381" i="1"/>
  <c r="V381" i="1" s="1"/>
  <c r="F381" i="1"/>
  <c r="T380" i="1"/>
  <c r="V380" i="1" s="1"/>
  <c r="F380" i="1"/>
  <c r="T379" i="1"/>
  <c r="V379" i="1" s="1"/>
  <c r="F379" i="1"/>
  <c r="T378" i="1"/>
  <c r="V378" i="1" s="1"/>
  <c r="F378" i="1"/>
  <c r="T377" i="1"/>
  <c r="V377" i="1" s="1"/>
  <c r="F377" i="1"/>
  <c r="T376" i="1"/>
  <c r="V376" i="1" s="1"/>
  <c r="F376" i="1"/>
  <c r="T375" i="1"/>
  <c r="V375" i="1" s="1"/>
  <c r="F375" i="1"/>
  <c r="T374" i="1"/>
  <c r="V374" i="1" s="1"/>
  <c r="F374" i="1"/>
  <c r="T373" i="1"/>
  <c r="V373" i="1" s="1"/>
  <c r="F373" i="1"/>
  <c r="T372" i="1"/>
  <c r="V372" i="1" s="1"/>
  <c r="F372" i="1"/>
  <c r="T371" i="1"/>
  <c r="V371" i="1" s="1"/>
  <c r="F371" i="1"/>
  <c r="T370" i="1"/>
  <c r="V370" i="1" s="1"/>
  <c r="F370" i="1"/>
  <c r="T369" i="1"/>
  <c r="V369" i="1" s="1"/>
  <c r="F369" i="1"/>
  <c r="T368" i="1"/>
  <c r="V368" i="1" s="1"/>
  <c r="F368" i="1"/>
  <c r="T367" i="1"/>
  <c r="V367" i="1" s="1"/>
  <c r="F367" i="1"/>
  <c r="T366" i="1"/>
  <c r="V366" i="1" s="1"/>
  <c r="F366" i="1"/>
  <c r="T365" i="1"/>
  <c r="V365" i="1" s="1"/>
  <c r="F365" i="1"/>
  <c r="T364" i="1"/>
  <c r="V364" i="1" s="1"/>
  <c r="F364" i="1"/>
  <c r="T363" i="1"/>
  <c r="V363" i="1" s="1"/>
  <c r="F363" i="1"/>
  <c r="T362" i="1"/>
  <c r="V362" i="1" s="1"/>
  <c r="F362" i="1"/>
  <c r="T361" i="1"/>
  <c r="V361" i="1" s="1"/>
  <c r="F361" i="1"/>
  <c r="T360" i="1"/>
  <c r="V360" i="1" s="1"/>
  <c r="F360" i="1"/>
  <c r="T359" i="1"/>
  <c r="V359" i="1" s="1"/>
  <c r="F359" i="1"/>
  <c r="T358" i="1"/>
  <c r="V358" i="1" s="1"/>
  <c r="F358" i="1"/>
  <c r="T357" i="1"/>
  <c r="V357" i="1" s="1"/>
  <c r="F357" i="1"/>
  <c r="T356" i="1"/>
  <c r="V356" i="1" s="1"/>
  <c r="F356" i="1"/>
  <c r="T355" i="1"/>
  <c r="V355" i="1" s="1"/>
  <c r="F355" i="1"/>
  <c r="T354" i="1"/>
  <c r="V354" i="1" s="1"/>
  <c r="F354" i="1"/>
  <c r="T353" i="1"/>
  <c r="V353" i="1" s="1"/>
  <c r="F353" i="1"/>
  <c r="T352" i="1"/>
  <c r="V352" i="1" s="1"/>
  <c r="F352" i="1"/>
  <c r="T351" i="1"/>
  <c r="V351" i="1" s="1"/>
  <c r="F351" i="1"/>
  <c r="T350" i="1"/>
  <c r="V350" i="1" s="1"/>
  <c r="F350" i="1"/>
  <c r="T349" i="1"/>
  <c r="V349" i="1" s="1"/>
  <c r="F349" i="1"/>
  <c r="T348" i="1"/>
  <c r="V348" i="1" s="1"/>
  <c r="F348" i="1"/>
  <c r="T347" i="1"/>
  <c r="V347" i="1" s="1"/>
  <c r="F347" i="1"/>
  <c r="T346" i="1"/>
  <c r="V346" i="1" s="1"/>
  <c r="F346" i="1"/>
  <c r="T345" i="1"/>
  <c r="V345" i="1" s="1"/>
  <c r="F345" i="1"/>
  <c r="T344" i="1"/>
  <c r="V344" i="1" s="1"/>
  <c r="F344" i="1"/>
  <c r="T343" i="1"/>
  <c r="V343" i="1" s="1"/>
  <c r="F343" i="1"/>
  <c r="T342" i="1"/>
  <c r="V342" i="1" s="1"/>
  <c r="F342" i="1"/>
  <c r="T341" i="1"/>
  <c r="V341" i="1" s="1"/>
  <c r="F341" i="1"/>
  <c r="T340" i="1"/>
  <c r="V340" i="1" s="1"/>
  <c r="F340" i="1"/>
  <c r="T339" i="1"/>
  <c r="V339" i="1" s="1"/>
  <c r="F339" i="1"/>
  <c r="T338" i="1"/>
  <c r="V338" i="1" s="1"/>
  <c r="F338" i="1"/>
  <c r="T337" i="1"/>
  <c r="V337" i="1" s="1"/>
  <c r="F337" i="1"/>
  <c r="T336" i="1"/>
  <c r="V336" i="1" s="1"/>
  <c r="F336" i="1"/>
  <c r="T335" i="1"/>
  <c r="V335" i="1" s="1"/>
  <c r="F335" i="1"/>
  <c r="T334" i="1"/>
  <c r="V334" i="1" s="1"/>
  <c r="F334" i="1"/>
  <c r="T333" i="1"/>
  <c r="V333" i="1" s="1"/>
  <c r="F333" i="1"/>
  <c r="T332" i="1"/>
  <c r="V332" i="1" s="1"/>
  <c r="F332" i="1"/>
  <c r="T331" i="1"/>
  <c r="V331" i="1" s="1"/>
  <c r="F331" i="1"/>
  <c r="T330" i="1"/>
  <c r="V330" i="1" s="1"/>
  <c r="F330" i="1"/>
  <c r="T329" i="1"/>
  <c r="V329" i="1" s="1"/>
  <c r="F329" i="1"/>
  <c r="T328" i="1"/>
  <c r="V328" i="1" s="1"/>
  <c r="F328" i="1"/>
  <c r="T327" i="1"/>
  <c r="V327" i="1" s="1"/>
  <c r="F327" i="1"/>
  <c r="T326" i="1"/>
  <c r="V326" i="1" s="1"/>
  <c r="F326" i="1"/>
  <c r="T325" i="1"/>
  <c r="V325" i="1" s="1"/>
  <c r="F325" i="1"/>
  <c r="T324" i="1"/>
  <c r="V324" i="1" s="1"/>
  <c r="F324" i="1"/>
  <c r="T323" i="1"/>
  <c r="V323" i="1" s="1"/>
  <c r="F323" i="1"/>
  <c r="T322" i="1"/>
  <c r="V322" i="1" s="1"/>
  <c r="F322" i="1"/>
  <c r="T321" i="1"/>
  <c r="V321" i="1" s="1"/>
  <c r="F321" i="1"/>
  <c r="T320" i="1"/>
  <c r="V320" i="1" s="1"/>
  <c r="F320" i="1"/>
  <c r="T319" i="1"/>
  <c r="V319" i="1" s="1"/>
  <c r="F319" i="1"/>
  <c r="T318" i="1"/>
  <c r="V318" i="1" s="1"/>
  <c r="F318" i="1"/>
  <c r="T317" i="1"/>
  <c r="V317" i="1" s="1"/>
  <c r="F317" i="1"/>
  <c r="T316" i="1"/>
  <c r="V316" i="1" s="1"/>
  <c r="F316" i="1"/>
  <c r="T315" i="1"/>
  <c r="V315" i="1" s="1"/>
  <c r="F315" i="1"/>
  <c r="T314" i="1"/>
  <c r="V314" i="1" s="1"/>
  <c r="F314" i="1"/>
  <c r="T313" i="1"/>
  <c r="V313" i="1" s="1"/>
  <c r="F313" i="1"/>
  <c r="T312" i="1"/>
  <c r="V312" i="1" s="1"/>
  <c r="F312" i="1"/>
  <c r="T311" i="1"/>
  <c r="V311" i="1" s="1"/>
  <c r="F311" i="1"/>
  <c r="T310" i="1"/>
  <c r="V310" i="1" s="1"/>
  <c r="F310" i="1"/>
  <c r="T309" i="1"/>
  <c r="V309" i="1" s="1"/>
  <c r="F309" i="1"/>
  <c r="T308" i="1"/>
  <c r="V308" i="1" s="1"/>
  <c r="F308" i="1"/>
  <c r="T307" i="1"/>
  <c r="V307" i="1" s="1"/>
  <c r="F307" i="1"/>
  <c r="T306" i="1"/>
  <c r="V306" i="1" s="1"/>
  <c r="F306" i="1"/>
  <c r="T305" i="1"/>
  <c r="V305" i="1" s="1"/>
  <c r="F305" i="1"/>
  <c r="T304" i="1"/>
  <c r="V304" i="1" s="1"/>
  <c r="F304" i="1"/>
  <c r="T303" i="1"/>
  <c r="V303" i="1" s="1"/>
  <c r="F303" i="1"/>
  <c r="T302" i="1"/>
  <c r="V302" i="1" s="1"/>
  <c r="F302" i="1"/>
  <c r="T301" i="1"/>
  <c r="V301" i="1" s="1"/>
  <c r="F301" i="1"/>
  <c r="T300" i="1"/>
  <c r="V300" i="1" s="1"/>
  <c r="F300" i="1"/>
  <c r="T299" i="1"/>
  <c r="V299" i="1" s="1"/>
  <c r="F299" i="1"/>
  <c r="T298" i="1"/>
  <c r="V298" i="1" s="1"/>
  <c r="F298" i="1"/>
  <c r="T297" i="1"/>
  <c r="V297" i="1" s="1"/>
  <c r="F297" i="1"/>
  <c r="T296" i="1"/>
  <c r="V296" i="1" s="1"/>
  <c r="F296" i="1"/>
  <c r="T295" i="1"/>
  <c r="V295" i="1" s="1"/>
  <c r="F295" i="1"/>
  <c r="T294" i="1"/>
  <c r="V294" i="1" s="1"/>
  <c r="F294" i="1"/>
  <c r="T293" i="1"/>
  <c r="V293" i="1" s="1"/>
  <c r="F293" i="1"/>
  <c r="T292" i="1"/>
  <c r="V292" i="1" s="1"/>
  <c r="F292" i="1"/>
  <c r="T291" i="1"/>
  <c r="V291" i="1" s="1"/>
  <c r="F291" i="1"/>
  <c r="T290" i="1"/>
  <c r="V290" i="1" s="1"/>
  <c r="F290" i="1"/>
  <c r="T289" i="1"/>
  <c r="V289" i="1" s="1"/>
  <c r="F289" i="1"/>
  <c r="T288" i="1"/>
  <c r="V288" i="1" s="1"/>
  <c r="F288" i="1"/>
  <c r="T287" i="1"/>
  <c r="V287" i="1" s="1"/>
  <c r="F287" i="1"/>
  <c r="T286" i="1"/>
  <c r="V286" i="1" s="1"/>
  <c r="F286" i="1"/>
  <c r="T285" i="1"/>
  <c r="V285" i="1" s="1"/>
  <c r="F285" i="1"/>
  <c r="T284" i="1"/>
  <c r="V284" i="1" s="1"/>
  <c r="F284" i="1"/>
  <c r="T283" i="1"/>
  <c r="V283" i="1" s="1"/>
  <c r="F283" i="1"/>
  <c r="T282" i="1"/>
  <c r="V282" i="1" s="1"/>
  <c r="F282" i="1"/>
  <c r="T281" i="1"/>
  <c r="V281" i="1" s="1"/>
  <c r="F281" i="1"/>
  <c r="T280" i="1"/>
  <c r="V280" i="1" s="1"/>
  <c r="F280" i="1"/>
  <c r="T279" i="1"/>
  <c r="V279" i="1" s="1"/>
  <c r="F279" i="1"/>
  <c r="T278" i="1"/>
  <c r="V278" i="1" s="1"/>
  <c r="F278" i="1"/>
  <c r="T277" i="1"/>
  <c r="V277" i="1" s="1"/>
  <c r="F277" i="1"/>
  <c r="T276" i="1"/>
  <c r="V276" i="1" s="1"/>
  <c r="F276" i="1"/>
  <c r="T275" i="1"/>
  <c r="V275" i="1" s="1"/>
  <c r="F275" i="1"/>
  <c r="T274" i="1"/>
  <c r="V274" i="1" s="1"/>
  <c r="F274" i="1"/>
  <c r="T273" i="1"/>
  <c r="V273" i="1" s="1"/>
  <c r="F273" i="1"/>
  <c r="T272" i="1"/>
  <c r="V272" i="1" s="1"/>
  <c r="F272" i="1"/>
  <c r="T271" i="1"/>
  <c r="V271" i="1" s="1"/>
  <c r="F271" i="1"/>
  <c r="T270" i="1"/>
  <c r="V270" i="1" s="1"/>
  <c r="F270" i="1"/>
  <c r="T269" i="1"/>
  <c r="V269" i="1" s="1"/>
  <c r="F269" i="1"/>
  <c r="T268" i="1"/>
  <c r="V268" i="1" s="1"/>
  <c r="F268" i="1"/>
  <c r="T267" i="1"/>
  <c r="V267" i="1" s="1"/>
  <c r="F267" i="1"/>
  <c r="T266" i="1"/>
  <c r="V266" i="1" s="1"/>
  <c r="F266" i="1"/>
  <c r="T265" i="1"/>
  <c r="V265" i="1" s="1"/>
  <c r="F265" i="1"/>
  <c r="T264" i="1"/>
  <c r="V264" i="1" s="1"/>
  <c r="F264" i="1"/>
  <c r="T263" i="1"/>
  <c r="V263" i="1" s="1"/>
  <c r="F263" i="1"/>
  <c r="T262" i="1"/>
  <c r="V262" i="1" s="1"/>
  <c r="F262" i="1"/>
  <c r="T261" i="1"/>
  <c r="V261" i="1" s="1"/>
  <c r="F261" i="1"/>
  <c r="T260" i="1"/>
  <c r="V260" i="1" s="1"/>
  <c r="F260" i="1"/>
  <c r="T259" i="1"/>
  <c r="V259" i="1" s="1"/>
  <c r="F259" i="1"/>
  <c r="T258" i="1"/>
  <c r="V258" i="1" s="1"/>
  <c r="F258" i="1"/>
  <c r="T257" i="1"/>
  <c r="V257" i="1" s="1"/>
  <c r="F257" i="1"/>
  <c r="T256" i="1"/>
  <c r="V256" i="1" s="1"/>
  <c r="F256" i="1"/>
  <c r="T255" i="1"/>
  <c r="V255" i="1" s="1"/>
  <c r="F255" i="1"/>
  <c r="T254" i="1"/>
  <c r="V254" i="1" s="1"/>
  <c r="F254" i="1"/>
  <c r="T253" i="1"/>
  <c r="V253" i="1" s="1"/>
  <c r="F253" i="1"/>
  <c r="T252" i="1"/>
  <c r="V252" i="1" s="1"/>
  <c r="F252" i="1"/>
  <c r="T251" i="1"/>
  <c r="V251" i="1" s="1"/>
  <c r="F251" i="1"/>
  <c r="T250" i="1"/>
  <c r="V250" i="1" s="1"/>
  <c r="F250" i="1"/>
  <c r="T249" i="1"/>
  <c r="V249" i="1" s="1"/>
  <c r="F249" i="1"/>
  <c r="T248" i="1"/>
  <c r="V248" i="1" s="1"/>
  <c r="F248" i="1"/>
  <c r="T247" i="1"/>
  <c r="V247" i="1" s="1"/>
  <c r="F247" i="1"/>
  <c r="T246" i="1"/>
  <c r="V246" i="1" s="1"/>
  <c r="F246" i="1"/>
  <c r="T245" i="1"/>
  <c r="V245" i="1" s="1"/>
  <c r="F245" i="1"/>
  <c r="T244" i="1"/>
  <c r="V244" i="1" s="1"/>
  <c r="F244" i="1"/>
  <c r="T243" i="1"/>
  <c r="V243" i="1" s="1"/>
  <c r="F243" i="1"/>
  <c r="T242" i="1"/>
  <c r="V242" i="1" s="1"/>
  <c r="F242" i="1"/>
  <c r="T241" i="1"/>
  <c r="V241" i="1" s="1"/>
  <c r="F241" i="1"/>
  <c r="T240" i="1"/>
  <c r="V240" i="1" s="1"/>
  <c r="F240" i="1"/>
  <c r="T239" i="1"/>
  <c r="V239" i="1" s="1"/>
  <c r="F239" i="1"/>
  <c r="T238" i="1"/>
  <c r="V238" i="1" s="1"/>
  <c r="F238" i="1"/>
  <c r="T237" i="1"/>
  <c r="V237" i="1" s="1"/>
  <c r="F237" i="1"/>
  <c r="T236" i="1"/>
  <c r="V236" i="1" s="1"/>
  <c r="F236" i="1"/>
  <c r="T235" i="1"/>
  <c r="V235" i="1" s="1"/>
  <c r="F235" i="1"/>
  <c r="T234" i="1"/>
  <c r="V234" i="1" s="1"/>
  <c r="F234" i="1"/>
  <c r="T233" i="1"/>
  <c r="V233" i="1" s="1"/>
  <c r="F233" i="1"/>
  <c r="T232" i="1"/>
  <c r="V232" i="1" s="1"/>
  <c r="F232" i="1"/>
  <c r="T231" i="1"/>
  <c r="V231" i="1" s="1"/>
  <c r="F231" i="1"/>
  <c r="T230" i="1"/>
  <c r="V230" i="1" s="1"/>
  <c r="F230" i="1"/>
  <c r="T229" i="1"/>
  <c r="V229" i="1" s="1"/>
  <c r="F229" i="1"/>
  <c r="T228" i="1"/>
  <c r="V228" i="1" s="1"/>
  <c r="F228" i="1"/>
  <c r="T227" i="1"/>
  <c r="V227" i="1" s="1"/>
  <c r="F227" i="1"/>
  <c r="T226" i="1"/>
  <c r="V226" i="1" s="1"/>
  <c r="F226" i="1"/>
  <c r="T225" i="1"/>
  <c r="V225" i="1" s="1"/>
  <c r="F225" i="1"/>
  <c r="T224" i="1"/>
  <c r="V224" i="1" s="1"/>
  <c r="F224" i="1"/>
  <c r="T223" i="1"/>
  <c r="V223" i="1" s="1"/>
  <c r="F223" i="1"/>
  <c r="T222" i="1"/>
  <c r="V222" i="1" s="1"/>
  <c r="F222" i="1"/>
  <c r="T221" i="1"/>
  <c r="V221" i="1" s="1"/>
  <c r="F221" i="1"/>
  <c r="T220" i="1"/>
  <c r="V220" i="1" s="1"/>
  <c r="F220" i="1"/>
  <c r="T219" i="1"/>
  <c r="V219" i="1" s="1"/>
  <c r="F219" i="1"/>
  <c r="T218" i="1"/>
  <c r="V218" i="1" s="1"/>
  <c r="F218" i="1"/>
  <c r="T217" i="1"/>
  <c r="V217" i="1" s="1"/>
  <c r="F217" i="1"/>
  <c r="T216" i="1"/>
  <c r="V216" i="1" s="1"/>
  <c r="F216" i="1"/>
  <c r="T215" i="1"/>
  <c r="V215" i="1" s="1"/>
  <c r="F215" i="1"/>
  <c r="T214" i="1"/>
  <c r="V214" i="1" s="1"/>
  <c r="F214" i="1"/>
  <c r="T213" i="1"/>
  <c r="V213" i="1" s="1"/>
  <c r="F213" i="1"/>
  <c r="T212" i="1"/>
  <c r="V212" i="1" s="1"/>
  <c r="F212" i="1"/>
  <c r="T211" i="1"/>
  <c r="V211" i="1" s="1"/>
  <c r="F211" i="1"/>
  <c r="T210" i="1"/>
  <c r="V210" i="1" s="1"/>
  <c r="F210" i="1"/>
  <c r="T209" i="1"/>
  <c r="V209" i="1" s="1"/>
  <c r="F209" i="1"/>
  <c r="T208" i="1"/>
  <c r="V208" i="1" s="1"/>
  <c r="F208" i="1"/>
  <c r="T207" i="1"/>
  <c r="V207" i="1" s="1"/>
  <c r="F207" i="1"/>
  <c r="T206" i="1"/>
  <c r="V206" i="1" s="1"/>
  <c r="F206" i="1"/>
  <c r="T205" i="1"/>
  <c r="V205" i="1" s="1"/>
  <c r="F205" i="1"/>
  <c r="T204" i="1"/>
  <c r="V204" i="1" s="1"/>
  <c r="F204" i="1"/>
  <c r="T203" i="1"/>
  <c r="V203" i="1" s="1"/>
  <c r="F203" i="1"/>
  <c r="T202" i="1"/>
  <c r="V202" i="1" s="1"/>
  <c r="F202" i="1"/>
  <c r="T201" i="1"/>
  <c r="V201" i="1" s="1"/>
  <c r="F201" i="1"/>
  <c r="T200" i="1"/>
  <c r="V200" i="1" s="1"/>
  <c r="F200" i="1"/>
  <c r="T199" i="1"/>
  <c r="V199" i="1" s="1"/>
  <c r="F199" i="1"/>
  <c r="T198" i="1"/>
  <c r="V198" i="1" s="1"/>
  <c r="F198" i="1"/>
  <c r="T197" i="1"/>
  <c r="V197" i="1" s="1"/>
  <c r="F197" i="1"/>
  <c r="T196" i="1"/>
  <c r="V196" i="1" s="1"/>
  <c r="F196" i="1"/>
  <c r="T195" i="1"/>
  <c r="V195" i="1" s="1"/>
  <c r="F195" i="1"/>
  <c r="T194" i="1"/>
  <c r="V194" i="1" s="1"/>
  <c r="F194" i="1"/>
  <c r="T193" i="1"/>
  <c r="V193" i="1" s="1"/>
  <c r="F193" i="1"/>
  <c r="T192" i="1"/>
  <c r="V192" i="1" s="1"/>
  <c r="F192" i="1"/>
  <c r="T191" i="1"/>
  <c r="V191" i="1" s="1"/>
  <c r="F191" i="1"/>
  <c r="T190" i="1"/>
  <c r="V190" i="1" s="1"/>
  <c r="F190" i="1"/>
  <c r="T189" i="1"/>
  <c r="V189" i="1" s="1"/>
  <c r="F189" i="1"/>
  <c r="T188" i="1"/>
  <c r="V188" i="1" s="1"/>
  <c r="F188" i="1"/>
  <c r="T187" i="1"/>
  <c r="V187" i="1" s="1"/>
  <c r="F187" i="1"/>
  <c r="T186" i="1"/>
  <c r="V186" i="1" s="1"/>
  <c r="F186" i="1"/>
  <c r="T185" i="1"/>
  <c r="V185" i="1" s="1"/>
  <c r="F185" i="1"/>
  <c r="T184" i="1"/>
  <c r="V184" i="1" s="1"/>
  <c r="F184" i="1"/>
  <c r="T183" i="1"/>
  <c r="V183" i="1" s="1"/>
  <c r="F183" i="1"/>
  <c r="T182" i="1"/>
  <c r="V182" i="1" s="1"/>
  <c r="F182" i="1"/>
  <c r="T181" i="1"/>
  <c r="V181" i="1" s="1"/>
  <c r="F181" i="1"/>
  <c r="T180" i="1"/>
  <c r="V180" i="1" s="1"/>
  <c r="F180" i="1"/>
  <c r="T179" i="1"/>
  <c r="V179" i="1" s="1"/>
  <c r="F179" i="1"/>
  <c r="T178" i="1"/>
  <c r="V178" i="1" s="1"/>
  <c r="F178" i="1"/>
  <c r="T177" i="1"/>
  <c r="V177" i="1" s="1"/>
  <c r="F177" i="1"/>
  <c r="T176" i="1"/>
  <c r="V176" i="1" s="1"/>
  <c r="F176" i="1"/>
  <c r="T175" i="1"/>
  <c r="V175" i="1" s="1"/>
  <c r="F175" i="1"/>
  <c r="T174" i="1"/>
  <c r="V174" i="1" s="1"/>
  <c r="F174" i="1"/>
  <c r="T173" i="1"/>
  <c r="V173" i="1" s="1"/>
  <c r="F173" i="1"/>
  <c r="T172" i="1"/>
  <c r="V172" i="1" s="1"/>
  <c r="F172" i="1"/>
  <c r="T171" i="1"/>
  <c r="V171" i="1" s="1"/>
  <c r="F171" i="1"/>
  <c r="T170" i="1"/>
  <c r="V170" i="1" s="1"/>
  <c r="F170" i="1"/>
  <c r="T169" i="1"/>
  <c r="V169" i="1" s="1"/>
  <c r="F169" i="1"/>
  <c r="T168" i="1"/>
  <c r="V168" i="1" s="1"/>
  <c r="F168" i="1"/>
  <c r="T167" i="1"/>
  <c r="V167" i="1" s="1"/>
  <c r="F167" i="1"/>
  <c r="T166" i="1"/>
  <c r="V166" i="1" s="1"/>
  <c r="F166" i="1"/>
  <c r="T165" i="1"/>
  <c r="V165" i="1" s="1"/>
  <c r="F165" i="1"/>
  <c r="T164" i="1"/>
  <c r="V164" i="1" s="1"/>
  <c r="F164" i="1"/>
  <c r="T163" i="1"/>
  <c r="V163" i="1" s="1"/>
  <c r="F163" i="1"/>
  <c r="T162" i="1"/>
  <c r="V162" i="1" s="1"/>
  <c r="F162" i="1"/>
  <c r="T161" i="1"/>
  <c r="V161" i="1" s="1"/>
  <c r="F161" i="1"/>
  <c r="T160" i="1"/>
  <c r="V160" i="1" s="1"/>
  <c r="F160" i="1"/>
  <c r="T159" i="1"/>
  <c r="V159" i="1" s="1"/>
  <c r="F159" i="1"/>
  <c r="T158" i="1"/>
  <c r="V158" i="1" s="1"/>
  <c r="F158" i="1"/>
  <c r="T157" i="1"/>
  <c r="V157" i="1" s="1"/>
  <c r="F157" i="1"/>
  <c r="T156" i="1"/>
  <c r="V156" i="1" s="1"/>
  <c r="F156" i="1"/>
  <c r="T155" i="1"/>
  <c r="V155" i="1" s="1"/>
  <c r="F155" i="1"/>
  <c r="T154" i="1"/>
  <c r="V154" i="1" s="1"/>
  <c r="F154" i="1"/>
  <c r="T153" i="1"/>
  <c r="V153" i="1" s="1"/>
  <c r="F153" i="1"/>
  <c r="T152" i="1"/>
  <c r="V152" i="1" s="1"/>
  <c r="F152" i="1"/>
  <c r="T151" i="1"/>
  <c r="V151" i="1" s="1"/>
  <c r="F151" i="1"/>
  <c r="T150" i="1"/>
  <c r="V150" i="1" s="1"/>
  <c r="F150" i="1"/>
  <c r="T149" i="1"/>
  <c r="V149" i="1" s="1"/>
  <c r="F149" i="1"/>
  <c r="T148" i="1"/>
  <c r="V148" i="1" s="1"/>
  <c r="F148" i="1"/>
  <c r="T147" i="1"/>
  <c r="V147" i="1" s="1"/>
  <c r="F147" i="1"/>
  <c r="T146" i="1"/>
  <c r="V146" i="1" s="1"/>
  <c r="F146" i="1"/>
  <c r="T145" i="1"/>
  <c r="V145" i="1" s="1"/>
  <c r="F145" i="1"/>
  <c r="T144" i="1"/>
  <c r="V144" i="1" s="1"/>
  <c r="F144" i="1"/>
  <c r="T143" i="1"/>
  <c r="V143" i="1" s="1"/>
  <c r="F143" i="1"/>
  <c r="T142" i="1"/>
  <c r="V142" i="1" s="1"/>
  <c r="F142" i="1"/>
  <c r="T141" i="1"/>
  <c r="V141" i="1" s="1"/>
  <c r="F141" i="1"/>
  <c r="T140" i="1"/>
  <c r="V140" i="1" s="1"/>
  <c r="F140" i="1"/>
  <c r="T139" i="1"/>
  <c r="V139" i="1" s="1"/>
  <c r="F139" i="1"/>
  <c r="T138" i="1"/>
  <c r="V138" i="1" s="1"/>
  <c r="F138" i="1"/>
  <c r="T137" i="1"/>
  <c r="V137" i="1" s="1"/>
  <c r="F137" i="1"/>
  <c r="T136" i="1"/>
  <c r="V136" i="1" s="1"/>
  <c r="F136" i="1"/>
  <c r="T135" i="1"/>
  <c r="V135" i="1" s="1"/>
  <c r="F135" i="1"/>
  <c r="T134" i="1"/>
  <c r="V134" i="1" s="1"/>
  <c r="F134" i="1"/>
  <c r="T133" i="1"/>
  <c r="V133" i="1" s="1"/>
  <c r="F133" i="1"/>
  <c r="T132" i="1"/>
  <c r="V132" i="1" s="1"/>
  <c r="F132" i="1"/>
  <c r="T131" i="1"/>
  <c r="V131" i="1" s="1"/>
  <c r="F131" i="1"/>
  <c r="T130" i="1"/>
  <c r="V130" i="1" s="1"/>
  <c r="F130" i="1"/>
  <c r="T129" i="1"/>
  <c r="V129" i="1" s="1"/>
  <c r="F129" i="1"/>
  <c r="T128" i="1"/>
  <c r="V128" i="1" s="1"/>
  <c r="F128" i="1"/>
  <c r="T127" i="1"/>
  <c r="V127" i="1" s="1"/>
  <c r="F127" i="1"/>
  <c r="T126" i="1"/>
  <c r="V126" i="1" s="1"/>
  <c r="F126" i="1"/>
  <c r="T125" i="1"/>
  <c r="V125" i="1" s="1"/>
  <c r="F125" i="1"/>
  <c r="T124" i="1"/>
  <c r="V124" i="1" s="1"/>
  <c r="F124" i="1"/>
  <c r="T123" i="1"/>
  <c r="V123" i="1" s="1"/>
  <c r="F123" i="1"/>
  <c r="T122" i="1"/>
  <c r="V122" i="1" s="1"/>
  <c r="F122" i="1"/>
  <c r="T121" i="1"/>
  <c r="V121" i="1" s="1"/>
  <c r="F121" i="1"/>
  <c r="T120" i="1"/>
  <c r="V120" i="1" s="1"/>
  <c r="F120" i="1"/>
  <c r="T119" i="1"/>
  <c r="V119" i="1" s="1"/>
  <c r="F119" i="1"/>
  <c r="T118" i="1"/>
  <c r="V118" i="1" s="1"/>
  <c r="F118" i="1"/>
  <c r="T117" i="1"/>
  <c r="V117" i="1" s="1"/>
  <c r="F117" i="1"/>
  <c r="T116" i="1"/>
  <c r="V116" i="1" s="1"/>
  <c r="F116" i="1"/>
  <c r="T115" i="1"/>
  <c r="V115" i="1" s="1"/>
  <c r="F115" i="1"/>
  <c r="T114" i="1"/>
  <c r="V114" i="1" s="1"/>
  <c r="F114" i="1"/>
  <c r="T113" i="1"/>
  <c r="V113" i="1" s="1"/>
  <c r="F113" i="1"/>
  <c r="T112" i="1"/>
  <c r="V112" i="1" s="1"/>
  <c r="F112" i="1"/>
  <c r="T111" i="1"/>
  <c r="V111" i="1" s="1"/>
  <c r="F111" i="1"/>
  <c r="T110" i="1"/>
  <c r="V110" i="1" s="1"/>
  <c r="F110" i="1"/>
  <c r="T109" i="1"/>
  <c r="V109" i="1" s="1"/>
  <c r="F109" i="1"/>
  <c r="T108" i="1"/>
  <c r="V108" i="1" s="1"/>
  <c r="F108" i="1"/>
  <c r="T107" i="1"/>
  <c r="V107" i="1" s="1"/>
  <c r="F107" i="1"/>
  <c r="T106" i="1"/>
  <c r="V106" i="1" s="1"/>
  <c r="F106" i="1"/>
  <c r="T105" i="1"/>
  <c r="V105" i="1" s="1"/>
  <c r="F105" i="1"/>
  <c r="T104" i="1"/>
  <c r="V104" i="1" s="1"/>
  <c r="F104" i="1"/>
  <c r="T103" i="1"/>
  <c r="V103" i="1" s="1"/>
  <c r="F103" i="1"/>
  <c r="T102" i="1"/>
  <c r="V102" i="1" s="1"/>
  <c r="F102" i="1"/>
  <c r="T101" i="1"/>
  <c r="V101" i="1" s="1"/>
  <c r="F101" i="1"/>
  <c r="T100" i="1"/>
  <c r="V100" i="1" s="1"/>
  <c r="F100" i="1"/>
  <c r="T99" i="1"/>
  <c r="V99" i="1" s="1"/>
  <c r="F99" i="1"/>
  <c r="T98" i="1"/>
  <c r="V98" i="1" s="1"/>
  <c r="F98" i="1"/>
  <c r="T97" i="1"/>
  <c r="V97" i="1" s="1"/>
  <c r="F97" i="1"/>
  <c r="T96" i="1"/>
  <c r="V96" i="1" s="1"/>
  <c r="F96" i="1"/>
  <c r="T95" i="1"/>
  <c r="V95" i="1" s="1"/>
  <c r="F95" i="1"/>
  <c r="T94" i="1"/>
  <c r="V94" i="1" s="1"/>
  <c r="F94" i="1"/>
  <c r="T93" i="1"/>
  <c r="V93" i="1" s="1"/>
  <c r="F93" i="1"/>
  <c r="T92" i="1"/>
  <c r="V92" i="1" s="1"/>
  <c r="F92" i="1"/>
  <c r="T91" i="1"/>
  <c r="V91" i="1" s="1"/>
  <c r="F91" i="1"/>
  <c r="T90" i="1"/>
  <c r="V90" i="1" s="1"/>
  <c r="F90" i="1"/>
  <c r="T89" i="1"/>
  <c r="V89" i="1" s="1"/>
  <c r="F89" i="1"/>
  <c r="T88" i="1"/>
  <c r="V88" i="1" s="1"/>
  <c r="F88" i="1"/>
  <c r="T87" i="1"/>
  <c r="V87" i="1" s="1"/>
  <c r="F87" i="1"/>
  <c r="T86" i="1"/>
  <c r="V86" i="1" s="1"/>
  <c r="F86" i="1"/>
  <c r="T85" i="1"/>
  <c r="V85" i="1" s="1"/>
  <c r="F85" i="1"/>
  <c r="T84" i="1"/>
  <c r="V84" i="1" s="1"/>
  <c r="F84" i="1"/>
  <c r="T83" i="1"/>
  <c r="V83" i="1" s="1"/>
  <c r="F83" i="1"/>
  <c r="T82" i="1"/>
  <c r="V82" i="1" s="1"/>
  <c r="F82" i="1"/>
  <c r="T81" i="1"/>
  <c r="V81" i="1" s="1"/>
  <c r="F81" i="1"/>
  <c r="T80" i="1"/>
  <c r="V80" i="1" s="1"/>
  <c r="F80" i="1"/>
  <c r="T79" i="1"/>
  <c r="V79" i="1" s="1"/>
  <c r="F79" i="1"/>
  <c r="T78" i="1"/>
  <c r="V78" i="1" s="1"/>
  <c r="F78" i="1"/>
  <c r="T77" i="1"/>
  <c r="V77" i="1" s="1"/>
  <c r="F77" i="1"/>
  <c r="T76" i="1"/>
  <c r="V76" i="1" s="1"/>
  <c r="F76" i="1"/>
  <c r="T75" i="1"/>
  <c r="V75" i="1" s="1"/>
  <c r="F75" i="1"/>
  <c r="T74" i="1"/>
  <c r="V74" i="1" s="1"/>
  <c r="F74" i="1"/>
  <c r="T73" i="1"/>
  <c r="V73" i="1" s="1"/>
  <c r="F73" i="1"/>
  <c r="T72" i="1"/>
  <c r="V72" i="1" s="1"/>
  <c r="F72" i="1"/>
  <c r="T71" i="1"/>
  <c r="V71" i="1" s="1"/>
  <c r="F71" i="1"/>
  <c r="T70" i="1"/>
  <c r="V70" i="1" s="1"/>
  <c r="F70" i="1"/>
  <c r="T69" i="1"/>
  <c r="V69" i="1" s="1"/>
  <c r="F69" i="1"/>
  <c r="T68" i="1"/>
  <c r="V68" i="1" s="1"/>
  <c r="F68" i="1"/>
  <c r="T67" i="1"/>
  <c r="V67" i="1" s="1"/>
  <c r="F67" i="1"/>
  <c r="T66" i="1"/>
  <c r="V66" i="1" s="1"/>
  <c r="F66" i="1"/>
  <c r="T65" i="1"/>
  <c r="V65" i="1" s="1"/>
  <c r="F65" i="1"/>
  <c r="T64" i="1"/>
  <c r="V64" i="1" s="1"/>
  <c r="F64" i="1"/>
  <c r="T63" i="1"/>
  <c r="V63" i="1" s="1"/>
  <c r="F63" i="1"/>
  <c r="T62" i="1"/>
  <c r="V62" i="1" s="1"/>
  <c r="F62" i="1"/>
  <c r="T61" i="1"/>
  <c r="V61" i="1" s="1"/>
  <c r="F61" i="1"/>
  <c r="T60" i="1"/>
  <c r="V60" i="1" s="1"/>
  <c r="F60" i="1"/>
  <c r="T59" i="1"/>
  <c r="V59" i="1" s="1"/>
  <c r="F59" i="1"/>
  <c r="T58" i="1"/>
  <c r="V58" i="1" s="1"/>
  <c r="F58" i="1"/>
  <c r="T57" i="1"/>
  <c r="V57" i="1" s="1"/>
  <c r="F57" i="1"/>
  <c r="T56" i="1"/>
  <c r="V56" i="1" s="1"/>
  <c r="F56" i="1"/>
  <c r="T55" i="1"/>
  <c r="V55" i="1" s="1"/>
  <c r="F55" i="1"/>
  <c r="T54" i="1"/>
  <c r="V54" i="1" s="1"/>
  <c r="F54" i="1"/>
  <c r="T53" i="1"/>
  <c r="V53" i="1" s="1"/>
  <c r="F53" i="1"/>
  <c r="T52" i="1"/>
  <c r="V52" i="1" s="1"/>
  <c r="F52" i="1"/>
  <c r="T51" i="1"/>
  <c r="V51" i="1" s="1"/>
  <c r="F51" i="1"/>
  <c r="T50" i="1"/>
  <c r="V50" i="1" s="1"/>
  <c r="F50" i="1"/>
  <c r="T49" i="1"/>
  <c r="V49" i="1" s="1"/>
  <c r="F49" i="1"/>
  <c r="T48" i="1"/>
  <c r="V48" i="1" s="1"/>
  <c r="F48" i="1"/>
  <c r="T47" i="1"/>
  <c r="V47" i="1" s="1"/>
  <c r="F47" i="1"/>
  <c r="T46" i="1"/>
  <c r="V46" i="1" s="1"/>
  <c r="F46" i="1"/>
  <c r="T45" i="1"/>
  <c r="V45" i="1" s="1"/>
  <c r="F45" i="1"/>
  <c r="T44" i="1"/>
  <c r="V44" i="1" s="1"/>
  <c r="F44" i="1"/>
  <c r="T43" i="1"/>
  <c r="V43" i="1" s="1"/>
  <c r="F43" i="1"/>
  <c r="T42" i="1"/>
  <c r="V42" i="1" s="1"/>
  <c r="F42" i="1"/>
  <c r="T41" i="1"/>
  <c r="V41" i="1" s="1"/>
  <c r="F41" i="1"/>
  <c r="T40" i="1"/>
  <c r="V40" i="1" s="1"/>
  <c r="F40" i="1"/>
  <c r="T39" i="1"/>
  <c r="V39" i="1" s="1"/>
  <c r="F39" i="1"/>
  <c r="T38" i="1"/>
  <c r="V38" i="1" s="1"/>
  <c r="F38" i="1"/>
  <c r="T37" i="1"/>
  <c r="V37" i="1" s="1"/>
  <c r="F37" i="1"/>
  <c r="T36" i="1"/>
  <c r="V36" i="1" s="1"/>
  <c r="F36" i="1"/>
  <c r="T35" i="1"/>
  <c r="V35" i="1" s="1"/>
  <c r="F35" i="1"/>
  <c r="T34" i="1"/>
  <c r="V34" i="1" s="1"/>
  <c r="F34" i="1"/>
  <c r="T33" i="1"/>
  <c r="F33" i="1"/>
  <c r="T32" i="1"/>
  <c r="V32" i="1" s="1"/>
  <c r="F32" i="1"/>
  <c r="T31" i="1"/>
  <c r="V31" i="1" s="1"/>
  <c r="F31" i="1"/>
  <c r="T30" i="1"/>
  <c r="V30" i="1" s="1"/>
  <c r="F30" i="1"/>
  <c r="T29" i="1"/>
  <c r="V29" i="1" s="1"/>
  <c r="F29" i="1"/>
  <c r="T28" i="1"/>
  <c r="V28" i="1" s="1"/>
  <c r="F28" i="1"/>
  <c r="T27" i="1"/>
  <c r="F27" i="1"/>
  <c r="T26" i="1"/>
  <c r="V26" i="1" s="1"/>
  <c r="F26" i="1"/>
  <c r="T25" i="1"/>
  <c r="V25" i="1" s="1"/>
  <c r="F25" i="1"/>
  <c r="T24" i="1"/>
  <c r="V24" i="1" s="1"/>
  <c r="F24" i="1"/>
  <c r="T23" i="1"/>
  <c r="V23" i="1" s="1"/>
  <c r="F23" i="1"/>
  <c r="T22" i="1"/>
  <c r="V22" i="1" s="1"/>
  <c r="F22" i="1"/>
  <c r="T21" i="1"/>
  <c r="V21" i="1" s="1"/>
  <c r="F21" i="1"/>
  <c r="T20" i="1"/>
  <c r="V20" i="1" s="1"/>
  <c r="F20" i="1"/>
  <c r="T19" i="1"/>
  <c r="V19" i="1" s="1"/>
  <c r="F19" i="1"/>
  <c r="T18" i="1"/>
  <c r="V18" i="1" s="1"/>
  <c r="T17" i="1"/>
  <c r="V17" i="1" s="1"/>
  <c r="F17" i="1"/>
  <c r="T16" i="1"/>
  <c r="V16" i="1" s="1"/>
  <c r="F16" i="1"/>
  <c r="T15" i="1"/>
  <c r="V15" i="1" s="1"/>
  <c r="F15" i="1"/>
  <c r="T14" i="1"/>
  <c r="V14" i="1" s="1"/>
  <c r="F14" i="1"/>
  <c r="T13" i="1"/>
  <c r="V13" i="1" s="1"/>
  <c r="F13" i="1"/>
  <c r="T12" i="1"/>
  <c r="V12" i="1" s="1"/>
  <c r="F12" i="1"/>
  <c r="T11" i="1"/>
  <c r="V11" i="1" s="1"/>
  <c r="F11" i="1"/>
  <c r="T10" i="1"/>
  <c r="V10" i="1" s="1"/>
  <c r="F10" i="1"/>
  <c r="T9" i="1"/>
  <c r="F9" i="1"/>
  <c r="T8" i="1"/>
  <c r="V8" i="1" s="1"/>
  <c r="F8" i="1"/>
  <c r="T7" i="1"/>
  <c r="F7" i="1"/>
  <c r="T6" i="1"/>
  <c r="V6" i="1" s="1"/>
  <c r="F6" i="1"/>
  <c r="T5" i="1"/>
  <c r="V5" i="1" s="1"/>
  <c r="F5" i="1"/>
  <c r="T4" i="1"/>
  <c r="F4" i="1"/>
  <c r="T3" i="1"/>
  <c r="F3" i="1"/>
  <c r="F2" i="1"/>
  <c r="V27" i="1" l="1"/>
  <c r="Z21" i="1"/>
  <c r="V3" i="1"/>
  <c r="Z9" i="1"/>
  <c r="V7" i="1"/>
  <c r="AC22" i="1"/>
  <c r="Z12" i="1"/>
  <c r="AC37" i="1"/>
  <c r="V9" i="1"/>
  <c r="V33" i="1"/>
  <c r="Z24" i="1"/>
  <c r="V4" i="1"/>
  <c r="Z26" i="1"/>
  <c r="AC19" i="1"/>
  <c r="V2" i="1"/>
  <c r="Z18" i="1"/>
  <c r="Z6" i="1"/>
</calcChain>
</file>

<file path=xl/sharedStrings.xml><?xml version="1.0" encoding="utf-8"?>
<sst xmlns="http://schemas.openxmlformats.org/spreadsheetml/2006/main" count="30762" uniqueCount="1102">
  <si>
    <t>Transaction ID</t>
  </si>
  <si>
    <t>Day</t>
  </si>
  <si>
    <t>Month</t>
  </si>
  <si>
    <t>Year</t>
  </si>
  <si>
    <t>DATE</t>
  </si>
  <si>
    <t>MONTH</t>
  </si>
  <si>
    <t>Brand</t>
  </si>
  <si>
    <t>Units Sold</t>
  </si>
  <si>
    <t>Price Per Unit</t>
  </si>
  <si>
    <t>Customer Name</t>
  </si>
  <si>
    <t>Customer Age</t>
  </si>
  <si>
    <t>Age</t>
  </si>
  <si>
    <t>Ratings</t>
  </si>
  <si>
    <t>City</t>
  </si>
  <si>
    <t>Payment Method</t>
  </si>
  <si>
    <t>Customer Ratings</t>
  </si>
  <si>
    <t>Mobile Model</t>
  </si>
  <si>
    <t>Total Sale</t>
  </si>
  <si>
    <t>October</t>
  </si>
  <si>
    <t>Xiaomi</t>
  </si>
  <si>
    <t>Lalita Ahuja</t>
  </si>
  <si>
    <t>Adult</t>
  </si>
  <si>
    <t>Good</t>
  </si>
  <si>
    <t>Ludhiana</t>
  </si>
  <si>
    <t>UPI</t>
  </si>
  <si>
    <t>Redmi Note 10</t>
  </si>
  <si>
    <t>Vivo</t>
  </si>
  <si>
    <t>Sneha Sharma</t>
  </si>
  <si>
    <t>AVG</t>
  </si>
  <si>
    <t>Delhi</t>
  </si>
  <si>
    <t>Credit Card</t>
  </si>
  <si>
    <t>Vivo Y51</t>
  </si>
  <si>
    <t>Radha Srivastava</t>
  </si>
  <si>
    <t>Mumbai</t>
  </si>
  <si>
    <t>Vivo S1</t>
  </si>
  <si>
    <t>Bhavana Arora</t>
  </si>
  <si>
    <t>Teenagers</t>
  </si>
  <si>
    <t>Mi 11</t>
  </si>
  <si>
    <t>OnePlus</t>
  </si>
  <si>
    <t>Sneha Mehta</t>
  </si>
  <si>
    <t>Gorakhpur</t>
  </si>
  <si>
    <t>Cash</t>
  </si>
  <si>
    <t>OnePlus 9</t>
  </si>
  <si>
    <t>Samsung</t>
  </si>
  <si>
    <t>Reena Mehta</t>
  </si>
  <si>
    <t>Jodhpur</t>
  </si>
  <si>
    <t>Galaxy Note 20</t>
  </si>
  <si>
    <t>Pankaj Alva</t>
  </si>
  <si>
    <t>OnePlus Nord</t>
  </si>
  <si>
    <t>Apple</t>
  </si>
  <si>
    <t>Mala Rawat</t>
  </si>
  <si>
    <t>Vadodara</t>
  </si>
  <si>
    <t>iPhone 12</t>
  </si>
  <si>
    <t>Pankaj Varma</t>
  </si>
  <si>
    <t>Yogesh Sharma</t>
  </si>
  <si>
    <t>BAD</t>
  </si>
  <si>
    <t>Debit Card</t>
  </si>
  <si>
    <t>Galaxy A51</t>
  </si>
  <si>
    <t>Radha Sharma</t>
  </si>
  <si>
    <t>Madurai</t>
  </si>
  <si>
    <t>Namita Roy</t>
  </si>
  <si>
    <t>Senior Citezen</t>
  </si>
  <si>
    <t>Ramesh Joshi</t>
  </si>
  <si>
    <t>Arun Iyer</t>
  </si>
  <si>
    <t>Hyderabad</t>
  </si>
  <si>
    <t>Manoj Siddiqui</t>
  </si>
  <si>
    <t>Chennai</t>
  </si>
  <si>
    <t>Vivo V20</t>
  </si>
  <si>
    <t>Anjali Gupta</t>
  </si>
  <si>
    <t>Ramesh Rao</t>
  </si>
  <si>
    <t>Coimbatore</t>
  </si>
  <si>
    <t>Anand Pillai</t>
  </si>
  <si>
    <t>Kiran Rawat</t>
  </si>
  <si>
    <t>Harish Kaur</t>
  </si>
  <si>
    <t>Manoj Luthra</t>
  </si>
  <si>
    <t>Jyoti Roy</t>
  </si>
  <si>
    <t>Rajesh Sheth</t>
  </si>
  <si>
    <t>Kolkata</t>
  </si>
  <si>
    <t>Mala Ghosh</t>
  </si>
  <si>
    <t>Reena Teja</t>
  </si>
  <si>
    <t>Bhavana Dutta</t>
  </si>
  <si>
    <t>Yogesh Ahuja</t>
  </si>
  <si>
    <t>Isha Desai</t>
  </si>
  <si>
    <t>Tapan Shah</t>
  </si>
  <si>
    <t>Redmi 9</t>
  </si>
  <si>
    <t>Vinod Pathak</t>
  </si>
  <si>
    <t>Bhavana Siddiqui</t>
  </si>
  <si>
    <t>Meena Mathur</t>
  </si>
  <si>
    <t>iPhone SE</t>
  </si>
  <si>
    <t>Sumit Pillai</t>
  </si>
  <si>
    <t>Rajkot</t>
  </si>
  <si>
    <t>Vinod Dutta</t>
  </si>
  <si>
    <t>Shruti Bhatnagar</t>
  </si>
  <si>
    <t>Kanpur</t>
  </si>
  <si>
    <t>Pankaj Shah</t>
  </si>
  <si>
    <t>Galaxy S21</t>
  </si>
  <si>
    <t>Deepika Verma</t>
  </si>
  <si>
    <t>Sanjay Joshi</t>
  </si>
  <si>
    <t>Umesh Goyal</t>
  </si>
  <si>
    <t>OnePlus 8T</t>
  </si>
  <si>
    <t>Rajesh Verma</t>
  </si>
  <si>
    <t>Pooja Rao</t>
  </si>
  <si>
    <t>iPhone 11</t>
  </si>
  <si>
    <t>Jyoti Mishra</t>
  </si>
  <si>
    <t>Sachin Desai</t>
  </si>
  <si>
    <t>Manoj Jain</t>
  </si>
  <si>
    <t>Deepika Shah</t>
  </si>
  <si>
    <t>Priyanka Pillai</t>
  </si>
  <si>
    <t>Pooja Arora</t>
  </si>
  <si>
    <t>Tanuja Prasad</t>
  </si>
  <si>
    <t>Bhopal</t>
  </si>
  <si>
    <t>Monika Thakur</t>
  </si>
  <si>
    <t>Anand Nair</t>
  </si>
  <si>
    <t>Vinod Kaur</t>
  </si>
  <si>
    <t>Ranchi</t>
  </si>
  <si>
    <t>Yogesh Roy</t>
  </si>
  <si>
    <t>Krishna Mehta</t>
  </si>
  <si>
    <t>Lucknow</t>
  </si>
  <si>
    <t>Mala Malhotra</t>
  </si>
  <si>
    <t>Sunita Thakur</t>
  </si>
  <si>
    <t>Kavita Sheth</t>
  </si>
  <si>
    <t>Anjali Roy</t>
  </si>
  <si>
    <t>Shruti Dutta</t>
  </si>
  <si>
    <t>Devendra Jain</t>
  </si>
  <si>
    <t>Jyoti Bhattacharya</t>
  </si>
  <si>
    <t>Kavita Srivastava</t>
  </si>
  <si>
    <t>Radha Mathur</t>
  </si>
  <si>
    <t>Lata Shah</t>
  </si>
  <si>
    <t>Sumit Ghosh</t>
  </si>
  <si>
    <t>Tanuja Dutta</t>
  </si>
  <si>
    <t>Ramesh Kumar</t>
  </si>
  <si>
    <t>Sunil Luthra</t>
  </si>
  <si>
    <t>Indore</t>
  </si>
  <si>
    <t>Kavita Solanki</t>
  </si>
  <si>
    <t>Meena Thakur</t>
  </si>
  <si>
    <t>Pooja Reddy</t>
  </si>
  <si>
    <t>Ayesha Ghosh</t>
  </si>
  <si>
    <t>Patna</t>
  </si>
  <si>
    <t>Nikhil Bhattacharya</t>
  </si>
  <si>
    <t>Sunil Das</t>
  </si>
  <si>
    <t>Shruti Iyer</t>
  </si>
  <si>
    <t>Sunita Arora</t>
  </si>
  <si>
    <t>Deepika Deshmukh</t>
  </si>
  <si>
    <t>Kiran Malhotra</t>
  </si>
  <si>
    <t>November</t>
  </si>
  <si>
    <t>Bina Mishra</t>
  </si>
  <si>
    <t>Monika Srivastava</t>
  </si>
  <si>
    <t>Prashant Dutta</t>
  </si>
  <si>
    <t>Sunil Kapoor</t>
  </si>
  <si>
    <t>Sneha Mishra</t>
  </si>
  <si>
    <t>Bangalore</t>
  </si>
  <si>
    <t>Sanjay Bhattacharya</t>
  </si>
  <si>
    <t>Sneha Rao</t>
  </si>
  <si>
    <t>Namita Bhatnagar</t>
  </si>
  <si>
    <t>Pooja Roy</t>
  </si>
  <si>
    <t>Neeta Sharma</t>
  </si>
  <si>
    <t>Sumit Sheth</t>
  </si>
  <si>
    <t>Bina Deshmukh</t>
  </si>
  <si>
    <t>Ravi Arora</t>
  </si>
  <si>
    <t>Anjali Pathak</t>
  </si>
  <si>
    <t>Rajesh Menon</t>
  </si>
  <si>
    <t>Reena Chatterjee</t>
  </si>
  <si>
    <t>Nikhil Pathak</t>
  </si>
  <si>
    <t>Krishna Bhattacharya</t>
  </si>
  <si>
    <t>Ayesha Thakur</t>
  </si>
  <si>
    <t>Bina Nair</t>
  </si>
  <si>
    <t>Krishna Malhotra</t>
  </si>
  <si>
    <t>Mala Das</t>
  </si>
  <si>
    <t>Anita Bhattacharya</t>
  </si>
  <si>
    <t>Nikhil Solanki</t>
  </si>
  <si>
    <t>Kiran Goyal</t>
  </si>
  <si>
    <t>Kiran Prasad</t>
  </si>
  <si>
    <t>Sunil Jain</t>
  </si>
  <si>
    <t>Manoj Rathod</t>
  </si>
  <si>
    <t>Tapan Gupta</t>
  </si>
  <si>
    <t>Vinod Goyal</t>
  </si>
  <si>
    <t>Krishna Rathod</t>
  </si>
  <si>
    <t>Jyoti Alva</t>
  </si>
  <si>
    <t>Pankaj Mehta</t>
  </si>
  <si>
    <t>Anjali Srivastava</t>
  </si>
  <si>
    <t>Anita Pathak</t>
  </si>
  <si>
    <t>Arun Verma</t>
  </si>
  <si>
    <t>Yogesh Luthra</t>
  </si>
  <si>
    <t>Sachin Joshi</t>
  </si>
  <si>
    <t>Sumit Arora</t>
  </si>
  <si>
    <t>Sunil Rawat</t>
  </si>
  <si>
    <t>Pankaj Desai</t>
  </si>
  <si>
    <t>Kiran Solanki</t>
  </si>
  <si>
    <t>Prashant Luthra</t>
  </si>
  <si>
    <t>Kavita Patel</t>
  </si>
  <si>
    <t>Sanjay Pathak</t>
  </si>
  <si>
    <t>Ravi Ghosh</t>
  </si>
  <si>
    <t>Vinod Joshi</t>
  </si>
  <si>
    <t>Tanuja Goyal</t>
  </si>
  <si>
    <t>Krishna Jain</t>
  </si>
  <si>
    <t>Tanuja Mathur</t>
  </si>
  <si>
    <t>Anand Kapoor</t>
  </si>
  <si>
    <t>Neeta Kulkarni</t>
  </si>
  <si>
    <t>Sachin Varma</t>
  </si>
  <si>
    <t>Sumit Verma</t>
  </si>
  <si>
    <t>Kavita Jain</t>
  </si>
  <si>
    <t>Reena Bhatnagar</t>
  </si>
  <si>
    <t>Anjali Ahuja</t>
  </si>
  <si>
    <t>Prashant Teja</t>
  </si>
  <si>
    <t>Rajesh Kaur</t>
  </si>
  <si>
    <t>Anita Prasad</t>
  </si>
  <si>
    <t>Mala Teja</t>
  </si>
  <si>
    <t>Reena Rao</t>
  </si>
  <si>
    <t>Tanuja Shah</t>
  </si>
  <si>
    <t>Radha Jain</t>
  </si>
  <si>
    <t>Monika Ahuja</t>
  </si>
  <si>
    <t>Kavita Goyal</t>
  </si>
  <si>
    <t>Priya Roy</t>
  </si>
  <si>
    <t>Pooja Dutta</t>
  </si>
  <si>
    <t>Namita Das</t>
  </si>
  <si>
    <t>Nikhil Bhatnagar</t>
  </si>
  <si>
    <t>Sanjay Sheth</t>
  </si>
  <si>
    <t>Radha Rao</t>
  </si>
  <si>
    <t>Lata Iyer</t>
  </si>
  <si>
    <t>Namita Desai</t>
  </si>
  <si>
    <t>Pooja Joshi</t>
  </si>
  <si>
    <t>Reena Deshmukh</t>
  </si>
  <si>
    <t>Pooja Thakur</t>
  </si>
  <si>
    <t>Bhavana Kapoor</t>
  </si>
  <si>
    <t>Amit Dutta</t>
  </si>
  <si>
    <t>Shruti Chaudhary</t>
  </si>
  <si>
    <t>Sumit Reddy</t>
  </si>
  <si>
    <t>Bina Goyal</t>
  </si>
  <si>
    <t>Reena Dutta</t>
  </si>
  <si>
    <t>Vivek Srivastava</t>
  </si>
  <si>
    <t>Kavita Desai</t>
  </si>
  <si>
    <t>Anjali Thakur</t>
  </si>
  <si>
    <t>Vijay Sheth</t>
  </si>
  <si>
    <t>Vivek Nair</t>
  </si>
  <si>
    <t>Sneha Jain</t>
  </si>
  <si>
    <t>Manoj Mehta</t>
  </si>
  <si>
    <t>Lalita Patel</t>
  </si>
  <si>
    <t>Nikhil Jain</t>
  </si>
  <si>
    <t>Lata Chaudhary</t>
  </si>
  <si>
    <t>December</t>
  </si>
  <si>
    <t>Neeta Menon</t>
  </si>
  <si>
    <t>Sachin Yadav</t>
  </si>
  <si>
    <t>Sachin Goyal</t>
  </si>
  <si>
    <t>Sneha Prasad</t>
  </si>
  <si>
    <t>Sunil Varma</t>
  </si>
  <si>
    <t>Krishna Roy</t>
  </si>
  <si>
    <t>Vinod Kumar</t>
  </si>
  <si>
    <t>Sanjay Das</t>
  </si>
  <si>
    <t>Anand Bhattacharya</t>
  </si>
  <si>
    <t>Tanuja Ahuja</t>
  </si>
  <si>
    <t>Navin Verma</t>
  </si>
  <si>
    <t>Bhavana Varma</t>
  </si>
  <si>
    <t>Neeta Ghosh</t>
  </si>
  <si>
    <t>Umesh Dutta</t>
  </si>
  <si>
    <t>Lalita Dutta</t>
  </si>
  <si>
    <t>Kiran Mathur</t>
  </si>
  <si>
    <t>Sumit Malhotra</t>
  </si>
  <si>
    <t>Bhavana Yadav</t>
  </si>
  <si>
    <t>Navin Sharma</t>
  </si>
  <si>
    <t>Priya Teja</t>
  </si>
  <si>
    <t>Sunita Teja</t>
  </si>
  <si>
    <t>Priya Varma</t>
  </si>
  <si>
    <t>Ravi Sharma</t>
  </si>
  <si>
    <t>Lalita Shah</t>
  </si>
  <si>
    <t>Aditya Deshmukh</t>
  </si>
  <si>
    <t>Kiran Rathod</t>
  </si>
  <si>
    <t>Krishna Menon</t>
  </si>
  <si>
    <t>Monika Deshmukh</t>
  </si>
  <si>
    <t>Bhavana Jain</t>
  </si>
  <si>
    <t>Ramesh Nambiar</t>
  </si>
  <si>
    <t>Sunil Gupta</t>
  </si>
  <si>
    <t>Nikhil Rathod</t>
  </si>
  <si>
    <t>Vijay Shah</t>
  </si>
  <si>
    <t>Vivek Yadav</t>
  </si>
  <si>
    <t>Isha Menon</t>
  </si>
  <si>
    <t>Kunal Malhotra</t>
  </si>
  <si>
    <t>Yogesh Dutta</t>
  </si>
  <si>
    <t>Isha Thakur</t>
  </si>
  <si>
    <t>Krishna Rawat</t>
  </si>
  <si>
    <t>Manoj Thakur</t>
  </si>
  <si>
    <t>Anjali Nambiar</t>
  </si>
  <si>
    <t>Jyoti Varma</t>
  </si>
  <si>
    <t>Tapan Chatterjee</t>
  </si>
  <si>
    <t>Bhavana Prasad</t>
  </si>
  <si>
    <t>Manoj Dutta</t>
  </si>
  <si>
    <t>Rajesh Shah</t>
  </si>
  <si>
    <t>Bina Singh</t>
  </si>
  <si>
    <t>Neeta Ahuja</t>
  </si>
  <si>
    <t>Pankaj Gupta</t>
  </si>
  <si>
    <t>Yogesh Shah</t>
  </si>
  <si>
    <t>Vijay Varma</t>
  </si>
  <si>
    <t>Anita Srivastava</t>
  </si>
  <si>
    <t>Kavita Teja</t>
  </si>
  <si>
    <t>Manoj Iyer</t>
  </si>
  <si>
    <t>Deepika Sharma</t>
  </si>
  <si>
    <t>Rohan Gupta</t>
  </si>
  <si>
    <t>Amit Ghosh</t>
  </si>
  <si>
    <t>Kiran Ghosh</t>
  </si>
  <si>
    <t>Arun Sheth</t>
  </si>
  <si>
    <t>Aditya Menon</t>
  </si>
  <si>
    <t>Pooja Solanki</t>
  </si>
  <si>
    <t>Monika Nambiar</t>
  </si>
  <si>
    <t>Kiran Jain</t>
  </si>
  <si>
    <t>Umesh Rawat</t>
  </si>
  <si>
    <t>Tapan Singh</t>
  </si>
  <si>
    <t>Isha Ghosh</t>
  </si>
  <si>
    <t>Jyoti Iyer</t>
  </si>
  <si>
    <t>Monika Sharma</t>
  </si>
  <si>
    <t>Devendra Pathak</t>
  </si>
  <si>
    <t>Manoj Pathak</t>
  </si>
  <si>
    <t>Anita Varma</t>
  </si>
  <si>
    <t>Shruti Sharma</t>
  </si>
  <si>
    <t>Tapan Ahuja</t>
  </si>
  <si>
    <t>Sumit Alva</t>
  </si>
  <si>
    <t>Lata Rawat</t>
  </si>
  <si>
    <t>Gita Sheth</t>
  </si>
  <si>
    <t>January</t>
  </si>
  <si>
    <t>Priya Bhattacharya</t>
  </si>
  <si>
    <t>Kavita Dutta</t>
  </si>
  <si>
    <t>Meena Joshi</t>
  </si>
  <si>
    <t>Vivek Siddiqui</t>
  </si>
  <si>
    <t>Deepika Desai</t>
  </si>
  <si>
    <t>Anita Deshmukh</t>
  </si>
  <si>
    <t>Rajesh Kapoor</t>
  </si>
  <si>
    <t>Aditya Arora</t>
  </si>
  <si>
    <t>Isha Dutta</t>
  </si>
  <si>
    <t>Bhavana Mishra</t>
  </si>
  <si>
    <t>Anita Sharma</t>
  </si>
  <si>
    <t>Radha Ghosh</t>
  </si>
  <si>
    <t>Tanuja Rao</t>
  </si>
  <si>
    <t>Namita Reddy</t>
  </si>
  <si>
    <t>Rohan Prasad</t>
  </si>
  <si>
    <t>Priyanka Jain</t>
  </si>
  <si>
    <t>Anita Rawat</t>
  </si>
  <si>
    <t>Vivek Teja</t>
  </si>
  <si>
    <t>Anand Mehta</t>
  </si>
  <si>
    <t>Sneha Reddy</t>
  </si>
  <si>
    <t>Bhavana Srivastava</t>
  </si>
  <si>
    <t>Ramesh Jain</t>
  </si>
  <si>
    <t>Anjali Patel</t>
  </si>
  <si>
    <t>Pooja Goyal</t>
  </si>
  <si>
    <t>Neeta Malhotra</t>
  </si>
  <si>
    <t>Reena Das</t>
  </si>
  <si>
    <t>Ramesh Dutta</t>
  </si>
  <si>
    <t>Harish Goyal</t>
  </si>
  <si>
    <t>Bina Rawat</t>
  </si>
  <si>
    <t>Sunil Mathur</t>
  </si>
  <si>
    <t>Navin Solanki</t>
  </si>
  <si>
    <t>Kavita Bhattacharya</t>
  </si>
  <si>
    <t>Priyanka Alva</t>
  </si>
  <si>
    <t>Rohan Rathod</t>
  </si>
  <si>
    <t>Devendra Arora</t>
  </si>
  <si>
    <t>Reena Desai</t>
  </si>
  <si>
    <t>Pankaj Singh</t>
  </si>
  <si>
    <t>Priyanka Mishra</t>
  </si>
  <si>
    <t>Bhavana Rawat</t>
  </si>
  <si>
    <t>Pooja Luthra</t>
  </si>
  <si>
    <t>Manoj Ahuja</t>
  </si>
  <si>
    <t>Priyanka Sharma</t>
  </si>
  <si>
    <t>Navin Malhotra</t>
  </si>
  <si>
    <t>Kavita Iyer</t>
  </si>
  <si>
    <t>Anand Patel</t>
  </si>
  <si>
    <t>Vijay Prasad</t>
  </si>
  <si>
    <t>Umesh Ghosh</t>
  </si>
  <si>
    <t>Manoj Rao</t>
  </si>
  <si>
    <t>Vivek Jain</t>
  </si>
  <si>
    <t>Aditya Patel</t>
  </si>
  <si>
    <t>Sumit Siddiqui</t>
  </si>
  <si>
    <t>Bhavana Desai</t>
  </si>
  <si>
    <t>Ravi Sheth</t>
  </si>
  <si>
    <t>Ravi Patel</t>
  </si>
  <si>
    <t>Tapan Mishra</t>
  </si>
  <si>
    <t>Mala Verma</t>
  </si>
  <si>
    <t>Gita Roy</t>
  </si>
  <si>
    <t>Vivek Rawat</t>
  </si>
  <si>
    <t>Anita Menon</t>
  </si>
  <si>
    <t>Tapan Deshmukh</t>
  </si>
  <si>
    <t>Shruti Thakur</t>
  </si>
  <si>
    <t>Tapan Bhattacharya</t>
  </si>
  <si>
    <t>Anand Reddy</t>
  </si>
  <si>
    <t>Tapan Rawat</t>
  </si>
  <si>
    <t>Namita Sheth</t>
  </si>
  <si>
    <t>Arun Luthra</t>
  </si>
  <si>
    <t>Mala Roy</t>
  </si>
  <si>
    <t>Devendra Varma</t>
  </si>
  <si>
    <t>Ravi Dutta</t>
  </si>
  <si>
    <t>Ramesh Das</t>
  </si>
  <si>
    <t>Bina Siddiqui</t>
  </si>
  <si>
    <t>Kunal Chaudhary</t>
  </si>
  <si>
    <t>Vinod Malhotra</t>
  </si>
  <si>
    <t>Sneha Arora</t>
  </si>
  <si>
    <t>Radha Alva</t>
  </si>
  <si>
    <t>Krishna Nambiar</t>
  </si>
  <si>
    <t>Vijay Jain</t>
  </si>
  <si>
    <t>Yogesh Alva</t>
  </si>
  <si>
    <t>Sanjay Mehta</t>
  </si>
  <si>
    <t>Neeta Yadav</t>
  </si>
  <si>
    <t>Gita Rathod</t>
  </si>
  <si>
    <t>Vinod Chatterjee</t>
  </si>
  <si>
    <t>Harish Mishra</t>
  </si>
  <si>
    <t>Sneha Patel</t>
  </si>
  <si>
    <t>Vivek Mehta</t>
  </si>
  <si>
    <t>Ravi Bhattacharya</t>
  </si>
  <si>
    <t>Anand Siddiqui</t>
  </si>
  <si>
    <t>Jyoti Kumar</t>
  </si>
  <si>
    <t>Krishna Sharma</t>
  </si>
  <si>
    <t>Aditya Roy</t>
  </si>
  <si>
    <t>Anita Arora</t>
  </si>
  <si>
    <t>February</t>
  </si>
  <si>
    <t>Harish Teja</t>
  </si>
  <si>
    <t>Gita Teja</t>
  </si>
  <si>
    <t>Amit Srivastava</t>
  </si>
  <si>
    <t>Ayesha Menon</t>
  </si>
  <si>
    <t>Vivek Sheth</t>
  </si>
  <si>
    <t>Tapan Mathur</t>
  </si>
  <si>
    <t>Sneha Desai</t>
  </si>
  <si>
    <t>Amit Prasad</t>
  </si>
  <si>
    <t>Sumit Sharma</t>
  </si>
  <si>
    <t>Anand Joshi</t>
  </si>
  <si>
    <t>Namita Srivastava</t>
  </si>
  <si>
    <t>Vivek Alva</t>
  </si>
  <si>
    <t>Navin Mathur</t>
  </si>
  <si>
    <t>Devendra Mathur</t>
  </si>
  <si>
    <t>Isha Nair</t>
  </si>
  <si>
    <t>Pankaj Jain</t>
  </si>
  <si>
    <t>Kiran Alva</t>
  </si>
  <si>
    <t>Arun Deshmukh</t>
  </si>
  <si>
    <t>Vijay Rawat</t>
  </si>
  <si>
    <t>Arun Dutta</t>
  </si>
  <si>
    <t>Harish Solanki</t>
  </si>
  <si>
    <t>Sunita Roy</t>
  </si>
  <si>
    <t>Vinod Nambiar</t>
  </si>
  <si>
    <t>Meena Kulkarni</t>
  </si>
  <si>
    <t>Bhavana Mehta</t>
  </si>
  <si>
    <t>Prashant Rathod</t>
  </si>
  <si>
    <t>Priyanka Menon</t>
  </si>
  <si>
    <t>Anjali Sharma</t>
  </si>
  <si>
    <t>Arun Kapoor</t>
  </si>
  <si>
    <t>Arun Goyal</t>
  </si>
  <si>
    <t>Arun Pillai</t>
  </si>
  <si>
    <t>Bhavana Mathur</t>
  </si>
  <si>
    <t>Priya Singh</t>
  </si>
  <si>
    <t>Meena Patel</t>
  </si>
  <si>
    <t>Kunal Shah</t>
  </si>
  <si>
    <t>Sumit Mishra</t>
  </si>
  <si>
    <t>Kavita Gupta</t>
  </si>
  <si>
    <t>Tapan Joshi</t>
  </si>
  <si>
    <t>Nikhil Menon</t>
  </si>
  <si>
    <t>Vinod Prasad</t>
  </si>
  <si>
    <t>Jyoti Pillai</t>
  </si>
  <si>
    <t>Manoj Shah</t>
  </si>
  <si>
    <t>Reena Sharma</t>
  </si>
  <si>
    <t>Sumit Rathod</t>
  </si>
  <si>
    <t>Namita Patel</t>
  </si>
  <si>
    <t>Devendra Rao</t>
  </si>
  <si>
    <t>Ravi Malhotra</t>
  </si>
  <si>
    <t>Ramesh Gupta</t>
  </si>
  <si>
    <t>Shruti Pathak</t>
  </si>
  <si>
    <t>Ramesh Solanki</t>
  </si>
  <si>
    <t>Gita Iyer</t>
  </si>
  <si>
    <t>Sanjay Patel</t>
  </si>
  <si>
    <t>Anita Desai</t>
  </si>
  <si>
    <t>Anand Chatterjee</t>
  </si>
  <si>
    <t>Bina Solanki</t>
  </si>
  <si>
    <t>Sunita Mehta</t>
  </si>
  <si>
    <t>Pankaj Arora</t>
  </si>
  <si>
    <t>Rajesh Ghosh</t>
  </si>
  <si>
    <t>Priya Sharma</t>
  </si>
  <si>
    <t>Kavita Kaur</t>
  </si>
  <si>
    <t>Vivek Deshmukh</t>
  </si>
  <si>
    <t>Pooja Patel</t>
  </si>
  <si>
    <t>Namita Gupta</t>
  </si>
  <si>
    <t>Harish Malhotra</t>
  </si>
  <si>
    <t>Pankaj Patel</t>
  </si>
  <si>
    <t>Aditya Iyer</t>
  </si>
  <si>
    <t>March</t>
  </si>
  <si>
    <t>Sachin Rao</t>
  </si>
  <si>
    <t>Monika Singh</t>
  </si>
  <si>
    <t>Deepika Kulkarni</t>
  </si>
  <si>
    <t>Neeta Kumar</t>
  </si>
  <si>
    <t>Vinod Kulkarni</t>
  </si>
  <si>
    <t>Vinod Nair</t>
  </si>
  <si>
    <t>Vinod Solanki</t>
  </si>
  <si>
    <t>Sachin Sheth</t>
  </si>
  <si>
    <t>Prashant Srivastava</t>
  </si>
  <si>
    <t>Neeta Nair</t>
  </si>
  <si>
    <t>Lalita Kaur</t>
  </si>
  <si>
    <t>Neeta Pillai</t>
  </si>
  <si>
    <t>Anand Mishra</t>
  </si>
  <si>
    <t>Rohan Menon</t>
  </si>
  <si>
    <t>Vivek Patel</t>
  </si>
  <si>
    <t>Rajesh Yadav</t>
  </si>
  <si>
    <t>Arun Ghosh</t>
  </si>
  <si>
    <t>Anita Patel</t>
  </si>
  <si>
    <t>Kunal Patel</t>
  </si>
  <si>
    <t>Ravi Kulkarni</t>
  </si>
  <si>
    <t>Neeta Mishra</t>
  </si>
  <si>
    <t>Nikhil Chaudhary</t>
  </si>
  <si>
    <t>Sanjay Menon</t>
  </si>
  <si>
    <t>Sunil Rao</t>
  </si>
  <si>
    <t>Deepika Das</t>
  </si>
  <si>
    <t>Kiran Singh</t>
  </si>
  <si>
    <t>Rohan Pathak</t>
  </si>
  <si>
    <t>Yogesh Patel</t>
  </si>
  <si>
    <t>Bhavana Bhatnagar</t>
  </si>
  <si>
    <t>Meena Verma</t>
  </si>
  <si>
    <t>Priyanka Chatterjee</t>
  </si>
  <si>
    <t>Vijay Malhotra</t>
  </si>
  <si>
    <t>Monika Chatterjee</t>
  </si>
  <si>
    <t>Ayesha Sheth</t>
  </si>
  <si>
    <t>Mala Siddiqui</t>
  </si>
  <si>
    <t>Nikhil Reddy</t>
  </si>
  <si>
    <t>Pankaj Kapoor</t>
  </si>
  <si>
    <t>Vivek Ghosh</t>
  </si>
  <si>
    <t>Mala Goyal</t>
  </si>
  <si>
    <t>Priya Mehta</t>
  </si>
  <si>
    <t>Rohan Singh</t>
  </si>
  <si>
    <t>Sneha Yadav</t>
  </si>
  <si>
    <t>Yogesh Reddy</t>
  </si>
  <si>
    <t>Kavita Siddiqui</t>
  </si>
  <si>
    <t>Rajesh Siddiqui</t>
  </si>
  <si>
    <t>Jyoti Mehta</t>
  </si>
  <si>
    <t>Lata Kaur</t>
  </si>
  <si>
    <t>Amit Sheth</t>
  </si>
  <si>
    <t>Kavita Bhatnagar</t>
  </si>
  <si>
    <t>Neeta Arora</t>
  </si>
  <si>
    <t>Jyoti Sheth</t>
  </si>
  <si>
    <t>Amit Rathod</t>
  </si>
  <si>
    <t>Anjali Chatterjee</t>
  </si>
  <si>
    <t>Harish Kapoor</t>
  </si>
  <si>
    <t>Rajesh Roy</t>
  </si>
  <si>
    <t>Sachin Iyer</t>
  </si>
  <si>
    <t>Rajesh Arora</t>
  </si>
  <si>
    <t>Sneha Teja</t>
  </si>
  <si>
    <t>Sachin Rawat</t>
  </si>
  <si>
    <t>Lata Nambiar</t>
  </si>
  <si>
    <t>Sachin Kaur</t>
  </si>
  <si>
    <t>April</t>
  </si>
  <si>
    <t>Meena Prasad</t>
  </si>
  <si>
    <t>Vinod Arora</t>
  </si>
  <si>
    <t>Navin Joshi</t>
  </si>
  <si>
    <t>Neeta Deshmukh</t>
  </si>
  <si>
    <t>Mala Kulkarni</t>
  </si>
  <si>
    <t>Sanjay Jain</t>
  </si>
  <si>
    <t>Rajesh Chatterjee</t>
  </si>
  <si>
    <t>Namita Deshmukh</t>
  </si>
  <si>
    <t>Ayesha Luthra</t>
  </si>
  <si>
    <t>Gita Dutta</t>
  </si>
  <si>
    <t>Devendra Singh</t>
  </si>
  <si>
    <t>Vivek Bhatnagar</t>
  </si>
  <si>
    <t>Krishna Chatterjee</t>
  </si>
  <si>
    <t>Shruti Menon</t>
  </si>
  <si>
    <t>Rajesh Pathak</t>
  </si>
  <si>
    <t>Umesh Teja</t>
  </si>
  <si>
    <t>Ramesh Mishra</t>
  </si>
  <si>
    <t>Lalita Thakur</t>
  </si>
  <si>
    <t>Kavita Mehta</t>
  </si>
  <si>
    <t>Pooja Pillai</t>
  </si>
  <si>
    <t>Priyanka Ghosh</t>
  </si>
  <si>
    <t>Harish Mehta</t>
  </si>
  <si>
    <t>Priyanka Pathak</t>
  </si>
  <si>
    <t>Anita Shah</t>
  </si>
  <si>
    <t>Bhavana Sheth</t>
  </si>
  <si>
    <t>Sachin Arora</t>
  </si>
  <si>
    <t>Rajesh Prasad</t>
  </si>
  <si>
    <t>Vijay Das</t>
  </si>
  <si>
    <t>Sunita Verma</t>
  </si>
  <si>
    <t>Sunita Sharma</t>
  </si>
  <si>
    <t>Amit Teja</t>
  </si>
  <si>
    <t>Monika Dutta</t>
  </si>
  <si>
    <t>Namita Kapoor</t>
  </si>
  <si>
    <t>Sunita Ahuja</t>
  </si>
  <si>
    <t>Bina Teja</t>
  </si>
  <si>
    <t>Ravi Kumar</t>
  </si>
  <si>
    <t>Sunil Singh</t>
  </si>
  <si>
    <t>Meena Pillai</t>
  </si>
  <si>
    <t>Ayesha Siddiqui</t>
  </si>
  <si>
    <t>Lata Patel</t>
  </si>
  <si>
    <t>Yogesh Mishra</t>
  </si>
  <si>
    <t>Sunita Luthra</t>
  </si>
  <si>
    <t>Prashant Deshmukh</t>
  </si>
  <si>
    <t>Ravi Reddy</t>
  </si>
  <si>
    <t>Navin Pathak</t>
  </si>
  <si>
    <t>Lalita Rathod</t>
  </si>
  <si>
    <t>Isha Kaur</t>
  </si>
  <si>
    <t>Vivek Mishra</t>
  </si>
  <si>
    <t>Monika Rathod</t>
  </si>
  <si>
    <t>Anita Kulkarni</t>
  </si>
  <si>
    <t>Priyanka Goyal</t>
  </si>
  <si>
    <t>Aditya Rao</t>
  </si>
  <si>
    <t>Rohan Goyal</t>
  </si>
  <si>
    <t>Amit Chatterjee</t>
  </si>
  <si>
    <t>May</t>
  </si>
  <si>
    <t>Bhavana Malhotra</t>
  </si>
  <si>
    <t>Tapan Luthra</t>
  </si>
  <si>
    <t>Sachin Jain</t>
  </si>
  <si>
    <t>Sumit Joshi</t>
  </si>
  <si>
    <t>Meena Malhotra</t>
  </si>
  <si>
    <t>Ravi Varma</t>
  </si>
  <si>
    <t>Tanuja Reddy</t>
  </si>
  <si>
    <t>Yogesh Malhotra</t>
  </si>
  <si>
    <t>Deepika Malhotra</t>
  </si>
  <si>
    <t>Aditya Luthra</t>
  </si>
  <si>
    <t>Navin Chaudhary</t>
  </si>
  <si>
    <t>Kunal Deshmukh</t>
  </si>
  <si>
    <t>Pankaj Srivastava</t>
  </si>
  <si>
    <t>Krishna Pillai</t>
  </si>
  <si>
    <t>Mala Mathur</t>
  </si>
  <si>
    <t>Navin Kapoor</t>
  </si>
  <si>
    <t>Manoj Kulkarni</t>
  </si>
  <si>
    <t>Kiran Siddiqui</t>
  </si>
  <si>
    <t>Jyoti Ahuja</t>
  </si>
  <si>
    <t>Umesh Kaur</t>
  </si>
  <si>
    <t>Nikhil Varma</t>
  </si>
  <si>
    <t>Namita Mehta</t>
  </si>
  <si>
    <t>Sunil Kumar</t>
  </si>
  <si>
    <t>Priya Kaur</t>
  </si>
  <si>
    <t>Sunita Nair</t>
  </si>
  <si>
    <t>Anand Kaur</t>
  </si>
  <si>
    <t>Kunal Yadav</t>
  </si>
  <si>
    <t>Rohan Sheth</t>
  </si>
  <si>
    <t>Vivek Bhattacharya</t>
  </si>
  <si>
    <t>Ravi Gupta</t>
  </si>
  <si>
    <t>Shruti Shah</t>
  </si>
  <si>
    <t>Radha Pathak</t>
  </si>
  <si>
    <t>Arun Chaudhary</t>
  </si>
  <si>
    <t>Umesh Srivastava</t>
  </si>
  <si>
    <t>Deepika Patel</t>
  </si>
  <si>
    <t>Sunil Patel</t>
  </si>
  <si>
    <t>Vivek Luthra</t>
  </si>
  <si>
    <t>Sumit Roy</t>
  </si>
  <si>
    <t>Sachin Shah</t>
  </si>
  <si>
    <t>Arun Yadav</t>
  </si>
  <si>
    <t>Meena Yadav</t>
  </si>
  <si>
    <t>Prashant Shah</t>
  </si>
  <si>
    <t>Navin Gupta</t>
  </si>
  <si>
    <t>Amit Joshi</t>
  </si>
  <si>
    <t>Prashant Chatterjee</t>
  </si>
  <si>
    <t>Jyoti Gupta</t>
  </si>
  <si>
    <t>Shruti Verma</t>
  </si>
  <si>
    <t>Amit Goyal</t>
  </si>
  <si>
    <t>Aditya Nair</t>
  </si>
  <si>
    <t>Aditya Jain</t>
  </si>
  <si>
    <t>June</t>
  </si>
  <si>
    <t>Krishna Goyal</t>
  </si>
  <si>
    <t>Sumit Teja</t>
  </si>
  <si>
    <t>Pooja Kaur</t>
  </si>
  <si>
    <t>Namita Ghosh</t>
  </si>
  <si>
    <t>Sunita Mathur</t>
  </si>
  <si>
    <t>Radha Sheth</t>
  </si>
  <si>
    <t>Aditya Kulkarni</t>
  </si>
  <si>
    <t>Reena Arora</t>
  </si>
  <si>
    <t>Yogesh Rao</t>
  </si>
  <si>
    <t>Sunil Siddiqui</t>
  </si>
  <si>
    <t>Tanuja Bhatnagar</t>
  </si>
  <si>
    <t>Harish Prasad</t>
  </si>
  <si>
    <t>Vinod Ahuja</t>
  </si>
  <si>
    <t>Pankaj Sheth</t>
  </si>
  <si>
    <t>Anand Srivastava</t>
  </si>
  <si>
    <t>Rohan Dutta</t>
  </si>
  <si>
    <t>Yogesh Kulkarni</t>
  </si>
  <si>
    <t>Rohan Mishra</t>
  </si>
  <si>
    <t>Anita Mehta</t>
  </si>
  <si>
    <t>Umesh Menon</t>
  </si>
  <si>
    <t>Deepika Gupta</t>
  </si>
  <si>
    <t>Ayesha Kaur</t>
  </si>
  <si>
    <t>Meena Das</t>
  </si>
  <si>
    <t>Nikhil Patel</t>
  </si>
  <si>
    <t>Lalita Siddiqui</t>
  </si>
  <si>
    <t>Radha Kulkarni</t>
  </si>
  <si>
    <t>Meena Kumar</t>
  </si>
  <si>
    <t>Priyanka Nambiar</t>
  </si>
  <si>
    <t>Mala Chatterjee</t>
  </si>
  <si>
    <t>Priya Patel</t>
  </si>
  <si>
    <t>Anand Thakur</t>
  </si>
  <si>
    <t>Sneha Thakur</t>
  </si>
  <si>
    <t>Bina Joshi</t>
  </si>
  <si>
    <t>Ramesh Chatterjee</t>
  </si>
  <si>
    <t>Ravi Teja</t>
  </si>
  <si>
    <t>Vijay Siddiqui</t>
  </si>
  <si>
    <t>Pooja Deshmukh</t>
  </si>
  <si>
    <t>Arun Gupta</t>
  </si>
  <si>
    <t>Meena Roy</t>
  </si>
  <si>
    <t>July</t>
  </si>
  <si>
    <t>Vinod Verma</t>
  </si>
  <si>
    <t>Pankaj Prasad</t>
  </si>
  <si>
    <t>Navin Patel</t>
  </si>
  <si>
    <t>Namita Teja</t>
  </si>
  <si>
    <t>Monika Mehta</t>
  </si>
  <si>
    <t>Ayesha Ahuja</t>
  </si>
  <si>
    <t>Ayesha Bhattacharya</t>
  </si>
  <si>
    <t>Harish Kumar</t>
  </si>
  <si>
    <t>Yogesh Desai</t>
  </si>
  <si>
    <t>Tanuja Solanki</t>
  </si>
  <si>
    <t>Namita Kumar</t>
  </si>
  <si>
    <t>Sumit Chatterjee</t>
  </si>
  <si>
    <t>Ravi Jain</t>
  </si>
  <si>
    <t>Namita Goyal</t>
  </si>
  <si>
    <t>Lalita Desai</t>
  </si>
  <si>
    <t>Ramesh Verma</t>
  </si>
  <si>
    <t>Sanjay Roy</t>
  </si>
  <si>
    <t>Ramesh Yadav</t>
  </si>
  <si>
    <t>Devendra Thakur</t>
  </si>
  <si>
    <t>Arun Rawat</t>
  </si>
  <si>
    <t>Harish Pillai</t>
  </si>
  <si>
    <t>Devendra Yadav</t>
  </si>
  <si>
    <t>Bhavana Rathod</t>
  </si>
  <si>
    <t>Lata Goyal</t>
  </si>
  <si>
    <t>Isha Luthra</t>
  </si>
  <si>
    <t>Lalita Sheth</t>
  </si>
  <si>
    <t>Prashant Verma</t>
  </si>
  <si>
    <t>Prashant Sharma</t>
  </si>
  <si>
    <t>Nikhil Arora</t>
  </si>
  <si>
    <t>Prashant Arora</t>
  </si>
  <si>
    <t>Kiran Pathak</t>
  </si>
  <si>
    <t>Lata Alva</t>
  </si>
  <si>
    <t>Arun Siddiqui</t>
  </si>
  <si>
    <t>Krishna Patel</t>
  </si>
  <si>
    <t>Ramesh Shah</t>
  </si>
  <si>
    <t>Priyanka Dutta</t>
  </si>
  <si>
    <t>Arun Shah</t>
  </si>
  <si>
    <t>Umesh Kulkarni</t>
  </si>
  <si>
    <t>Monika Rawat</t>
  </si>
  <si>
    <t>Krishna Iyer</t>
  </si>
  <si>
    <t>Lalita Rao</t>
  </si>
  <si>
    <t>Kavita Kumar</t>
  </si>
  <si>
    <t>Neeta Singh</t>
  </si>
  <si>
    <t>Namita Siddiqui</t>
  </si>
  <si>
    <t>Arun Prasad</t>
  </si>
  <si>
    <t>August</t>
  </si>
  <si>
    <t>Lalita Alva</t>
  </si>
  <si>
    <t>Jyoti Rawat</t>
  </si>
  <si>
    <t>Meena Dutta</t>
  </si>
  <si>
    <t>Tapan Rathod</t>
  </si>
  <si>
    <t>Prashant Jain</t>
  </si>
  <si>
    <t>Lata Mehta</t>
  </si>
  <si>
    <t>Kavita Nair</t>
  </si>
  <si>
    <t>Sunita Sheth</t>
  </si>
  <si>
    <t>Isha Ahuja</t>
  </si>
  <si>
    <t>Ramesh Srivastava</t>
  </si>
  <si>
    <t>Priya Siddiqui</t>
  </si>
  <si>
    <t>Shruti Kulkarni</t>
  </si>
  <si>
    <t>Reena Bhattacharya</t>
  </si>
  <si>
    <t>Radha Gupta</t>
  </si>
  <si>
    <t>Monika Bhatnagar</t>
  </si>
  <si>
    <t>Tapan Varma</t>
  </si>
  <si>
    <t>Ayesha Solanki</t>
  </si>
  <si>
    <t>Vivek Menon</t>
  </si>
  <si>
    <t>Mala Pathak</t>
  </si>
  <si>
    <t>Nikhil Ahuja</t>
  </si>
  <si>
    <t>Vivek Prasad</t>
  </si>
  <si>
    <t>Amit Das</t>
  </si>
  <si>
    <t>Pooja Menon</t>
  </si>
  <si>
    <t>Yogesh Kaur</t>
  </si>
  <si>
    <t>Anjali Varma</t>
  </si>
  <si>
    <t>Meena Desai</t>
  </si>
  <si>
    <t>Nikhil Kapoor</t>
  </si>
  <si>
    <t>Ayesha Patel</t>
  </si>
  <si>
    <t>Gita Bhattacharya</t>
  </si>
  <si>
    <t>Deepika Reddy</t>
  </si>
  <si>
    <t>Devendra Srivastava</t>
  </si>
  <si>
    <t>Krishna Alva</t>
  </si>
  <si>
    <t>Amit Rao</t>
  </si>
  <si>
    <t>Kiran Bhattacharya</t>
  </si>
  <si>
    <t>Lata Dutta</t>
  </si>
  <si>
    <t>Deepika Alva</t>
  </si>
  <si>
    <t>Anita Ghosh</t>
  </si>
  <si>
    <t>Deepika Menon</t>
  </si>
  <si>
    <t>Arun Mathur</t>
  </si>
  <si>
    <t>Deepika Solanki</t>
  </si>
  <si>
    <t>September</t>
  </si>
  <si>
    <t>Meena Menon</t>
  </si>
  <si>
    <t>Aditya Joshi</t>
  </si>
  <si>
    <t>Rohan Jain</t>
  </si>
  <si>
    <t>Lata Chatterjee</t>
  </si>
  <si>
    <t>Bhavana Ghosh</t>
  </si>
  <si>
    <t>Sunita Singh</t>
  </si>
  <si>
    <t>Prashant Gupta</t>
  </si>
  <si>
    <t>Prashant Nair</t>
  </si>
  <si>
    <t>Namita Pathak</t>
  </si>
  <si>
    <t>Rajesh Kulkarni</t>
  </si>
  <si>
    <t>Krishna Joshi</t>
  </si>
  <si>
    <t>Isha Singh</t>
  </si>
  <si>
    <t>Radha Kaur</t>
  </si>
  <si>
    <t>Rajesh Ahuja</t>
  </si>
  <si>
    <t>Kavita Rawat</t>
  </si>
  <si>
    <t>Kiran Gupta</t>
  </si>
  <si>
    <t>Lata Verma</t>
  </si>
  <si>
    <t>Rohan Thakur</t>
  </si>
  <si>
    <t>Pankaj Bhattacharya</t>
  </si>
  <si>
    <t>Lalita Nambiar</t>
  </si>
  <si>
    <t>Sunil Dutta</t>
  </si>
  <si>
    <t>Manoj Nambiar</t>
  </si>
  <si>
    <t>Deepika Iyer</t>
  </si>
  <si>
    <t>Mala Thakur</t>
  </si>
  <si>
    <t>Gita Mehta</t>
  </si>
  <si>
    <t>Pankaj Pathak</t>
  </si>
  <si>
    <t>Manoj Kaur</t>
  </si>
  <si>
    <t>Manoj Sharma</t>
  </si>
  <si>
    <t>Anjali Chaudhary</t>
  </si>
  <si>
    <t>Lata Reddy</t>
  </si>
  <si>
    <t>Vivek Mathur</t>
  </si>
  <si>
    <t>Umesh Varma</t>
  </si>
  <si>
    <t>Prashant Das</t>
  </si>
  <si>
    <t>Arun Kumar</t>
  </si>
  <si>
    <t>Pankaj Teja</t>
  </si>
  <si>
    <t>Kavita Ahuja</t>
  </si>
  <si>
    <t>Lalita Bhatnagar</t>
  </si>
  <si>
    <t>Sanjay Ghosh</t>
  </si>
  <si>
    <t>Radha Nair</t>
  </si>
  <si>
    <t>Anita Dutta</t>
  </si>
  <si>
    <t>Anita Mishra</t>
  </si>
  <si>
    <t>Priya Reddy</t>
  </si>
  <si>
    <t>Sumit Nambiar</t>
  </si>
  <si>
    <t>Harish Sharma</t>
  </si>
  <si>
    <t>Sumit Dutta</t>
  </si>
  <si>
    <t>Pooja Sharma</t>
  </si>
  <si>
    <t>Umesh Bhattacharya</t>
  </si>
  <si>
    <t>Lata Mathur</t>
  </si>
  <si>
    <t>Bina Mathur</t>
  </si>
  <si>
    <t>Sunil Chaudhary</t>
  </si>
  <si>
    <t>Isha Arora</t>
  </si>
  <si>
    <t>Bhavana Luthra</t>
  </si>
  <si>
    <t>Kiran Nair</t>
  </si>
  <si>
    <t>Pankaj Nambiar</t>
  </si>
  <si>
    <t>Sneha Malhotra</t>
  </si>
  <si>
    <t>Namita Nambiar</t>
  </si>
  <si>
    <t>Nikhil Deshmukh</t>
  </si>
  <si>
    <t>Neeta Solanki</t>
  </si>
  <si>
    <t>Anita Kumar</t>
  </si>
  <si>
    <t>Deepika Prasad</t>
  </si>
  <si>
    <t>Reena Patel</t>
  </si>
  <si>
    <t>Radha Kapoor</t>
  </si>
  <si>
    <t>Priya Mathur</t>
  </si>
  <si>
    <t>Neeta Desai</t>
  </si>
  <si>
    <t>Ayesha Roy</t>
  </si>
  <si>
    <t>Lalita Luthra</t>
  </si>
  <si>
    <t>Anita Joshi</t>
  </si>
  <si>
    <t>Anita Pillai</t>
  </si>
  <si>
    <t>Kiran Chaudhary</t>
  </si>
  <si>
    <t>Umesh Nair</t>
  </si>
  <si>
    <t>Radha Bhatnagar</t>
  </si>
  <si>
    <t>Sneha Ghosh</t>
  </si>
  <si>
    <t>Monika Mathur</t>
  </si>
  <si>
    <t>Sunil Menon</t>
  </si>
  <si>
    <t>Radha Solanki</t>
  </si>
  <si>
    <t>Anand Yadav</t>
  </si>
  <si>
    <t>Tapan Siddiqui</t>
  </si>
  <si>
    <t>Rajesh Nambiar</t>
  </si>
  <si>
    <t>Ravi Siddiqui</t>
  </si>
  <si>
    <t>Anjali Desai</t>
  </si>
  <si>
    <t>Vijay Solanki</t>
  </si>
  <si>
    <t>Namita Malhotra</t>
  </si>
  <si>
    <t>Priyanka Patel</t>
  </si>
  <si>
    <t>Sunil Iyer</t>
  </si>
  <si>
    <t>Harish Patel</t>
  </si>
  <si>
    <t>Vijay Patel</t>
  </si>
  <si>
    <t>Tapan Kumar</t>
  </si>
  <si>
    <t>Neeta Mathur</t>
  </si>
  <si>
    <t>Kavita Singh</t>
  </si>
  <si>
    <t>Sunita Das</t>
  </si>
  <si>
    <t>Sneha Menon</t>
  </si>
  <si>
    <t>Bhavana Teja</t>
  </si>
  <si>
    <t>Ayesha Singh</t>
  </si>
  <si>
    <t>Sanjay Malhotra</t>
  </si>
  <si>
    <t>Monika Goyal</t>
  </si>
  <si>
    <t>Sachin Nambiar</t>
  </si>
  <si>
    <t>Vijay Singh</t>
  </si>
  <si>
    <t>Arun Nair</t>
  </si>
  <si>
    <t>Anita Mathur</t>
  </si>
  <si>
    <t>Radha Varma</t>
  </si>
  <si>
    <t>Amit Ahuja</t>
  </si>
  <si>
    <t>Shruti Mehta</t>
  </si>
  <si>
    <t>Manoj Gupta</t>
  </si>
  <si>
    <t>Ravi Prasad</t>
  </si>
  <si>
    <t>Manoj Kapoor</t>
  </si>
  <si>
    <t>Kavita Kapoor</t>
  </si>
  <si>
    <t>Sachin Ghosh</t>
  </si>
  <si>
    <t>Prashant Roy</t>
  </si>
  <si>
    <t>Anita Malhotra</t>
  </si>
  <si>
    <t>Meena Srivastava</t>
  </si>
  <si>
    <t>Mala Dutta</t>
  </si>
  <si>
    <t>Ramesh Varma</t>
  </si>
  <si>
    <t>Reena Kulkarni</t>
  </si>
  <si>
    <t>Sunita Iyer</t>
  </si>
  <si>
    <t>Priya Thakur</t>
  </si>
  <si>
    <t>Sanjay Srivastava</t>
  </si>
  <si>
    <t>Meena Sheth</t>
  </si>
  <si>
    <t>Rohan Deshmukh</t>
  </si>
  <si>
    <t>Rajesh Chaudhary</t>
  </si>
  <si>
    <t>Meena Rathod</t>
  </si>
  <si>
    <t>Devendra Menon</t>
  </si>
  <si>
    <t>Lata Joshi</t>
  </si>
  <si>
    <t>Vivek Shah</t>
  </si>
  <si>
    <t>Vivek Nambiar</t>
  </si>
  <si>
    <t>Amit Pillai</t>
  </si>
  <si>
    <t>Lalita Verma</t>
  </si>
  <si>
    <t>Aditya Sheth</t>
  </si>
  <si>
    <t>Shruti Teja</t>
  </si>
  <si>
    <t>Tanuja Gupta</t>
  </si>
  <si>
    <t>Sachin Chaudhary</t>
  </si>
  <si>
    <t>Shruti Ahuja</t>
  </si>
  <si>
    <t>Bina Das</t>
  </si>
  <si>
    <t>Vijay Rao</t>
  </si>
  <si>
    <t>Sachin Singh</t>
  </si>
  <si>
    <t>Lata Rathod</t>
  </si>
  <si>
    <t>Isha Reddy</t>
  </si>
  <si>
    <t>Harish Joshi</t>
  </si>
  <si>
    <t>Rohan Shah</t>
  </si>
  <si>
    <t>Arun Mehta</t>
  </si>
  <si>
    <t>Shruti Joshi</t>
  </si>
  <si>
    <t>Prashant Mathur</t>
  </si>
  <si>
    <t>Jyoti Srivastava</t>
  </si>
  <si>
    <t>Bina Kumar</t>
  </si>
  <si>
    <t>Anita Luthra</t>
  </si>
  <si>
    <t>Pankaj Mishra</t>
  </si>
  <si>
    <t>Manoj Goyal</t>
  </si>
  <si>
    <t>Arun Desai</t>
  </si>
  <si>
    <t>Tapan Nair</t>
  </si>
  <si>
    <t>Manoj Patel</t>
  </si>
  <si>
    <t>Tanuja Teja</t>
  </si>
  <si>
    <t>Prashant Ghosh</t>
  </si>
  <si>
    <t>Ayesha Dutta</t>
  </si>
  <si>
    <t>Mala Arora</t>
  </si>
  <si>
    <t>Priyanka Roy</t>
  </si>
  <si>
    <t>Tapan Kulkarni</t>
  </si>
  <si>
    <t>Reena Sheth</t>
  </si>
  <si>
    <t>Anjali Alva</t>
  </si>
  <si>
    <t>Nikhil Luthra</t>
  </si>
  <si>
    <t>Arun Kaur</t>
  </si>
  <si>
    <t>Bina Bhattacharya</t>
  </si>
  <si>
    <t>Bina Jain</t>
  </si>
  <si>
    <t>Sunil Sheth</t>
  </si>
  <si>
    <t>Devendra Luthra</t>
  </si>
  <si>
    <t>Vivek Rathod</t>
  </si>
  <si>
    <t>Sanjay Pillai</t>
  </si>
  <si>
    <t>Priya Dutta</t>
  </si>
  <si>
    <t>Ravi Thakur</t>
  </si>
  <si>
    <t>Rohan Nambiar</t>
  </si>
  <si>
    <t>Bhavana Reddy</t>
  </si>
  <si>
    <t>Gita Rao</t>
  </si>
  <si>
    <t>Deepika Dutta</t>
  </si>
  <si>
    <t>Vivek Pathak</t>
  </si>
  <si>
    <t>Aditya Mishra</t>
  </si>
  <si>
    <t>Yogesh Siddiqui</t>
  </si>
  <si>
    <t>Shruti Sheth</t>
  </si>
  <si>
    <t>Monika Solanki</t>
  </si>
  <si>
    <t>Priyanka Yadav</t>
  </si>
  <si>
    <t>Isha Gupta</t>
  </si>
  <si>
    <t>Sunil Arora</t>
  </si>
  <si>
    <t>Jyoti Jain</t>
  </si>
  <si>
    <t>Pooja Srivastava</t>
  </si>
  <si>
    <t>Pankaj Luthra</t>
  </si>
  <si>
    <t>Meena Chatterjee</t>
  </si>
  <si>
    <t>Anjali Kulkarni</t>
  </si>
  <si>
    <t>Monika Patel</t>
  </si>
  <si>
    <t>Reena Srivastava</t>
  </si>
  <si>
    <t>Sneha Deshmukh</t>
  </si>
  <si>
    <t>Anjali Jain</t>
  </si>
  <si>
    <t>Shruti Alva</t>
  </si>
  <si>
    <t>Pooja Ahuja</t>
  </si>
  <si>
    <t>Manoj Chatterjee</t>
  </si>
  <si>
    <t>Priyanka Teja</t>
  </si>
  <si>
    <t>Rohan Kapoor</t>
  </si>
  <si>
    <t>Shruti Roy</t>
  </si>
  <si>
    <t>Jyoti Ghosh</t>
  </si>
  <si>
    <t>Umesh Chaudhary</t>
  </si>
  <si>
    <t>Anjali Das</t>
  </si>
  <si>
    <t>Reena Goyal</t>
  </si>
  <si>
    <t>Tapan Patel</t>
  </si>
  <si>
    <t>Tanuja Roy</t>
  </si>
  <si>
    <t>Navin Nair</t>
  </si>
  <si>
    <t>Pankaj Mathur</t>
  </si>
  <si>
    <t>Kiran Srivastava</t>
  </si>
  <si>
    <t>Harish Thakur</t>
  </si>
  <si>
    <t>Ramesh Sharma</t>
  </si>
  <si>
    <t>Bina Patel</t>
  </si>
  <si>
    <t>Ravi Kaur</t>
  </si>
  <si>
    <t>Yogesh Menon</t>
  </si>
  <si>
    <t>Kiran Patel</t>
  </si>
  <si>
    <t>Ravi Solanki</t>
  </si>
  <si>
    <t>Rajesh Mishra</t>
  </si>
  <si>
    <t>Anjali Rao</t>
  </si>
  <si>
    <t>Sunil Reddy</t>
  </si>
  <si>
    <t>Kiran Deshmukh</t>
  </si>
  <si>
    <t>Monika Kumar</t>
  </si>
  <si>
    <t>Pooja Pathak</t>
  </si>
  <si>
    <t>Krishna Rao</t>
  </si>
  <si>
    <t>Lata Kumar</t>
  </si>
  <si>
    <t>Umesh Patel</t>
  </si>
  <si>
    <t>Namita Rao</t>
  </si>
  <si>
    <t>Priya Prasad</t>
  </si>
  <si>
    <t>Nikhil Yadav</t>
  </si>
  <si>
    <t>Aditya Prasad</t>
  </si>
  <si>
    <t>Kiran Joshi</t>
  </si>
  <si>
    <t>Amit Patel</t>
  </si>
  <si>
    <t>Vijay Bhattacharya</t>
  </si>
  <si>
    <t>Namita Varma</t>
  </si>
  <si>
    <t>Sumit Solanki</t>
  </si>
  <si>
    <t>Radha Kumar</t>
  </si>
  <si>
    <t>Isha Yadav</t>
  </si>
  <si>
    <t>Lata Bhattacharya</t>
  </si>
  <si>
    <t>Vijay Mishra</t>
  </si>
  <si>
    <t>Jyoti Reddy</t>
  </si>
  <si>
    <t>Sachin Kulkarni</t>
  </si>
  <si>
    <t>Bina Roy</t>
  </si>
  <si>
    <t>Sachin Malhotra</t>
  </si>
  <si>
    <t>Mala Pillai</t>
  </si>
  <si>
    <t>Aditya Siddiqui</t>
  </si>
  <si>
    <t>Mala Srivastava</t>
  </si>
  <si>
    <t>Anand Arora</t>
  </si>
  <si>
    <t>Sachin Prasad</t>
  </si>
  <si>
    <t>Kunal Singh</t>
  </si>
  <si>
    <t>Krishna Bhatnagar</t>
  </si>
  <si>
    <t>Reena Menon</t>
  </si>
  <si>
    <t>Rohan Rao</t>
  </si>
  <si>
    <t>Radha Dutta</t>
  </si>
  <si>
    <t>Vinod Srivastava</t>
  </si>
  <si>
    <t>Rajesh Desai</t>
  </si>
  <si>
    <t>Krishna Ahuja</t>
  </si>
  <si>
    <t>Pankaj Deshmukh</t>
  </si>
  <si>
    <t>Krishna Reddy</t>
  </si>
  <si>
    <t>Shruti Deshmukh</t>
  </si>
  <si>
    <t>Navin Kaur</t>
  </si>
  <si>
    <t>Ayesha Arora</t>
  </si>
  <si>
    <t>Kiran Mishra</t>
  </si>
  <si>
    <t>Vijay Chatterjee</t>
  </si>
  <si>
    <t>Deepika Pathak</t>
  </si>
  <si>
    <t>Aditya Singh</t>
  </si>
  <si>
    <t>Prashant Mishra</t>
  </si>
  <si>
    <t>Vinod Sharma</t>
  </si>
  <si>
    <t>Neeta Prasad</t>
  </si>
  <si>
    <t>Rajesh Singh</t>
  </si>
  <si>
    <t>Umesh Kumar</t>
  </si>
  <si>
    <t>Rajesh Mathur</t>
  </si>
  <si>
    <t>Arun Jain</t>
  </si>
  <si>
    <t>Sunil Malhotra</t>
  </si>
  <si>
    <t>Jyoti Menon</t>
  </si>
  <si>
    <t>Umesh Reddy</t>
  </si>
  <si>
    <t>Gita Kulkarni</t>
  </si>
  <si>
    <t>Pankaj Roy</t>
  </si>
  <si>
    <t>Pankaj Verma</t>
  </si>
  <si>
    <t>Neeta Patel</t>
  </si>
  <si>
    <t>Tanuja Srivastava</t>
  </si>
  <si>
    <t>Ayesha Rathod</t>
  </si>
  <si>
    <t>Pooja Chatterjee</t>
  </si>
  <si>
    <t>Sumit Goyal</t>
  </si>
  <si>
    <t>Sneha Kaur</t>
  </si>
  <si>
    <t>Aditya Alva</t>
  </si>
  <si>
    <t>Tanuja Malhotra</t>
  </si>
  <si>
    <t>Mala Menon</t>
  </si>
  <si>
    <t>Priya Ahuja</t>
  </si>
  <si>
    <t>Priyanka Joshi</t>
  </si>
  <si>
    <t>Sunita Prasad</t>
  </si>
  <si>
    <t>Meena Kaur</t>
  </si>
  <si>
    <t>Vivek Sharma</t>
  </si>
  <si>
    <t>Yogesh Bhattacharya</t>
  </si>
  <si>
    <t>Isha Sheth</t>
  </si>
  <si>
    <t>Rohan Roy</t>
  </si>
  <si>
    <t>Sanjay Thakur</t>
  </si>
  <si>
    <t>Yogesh Pathak</t>
  </si>
  <si>
    <t>Priyanka Verma</t>
  </si>
  <si>
    <t>Arun Teja</t>
  </si>
  <si>
    <t>Rohan Patel</t>
  </si>
  <si>
    <t>Vivek Kaur</t>
  </si>
  <si>
    <t>Tanuja Bhattacharya</t>
  </si>
  <si>
    <t>Anand Rao</t>
  </si>
  <si>
    <t>Total unit sold</t>
  </si>
  <si>
    <t>total sales</t>
  </si>
  <si>
    <t>total sales generated in delhi</t>
  </si>
  <si>
    <t>total sales for samsung</t>
  </si>
  <si>
    <t>total unit sold for apple</t>
  </si>
  <si>
    <t>total sales where payment method is upi</t>
  </si>
  <si>
    <t>total sales of sumsang in delhi</t>
  </si>
  <si>
    <t>total units sold of Apple paid through Credit Card.</t>
  </si>
  <si>
    <t>total sales of Vivo in Mumbai.</t>
  </si>
  <si>
    <t>count total transaction</t>
  </si>
  <si>
    <t>count customer ages</t>
  </si>
  <si>
    <t>count total rating</t>
  </si>
  <si>
    <t>count samsung transaction</t>
  </si>
  <si>
    <t>count customers from delhi</t>
  </si>
  <si>
    <t>count transaction via upi</t>
  </si>
  <si>
    <t>Count Samsung transactions in Delhi</t>
  </si>
  <si>
    <t xml:space="preserve"> Count Apple transactions paid by Credit Card.</t>
  </si>
  <si>
    <t>Count Vivo transac=ons in Mumbai</t>
  </si>
  <si>
    <t>average customer age.</t>
  </si>
  <si>
    <t>average units sold</t>
  </si>
  <si>
    <t>average total sale value.</t>
  </si>
  <si>
    <t>average sales of Samsung.</t>
  </si>
  <si>
    <t>average units sold in Delhi.</t>
  </si>
  <si>
    <t>average customer age for Apple customers.</t>
  </si>
  <si>
    <t>Rating</t>
  </si>
  <si>
    <t>Retrieve the Brand from the 50th Row</t>
  </si>
  <si>
    <t>Retrieve the Mobile Model from the 100th row.</t>
  </si>
  <si>
    <t>Total Sale of Mobile Model "iPhone 12".</t>
  </si>
  <si>
    <t>CustomerID</t>
  </si>
  <si>
    <t>Sales rating</t>
  </si>
  <si>
    <t>Row Labels</t>
  </si>
  <si>
    <t>Grand Total</t>
  </si>
  <si>
    <t>Column Labels</t>
  </si>
  <si>
    <t>Sum of Total Sale</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</si>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</sst>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dddd"/>
  </numFmts>
  <fonts count="3">
    <font>
      <sz val="11"/>
      <color theme="1"/>
      <name val="Aptos Narrow"/>
      <family val="2"/>
      <scheme val="minor"/>
    </font>
    <font>
      <b/>
      <sz val="11"/>
      <color theme="1"/>
      <name val="Aptos Narrow"/>
      <family val="2"/>
      <scheme val="minor"/>
    </font>
    <font>
      <b/>
      <sz val="11"/>
      <color theme="1"/>
      <name val="Aptos Narrow"/>
      <scheme val="minor"/>
    </font>
  </fonts>
  <fills count="5">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theme="0"/>
        <bgColor indexed="64"/>
      </patternFill>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14" fontId="0" fillId="0" borderId="0" xfId="0" applyNumberFormat="1" applyAlignment="1">
      <alignment horizontal="center" vertical="center"/>
    </xf>
    <xf numFmtId="165" fontId="0" fillId="0" borderId="0" xfId="0" applyNumberFormat="1" applyAlignment="1">
      <alignment horizontal="center" vertical="center"/>
    </xf>
    <xf numFmtId="49" fontId="0" fillId="0" borderId="0" xfId="0" applyNumberFormat="1"/>
    <xf numFmtId="0" fontId="0" fillId="0" borderId="0" xfId="0" applyAlignment="1">
      <alignment horizontal="center"/>
    </xf>
    <xf numFmtId="14" fontId="0" fillId="0" borderId="0" xfId="0" applyNumberFormat="1"/>
    <xf numFmtId="0" fontId="1" fillId="0" borderId="0" xfId="0" applyFont="1" applyAlignment="1">
      <alignment horizontal="center" vertical="top"/>
    </xf>
    <xf numFmtId="164" fontId="1" fillId="0" borderId="0" xfId="0" applyNumberFormat="1" applyFont="1" applyAlignment="1">
      <alignment horizontal="center" vertical="top"/>
    </xf>
    <xf numFmtId="14" fontId="1" fillId="0" borderId="0" xfId="0" applyNumberFormat="1" applyFont="1" applyAlignment="1">
      <alignment horizontal="center" vertical="top"/>
    </xf>
    <xf numFmtId="0" fontId="1" fillId="0" borderId="0" xfId="0" applyFont="1" applyAlignment="1">
      <alignment horizontal="left" vertical="top"/>
    </xf>
    <xf numFmtId="0" fontId="1" fillId="0" borderId="0" xfId="0" applyFont="1"/>
    <xf numFmtId="2" fontId="0" fillId="0" borderId="0" xfId="0" applyNumberFormat="1"/>
    <xf numFmtId="0" fontId="0" fillId="0" borderId="1" xfId="0" applyBorder="1"/>
    <xf numFmtId="0" fontId="0" fillId="0" borderId="2" xfId="0" applyBorder="1"/>
    <xf numFmtId="2" fontId="0" fillId="0" borderId="1"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2" fontId="0" fillId="0" borderId="5" xfId="0" applyNumberFormat="1" applyBorder="1"/>
    <xf numFmtId="2" fontId="0" fillId="0" borderId="3" xfId="0" applyNumberFormat="1" applyBorder="1"/>
    <xf numFmtId="0" fontId="2" fillId="0" borderId="0" xfId="0" applyFont="1"/>
    <xf numFmtId="0" fontId="0" fillId="2" borderId="0" xfId="0" applyFill="1"/>
    <xf numFmtId="0" fontId="0" fillId="3" borderId="0" xfId="0" applyFill="1"/>
    <xf numFmtId="0" fontId="0" fillId="4" borderId="0" xfId="0"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88381697043117"/>
          <c:y val="0.21732167328641441"/>
          <c:w val="0.55826290463692041"/>
          <c:h val="0.63953922426363374"/>
        </c:manualLayout>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5"/>
              <c:pt idx="0">
                <c:v>Apple</c:v>
              </c:pt>
              <c:pt idx="1">
                <c:v>OnePlus</c:v>
              </c:pt>
              <c:pt idx="2">
                <c:v>Samsung</c:v>
              </c:pt>
              <c:pt idx="3">
                <c:v>Vivo</c:v>
              </c:pt>
              <c:pt idx="4">
                <c:v>Xiaomi</c:v>
              </c:pt>
            </c:strLit>
          </c:cat>
          <c:val>
            <c:numLit>
              <c:formatCode>General</c:formatCode>
              <c:ptCount val="5"/>
              <c:pt idx="0">
                <c:v>3932</c:v>
              </c:pt>
              <c:pt idx="1">
                <c:v>3830</c:v>
              </c:pt>
              <c:pt idx="2">
                <c:v>3923</c:v>
              </c:pt>
              <c:pt idx="3">
                <c:v>3801</c:v>
              </c:pt>
              <c:pt idx="4">
                <c:v>3664</c:v>
              </c:pt>
            </c:numLit>
          </c:val>
        </c:ser>
        <c:dLbls>
          <c:dLblPos val="inEnd"/>
          <c:showLegendKey val="0"/>
          <c:showVal val="1"/>
          <c:showCatName val="0"/>
          <c:showSerName val="0"/>
          <c:showPercent val="0"/>
          <c:showBubbleSize val="0"/>
        </c:dLbls>
        <c:gapWidth val="182"/>
        <c:overlap val="-50"/>
        <c:axId val="397396472"/>
        <c:axId val="397396864"/>
      </c:barChart>
      <c:catAx>
        <c:axId val="3973964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7396864"/>
        <c:crosses val="autoZero"/>
        <c:auto val="1"/>
        <c:lblAlgn val="ctr"/>
        <c:lblOffset val="100"/>
        <c:noMultiLvlLbl val="0"/>
      </c:catAx>
      <c:valAx>
        <c:axId val="39739686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7396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85000"/>
        <a:lumOff val="15000"/>
        <a:alpha val="96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566970503468153"/>
          <c:y val="8.15331756999762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582027472717226"/>
          <c:y val="0.18991264151682533"/>
          <c:w val="0.6673446686064417"/>
          <c:h val="0.61049792245357082"/>
        </c:manualLayout>
      </c:layout>
      <c:barChart>
        <c:barDir val="bar"/>
        <c:grouping val="clustered"/>
        <c:varyColors val="0"/>
        <c:ser>
          <c:idx val="0"/>
          <c:order val="0"/>
          <c:tx>
            <c:v>Adult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290</c:v>
              </c:pt>
              <c:pt idx="1">
                <c:v>292</c:v>
              </c:pt>
              <c:pt idx="2">
                <c:v>268</c:v>
              </c:pt>
              <c:pt idx="3">
                <c:v>277</c:v>
              </c:pt>
              <c:pt idx="4">
                <c:v>251</c:v>
              </c:pt>
              <c:pt idx="5">
                <c:v>0</c:v>
              </c:pt>
            </c:numLit>
          </c:val>
        </c:ser>
        <c:ser>
          <c:idx val="1"/>
          <c:order val="1"/>
          <c:tx>
            <c:v>Senior Citezen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243</c:v>
              </c:pt>
              <c:pt idx="1">
                <c:v>247</c:v>
              </c:pt>
              <c:pt idx="2">
                <c:v>251</c:v>
              </c:pt>
              <c:pt idx="3">
                <c:v>253</c:v>
              </c:pt>
              <c:pt idx="4">
                <c:v>230</c:v>
              </c:pt>
              <c:pt idx="5">
                <c:v>0</c:v>
              </c:pt>
            </c:numLit>
          </c:val>
        </c:ser>
        <c:ser>
          <c:idx val="2"/>
          <c:order val="2"/>
          <c:tx>
            <c:v>Teenagers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250</c:v>
              </c:pt>
              <c:pt idx="1">
                <c:v>229</c:v>
              </c:pt>
              <c:pt idx="2">
                <c:v>256</c:v>
              </c:pt>
              <c:pt idx="3">
                <c:v>236</c:v>
              </c:pt>
              <c:pt idx="4">
                <c:v>262</c:v>
              </c:pt>
              <c:pt idx="5">
                <c:v>0</c:v>
              </c:pt>
            </c:numLit>
          </c:val>
        </c:ser>
        <c:ser>
          <c:idx val="3"/>
          <c:order val="3"/>
          <c:tx>
            <c:v>(blank)</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0</c:v>
              </c:pt>
              <c:pt idx="1">
                <c:v>0</c:v>
              </c:pt>
              <c:pt idx="2">
                <c:v>0</c:v>
              </c:pt>
              <c:pt idx="3">
                <c:v>0</c:v>
              </c:pt>
              <c:pt idx="4">
                <c:v>0</c:v>
              </c:pt>
              <c:pt idx="5">
                <c:v>0</c:v>
              </c:pt>
            </c:numLit>
          </c:val>
        </c:ser>
        <c:dLbls>
          <c:showLegendKey val="0"/>
          <c:showVal val="0"/>
          <c:showCatName val="0"/>
          <c:showSerName val="0"/>
          <c:showPercent val="0"/>
          <c:showBubbleSize val="0"/>
        </c:dLbls>
        <c:gapWidth val="115"/>
        <c:overlap val="-20"/>
        <c:axId val="397389808"/>
        <c:axId val="397390592"/>
      </c:barChart>
      <c:catAx>
        <c:axId val="397389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7390592"/>
        <c:crosses val="autoZero"/>
        <c:auto val="1"/>
        <c:lblAlgn val="ctr"/>
        <c:lblOffset val="100"/>
        <c:noMultiLvlLbl val="0"/>
      </c:catAx>
      <c:valAx>
        <c:axId val="397390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73898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05971128608923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00087489063868"/>
          <c:y val="0.24481262758821817"/>
          <c:w val="0.65891557305336834"/>
          <c:h val="0.54796733741615633"/>
        </c:manualLayout>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5"/>
              <c:pt idx="0">
                <c:v>Apple</c:v>
              </c:pt>
              <c:pt idx="1">
                <c:v>OnePlus</c:v>
              </c:pt>
              <c:pt idx="2">
                <c:v>Samsung</c:v>
              </c:pt>
              <c:pt idx="3">
                <c:v>Vivo</c:v>
              </c:pt>
              <c:pt idx="4">
                <c:v>Xiaomi</c:v>
              </c:pt>
            </c:strLit>
          </c:cat>
          <c:val>
            <c:numLit>
              <c:formatCode>General</c:formatCode>
              <c:ptCount val="5"/>
              <c:pt idx="0">
                <c:v>32100621.280000001</c:v>
              </c:pt>
              <c:pt idx="1">
                <c:v>30752041.219999999</c:v>
              </c:pt>
              <c:pt idx="2">
                <c:v>31266513.52</c:v>
              </c:pt>
              <c:pt idx="3">
                <c:v>30207858.030000001</c:v>
              </c:pt>
              <c:pt idx="4">
                <c:v>29510297.140000001</c:v>
              </c:pt>
            </c:numLit>
          </c:val>
          <c:smooth val="0"/>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397390200"/>
        <c:axId val="397394120"/>
      </c:lineChart>
      <c:catAx>
        <c:axId val="3973902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a:p>
                <a:pPr>
                  <a:defRPr/>
                </a:pPr>
                <a:r>
                  <a:rPr lang="en-US"/>
                  <a:t>Brand</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7394120"/>
        <c:crosses val="autoZero"/>
        <c:auto val="1"/>
        <c:lblAlgn val="ctr"/>
        <c:lblOffset val="100"/>
        <c:noMultiLvlLbl val="0"/>
      </c:catAx>
      <c:valAx>
        <c:axId val="397394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 of price per unit by brand</a:t>
                </a:r>
              </a:p>
              <a:p>
                <a:pPr>
                  <a:defRPr/>
                </a:pPr>
                <a:endParaRPr lang="en-US"/>
              </a:p>
            </c:rich>
          </c:tx>
          <c:layout>
            <c:manualLayout>
              <c:xMode val="edge"/>
              <c:yMode val="edge"/>
              <c:x val="1.3888888888888888E-2"/>
              <c:y val="0.1383311461067366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7390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Lit>
              <c:ptCount val="6"/>
              <c:pt idx="0">
                <c:v>Apple</c:v>
              </c:pt>
              <c:pt idx="1">
                <c:v>OnePlus</c:v>
              </c:pt>
              <c:pt idx="2">
                <c:v>Samsung</c:v>
              </c:pt>
              <c:pt idx="3">
                <c:v>Vivo</c:v>
              </c:pt>
              <c:pt idx="4">
                <c:v>Xiaomi</c:v>
              </c:pt>
              <c:pt idx="5">
                <c:v>(blank)</c:v>
              </c:pt>
            </c:strLit>
          </c:cat>
          <c:val>
            <c:numLit>
              <c:formatCode>General</c:formatCode>
              <c:ptCount val="6"/>
              <c:pt idx="0">
                <c:v>783</c:v>
              </c:pt>
              <c:pt idx="1">
                <c:v>768</c:v>
              </c:pt>
              <c:pt idx="2">
                <c:v>775</c:v>
              </c:pt>
              <c:pt idx="3">
                <c:v>766</c:v>
              </c:pt>
              <c:pt idx="4">
                <c:v>743</c:v>
              </c:pt>
              <c:pt idx="5">
                <c:v>0</c:v>
              </c:pt>
            </c:numLit>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12804581245526128"/>
          <c:y val="0.17648655986967146"/>
          <c:w val="0.72619661178716299"/>
          <c:h val="0.62100807148322756"/>
        </c:manualLayout>
      </c:layout>
      <c:barChart>
        <c:barDir val="col"/>
        <c:grouping val="clustered"/>
        <c:varyColors val="0"/>
        <c:ser>
          <c:idx val="0"/>
          <c:order val="0"/>
          <c:tx>
            <c:v>AVG</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144</c:v>
              </c:pt>
              <c:pt idx="1">
                <c:v>126</c:v>
              </c:pt>
              <c:pt idx="2">
                <c:v>124</c:v>
              </c:pt>
              <c:pt idx="3">
                <c:v>114</c:v>
              </c:pt>
              <c:pt idx="4">
                <c:v>144</c:v>
              </c:pt>
              <c:pt idx="5">
                <c:v>0</c:v>
              </c:pt>
            </c:numLit>
          </c:val>
        </c:ser>
        <c:ser>
          <c:idx val="1"/>
          <c:order val="1"/>
          <c:tx>
            <c:v>BAD</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166</c:v>
              </c:pt>
              <c:pt idx="1">
                <c:v>175</c:v>
              </c:pt>
              <c:pt idx="2">
                <c:v>172</c:v>
              </c:pt>
              <c:pt idx="3">
                <c:v>191</c:v>
              </c:pt>
              <c:pt idx="4">
                <c:v>148</c:v>
              </c:pt>
              <c:pt idx="5">
                <c:v>0</c:v>
              </c:pt>
            </c:numLit>
          </c:val>
        </c:ser>
        <c:ser>
          <c:idx val="2"/>
          <c:order val="2"/>
          <c:tx>
            <c:v>Good</c:v>
          </c:tx>
          <c:spPr>
            <a:noFill/>
            <a:ln w="9525" cap="flat" cmpd="sng" algn="ctr">
              <a:solidFill>
                <a:schemeClr val="accent3"/>
              </a:solidFill>
              <a:miter lim="800000"/>
            </a:ln>
            <a:effectLst>
              <a:glow rad="63500">
                <a:schemeClr val="accent3">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473</c:v>
              </c:pt>
              <c:pt idx="1">
                <c:v>467</c:v>
              </c:pt>
              <c:pt idx="2">
                <c:v>479</c:v>
              </c:pt>
              <c:pt idx="3">
                <c:v>461</c:v>
              </c:pt>
              <c:pt idx="4">
                <c:v>451</c:v>
              </c:pt>
              <c:pt idx="5">
                <c:v>0</c:v>
              </c:pt>
            </c:numLit>
          </c:val>
        </c:ser>
        <c:ser>
          <c:idx val="3"/>
          <c:order val="3"/>
          <c:tx>
            <c:v>(blank)</c:v>
          </c:tx>
          <c:spPr>
            <a:noFill/>
            <a:ln w="9525" cap="flat" cmpd="sng" algn="ctr">
              <a:solidFill>
                <a:schemeClr val="accent4"/>
              </a:solidFill>
              <a:miter lim="800000"/>
            </a:ln>
            <a:effectLst>
              <a:glow rad="63500">
                <a:schemeClr val="accent4">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0</c:v>
              </c:pt>
              <c:pt idx="1">
                <c:v>0</c:v>
              </c:pt>
              <c:pt idx="2">
                <c:v>0</c:v>
              </c:pt>
              <c:pt idx="3">
                <c:v>0</c:v>
              </c:pt>
              <c:pt idx="4">
                <c:v>0</c:v>
              </c:pt>
              <c:pt idx="5">
                <c:v>0</c:v>
              </c:pt>
            </c:numLit>
          </c:val>
        </c:ser>
        <c:dLbls>
          <c:showLegendKey val="0"/>
          <c:showVal val="0"/>
          <c:showCatName val="0"/>
          <c:showSerName val="0"/>
          <c:showPercent val="0"/>
          <c:showBubbleSize val="0"/>
        </c:dLbls>
        <c:gapWidth val="315"/>
        <c:overlap val="-40"/>
        <c:axId val="472548808"/>
        <c:axId val="472549200"/>
      </c:barChart>
      <c:catAx>
        <c:axId val="4725488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549200"/>
        <c:crosses val="autoZero"/>
        <c:auto val="1"/>
        <c:lblAlgn val="ctr"/>
        <c:lblOffset val="100"/>
        <c:noMultiLvlLbl val="0"/>
      </c:catAx>
      <c:valAx>
        <c:axId val="472549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548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7.8486439195100607E-2"/>
          <c:y val="0.16031003937007873"/>
          <c:w val="0.65568022747156607"/>
          <c:h val="0.62219242125984253"/>
        </c:manualLayout>
      </c:layout>
      <c:barChart>
        <c:barDir val="col"/>
        <c:grouping val="clustered"/>
        <c:varyColors val="0"/>
        <c:ser>
          <c:idx val="0"/>
          <c:order val="0"/>
          <c:tx>
            <c:v>Cash</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180</c:v>
              </c:pt>
              <c:pt idx="1">
                <c:v>194</c:v>
              </c:pt>
              <c:pt idx="2">
                <c:v>189</c:v>
              </c:pt>
              <c:pt idx="3">
                <c:v>193</c:v>
              </c:pt>
              <c:pt idx="4">
                <c:v>173</c:v>
              </c:pt>
              <c:pt idx="5">
                <c:v>0</c:v>
              </c:pt>
            </c:numLit>
          </c:val>
        </c:ser>
        <c:ser>
          <c:idx val="1"/>
          <c:order val="1"/>
          <c:tx>
            <c:v>Credit Card</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199</c:v>
              </c:pt>
              <c:pt idx="1">
                <c:v>183</c:v>
              </c:pt>
              <c:pt idx="2">
                <c:v>181</c:v>
              </c:pt>
              <c:pt idx="3">
                <c:v>196</c:v>
              </c:pt>
              <c:pt idx="4">
                <c:v>188</c:v>
              </c:pt>
              <c:pt idx="5">
                <c:v>0</c:v>
              </c:pt>
            </c:numLit>
          </c:val>
        </c:ser>
        <c:ser>
          <c:idx val="2"/>
          <c:order val="2"/>
          <c:tx>
            <c:v>Debit Card</c:v>
          </c:tx>
          <c:spPr>
            <a:noFill/>
            <a:ln w="9525" cap="flat" cmpd="sng" algn="ctr">
              <a:solidFill>
                <a:schemeClr val="accent3"/>
              </a:solidFill>
              <a:miter lim="800000"/>
            </a:ln>
            <a:effectLst>
              <a:glow rad="63500">
                <a:schemeClr val="accent3">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201</c:v>
              </c:pt>
              <c:pt idx="1">
                <c:v>200</c:v>
              </c:pt>
              <c:pt idx="2">
                <c:v>198</c:v>
              </c:pt>
              <c:pt idx="3">
                <c:v>178</c:v>
              </c:pt>
              <c:pt idx="4">
                <c:v>171</c:v>
              </c:pt>
              <c:pt idx="5">
                <c:v>0</c:v>
              </c:pt>
            </c:numLit>
          </c:val>
        </c:ser>
        <c:ser>
          <c:idx val="3"/>
          <c:order val="3"/>
          <c:tx>
            <c:v>UPI</c:v>
          </c:tx>
          <c:spPr>
            <a:noFill/>
            <a:ln w="9525" cap="flat" cmpd="sng" algn="ctr">
              <a:solidFill>
                <a:schemeClr val="accent4"/>
              </a:solidFill>
              <a:miter lim="800000"/>
            </a:ln>
            <a:effectLst>
              <a:glow rad="63500">
                <a:schemeClr val="accent4">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203</c:v>
              </c:pt>
              <c:pt idx="1">
                <c:v>191</c:v>
              </c:pt>
              <c:pt idx="2">
                <c:v>207</c:v>
              </c:pt>
              <c:pt idx="3">
                <c:v>199</c:v>
              </c:pt>
              <c:pt idx="4">
                <c:v>211</c:v>
              </c:pt>
              <c:pt idx="5">
                <c:v>0</c:v>
              </c:pt>
            </c:numLit>
          </c:val>
        </c:ser>
        <c:ser>
          <c:idx val="4"/>
          <c:order val="4"/>
          <c:tx>
            <c:v>(blank)</c:v>
          </c:tx>
          <c:spPr>
            <a:noFill/>
            <a:ln w="9525" cap="flat" cmpd="sng" algn="ctr">
              <a:solidFill>
                <a:schemeClr val="accent5"/>
              </a:solidFill>
              <a:miter lim="800000"/>
            </a:ln>
            <a:effectLst>
              <a:glow rad="63500">
                <a:schemeClr val="accent5">
                  <a:satMod val="175000"/>
                  <a:alpha val="25000"/>
                </a:schemeClr>
              </a:glow>
            </a:effectLst>
          </c:spPr>
          <c:invertIfNegative val="0"/>
          <c:cat>
            <c:strLit>
              <c:ptCount val="6"/>
              <c:pt idx="0">
                <c:v>Apple</c:v>
              </c:pt>
              <c:pt idx="1">
                <c:v>OnePlus</c:v>
              </c:pt>
              <c:pt idx="2">
                <c:v>Samsung</c:v>
              </c:pt>
              <c:pt idx="3">
                <c:v>Vivo</c:v>
              </c:pt>
              <c:pt idx="4">
                <c:v>Xiaomi</c:v>
              </c:pt>
              <c:pt idx="5">
                <c:v>(blank)</c:v>
              </c:pt>
            </c:strLit>
          </c:cat>
          <c:val>
            <c:numLit>
              <c:formatCode>General</c:formatCode>
              <c:ptCount val="6"/>
              <c:pt idx="0">
                <c:v>0</c:v>
              </c:pt>
              <c:pt idx="1">
                <c:v>0</c:v>
              </c:pt>
              <c:pt idx="2">
                <c:v>0</c:v>
              </c:pt>
              <c:pt idx="3">
                <c:v>0</c:v>
              </c:pt>
              <c:pt idx="4">
                <c:v>0</c:v>
              </c:pt>
              <c:pt idx="5">
                <c:v>0</c:v>
              </c:pt>
            </c:numLit>
          </c:val>
        </c:ser>
        <c:dLbls>
          <c:showLegendKey val="0"/>
          <c:showVal val="0"/>
          <c:showCatName val="0"/>
          <c:showSerName val="0"/>
          <c:showPercent val="0"/>
          <c:showBubbleSize val="0"/>
        </c:dLbls>
        <c:gapWidth val="315"/>
        <c:overlap val="-40"/>
        <c:axId val="472550768"/>
        <c:axId val="472551160"/>
      </c:barChart>
      <c:catAx>
        <c:axId val="4725507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551160"/>
        <c:crosses val="autoZero"/>
        <c:auto val="1"/>
        <c:lblAlgn val="ctr"/>
        <c:lblOffset val="100"/>
        <c:noMultiLvlLbl val="0"/>
      </c:catAx>
      <c:valAx>
        <c:axId val="4725511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550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Sheet.xlsx]Sheet2!PivotTable1</c:name>
    <c:fmtId val="2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3863372203310329"/>
          <c:y val="0.18249613189759395"/>
          <c:w val="0.53999020490375627"/>
          <c:h val="0.60875287367122066"/>
        </c:manualLayout>
      </c:layout>
      <c:barChart>
        <c:barDir val="col"/>
        <c:grouping val="clustered"/>
        <c:varyColors val="0"/>
        <c:ser>
          <c:idx val="0"/>
          <c:order val="0"/>
          <c:tx>
            <c:strRef>
              <c:f>Sheet2!$B$3:$B$4</c:f>
              <c:strCache>
                <c:ptCount val="1"/>
                <c:pt idx="0">
                  <c:v>Bangalore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Sheet2!$B$5:$B$6</c:f>
              <c:numCache>
                <c:formatCode>General</c:formatCode>
                <c:ptCount val="1"/>
                <c:pt idx="0">
                  <c:v>5738777.0700000003</c:v>
                </c:pt>
              </c:numCache>
            </c:numRef>
          </c:val>
        </c:ser>
        <c:ser>
          <c:idx val="1"/>
          <c:order val="1"/>
          <c:tx>
            <c:strRef>
              <c:f>Sheet2!$C$3:$C$4</c:f>
              <c:strCache>
                <c:ptCount val="1"/>
                <c:pt idx="0">
                  <c:v>Bhopal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Sheet2!$C$5:$C$6</c:f>
              <c:numCache>
                <c:formatCode>General</c:formatCode>
                <c:ptCount val="1"/>
                <c:pt idx="0">
                  <c:v>1681749.62</c:v>
                </c:pt>
              </c:numCache>
            </c:numRef>
          </c:val>
        </c:ser>
        <c:ser>
          <c:idx val="2"/>
          <c:order val="2"/>
          <c:tx>
            <c:strRef>
              <c:f>Sheet2!$D$3:$D$4</c:f>
              <c:strCache>
                <c:ptCount val="1"/>
                <c:pt idx="0">
                  <c:v>Chennai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Sheet2!$D$5:$D$6</c:f>
              <c:numCache>
                <c:formatCode>General</c:formatCode>
                <c:ptCount val="1"/>
                <c:pt idx="0">
                  <c:v>6893483.6500000004</c:v>
                </c:pt>
              </c:numCache>
            </c:numRef>
          </c:val>
        </c:ser>
        <c:ser>
          <c:idx val="3"/>
          <c:order val="3"/>
          <c:tx>
            <c:strRef>
              <c:f>Sheet2!$E$3:$E$4</c:f>
              <c:strCache>
                <c:ptCount val="1"/>
                <c:pt idx="0">
                  <c:v>Coimbatore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Sheet2!$E$5:$E$6</c:f>
              <c:numCache>
                <c:formatCode>General</c:formatCode>
                <c:ptCount val="1"/>
                <c:pt idx="0">
                  <c:v>4890655.9399999995</c:v>
                </c:pt>
              </c:numCache>
            </c:numRef>
          </c:val>
        </c:ser>
        <c:ser>
          <c:idx val="4"/>
          <c:order val="4"/>
          <c:tx>
            <c:strRef>
              <c:f>Sheet2!$F$3:$F$4</c:f>
              <c:strCache>
                <c:ptCount val="1"/>
                <c:pt idx="0">
                  <c:v>Delhi</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Sheet2!$F$5:$F$6</c:f>
              <c:numCache>
                <c:formatCode>General</c:formatCode>
                <c:ptCount val="1"/>
                <c:pt idx="0">
                  <c:v>38083996.070000008</c:v>
                </c:pt>
              </c:numCache>
            </c:numRef>
          </c:val>
        </c:ser>
        <c:ser>
          <c:idx val="5"/>
          <c:order val="5"/>
          <c:tx>
            <c:strRef>
              <c:f>Sheet2!$G$3:$G$4</c:f>
              <c:strCache>
                <c:ptCount val="1"/>
                <c:pt idx="0">
                  <c:v>Gorakhpur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Sheet2!$G$5:$G$6</c:f>
              <c:numCache>
                <c:formatCode>General</c:formatCode>
                <c:ptCount val="1"/>
                <c:pt idx="0">
                  <c:v>3118592.7600000002</c:v>
                </c:pt>
              </c:numCache>
            </c:numRef>
          </c:val>
        </c:ser>
        <c:ser>
          <c:idx val="6"/>
          <c:order val="6"/>
          <c:tx>
            <c:strRef>
              <c:f>Sheet2!$H$3:$H$4</c:f>
              <c:strCache>
                <c:ptCount val="1"/>
                <c:pt idx="0">
                  <c:v>Hyderabad</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Sheet2!$H$5:$H$6</c:f>
              <c:numCache>
                <c:formatCode>General</c:formatCode>
                <c:ptCount val="1"/>
                <c:pt idx="0">
                  <c:v>3928002.8</c:v>
                </c:pt>
              </c:numCache>
            </c:numRef>
          </c:val>
        </c:ser>
        <c:ser>
          <c:idx val="7"/>
          <c:order val="7"/>
          <c:tx>
            <c:strRef>
              <c:f>Sheet2!$I$3:$I$4</c:f>
              <c:strCache>
                <c:ptCount val="1"/>
                <c:pt idx="0">
                  <c:v>Indore</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Sheet2!$I$5:$I$6</c:f>
              <c:numCache>
                <c:formatCode>General</c:formatCode>
                <c:ptCount val="1"/>
                <c:pt idx="0">
                  <c:v>2726957.03</c:v>
                </c:pt>
              </c:numCache>
            </c:numRef>
          </c:val>
        </c:ser>
        <c:ser>
          <c:idx val="8"/>
          <c:order val="8"/>
          <c:tx>
            <c:strRef>
              <c:f>Sheet2!$J$3:$J$4</c:f>
              <c:strCache>
                <c:ptCount val="1"/>
                <c:pt idx="0">
                  <c:v>Jodhpur</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Sheet2!$J$5:$J$6</c:f>
              <c:numCache>
                <c:formatCode>General</c:formatCode>
                <c:ptCount val="1"/>
                <c:pt idx="0">
                  <c:v>6021298.0000000009</c:v>
                </c:pt>
              </c:numCache>
            </c:numRef>
          </c:val>
        </c:ser>
        <c:ser>
          <c:idx val="9"/>
          <c:order val="9"/>
          <c:tx>
            <c:strRef>
              <c:f>Sheet2!$K$3:$K$4</c:f>
              <c:strCache>
                <c:ptCount val="1"/>
                <c:pt idx="0">
                  <c:v>Kanpur</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Sheet2!$K$5:$K$6</c:f>
              <c:numCache>
                <c:formatCode>General</c:formatCode>
                <c:ptCount val="1"/>
                <c:pt idx="0">
                  <c:v>5435933.6899999995</c:v>
                </c:pt>
              </c:numCache>
            </c:numRef>
          </c:val>
        </c:ser>
        <c:ser>
          <c:idx val="10"/>
          <c:order val="10"/>
          <c:tx>
            <c:strRef>
              <c:f>Sheet2!$L$3:$L$4</c:f>
              <c:strCache>
                <c:ptCount val="1"/>
                <c:pt idx="0">
                  <c:v>Kolkata</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Sheet2!$L$5:$L$6</c:f>
              <c:numCache>
                <c:formatCode>General</c:formatCode>
                <c:ptCount val="1"/>
                <c:pt idx="0">
                  <c:v>4773439.12</c:v>
                </c:pt>
              </c:numCache>
            </c:numRef>
          </c:val>
        </c:ser>
        <c:ser>
          <c:idx val="11"/>
          <c:order val="11"/>
          <c:tx>
            <c:strRef>
              <c:f>Sheet2!$M$3:$M$4</c:f>
              <c:strCache>
                <c:ptCount val="1"/>
                <c:pt idx="0">
                  <c:v>Lucknow</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Sheet2!$M$5:$M$6</c:f>
              <c:numCache>
                <c:formatCode>General</c:formatCode>
                <c:ptCount val="1"/>
                <c:pt idx="0">
                  <c:v>4595214.6100000003</c:v>
                </c:pt>
              </c:numCache>
            </c:numRef>
          </c:val>
        </c:ser>
        <c:ser>
          <c:idx val="12"/>
          <c:order val="12"/>
          <c:tx>
            <c:strRef>
              <c:f>Sheet2!$N$3:$N$4</c:f>
              <c:strCache>
                <c:ptCount val="1"/>
                <c:pt idx="0">
                  <c:v>Ludhiana</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Sheet2!$N$5:$N$6</c:f>
              <c:numCache>
                <c:formatCode>General</c:formatCode>
                <c:ptCount val="1"/>
                <c:pt idx="0">
                  <c:v>3728720.2100000004</c:v>
                </c:pt>
              </c:numCache>
            </c:numRef>
          </c:val>
        </c:ser>
        <c:ser>
          <c:idx val="13"/>
          <c:order val="13"/>
          <c:tx>
            <c:strRef>
              <c:f>Sheet2!$O$3:$O$4</c:f>
              <c:strCache>
                <c:ptCount val="1"/>
                <c:pt idx="0">
                  <c:v>Madurai</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Sheet2!$O$5:$O$6</c:f>
              <c:numCache>
                <c:formatCode>General</c:formatCode>
                <c:ptCount val="1"/>
                <c:pt idx="0">
                  <c:v>4621870.24</c:v>
                </c:pt>
              </c:numCache>
            </c:numRef>
          </c:val>
        </c:ser>
        <c:ser>
          <c:idx val="14"/>
          <c:order val="14"/>
          <c:tx>
            <c:strRef>
              <c:f>Sheet2!$P$3:$P$4</c:f>
              <c:strCache>
                <c:ptCount val="1"/>
                <c:pt idx="0">
                  <c:v>Mumbai</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Sheet2!$P$5:$P$6</c:f>
              <c:numCache>
                <c:formatCode>General</c:formatCode>
                <c:ptCount val="1"/>
                <c:pt idx="0">
                  <c:v>26647572.190000001</c:v>
                </c:pt>
              </c:numCache>
            </c:numRef>
          </c:val>
        </c:ser>
        <c:ser>
          <c:idx val="15"/>
          <c:order val="15"/>
          <c:tx>
            <c:strRef>
              <c:f>Sheet2!$Q$3:$Q$4</c:f>
              <c:strCache>
                <c:ptCount val="1"/>
                <c:pt idx="0">
                  <c:v>Patna</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Sheet2!$Q$5:$Q$6</c:f>
              <c:numCache>
                <c:formatCode>General</c:formatCode>
                <c:ptCount val="1"/>
                <c:pt idx="0">
                  <c:v>3282599.1999999997</c:v>
                </c:pt>
              </c:numCache>
            </c:numRef>
          </c:val>
        </c:ser>
        <c:ser>
          <c:idx val="16"/>
          <c:order val="16"/>
          <c:tx>
            <c:strRef>
              <c:f>Sheet2!$R$3:$R$4</c:f>
              <c:strCache>
                <c:ptCount val="1"/>
                <c:pt idx="0">
                  <c:v>Rajkot</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Sheet2!$R$5:$R$6</c:f>
              <c:numCache>
                <c:formatCode>General</c:formatCode>
                <c:ptCount val="1"/>
                <c:pt idx="0">
                  <c:v>5232131.66</c:v>
                </c:pt>
              </c:numCache>
            </c:numRef>
          </c:val>
        </c:ser>
        <c:ser>
          <c:idx val="17"/>
          <c:order val="17"/>
          <c:tx>
            <c:strRef>
              <c:f>Sheet2!$S$3:$S$4</c:f>
              <c:strCache>
                <c:ptCount val="1"/>
                <c:pt idx="0">
                  <c:v>Ranchi</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Sheet2!$S$5:$S$6</c:f>
              <c:numCache>
                <c:formatCode>General</c:formatCode>
                <c:ptCount val="1"/>
                <c:pt idx="0">
                  <c:v>7287134.0800000001</c:v>
                </c:pt>
              </c:numCache>
            </c:numRef>
          </c:val>
        </c:ser>
        <c:ser>
          <c:idx val="18"/>
          <c:order val="18"/>
          <c:tx>
            <c:strRef>
              <c:f>Sheet2!$T$3:$T$4</c:f>
              <c:strCache>
                <c:ptCount val="1"/>
                <c:pt idx="0">
                  <c:v>Vadodara</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Sheet2!$T$5:$T$6</c:f>
              <c:numCache>
                <c:formatCode>General</c:formatCode>
                <c:ptCount val="1"/>
                <c:pt idx="0">
                  <c:v>5065208.8899999997</c:v>
                </c:pt>
              </c:numCache>
            </c:numRef>
          </c:val>
        </c:ser>
        <c:dLbls>
          <c:showLegendKey val="0"/>
          <c:showVal val="0"/>
          <c:showCatName val="0"/>
          <c:showSerName val="0"/>
          <c:showPercent val="0"/>
          <c:showBubbleSize val="0"/>
        </c:dLbls>
        <c:gapWidth val="100"/>
        <c:overlap val="-24"/>
        <c:axId val="472551944"/>
        <c:axId val="472548416"/>
      </c:barChart>
      <c:catAx>
        <c:axId val="472551944"/>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48416"/>
        <c:crosses val="autoZero"/>
        <c:auto val="1"/>
        <c:lblAlgn val="ctr"/>
        <c:lblOffset val="100"/>
        <c:noMultiLvlLbl val="0"/>
      </c:catAx>
      <c:valAx>
        <c:axId val="472548416"/>
        <c:scaling>
          <c:orientation val="minMax"/>
        </c:scaling>
        <c:delete val="0"/>
        <c:axPos val="l"/>
        <c:majorGridlines>
          <c:spPr>
            <a:ln w="9525" cap="flat" cmpd="sng" algn="ctr">
              <a:solidFill>
                <a:schemeClr val="lt1">
                  <a:lumMod val="95000"/>
                  <a:alpha val="10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51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Sheet.xlsx]Sheet2!PivotTable1</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3863372203310329"/>
          <c:y val="0.18249613189759395"/>
          <c:w val="0.53999020490375627"/>
          <c:h val="0.60875287367122066"/>
        </c:manualLayout>
      </c:layout>
      <c:barChart>
        <c:barDir val="col"/>
        <c:grouping val="clustered"/>
        <c:varyColors val="0"/>
        <c:ser>
          <c:idx val="0"/>
          <c:order val="0"/>
          <c:tx>
            <c:strRef>
              <c:f>Sheet2!$B$3:$B$4</c:f>
              <c:strCache>
                <c:ptCount val="1"/>
                <c:pt idx="0">
                  <c:v>Bangalore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Sheet2!$B$5:$B$6</c:f>
              <c:numCache>
                <c:formatCode>General</c:formatCode>
                <c:ptCount val="1"/>
                <c:pt idx="0">
                  <c:v>5738777.0700000003</c:v>
                </c:pt>
              </c:numCache>
            </c:numRef>
          </c:val>
        </c:ser>
        <c:ser>
          <c:idx val="1"/>
          <c:order val="1"/>
          <c:tx>
            <c:strRef>
              <c:f>Sheet2!$C$3:$C$4</c:f>
              <c:strCache>
                <c:ptCount val="1"/>
                <c:pt idx="0">
                  <c:v>Bhopal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Sheet2!$C$5:$C$6</c:f>
              <c:numCache>
                <c:formatCode>General</c:formatCode>
                <c:ptCount val="1"/>
                <c:pt idx="0">
                  <c:v>1681749.62</c:v>
                </c:pt>
              </c:numCache>
            </c:numRef>
          </c:val>
        </c:ser>
        <c:ser>
          <c:idx val="2"/>
          <c:order val="2"/>
          <c:tx>
            <c:strRef>
              <c:f>Sheet2!$D$3:$D$4</c:f>
              <c:strCache>
                <c:ptCount val="1"/>
                <c:pt idx="0">
                  <c:v>Chennai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Sheet2!$D$5:$D$6</c:f>
              <c:numCache>
                <c:formatCode>General</c:formatCode>
                <c:ptCount val="1"/>
                <c:pt idx="0">
                  <c:v>6893483.6500000004</c:v>
                </c:pt>
              </c:numCache>
            </c:numRef>
          </c:val>
        </c:ser>
        <c:ser>
          <c:idx val="3"/>
          <c:order val="3"/>
          <c:tx>
            <c:strRef>
              <c:f>Sheet2!$E$3:$E$4</c:f>
              <c:strCache>
                <c:ptCount val="1"/>
                <c:pt idx="0">
                  <c:v>Coimbatore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Sheet2!$E$5:$E$6</c:f>
              <c:numCache>
                <c:formatCode>General</c:formatCode>
                <c:ptCount val="1"/>
                <c:pt idx="0">
                  <c:v>4890655.9399999995</c:v>
                </c:pt>
              </c:numCache>
            </c:numRef>
          </c:val>
        </c:ser>
        <c:ser>
          <c:idx val="4"/>
          <c:order val="4"/>
          <c:tx>
            <c:strRef>
              <c:f>Sheet2!$F$3:$F$4</c:f>
              <c:strCache>
                <c:ptCount val="1"/>
                <c:pt idx="0">
                  <c:v>Delhi</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Sheet2!$F$5:$F$6</c:f>
              <c:numCache>
                <c:formatCode>General</c:formatCode>
                <c:ptCount val="1"/>
                <c:pt idx="0">
                  <c:v>38083996.070000008</c:v>
                </c:pt>
              </c:numCache>
            </c:numRef>
          </c:val>
        </c:ser>
        <c:ser>
          <c:idx val="5"/>
          <c:order val="5"/>
          <c:tx>
            <c:strRef>
              <c:f>Sheet2!$G$3:$G$4</c:f>
              <c:strCache>
                <c:ptCount val="1"/>
                <c:pt idx="0">
                  <c:v>Gorakhpur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Sheet2!$G$5:$G$6</c:f>
              <c:numCache>
                <c:formatCode>General</c:formatCode>
                <c:ptCount val="1"/>
                <c:pt idx="0">
                  <c:v>3118592.7600000002</c:v>
                </c:pt>
              </c:numCache>
            </c:numRef>
          </c:val>
        </c:ser>
        <c:ser>
          <c:idx val="6"/>
          <c:order val="6"/>
          <c:tx>
            <c:strRef>
              <c:f>Sheet2!$H$3:$H$4</c:f>
              <c:strCache>
                <c:ptCount val="1"/>
                <c:pt idx="0">
                  <c:v>Hyderabad</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Sheet2!$H$5:$H$6</c:f>
              <c:numCache>
                <c:formatCode>General</c:formatCode>
                <c:ptCount val="1"/>
                <c:pt idx="0">
                  <c:v>3928002.8</c:v>
                </c:pt>
              </c:numCache>
            </c:numRef>
          </c:val>
        </c:ser>
        <c:ser>
          <c:idx val="7"/>
          <c:order val="7"/>
          <c:tx>
            <c:strRef>
              <c:f>Sheet2!$I$3:$I$4</c:f>
              <c:strCache>
                <c:ptCount val="1"/>
                <c:pt idx="0">
                  <c:v>Indore</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Sheet2!$I$5:$I$6</c:f>
              <c:numCache>
                <c:formatCode>General</c:formatCode>
                <c:ptCount val="1"/>
                <c:pt idx="0">
                  <c:v>2726957.03</c:v>
                </c:pt>
              </c:numCache>
            </c:numRef>
          </c:val>
        </c:ser>
        <c:ser>
          <c:idx val="8"/>
          <c:order val="8"/>
          <c:tx>
            <c:strRef>
              <c:f>Sheet2!$J$3:$J$4</c:f>
              <c:strCache>
                <c:ptCount val="1"/>
                <c:pt idx="0">
                  <c:v>Jodhpur</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Sheet2!$J$5:$J$6</c:f>
              <c:numCache>
                <c:formatCode>General</c:formatCode>
                <c:ptCount val="1"/>
                <c:pt idx="0">
                  <c:v>6021298.0000000009</c:v>
                </c:pt>
              </c:numCache>
            </c:numRef>
          </c:val>
        </c:ser>
        <c:ser>
          <c:idx val="9"/>
          <c:order val="9"/>
          <c:tx>
            <c:strRef>
              <c:f>Sheet2!$K$3:$K$4</c:f>
              <c:strCache>
                <c:ptCount val="1"/>
                <c:pt idx="0">
                  <c:v>Kanpur</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Sheet2!$K$5:$K$6</c:f>
              <c:numCache>
                <c:formatCode>General</c:formatCode>
                <c:ptCount val="1"/>
                <c:pt idx="0">
                  <c:v>5435933.6899999995</c:v>
                </c:pt>
              </c:numCache>
            </c:numRef>
          </c:val>
        </c:ser>
        <c:ser>
          <c:idx val="10"/>
          <c:order val="10"/>
          <c:tx>
            <c:strRef>
              <c:f>Sheet2!$L$3:$L$4</c:f>
              <c:strCache>
                <c:ptCount val="1"/>
                <c:pt idx="0">
                  <c:v>Kolkata</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Sheet2!$L$5:$L$6</c:f>
              <c:numCache>
                <c:formatCode>General</c:formatCode>
                <c:ptCount val="1"/>
                <c:pt idx="0">
                  <c:v>4773439.12</c:v>
                </c:pt>
              </c:numCache>
            </c:numRef>
          </c:val>
        </c:ser>
        <c:ser>
          <c:idx val="11"/>
          <c:order val="11"/>
          <c:tx>
            <c:strRef>
              <c:f>Sheet2!$M$3:$M$4</c:f>
              <c:strCache>
                <c:ptCount val="1"/>
                <c:pt idx="0">
                  <c:v>Lucknow</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Sheet2!$M$5:$M$6</c:f>
              <c:numCache>
                <c:formatCode>General</c:formatCode>
                <c:ptCount val="1"/>
                <c:pt idx="0">
                  <c:v>4595214.6100000003</c:v>
                </c:pt>
              </c:numCache>
            </c:numRef>
          </c:val>
        </c:ser>
        <c:ser>
          <c:idx val="12"/>
          <c:order val="12"/>
          <c:tx>
            <c:strRef>
              <c:f>Sheet2!$N$3:$N$4</c:f>
              <c:strCache>
                <c:ptCount val="1"/>
                <c:pt idx="0">
                  <c:v>Ludhiana</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Sheet2!$N$5:$N$6</c:f>
              <c:numCache>
                <c:formatCode>General</c:formatCode>
                <c:ptCount val="1"/>
                <c:pt idx="0">
                  <c:v>3728720.2100000004</c:v>
                </c:pt>
              </c:numCache>
            </c:numRef>
          </c:val>
        </c:ser>
        <c:ser>
          <c:idx val="13"/>
          <c:order val="13"/>
          <c:tx>
            <c:strRef>
              <c:f>Sheet2!$O$3:$O$4</c:f>
              <c:strCache>
                <c:ptCount val="1"/>
                <c:pt idx="0">
                  <c:v>Madurai</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Sheet2!$O$5:$O$6</c:f>
              <c:numCache>
                <c:formatCode>General</c:formatCode>
                <c:ptCount val="1"/>
                <c:pt idx="0">
                  <c:v>4621870.24</c:v>
                </c:pt>
              </c:numCache>
            </c:numRef>
          </c:val>
        </c:ser>
        <c:ser>
          <c:idx val="14"/>
          <c:order val="14"/>
          <c:tx>
            <c:strRef>
              <c:f>Sheet2!$P$3:$P$4</c:f>
              <c:strCache>
                <c:ptCount val="1"/>
                <c:pt idx="0">
                  <c:v>Mumbai</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Sheet2!$P$5:$P$6</c:f>
              <c:numCache>
                <c:formatCode>General</c:formatCode>
                <c:ptCount val="1"/>
                <c:pt idx="0">
                  <c:v>26647572.190000001</c:v>
                </c:pt>
              </c:numCache>
            </c:numRef>
          </c:val>
        </c:ser>
        <c:ser>
          <c:idx val="15"/>
          <c:order val="15"/>
          <c:tx>
            <c:strRef>
              <c:f>Sheet2!$Q$3:$Q$4</c:f>
              <c:strCache>
                <c:ptCount val="1"/>
                <c:pt idx="0">
                  <c:v>Patna</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Sheet2!$Q$5:$Q$6</c:f>
              <c:numCache>
                <c:formatCode>General</c:formatCode>
                <c:ptCount val="1"/>
                <c:pt idx="0">
                  <c:v>3282599.1999999997</c:v>
                </c:pt>
              </c:numCache>
            </c:numRef>
          </c:val>
        </c:ser>
        <c:ser>
          <c:idx val="16"/>
          <c:order val="16"/>
          <c:tx>
            <c:strRef>
              <c:f>Sheet2!$R$3:$R$4</c:f>
              <c:strCache>
                <c:ptCount val="1"/>
                <c:pt idx="0">
                  <c:v>Rajkot</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Sheet2!$R$5:$R$6</c:f>
              <c:numCache>
                <c:formatCode>General</c:formatCode>
                <c:ptCount val="1"/>
                <c:pt idx="0">
                  <c:v>5232131.66</c:v>
                </c:pt>
              </c:numCache>
            </c:numRef>
          </c:val>
        </c:ser>
        <c:ser>
          <c:idx val="17"/>
          <c:order val="17"/>
          <c:tx>
            <c:strRef>
              <c:f>Sheet2!$S$3:$S$4</c:f>
              <c:strCache>
                <c:ptCount val="1"/>
                <c:pt idx="0">
                  <c:v>Ranchi</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Sheet2!$S$5:$S$6</c:f>
              <c:numCache>
                <c:formatCode>General</c:formatCode>
                <c:ptCount val="1"/>
                <c:pt idx="0">
                  <c:v>7287134.0800000001</c:v>
                </c:pt>
              </c:numCache>
            </c:numRef>
          </c:val>
        </c:ser>
        <c:ser>
          <c:idx val="18"/>
          <c:order val="18"/>
          <c:tx>
            <c:strRef>
              <c:f>Sheet2!$T$3:$T$4</c:f>
              <c:strCache>
                <c:ptCount val="1"/>
                <c:pt idx="0">
                  <c:v>Vadodara</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Sheet2!$A$5:$A$6</c:f>
              <c:strCache>
                <c:ptCount val="1"/>
                <c:pt idx="0">
                  <c:v>Xiaomi</c:v>
                </c:pt>
              </c:strCache>
            </c:strRef>
          </c:cat>
          <c:val>
            <c:numRef>
              <c:f>Sheet2!$T$5:$T$6</c:f>
              <c:numCache>
                <c:formatCode>General</c:formatCode>
                <c:ptCount val="1"/>
                <c:pt idx="0">
                  <c:v>5065208.8899999997</c:v>
                </c:pt>
              </c:numCache>
            </c:numRef>
          </c:val>
        </c:ser>
        <c:dLbls>
          <c:showLegendKey val="0"/>
          <c:showVal val="0"/>
          <c:showCatName val="0"/>
          <c:showSerName val="0"/>
          <c:showPercent val="0"/>
          <c:showBubbleSize val="0"/>
        </c:dLbls>
        <c:gapWidth val="100"/>
        <c:overlap val="-24"/>
        <c:axId val="472547632"/>
        <c:axId val="472552336"/>
      </c:barChart>
      <c:catAx>
        <c:axId val="472547632"/>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52336"/>
        <c:crosses val="autoZero"/>
        <c:auto val="1"/>
        <c:lblAlgn val="ctr"/>
        <c:lblOffset val="100"/>
        <c:noMultiLvlLbl val="0"/>
      </c:catAx>
      <c:valAx>
        <c:axId val="472552336"/>
        <c:scaling>
          <c:orientation val="minMax"/>
        </c:scaling>
        <c:delete val="0"/>
        <c:axPos val="l"/>
        <c:majorGridlines>
          <c:spPr>
            <a:ln w="9525" cap="flat" cmpd="sng" algn="ctr">
              <a:solidFill>
                <a:schemeClr val="lt1">
                  <a:lumMod val="95000"/>
                  <a:alpha val="10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547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22860</xdr:rowOff>
    </xdr:from>
    <xdr:ext cx="5547360" cy="335280"/>
    <xdr:sp macro="" textlink="">
      <xdr:nvSpPr>
        <xdr:cNvPr id="2" name="TextBox 1"/>
        <xdr:cNvSpPr txBox="1"/>
      </xdr:nvSpPr>
      <xdr:spPr>
        <a:xfrm>
          <a:off x="2682240" y="22860"/>
          <a:ext cx="5547360" cy="335280"/>
        </a:xfrm>
        <a:prstGeom prst="rect">
          <a:avLst/>
        </a:prstGeom>
        <a:solidFill>
          <a:schemeClr val="tx1">
            <a:lumMod val="95000"/>
            <a:lumOff val="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tx1"/>
              </a:solidFill>
              <a:effectLst/>
              <a:latin typeface="+mn-lt"/>
              <a:ea typeface="+mn-ea"/>
              <a:cs typeface="+mn-cs"/>
            </a:rPr>
            <a:t>shboardS</a:t>
          </a:r>
          <a:r>
            <a:rPr lang="en-US" sz="1800">
              <a:solidFill>
                <a:schemeClr val="bg1"/>
              </a:solidFill>
              <a:effectLst/>
              <a:latin typeface="+mn-lt"/>
              <a:ea typeface="+mn-ea"/>
              <a:cs typeface="+mn-cs"/>
            </a:rPr>
            <a:t>Sales Analysis</a:t>
          </a:r>
          <a:r>
            <a:rPr lang="en-US" sz="1800" baseline="0">
              <a:solidFill>
                <a:schemeClr val="bg1"/>
              </a:solidFill>
              <a:effectLst/>
              <a:latin typeface="+mn-lt"/>
              <a:ea typeface="+mn-ea"/>
              <a:cs typeface="+mn-cs"/>
            </a:rPr>
            <a:t> Dashboard</a:t>
          </a:r>
          <a:endParaRPr lang="en-US" sz="1800">
            <a:effectLst/>
          </a:endParaRPr>
        </a:p>
      </xdr:txBody>
    </xdr:sp>
    <xdr:clientData/>
  </xdr:oneCellAnchor>
  <xdr:twoCellAnchor>
    <xdr:from>
      <xdr:col>0</xdr:col>
      <xdr:colOff>60960</xdr:colOff>
      <xdr:row>16</xdr:row>
      <xdr:rowOff>167640</xdr:rowOff>
    </xdr:from>
    <xdr:to>
      <xdr:col>6</xdr:col>
      <xdr:colOff>502920</xdr:colOff>
      <xdr:row>31</xdr:row>
      <xdr:rowOff>121920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632460</xdr:colOff>
      <xdr:row>17</xdr:row>
      <xdr:rowOff>76200</xdr:rowOff>
    </xdr:from>
    <xdr:to>
      <xdr:col>13</xdr:col>
      <xdr:colOff>571500</xdr:colOff>
      <xdr:row>32</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xdr:row>
      <xdr:rowOff>22860</xdr:rowOff>
    </xdr:from>
    <xdr:to>
      <xdr:col>6</xdr:col>
      <xdr:colOff>342900</xdr:colOff>
      <xdr:row>16</xdr:row>
      <xdr:rowOff>38100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121920</xdr:colOff>
      <xdr:row>17</xdr:row>
      <xdr:rowOff>99060</xdr:rowOff>
    </xdr:from>
    <xdr:to>
      <xdr:col>19</xdr:col>
      <xdr:colOff>487680</xdr:colOff>
      <xdr:row>32</xdr:row>
      <xdr:rowOff>15240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22</xdr:col>
      <xdr:colOff>304800</xdr:colOff>
      <xdr:row>5</xdr:row>
      <xdr:rowOff>155496</xdr:rowOff>
    </xdr:from>
    <xdr:ext cx="624840" cy="385524"/>
    <xdr:sp macro="" textlink="">
      <xdr:nvSpPr>
        <xdr:cNvPr id="11" name="TextBox 10"/>
        <xdr:cNvSpPr txBox="1"/>
      </xdr:nvSpPr>
      <xdr:spPr>
        <a:xfrm flipV="1">
          <a:off x="15057120" y="1031796"/>
          <a:ext cx="624840" cy="385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tx1"/>
              </a:solidFill>
            </a:rPr>
            <a:t> </a:t>
          </a:r>
          <a:endParaRPr lang="en-US" sz="1100"/>
        </a:p>
      </xdr:txBody>
    </xdr:sp>
    <xdr:clientData/>
  </xdr:oneCellAnchor>
  <xdr:twoCellAnchor>
    <xdr:from>
      <xdr:col>6</xdr:col>
      <xdr:colOff>419100</xdr:colOff>
      <xdr:row>2</xdr:row>
      <xdr:rowOff>45720</xdr:rowOff>
    </xdr:from>
    <xdr:to>
      <xdr:col>12</xdr:col>
      <xdr:colOff>586740</xdr:colOff>
      <xdr:row>16</xdr:row>
      <xdr:rowOff>22860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22860</xdr:colOff>
      <xdr:row>2</xdr:row>
      <xdr:rowOff>68580</xdr:rowOff>
    </xdr:from>
    <xdr:to>
      <xdr:col>19</xdr:col>
      <xdr:colOff>548640</xdr:colOff>
      <xdr:row>16</xdr:row>
      <xdr:rowOff>53340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662940</xdr:colOff>
      <xdr:row>32</xdr:row>
      <xdr:rowOff>144780</xdr:rowOff>
    </xdr:from>
    <xdr:to>
      <xdr:col>19</xdr:col>
      <xdr:colOff>480060</xdr:colOff>
      <xdr:row>46</xdr:row>
      <xdr:rowOff>158115</xdr:rowOff>
    </xdr:to>
    <mc:AlternateContent xmlns:mc="http://schemas.openxmlformats.org/markup-compatibility/2006" xmlns:a14="http://schemas.microsoft.com/office/drawing/2010/main">
      <mc:Choice Requires="a14">
        <xdr:graphicFrame macro="">
          <xdr:nvGraphicFramePr>
            <xdr:cNvPr id="14" name="Brand 1"/>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1391900" y="5753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502920</xdr:colOff>
      <xdr:row>32</xdr:row>
      <xdr:rowOff>121920</xdr:rowOff>
    </xdr:from>
    <xdr:to>
      <xdr:col>17</xdr:col>
      <xdr:colOff>38100</xdr:colOff>
      <xdr:row>48</xdr:row>
      <xdr:rowOff>38100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632460</xdr:colOff>
      <xdr:row>10</xdr:row>
      <xdr:rowOff>137160</xdr:rowOff>
    </xdr:from>
    <xdr:to>
      <xdr:col>23</xdr:col>
      <xdr:colOff>1196340</xdr:colOff>
      <xdr:row>24</xdr:row>
      <xdr:rowOff>150495</xdr:rowOff>
    </xdr:to>
    <mc:AlternateContent xmlns:mc="http://schemas.openxmlformats.org/markup-compatibility/2006" xmlns:a14="http://schemas.microsoft.com/office/drawing/2010/main">
      <mc:Choice Requires="a14">
        <xdr:graphicFrame macro="">
          <xdr:nvGraphicFramePr>
            <xdr:cNvPr id="3"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0162520" y="1889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487680</xdr:colOff>
      <xdr:row>10</xdr:row>
      <xdr:rowOff>99060</xdr:rowOff>
    </xdr:from>
    <xdr:to>
      <xdr:col>19</xdr:col>
      <xdr:colOff>396240</xdr:colOff>
      <xdr:row>28</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06.857586111109" createdVersion="5" refreshedVersion="5" minRefreshableVersion="3" recordCount="3835">
  <cacheSource type="worksheet">
    <worksheetSource ref="A1:V3836" sheet="Sheet1"/>
  </cacheSource>
  <cacheFields count="22">
    <cacheField name="CustomerID" numFmtId="0">
      <sharedItems/>
    </cacheField>
    <cacheField name="Transaction ID" numFmtId="0">
      <sharedItems containsSemiMixedTypes="0" containsString="0" containsNumber="1" containsInteger="1" minValue="1" maxValue="3835"/>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1" maxValue="2024"/>
    </cacheField>
    <cacheField name="DATE" numFmtId="14">
      <sharedItems containsSemiMixedTypes="0" containsNonDate="0" containsDate="1" containsString="0" minDate="2021-10-09T00:00:00" maxDate="2024-10-09T00:00:00"/>
    </cacheField>
    <cacheField name="MONTH2" numFmtId="14">
      <sharedItems/>
    </cacheField>
    <cacheField name="DATE2" numFmtId="165">
      <sharedItems containsSemiMixedTypes="0" containsNonDate="0" containsDate="1" containsString="0" minDate="2021-10-09T00:00:00" maxDate="2032-04-09T00:00:00"/>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Customer Name" numFmtId="0">
      <sharedItems/>
    </cacheField>
    <cacheField name="Customer Age" numFmtId="0">
      <sharedItems containsSemiMixedTypes="0" containsString="0" containsNumber="1" containsInteger="1" minValue="18" maxValue="59"/>
    </cacheField>
    <cacheField name="Age" numFmtId="0">
      <sharedItems/>
    </cacheField>
    <cacheField name="Ratings" numFmtId="49">
      <sharedItems/>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acheField>
    <cacheField name="Customer Ratings" numFmtId="0">
      <sharedItems containsSemiMixedTypes="0" containsString="0" containsNumber="1" containsInteger="1" minValue="1" maxValue="5"/>
    </cacheField>
    <cacheField name="Mobile Model" numFmtId="0">
      <sharedItems/>
    </cacheField>
    <cacheField name="Total Sale" numFmtId="0">
      <sharedItems containsSemiMixedTypes="0" containsString="0" containsNumber="1" minValue="10115.91" maxValue="628391.79"/>
    </cacheField>
    <cacheField name="Rating" numFmtId="0">
      <sharedItems/>
    </cacheField>
    <cacheField name="Sales rating"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35">
  <r>
    <s v="Lali381"/>
    <n v="1"/>
    <n v="9"/>
    <n v="10"/>
    <n v="2021"/>
    <d v="2021-10-09T00:00:00"/>
    <s v="October"/>
    <d v="2021-10-09T00:00:00"/>
    <x v="0"/>
    <n v="6"/>
    <n v="10174.700000000001"/>
    <s v="Lalita Ahuja"/>
    <n v="38"/>
    <s v="Adult"/>
    <s v="Good"/>
    <x v="0"/>
    <s v="UPI"/>
    <n v="5"/>
    <s v="Redmi Note 10"/>
    <n v="61048.200000000004"/>
    <s v="Good"/>
    <s v="Average"/>
  </r>
  <r>
    <s v="Sneh372"/>
    <n v="2"/>
    <n v="9"/>
    <n v="10"/>
    <n v="2021"/>
    <d v="2021-10-09T00:00:00"/>
    <s v="October"/>
    <d v="2021-10-10T00:00:00"/>
    <x v="1"/>
    <n v="6"/>
    <n v="10565.19"/>
    <s v="Sneha Sharma"/>
    <n v="37"/>
    <s v="Adult"/>
    <s v="AVG"/>
    <x v="1"/>
    <s v="Credit Card"/>
    <n v="3"/>
    <s v="Vivo Y51"/>
    <n v="63391.14"/>
    <s v="Average"/>
    <s v="Average"/>
  </r>
  <r>
    <s v="Radh403"/>
    <n v="3"/>
    <n v="9"/>
    <n v="10"/>
    <n v="2021"/>
    <d v="2021-10-09T00:00:00"/>
    <s v="October"/>
    <d v="2021-10-11T00:00:00"/>
    <x v="1"/>
    <n v="8"/>
    <n v="58527.58"/>
    <s v="Radha Srivastava"/>
    <n v="40"/>
    <s v="Adult"/>
    <s v="Good"/>
    <x v="2"/>
    <s v="UPI"/>
    <n v="5"/>
    <s v="Vivo S1"/>
    <n v="468220.64"/>
    <s v="Good"/>
    <s v="Excellent"/>
  </r>
  <r>
    <s v="Bhav214"/>
    <n v="4"/>
    <n v="10"/>
    <n v="10"/>
    <n v="2021"/>
    <d v="2021-10-10T00:00:00"/>
    <s v="October"/>
    <d v="2021-10-12T00:00:00"/>
    <x v="0"/>
    <n v="5"/>
    <n v="25563.98"/>
    <s v="Bhavana Arora"/>
    <n v="21"/>
    <s v="Teenagers"/>
    <s v="Good"/>
    <x v="2"/>
    <s v="Credit Card"/>
    <n v="4"/>
    <s v="Mi 11"/>
    <n v="127819.9"/>
    <s v="Good"/>
    <s v="Good"/>
  </r>
  <r>
    <s v="Sneh385"/>
    <n v="5"/>
    <n v="10"/>
    <n v="10"/>
    <n v="2021"/>
    <d v="2021-10-10T00:00:00"/>
    <s v="October"/>
    <d v="2021-10-13T00:00:00"/>
    <x v="2"/>
    <n v="3"/>
    <n v="48168.02"/>
    <s v="Sneha Mehta"/>
    <n v="38"/>
    <s v="Adult"/>
    <s v="Good"/>
    <x v="3"/>
    <s v="Cash"/>
    <n v="5"/>
    <s v="OnePlus 9"/>
    <n v="144504.06"/>
    <s v="Good"/>
    <s v="Good"/>
  </r>
  <r>
    <s v="Reen386"/>
    <n v="6"/>
    <n v="10"/>
    <n v="10"/>
    <n v="2021"/>
    <d v="2021-10-10T00:00:00"/>
    <s v="October"/>
    <d v="2021-10-14T00:00:00"/>
    <x v="3"/>
    <n v="3"/>
    <n v="37252.870000000003"/>
    <s v="Reena Mehta"/>
    <n v="38"/>
    <s v="Adult"/>
    <s v="AVG"/>
    <x v="4"/>
    <s v="UPI"/>
    <n v="3"/>
    <s v="Galaxy Note 20"/>
    <n v="111758.61000000002"/>
    <s v="Average"/>
    <s v="Good"/>
  </r>
  <r>
    <s v="Pank187"/>
    <n v="7"/>
    <n v="10"/>
    <n v="10"/>
    <n v="2021"/>
    <d v="2021-10-10T00:00:00"/>
    <s v="October"/>
    <d v="2021-10-15T00:00:00"/>
    <x v="2"/>
    <n v="6"/>
    <n v="61805.8"/>
    <s v="Pankaj Alva"/>
    <n v="18"/>
    <s v="Teenagers"/>
    <s v="Good"/>
    <x v="1"/>
    <s v="Cash"/>
    <n v="4"/>
    <s v="OnePlus Nord"/>
    <n v="370834.80000000005"/>
    <s v="Good"/>
    <s v="Excellent"/>
  </r>
  <r>
    <s v="Mala328"/>
    <n v="8"/>
    <n v="11"/>
    <n v="10"/>
    <n v="2021"/>
    <d v="2021-10-11T00:00:00"/>
    <s v="October"/>
    <d v="2021-10-16T00:00:00"/>
    <x v="4"/>
    <n v="2"/>
    <n v="65017.67"/>
    <s v="Mala Rawat"/>
    <n v="32"/>
    <s v="Adult"/>
    <s v="AVG"/>
    <x v="5"/>
    <s v="Cash"/>
    <n v="3"/>
    <s v="iPhone 12"/>
    <n v="130035.34"/>
    <s v="Average"/>
    <s v="Good"/>
  </r>
  <r>
    <s v="Pank349"/>
    <n v="9"/>
    <n v="11"/>
    <n v="10"/>
    <n v="2021"/>
    <d v="2021-10-11T00:00:00"/>
    <s v="October"/>
    <d v="2021-10-17T00:00:00"/>
    <x v="1"/>
    <n v="6"/>
    <n v="69808.460000000006"/>
    <s v="Pankaj Varma"/>
    <n v="34"/>
    <s v="Adult"/>
    <s v="Good"/>
    <x v="1"/>
    <s v="UPI"/>
    <n v="5"/>
    <s v="Vivo Y51"/>
    <n v="418850.76"/>
    <s v="Good"/>
    <s v="Excellent"/>
  </r>
  <r>
    <s v="Yoge3110"/>
    <n v="10"/>
    <n v="11"/>
    <n v="10"/>
    <n v="2021"/>
    <d v="2021-10-11T00:00:00"/>
    <s v="October"/>
    <d v="2021-10-18T00:00:00"/>
    <x v="3"/>
    <n v="6"/>
    <n v="19221.05"/>
    <s v="Yogesh Sharma"/>
    <n v="31"/>
    <s v="Adult"/>
    <s v="BAD"/>
    <x v="2"/>
    <s v="Debit Card"/>
    <n v="2"/>
    <s v="Galaxy A51"/>
    <n v="115326.29999999999"/>
    <s v="Average"/>
    <s v="Good"/>
  </r>
  <r>
    <s v="Radh3611"/>
    <n v="11"/>
    <n v="12"/>
    <n v="10"/>
    <n v="2021"/>
    <d v="2021-10-12T00:00:00"/>
    <s v="October"/>
    <d v="2021-10-19T00:00:00"/>
    <x v="3"/>
    <n v="8"/>
    <n v="61777.84"/>
    <s v="Radha Sharma"/>
    <n v="36"/>
    <s v="Adult"/>
    <s v="Good"/>
    <x v="6"/>
    <s v="Credit Card"/>
    <n v="5"/>
    <s v="Galaxy A51"/>
    <n v="494222.72"/>
    <s v="Good"/>
    <s v="Excellent"/>
  </r>
  <r>
    <s v="Nami5112"/>
    <n v="12"/>
    <n v="12"/>
    <n v="10"/>
    <n v="2021"/>
    <d v="2021-10-12T00:00:00"/>
    <s v="October"/>
    <d v="2021-10-20T00:00:00"/>
    <x v="4"/>
    <n v="7"/>
    <n v="25961.279999999999"/>
    <s v="Namita Roy"/>
    <n v="51"/>
    <s v="Senior Citezen"/>
    <s v="Good"/>
    <x v="1"/>
    <s v="UPI"/>
    <n v="4"/>
    <s v="iPhone 12"/>
    <n v="181728.96"/>
    <s v="Good"/>
    <s v="Good"/>
  </r>
  <r>
    <s v="Rame2313"/>
    <n v="13"/>
    <n v="12"/>
    <n v="10"/>
    <n v="2021"/>
    <d v="2021-10-12T00:00:00"/>
    <s v="October"/>
    <d v="2021-10-21T00:00:00"/>
    <x v="4"/>
    <n v="8"/>
    <n v="45448.95"/>
    <s v="Ramesh Joshi"/>
    <n v="23"/>
    <s v="Teenagers"/>
    <s v="Good"/>
    <x v="2"/>
    <s v="Cash"/>
    <n v="5"/>
    <s v="iPhone 12"/>
    <n v="363591.6"/>
    <s v="Good"/>
    <s v="Excellent"/>
  </r>
  <r>
    <s v="Arun2314"/>
    <n v="14"/>
    <n v="13"/>
    <n v="10"/>
    <n v="2021"/>
    <d v="2021-10-13T00:00:00"/>
    <s v="October"/>
    <d v="2021-10-22T00:00:00"/>
    <x v="0"/>
    <n v="9"/>
    <n v="40346.370000000003"/>
    <s v="Arun Iyer"/>
    <n v="23"/>
    <s v="Teenagers"/>
    <s v="BAD"/>
    <x v="7"/>
    <s v="Credit Card"/>
    <n v="2"/>
    <s v="Redmi Note 10"/>
    <n v="363117.33"/>
    <s v="Average"/>
    <s v="Excellent"/>
  </r>
  <r>
    <s v="Mano2215"/>
    <n v="15"/>
    <n v="13"/>
    <n v="10"/>
    <n v="2021"/>
    <d v="2021-10-13T00:00:00"/>
    <s v="October"/>
    <d v="2021-10-23T00:00:00"/>
    <x v="1"/>
    <n v="6"/>
    <n v="11079.29"/>
    <s v="Manoj Siddiqui"/>
    <n v="22"/>
    <s v="Teenagers"/>
    <s v="Good"/>
    <x v="8"/>
    <s v="Cash"/>
    <n v="5"/>
    <s v="Vivo V20"/>
    <n v="66475.740000000005"/>
    <s v="Good"/>
    <s v="Average"/>
  </r>
  <r>
    <s v="Anja2416"/>
    <n v="16"/>
    <n v="13"/>
    <n v="10"/>
    <n v="2021"/>
    <d v="2021-10-13T00:00:00"/>
    <s v="October"/>
    <d v="2021-10-24T00:00:00"/>
    <x v="1"/>
    <n v="3"/>
    <n v="65966.28"/>
    <s v="Anjali Gupta"/>
    <n v="24"/>
    <s v="Teenagers"/>
    <s v="BAD"/>
    <x v="2"/>
    <s v="Credit Card"/>
    <n v="2"/>
    <s v="Vivo Y51"/>
    <n v="197898.84"/>
    <s v="Average"/>
    <s v="Good"/>
  </r>
  <r>
    <s v="Rame5017"/>
    <n v="17"/>
    <n v="14"/>
    <n v="10"/>
    <n v="2021"/>
    <d v="2021-10-14T00:00:00"/>
    <s v="October"/>
    <d v="2021-10-25T00:00:00"/>
    <x v="2"/>
    <n v="3"/>
    <n v="14699.62"/>
    <s v="Ramesh Rao"/>
    <n v="50"/>
    <s v="Senior Citezen"/>
    <s v="Good"/>
    <x v="9"/>
    <s v="UPI"/>
    <n v="4"/>
    <s v="OnePlus Nord"/>
    <n v="44098.86"/>
    <s v="Good"/>
    <s v="Low"/>
  </r>
  <r>
    <s v="Anan3018"/>
    <n v="18"/>
    <n v="14"/>
    <n v="10"/>
    <n v="2021"/>
    <d v="2021-10-14T00:00:00"/>
    <s v="October"/>
    <d v="2021-10-26T00:00:00"/>
    <x v="0"/>
    <n v="1"/>
    <n v="51293.14"/>
    <s v="Anand Pillai"/>
    <n v="30"/>
    <s v="Teenagers"/>
    <s v="AVG"/>
    <x v="1"/>
    <s v="Cash"/>
    <n v="3"/>
    <s v="Redmi Note 10"/>
    <n v="51293.14"/>
    <s v="Average"/>
    <s v="Average"/>
  </r>
  <r>
    <s v="Kira1819"/>
    <n v="19"/>
    <n v="14"/>
    <n v="10"/>
    <n v="2021"/>
    <d v="2021-10-14T00:00:00"/>
    <s v="October"/>
    <d v="2021-10-27T00:00:00"/>
    <x v="0"/>
    <n v="5"/>
    <n v="57100.41"/>
    <s v="Kiran Rawat"/>
    <n v="18"/>
    <s v="Teenagers"/>
    <s v="Good"/>
    <x v="2"/>
    <s v="Credit Card"/>
    <n v="4"/>
    <s v="Redmi Note 10"/>
    <n v="285502.05000000005"/>
    <s v="Good"/>
    <s v="Excellent"/>
  </r>
  <r>
    <s v="Hari3020"/>
    <n v="20"/>
    <n v="14"/>
    <n v="10"/>
    <n v="2021"/>
    <d v="2021-10-14T00:00:00"/>
    <s v="October"/>
    <d v="2021-10-28T00:00:00"/>
    <x v="0"/>
    <n v="4"/>
    <n v="57717.27"/>
    <s v="Harish Kaur"/>
    <n v="30"/>
    <s v="Teenagers"/>
    <s v="Good"/>
    <x v="2"/>
    <s v="Credit Card"/>
    <n v="5"/>
    <s v="Redmi Note 10"/>
    <n v="230869.08"/>
    <s v="Good"/>
    <s v="Excellent"/>
  </r>
  <r>
    <s v="Mano4421"/>
    <n v="21"/>
    <n v="15"/>
    <n v="10"/>
    <n v="2021"/>
    <d v="2021-10-15T00:00:00"/>
    <s v="October"/>
    <d v="2021-10-29T00:00:00"/>
    <x v="0"/>
    <n v="9"/>
    <n v="18129.669999999998"/>
    <s v="Manoj Luthra"/>
    <n v="44"/>
    <s v="Adult"/>
    <s v="Good"/>
    <x v="9"/>
    <s v="UPI"/>
    <n v="4"/>
    <s v="Mi 11"/>
    <n v="163167.02999999997"/>
    <s v="Good"/>
    <s v="Good"/>
  </r>
  <r>
    <s v="Jyot2422"/>
    <n v="22"/>
    <n v="15"/>
    <n v="10"/>
    <n v="2021"/>
    <d v="2021-10-15T00:00:00"/>
    <s v="October"/>
    <d v="2021-10-30T00:00:00"/>
    <x v="1"/>
    <n v="9"/>
    <n v="36854.199999999997"/>
    <s v="Jyoti Roy"/>
    <n v="24"/>
    <s v="Teenagers"/>
    <s v="Good"/>
    <x v="5"/>
    <s v="Credit Card"/>
    <n v="5"/>
    <s v="Vivo S1"/>
    <n v="331687.8"/>
    <s v="Good"/>
    <s v="Excellent"/>
  </r>
  <r>
    <s v="Raje2023"/>
    <n v="23"/>
    <n v="15"/>
    <n v="10"/>
    <n v="2021"/>
    <d v="2021-10-15T00:00:00"/>
    <s v="October"/>
    <d v="2021-10-31T00:00:00"/>
    <x v="1"/>
    <n v="5"/>
    <n v="59765.73"/>
    <s v="Rajesh Sheth"/>
    <n v="20"/>
    <s v="Teenagers"/>
    <s v="Good"/>
    <x v="10"/>
    <s v="Credit Card"/>
    <n v="5"/>
    <s v="Vivo S1"/>
    <n v="298828.65000000002"/>
    <s v="Good"/>
    <s v="Excellent"/>
  </r>
  <r>
    <s v="Mala4224"/>
    <n v="24"/>
    <n v="16"/>
    <n v="10"/>
    <n v="2021"/>
    <d v="2021-10-16T00:00:00"/>
    <s v="October"/>
    <d v="2021-11-01T00:00:00"/>
    <x v="0"/>
    <n v="4"/>
    <n v="28160.75"/>
    <s v="Mala Ghosh"/>
    <n v="42"/>
    <s v="Adult"/>
    <s v="Good"/>
    <x v="2"/>
    <s v="Cash"/>
    <n v="5"/>
    <s v="Redmi Note 10"/>
    <n v="112643"/>
    <s v="Good"/>
    <s v="Good"/>
  </r>
  <r>
    <s v="Reen5025"/>
    <n v="25"/>
    <n v="16"/>
    <n v="10"/>
    <n v="2021"/>
    <d v="2021-10-16T00:00:00"/>
    <s v="October"/>
    <d v="2021-11-02T00:00:00"/>
    <x v="2"/>
    <n v="7"/>
    <n v="38064.92"/>
    <s v="Reena Teja"/>
    <n v="50"/>
    <s v="Senior Citezen"/>
    <s v="BAD"/>
    <x v="1"/>
    <s v="UPI"/>
    <n v="2"/>
    <s v="OnePlus Nord"/>
    <n v="266454.44"/>
    <s v="Average"/>
    <s v="Excellent"/>
  </r>
  <r>
    <s v="Bhav5726"/>
    <n v="26"/>
    <n v="16"/>
    <n v="10"/>
    <n v="2021"/>
    <d v="2021-10-16T00:00:00"/>
    <s v="October"/>
    <d v="2021-11-03T00:00:00"/>
    <x v="3"/>
    <n v="6"/>
    <n v="26367.63"/>
    <s v="Bhavana Dutta"/>
    <n v="57"/>
    <s v="Senior Citezen"/>
    <s v="Good"/>
    <x v="1"/>
    <s v="UPI"/>
    <n v="5"/>
    <s v="Galaxy Note 20"/>
    <n v="158205.78"/>
    <s v="Good"/>
    <s v="Good"/>
  </r>
  <r>
    <s v="Yoge3427"/>
    <n v="27"/>
    <n v="17"/>
    <n v="10"/>
    <n v="2021"/>
    <d v="2021-10-17T00:00:00"/>
    <s v="October"/>
    <d v="2021-11-04T00:00:00"/>
    <x v="3"/>
    <n v="4"/>
    <n v="37813.089999999997"/>
    <s v="Yogesh Ahuja"/>
    <n v="34"/>
    <s v="Adult"/>
    <s v="Good"/>
    <x v="1"/>
    <s v="Cash"/>
    <n v="4"/>
    <s v="Galaxy A51"/>
    <n v="151252.35999999999"/>
    <s v="Good"/>
    <s v="Good"/>
  </r>
  <r>
    <s v="Isha3128"/>
    <n v="28"/>
    <n v="17"/>
    <n v="10"/>
    <n v="2021"/>
    <d v="2021-10-17T00:00:00"/>
    <s v="October"/>
    <d v="2021-11-05T00:00:00"/>
    <x v="2"/>
    <n v="2"/>
    <n v="63270.28"/>
    <s v="Isha Desai"/>
    <n v="31"/>
    <s v="Adult"/>
    <s v="Good"/>
    <x v="5"/>
    <s v="Debit Card"/>
    <n v="4"/>
    <s v="OnePlus 9"/>
    <n v="126540.56"/>
    <s v="Good"/>
    <s v="Good"/>
  </r>
  <r>
    <s v="Tapa5429"/>
    <n v="29"/>
    <n v="17"/>
    <n v="10"/>
    <n v="2021"/>
    <d v="2021-10-17T00:00:00"/>
    <s v="October"/>
    <d v="2021-11-06T00:00:00"/>
    <x v="0"/>
    <n v="1"/>
    <n v="37307.449999999997"/>
    <s v="Tapan Shah"/>
    <n v="54"/>
    <s v="Senior Citezen"/>
    <s v="Good"/>
    <x v="1"/>
    <s v="Cash"/>
    <n v="4"/>
    <s v="Redmi 9"/>
    <n v="37307.449999999997"/>
    <s v="Good"/>
    <s v="Low"/>
  </r>
  <r>
    <s v="Vino4030"/>
    <n v="30"/>
    <n v="18"/>
    <n v="10"/>
    <n v="2021"/>
    <d v="2021-10-18T00:00:00"/>
    <s v="October"/>
    <d v="2021-11-07T00:00:00"/>
    <x v="1"/>
    <n v="4"/>
    <n v="43354.720000000001"/>
    <s v="Vinod Pathak"/>
    <n v="40"/>
    <s v="Adult"/>
    <s v="Good"/>
    <x v="1"/>
    <s v="Cash"/>
    <n v="5"/>
    <s v="Vivo Y51"/>
    <n v="173418.88"/>
    <s v="Good"/>
    <s v="Good"/>
  </r>
  <r>
    <s v="Bhav4131"/>
    <n v="31"/>
    <n v="18"/>
    <n v="10"/>
    <n v="2021"/>
    <d v="2021-10-18T00:00:00"/>
    <s v="October"/>
    <d v="2021-11-08T00:00:00"/>
    <x v="3"/>
    <n v="4"/>
    <n v="34238.58"/>
    <s v="Bhavana Siddiqui"/>
    <n v="41"/>
    <s v="Adult"/>
    <s v="BAD"/>
    <x v="0"/>
    <s v="Debit Card"/>
    <n v="2"/>
    <s v="Galaxy Note 20"/>
    <n v="136954.32"/>
    <s v="Average"/>
    <s v="Good"/>
  </r>
  <r>
    <s v="Meen4632"/>
    <n v="32"/>
    <n v="18"/>
    <n v="10"/>
    <n v="2021"/>
    <d v="2021-10-18T00:00:00"/>
    <s v="October"/>
    <d v="2021-11-09T00:00:00"/>
    <x v="4"/>
    <n v="1"/>
    <n v="37607.03"/>
    <s v="Meena Mathur"/>
    <n v="46"/>
    <s v="Senior Citezen"/>
    <s v="Good"/>
    <x v="2"/>
    <s v="Credit Card"/>
    <n v="5"/>
    <s v="iPhone SE"/>
    <n v="37607.03"/>
    <s v="Good"/>
    <s v="Low"/>
  </r>
  <r>
    <s v="Sumi5533"/>
    <n v="33"/>
    <n v="18"/>
    <n v="10"/>
    <n v="2021"/>
    <d v="2021-10-18T00:00:00"/>
    <s v="October"/>
    <d v="2021-11-10T00:00:00"/>
    <x v="4"/>
    <n v="6"/>
    <n v="10910.45"/>
    <s v="Sumit Pillai"/>
    <n v="55"/>
    <s v="Senior Citezen"/>
    <s v="AVG"/>
    <x v="11"/>
    <s v="UPI"/>
    <n v="3"/>
    <s v="iPhone SE"/>
    <n v="65462.700000000004"/>
    <s v="Average"/>
    <s v="Average"/>
  </r>
  <r>
    <s v="Vino4434"/>
    <n v="34"/>
    <n v="19"/>
    <n v="10"/>
    <n v="2021"/>
    <d v="2021-10-19T00:00:00"/>
    <s v="October"/>
    <d v="2021-11-11T00:00:00"/>
    <x v="2"/>
    <n v="4"/>
    <n v="27024.73"/>
    <s v="Vinod Dutta"/>
    <n v="44"/>
    <s v="Adult"/>
    <s v="Good"/>
    <x v="2"/>
    <s v="UPI"/>
    <n v="5"/>
    <s v="OnePlus 9"/>
    <n v="108098.92"/>
    <s v="Good"/>
    <s v="Good"/>
  </r>
  <r>
    <s v="Shru5535"/>
    <n v="35"/>
    <n v="19"/>
    <n v="10"/>
    <n v="2021"/>
    <d v="2021-10-19T00:00:00"/>
    <s v="October"/>
    <d v="2021-11-12T00:00:00"/>
    <x v="0"/>
    <n v="1"/>
    <n v="36194.9"/>
    <s v="Shruti Bhatnagar"/>
    <n v="55"/>
    <s v="Senior Citezen"/>
    <s v="Good"/>
    <x v="12"/>
    <s v="Debit Card"/>
    <n v="4"/>
    <s v="Redmi Note 10"/>
    <n v="36194.9"/>
    <s v="Good"/>
    <s v="Low"/>
  </r>
  <r>
    <s v="Pank5736"/>
    <n v="36"/>
    <n v="19"/>
    <n v="10"/>
    <n v="2021"/>
    <d v="2021-10-19T00:00:00"/>
    <s v="October"/>
    <d v="2021-11-13T00:00:00"/>
    <x v="3"/>
    <n v="1"/>
    <n v="48027.82"/>
    <s v="Pankaj Shah"/>
    <n v="57"/>
    <s v="Senior Citezen"/>
    <s v="AVG"/>
    <x v="10"/>
    <s v="UPI"/>
    <n v="3"/>
    <s v="Galaxy S21"/>
    <n v="48027.82"/>
    <s v="Average"/>
    <s v="Low"/>
  </r>
  <r>
    <s v="Deep4037"/>
    <n v="37"/>
    <n v="20"/>
    <n v="10"/>
    <n v="2021"/>
    <d v="2021-10-20T00:00:00"/>
    <s v="October"/>
    <d v="2021-11-14T00:00:00"/>
    <x v="0"/>
    <n v="1"/>
    <n v="37003.120000000003"/>
    <s v="Deepika Verma"/>
    <n v="40"/>
    <s v="Adult"/>
    <s v="AVG"/>
    <x v="9"/>
    <s v="Debit Card"/>
    <n v="3"/>
    <s v="Redmi 9"/>
    <n v="37003.120000000003"/>
    <s v="Average"/>
    <s v="Low"/>
  </r>
  <r>
    <s v="Sanj4838"/>
    <n v="38"/>
    <n v="20"/>
    <n v="10"/>
    <n v="2021"/>
    <d v="2021-10-20T00:00:00"/>
    <s v="October"/>
    <d v="2021-11-15T00:00:00"/>
    <x v="3"/>
    <n v="8"/>
    <n v="30269.02"/>
    <s v="Sanjay Joshi"/>
    <n v="48"/>
    <s v="Senior Citezen"/>
    <s v="Good"/>
    <x v="0"/>
    <s v="Credit Card"/>
    <n v="5"/>
    <s v="Galaxy Note 20"/>
    <n v="242152.16"/>
    <s v="Good"/>
    <s v="Excellent"/>
  </r>
  <r>
    <s v="Umes5339"/>
    <n v="39"/>
    <n v="20"/>
    <n v="10"/>
    <n v="2021"/>
    <d v="2021-10-20T00:00:00"/>
    <s v="October"/>
    <d v="2021-11-16T00:00:00"/>
    <x v="2"/>
    <n v="8"/>
    <n v="33285.919999999998"/>
    <s v="Umesh Goyal"/>
    <n v="53"/>
    <s v="Senior Citezen"/>
    <s v="Good"/>
    <x v="1"/>
    <s v="Debit Card"/>
    <n v="5"/>
    <s v="OnePlus 8T"/>
    <n v="266287.35999999999"/>
    <s v="Good"/>
    <s v="Excellent"/>
  </r>
  <r>
    <s v="Raje3440"/>
    <n v="40"/>
    <n v="21"/>
    <n v="10"/>
    <n v="2021"/>
    <d v="2021-10-21T00:00:00"/>
    <s v="October"/>
    <d v="2021-11-17T00:00:00"/>
    <x v="2"/>
    <n v="2"/>
    <n v="24537.599999999999"/>
    <s v="Rajesh Verma"/>
    <n v="34"/>
    <s v="Adult"/>
    <s v="Good"/>
    <x v="1"/>
    <s v="UPI"/>
    <n v="5"/>
    <s v="OnePlus Nord"/>
    <n v="49075.199999999997"/>
    <s v="Good"/>
    <s v="Low"/>
  </r>
  <r>
    <s v="Pooj5441"/>
    <n v="41"/>
    <n v="21"/>
    <n v="10"/>
    <n v="2021"/>
    <d v="2021-10-21T00:00:00"/>
    <s v="October"/>
    <d v="2021-11-18T00:00:00"/>
    <x v="4"/>
    <n v="7"/>
    <n v="65469.66"/>
    <s v="Pooja Rao"/>
    <n v="54"/>
    <s v="Senior Citezen"/>
    <s v="Good"/>
    <x v="1"/>
    <s v="UPI"/>
    <n v="5"/>
    <s v="iPhone 11"/>
    <n v="458287.62"/>
    <s v="Good"/>
    <s v="Excellent"/>
  </r>
  <r>
    <s v="Jyot2042"/>
    <n v="42"/>
    <n v="21"/>
    <n v="10"/>
    <n v="2021"/>
    <d v="2021-10-21T00:00:00"/>
    <s v="October"/>
    <d v="2021-11-19T00:00:00"/>
    <x v="0"/>
    <n v="8"/>
    <n v="41304.589999999997"/>
    <s v="Jyoti Mishra"/>
    <n v="20"/>
    <s v="Teenagers"/>
    <s v="BAD"/>
    <x v="2"/>
    <s v="Debit Card"/>
    <n v="2"/>
    <s v="Mi 11"/>
    <n v="330436.71999999997"/>
    <s v="Average"/>
    <s v="Excellent"/>
  </r>
  <r>
    <s v="Sach5343"/>
    <n v="43"/>
    <n v="22"/>
    <n v="10"/>
    <n v="2021"/>
    <d v="2021-10-22T00:00:00"/>
    <s v="October"/>
    <d v="2021-11-20T00:00:00"/>
    <x v="4"/>
    <n v="8"/>
    <n v="10804.57"/>
    <s v="Sachin Desai"/>
    <n v="53"/>
    <s v="Senior Citezen"/>
    <s v="Good"/>
    <x v="0"/>
    <s v="UPI"/>
    <n v="5"/>
    <s v="iPhone SE"/>
    <n v="86436.56"/>
    <s v="Good"/>
    <s v="Average"/>
  </r>
  <r>
    <s v="Mano2244"/>
    <n v="44"/>
    <n v="22"/>
    <n v="10"/>
    <n v="2021"/>
    <d v="2021-10-22T00:00:00"/>
    <s v="October"/>
    <d v="2021-11-21T00:00:00"/>
    <x v="0"/>
    <n v="7"/>
    <n v="11166.78"/>
    <s v="Manoj Jain"/>
    <n v="22"/>
    <s v="Teenagers"/>
    <s v="Good"/>
    <x v="11"/>
    <s v="Debit Card"/>
    <n v="5"/>
    <s v="Mi 11"/>
    <n v="78167.460000000006"/>
    <s v="Good"/>
    <s v="Average"/>
  </r>
  <r>
    <s v="Deep3245"/>
    <n v="45"/>
    <n v="22"/>
    <n v="10"/>
    <n v="2021"/>
    <d v="2021-10-22T00:00:00"/>
    <s v="October"/>
    <d v="2021-11-22T00:00:00"/>
    <x v="4"/>
    <n v="5"/>
    <n v="68377.7"/>
    <s v="Deepika Shah"/>
    <n v="32"/>
    <s v="Adult"/>
    <s v="Good"/>
    <x v="8"/>
    <s v="UPI"/>
    <n v="5"/>
    <s v="iPhone SE"/>
    <n v="341888.5"/>
    <s v="Good"/>
    <s v="Excellent"/>
  </r>
  <r>
    <s v="Priy2346"/>
    <n v="46"/>
    <n v="23"/>
    <n v="10"/>
    <n v="2021"/>
    <d v="2021-10-23T00:00:00"/>
    <s v="October"/>
    <d v="2021-11-23T00:00:00"/>
    <x v="1"/>
    <n v="1"/>
    <n v="23287.05"/>
    <s v="Priyanka Pillai"/>
    <n v="23"/>
    <s v="Teenagers"/>
    <s v="Good"/>
    <x v="6"/>
    <s v="Cash"/>
    <n v="5"/>
    <s v="Vivo V20"/>
    <n v="23287.05"/>
    <s v="Good"/>
    <s v="Low"/>
  </r>
  <r>
    <s v="Pooj2747"/>
    <n v="47"/>
    <n v="23"/>
    <n v="10"/>
    <n v="2021"/>
    <d v="2021-10-23T00:00:00"/>
    <s v="October"/>
    <d v="2021-11-24T00:00:00"/>
    <x v="1"/>
    <n v="9"/>
    <n v="58336.5"/>
    <s v="Pooja Arora"/>
    <n v="27"/>
    <s v="Teenagers"/>
    <s v="Good"/>
    <x v="1"/>
    <s v="Credit Card"/>
    <n v="5"/>
    <s v="Vivo Y51"/>
    <n v="525028.5"/>
    <s v="Good"/>
    <s v="Excellent"/>
  </r>
  <r>
    <s v="Tanu4948"/>
    <n v="48"/>
    <n v="23"/>
    <n v="10"/>
    <n v="2021"/>
    <d v="2021-10-23T00:00:00"/>
    <s v="October"/>
    <d v="2021-11-25T00:00:00"/>
    <x v="1"/>
    <n v="7"/>
    <n v="13496.52"/>
    <s v="Tanuja Prasad"/>
    <n v="49"/>
    <s v="Senior Citezen"/>
    <s v="Good"/>
    <x v="13"/>
    <s v="UPI"/>
    <n v="5"/>
    <s v="Vivo S1"/>
    <n v="94475.64"/>
    <s v="Good"/>
    <s v="Average"/>
  </r>
  <r>
    <s v="Moni4049"/>
    <n v="49"/>
    <n v="23"/>
    <n v="10"/>
    <n v="2021"/>
    <d v="2021-10-23T00:00:00"/>
    <s v="October"/>
    <d v="2021-11-26T00:00:00"/>
    <x v="1"/>
    <n v="2"/>
    <n v="65269.760000000002"/>
    <s v="Monika Thakur"/>
    <n v="40"/>
    <s v="Adult"/>
    <s v="Good"/>
    <x v="2"/>
    <s v="UPI"/>
    <n v="5"/>
    <s v="Vivo Y51"/>
    <n v="130539.52"/>
    <s v="Good"/>
    <s v="Good"/>
  </r>
  <r>
    <s v="Anan3450"/>
    <n v="50"/>
    <n v="24"/>
    <n v="10"/>
    <n v="2021"/>
    <d v="2021-10-24T00:00:00"/>
    <s v="October"/>
    <d v="2021-11-27T00:00:00"/>
    <x v="3"/>
    <n v="6"/>
    <n v="62465.02"/>
    <s v="Anand Nair"/>
    <n v="34"/>
    <s v="Adult"/>
    <s v="BAD"/>
    <x v="6"/>
    <s v="UPI"/>
    <n v="2"/>
    <s v="Galaxy Note 20"/>
    <n v="374790.12"/>
    <s v="Average"/>
    <s v="Excellent"/>
  </r>
  <r>
    <s v="Vino3751"/>
    <n v="51"/>
    <n v="24"/>
    <n v="10"/>
    <n v="2021"/>
    <d v="2021-10-24T00:00:00"/>
    <s v="October"/>
    <d v="2021-11-28T00:00:00"/>
    <x v="1"/>
    <n v="2"/>
    <n v="44265.59"/>
    <s v="Vinod Kaur"/>
    <n v="37"/>
    <s v="Adult"/>
    <s v="Good"/>
    <x v="14"/>
    <s v="Debit Card"/>
    <n v="5"/>
    <s v="Vivo V20"/>
    <n v="88531.18"/>
    <s v="Good"/>
    <s v="Average"/>
  </r>
  <r>
    <s v="Yoge5852"/>
    <n v="52"/>
    <n v="24"/>
    <n v="10"/>
    <n v="2021"/>
    <d v="2021-10-24T00:00:00"/>
    <s v="October"/>
    <d v="2021-11-29T00:00:00"/>
    <x v="2"/>
    <n v="1"/>
    <n v="10539.92"/>
    <s v="Yogesh Roy"/>
    <n v="58"/>
    <s v="Senior Citezen"/>
    <s v="Good"/>
    <x v="1"/>
    <s v="UPI"/>
    <n v="5"/>
    <s v="OnePlus Nord"/>
    <n v="10539.92"/>
    <s v="Good"/>
    <s v="Low"/>
  </r>
  <r>
    <s v="Kris3253"/>
    <n v="53"/>
    <n v="25"/>
    <n v="10"/>
    <n v="2021"/>
    <d v="2021-10-25T00:00:00"/>
    <s v="October"/>
    <d v="2021-11-30T00:00:00"/>
    <x v="2"/>
    <n v="7"/>
    <n v="25468.65"/>
    <s v="Krishna Mehta"/>
    <n v="32"/>
    <s v="Adult"/>
    <s v="Good"/>
    <x v="15"/>
    <s v="Debit Card"/>
    <n v="5"/>
    <s v="OnePlus 9"/>
    <n v="178280.55000000002"/>
    <s v="Good"/>
    <s v="Good"/>
  </r>
  <r>
    <s v="Mala3954"/>
    <n v="54"/>
    <n v="25"/>
    <n v="10"/>
    <n v="2021"/>
    <d v="2021-10-25T00:00:00"/>
    <s v="October"/>
    <d v="2021-12-01T00:00:00"/>
    <x v="3"/>
    <n v="2"/>
    <n v="34409.360000000001"/>
    <s v="Mala Malhotra"/>
    <n v="39"/>
    <s v="Adult"/>
    <s v="BAD"/>
    <x v="13"/>
    <s v="UPI"/>
    <n v="2"/>
    <s v="Galaxy Note 20"/>
    <n v="68818.720000000001"/>
    <s v="Average"/>
    <s v="Average"/>
  </r>
  <r>
    <s v="Suni2355"/>
    <n v="55"/>
    <n v="25"/>
    <n v="10"/>
    <n v="2021"/>
    <d v="2021-10-25T00:00:00"/>
    <s v="October"/>
    <d v="2021-12-02T00:00:00"/>
    <x v="1"/>
    <n v="2"/>
    <n v="37603.85"/>
    <s v="Sunita Thakur"/>
    <n v="23"/>
    <s v="Teenagers"/>
    <s v="BAD"/>
    <x v="2"/>
    <s v="Cash"/>
    <n v="2"/>
    <s v="Vivo Y51"/>
    <n v="75207.7"/>
    <s v="Average"/>
    <s v="Average"/>
  </r>
  <r>
    <s v="Kavi2156"/>
    <n v="56"/>
    <n v="25"/>
    <n v="10"/>
    <n v="2021"/>
    <d v="2021-10-25T00:00:00"/>
    <s v="October"/>
    <d v="2021-12-03T00:00:00"/>
    <x v="1"/>
    <n v="5"/>
    <n v="27860.73"/>
    <s v="Kavita Sheth"/>
    <n v="21"/>
    <s v="Teenagers"/>
    <s v="Good"/>
    <x v="1"/>
    <s v="Cash"/>
    <n v="5"/>
    <s v="Vivo Y51"/>
    <n v="139303.65"/>
    <s v="Good"/>
    <s v="Good"/>
  </r>
  <r>
    <s v="Anja4057"/>
    <n v="57"/>
    <n v="26"/>
    <n v="10"/>
    <n v="2021"/>
    <d v="2021-10-26T00:00:00"/>
    <s v="October"/>
    <d v="2021-12-04T00:00:00"/>
    <x v="1"/>
    <n v="5"/>
    <n v="11976.87"/>
    <s v="Anjali Roy"/>
    <n v="40"/>
    <s v="Adult"/>
    <s v="Good"/>
    <x v="10"/>
    <s v="Credit Card"/>
    <n v="5"/>
    <s v="Vivo S1"/>
    <n v="59884.350000000006"/>
    <s v="Good"/>
    <s v="Average"/>
  </r>
  <r>
    <s v="Shru3658"/>
    <n v="58"/>
    <n v="26"/>
    <n v="10"/>
    <n v="2021"/>
    <d v="2021-10-26T00:00:00"/>
    <s v="October"/>
    <d v="2021-12-05T00:00:00"/>
    <x v="4"/>
    <n v="7"/>
    <n v="45407.64"/>
    <s v="Shruti Dutta"/>
    <n v="36"/>
    <s v="Adult"/>
    <s v="Good"/>
    <x v="1"/>
    <s v="Debit Card"/>
    <n v="4"/>
    <s v="iPhone 12"/>
    <n v="317853.48"/>
    <s v="Good"/>
    <s v="Excellent"/>
  </r>
  <r>
    <s v="Deve4859"/>
    <n v="59"/>
    <n v="26"/>
    <n v="10"/>
    <n v="2021"/>
    <d v="2021-10-26T00:00:00"/>
    <s v="October"/>
    <d v="2021-12-06T00:00:00"/>
    <x v="0"/>
    <n v="1"/>
    <n v="41449.279999999999"/>
    <s v="Devendra Jain"/>
    <n v="48"/>
    <s v="Senior Citezen"/>
    <s v="Good"/>
    <x v="12"/>
    <s v="Credit Card"/>
    <n v="5"/>
    <s v="Redmi 9"/>
    <n v="41449.279999999999"/>
    <s v="Good"/>
    <s v="Low"/>
  </r>
  <r>
    <s v="Jyot2060"/>
    <n v="60"/>
    <n v="26"/>
    <n v="10"/>
    <n v="2021"/>
    <d v="2021-10-26T00:00:00"/>
    <s v="October"/>
    <d v="2021-12-07T00:00:00"/>
    <x v="4"/>
    <n v="8"/>
    <n v="26980.04"/>
    <s v="Jyoti Bhattacharya"/>
    <n v="20"/>
    <s v="Teenagers"/>
    <s v="BAD"/>
    <x v="12"/>
    <s v="UPI"/>
    <n v="2"/>
    <s v="iPhone 11"/>
    <n v="215840.32"/>
    <s v="Average"/>
    <s v="Excellent"/>
  </r>
  <r>
    <s v="Kavi4561"/>
    <n v="61"/>
    <n v="27"/>
    <n v="10"/>
    <n v="2021"/>
    <d v="2021-10-27T00:00:00"/>
    <s v="October"/>
    <d v="2021-12-08T00:00:00"/>
    <x v="0"/>
    <n v="3"/>
    <n v="12278.56"/>
    <s v="Kavita Srivastava"/>
    <n v="45"/>
    <s v="Adult"/>
    <s v="Good"/>
    <x v="2"/>
    <s v="UPI"/>
    <n v="4"/>
    <s v="Redmi Note 10"/>
    <n v="36835.68"/>
    <s v="Good"/>
    <s v="Low"/>
  </r>
  <r>
    <s v="Radh2062"/>
    <n v="62"/>
    <n v="27"/>
    <n v="10"/>
    <n v="2021"/>
    <d v="2021-10-27T00:00:00"/>
    <s v="October"/>
    <d v="2021-12-09T00:00:00"/>
    <x v="1"/>
    <n v="4"/>
    <n v="69675.649999999994"/>
    <s v="Radha Mathur"/>
    <n v="20"/>
    <s v="Teenagers"/>
    <s v="Good"/>
    <x v="6"/>
    <s v="Cash"/>
    <n v="5"/>
    <s v="Vivo Y51"/>
    <n v="278702.59999999998"/>
    <s v="Good"/>
    <s v="Excellent"/>
  </r>
  <r>
    <s v="Lata3163"/>
    <n v="63"/>
    <n v="27"/>
    <n v="10"/>
    <n v="2021"/>
    <d v="2021-10-27T00:00:00"/>
    <s v="October"/>
    <d v="2021-12-10T00:00:00"/>
    <x v="1"/>
    <n v="9"/>
    <n v="38919.17"/>
    <s v="Lata Shah"/>
    <n v="31"/>
    <s v="Adult"/>
    <s v="Good"/>
    <x v="3"/>
    <s v="Credit Card"/>
    <n v="5"/>
    <s v="Vivo V20"/>
    <n v="350272.52999999997"/>
    <s v="Good"/>
    <s v="Excellent"/>
  </r>
  <r>
    <s v="Sumi3564"/>
    <n v="64"/>
    <n v="27"/>
    <n v="10"/>
    <n v="2021"/>
    <d v="2021-10-27T00:00:00"/>
    <s v="October"/>
    <d v="2021-12-11T00:00:00"/>
    <x v="4"/>
    <n v="4"/>
    <n v="55360.25"/>
    <s v="Sumit Ghosh"/>
    <n v="35"/>
    <s v="Adult"/>
    <s v="Good"/>
    <x v="0"/>
    <s v="UPI"/>
    <n v="4"/>
    <s v="iPhone SE"/>
    <n v="221441"/>
    <s v="Good"/>
    <s v="Excellent"/>
  </r>
  <r>
    <s v="Tanu4465"/>
    <n v="65"/>
    <n v="28"/>
    <n v="10"/>
    <n v="2021"/>
    <d v="2021-10-28T00:00:00"/>
    <s v="October"/>
    <d v="2021-12-12T00:00:00"/>
    <x v="4"/>
    <n v="5"/>
    <n v="37138.839999999997"/>
    <s v="Tanuja Dutta"/>
    <n v="44"/>
    <s v="Adult"/>
    <s v="Good"/>
    <x v="12"/>
    <s v="UPI"/>
    <n v="5"/>
    <s v="iPhone SE"/>
    <n v="185694.19999999998"/>
    <s v="Good"/>
    <s v="Good"/>
  </r>
  <r>
    <s v="Rame2766"/>
    <n v="66"/>
    <n v="28"/>
    <n v="10"/>
    <n v="2021"/>
    <d v="2021-10-28T00:00:00"/>
    <s v="October"/>
    <d v="2021-12-13T00:00:00"/>
    <x v="0"/>
    <n v="7"/>
    <n v="12590.22"/>
    <s v="Ramesh Kumar"/>
    <n v="27"/>
    <s v="Teenagers"/>
    <s v="Good"/>
    <x v="0"/>
    <s v="Debit Card"/>
    <n v="4"/>
    <s v="Redmi 9"/>
    <n v="88131.54"/>
    <s v="Good"/>
    <s v="Average"/>
  </r>
  <r>
    <s v="Suni3267"/>
    <n v="67"/>
    <n v="28"/>
    <n v="10"/>
    <n v="2021"/>
    <d v="2021-10-28T00:00:00"/>
    <s v="October"/>
    <d v="2021-12-14T00:00:00"/>
    <x v="2"/>
    <n v="4"/>
    <n v="28576.04"/>
    <s v="Sunil Luthra"/>
    <n v="32"/>
    <s v="Adult"/>
    <s v="Good"/>
    <x v="16"/>
    <s v="UPI"/>
    <n v="5"/>
    <s v="OnePlus Nord"/>
    <n v="114304.16"/>
    <s v="Good"/>
    <s v="Good"/>
  </r>
  <r>
    <s v="Kavi3668"/>
    <n v="68"/>
    <n v="29"/>
    <n v="10"/>
    <n v="2021"/>
    <d v="2021-10-29T00:00:00"/>
    <s v="October"/>
    <d v="2021-12-15T00:00:00"/>
    <x v="0"/>
    <n v="1"/>
    <n v="29206.61"/>
    <s v="Kavita Solanki"/>
    <n v="36"/>
    <s v="Adult"/>
    <s v="Good"/>
    <x v="12"/>
    <s v="Credit Card"/>
    <n v="5"/>
    <s v="Redmi 9"/>
    <n v="29206.61"/>
    <s v="Good"/>
    <s v="Low"/>
  </r>
  <r>
    <s v="Meen2669"/>
    <n v="69"/>
    <n v="29"/>
    <n v="10"/>
    <n v="2021"/>
    <d v="2021-10-29T00:00:00"/>
    <s v="October"/>
    <d v="2021-12-16T00:00:00"/>
    <x v="4"/>
    <n v="9"/>
    <n v="60301.17"/>
    <s v="Meena Thakur"/>
    <n v="26"/>
    <s v="Teenagers"/>
    <s v="Good"/>
    <x v="8"/>
    <s v="Cash"/>
    <n v="5"/>
    <s v="iPhone 12"/>
    <n v="542710.53"/>
    <s v="Good"/>
    <s v="Excellent"/>
  </r>
  <r>
    <s v="Pooj2170"/>
    <n v="70"/>
    <n v="29"/>
    <n v="10"/>
    <n v="2021"/>
    <d v="2021-10-29T00:00:00"/>
    <s v="October"/>
    <d v="2021-12-17T00:00:00"/>
    <x v="4"/>
    <n v="4"/>
    <n v="49253.8"/>
    <s v="Pooja Reddy"/>
    <n v="21"/>
    <s v="Teenagers"/>
    <s v="Good"/>
    <x v="1"/>
    <s v="Cash"/>
    <n v="5"/>
    <s v="iPhone 12"/>
    <n v="197015.2"/>
    <s v="Good"/>
    <s v="Good"/>
  </r>
  <r>
    <s v="Ayes3271"/>
    <n v="71"/>
    <n v="29"/>
    <n v="10"/>
    <n v="2021"/>
    <d v="2021-10-29T00:00:00"/>
    <s v="October"/>
    <d v="2021-12-18T00:00:00"/>
    <x v="3"/>
    <n v="9"/>
    <n v="26525.79"/>
    <s v="Ayesha Ghosh"/>
    <n v="32"/>
    <s v="Adult"/>
    <s v="AVG"/>
    <x v="14"/>
    <s v="UPI"/>
    <n v="3"/>
    <s v="Galaxy Note 20"/>
    <n v="238732.11000000002"/>
    <s v="Average"/>
    <s v="Excellent"/>
  </r>
  <r>
    <s v="Yoge2572"/>
    <n v="72"/>
    <n v="30"/>
    <n v="10"/>
    <n v="2021"/>
    <d v="2021-10-30T00:00:00"/>
    <s v="October"/>
    <d v="2021-12-19T00:00:00"/>
    <x v="4"/>
    <n v="6"/>
    <n v="68064.399999999994"/>
    <s v="Yogesh Ahuja"/>
    <n v="25"/>
    <s v="Teenagers"/>
    <s v="Good"/>
    <x v="17"/>
    <s v="UPI"/>
    <n v="4"/>
    <s v="iPhone 12"/>
    <n v="408386.39999999997"/>
    <s v="Good"/>
    <s v="Excellent"/>
  </r>
  <r>
    <s v="Nikh1873"/>
    <n v="73"/>
    <n v="30"/>
    <n v="10"/>
    <n v="2021"/>
    <d v="2021-10-30T00:00:00"/>
    <s v="October"/>
    <d v="2021-12-20T00:00:00"/>
    <x v="3"/>
    <n v="1"/>
    <n v="29292.51"/>
    <s v="Nikhil Bhattacharya"/>
    <n v="18"/>
    <s v="Teenagers"/>
    <s v="Good"/>
    <x v="1"/>
    <s v="UPI"/>
    <n v="5"/>
    <s v="Galaxy Note 20"/>
    <n v="29292.51"/>
    <s v="Good"/>
    <s v="Low"/>
  </r>
  <r>
    <s v="Suni2474"/>
    <n v="74"/>
    <n v="30"/>
    <n v="10"/>
    <n v="2021"/>
    <d v="2021-10-30T00:00:00"/>
    <s v="October"/>
    <d v="2021-12-21T00:00:00"/>
    <x v="2"/>
    <n v="3"/>
    <n v="69894.039999999994"/>
    <s v="Sunil Das"/>
    <n v="24"/>
    <s v="Teenagers"/>
    <s v="Good"/>
    <x v="1"/>
    <s v="Debit Card"/>
    <n v="4"/>
    <s v="OnePlus Nord"/>
    <n v="209682.12"/>
    <s v="Good"/>
    <s v="Excellent"/>
  </r>
  <r>
    <s v="Shru4875"/>
    <n v="75"/>
    <n v="31"/>
    <n v="10"/>
    <n v="2021"/>
    <d v="2021-10-31T00:00:00"/>
    <s v="October"/>
    <d v="2021-12-22T00:00:00"/>
    <x v="0"/>
    <n v="2"/>
    <n v="69769.820000000007"/>
    <s v="Shruti Iyer"/>
    <n v="48"/>
    <s v="Senior Citezen"/>
    <s v="AVG"/>
    <x v="2"/>
    <s v="UPI"/>
    <n v="3"/>
    <s v="Redmi Note 10"/>
    <n v="139539.64000000001"/>
    <s v="Average"/>
    <s v="Good"/>
  </r>
  <r>
    <s v="Suni3576"/>
    <n v="76"/>
    <n v="31"/>
    <n v="10"/>
    <n v="2021"/>
    <d v="2021-10-31T00:00:00"/>
    <s v="October"/>
    <d v="2021-12-23T00:00:00"/>
    <x v="0"/>
    <n v="9"/>
    <n v="21472.63"/>
    <s v="Sunita Arora"/>
    <n v="35"/>
    <s v="Adult"/>
    <s v="Good"/>
    <x v="2"/>
    <s v="UPI"/>
    <n v="5"/>
    <s v="Redmi Note 10"/>
    <n v="193253.67"/>
    <s v="Good"/>
    <s v="Good"/>
  </r>
  <r>
    <s v="Deep2977"/>
    <n v="77"/>
    <n v="31"/>
    <n v="10"/>
    <n v="2021"/>
    <d v="2021-10-31T00:00:00"/>
    <s v="October"/>
    <d v="2021-12-24T00:00:00"/>
    <x v="3"/>
    <n v="1"/>
    <n v="28764.47"/>
    <s v="Deepika Deshmukh"/>
    <n v="29"/>
    <s v="Teenagers"/>
    <s v="AVG"/>
    <x v="2"/>
    <s v="Debit Card"/>
    <n v="3"/>
    <s v="Galaxy A51"/>
    <n v="28764.47"/>
    <s v="Average"/>
    <s v="Low"/>
  </r>
  <r>
    <s v="Kira4778"/>
    <n v="78"/>
    <n v="31"/>
    <n v="10"/>
    <n v="2021"/>
    <d v="2021-10-31T00:00:00"/>
    <s v="October"/>
    <d v="2021-12-25T00:00:00"/>
    <x v="0"/>
    <n v="9"/>
    <n v="39162.65"/>
    <s v="Kiran Malhotra"/>
    <n v="47"/>
    <s v="Senior Citezen"/>
    <s v="BAD"/>
    <x v="8"/>
    <s v="Credit Card"/>
    <n v="2"/>
    <s v="Redmi 9"/>
    <n v="352463.85000000003"/>
    <s v="Average"/>
    <s v="Excellent"/>
  </r>
  <r>
    <s v="Bina5079"/>
    <n v="79"/>
    <n v="1"/>
    <n v="11"/>
    <n v="2021"/>
    <d v="2021-11-01T00:00:00"/>
    <s v="November"/>
    <d v="2021-12-26T00:00:00"/>
    <x v="4"/>
    <n v="9"/>
    <n v="49846.04"/>
    <s v="Bina Mishra"/>
    <n v="50"/>
    <s v="Senior Citezen"/>
    <s v="AVG"/>
    <x v="15"/>
    <s v="Debit Card"/>
    <n v="3"/>
    <s v="iPhone SE"/>
    <n v="448614.36"/>
    <s v="Average"/>
    <s v="Excellent"/>
  </r>
  <r>
    <s v="Moni2480"/>
    <n v="80"/>
    <n v="1"/>
    <n v="11"/>
    <n v="2021"/>
    <d v="2021-11-01T00:00:00"/>
    <s v="November"/>
    <d v="2021-12-27T00:00:00"/>
    <x v="1"/>
    <n v="8"/>
    <n v="41682.85"/>
    <s v="Monika Srivastava"/>
    <n v="24"/>
    <s v="Teenagers"/>
    <s v="Good"/>
    <x v="8"/>
    <s v="Cash"/>
    <n v="5"/>
    <s v="Vivo Y51"/>
    <n v="333462.8"/>
    <s v="Good"/>
    <s v="Excellent"/>
  </r>
  <r>
    <s v="Pras4581"/>
    <n v="81"/>
    <n v="1"/>
    <n v="11"/>
    <n v="2021"/>
    <d v="2021-11-01T00:00:00"/>
    <s v="November"/>
    <d v="2021-12-28T00:00:00"/>
    <x v="3"/>
    <n v="8"/>
    <n v="68166.490000000005"/>
    <s v="Prashant Dutta"/>
    <n v="45"/>
    <s v="Adult"/>
    <s v="Good"/>
    <x v="3"/>
    <s v="Debit Card"/>
    <n v="5"/>
    <s v="Galaxy Note 20"/>
    <n v="545331.92000000004"/>
    <s v="Good"/>
    <s v="Excellent"/>
  </r>
  <r>
    <s v="Vino2082"/>
    <n v="82"/>
    <n v="1"/>
    <n v="11"/>
    <n v="2021"/>
    <d v="2021-11-01T00:00:00"/>
    <s v="November"/>
    <d v="2021-12-29T00:00:00"/>
    <x v="0"/>
    <n v="1"/>
    <n v="53439.35"/>
    <s v="Vinod Pathak"/>
    <n v="20"/>
    <s v="Teenagers"/>
    <s v="Good"/>
    <x v="13"/>
    <s v="Debit Card"/>
    <n v="5"/>
    <s v="Redmi Note 10"/>
    <n v="53439.35"/>
    <s v="Good"/>
    <s v="Average"/>
  </r>
  <r>
    <s v="Suni2383"/>
    <n v="83"/>
    <n v="2"/>
    <n v="11"/>
    <n v="2021"/>
    <d v="2021-11-02T00:00:00"/>
    <s v="November"/>
    <d v="2021-12-30T00:00:00"/>
    <x v="3"/>
    <n v="8"/>
    <n v="22722.69"/>
    <s v="Sunil Luthra"/>
    <n v="23"/>
    <s v="Teenagers"/>
    <s v="Good"/>
    <x v="1"/>
    <s v="Credit Card"/>
    <n v="4"/>
    <s v="Galaxy A51"/>
    <n v="181781.52"/>
    <s v="Good"/>
    <s v="Good"/>
  </r>
  <r>
    <s v="Suni4884"/>
    <n v="84"/>
    <n v="2"/>
    <n v="11"/>
    <n v="2021"/>
    <d v="2021-11-02T00:00:00"/>
    <s v="November"/>
    <d v="2021-12-31T00:00:00"/>
    <x v="3"/>
    <n v="3"/>
    <n v="16305.85"/>
    <s v="Sunil Kapoor"/>
    <n v="48"/>
    <s v="Senior Citezen"/>
    <s v="BAD"/>
    <x v="1"/>
    <s v="Credit Card"/>
    <n v="2"/>
    <s v="Galaxy S21"/>
    <n v="48917.55"/>
    <s v="Average"/>
    <s v="Low"/>
  </r>
  <r>
    <s v="Nami5585"/>
    <n v="85"/>
    <n v="2"/>
    <n v="11"/>
    <n v="2021"/>
    <d v="2021-11-02T00:00:00"/>
    <s v="November"/>
    <d v="2022-01-01T00:00:00"/>
    <x v="1"/>
    <n v="7"/>
    <n v="51304.08"/>
    <s v="Namita Roy"/>
    <n v="55"/>
    <s v="Senior Citezen"/>
    <s v="Good"/>
    <x v="1"/>
    <s v="UPI"/>
    <n v="4"/>
    <s v="Vivo S1"/>
    <n v="359128.56"/>
    <s v="Good"/>
    <s v="Excellent"/>
  </r>
  <r>
    <s v="Sneh3286"/>
    <n v="86"/>
    <n v="2"/>
    <n v="11"/>
    <n v="2021"/>
    <d v="2021-11-02T00:00:00"/>
    <s v="November"/>
    <d v="2022-01-02T00:00:00"/>
    <x v="4"/>
    <n v="1"/>
    <n v="19507.150000000001"/>
    <s v="Sneha Mishra"/>
    <n v="32"/>
    <s v="Adult"/>
    <s v="Good"/>
    <x v="18"/>
    <s v="Debit Card"/>
    <n v="5"/>
    <s v="iPhone SE"/>
    <n v="19507.150000000001"/>
    <s v="Good"/>
    <s v="Low"/>
  </r>
  <r>
    <s v="Sanj2487"/>
    <n v="87"/>
    <n v="3"/>
    <n v="11"/>
    <n v="2021"/>
    <d v="2021-11-03T00:00:00"/>
    <s v="November"/>
    <d v="2022-01-03T00:00:00"/>
    <x v="3"/>
    <n v="1"/>
    <n v="57260.61"/>
    <s v="Sanjay Bhattacharya"/>
    <n v="24"/>
    <s v="Teenagers"/>
    <s v="Good"/>
    <x v="17"/>
    <s v="Credit Card"/>
    <n v="5"/>
    <s v="Galaxy A51"/>
    <n v="57260.61"/>
    <s v="Good"/>
    <s v="Average"/>
  </r>
  <r>
    <s v="Sneh4788"/>
    <n v="88"/>
    <n v="3"/>
    <n v="11"/>
    <n v="2021"/>
    <d v="2021-11-03T00:00:00"/>
    <s v="November"/>
    <d v="2022-01-04T00:00:00"/>
    <x v="0"/>
    <n v="5"/>
    <n v="28662.2"/>
    <s v="Sneha Rao"/>
    <n v="47"/>
    <s v="Senior Citezen"/>
    <s v="AVG"/>
    <x v="1"/>
    <s v="Cash"/>
    <n v="3"/>
    <s v="Redmi 9"/>
    <n v="143311"/>
    <s v="Average"/>
    <s v="Good"/>
  </r>
  <r>
    <s v="Nami4489"/>
    <n v="89"/>
    <n v="3"/>
    <n v="11"/>
    <n v="2021"/>
    <d v="2021-11-03T00:00:00"/>
    <s v="November"/>
    <d v="2022-01-05T00:00:00"/>
    <x v="2"/>
    <n v="5"/>
    <n v="29613.599999999999"/>
    <s v="Namita Bhatnagar"/>
    <n v="44"/>
    <s v="Adult"/>
    <s v="Good"/>
    <x v="1"/>
    <s v="UPI"/>
    <n v="5"/>
    <s v="OnePlus Nord"/>
    <n v="148068"/>
    <s v="Good"/>
    <s v="Good"/>
  </r>
  <r>
    <s v="Pooj3490"/>
    <n v="90"/>
    <n v="3"/>
    <n v="11"/>
    <n v="2021"/>
    <d v="2021-11-03T00:00:00"/>
    <s v="November"/>
    <d v="2022-01-06T00:00:00"/>
    <x v="3"/>
    <n v="8"/>
    <n v="10647.9"/>
    <s v="Pooja Roy"/>
    <n v="34"/>
    <s v="Adult"/>
    <s v="Good"/>
    <x v="1"/>
    <s v="Debit Card"/>
    <n v="5"/>
    <s v="Galaxy Note 20"/>
    <n v="85183.2"/>
    <s v="Good"/>
    <s v="Average"/>
  </r>
  <r>
    <s v="Deve3591"/>
    <n v="91"/>
    <n v="4"/>
    <n v="11"/>
    <n v="2021"/>
    <d v="2021-11-04T00:00:00"/>
    <s v="November"/>
    <d v="2022-01-07T00:00:00"/>
    <x v="3"/>
    <n v="7"/>
    <n v="52060.68"/>
    <s v="Devendra Jain"/>
    <n v="35"/>
    <s v="Adult"/>
    <s v="Good"/>
    <x v="4"/>
    <s v="Cash"/>
    <n v="5"/>
    <s v="Galaxy S21"/>
    <n v="364424.76"/>
    <s v="Good"/>
    <s v="Excellent"/>
  </r>
  <r>
    <s v="Neet3992"/>
    <n v="92"/>
    <n v="4"/>
    <n v="11"/>
    <n v="2021"/>
    <d v="2021-11-04T00:00:00"/>
    <s v="November"/>
    <d v="2022-01-08T00:00:00"/>
    <x v="1"/>
    <n v="8"/>
    <n v="16796.189999999999"/>
    <s v="Neeta Sharma"/>
    <n v="39"/>
    <s v="Adult"/>
    <s v="Good"/>
    <x v="18"/>
    <s v="Credit Card"/>
    <n v="5"/>
    <s v="Vivo S1"/>
    <n v="134369.51999999999"/>
    <s v="Good"/>
    <s v="Good"/>
  </r>
  <r>
    <s v="Sumi4393"/>
    <n v="93"/>
    <n v="4"/>
    <n v="11"/>
    <n v="2021"/>
    <d v="2021-11-04T00:00:00"/>
    <s v="November"/>
    <d v="2022-01-09T00:00:00"/>
    <x v="4"/>
    <n v="6"/>
    <n v="56372.83"/>
    <s v="Sumit Sheth"/>
    <n v="43"/>
    <s v="Adult"/>
    <s v="AVG"/>
    <x v="16"/>
    <s v="UPI"/>
    <n v="3"/>
    <s v="iPhone 11"/>
    <n v="338236.98"/>
    <s v="Average"/>
    <s v="Excellent"/>
  </r>
  <r>
    <s v="Bina4494"/>
    <n v="94"/>
    <n v="4"/>
    <n v="11"/>
    <n v="2021"/>
    <d v="2021-11-04T00:00:00"/>
    <s v="November"/>
    <d v="2022-01-10T00:00:00"/>
    <x v="2"/>
    <n v="6"/>
    <n v="39512.07"/>
    <s v="Bina Deshmukh"/>
    <n v="44"/>
    <s v="Adult"/>
    <s v="Good"/>
    <x v="2"/>
    <s v="Cash"/>
    <n v="4"/>
    <s v="OnePlus 8T"/>
    <n v="237072.41999999998"/>
    <s v="Good"/>
    <s v="Excellent"/>
  </r>
  <r>
    <s v="Ravi5795"/>
    <n v="95"/>
    <n v="5"/>
    <n v="11"/>
    <n v="2021"/>
    <d v="2021-11-05T00:00:00"/>
    <s v="November"/>
    <d v="2022-01-11T00:00:00"/>
    <x v="0"/>
    <n v="2"/>
    <n v="57056.79"/>
    <s v="Ravi Arora"/>
    <n v="57"/>
    <s v="Senior Citezen"/>
    <s v="BAD"/>
    <x v="2"/>
    <s v="Debit Card"/>
    <n v="2"/>
    <s v="Redmi 9"/>
    <n v="114113.58"/>
    <s v="Average"/>
    <s v="Good"/>
  </r>
  <r>
    <s v="Anja4196"/>
    <n v="96"/>
    <n v="5"/>
    <n v="11"/>
    <n v="2021"/>
    <d v="2021-11-05T00:00:00"/>
    <s v="November"/>
    <d v="2022-01-12T00:00:00"/>
    <x v="2"/>
    <n v="6"/>
    <n v="45035.59"/>
    <s v="Anjali Pathak"/>
    <n v="41"/>
    <s v="Adult"/>
    <s v="Good"/>
    <x v="14"/>
    <s v="Cash"/>
    <n v="4"/>
    <s v="OnePlus Nord"/>
    <n v="270213.53999999998"/>
    <s v="Good"/>
    <s v="Excellent"/>
  </r>
  <r>
    <s v="Raje2597"/>
    <n v="97"/>
    <n v="5"/>
    <n v="11"/>
    <n v="2021"/>
    <d v="2021-11-05T00:00:00"/>
    <s v="November"/>
    <d v="2022-01-13T00:00:00"/>
    <x v="0"/>
    <n v="5"/>
    <n v="14946"/>
    <s v="Rajesh Menon"/>
    <n v="25"/>
    <s v="Teenagers"/>
    <s v="AVG"/>
    <x v="6"/>
    <s v="UPI"/>
    <n v="3"/>
    <s v="Mi 11"/>
    <n v="74730"/>
    <s v="Average"/>
    <s v="Average"/>
  </r>
  <r>
    <s v="Reen3898"/>
    <n v="98"/>
    <n v="5"/>
    <n v="11"/>
    <n v="2021"/>
    <d v="2021-11-05T00:00:00"/>
    <s v="November"/>
    <d v="2022-01-14T00:00:00"/>
    <x v="4"/>
    <n v="3"/>
    <n v="55939.14"/>
    <s v="Reena Chatterjee"/>
    <n v="38"/>
    <s v="Adult"/>
    <s v="Good"/>
    <x v="7"/>
    <s v="Debit Card"/>
    <n v="5"/>
    <s v="iPhone SE"/>
    <n v="167817.41999999998"/>
    <s v="Good"/>
    <s v="Good"/>
  </r>
  <r>
    <s v="Nikh4699"/>
    <n v="99"/>
    <n v="6"/>
    <n v="11"/>
    <n v="2021"/>
    <d v="2021-11-06T00:00:00"/>
    <s v="November"/>
    <d v="2022-01-15T00:00:00"/>
    <x v="0"/>
    <n v="6"/>
    <n v="14187.97"/>
    <s v="Nikhil Pathak"/>
    <n v="46"/>
    <s v="Senior Citezen"/>
    <s v="Good"/>
    <x v="17"/>
    <s v="Debit Card"/>
    <n v="4"/>
    <s v="Mi 11"/>
    <n v="85127.819999999992"/>
    <s v="Good"/>
    <s v="Average"/>
  </r>
  <r>
    <s v="Kris38100"/>
    <n v="100"/>
    <n v="6"/>
    <n v="11"/>
    <n v="2021"/>
    <d v="2021-11-06T00:00:00"/>
    <s v="November"/>
    <d v="2022-01-16T00:00:00"/>
    <x v="1"/>
    <n v="8"/>
    <n v="38722.1"/>
    <s v="Krishna Bhattacharya"/>
    <n v="38"/>
    <s v="Adult"/>
    <s v="BAD"/>
    <x v="3"/>
    <s v="Cash"/>
    <n v="2"/>
    <s v="Vivo S1"/>
    <n v="309776.8"/>
    <s v="Average"/>
    <s v="Excellent"/>
  </r>
  <r>
    <s v="Ayes20101"/>
    <n v="101"/>
    <n v="6"/>
    <n v="11"/>
    <n v="2021"/>
    <d v="2021-11-06T00:00:00"/>
    <s v="November"/>
    <d v="2022-01-17T00:00:00"/>
    <x v="1"/>
    <n v="9"/>
    <n v="20340.95"/>
    <s v="Ayesha Thakur"/>
    <n v="20"/>
    <s v="Teenagers"/>
    <s v="AVG"/>
    <x v="16"/>
    <s v="UPI"/>
    <n v="3"/>
    <s v="Vivo Y51"/>
    <n v="183068.55000000002"/>
    <s v="Average"/>
    <s v="Good"/>
  </r>
  <r>
    <s v="Bina48102"/>
    <n v="102"/>
    <n v="6"/>
    <n v="11"/>
    <n v="2021"/>
    <d v="2021-11-06T00:00:00"/>
    <s v="November"/>
    <d v="2022-01-18T00:00:00"/>
    <x v="1"/>
    <n v="1"/>
    <n v="55140.11"/>
    <s v="Bina Nair"/>
    <n v="48"/>
    <s v="Senior Citezen"/>
    <s v="Good"/>
    <x v="0"/>
    <s v="Debit Card"/>
    <n v="5"/>
    <s v="Vivo S1"/>
    <n v="55140.11"/>
    <s v="Good"/>
    <s v="Average"/>
  </r>
  <r>
    <s v="Kris44103"/>
    <n v="103"/>
    <n v="7"/>
    <n v="11"/>
    <n v="2021"/>
    <d v="2021-11-07T00:00:00"/>
    <s v="November"/>
    <d v="2022-01-19T00:00:00"/>
    <x v="1"/>
    <n v="3"/>
    <n v="64695.47"/>
    <s v="Krishna Malhotra"/>
    <n v="44"/>
    <s v="Adult"/>
    <s v="AVG"/>
    <x v="5"/>
    <s v="UPI"/>
    <n v="3"/>
    <s v="Vivo Y51"/>
    <n v="194086.41"/>
    <s v="Average"/>
    <s v="Good"/>
  </r>
  <r>
    <s v="Mala44104"/>
    <n v="104"/>
    <n v="7"/>
    <n v="11"/>
    <n v="2021"/>
    <d v="2021-11-07T00:00:00"/>
    <s v="November"/>
    <d v="2022-01-20T00:00:00"/>
    <x v="2"/>
    <n v="3"/>
    <n v="43247.57"/>
    <s v="Mala Das"/>
    <n v="44"/>
    <s v="Adult"/>
    <s v="Good"/>
    <x v="3"/>
    <s v="Credit Card"/>
    <n v="5"/>
    <s v="OnePlus 9"/>
    <n v="129742.70999999999"/>
    <s v="Good"/>
    <s v="Good"/>
  </r>
  <r>
    <s v="Anit26105"/>
    <n v="105"/>
    <n v="7"/>
    <n v="11"/>
    <n v="2021"/>
    <d v="2021-11-07T00:00:00"/>
    <s v="November"/>
    <d v="2022-01-21T00:00:00"/>
    <x v="4"/>
    <n v="8"/>
    <n v="41628.839999999997"/>
    <s v="Anita Bhattacharya"/>
    <n v="26"/>
    <s v="Teenagers"/>
    <s v="BAD"/>
    <x v="14"/>
    <s v="Cash"/>
    <n v="2"/>
    <s v="iPhone SE"/>
    <n v="333030.71999999997"/>
    <s v="Average"/>
    <s v="Excellent"/>
  </r>
  <r>
    <s v="Nikh50106"/>
    <n v="106"/>
    <n v="7"/>
    <n v="11"/>
    <n v="2021"/>
    <d v="2021-11-07T00:00:00"/>
    <s v="November"/>
    <d v="2022-01-22T00:00:00"/>
    <x v="0"/>
    <n v="1"/>
    <n v="55837.79"/>
    <s v="Nikhil Solanki"/>
    <n v="50"/>
    <s v="Senior Citezen"/>
    <s v="AVG"/>
    <x v="2"/>
    <s v="UPI"/>
    <n v="3"/>
    <s v="Redmi 9"/>
    <n v="55837.79"/>
    <s v="Average"/>
    <s v="Average"/>
  </r>
  <r>
    <s v="Shru50107"/>
    <n v="107"/>
    <n v="8"/>
    <n v="11"/>
    <n v="2021"/>
    <d v="2021-11-08T00:00:00"/>
    <s v="November"/>
    <d v="2022-01-23T00:00:00"/>
    <x v="0"/>
    <n v="5"/>
    <n v="10304.73"/>
    <s v="Shruti Bhatnagar"/>
    <n v="50"/>
    <s v="Senior Citezen"/>
    <s v="Good"/>
    <x v="16"/>
    <s v="Credit Card"/>
    <n v="5"/>
    <s v="Mi 11"/>
    <n v="51523.649999999994"/>
    <s v="Good"/>
    <s v="Average"/>
  </r>
  <r>
    <s v="Kira43108"/>
    <n v="108"/>
    <n v="8"/>
    <n v="11"/>
    <n v="2021"/>
    <d v="2021-11-08T00:00:00"/>
    <s v="November"/>
    <d v="2022-01-24T00:00:00"/>
    <x v="1"/>
    <n v="3"/>
    <n v="65065.52"/>
    <s v="Kiran Goyal"/>
    <n v="43"/>
    <s v="Adult"/>
    <s v="Good"/>
    <x v="1"/>
    <s v="Credit Card"/>
    <n v="5"/>
    <s v="Vivo S1"/>
    <n v="195196.56"/>
    <s v="Good"/>
    <s v="Good"/>
  </r>
  <r>
    <s v="Kira45109"/>
    <n v="109"/>
    <n v="8"/>
    <n v="11"/>
    <n v="2021"/>
    <d v="2021-11-08T00:00:00"/>
    <s v="November"/>
    <d v="2022-01-25T00:00:00"/>
    <x v="1"/>
    <n v="2"/>
    <n v="21846.93"/>
    <s v="Kiran Prasad"/>
    <n v="45"/>
    <s v="Adult"/>
    <s v="AVG"/>
    <x v="11"/>
    <s v="UPI"/>
    <n v="3"/>
    <s v="Vivo V20"/>
    <n v="43693.86"/>
    <s v="Average"/>
    <s v="Low"/>
  </r>
  <r>
    <s v="Suni48110"/>
    <n v="110"/>
    <n v="9"/>
    <n v="11"/>
    <n v="2021"/>
    <d v="2021-11-09T00:00:00"/>
    <s v="November"/>
    <d v="2022-01-26T00:00:00"/>
    <x v="3"/>
    <n v="8"/>
    <n v="69047.13"/>
    <s v="Sunil Jain"/>
    <n v="48"/>
    <s v="Senior Citezen"/>
    <s v="Good"/>
    <x v="3"/>
    <s v="UPI"/>
    <n v="5"/>
    <s v="Galaxy S21"/>
    <n v="552377.04"/>
    <s v="Good"/>
    <s v="Excellent"/>
  </r>
  <r>
    <s v="Mano18111"/>
    <n v="111"/>
    <n v="9"/>
    <n v="11"/>
    <n v="2021"/>
    <d v="2021-11-09T00:00:00"/>
    <s v="November"/>
    <d v="2022-01-27T00:00:00"/>
    <x v="4"/>
    <n v="3"/>
    <n v="54175.24"/>
    <s v="Manoj Rathod"/>
    <n v="18"/>
    <s v="Teenagers"/>
    <s v="AVG"/>
    <x v="13"/>
    <s v="Cash"/>
    <n v="3"/>
    <s v="iPhone 11"/>
    <n v="162525.72"/>
    <s v="Average"/>
    <s v="Good"/>
  </r>
  <r>
    <s v="Tapa37112"/>
    <n v="112"/>
    <n v="9"/>
    <n v="11"/>
    <n v="2021"/>
    <d v="2021-11-09T00:00:00"/>
    <s v="November"/>
    <d v="2022-01-28T00:00:00"/>
    <x v="2"/>
    <n v="7"/>
    <n v="56455.07"/>
    <s v="Tapan Gupta"/>
    <n v="37"/>
    <s v="Adult"/>
    <s v="Good"/>
    <x v="3"/>
    <s v="Cash"/>
    <n v="5"/>
    <s v="OnePlus 8T"/>
    <n v="395185.49"/>
    <s v="Good"/>
    <s v="Excellent"/>
  </r>
  <r>
    <s v="Anja29113"/>
    <n v="113"/>
    <n v="10"/>
    <n v="11"/>
    <n v="2021"/>
    <d v="2021-11-10T00:00:00"/>
    <s v="November"/>
    <d v="2022-01-29T00:00:00"/>
    <x v="0"/>
    <n v="1"/>
    <n v="49372.18"/>
    <s v="Anjali Pathak"/>
    <n v="29"/>
    <s v="Teenagers"/>
    <s v="AVG"/>
    <x v="1"/>
    <s v="Debit Card"/>
    <n v="3"/>
    <s v="Redmi 9"/>
    <n v="49372.18"/>
    <s v="Average"/>
    <s v="Low"/>
  </r>
  <r>
    <s v="Isha34114"/>
    <n v="114"/>
    <n v="10"/>
    <n v="11"/>
    <n v="2021"/>
    <d v="2021-11-10T00:00:00"/>
    <s v="November"/>
    <d v="2022-01-30T00:00:00"/>
    <x v="3"/>
    <n v="6"/>
    <n v="38299.79"/>
    <s v="Isha Desai"/>
    <n v="34"/>
    <s v="Adult"/>
    <s v="Good"/>
    <x v="12"/>
    <s v="Cash"/>
    <n v="5"/>
    <s v="Galaxy Note 20"/>
    <n v="229798.74"/>
    <s v="Good"/>
    <s v="Excellent"/>
  </r>
  <r>
    <s v="Vino32115"/>
    <n v="115"/>
    <n v="10"/>
    <n v="11"/>
    <n v="2021"/>
    <d v="2021-11-10T00:00:00"/>
    <s v="November"/>
    <d v="2022-01-31T00:00:00"/>
    <x v="3"/>
    <n v="3"/>
    <n v="44297.66"/>
    <s v="Vinod Goyal"/>
    <n v="32"/>
    <s v="Adult"/>
    <s v="Good"/>
    <x v="2"/>
    <s v="UPI"/>
    <n v="4"/>
    <s v="Galaxy S21"/>
    <n v="132892.98000000001"/>
    <s v="Good"/>
    <s v="Good"/>
  </r>
  <r>
    <s v="Kris51116"/>
    <n v="116"/>
    <n v="10"/>
    <n v="11"/>
    <n v="2021"/>
    <d v="2021-11-10T00:00:00"/>
    <s v="November"/>
    <d v="2022-02-01T00:00:00"/>
    <x v="0"/>
    <n v="8"/>
    <n v="12784.17"/>
    <s v="Krishna Rathod"/>
    <n v="51"/>
    <s v="Senior Citezen"/>
    <s v="AVG"/>
    <x v="1"/>
    <s v="Debit Card"/>
    <n v="3"/>
    <s v="Redmi Note 10"/>
    <n v="102273.36"/>
    <s v="Average"/>
    <s v="Good"/>
  </r>
  <r>
    <s v="Jyot33117"/>
    <n v="117"/>
    <n v="11"/>
    <n v="11"/>
    <n v="2021"/>
    <d v="2021-11-11T00:00:00"/>
    <s v="November"/>
    <d v="2022-02-02T00:00:00"/>
    <x v="2"/>
    <n v="6"/>
    <n v="47437.57"/>
    <s v="Jyoti Alva"/>
    <n v="33"/>
    <s v="Adult"/>
    <s v="Good"/>
    <x v="1"/>
    <s v="Credit Card"/>
    <n v="5"/>
    <s v="OnePlus Nord"/>
    <n v="284625.42"/>
    <s v="Good"/>
    <s v="Excellent"/>
  </r>
  <r>
    <s v="Pank21118"/>
    <n v="118"/>
    <n v="11"/>
    <n v="11"/>
    <n v="2021"/>
    <d v="2021-11-11T00:00:00"/>
    <s v="November"/>
    <d v="2022-02-03T00:00:00"/>
    <x v="3"/>
    <n v="2"/>
    <n v="47565.89"/>
    <s v="Pankaj Mehta"/>
    <n v="21"/>
    <s v="Teenagers"/>
    <s v="AVG"/>
    <x v="1"/>
    <s v="Credit Card"/>
    <n v="3"/>
    <s v="Galaxy S21"/>
    <n v="95131.78"/>
    <s v="Average"/>
    <s v="Average"/>
  </r>
  <r>
    <s v="Anja25119"/>
    <n v="119"/>
    <n v="11"/>
    <n v="11"/>
    <n v="2021"/>
    <d v="2021-11-11T00:00:00"/>
    <s v="November"/>
    <d v="2022-02-04T00:00:00"/>
    <x v="3"/>
    <n v="6"/>
    <n v="63472.05"/>
    <s v="Anjali Srivastava"/>
    <n v="25"/>
    <s v="Teenagers"/>
    <s v="Good"/>
    <x v="3"/>
    <s v="UPI"/>
    <n v="5"/>
    <s v="Galaxy Note 20"/>
    <n v="380832.30000000005"/>
    <s v="Good"/>
    <s v="Excellent"/>
  </r>
  <r>
    <s v="Anit51120"/>
    <n v="120"/>
    <n v="11"/>
    <n v="11"/>
    <n v="2021"/>
    <d v="2021-11-11T00:00:00"/>
    <s v="November"/>
    <d v="2022-02-05T00:00:00"/>
    <x v="4"/>
    <n v="7"/>
    <n v="40339.379999999997"/>
    <s v="Anita Pathak"/>
    <n v="51"/>
    <s v="Senior Citezen"/>
    <s v="BAD"/>
    <x v="8"/>
    <s v="Debit Card"/>
    <n v="2"/>
    <s v="iPhone SE"/>
    <n v="282375.65999999997"/>
    <s v="Average"/>
    <s v="Excellent"/>
  </r>
  <r>
    <s v="Arun42121"/>
    <n v="121"/>
    <n v="12"/>
    <n v="11"/>
    <n v="2021"/>
    <d v="2021-11-12T00:00:00"/>
    <s v="November"/>
    <d v="2022-02-06T00:00:00"/>
    <x v="2"/>
    <n v="5"/>
    <n v="14628.66"/>
    <s v="Arun Verma"/>
    <n v="42"/>
    <s v="Adult"/>
    <s v="AVG"/>
    <x v="10"/>
    <s v="Debit Card"/>
    <n v="3"/>
    <s v="OnePlus Nord"/>
    <n v="73143.3"/>
    <s v="Average"/>
    <s v="Average"/>
  </r>
  <r>
    <s v="Yoge32122"/>
    <n v="122"/>
    <n v="12"/>
    <n v="11"/>
    <n v="2021"/>
    <d v="2021-11-12T00:00:00"/>
    <s v="November"/>
    <d v="2022-02-07T00:00:00"/>
    <x v="3"/>
    <n v="3"/>
    <n v="28371.759999999998"/>
    <s v="Yogesh Luthra"/>
    <n v="32"/>
    <s v="Adult"/>
    <s v="Good"/>
    <x v="7"/>
    <s v="Cash"/>
    <n v="5"/>
    <s v="Galaxy A51"/>
    <n v="85115.28"/>
    <s v="Good"/>
    <s v="Average"/>
  </r>
  <r>
    <s v="Sach45123"/>
    <n v="123"/>
    <n v="12"/>
    <n v="11"/>
    <n v="2021"/>
    <d v="2021-11-12T00:00:00"/>
    <s v="November"/>
    <d v="2022-02-08T00:00:00"/>
    <x v="2"/>
    <n v="4"/>
    <n v="49337.760000000002"/>
    <s v="Sachin Joshi"/>
    <n v="45"/>
    <s v="Adult"/>
    <s v="Good"/>
    <x v="2"/>
    <s v="Credit Card"/>
    <n v="5"/>
    <s v="OnePlus 8T"/>
    <n v="197351.04000000001"/>
    <s v="Good"/>
    <s v="Good"/>
  </r>
  <r>
    <s v="Sumi26124"/>
    <n v="124"/>
    <n v="12"/>
    <n v="11"/>
    <n v="2021"/>
    <d v="2021-11-12T00:00:00"/>
    <s v="November"/>
    <d v="2022-02-09T00:00:00"/>
    <x v="0"/>
    <n v="4"/>
    <n v="24355.53"/>
    <s v="Sumit Arora"/>
    <n v="26"/>
    <s v="Teenagers"/>
    <s v="BAD"/>
    <x v="1"/>
    <s v="Credit Card"/>
    <n v="2"/>
    <s v="Redmi 9"/>
    <n v="97422.12"/>
    <s v="Average"/>
    <s v="Average"/>
  </r>
  <r>
    <s v="Suni19125"/>
    <n v="125"/>
    <n v="13"/>
    <n v="11"/>
    <n v="2021"/>
    <d v="2021-11-13T00:00:00"/>
    <s v="November"/>
    <d v="2022-02-10T00:00:00"/>
    <x v="1"/>
    <n v="6"/>
    <n v="26831.67"/>
    <s v="Sunil Rawat"/>
    <n v="19"/>
    <s v="Teenagers"/>
    <s v="AVG"/>
    <x v="1"/>
    <s v="Cash"/>
    <n v="3"/>
    <s v="Vivo S1"/>
    <n v="160990.01999999999"/>
    <s v="Average"/>
    <s v="Good"/>
  </r>
  <r>
    <s v="Pank34126"/>
    <n v="126"/>
    <n v="13"/>
    <n v="11"/>
    <n v="2021"/>
    <d v="2021-11-13T00:00:00"/>
    <s v="November"/>
    <d v="2022-02-11T00:00:00"/>
    <x v="3"/>
    <n v="1"/>
    <n v="59228.14"/>
    <s v="Pankaj Desai"/>
    <n v="34"/>
    <s v="Adult"/>
    <s v="Good"/>
    <x v="11"/>
    <s v="Credit Card"/>
    <n v="4"/>
    <s v="Galaxy S21"/>
    <n v="59228.14"/>
    <s v="Good"/>
    <s v="Average"/>
  </r>
  <r>
    <s v="Kira27127"/>
    <n v="127"/>
    <n v="13"/>
    <n v="11"/>
    <n v="2021"/>
    <d v="2021-11-13T00:00:00"/>
    <s v="November"/>
    <d v="2022-02-12T00:00:00"/>
    <x v="4"/>
    <n v="4"/>
    <n v="45059.18"/>
    <s v="Kiran Solanki"/>
    <n v="27"/>
    <s v="Teenagers"/>
    <s v="Good"/>
    <x v="1"/>
    <s v="Cash"/>
    <n v="5"/>
    <s v="iPhone 12"/>
    <n v="180236.72"/>
    <s v="Good"/>
    <s v="Good"/>
  </r>
  <r>
    <s v="Pras26128"/>
    <n v="128"/>
    <n v="14"/>
    <n v="11"/>
    <n v="2021"/>
    <d v="2021-11-14T00:00:00"/>
    <s v="November"/>
    <d v="2022-02-13T00:00:00"/>
    <x v="0"/>
    <n v="4"/>
    <n v="40511.65"/>
    <s v="Prashant Luthra"/>
    <n v="26"/>
    <s v="Teenagers"/>
    <s v="Good"/>
    <x v="6"/>
    <s v="Credit Card"/>
    <n v="5"/>
    <s v="Redmi 9"/>
    <n v="162046.6"/>
    <s v="Good"/>
    <s v="Good"/>
  </r>
  <r>
    <s v="Meen48129"/>
    <n v="129"/>
    <n v="14"/>
    <n v="11"/>
    <n v="2021"/>
    <d v="2021-11-14T00:00:00"/>
    <s v="November"/>
    <d v="2022-02-14T00:00:00"/>
    <x v="2"/>
    <n v="1"/>
    <n v="29107.119999999999"/>
    <s v="Meena Mathur"/>
    <n v="48"/>
    <s v="Senior Citezen"/>
    <s v="Good"/>
    <x v="11"/>
    <s v="Credit Card"/>
    <n v="5"/>
    <s v="OnePlus 8T"/>
    <n v="29107.119999999999"/>
    <s v="Good"/>
    <s v="Low"/>
  </r>
  <r>
    <s v="Kavi19130"/>
    <n v="130"/>
    <n v="14"/>
    <n v="11"/>
    <n v="2021"/>
    <d v="2021-11-14T00:00:00"/>
    <s v="November"/>
    <d v="2022-02-15T00:00:00"/>
    <x v="0"/>
    <n v="9"/>
    <n v="53855.68"/>
    <s v="Kavita Patel"/>
    <n v="19"/>
    <s v="Teenagers"/>
    <s v="Good"/>
    <x v="8"/>
    <s v="Credit Card"/>
    <n v="5"/>
    <s v="Mi 11"/>
    <n v="484701.12"/>
    <s v="Good"/>
    <s v="Excellent"/>
  </r>
  <r>
    <s v="Sanj41131"/>
    <n v="131"/>
    <n v="14"/>
    <n v="11"/>
    <n v="2021"/>
    <d v="2021-11-14T00:00:00"/>
    <s v="November"/>
    <d v="2022-02-16T00:00:00"/>
    <x v="3"/>
    <n v="4"/>
    <n v="27263.11"/>
    <s v="Sanjay Pathak"/>
    <n v="41"/>
    <s v="Adult"/>
    <s v="AVG"/>
    <x v="4"/>
    <s v="Cash"/>
    <n v="3"/>
    <s v="Galaxy Note 20"/>
    <n v="109052.44"/>
    <s v="Average"/>
    <s v="Good"/>
  </r>
  <r>
    <s v="Ravi36132"/>
    <n v="132"/>
    <n v="15"/>
    <n v="11"/>
    <n v="2021"/>
    <d v="2021-11-15T00:00:00"/>
    <s v="November"/>
    <d v="2022-02-17T00:00:00"/>
    <x v="2"/>
    <n v="7"/>
    <n v="54223.81"/>
    <s v="Ravi Ghosh"/>
    <n v="36"/>
    <s v="Adult"/>
    <s v="Good"/>
    <x v="14"/>
    <s v="Credit Card"/>
    <n v="5"/>
    <s v="OnePlus 8T"/>
    <n v="379566.67"/>
    <s v="Good"/>
    <s v="Excellent"/>
  </r>
  <r>
    <s v="Vino34133"/>
    <n v="133"/>
    <n v="15"/>
    <n v="11"/>
    <n v="2021"/>
    <d v="2021-11-15T00:00:00"/>
    <s v="November"/>
    <d v="2022-02-18T00:00:00"/>
    <x v="1"/>
    <n v="3"/>
    <n v="14206.09"/>
    <s v="Vinod Joshi"/>
    <n v="34"/>
    <s v="Adult"/>
    <s v="AVG"/>
    <x v="9"/>
    <s v="Credit Card"/>
    <n v="3"/>
    <s v="Vivo V20"/>
    <n v="42618.270000000004"/>
    <s v="Average"/>
    <s v="Low"/>
  </r>
  <r>
    <s v="Tanu27134"/>
    <n v="134"/>
    <n v="15"/>
    <n v="11"/>
    <n v="2021"/>
    <d v="2021-11-15T00:00:00"/>
    <s v="November"/>
    <d v="2022-02-19T00:00:00"/>
    <x v="0"/>
    <n v="3"/>
    <n v="61872.480000000003"/>
    <s v="Tanuja Goyal"/>
    <n v="27"/>
    <s v="Teenagers"/>
    <s v="Good"/>
    <x v="2"/>
    <s v="Debit Card"/>
    <n v="4"/>
    <s v="Mi 11"/>
    <n v="185617.44"/>
    <s v="Good"/>
    <s v="Good"/>
  </r>
  <r>
    <s v="Pank45135"/>
    <n v="135"/>
    <n v="16"/>
    <n v="11"/>
    <n v="2021"/>
    <d v="2021-11-16T00:00:00"/>
    <s v="November"/>
    <d v="2022-02-20T00:00:00"/>
    <x v="3"/>
    <n v="8"/>
    <n v="39973.99"/>
    <s v="Pankaj Desai"/>
    <n v="45"/>
    <s v="Adult"/>
    <s v="AVG"/>
    <x v="2"/>
    <s v="Credit Card"/>
    <n v="3"/>
    <s v="Galaxy Note 20"/>
    <n v="319791.92"/>
    <s v="Average"/>
    <s v="Excellent"/>
  </r>
  <r>
    <s v="Isha55136"/>
    <n v="136"/>
    <n v="16"/>
    <n v="11"/>
    <n v="2021"/>
    <d v="2021-11-16T00:00:00"/>
    <s v="November"/>
    <d v="2022-02-21T00:00:00"/>
    <x v="4"/>
    <n v="8"/>
    <n v="36310.480000000003"/>
    <s v="Isha Desai"/>
    <n v="55"/>
    <s v="Senior Citezen"/>
    <s v="AVG"/>
    <x v="1"/>
    <s v="UPI"/>
    <n v="3"/>
    <s v="iPhone SE"/>
    <n v="290483.84000000003"/>
    <s v="Average"/>
    <s v="Excellent"/>
  </r>
  <r>
    <s v="Kris45137"/>
    <n v="137"/>
    <n v="16"/>
    <n v="11"/>
    <n v="2021"/>
    <d v="2021-11-16T00:00:00"/>
    <s v="November"/>
    <d v="2022-02-22T00:00:00"/>
    <x v="2"/>
    <n v="1"/>
    <n v="46661.4"/>
    <s v="Krishna Jain"/>
    <n v="45"/>
    <s v="Adult"/>
    <s v="AVG"/>
    <x v="18"/>
    <s v="Credit Card"/>
    <n v="3"/>
    <s v="OnePlus 8T"/>
    <n v="46661.4"/>
    <s v="Average"/>
    <s v="Low"/>
  </r>
  <r>
    <s v="Tanu18138"/>
    <n v="138"/>
    <n v="17"/>
    <n v="11"/>
    <n v="2021"/>
    <d v="2021-11-17T00:00:00"/>
    <s v="November"/>
    <d v="2022-02-23T00:00:00"/>
    <x v="0"/>
    <n v="2"/>
    <n v="47451.519999999997"/>
    <s v="Tanuja Mathur"/>
    <n v="18"/>
    <s v="Teenagers"/>
    <s v="Good"/>
    <x v="1"/>
    <s v="Credit Card"/>
    <n v="5"/>
    <s v="Mi 11"/>
    <n v="94903.039999999994"/>
    <s v="Good"/>
    <s v="Average"/>
  </r>
  <r>
    <s v="Anan20139"/>
    <n v="139"/>
    <n v="17"/>
    <n v="11"/>
    <n v="2021"/>
    <d v="2021-11-17T00:00:00"/>
    <s v="November"/>
    <d v="2022-02-24T00:00:00"/>
    <x v="0"/>
    <n v="8"/>
    <n v="17922.11"/>
    <s v="Anand Kapoor"/>
    <n v="20"/>
    <s v="Teenagers"/>
    <s v="BAD"/>
    <x v="2"/>
    <s v="Debit Card"/>
    <n v="2"/>
    <s v="Mi 11"/>
    <n v="143376.88"/>
    <s v="Average"/>
    <s v="Good"/>
  </r>
  <r>
    <s v="Neet32140"/>
    <n v="140"/>
    <n v="17"/>
    <n v="11"/>
    <n v="2021"/>
    <d v="2021-11-17T00:00:00"/>
    <s v="November"/>
    <d v="2022-02-25T00:00:00"/>
    <x v="1"/>
    <n v="1"/>
    <n v="55374.02"/>
    <s v="Neeta Kulkarni"/>
    <n v="32"/>
    <s v="Adult"/>
    <s v="Good"/>
    <x v="2"/>
    <s v="Debit Card"/>
    <n v="5"/>
    <s v="Vivo Y51"/>
    <n v="55374.02"/>
    <s v="Good"/>
    <s v="Average"/>
  </r>
  <r>
    <s v="Sach27141"/>
    <n v="141"/>
    <n v="18"/>
    <n v="11"/>
    <n v="2021"/>
    <d v="2021-11-18T00:00:00"/>
    <s v="November"/>
    <d v="2022-02-26T00:00:00"/>
    <x v="1"/>
    <n v="8"/>
    <n v="26555.7"/>
    <s v="Sachin Varma"/>
    <n v="27"/>
    <s v="Teenagers"/>
    <s v="Good"/>
    <x v="15"/>
    <s v="Cash"/>
    <n v="5"/>
    <s v="Vivo V20"/>
    <n v="212445.6"/>
    <s v="Good"/>
    <s v="Excellent"/>
  </r>
  <r>
    <s v="Sumi38142"/>
    <n v="142"/>
    <n v="18"/>
    <n v="11"/>
    <n v="2021"/>
    <d v="2021-11-18T00:00:00"/>
    <s v="November"/>
    <d v="2022-02-27T00:00:00"/>
    <x v="4"/>
    <n v="8"/>
    <n v="64297.71"/>
    <s v="Sumit Verma"/>
    <n v="38"/>
    <s v="Adult"/>
    <s v="Good"/>
    <x v="17"/>
    <s v="Cash"/>
    <n v="5"/>
    <s v="iPhone SE"/>
    <n v="514381.68"/>
    <s v="Good"/>
    <s v="Excellent"/>
  </r>
  <r>
    <s v="Kavi54143"/>
    <n v="143"/>
    <n v="18"/>
    <n v="11"/>
    <n v="2021"/>
    <d v="2021-11-18T00:00:00"/>
    <s v="November"/>
    <d v="2022-02-28T00:00:00"/>
    <x v="4"/>
    <n v="2"/>
    <n v="59071.040000000001"/>
    <s v="Kavita Jain"/>
    <n v="54"/>
    <s v="Senior Citezen"/>
    <s v="Good"/>
    <x v="10"/>
    <s v="UPI"/>
    <n v="5"/>
    <s v="iPhone 12"/>
    <n v="118142.08"/>
    <s v="Good"/>
    <s v="Good"/>
  </r>
  <r>
    <s v="Reen32144"/>
    <n v="144"/>
    <n v="19"/>
    <n v="11"/>
    <n v="2021"/>
    <d v="2021-11-19T00:00:00"/>
    <s v="November"/>
    <d v="2022-03-01T00:00:00"/>
    <x v="3"/>
    <n v="4"/>
    <n v="30775.96"/>
    <s v="Reena Bhatnagar"/>
    <n v="32"/>
    <s v="Adult"/>
    <s v="Good"/>
    <x v="3"/>
    <s v="Debit Card"/>
    <n v="5"/>
    <s v="Galaxy A51"/>
    <n v="123103.84"/>
    <s v="Good"/>
    <s v="Good"/>
  </r>
  <r>
    <s v="Anja40145"/>
    <n v="145"/>
    <n v="19"/>
    <n v="11"/>
    <n v="2021"/>
    <d v="2021-11-19T00:00:00"/>
    <s v="November"/>
    <d v="2022-03-02T00:00:00"/>
    <x v="3"/>
    <n v="6"/>
    <n v="58464.36"/>
    <s v="Anjali Ahuja"/>
    <n v="40"/>
    <s v="Adult"/>
    <s v="Good"/>
    <x v="2"/>
    <s v="Cash"/>
    <n v="5"/>
    <s v="Galaxy A51"/>
    <n v="350786.16000000003"/>
    <s v="Good"/>
    <s v="Excellent"/>
  </r>
  <r>
    <s v="Pras31146"/>
    <n v="146"/>
    <n v="19"/>
    <n v="11"/>
    <n v="2021"/>
    <d v="2021-11-19T00:00:00"/>
    <s v="November"/>
    <d v="2022-03-03T00:00:00"/>
    <x v="4"/>
    <n v="9"/>
    <n v="31383.43"/>
    <s v="Prashant Teja"/>
    <n v="31"/>
    <s v="Adult"/>
    <s v="Good"/>
    <x v="2"/>
    <s v="Cash"/>
    <n v="5"/>
    <s v="iPhone SE"/>
    <n v="282450.87"/>
    <s v="Good"/>
    <s v="Excellent"/>
  </r>
  <r>
    <s v="Raje32147"/>
    <n v="147"/>
    <n v="20"/>
    <n v="11"/>
    <n v="2021"/>
    <d v="2021-11-20T00:00:00"/>
    <s v="November"/>
    <d v="2022-03-04T00:00:00"/>
    <x v="4"/>
    <n v="8"/>
    <n v="16056.86"/>
    <s v="Rajesh Kaur"/>
    <n v="32"/>
    <s v="Adult"/>
    <s v="Good"/>
    <x v="16"/>
    <s v="Cash"/>
    <n v="5"/>
    <s v="iPhone SE"/>
    <n v="128454.88"/>
    <s v="Good"/>
    <s v="Good"/>
  </r>
  <r>
    <s v="Anit27148"/>
    <n v="148"/>
    <n v="20"/>
    <n v="11"/>
    <n v="2021"/>
    <d v="2021-11-20T00:00:00"/>
    <s v="November"/>
    <d v="2022-03-05T00:00:00"/>
    <x v="2"/>
    <n v="8"/>
    <n v="67713.289999999994"/>
    <s v="Anita Prasad"/>
    <n v="27"/>
    <s v="Teenagers"/>
    <s v="AVG"/>
    <x v="0"/>
    <s v="Debit Card"/>
    <n v="3"/>
    <s v="OnePlus 9"/>
    <n v="541706.31999999995"/>
    <s v="Average"/>
    <s v="Excellent"/>
  </r>
  <r>
    <s v="Mala26149"/>
    <n v="149"/>
    <n v="20"/>
    <n v="11"/>
    <n v="2021"/>
    <d v="2021-11-20T00:00:00"/>
    <s v="November"/>
    <d v="2022-03-06T00:00:00"/>
    <x v="1"/>
    <n v="7"/>
    <n v="49156.12"/>
    <s v="Mala Teja"/>
    <n v="26"/>
    <s v="Teenagers"/>
    <s v="Good"/>
    <x v="1"/>
    <s v="Debit Card"/>
    <n v="5"/>
    <s v="Vivo S1"/>
    <n v="344092.84"/>
    <s v="Good"/>
    <s v="Excellent"/>
  </r>
  <r>
    <s v="Tanu56150"/>
    <n v="150"/>
    <n v="20"/>
    <n v="11"/>
    <n v="2021"/>
    <d v="2021-11-20T00:00:00"/>
    <s v="November"/>
    <d v="2022-03-07T00:00:00"/>
    <x v="3"/>
    <n v="9"/>
    <n v="37365.97"/>
    <s v="Tanuja Goyal"/>
    <n v="56"/>
    <s v="Senior Citezen"/>
    <s v="Good"/>
    <x v="1"/>
    <s v="UPI"/>
    <n v="4"/>
    <s v="Galaxy Note 20"/>
    <n v="336293.73"/>
    <s v="Good"/>
    <s v="Excellent"/>
  </r>
  <r>
    <s v="Reen22151"/>
    <n v="151"/>
    <n v="21"/>
    <n v="11"/>
    <n v="2021"/>
    <d v="2021-11-21T00:00:00"/>
    <s v="November"/>
    <d v="2022-03-08T00:00:00"/>
    <x v="1"/>
    <n v="2"/>
    <n v="33866.400000000001"/>
    <s v="Reena Rao"/>
    <n v="22"/>
    <s v="Teenagers"/>
    <s v="Good"/>
    <x v="14"/>
    <s v="Debit Card"/>
    <n v="5"/>
    <s v="Vivo Y51"/>
    <n v="67732.800000000003"/>
    <s v="Good"/>
    <s v="Average"/>
  </r>
  <r>
    <s v="Tanu42152"/>
    <n v="152"/>
    <n v="21"/>
    <n v="11"/>
    <n v="2021"/>
    <d v="2021-11-21T00:00:00"/>
    <s v="November"/>
    <d v="2022-03-09T00:00:00"/>
    <x v="1"/>
    <n v="3"/>
    <n v="29482.32"/>
    <s v="Tanuja Shah"/>
    <n v="42"/>
    <s v="Adult"/>
    <s v="Good"/>
    <x v="9"/>
    <s v="Debit Card"/>
    <n v="5"/>
    <s v="Vivo S1"/>
    <n v="88446.959999999992"/>
    <s v="Good"/>
    <s v="Average"/>
  </r>
  <r>
    <s v="Radh59153"/>
    <n v="153"/>
    <n v="21"/>
    <n v="11"/>
    <n v="2021"/>
    <d v="2021-11-21T00:00:00"/>
    <s v="November"/>
    <d v="2022-03-10T00:00:00"/>
    <x v="4"/>
    <n v="8"/>
    <n v="68886.86"/>
    <s v="Radha Jain"/>
    <n v="59"/>
    <s v="Senior Citezen"/>
    <s v="Good"/>
    <x v="7"/>
    <s v="Debit Card"/>
    <n v="5"/>
    <s v="iPhone 11"/>
    <n v="551094.88"/>
    <s v="Good"/>
    <s v="Excellent"/>
  </r>
  <r>
    <s v="Moni43154"/>
    <n v="154"/>
    <n v="21"/>
    <n v="11"/>
    <n v="2021"/>
    <d v="2021-11-21T00:00:00"/>
    <s v="November"/>
    <d v="2022-03-11T00:00:00"/>
    <x v="2"/>
    <n v="6"/>
    <n v="18084.84"/>
    <s v="Monika Ahuja"/>
    <n v="43"/>
    <s v="Adult"/>
    <s v="Good"/>
    <x v="1"/>
    <s v="UPI"/>
    <n v="5"/>
    <s v="OnePlus 8T"/>
    <n v="108509.04000000001"/>
    <s v="Good"/>
    <s v="Good"/>
  </r>
  <r>
    <s v="Kavi25155"/>
    <n v="155"/>
    <n v="22"/>
    <n v="11"/>
    <n v="2021"/>
    <d v="2021-11-22T00:00:00"/>
    <s v="November"/>
    <d v="2022-03-12T00:00:00"/>
    <x v="0"/>
    <n v="9"/>
    <n v="28888.3"/>
    <s v="Kavita Goyal"/>
    <n v="25"/>
    <s v="Teenagers"/>
    <s v="Good"/>
    <x v="0"/>
    <s v="Credit Card"/>
    <n v="5"/>
    <s v="Redmi 9"/>
    <n v="259994.69999999998"/>
    <s v="Good"/>
    <s v="Excellent"/>
  </r>
  <r>
    <s v="Priy39156"/>
    <n v="156"/>
    <n v="22"/>
    <n v="11"/>
    <n v="2021"/>
    <d v="2021-11-22T00:00:00"/>
    <s v="November"/>
    <d v="2022-03-13T00:00:00"/>
    <x v="2"/>
    <n v="4"/>
    <n v="39129.86"/>
    <s v="Priya Roy"/>
    <n v="39"/>
    <s v="Adult"/>
    <s v="Good"/>
    <x v="9"/>
    <s v="Credit Card"/>
    <n v="5"/>
    <s v="OnePlus Nord"/>
    <n v="156519.44"/>
    <s v="Good"/>
    <s v="Good"/>
  </r>
  <r>
    <s v="Pooj42157"/>
    <n v="157"/>
    <n v="22"/>
    <n v="11"/>
    <n v="2021"/>
    <d v="2021-11-22T00:00:00"/>
    <s v="November"/>
    <d v="2022-03-14T00:00:00"/>
    <x v="2"/>
    <n v="8"/>
    <n v="38679.97"/>
    <s v="Pooja Dutta"/>
    <n v="42"/>
    <s v="Adult"/>
    <s v="Good"/>
    <x v="1"/>
    <s v="Cash"/>
    <n v="5"/>
    <s v="OnePlus Nord"/>
    <n v="309439.76"/>
    <s v="Good"/>
    <s v="Excellent"/>
  </r>
  <r>
    <s v="Nami29158"/>
    <n v="158"/>
    <n v="22"/>
    <n v="11"/>
    <n v="2021"/>
    <d v="2021-11-22T00:00:00"/>
    <s v="November"/>
    <d v="2022-03-15T00:00:00"/>
    <x v="1"/>
    <n v="3"/>
    <n v="38281.99"/>
    <s v="Namita Das"/>
    <n v="29"/>
    <s v="Teenagers"/>
    <s v="Good"/>
    <x v="3"/>
    <s v="Credit Card"/>
    <n v="5"/>
    <s v="Vivo V20"/>
    <n v="114845.97"/>
    <s v="Good"/>
    <s v="Good"/>
  </r>
  <r>
    <s v="Nikh26159"/>
    <n v="159"/>
    <n v="23"/>
    <n v="11"/>
    <n v="2021"/>
    <d v="2021-11-23T00:00:00"/>
    <s v="November"/>
    <d v="2022-03-16T00:00:00"/>
    <x v="2"/>
    <n v="3"/>
    <n v="20547.03"/>
    <s v="Nikhil Bhatnagar"/>
    <n v="26"/>
    <s v="Teenagers"/>
    <s v="AVG"/>
    <x v="10"/>
    <s v="Credit Card"/>
    <n v="3"/>
    <s v="OnePlus Nord"/>
    <n v="61641.09"/>
    <s v="Average"/>
    <s v="Average"/>
  </r>
  <r>
    <s v="Sanj27160"/>
    <n v="160"/>
    <n v="23"/>
    <n v="11"/>
    <n v="2021"/>
    <d v="2021-11-23T00:00:00"/>
    <s v="November"/>
    <d v="2022-03-17T00:00:00"/>
    <x v="3"/>
    <n v="8"/>
    <n v="18695.95"/>
    <s v="Sanjay Sheth"/>
    <n v="27"/>
    <s v="Teenagers"/>
    <s v="Good"/>
    <x v="17"/>
    <s v="UPI"/>
    <n v="4"/>
    <s v="Galaxy A51"/>
    <n v="149567.6"/>
    <s v="Good"/>
    <s v="Good"/>
  </r>
  <r>
    <s v="Radh27161"/>
    <n v="161"/>
    <n v="23"/>
    <n v="11"/>
    <n v="2021"/>
    <d v="2021-11-23T00:00:00"/>
    <s v="November"/>
    <d v="2022-03-18T00:00:00"/>
    <x v="1"/>
    <n v="5"/>
    <n v="25286.06"/>
    <s v="Radha Rao"/>
    <n v="27"/>
    <s v="Teenagers"/>
    <s v="Good"/>
    <x v="6"/>
    <s v="UPI"/>
    <n v="5"/>
    <s v="Vivo V20"/>
    <n v="126430.3"/>
    <s v="Good"/>
    <s v="Good"/>
  </r>
  <r>
    <s v="Lata26162"/>
    <n v="162"/>
    <n v="23"/>
    <n v="11"/>
    <n v="2021"/>
    <d v="2021-11-23T00:00:00"/>
    <s v="November"/>
    <d v="2022-03-19T00:00:00"/>
    <x v="3"/>
    <n v="3"/>
    <n v="64871.57"/>
    <s v="Lata Iyer"/>
    <n v="26"/>
    <s v="Teenagers"/>
    <s v="Good"/>
    <x v="2"/>
    <s v="Credit Card"/>
    <n v="5"/>
    <s v="Galaxy Note 20"/>
    <n v="194614.71"/>
    <s v="Good"/>
    <s v="Good"/>
  </r>
  <r>
    <s v="Ravi43163"/>
    <n v="163"/>
    <n v="24"/>
    <n v="11"/>
    <n v="2021"/>
    <d v="2021-11-24T00:00:00"/>
    <s v="November"/>
    <d v="2022-03-20T00:00:00"/>
    <x v="0"/>
    <n v="1"/>
    <n v="16783.18"/>
    <s v="Ravi Arora"/>
    <n v="43"/>
    <s v="Adult"/>
    <s v="AVG"/>
    <x v="2"/>
    <s v="Credit Card"/>
    <n v="3"/>
    <s v="Redmi Note 10"/>
    <n v="16783.18"/>
    <s v="Average"/>
    <s v="Low"/>
  </r>
  <r>
    <s v="Nami52164"/>
    <n v="164"/>
    <n v="24"/>
    <n v="11"/>
    <n v="2021"/>
    <d v="2021-11-24T00:00:00"/>
    <s v="November"/>
    <d v="2022-03-21T00:00:00"/>
    <x v="1"/>
    <n v="3"/>
    <n v="55445.51"/>
    <s v="Namita Desai"/>
    <n v="52"/>
    <s v="Senior Citezen"/>
    <s v="Good"/>
    <x v="2"/>
    <s v="Credit Card"/>
    <n v="5"/>
    <s v="Vivo Y51"/>
    <n v="166336.53"/>
    <s v="Good"/>
    <s v="Good"/>
  </r>
  <r>
    <s v="Pooj44165"/>
    <n v="165"/>
    <n v="24"/>
    <n v="11"/>
    <n v="2021"/>
    <d v="2021-11-24T00:00:00"/>
    <s v="November"/>
    <d v="2022-03-22T00:00:00"/>
    <x v="0"/>
    <n v="9"/>
    <n v="55452.9"/>
    <s v="Pooja Joshi"/>
    <n v="44"/>
    <s v="Adult"/>
    <s v="Good"/>
    <x v="0"/>
    <s v="Cash"/>
    <n v="5"/>
    <s v="Redmi Note 10"/>
    <n v="499076.10000000003"/>
    <s v="Good"/>
    <s v="Excellent"/>
  </r>
  <r>
    <s v="Reen48166"/>
    <n v="166"/>
    <n v="24"/>
    <n v="11"/>
    <n v="2021"/>
    <d v="2021-11-24T00:00:00"/>
    <s v="November"/>
    <d v="2022-03-23T00:00:00"/>
    <x v="1"/>
    <n v="5"/>
    <n v="58586.22"/>
    <s v="Reena Deshmukh"/>
    <n v="48"/>
    <s v="Senior Citezen"/>
    <s v="Good"/>
    <x v="1"/>
    <s v="UPI"/>
    <n v="5"/>
    <s v="Vivo S1"/>
    <n v="292931.09999999998"/>
    <s v="Good"/>
    <s v="Excellent"/>
  </r>
  <r>
    <s v="Pooj36167"/>
    <n v="167"/>
    <n v="25"/>
    <n v="11"/>
    <n v="2021"/>
    <d v="2021-11-25T00:00:00"/>
    <s v="November"/>
    <d v="2022-03-24T00:00:00"/>
    <x v="4"/>
    <n v="2"/>
    <n v="63196.93"/>
    <s v="Pooja Thakur"/>
    <n v="36"/>
    <s v="Adult"/>
    <s v="Good"/>
    <x v="1"/>
    <s v="Credit Card"/>
    <n v="5"/>
    <s v="iPhone 12"/>
    <n v="126393.86"/>
    <s v="Good"/>
    <s v="Good"/>
  </r>
  <r>
    <s v="Bhav55168"/>
    <n v="168"/>
    <n v="25"/>
    <n v="11"/>
    <n v="2021"/>
    <d v="2021-11-25T00:00:00"/>
    <s v="November"/>
    <d v="2022-03-25T00:00:00"/>
    <x v="2"/>
    <n v="7"/>
    <n v="25782.17"/>
    <s v="Bhavana Kapoor"/>
    <n v="55"/>
    <s v="Senior Citezen"/>
    <s v="Good"/>
    <x v="2"/>
    <s v="Debit Card"/>
    <n v="5"/>
    <s v="OnePlus Nord"/>
    <n v="180475.19"/>
    <s v="Good"/>
    <s v="Good"/>
  </r>
  <r>
    <s v="Nami23169"/>
    <n v="169"/>
    <n v="25"/>
    <n v="11"/>
    <n v="2021"/>
    <d v="2021-11-25T00:00:00"/>
    <s v="November"/>
    <d v="2022-03-26T00:00:00"/>
    <x v="4"/>
    <n v="2"/>
    <n v="23473.57"/>
    <s v="Namita Desai"/>
    <n v="23"/>
    <s v="Teenagers"/>
    <s v="Good"/>
    <x v="15"/>
    <s v="Credit Card"/>
    <n v="5"/>
    <s v="iPhone 11"/>
    <n v="46947.14"/>
    <s v="Good"/>
    <s v="Low"/>
  </r>
  <r>
    <s v="Amit32170"/>
    <n v="170"/>
    <n v="26"/>
    <n v="11"/>
    <n v="2021"/>
    <d v="2021-11-26T00:00:00"/>
    <s v="November"/>
    <d v="2022-03-27T00:00:00"/>
    <x v="0"/>
    <n v="4"/>
    <n v="37930.339999999997"/>
    <s v="Amit Dutta"/>
    <n v="32"/>
    <s v="Adult"/>
    <s v="Good"/>
    <x v="5"/>
    <s v="Debit Card"/>
    <n v="5"/>
    <s v="Redmi 9"/>
    <n v="151721.35999999999"/>
    <s v="Good"/>
    <s v="Good"/>
  </r>
  <r>
    <s v="Sanj46171"/>
    <n v="171"/>
    <n v="26"/>
    <n v="11"/>
    <n v="2021"/>
    <d v="2021-11-26T00:00:00"/>
    <s v="November"/>
    <d v="2022-03-28T00:00:00"/>
    <x v="2"/>
    <n v="7"/>
    <n v="25905.35"/>
    <s v="Sanjay Bhattacharya"/>
    <n v="46"/>
    <s v="Senior Citezen"/>
    <s v="Good"/>
    <x v="1"/>
    <s v="Cash"/>
    <n v="5"/>
    <s v="OnePlus 9"/>
    <n v="181337.44999999998"/>
    <s v="Good"/>
    <s v="Good"/>
  </r>
  <r>
    <s v="Shru22172"/>
    <n v="172"/>
    <n v="26"/>
    <n v="11"/>
    <n v="2021"/>
    <d v="2021-11-26T00:00:00"/>
    <s v="November"/>
    <d v="2022-03-29T00:00:00"/>
    <x v="1"/>
    <n v="4"/>
    <n v="54058.6"/>
    <s v="Shruti Chaudhary"/>
    <n v="22"/>
    <s v="Teenagers"/>
    <s v="Good"/>
    <x v="1"/>
    <s v="Debit Card"/>
    <n v="5"/>
    <s v="Vivo V20"/>
    <n v="216234.4"/>
    <s v="Good"/>
    <s v="Excellent"/>
  </r>
  <r>
    <s v="Sumi31173"/>
    <n v="173"/>
    <n v="26"/>
    <n v="11"/>
    <n v="2021"/>
    <d v="2021-11-26T00:00:00"/>
    <s v="November"/>
    <d v="2022-03-30T00:00:00"/>
    <x v="2"/>
    <n v="7"/>
    <n v="48156.37"/>
    <s v="Sumit Reddy"/>
    <n v="31"/>
    <s v="Adult"/>
    <s v="Good"/>
    <x v="17"/>
    <s v="UPI"/>
    <n v="5"/>
    <s v="OnePlus 8T"/>
    <n v="337094.59"/>
    <s v="Good"/>
    <s v="Excellent"/>
  </r>
  <r>
    <s v="Bina19174"/>
    <n v="174"/>
    <n v="27"/>
    <n v="11"/>
    <n v="2021"/>
    <d v="2021-11-27T00:00:00"/>
    <s v="November"/>
    <d v="2022-03-31T00:00:00"/>
    <x v="3"/>
    <n v="7"/>
    <n v="62499.26"/>
    <s v="Bina Goyal"/>
    <n v="19"/>
    <s v="Teenagers"/>
    <s v="Good"/>
    <x v="16"/>
    <s v="Cash"/>
    <n v="5"/>
    <s v="Galaxy A51"/>
    <n v="437494.82"/>
    <s v="Good"/>
    <s v="Excellent"/>
  </r>
  <r>
    <s v="Anit40175"/>
    <n v="175"/>
    <n v="27"/>
    <n v="11"/>
    <n v="2021"/>
    <d v="2021-11-27T00:00:00"/>
    <s v="November"/>
    <d v="2022-04-01T00:00:00"/>
    <x v="2"/>
    <n v="1"/>
    <n v="14964.3"/>
    <s v="Anita Prasad"/>
    <n v="40"/>
    <s v="Adult"/>
    <s v="Good"/>
    <x v="8"/>
    <s v="Cash"/>
    <n v="5"/>
    <s v="OnePlus 8T"/>
    <n v="14964.3"/>
    <s v="Good"/>
    <s v="Low"/>
  </r>
  <r>
    <s v="Reen36176"/>
    <n v="176"/>
    <n v="27"/>
    <n v="11"/>
    <n v="2021"/>
    <d v="2021-11-27T00:00:00"/>
    <s v="November"/>
    <d v="2022-04-02T00:00:00"/>
    <x v="3"/>
    <n v="6"/>
    <n v="64905"/>
    <s v="Reena Dutta"/>
    <n v="36"/>
    <s v="Adult"/>
    <s v="Good"/>
    <x v="18"/>
    <s v="Credit Card"/>
    <n v="5"/>
    <s v="Galaxy A51"/>
    <n v="389430"/>
    <s v="Good"/>
    <s v="Excellent"/>
  </r>
  <r>
    <s v="Vive41177"/>
    <n v="177"/>
    <n v="27"/>
    <n v="11"/>
    <n v="2021"/>
    <d v="2021-11-27T00:00:00"/>
    <s v="November"/>
    <d v="2022-04-03T00:00:00"/>
    <x v="2"/>
    <n v="9"/>
    <n v="27600.92"/>
    <s v="Vivek Srivastava"/>
    <n v="41"/>
    <s v="Adult"/>
    <s v="AVG"/>
    <x v="9"/>
    <s v="Cash"/>
    <n v="3"/>
    <s v="OnePlus Nord"/>
    <n v="248408.27999999997"/>
    <s v="Average"/>
    <s v="Excellent"/>
  </r>
  <r>
    <s v="Kavi37178"/>
    <n v="178"/>
    <n v="28"/>
    <n v="11"/>
    <n v="2021"/>
    <d v="2021-11-28T00:00:00"/>
    <s v="November"/>
    <d v="2022-04-04T00:00:00"/>
    <x v="3"/>
    <n v="2"/>
    <n v="39441.660000000003"/>
    <s v="Kavita Desai"/>
    <n v="37"/>
    <s v="Adult"/>
    <s v="Good"/>
    <x v="1"/>
    <s v="Cash"/>
    <n v="5"/>
    <s v="Galaxy Note 20"/>
    <n v="78883.320000000007"/>
    <s v="Good"/>
    <s v="Average"/>
  </r>
  <r>
    <s v="Anja44179"/>
    <n v="179"/>
    <n v="28"/>
    <n v="11"/>
    <n v="2021"/>
    <d v="2021-11-28T00:00:00"/>
    <s v="November"/>
    <d v="2022-04-05T00:00:00"/>
    <x v="0"/>
    <n v="3"/>
    <n v="36316.69"/>
    <s v="Anjali Thakur"/>
    <n v="44"/>
    <s v="Adult"/>
    <s v="Good"/>
    <x v="2"/>
    <s v="Debit Card"/>
    <n v="5"/>
    <s v="Mi 11"/>
    <n v="108950.07"/>
    <s v="Good"/>
    <s v="Good"/>
  </r>
  <r>
    <s v="Vija41180"/>
    <n v="180"/>
    <n v="28"/>
    <n v="11"/>
    <n v="2021"/>
    <d v="2021-11-28T00:00:00"/>
    <s v="November"/>
    <d v="2022-04-06T00:00:00"/>
    <x v="4"/>
    <n v="5"/>
    <n v="55618.7"/>
    <s v="Vijay Sheth"/>
    <n v="41"/>
    <s v="Adult"/>
    <s v="Good"/>
    <x v="1"/>
    <s v="Credit Card"/>
    <n v="4"/>
    <s v="iPhone SE"/>
    <n v="278093.5"/>
    <s v="Good"/>
    <s v="Excellent"/>
  </r>
  <r>
    <s v="Vive34181"/>
    <n v="181"/>
    <n v="29"/>
    <n v="11"/>
    <n v="2021"/>
    <d v="2021-11-29T00:00:00"/>
    <s v="November"/>
    <d v="2022-04-07T00:00:00"/>
    <x v="1"/>
    <n v="9"/>
    <n v="35220"/>
    <s v="Vivek Nair"/>
    <n v="34"/>
    <s v="Adult"/>
    <s v="Good"/>
    <x v="3"/>
    <s v="UPI"/>
    <n v="5"/>
    <s v="Vivo Y51"/>
    <n v="316980"/>
    <s v="Good"/>
    <s v="Excellent"/>
  </r>
  <r>
    <s v="Sneh42182"/>
    <n v="182"/>
    <n v="29"/>
    <n v="11"/>
    <n v="2021"/>
    <d v="2021-11-29T00:00:00"/>
    <s v="November"/>
    <d v="2022-04-08T00:00:00"/>
    <x v="2"/>
    <n v="4"/>
    <n v="66613.19"/>
    <s v="Sneha Jain"/>
    <n v="42"/>
    <s v="Adult"/>
    <s v="Good"/>
    <x v="1"/>
    <s v="Credit Card"/>
    <n v="4"/>
    <s v="OnePlus Nord"/>
    <n v="266452.76"/>
    <s v="Good"/>
    <s v="Excellent"/>
  </r>
  <r>
    <s v="Nikh48183"/>
    <n v="183"/>
    <n v="29"/>
    <n v="11"/>
    <n v="2021"/>
    <d v="2021-11-29T00:00:00"/>
    <s v="November"/>
    <d v="2022-04-09T00:00:00"/>
    <x v="4"/>
    <n v="1"/>
    <n v="64152.03"/>
    <s v="Nikhil Pathak"/>
    <n v="48"/>
    <s v="Senior Citezen"/>
    <s v="AVG"/>
    <x v="15"/>
    <s v="UPI"/>
    <n v="3"/>
    <s v="iPhone 11"/>
    <n v="64152.03"/>
    <s v="Average"/>
    <s v="Average"/>
  </r>
  <r>
    <s v="Mano45184"/>
    <n v="184"/>
    <n v="29"/>
    <n v="11"/>
    <n v="2021"/>
    <d v="2021-11-29T00:00:00"/>
    <s v="November"/>
    <d v="2022-04-10T00:00:00"/>
    <x v="1"/>
    <n v="4"/>
    <n v="62329.67"/>
    <s v="Manoj Mehta"/>
    <n v="45"/>
    <s v="Adult"/>
    <s v="Good"/>
    <x v="1"/>
    <s v="Debit Card"/>
    <n v="5"/>
    <s v="Vivo Y51"/>
    <n v="249318.68"/>
    <s v="Good"/>
    <s v="Excellent"/>
  </r>
  <r>
    <s v="Lali45185"/>
    <n v="185"/>
    <n v="30"/>
    <n v="11"/>
    <n v="2021"/>
    <d v="2021-11-30T00:00:00"/>
    <s v="November"/>
    <d v="2022-04-11T00:00:00"/>
    <x v="1"/>
    <n v="6"/>
    <n v="14275.5"/>
    <s v="Lalita Patel"/>
    <n v="45"/>
    <s v="Adult"/>
    <s v="AVG"/>
    <x v="10"/>
    <s v="Cash"/>
    <n v="3"/>
    <s v="Vivo Y51"/>
    <n v="85653"/>
    <s v="Average"/>
    <s v="Average"/>
  </r>
  <r>
    <s v="Nikh39186"/>
    <n v="186"/>
    <n v="30"/>
    <n v="11"/>
    <n v="2021"/>
    <d v="2021-11-30T00:00:00"/>
    <s v="November"/>
    <d v="2022-04-12T00:00:00"/>
    <x v="3"/>
    <n v="5"/>
    <n v="61255.48"/>
    <s v="Nikhil Jain"/>
    <n v="39"/>
    <s v="Adult"/>
    <s v="Good"/>
    <x v="17"/>
    <s v="Cash"/>
    <n v="5"/>
    <s v="Galaxy S21"/>
    <n v="306277.40000000002"/>
    <s v="Good"/>
    <s v="Excellent"/>
  </r>
  <r>
    <s v="Lata22187"/>
    <n v="187"/>
    <n v="30"/>
    <n v="11"/>
    <n v="2021"/>
    <d v="2021-11-30T00:00:00"/>
    <s v="November"/>
    <d v="2022-04-13T00:00:00"/>
    <x v="0"/>
    <n v="1"/>
    <n v="56898.13"/>
    <s v="Lata Chaudhary"/>
    <n v="22"/>
    <s v="Teenagers"/>
    <s v="Good"/>
    <x v="1"/>
    <s v="Credit Card"/>
    <n v="5"/>
    <s v="Mi 11"/>
    <n v="56898.13"/>
    <s v="Good"/>
    <s v="Average"/>
  </r>
  <r>
    <s v="Neet59188"/>
    <n v="188"/>
    <n v="1"/>
    <n v="12"/>
    <n v="2021"/>
    <d v="2021-12-01T00:00:00"/>
    <s v="December"/>
    <d v="2022-04-14T00:00:00"/>
    <x v="0"/>
    <n v="4"/>
    <n v="16210.78"/>
    <s v="Neeta Menon"/>
    <n v="59"/>
    <s v="Senior Citezen"/>
    <s v="AVG"/>
    <x v="4"/>
    <s v="Credit Card"/>
    <n v="3"/>
    <s v="Redmi Note 10"/>
    <n v="64843.12"/>
    <s v="Average"/>
    <s v="Average"/>
  </r>
  <r>
    <s v="Sach25189"/>
    <n v="189"/>
    <n v="1"/>
    <n v="12"/>
    <n v="2021"/>
    <d v="2021-12-01T00:00:00"/>
    <s v="December"/>
    <d v="2022-04-15T00:00:00"/>
    <x v="4"/>
    <n v="6"/>
    <n v="16444.86"/>
    <s v="Sachin Yadav"/>
    <n v="25"/>
    <s v="Teenagers"/>
    <s v="AVG"/>
    <x v="8"/>
    <s v="Credit Card"/>
    <n v="3"/>
    <s v="iPhone SE"/>
    <n v="98669.16"/>
    <s v="Average"/>
    <s v="Average"/>
  </r>
  <r>
    <s v="Sach55190"/>
    <n v="190"/>
    <n v="1"/>
    <n v="12"/>
    <n v="2021"/>
    <d v="2021-12-01T00:00:00"/>
    <s v="December"/>
    <d v="2022-04-16T00:00:00"/>
    <x v="0"/>
    <n v="4"/>
    <n v="16069.83"/>
    <s v="Sachin Goyal"/>
    <n v="55"/>
    <s v="Senior Citezen"/>
    <s v="AVG"/>
    <x v="18"/>
    <s v="Cash"/>
    <n v="3"/>
    <s v="Redmi 9"/>
    <n v="64279.32"/>
    <s v="Average"/>
    <s v="Average"/>
  </r>
  <r>
    <s v="Shru45191"/>
    <n v="191"/>
    <n v="1"/>
    <n v="12"/>
    <n v="2021"/>
    <d v="2021-12-01T00:00:00"/>
    <s v="December"/>
    <d v="2022-04-17T00:00:00"/>
    <x v="2"/>
    <n v="9"/>
    <n v="10679.96"/>
    <s v="Shruti Chaudhary"/>
    <n v="45"/>
    <s v="Adult"/>
    <s v="Good"/>
    <x v="4"/>
    <s v="Cash"/>
    <n v="5"/>
    <s v="OnePlus 8T"/>
    <n v="96119.639999999985"/>
    <s v="Good"/>
    <s v="Average"/>
  </r>
  <r>
    <s v="Sneh29192"/>
    <n v="192"/>
    <n v="2"/>
    <n v="12"/>
    <n v="2021"/>
    <d v="2021-12-02T00:00:00"/>
    <s v="December"/>
    <d v="2022-04-18T00:00:00"/>
    <x v="0"/>
    <n v="5"/>
    <n v="42918.06"/>
    <s v="Sneha Prasad"/>
    <n v="29"/>
    <s v="Teenagers"/>
    <s v="Good"/>
    <x v="1"/>
    <s v="Debit Card"/>
    <n v="5"/>
    <s v="Redmi Note 10"/>
    <n v="214590.3"/>
    <s v="Good"/>
    <s v="Excellent"/>
  </r>
  <r>
    <s v="Suni42193"/>
    <n v="193"/>
    <n v="2"/>
    <n v="12"/>
    <n v="2021"/>
    <d v="2021-12-02T00:00:00"/>
    <s v="December"/>
    <d v="2022-04-19T00:00:00"/>
    <x v="4"/>
    <n v="8"/>
    <n v="68403.66"/>
    <s v="Sunil Varma"/>
    <n v="42"/>
    <s v="Adult"/>
    <s v="Good"/>
    <x v="8"/>
    <s v="UPI"/>
    <n v="5"/>
    <s v="iPhone SE"/>
    <n v="547229.28"/>
    <s v="Good"/>
    <s v="Excellent"/>
  </r>
  <r>
    <s v="Kris55194"/>
    <n v="194"/>
    <n v="2"/>
    <n v="12"/>
    <n v="2021"/>
    <d v="2021-12-02T00:00:00"/>
    <s v="December"/>
    <d v="2022-04-20T00:00:00"/>
    <x v="0"/>
    <n v="9"/>
    <n v="36321.08"/>
    <s v="Krishna Roy"/>
    <n v="55"/>
    <s v="Senior Citezen"/>
    <s v="Good"/>
    <x v="4"/>
    <s v="Credit Card"/>
    <n v="5"/>
    <s v="Redmi Note 10"/>
    <n v="326889.72000000003"/>
    <s v="Good"/>
    <s v="Excellent"/>
  </r>
  <r>
    <s v="Vino32195"/>
    <n v="195"/>
    <n v="3"/>
    <n v="12"/>
    <n v="2021"/>
    <d v="2021-12-03T00:00:00"/>
    <s v="December"/>
    <d v="2022-04-21T00:00:00"/>
    <x v="2"/>
    <n v="5"/>
    <n v="42445.45"/>
    <s v="Vinod Kumar"/>
    <n v="32"/>
    <s v="Adult"/>
    <s v="Good"/>
    <x v="2"/>
    <s v="Cash"/>
    <n v="5"/>
    <s v="OnePlus 9"/>
    <n v="212227.25"/>
    <s v="Good"/>
    <s v="Excellent"/>
  </r>
  <r>
    <s v="Sanj58196"/>
    <n v="196"/>
    <n v="3"/>
    <n v="12"/>
    <n v="2021"/>
    <d v="2021-12-03T00:00:00"/>
    <s v="December"/>
    <d v="2022-04-22T00:00:00"/>
    <x v="3"/>
    <n v="6"/>
    <n v="68078.19"/>
    <s v="Sanjay Das"/>
    <n v="58"/>
    <s v="Senior Citezen"/>
    <s v="Good"/>
    <x v="4"/>
    <s v="UPI"/>
    <n v="5"/>
    <s v="Galaxy A51"/>
    <n v="408469.14"/>
    <s v="Good"/>
    <s v="Excellent"/>
  </r>
  <r>
    <s v="Neet51197"/>
    <n v="197"/>
    <n v="3"/>
    <n v="12"/>
    <n v="2021"/>
    <d v="2021-12-03T00:00:00"/>
    <s v="December"/>
    <d v="2022-04-23T00:00:00"/>
    <x v="4"/>
    <n v="1"/>
    <n v="25310.93"/>
    <s v="Neeta Menon"/>
    <n v="51"/>
    <s v="Senior Citezen"/>
    <s v="AVG"/>
    <x v="1"/>
    <s v="Credit Card"/>
    <n v="3"/>
    <s v="iPhone 12"/>
    <n v="25310.93"/>
    <s v="Average"/>
    <s v="Low"/>
  </r>
  <r>
    <s v="Anan30198"/>
    <n v="198"/>
    <n v="3"/>
    <n v="12"/>
    <n v="2021"/>
    <d v="2021-12-03T00:00:00"/>
    <s v="December"/>
    <d v="2022-04-24T00:00:00"/>
    <x v="3"/>
    <n v="7"/>
    <n v="61508.22"/>
    <s v="Anand Bhattacharya"/>
    <n v="30"/>
    <s v="Teenagers"/>
    <s v="Good"/>
    <x v="1"/>
    <s v="Credit Card"/>
    <n v="4"/>
    <s v="Galaxy S21"/>
    <n v="430557.54000000004"/>
    <s v="Good"/>
    <s v="Excellent"/>
  </r>
  <r>
    <s v="Tanu25199"/>
    <n v="199"/>
    <n v="4"/>
    <n v="12"/>
    <n v="2021"/>
    <d v="2021-12-04T00:00:00"/>
    <s v="December"/>
    <d v="2022-04-25T00:00:00"/>
    <x v="3"/>
    <n v="4"/>
    <n v="42783.43"/>
    <s v="Tanuja Ahuja"/>
    <n v="25"/>
    <s v="Teenagers"/>
    <s v="Good"/>
    <x v="2"/>
    <s v="UPI"/>
    <n v="5"/>
    <s v="Galaxy A51"/>
    <n v="171133.72"/>
    <s v="Good"/>
    <s v="Good"/>
  </r>
  <r>
    <s v="Navi30200"/>
    <n v="200"/>
    <n v="4"/>
    <n v="12"/>
    <n v="2021"/>
    <d v="2021-12-04T00:00:00"/>
    <s v="December"/>
    <d v="2022-04-26T00:00:00"/>
    <x v="3"/>
    <n v="2"/>
    <n v="44168.59"/>
    <s v="Navin Verma"/>
    <n v="30"/>
    <s v="Teenagers"/>
    <s v="Good"/>
    <x v="6"/>
    <s v="UPI"/>
    <n v="5"/>
    <s v="Galaxy Note 20"/>
    <n v="88337.18"/>
    <s v="Good"/>
    <s v="Average"/>
  </r>
  <r>
    <s v="Bhav53201"/>
    <n v="201"/>
    <n v="4"/>
    <n v="12"/>
    <n v="2021"/>
    <d v="2021-12-04T00:00:00"/>
    <s v="December"/>
    <d v="2022-04-27T00:00:00"/>
    <x v="1"/>
    <n v="5"/>
    <n v="30590.43"/>
    <s v="Bhavana Varma"/>
    <n v="53"/>
    <s v="Senior Citezen"/>
    <s v="Good"/>
    <x v="3"/>
    <s v="UPI"/>
    <n v="5"/>
    <s v="Vivo Y51"/>
    <n v="152952.15"/>
    <s v="Good"/>
    <s v="Good"/>
  </r>
  <r>
    <s v="Neet23202"/>
    <n v="202"/>
    <n v="4"/>
    <n v="12"/>
    <n v="2021"/>
    <d v="2021-12-04T00:00:00"/>
    <s v="December"/>
    <d v="2022-04-28T00:00:00"/>
    <x v="1"/>
    <n v="3"/>
    <n v="43695.06"/>
    <s v="Neeta Ghosh"/>
    <n v="23"/>
    <s v="Teenagers"/>
    <s v="Good"/>
    <x v="15"/>
    <s v="Cash"/>
    <n v="5"/>
    <s v="Vivo V20"/>
    <n v="131085.18"/>
    <s v="Good"/>
    <s v="Good"/>
  </r>
  <r>
    <s v="Umes55203"/>
    <n v="203"/>
    <n v="5"/>
    <n v="12"/>
    <n v="2021"/>
    <d v="2021-12-05T00:00:00"/>
    <s v="December"/>
    <d v="2022-04-29T00:00:00"/>
    <x v="3"/>
    <n v="6"/>
    <n v="14388.55"/>
    <s v="Umesh Dutta"/>
    <n v="55"/>
    <s v="Senior Citezen"/>
    <s v="Good"/>
    <x v="7"/>
    <s v="Debit Card"/>
    <n v="5"/>
    <s v="Galaxy Note 20"/>
    <n v="86331.299999999988"/>
    <s v="Good"/>
    <s v="Average"/>
  </r>
  <r>
    <s v="Lali49204"/>
    <n v="204"/>
    <n v="5"/>
    <n v="12"/>
    <n v="2021"/>
    <d v="2021-12-05T00:00:00"/>
    <s v="December"/>
    <d v="2022-04-30T00:00:00"/>
    <x v="4"/>
    <n v="8"/>
    <n v="55878.61"/>
    <s v="Lalita Dutta"/>
    <n v="49"/>
    <s v="Senior Citezen"/>
    <s v="Good"/>
    <x v="13"/>
    <s v="Credit Card"/>
    <n v="4"/>
    <s v="iPhone SE"/>
    <n v="447028.88"/>
    <s v="Good"/>
    <s v="Excellent"/>
  </r>
  <r>
    <s v="Kira38205"/>
    <n v="205"/>
    <n v="5"/>
    <n v="12"/>
    <n v="2021"/>
    <d v="2021-12-05T00:00:00"/>
    <s v="December"/>
    <d v="2022-05-01T00:00:00"/>
    <x v="2"/>
    <n v="7"/>
    <n v="27081.27"/>
    <s v="Kiran Mathur"/>
    <n v="38"/>
    <s v="Adult"/>
    <s v="Good"/>
    <x v="1"/>
    <s v="Credit Card"/>
    <n v="5"/>
    <s v="OnePlus Nord"/>
    <n v="189568.89"/>
    <s v="Good"/>
    <s v="Good"/>
  </r>
  <r>
    <s v="Sumi24206"/>
    <n v="206"/>
    <n v="6"/>
    <n v="12"/>
    <n v="2021"/>
    <d v="2021-12-06T00:00:00"/>
    <s v="December"/>
    <d v="2022-05-02T00:00:00"/>
    <x v="2"/>
    <n v="3"/>
    <n v="63256.5"/>
    <s v="Sumit Malhotra"/>
    <n v="24"/>
    <s v="Teenagers"/>
    <s v="Good"/>
    <x v="2"/>
    <s v="UPI"/>
    <n v="5"/>
    <s v="OnePlus Nord"/>
    <n v="189769.5"/>
    <s v="Good"/>
    <s v="Good"/>
  </r>
  <r>
    <s v="Sneh43207"/>
    <n v="207"/>
    <n v="6"/>
    <n v="12"/>
    <n v="2021"/>
    <d v="2021-12-06T00:00:00"/>
    <s v="December"/>
    <d v="2022-05-03T00:00:00"/>
    <x v="0"/>
    <n v="8"/>
    <n v="32071.040000000001"/>
    <s v="Sneha Jain"/>
    <n v="43"/>
    <s v="Adult"/>
    <s v="Good"/>
    <x v="11"/>
    <s v="Cash"/>
    <n v="5"/>
    <s v="Redmi Note 10"/>
    <n v="256568.32000000001"/>
    <s v="Good"/>
    <s v="Excellent"/>
  </r>
  <r>
    <s v="Sanj32208"/>
    <n v="208"/>
    <n v="6"/>
    <n v="12"/>
    <n v="2021"/>
    <d v="2021-12-06T00:00:00"/>
    <s v="December"/>
    <d v="2022-05-04T00:00:00"/>
    <x v="4"/>
    <n v="2"/>
    <n v="18569.45"/>
    <s v="Sanjay Pathak"/>
    <n v="32"/>
    <s v="Adult"/>
    <s v="Good"/>
    <x v="1"/>
    <s v="UPI"/>
    <n v="4"/>
    <s v="iPhone SE"/>
    <n v="37138.9"/>
    <s v="Good"/>
    <s v="Low"/>
  </r>
  <r>
    <s v="Bhav59209"/>
    <n v="209"/>
    <n v="7"/>
    <n v="12"/>
    <n v="2021"/>
    <d v="2021-12-07T00:00:00"/>
    <s v="December"/>
    <d v="2022-05-05T00:00:00"/>
    <x v="1"/>
    <n v="9"/>
    <n v="51752.89"/>
    <s v="Bhavana Yadav"/>
    <n v="59"/>
    <s v="Senior Citezen"/>
    <s v="Good"/>
    <x v="1"/>
    <s v="Cash"/>
    <n v="5"/>
    <s v="Vivo V20"/>
    <n v="465776.01"/>
    <s v="Good"/>
    <s v="Excellent"/>
  </r>
  <r>
    <s v="Sanj40210"/>
    <n v="210"/>
    <n v="7"/>
    <n v="12"/>
    <n v="2021"/>
    <d v="2021-12-07T00:00:00"/>
    <s v="December"/>
    <d v="2022-05-06T00:00:00"/>
    <x v="3"/>
    <n v="4"/>
    <n v="19874.689999999999"/>
    <s v="Sanjay Sheth"/>
    <n v="40"/>
    <s v="Adult"/>
    <s v="Good"/>
    <x v="14"/>
    <s v="Debit Card"/>
    <n v="5"/>
    <s v="Galaxy S21"/>
    <n v="79498.759999999995"/>
    <s v="Good"/>
    <s v="Average"/>
  </r>
  <r>
    <s v="Navi55211"/>
    <n v="211"/>
    <n v="7"/>
    <n v="12"/>
    <n v="2021"/>
    <d v="2021-12-07T00:00:00"/>
    <s v="December"/>
    <d v="2022-05-07T00:00:00"/>
    <x v="0"/>
    <n v="1"/>
    <n v="55220.83"/>
    <s v="Navin Sharma"/>
    <n v="55"/>
    <s v="Senior Citezen"/>
    <s v="Good"/>
    <x v="14"/>
    <s v="Credit Card"/>
    <n v="5"/>
    <s v="Redmi 9"/>
    <n v="55220.83"/>
    <s v="Good"/>
    <s v="Average"/>
  </r>
  <r>
    <s v="Priy58212"/>
    <n v="212"/>
    <n v="8"/>
    <n v="12"/>
    <n v="2021"/>
    <d v="2021-12-08T00:00:00"/>
    <s v="December"/>
    <d v="2022-05-08T00:00:00"/>
    <x v="2"/>
    <n v="8"/>
    <n v="68086.73"/>
    <s v="Priya Teja"/>
    <n v="58"/>
    <s v="Senior Citezen"/>
    <s v="Good"/>
    <x v="1"/>
    <s v="Credit Card"/>
    <n v="4"/>
    <s v="OnePlus Nord"/>
    <n v="544693.84"/>
    <s v="Good"/>
    <s v="Excellent"/>
  </r>
  <r>
    <s v="Suni32213"/>
    <n v="213"/>
    <n v="8"/>
    <n v="12"/>
    <n v="2021"/>
    <d v="2021-12-08T00:00:00"/>
    <s v="December"/>
    <d v="2022-05-09T00:00:00"/>
    <x v="1"/>
    <n v="7"/>
    <n v="56773.17"/>
    <s v="Sunita Teja"/>
    <n v="32"/>
    <s v="Adult"/>
    <s v="Good"/>
    <x v="8"/>
    <s v="Cash"/>
    <n v="5"/>
    <s v="Vivo V20"/>
    <n v="397412.19"/>
    <s v="Good"/>
    <s v="Excellent"/>
  </r>
  <r>
    <s v="Priy57214"/>
    <n v="214"/>
    <n v="8"/>
    <n v="12"/>
    <n v="2021"/>
    <d v="2021-12-08T00:00:00"/>
    <s v="December"/>
    <d v="2022-05-10T00:00:00"/>
    <x v="1"/>
    <n v="5"/>
    <n v="11346.95"/>
    <s v="Priya Varma"/>
    <n v="57"/>
    <s v="Senior Citezen"/>
    <s v="Good"/>
    <x v="13"/>
    <s v="Debit Card"/>
    <n v="4"/>
    <s v="Vivo S1"/>
    <n v="56734.75"/>
    <s v="Good"/>
    <s v="Average"/>
  </r>
  <r>
    <s v="Ravi33215"/>
    <n v="215"/>
    <n v="9"/>
    <n v="12"/>
    <n v="2021"/>
    <d v="2021-12-09T00:00:00"/>
    <s v="December"/>
    <d v="2022-05-11T00:00:00"/>
    <x v="3"/>
    <n v="5"/>
    <n v="45993.15"/>
    <s v="Ravi Sharma"/>
    <n v="33"/>
    <s v="Adult"/>
    <s v="AVG"/>
    <x v="2"/>
    <s v="Debit Card"/>
    <n v="3"/>
    <s v="Galaxy Note 20"/>
    <n v="229965.75"/>
    <s v="Average"/>
    <s v="Excellent"/>
  </r>
  <r>
    <s v="Lali49216"/>
    <n v="216"/>
    <n v="9"/>
    <n v="12"/>
    <n v="2021"/>
    <d v="2021-12-09T00:00:00"/>
    <s v="December"/>
    <d v="2022-05-12T00:00:00"/>
    <x v="2"/>
    <n v="7"/>
    <n v="51724.639999999999"/>
    <s v="Lalita Shah"/>
    <n v="49"/>
    <s v="Senior Citezen"/>
    <s v="Good"/>
    <x v="6"/>
    <s v="Credit Card"/>
    <n v="5"/>
    <s v="OnePlus 9"/>
    <n v="362072.48"/>
    <s v="Good"/>
    <s v="Excellent"/>
  </r>
  <r>
    <s v="Radh54217"/>
    <n v="217"/>
    <n v="9"/>
    <n v="12"/>
    <n v="2021"/>
    <d v="2021-12-09T00:00:00"/>
    <s v="December"/>
    <d v="2022-05-13T00:00:00"/>
    <x v="4"/>
    <n v="5"/>
    <n v="59527.5"/>
    <s v="Radha Jain"/>
    <n v="54"/>
    <s v="Senior Citezen"/>
    <s v="Good"/>
    <x v="18"/>
    <s v="Credit Card"/>
    <n v="5"/>
    <s v="iPhone 12"/>
    <n v="297637.5"/>
    <s v="Good"/>
    <s v="Excellent"/>
  </r>
  <r>
    <s v="Lali35218"/>
    <n v="218"/>
    <n v="10"/>
    <n v="12"/>
    <n v="2021"/>
    <d v="2021-12-10T00:00:00"/>
    <s v="December"/>
    <d v="2022-05-14T00:00:00"/>
    <x v="1"/>
    <n v="8"/>
    <n v="13360.14"/>
    <s v="Lalita Ahuja"/>
    <n v="35"/>
    <s v="Adult"/>
    <s v="Good"/>
    <x v="1"/>
    <s v="UPI"/>
    <n v="5"/>
    <s v="Vivo S1"/>
    <n v="106881.12"/>
    <s v="Good"/>
    <s v="Good"/>
  </r>
  <r>
    <s v="Adit37219"/>
    <n v="219"/>
    <n v="10"/>
    <n v="12"/>
    <n v="2021"/>
    <d v="2021-12-10T00:00:00"/>
    <s v="December"/>
    <d v="2022-05-15T00:00:00"/>
    <x v="3"/>
    <n v="6"/>
    <n v="38806.47"/>
    <s v="Aditya Deshmukh"/>
    <n v="37"/>
    <s v="Adult"/>
    <s v="Good"/>
    <x v="4"/>
    <s v="Cash"/>
    <n v="4"/>
    <s v="Galaxy A51"/>
    <n v="232838.82"/>
    <s v="Good"/>
    <s v="Excellent"/>
  </r>
  <r>
    <s v="Sumi19220"/>
    <n v="220"/>
    <n v="10"/>
    <n v="12"/>
    <n v="2021"/>
    <d v="2021-12-10T00:00:00"/>
    <s v="December"/>
    <d v="2022-05-16T00:00:00"/>
    <x v="4"/>
    <n v="5"/>
    <n v="42122.25"/>
    <s v="Sumit Verma"/>
    <n v="19"/>
    <s v="Teenagers"/>
    <s v="Good"/>
    <x v="4"/>
    <s v="Credit Card"/>
    <n v="4"/>
    <s v="iPhone 12"/>
    <n v="210611.25"/>
    <s v="Good"/>
    <s v="Excellent"/>
  </r>
  <r>
    <s v="Kira40221"/>
    <n v="221"/>
    <n v="11"/>
    <n v="12"/>
    <n v="2021"/>
    <d v="2021-12-11T00:00:00"/>
    <s v="December"/>
    <d v="2022-05-17T00:00:00"/>
    <x v="2"/>
    <n v="9"/>
    <n v="20147.490000000002"/>
    <s v="Kiran Rathod"/>
    <n v="40"/>
    <s v="Adult"/>
    <s v="Good"/>
    <x v="8"/>
    <s v="Debit Card"/>
    <n v="4"/>
    <s v="OnePlus 9"/>
    <n v="181327.41"/>
    <s v="Good"/>
    <s v="Good"/>
  </r>
  <r>
    <s v="Kris47222"/>
    <n v="222"/>
    <n v="11"/>
    <n v="12"/>
    <n v="2021"/>
    <d v="2021-12-11T00:00:00"/>
    <s v="December"/>
    <d v="2022-05-18T00:00:00"/>
    <x v="1"/>
    <n v="2"/>
    <n v="29346.99"/>
    <s v="Krishna Menon"/>
    <n v="47"/>
    <s v="Senior Citezen"/>
    <s v="Good"/>
    <x v="14"/>
    <s v="Debit Card"/>
    <n v="5"/>
    <s v="Vivo V20"/>
    <n v="58693.98"/>
    <s v="Good"/>
    <s v="Average"/>
  </r>
  <r>
    <s v="Pank20223"/>
    <n v="223"/>
    <n v="11"/>
    <n v="12"/>
    <n v="2021"/>
    <d v="2021-12-11T00:00:00"/>
    <s v="December"/>
    <d v="2022-05-19T00:00:00"/>
    <x v="4"/>
    <n v="1"/>
    <n v="36413.300000000003"/>
    <s v="Pankaj Mehta"/>
    <n v="20"/>
    <s v="Teenagers"/>
    <s v="Good"/>
    <x v="3"/>
    <s v="Credit Card"/>
    <n v="5"/>
    <s v="iPhone SE"/>
    <n v="36413.300000000003"/>
    <s v="Good"/>
    <s v="Low"/>
  </r>
  <r>
    <s v="Sanj56224"/>
    <n v="224"/>
    <n v="12"/>
    <n v="12"/>
    <n v="2021"/>
    <d v="2021-12-12T00:00:00"/>
    <s v="December"/>
    <d v="2022-05-20T00:00:00"/>
    <x v="4"/>
    <n v="8"/>
    <n v="59992.58"/>
    <s v="Sanjay Joshi"/>
    <n v="56"/>
    <s v="Senior Citezen"/>
    <s v="Good"/>
    <x v="0"/>
    <s v="Debit Card"/>
    <n v="5"/>
    <s v="iPhone 12"/>
    <n v="479940.64"/>
    <s v="Good"/>
    <s v="Excellent"/>
  </r>
  <r>
    <s v="Pank18225"/>
    <n v="225"/>
    <n v="12"/>
    <n v="12"/>
    <n v="2021"/>
    <d v="2021-12-12T00:00:00"/>
    <s v="December"/>
    <d v="2022-05-21T00:00:00"/>
    <x v="4"/>
    <n v="3"/>
    <n v="65764.45"/>
    <s v="Pankaj Shah"/>
    <n v="18"/>
    <s v="Teenagers"/>
    <s v="Good"/>
    <x v="1"/>
    <s v="Cash"/>
    <n v="5"/>
    <s v="iPhone 11"/>
    <n v="197293.34999999998"/>
    <s v="Good"/>
    <s v="Good"/>
  </r>
  <r>
    <s v="Moni58226"/>
    <n v="226"/>
    <n v="12"/>
    <n v="12"/>
    <n v="2021"/>
    <d v="2021-12-12T00:00:00"/>
    <s v="December"/>
    <d v="2022-05-22T00:00:00"/>
    <x v="1"/>
    <n v="7"/>
    <n v="47705.37"/>
    <s v="Monika Deshmukh"/>
    <n v="58"/>
    <s v="Senior Citezen"/>
    <s v="Good"/>
    <x v="18"/>
    <s v="Debit Card"/>
    <n v="4"/>
    <s v="Vivo Y51"/>
    <n v="333937.59000000003"/>
    <s v="Good"/>
    <s v="Excellent"/>
  </r>
  <r>
    <s v="Bhav39227"/>
    <n v="227"/>
    <n v="13"/>
    <n v="12"/>
    <n v="2021"/>
    <d v="2021-12-13T00:00:00"/>
    <s v="December"/>
    <d v="2022-05-23T00:00:00"/>
    <x v="1"/>
    <n v="8"/>
    <n v="33696.71"/>
    <s v="Bhavana Jain"/>
    <n v="39"/>
    <s v="Adult"/>
    <s v="AVG"/>
    <x v="1"/>
    <s v="Debit Card"/>
    <n v="3"/>
    <s v="Vivo S1"/>
    <n v="269573.68"/>
    <s v="Average"/>
    <s v="Excellent"/>
  </r>
  <r>
    <s v="Rame46228"/>
    <n v="228"/>
    <n v="13"/>
    <n v="12"/>
    <n v="2021"/>
    <d v="2021-12-13T00:00:00"/>
    <s v="December"/>
    <d v="2022-05-24T00:00:00"/>
    <x v="0"/>
    <n v="6"/>
    <n v="25241.86"/>
    <s v="Ramesh Nambiar"/>
    <n v="46"/>
    <s v="Senior Citezen"/>
    <s v="Good"/>
    <x v="1"/>
    <s v="Credit Card"/>
    <n v="5"/>
    <s v="Redmi Note 10"/>
    <n v="151451.16"/>
    <s v="Good"/>
    <s v="Good"/>
  </r>
  <r>
    <s v="Suni31229"/>
    <n v="229"/>
    <n v="13"/>
    <n v="12"/>
    <n v="2021"/>
    <d v="2021-12-13T00:00:00"/>
    <s v="December"/>
    <d v="2022-05-25T00:00:00"/>
    <x v="2"/>
    <n v="9"/>
    <n v="68928.11"/>
    <s v="Sunil Gupta"/>
    <n v="31"/>
    <s v="Adult"/>
    <s v="Good"/>
    <x v="1"/>
    <s v="Cash"/>
    <n v="4"/>
    <s v="OnePlus 9"/>
    <n v="620352.99"/>
    <s v="Good"/>
    <s v="Excellent"/>
  </r>
  <r>
    <s v="Nikh45230"/>
    <n v="230"/>
    <n v="13"/>
    <n v="12"/>
    <n v="2021"/>
    <d v="2021-12-13T00:00:00"/>
    <s v="December"/>
    <d v="2022-05-26T00:00:00"/>
    <x v="3"/>
    <n v="7"/>
    <n v="68981.2"/>
    <s v="Nikhil Rathod"/>
    <n v="45"/>
    <s v="Adult"/>
    <s v="Good"/>
    <x v="4"/>
    <s v="Cash"/>
    <n v="5"/>
    <s v="Galaxy Note 20"/>
    <n v="482868.39999999997"/>
    <s v="Good"/>
    <s v="Excellent"/>
  </r>
  <r>
    <s v="Vija38231"/>
    <n v="231"/>
    <n v="14"/>
    <n v="12"/>
    <n v="2021"/>
    <d v="2021-12-14T00:00:00"/>
    <s v="December"/>
    <d v="2022-05-27T00:00:00"/>
    <x v="4"/>
    <n v="5"/>
    <n v="65498.62"/>
    <s v="Vijay Shah"/>
    <n v="38"/>
    <s v="Adult"/>
    <s v="Good"/>
    <x v="16"/>
    <s v="UPI"/>
    <n v="4"/>
    <s v="iPhone 12"/>
    <n v="327493.10000000003"/>
    <s v="Good"/>
    <s v="Excellent"/>
  </r>
  <r>
    <s v="Bhav49232"/>
    <n v="232"/>
    <n v="14"/>
    <n v="12"/>
    <n v="2021"/>
    <d v="2021-12-14T00:00:00"/>
    <s v="December"/>
    <d v="2022-05-28T00:00:00"/>
    <x v="0"/>
    <n v="8"/>
    <n v="57140.15"/>
    <s v="Bhavana Jain"/>
    <n v="49"/>
    <s v="Senior Citezen"/>
    <s v="Good"/>
    <x v="1"/>
    <s v="Cash"/>
    <n v="5"/>
    <s v="Redmi 9"/>
    <n v="457121.2"/>
    <s v="Good"/>
    <s v="Excellent"/>
  </r>
  <r>
    <s v="Vive23233"/>
    <n v="233"/>
    <n v="14"/>
    <n v="12"/>
    <n v="2021"/>
    <d v="2021-12-14T00:00:00"/>
    <s v="December"/>
    <d v="2022-05-29T00:00:00"/>
    <x v="3"/>
    <n v="2"/>
    <n v="29546.77"/>
    <s v="Vivek Yadav"/>
    <n v="23"/>
    <s v="Teenagers"/>
    <s v="Good"/>
    <x v="1"/>
    <s v="UPI"/>
    <n v="5"/>
    <s v="Galaxy A51"/>
    <n v="59093.54"/>
    <s v="Good"/>
    <s v="Average"/>
  </r>
  <r>
    <s v="Mano18234"/>
    <n v="234"/>
    <n v="14"/>
    <n v="12"/>
    <n v="2021"/>
    <d v="2021-12-14T00:00:00"/>
    <s v="December"/>
    <d v="2022-05-30T00:00:00"/>
    <x v="0"/>
    <n v="7"/>
    <n v="59020.03"/>
    <s v="Manoj Siddiqui"/>
    <n v="18"/>
    <s v="Teenagers"/>
    <s v="Good"/>
    <x v="1"/>
    <s v="Credit Card"/>
    <n v="5"/>
    <s v="Redmi 9"/>
    <n v="413140.20999999996"/>
    <s v="Good"/>
    <s v="Excellent"/>
  </r>
  <r>
    <s v="Isha38235"/>
    <n v="235"/>
    <n v="15"/>
    <n v="12"/>
    <n v="2021"/>
    <d v="2021-12-15T00:00:00"/>
    <s v="December"/>
    <d v="2022-05-31T00:00:00"/>
    <x v="1"/>
    <n v="4"/>
    <n v="34527.58"/>
    <s v="Isha Menon"/>
    <n v="38"/>
    <s v="Adult"/>
    <s v="Good"/>
    <x v="14"/>
    <s v="Debit Card"/>
    <n v="5"/>
    <s v="Vivo V20"/>
    <n v="138110.32"/>
    <s v="Good"/>
    <s v="Good"/>
  </r>
  <r>
    <s v="Mala21236"/>
    <n v="236"/>
    <n v="15"/>
    <n v="12"/>
    <n v="2021"/>
    <d v="2021-12-15T00:00:00"/>
    <s v="December"/>
    <d v="2022-06-01T00:00:00"/>
    <x v="4"/>
    <n v="9"/>
    <n v="29606.39"/>
    <s v="Mala Das"/>
    <n v="21"/>
    <s v="Teenagers"/>
    <s v="Good"/>
    <x v="2"/>
    <s v="Cash"/>
    <n v="5"/>
    <s v="iPhone 12"/>
    <n v="266457.51"/>
    <s v="Good"/>
    <s v="Excellent"/>
  </r>
  <r>
    <s v="Kuna20237"/>
    <n v="237"/>
    <n v="15"/>
    <n v="12"/>
    <n v="2021"/>
    <d v="2021-12-15T00:00:00"/>
    <s v="December"/>
    <d v="2022-06-02T00:00:00"/>
    <x v="3"/>
    <n v="1"/>
    <n v="54691.92"/>
    <s v="Kunal Malhotra"/>
    <n v="20"/>
    <s v="Teenagers"/>
    <s v="Good"/>
    <x v="0"/>
    <s v="UPI"/>
    <n v="5"/>
    <s v="Galaxy Note 20"/>
    <n v="54691.92"/>
    <s v="Good"/>
    <s v="Average"/>
  </r>
  <r>
    <s v="Suni47238"/>
    <n v="238"/>
    <n v="16"/>
    <n v="12"/>
    <n v="2021"/>
    <d v="2021-12-16T00:00:00"/>
    <s v="December"/>
    <d v="2022-06-03T00:00:00"/>
    <x v="3"/>
    <n v="7"/>
    <n v="14779.24"/>
    <s v="Sunita Thakur"/>
    <n v="47"/>
    <s v="Senior Citezen"/>
    <s v="Good"/>
    <x v="17"/>
    <s v="Cash"/>
    <n v="5"/>
    <s v="Galaxy Note 20"/>
    <n v="103454.68"/>
    <s v="Good"/>
    <s v="Good"/>
  </r>
  <r>
    <s v="Yoge48239"/>
    <n v="239"/>
    <n v="16"/>
    <n v="12"/>
    <n v="2021"/>
    <d v="2021-12-16T00:00:00"/>
    <s v="December"/>
    <d v="2022-06-04T00:00:00"/>
    <x v="3"/>
    <n v="6"/>
    <n v="12913.76"/>
    <s v="Yogesh Dutta"/>
    <n v="48"/>
    <s v="Senior Citezen"/>
    <s v="AVG"/>
    <x v="1"/>
    <s v="Credit Card"/>
    <n v="3"/>
    <s v="Galaxy A51"/>
    <n v="77482.559999999998"/>
    <s v="Average"/>
    <s v="Average"/>
  </r>
  <r>
    <s v="Isha51240"/>
    <n v="240"/>
    <n v="16"/>
    <n v="12"/>
    <n v="2021"/>
    <d v="2021-12-16T00:00:00"/>
    <s v="December"/>
    <d v="2022-06-05T00:00:00"/>
    <x v="3"/>
    <n v="8"/>
    <n v="36877.22"/>
    <s v="Isha Thakur"/>
    <n v="51"/>
    <s v="Senior Citezen"/>
    <s v="Good"/>
    <x v="1"/>
    <s v="UPI"/>
    <n v="5"/>
    <s v="Galaxy S21"/>
    <n v="295017.76"/>
    <s v="Good"/>
    <s v="Excellent"/>
  </r>
  <r>
    <s v="Kris36241"/>
    <n v="241"/>
    <n v="16"/>
    <n v="12"/>
    <n v="2021"/>
    <d v="2021-12-16T00:00:00"/>
    <s v="December"/>
    <d v="2022-06-06T00:00:00"/>
    <x v="3"/>
    <n v="5"/>
    <n v="36738.33"/>
    <s v="Krishna Rathod"/>
    <n v="36"/>
    <s v="Adult"/>
    <s v="Good"/>
    <x v="1"/>
    <s v="UPI"/>
    <n v="5"/>
    <s v="Galaxy S21"/>
    <n v="183691.65000000002"/>
    <s v="Good"/>
    <s v="Good"/>
  </r>
  <r>
    <s v="Kris37242"/>
    <n v="242"/>
    <n v="17"/>
    <n v="12"/>
    <n v="2021"/>
    <d v="2021-12-17T00:00:00"/>
    <s v="December"/>
    <d v="2022-06-07T00:00:00"/>
    <x v="0"/>
    <n v="1"/>
    <n v="63738.65"/>
    <s v="Krishna Rawat"/>
    <n v="37"/>
    <s v="Adult"/>
    <s v="Good"/>
    <x v="2"/>
    <s v="UPI"/>
    <n v="5"/>
    <s v="Redmi 9"/>
    <n v="63738.65"/>
    <s v="Good"/>
    <s v="Average"/>
  </r>
  <r>
    <s v="Mano40243"/>
    <n v="243"/>
    <n v="17"/>
    <n v="12"/>
    <n v="2021"/>
    <d v="2021-12-17T00:00:00"/>
    <s v="December"/>
    <d v="2022-06-08T00:00:00"/>
    <x v="4"/>
    <n v="1"/>
    <n v="17569.189999999999"/>
    <s v="Manoj Thakur"/>
    <n v="40"/>
    <s v="Adult"/>
    <s v="Good"/>
    <x v="17"/>
    <s v="Credit Card"/>
    <n v="4"/>
    <s v="iPhone SE"/>
    <n v="17569.189999999999"/>
    <s v="Good"/>
    <s v="Low"/>
  </r>
  <r>
    <s v="Reen57244"/>
    <n v="244"/>
    <n v="17"/>
    <n v="12"/>
    <n v="2021"/>
    <d v="2021-12-17T00:00:00"/>
    <s v="December"/>
    <d v="2022-06-09T00:00:00"/>
    <x v="1"/>
    <n v="9"/>
    <n v="17397.04"/>
    <s v="Reena Rao"/>
    <n v="57"/>
    <s v="Senior Citezen"/>
    <s v="Good"/>
    <x v="12"/>
    <s v="UPI"/>
    <n v="5"/>
    <s v="Vivo Y51"/>
    <n v="156573.36000000002"/>
    <s v="Good"/>
    <s v="Good"/>
  </r>
  <r>
    <s v="Anja42245"/>
    <n v="245"/>
    <n v="17"/>
    <n v="12"/>
    <n v="2021"/>
    <d v="2021-12-17T00:00:00"/>
    <s v="December"/>
    <d v="2022-06-10T00:00:00"/>
    <x v="1"/>
    <n v="6"/>
    <n v="18847.16"/>
    <s v="Anjali Nambiar"/>
    <n v="42"/>
    <s v="Adult"/>
    <s v="Good"/>
    <x v="12"/>
    <s v="Debit Card"/>
    <n v="5"/>
    <s v="Vivo Y51"/>
    <n v="113082.95999999999"/>
    <s v="Good"/>
    <s v="Good"/>
  </r>
  <r>
    <s v="Pooj32246"/>
    <n v="246"/>
    <n v="18"/>
    <n v="12"/>
    <n v="2021"/>
    <d v="2021-12-18T00:00:00"/>
    <s v="December"/>
    <d v="2022-06-11T00:00:00"/>
    <x v="1"/>
    <n v="5"/>
    <n v="11784.18"/>
    <s v="Pooja Arora"/>
    <n v="32"/>
    <s v="Adult"/>
    <s v="AVG"/>
    <x v="1"/>
    <s v="Credit Card"/>
    <n v="3"/>
    <s v="Vivo S1"/>
    <n v="58920.9"/>
    <s v="Average"/>
    <s v="Average"/>
  </r>
  <r>
    <s v="Jyot55247"/>
    <n v="247"/>
    <n v="18"/>
    <n v="12"/>
    <n v="2021"/>
    <d v="2021-12-18T00:00:00"/>
    <s v="December"/>
    <d v="2022-06-12T00:00:00"/>
    <x v="1"/>
    <n v="1"/>
    <n v="14303.9"/>
    <s v="Jyoti Varma"/>
    <n v="55"/>
    <s v="Senior Citezen"/>
    <s v="Good"/>
    <x v="2"/>
    <s v="Debit Card"/>
    <n v="5"/>
    <s v="Vivo V20"/>
    <n v="14303.9"/>
    <s v="Good"/>
    <s v="Low"/>
  </r>
  <r>
    <s v="Tapa40248"/>
    <n v="248"/>
    <n v="18"/>
    <n v="12"/>
    <n v="2021"/>
    <d v="2021-12-18T00:00:00"/>
    <s v="December"/>
    <d v="2022-06-13T00:00:00"/>
    <x v="0"/>
    <n v="6"/>
    <n v="49592.19"/>
    <s v="Tapan Chatterjee"/>
    <n v="40"/>
    <s v="Adult"/>
    <s v="Good"/>
    <x v="1"/>
    <s v="Debit Card"/>
    <n v="4"/>
    <s v="Mi 11"/>
    <n v="297553.14"/>
    <s v="Good"/>
    <s v="Excellent"/>
  </r>
  <r>
    <s v="Pooj19249"/>
    <n v="249"/>
    <n v="18"/>
    <n v="12"/>
    <n v="2021"/>
    <d v="2021-12-18T00:00:00"/>
    <s v="December"/>
    <d v="2022-06-14T00:00:00"/>
    <x v="2"/>
    <n v="6"/>
    <n v="35895.06"/>
    <s v="Pooja Arora"/>
    <n v="19"/>
    <s v="Teenagers"/>
    <s v="Good"/>
    <x v="18"/>
    <s v="Credit Card"/>
    <n v="5"/>
    <s v="OnePlus Nord"/>
    <n v="215370.36"/>
    <s v="Good"/>
    <s v="Excellent"/>
  </r>
  <r>
    <s v="Bhav32250"/>
    <n v="250"/>
    <n v="19"/>
    <n v="12"/>
    <n v="2021"/>
    <d v="2021-12-19T00:00:00"/>
    <s v="December"/>
    <d v="2022-06-15T00:00:00"/>
    <x v="4"/>
    <n v="3"/>
    <n v="55816.18"/>
    <s v="Bhavana Prasad"/>
    <n v="32"/>
    <s v="Adult"/>
    <s v="Good"/>
    <x v="13"/>
    <s v="Cash"/>
    <n v="5"/>
    <s v="iPhone 12"/>
    <n v="167448.54"/>
    <s v="Good"/>
    <s v="Good"/>
  </r>
  <r>
    <s v="Mano52251"/>
    <n v="251"/>
    <n v="19"/>
    <n v="12"/>
    <n v="2021"/>
    <d v="2021-12-19T00:00:00"/>
    <s v="December"/>
    <d v="2022-06-16T00:00:00"/>
    <x v="3"/>
    <n v="8"/>
    <n v="69555.86"/>
    <s v="Manoj Dutta"/>
    <n v="52"/>
    <s v="Senior Citezen"/>
    <s v="Good"/>
    <x v="12"/>
    <s v="Debit Card"/>
    <n v="5"/>
    <s v="Galaxy A51"/>
    <n v="556446.88"/>
    <s v="Good"/>
    <s v="Excellent"/>
  </r>
  <r>
    <s v="Raje27252"/>
    <n v="252"/>
    <n v="19"/>
    <n v="12"/>
    <n v="2021"/>
    <d v="2021-12-19T00:00:00"/>
    <s v="December"/>
    <d v="2022-06-17T00:00:00"/>
    <x v="2"/>
    <n v="1"/>
    <n v="49542.080000000002"/>
    <s v="Rajesh Shah"/>
    <n v="27"/>
    <s v="Teenagers"/>
    <s v="Good"/>
    <x v="3"/>
    <s v="Credit Card"/>
    <n v="5"/>
    <s v="OnePlus 9"/>
    <n v="49542.080000000002"/>
    <s v="Good"/>
    <s v="Low"/>
  </r>
  <r>
    <s v="Bina31253"/>
    <n v="253"/>
    <n v="19"/>
    <n v="12"/>
    <n v="2021"/>
    <d v="2021-12-19T00:00:00"/>
    <s v="December"/>
    <d v="2022-06-18T00:00:00"/>
    <x v="1"/>
    <n v="1"/>
    <n v="13027.33"/>
    <s v="Bina Singh"/>
    <n v="31"/>
    <s v="Adult"/>
    <s v="Good"/>
    <x v="9"/>
    <s v="Debit Card"/>
    <n v="4"/>
    <s v="Vivo Y51"/>
    <n v="13027.33"/>
    <s v="Good"/>
    <s v="Low"/>
  </r>
  <r>
    <s v="Priy44254"/>
    <n v="254"/>
    <n v="20"/>
    <n v="12"/>
    <n v="2021"/>
    <d v="2021-12-20T00:00:00"/>
    <s v="December"/>
    <d v="2022-06-19T00:00:00"/>
    <x v="2"/>
    <n v="6"/>
    <n v="16273.77"/>
    <s v="Priya Teja"/>
    <n v="44"/>
    <s v="Adult"/>
    <s v="Good"/>
    <x v="1"/>
    <s v="UPI"/>
    <n v="5"/>
    <s v="OnePlus 9"/>
    <n v="97642.62"/>
    <s v="Good"/>
    <s v="Average"/>
  </r>
  <r>
    <s v="Neet31255"/>
    <n v="255"/>
    <n v="20"/>
    <n v="12"/>
    <n v="2021"/>
    <d v="2021-12-20T00:00:00"/>
    <s v="December"/>
    <d v="2022-06-20T00:00:00"/>
    <x v="4"/>
    <n v="1"/>
    <n v="62860.25"/>
    <s v="Neeta Ahuja"/>
    <n v="31"/>
    <s v="Adult"/>
    <s v="Good"/>
    <x v="14"/>
    <s v="Debit Card"/>
    <n v="5"/>
    <s v="iPhone 12"/>
    <n v="62860.25"/>
    <s v="Good"/>
    <s v="Average"/>
  </r>
  <r>
    <s v="Pank52256"/>
    <n v="256"/>
    <n v="20"/>
    <n v="12"/>
    <n v="2021"/>
    <d v="2021-12-20T00:00:00"/>
    <s v="December"/>
    <d v="2022-06-21T00:00:00"/>
    <x v="3"/>
    <n v="6"/>
    <n v="41649.760000000002"/>
    <s v="Pankaj Gupta"/>
    <n v="52"/>
    <s v="Senior Citezen"/>
    <s v="Good"/>
    <x v="10"/>
    <s v="Debit Card"/>
    <n v="5"/>
    <s v="Galaxy A51"/>
    <n v="249898.56"/>
    <s v="Good"/>
    <s v="Excellent"/>
  </r>
  <r>
    <s v="Bina50257"/>
    <n v="257"/>
    <n v="21"/>
    <n v="12"/>
    <n v="2021"/>
    <d v="2021-12-21T00:00:00"/>
    <s v="December"/>
    <d v="2022-06-22T00:00:00"/>
    <x v="3"/>
    <n v="1"/>
    <n v="59490.23"/>
    <s v="Bina Mishra"/>
    <n v="50"/>
    <s v="Senior Citezen"/>
    <s v="Good"/>
    <x v="1"/>
    <s v="Debit Card"/>
    <n v="5"/>
    <s v="Galaxy S21"/>
    <n v="59490.23"/>
    <s v="Good"/>
    <s v="Average"/>
  </r>
  <r>
    <s v="Yoge18258"/>
    <n v="258"/>
    <n v="21"/>
    <n v="12"/>
    <n v="2021"/>
    <d v="2021-12-21T00:00:00"/>
    <s v="December"/>
    <d v="2022-06-23T00:00:00"/>
    <x v="4"/>
    <n v="6"/>
    <n v="61396.74"/>
    <s v="Yogesh Shah"/>
    <n v="18"/>
    <s v="Teenagers"/>
    <s v="Good"/>
    <x v="2"/>
    <s v="UPI"/>
    <n v="5"/>
    <s v="iPhone 11"/>
    <n v="368380.44"/>
    <s v="Good"/>
    <s v="Excellent"/>
  </r>
  <r>
    <s v="Vija51259"/>
    <n v="259"/>
    <n v="21"/>
    <n v="12"/>
    <n v="2021"/>
    <d v="2021-12-21T00:00:00"/>
    <s v="December"/>
    <d v="2022-06-24T00:00:00"/>
    <x v="4"/>
    <n v="3"/>
    <n v="65660.47"/>
    <s v="Vijay Varma"/>
    <n v="51"/>
    <s v="Senior Citezen"/>
    <s v="Good"/>
    <x v="12"/>
    <s v="Debit Card"/>
    <n v="4"/>
    <s v="iPhone SE"/>
    <n v="196981.41"/>
    <s v="Good"/>
    <s v="Good"/>
  </r>
  <r>
    <s v="Anit36260"/>
    <n v="260"/>
    <n v="21"/>
    <n v="12"/>
    <n v="2021"/>
    <d v="2021-12-21T00:00:00"/>
    <s v="December"/>
    <d v="2022-06-25T00:00:00"/>
    <x v="1"/>
    <n v="8"/>
    <n v="66989.75"/>
    <s v="Anita Srivastava"/>
    <n v="36"/>
    <s v="Adult"/>
    <s v="Good"/>
    <x v="13"/>
    <s v="Credit Card"/>
    <n v="5"/>
    <s v="Vivo S1"/>
    <n v="535918"/>
    <s v="Good"/>
    <s v="Excellent"/>
  </r>
  <r>
    <s v="Kavi41261"/>
    <n v="261"/>
    <n v="22"/>
    <n v="12"/>
    <n v="2021"/>
    <d v="2021-12-22T00:00:00"/>
    <s v="December"/>
    <d v="2022-06-26T00:00:00"/>
    <x v="3"/>
    <n v="6"/>
    <n v="43289.55"/>
    <s v="Kavita Teja"/>
    <n v="41"/>
    <s v="Adult"/>
    <s v="Good"/>
    <x v="1"/>
    <s v="Debit Card"/>
    <n v="5"/>
    <s v="Galaxy A51"/>
    <n v="259737.30000000002"/>
    <s v="Good"/>
    <s v="Excellent"/>
  </r>
  <r>
    <s v="Mano59262"/>
    <n v="262"/>
    <n v="22"/>
    <n v="12"/>
    <n v="2021"/>
    <d v="2021-12-22T00:00:00"/>
    <s v="December"/>
    <d v="2022-06-27T00:00:00"/>
    <x v="2"/>
    <n v="1"/>
    <n v="30461.21"/>
    <s v="Manoj Iyer"/>
    <n v="59"/>
    <s v="Senior Citezen"/>
    <s v="Good"/>
    <x v="2"/>
    <s v="Credit Card"/>
    <n v="4"/>
    <s v="OnePlus Nord"/>
    <n v="30461.21"/>
    <s v="Good"/>
    <s v="Low"/>
  </r>
  <r>
    <s v="Deep21263"/>
    <n v="263"/>
    <n v="22"/>
    <n v="12"/>
    <n v="2021"/>
    <d v="2021-12-22T00:00:00"/>
    <s v="December"/>
    <d v="2022-06-28T00:00:00"/>
    <x v="0"/>
    <n v="5"/>
    <n v="67711.89"/>
    <s v="Deepika Sharma"/>
    <n v="21"/>
    <s v="Teenagers"/>
    <s v="Good"/>
    <x v="2"/>
    <s v="Debit Card"/>
    <n v="4"/>
    <s v="Redmi 9"/>
    <n v="338559.45"/>
    <s v="Good"/>
    <s v="Excellent"/>
  </r>
  <r>
    <s v="Roha53264"/>
    <n v="264"/>
    <n v="23"/>
    <n v="12"/>
    <n v="2021"/>
    <d v="2021-12-23T00:00:00"/>
    <s v="December"/>
    <d v="2022-06-29T00:00:00"/>
    <x v="0"/>
    <n v="8"/>
    <n v="42844.38"/>
    <s v="Rohan Gupta"/>
    <n v="53"/>
    <s v="Senior Citezen"/>
    <s v="Good"/>
    <x v="1"/>
    <s v="Debit Card"/>
    <n v="4"/>
    <s v="Redmi 9"/>
    <n v="342755.04"/>
    <s v="Good"/>
    <s v="Excellent"/>
  </r>
  <r>
    <s v="Bhav30265"/>
    <n v="265"/>
    <n v="23"/>
    <n v="12"/>
    <n v="2021"/>
    <d v="2021-12-23T00:00:00"/>
    <s v="December"/>
    <d v="2022-06-30T00:00:00"/>
    <x v="4"/>
    <n v="3"/>
    <n v="13855.16"/>
    <s v="Bhavana Siddiqui"/>
    <n v="30"/>
    <s v="Teenagers"/>
    <s v="Good"/>
    <x v="16"/>
    <s v="Debit Card"/>
    <n v="5"/>
    <s v="iPhone SE"/>
    <n v="41565.479999999996"/>
    <s v="Good"/>
    <s v="Low"/>
  </r>
  <r>
    <s v="Ravi49266"/>
    <n v="266"/>
    <n v="23"/>
    <n v="12"/>
    <n v="2021"/>
    <d v="2021-12-23T00:00:00"/>
    <s v="December"/>
    <d v="2022-07-01T00:00:00"/>
    <x v="1"/>
    <n v="6"/>
    <n v="48566.59"/>
    <s v="Ravi Arora"/>
    <n v="49"/>
    <s v="Senior Citezen"/>
    <s v="Good"/>
    <x v="1"/>
    <s v="Cash"/>
    <n v="4"/>
    <s v="Vivo Y51"/>
    <n v="291399.53999999998"/>
    <s v="Good"/>
    <s v="Excellent"/>
  </r>
  <r>
    <s v="Suni26267"/>
    <n v="267"/>
    <n v="23"/>
    <n v="12"/>
    <n v="2021"/>
    <d v="2021-12-23T00:00:00"/>
    <s v="December"/>
    <d v="2022-07-02T00:00:00"/>
    <x v="0"/>
    <n v="5"/>
    <n v="45261.09"/>
    <s v="Sunil Kapoor"/>
    <n v="26"/>
    <s v="Teenagers"/>
    <s v="AVG"/>
    <x v="10"/>
    <s v="Cash"/>
    <n v="3"/>
    <s v="Mi 11"/>
    <n v="226305.44999999998"/>
    <s v="Average"/>
    <s v="Excellent"/>
  </r>
  <r>
    <s v="Amit56268"/>
    <n v="268"/>
    <n v="24"/>
    <n v="12"/>
    <n v="2021"/>
    <d v="2021-12-24T00:00:00"/>
    <s v="December"/>
    <d v="2022-07-03T00:00:00"/>
    <x v="3"/>
    <n v="6"/>
    <n v="63747.57"/>
    <s v="Amit Ghosh"/>
    <n v="56"/>
    <s v="Senior Citezen"/>
    <s v="Good"/>
    <x v="0"/>
    <s v="UPI"/>
    <n v="5"/>
    <s v="Galaxy A51"/>
    <n v="382485.42"/>
    <s v="Good"/>
    <s v="Excellent"/>
  </r>
  <r>
    <s v="Pooj33269"/>
    <n v="269"/>
    <n v="24"/>
    <n v="12"/>
    <n v="2021"/>
    <d v="2021-12-24T00:00:00"/>
    <s v="December"/>
    <d v="2022-07-04T00:00:00"/>
    <x v="4"/>
    <n v="1"/>
    <n v="49191.23"/>
    <s v="Pooja Arora"/>
    <n v="33"/>
    <s v="Adult"/>
    <s v="Good"/>
    <x v="12"/>
    <s v="Credit Card"/>
    <n v="4"/>
    <s v="iPhone 12"/>
    <n v="49191.23"/>
    <s v="Good"/>
    <s v="Low"/>
  </r>
  <r>
    <s v="Mano20270"/>
    <n v="270"/>
    <n v="24"/>
    <n v="12"/>
    <n v="2021"/>
    <d v="2021-12-24T00:00:00"/>
    <s v="December"/>
    <d v="2022-07-05T00:00:00"/>
    <x v="2"/>
    <n v="7"/>
    <n v="30943.15"/>
    <s v="Manoj Jain"/>
    <n v="20"/>
    <s v="Teenagers"/>
    <s v="BAD"/>
    <x v="2"/>
    <s v="UPI"/>
    <n v="2"/>
    <s v="OnePlus Nord"/>
    <n v="216602.05000000002"/>
    <s v="Average"/>
    <s v="Excellent"/>
  </r>
  <r>
    <s v="Rame37271"/>
    <n v="271"/>
    <n v="24"/>
    <n v="12"/>
    <n v="2021"/>
    <d v="2021-12-24T00:00:00"/>
    <s v="December"/>
    <d v="2022-07-06T00:00:00"/>
    <x v="4"/>
    <n v="9"/>
    <n v="67973.539999999994"/>
    <s v="Ramesh Nambiar"/>
    <n v="37"/>
    <s v="Adult"/>
    <s v="AVG"/>
    <x v="9"/>
    <s v="Credit Card"/>
    <n v="3"/>
    <s v="iPhone SE"/>
    <n v="611761.86"/>
    <s v="Average"/>
    <s v="Excellent"/>
  </r>
  <r>
    <s v="Kira27272"/>
    <n v="272"/>
    <n v="25"/>
    <n v="12"/>
    <n v="2021"/>
    <d v="2021-12-25T00:00:00"/>
    <s v="December"/>
    <d v="2022-07-07T00:00:00"/>
    <x v="2"/>
    <n v="2"/>
    <n v="58097.17"/>
    <s v="Kiran Ghosh"/>
    <n v="27"/>
    <s v="Teenagers"/>
    <s v="BAD"/>
    <x v="12"/>
    <s v="UPI"/>
    <n v="2"/>
    <s v="OnePlus Nord"/>
    <n v="116194.34"/>
    <s v="Average"/>
    <s v="Good"/>
  </r>
  <r>
    <s v="Pooj39273"/>
    <n v="273"/>
    <n v="25"/>
    <n v="12"/>
    <n v="2021"/>
    <d v="2021-12-25T00:00:00"/>
    <s v="December"/>
    <d v="2022-07-08T00:00:00"/>
    <x v="4"/>
    <n v="5"/>
    <n v="47825.06"/>
    <s v="Pooja Arora"/>
    <n v="39"/>
    <s v="Adult"/>
    <s v="Good"/>
    <x v="2"/>
    <s v="UPI"/>
    <n v="5"/>
    <s v="iPhone 12"/>
    <n v="239125.3"/>
    <s v="Good"/>
    <s v="Excellent"/>
  </r>
  <r>
    <s v="Arun20274"/>
    <n v="274"/>
    <n v="25"/>
    <n v="12"/>
    <n v="2021"/>
    <d v="2021-12-25T00:00:00"/>
    <s v="December"/>
    <d v="2022-07-09T00:00:00"/>
    <x v="4"/>
    <n v="4"/>
    <n v="27575.51"/>
    <s v="Arun Sheth"/>
    <n v="20"/>
    <s v="Teenagers"/>
    <s v="Good"/>
    <x v="5"/>
    <s v="Debit Card"/>
    <n v="5"/>
    <s v="iPhone 11"/>
    <n v="110302.04"/>
    <s v="Good"/>
    <s v="Good"/>
  </r>
  <r>
    <s v="Pooj28275"/>
    <n v="275"/>
    <n v="25"/>
    <n v="12"/>
    <n v="2021"/>
    <d v="2021-12-25T00:00:00"/>
    <s v="December"/>
    <d v="2022-07-10T00:00:00"/>
    <x v="4"/>
    <n v="6"/>
    <n v="32412.42"/>
    <s v="Pooja Joshi"/>
    <n v="28"/>
    <s v="Teenagers"/>
    <s v="Good"/>
    <x v="1"/>
    <s v="Debit Card"/>
    <n v="5"/>
    <s v="iPhone 12"/>
    <n v="194474.52"/>
    <s v="Good"/>
    <s v="Good"/>
  </r>
  <r>
    <s v="Adit42276"/>
    <n v="276"/>
    <n v="26"/>
    <n v="12"/>
    <n v="2021"/>
    <d v="2021-12-26T00:00:00"/>
    <s v="December"/>
    <d v="2022-07-11T00:00:00"/>
    <x v="2"/>
    <n v="6"/>
    <n v="50198.2"/>
    <s v="Aditya Menon"/>
    <n v="42"/>
    <s v="Adult"/>
    <s v="Good"/>
    <x v="17"/>
    <s v="Debit Card"/>
    <n v="5"/>
    <s v="OnePlus 9"/>
    <n v="301189.19999999995"/>
    <s v="Good"/>
    <s v="Excellent"/>
  </r>
  <r>
    <s v="Pooj59277"/>
    <n v="277"/>
    <n v="26"/>
    <n v="12"/>
    <n v="2021"/>
    <d v="2021-12-26T00:00:00"/>
    <s v="December"/>
    <d v="2022-07-12T00:00:00"/>
    <x v="2"/>
    <n v="2"/>
    <n v="14318.85"/>
    <s v="Pooja Solanki"/>
    <n v="59"/>
    <s v="Senior Citezen"/>
    <s v="Good"/>
    <x v="1"/>
    <s v="Debit Card"/>
    <n v="5"/>
    <s v="OnePlus 9"/>
    <n v="28637.7"/>
    <s v="Good"/>
    <s v="Low"/>
  </r>
  <r>
    <s v="Anit25278"/>
    <n v="278"/>
    <n v="26"/>
    <n v="12"/>
    <n v="2021"/>
    <d v="2021-12-26T00:00:00"/>
    <s v="December"/>
    <d v="2022-07-13T00:00:00"/>
    <x v="4"/>
    <n v="2"/>
    <n v="25400.84"/>
    <s v="Anita Bhattacharya"/>
    <n v="25"/>
    <s v="Teenagers"/>
    <s v="Good"/>
    <x v="1"/>
    <s v="Debit Card"/>
    <n v="5"/>
    <s v="iPhone 12"/>
    <n v="50801.68"/>
    <s v="Good"/>
    <s v="Average"/>
  </r>
  <r>
    <s v="Moni26279"/>
    <n v="279"/>
    <n v="27"/>
    <n v="12"/>
    <n v="2021"/>
    <d v="2021-12-27T00:00:00"/>
    <s v="December"/>
    <d v="2022-07-14T00:00:00"/>
    <x v="0"/>
    <n v="4"/>
    <n v="52834.06"/>
    <s v="Monika Nambiar"/>
    <n v="26"/>
    <s v="Teenagers"/>
    <s v="AVG"/>
    <x v="1"/>
    <s v="UPI"/>
    <n v="3"/>
    <s v="Redmi 9"/>
    <n v="211336.24"/>
    <s v="Average"/>
    <s v="Excellent"/>
  </r>
  <r>
    <s v="Kira32280"/>
    <n v="280"/>
    <n v="27"/>
    <n v="12"/>
    <n v="2021"/>
    <d v="2021-12-27T00:00:00"/>
    <s v="December"/>
    <d v="2022-07-15T00:00:00"/>
    <x v="1"/>
    <n v="1"/>
    <n v="38801.11"/>
    <s v="Kiran Jain"/>
    <n v="32"/>
    <s v="Adult"/>
    <s v="Good"/>
    <x v="12"/>
    <s v="Credit Card"/>
    <n v="5"/>
    <s v="Vivo Y51"/>
    <n v="38801.11"/>
    <s v="Good"/>
    <s v="Low"/>
  </r>
  <r>
    <s v="Umes49281"/>
    <n v="281"/>
    <n v="27"/>
    <n v="12"/>
    <n v="2021"/>
    <d v="2021-12-27T00:00:00"/>
    <s v="December"/>
    <d v="2022-07-16T00:00:00"/>
    <x v="1"/>
    <n v="9"/>
    <n v="34143.61"/>
    <s v="Umesh Rawat"/>
    <n v="49"/>
    <s v="Senior Citezen"/>
    <s v="AVG"/>
    <x v="2"/>
    <s v="Cash"/>
    <n v="3"/>
    <s v="Vivo V20"/>
    <n v="307292.49"/>
    <s v="Average"/>
    <s v="Excellent"/>
  </r>
  <r>
    <s v="Tapa20282"/>
    <n v="282"/>
    <n v="27"/>
    <n v="12"/>
    <n v="2021"/>
    <d v="2021-12-27T00:00:00"/>
    <s v="December"/>
    <d v="2022-07-17T00:00:00"/>
    <x v="1"/>
    <n v="7"/>
    <n v="19087.46"/>
    <s v="Tapan Singh"/>
    <n v="20"/>
    <s v="Teenagers"/>
    <s v="Good"/>
    <x v="12"/>
    <s v="Cash"/>
    <n v="4"/>
    <s v="Vivo Y51"/>
    <n v="133612.22"/>
    <s v="Good"/>
    <s v="Good"/>
  </r>
  <r>
    <s v="Isha21283"/>
    <n v="283"/>
    <n v="28"/>
    <n v="12"/>
    <n v="2021"/>
    <d v="2021-12-28T00:00:00"/>
    <s v="December"/>
    <d v="2022-07-18T00:00:00"/>
    <x v="2"/>
    <n v="7"/>
    <n v="36510.94"/>
    <s v="Isha Ghosh"/>
    <n v="21"/>
    <s v="Teenagers"/>
    <s v="AVG"/>
    <x v="8"/>
    <s v="Credit Card"/>
    <n v="3"/>
    <s v="OnePlus Nord"/>
    <n v="255576.58000000002"/>
    <s v="Average"/>
    <s v="Excellent"/>
  </r>
  <r>
    <s v="Jyot47284"/>
    <n v="284"/>
    <n v="28"/>
    <n v="12"/>
    <n v="2021"/>
    <d v="2021-12-28T00:00:00"/>
    <s v="December"/>
    <d v="2022-07-19T00:00:00"/>
    <x v="2"/>
    <n v="3"/>
    <n v="56241.52"/>
    <s v="Jyoti Iyer"/>
    <n v="47"/>
    <s v="Senior Citezen"/>
    <s v="Good"/>
    <x v="15"/>
    <s v="Cash"/>
    <n v="5"/>
    <s v="OnePlus Nord"/>
    <n v="168724.56"/>
    <s v="Good"/>
    <s v="Good"/>
  </r>
  <r>
    <s v="Moni30285"/>
    <n v="285"/>
    <n v="28"/>
    <n v="12"/>
    <n v="2021"/>
    <d v="2021-12-28T00:00:00"/>
    <s v="December"/>
    <d v="2022-07-20T00:00:00"/>
    <x v="0"/>
    <n v="3"/>
    <n v="25840.77"/>
    <s v="Monika Sharma"/>
    <n v="30"/>
    <s v="Teenagers"/>
    <s v="Good"/>
    <x v="1"/>
    <s v="UPI"/>
    <n v="5"/>
    <s v="Mi 11"/>
    <n v="77522.31"/>
    <s v="Good"/>
    <s v="Average"/>
  </r>
  <r>
    <s v="Nikh38286"/>
    <n v="286"/>
    <n v="29"/>
    <n v="12"/>
    <n v="2021"/>
    <d v="2021-12-29T00:00:00"/>
    <s v="December"/>
    <d v="2022-07-21T00:00:00"/>
    <x v="1"/>
    <n v="1"/>
    <n v="10323.91"/>
    <s v="Nikhil Bhatnagar"/>
    <n v="38"/>
    <s v="Adult"/>
    <s v="AVG"/>
    <x v="18"/>
    <s v="Credit Card"/>
    <n v="3"/>
    <s v="Vivo S1"/>
    <n v="10323.91"/>
    <s v="Average"/>
    <s v="Low"/>
  </r>
  <r>
    <s v="Deve58287"/>
    <n v="287"/>
    <n v="29"/>
    <n v="12"/>
    <n v="2021"/>
    <d v="2021-12-29T00:00:00"/>
    <s v="December"/>
    <d v="2022-07-22T00:00:00"/>
    <x v="1"/>
    <n v="3"/>
    <n v="50110.29"/>
    <s v="Devendra Pathak"/>
    <n v="58"/>
    <s v="Senior Citezen"/>
    <s v="Good"/>
    <x v="4"/>
    <s v="Credit Card"/>
    <n v="5"/>
    <s v="Vivo Y51"/>
    <n v="150330.87"/>
    <s v="Good"/>
    <s v="Good"/>
  </r>
  <r>
    <s v="Mano36288"/>
    <n v="288"/>
    <n v="29"/>
    <n v="12"/>
    <n v="2021"/>
    <d v="2021-12-29T00:00:00"/>
    <s v="December"/>
    <d v="2022-07-23T00:00:00"/>
    <x v="4"/>
    <n v="3"/>
    <n v="68357.600000000006"/>
    <s v="Manoj Pathak"/>
    <n v="36"/>
    <s v="Adult"/>
    <s v="AVG"/>
    <x v="7"/>
    <s v="Cash"/>
    <n v="3"/>
    <s v="iPhone 12"/>
    <n v="205072.80000000002"/>
    <s v="Average"/>
    <s v="Excellent"/>
  </r>
  <r>
    <s v="Anit56289"/>
    <n v="289"/>
    <n v="29"/>
    <n v="12"/>
    <n v="2021"/>
    <d v="2021-12-29T00:00:00"/>
    <s v="December"/>
    <d v="2022-07-24T00:00:00"/>
    <x v="2"/>
    <n v="4"/>
    <n v="46409.59"/>
    <s v="Anita Varma"/>
    <n v="56"/>
    <s v="Senior Citezen"/>
    <s v="Good"/>
    <x v="12"/>
    <s v="Cash"/>
    <n v="5"/>
    <s v="OnePlus Nord"/>
    <n v="185638.36"/>
    <s v="Good"/>
    <s v="Good"/>
  </r>
  <r>
    <s v="Shru39290"/>
    <n v="290"/>
    <n v="30"/>
    <n v="12"/>
    <n v="2021"/>
    <d v="2021-12-30T00:00:00"/>
    <s v="December"/>
    <d v="2022-07-25T00:00:00"/>
    <x v="1"/>
    <n v="4"/>
    <n v="17195.310000000001"/>
    <s v="Shruti Sharma"/>
    <n v="39"/>
    <s v="Adult"/>
    <s v="Good"/>
    <x v="1"/>
    <s v="UPI"/>
    <n v="5"/>
    <s v="Vivo S1"/>
    <n v="68781.240000000005"/>
    <s v="Good"/>
    <s v="Average"/>
  </r>
  <r>
    <s v="Pooj37291"/>
    <n v="291"/>
    <n v="30"/>
    <n v="12"/>
    <n v="2021"/>
    <d v="2021-12-30T00:00:00"/>
    <s v="December"/>
    <d v="2022-07-26T00:00:00"/>
    <x v="0"/>
    <n v="3"/>
    <n v="29243.99"/>
    <s v="Pooja Reddy"/>
    <n v="37"/>
    <s v="Adult"/>
    <s v="AVG"/>
    <x v="2"/>
    <s v="Debit Card"/>
    <n v="3"/>
    <s v="Mi 11"/>
    <n v="87731.97"/>
    <s v="Average"/>
    <s v="Average"/>
  </r>
  <r>
    <s v="Tapa54292"/>
    <n v="292"/>
    <n v="30"/>
    <n v="12"/>
    <n v="2021"/>
    <d v="2021-12-30T00:00:00"/>
    <s v="December"/>
    <d v="2022-07-27T00:00:00"/>
    <x v="0"/>
    <n v="8"/>
    <n v="62058.5"/>
    <s v="Tapan Ahuja"/>
    <n v="54"/>
    <s v="Senior Citezen"/>
    <s v="Good"/>
    <x v="3"/>
    <s v="Credit Card"/>
    <n v="5"/>
    <s v="Redmi 9"/>
    <n v="496468"/>
    <s v="Good"/>
    <s v="Excellent"/>
  </r>
  <r>
    <s v="Sumi48293"/>
    <n v="293"/>
    <n v="31"/>
    <n v="12"/>
    <n v="2021"/>
    <d v="2021-12-31T00:00:00"/>
    <s v="December"/>
    <d v="2022-07-28T00:00:00"/>
    <x v="1"/>
    <n v="8"/>
    <n v="23954.080000000002"/>
    <s v="Sumit Alva"/>
    <n v="48"/>
    <s v="Senior Citezen"/>
    <s v="Good"/>
    <x v="5"/>
    <s v="Debit Card"/>
    <n v="5"/>
    <s v="Vivo V20"/>
    <n v="191632.64000000001"/>
    <s v="Good"/>
    <s v="Good"/>
  </r>
  <r>
    <s v="Lata27294"/>
    <n v="294"/>
    <n v="31"/>
    <n v="12"/>
    <n v="2021"/>
    <d v="2021-12-31T00:00:00"/>
    <s v="December"/>
    <d v="2022-07-29T00:00:00"/>
    <x v="2"/>
    <n v="1"/>
    <n v="46461.75"/>
    <s v="Lata Rawat"/>
    <n v="27"/>
    <s v="Teenagers"/>
    <s v="Good"/>
    <x v="18"/>
    <s v="Cash"/>
    <n v="5"/>
    <s v="OnePlus Nord"/>
    <n v="46461.75"/>
    <s v="Good"/>
    <s v="Low"/>
  </r>
  <r>
    <s v="Sneh35295"/>
    <n v="295"/>
    <n v="31"/>
    <n v="12"/>
    <n v="2021"/>
    <d v="2021-12-31T00:00:00"/>
    <s v="December"/>
    <d v="2022-07-30T00:00:00"/>
    <x v="0"/>
    <n v="7"/>
    <n v="34160.269999999997"/>
    <s v="Sneha Jain"/>
    <n v="35"/>
    <s v="Adult"/>
    <s v="Good"/>
    <x v="12"/>
    <s v="Credit Card"/>
    <n v="5"/>
    <s v="Redmi 9"/>
    <n v="239121.88999999998"/>
    <s v="Good"/>
    <s v="Excellent"/>
  </r>
  <r>
    <s v="Gita56296"/>
    <n v="296"/>
    <n v="31"/>
    <n v="12"/>
    <n v="2021"/>
    <d v="2021-12-31T00:00:00"/>
    <s v="December"/>
    <d v="2022-07-31T00:00:00"/>
    <x v="4"/>
    <n v="2"/>
    <n v="22470.62"/>
    <s v="Gita Sheth"/>
    <n v="56"/>
    <s v="Senior Citezen"/>
    <s v="AVG"/>
    <x v="7"/>
    <s v="Debit Card"/>
    <n v="3"/>
    <s v="iPhone SE"/>
    <n v="44941.24"/>
    <s v="Average"/>
    <s v="Low"/>
  </r>
  <r>
    <s v="Priy37297"/>
    <n v="297"/>
    <n v="1"/>
    <n v="1"/>
    <n v="2022"/>
    <d v="2022-01-01T00:00:00"/>
    <s v="January"/>
    <d v="2022-08-01T00:00:00"/>
    <x v="0"/>
    <n v="1"/>
    <n v="58804.41"/>
    <s v="Priya Bhattacharya"/>
    <n v="37"/>
    <s v="Adult"/>
    <s v="Good"/>
    <x v="14"/>
    <s v="UPI"/>
    <n v="5"/>
    <s v="Mi 11"/>
    <n v="58804.41"/>
    <s v="Good"/>
    <s v="Average"/>
  </r>
  <r>
    <s v="Kavi35298"/>
    <n v="298"/>
    <n v="1"/>
    <n v="1"/>
    <n v="2022"/>
    <d v="2022-01-01T00:00:00"/>
    <s v="January"/>
    <d v="2022-08-02T00:00:00"/>
    <x v="3"/>
    <n v="3"/>
    <n v="54569.88"/>
    <s v="Kavita Dutta"/>
    <n v="35"/>
    <s v="Adult"/>
    <s v="Good"/>
    <x v="1"/>
    <s v="UPI"/>
    <n v="5"/>
    <s v="Galaxy S21"/>
    <n v="163709.63999999998"/>
    <s v="Good"/>
    <s v="Good"/>
  </r>
  <r>
    <s v="Meen28299"/>
    <n v="299"/>
    <n v="1"/>
    <n v="1"/>
    <n v="2022"/>
    <d v="2022-01-01T00:00:00"/>
    <s v="January"/>
    <d v="2022-08-03T00:00:00"/>
    <x v="3"/>
    <n v="4"/>
    <n v="49695.46"/>
    <s v="Meena Joshi"/>
    <n v="28"/>
    <s v="Teenagers"/>
    <s v="Good"/>
    <x v="10"/>
    <s v="UPI"/>
    <n v="4"/>
    <s v="Galaxy S21"/>
    <n v="198781.84"/>
    <s v="Good"/>
    <s v="Good"/>
  </r>
  <r>
    <s v="Vive39300"/>
    <n v="300"/>
    <n v="2"/>
    <n v="1"/>
    <n v="2022"/>
    <d v="2022-01-02T00:00:00"/>
    <s v="January"/>
    <d v="2022-08-04T00:00:00"/>
    <x v="2"/>
    <n v="6"/>
    <n v="24180.2"/>
    <s v="Vivek Siddiqui"/>
    <n v="39"/>
    <s v="Adult"/>
    <s v="Good"/>
    <x v="2"/>
    <s v="Credit Card"/>
    <n v="5"/>
    <s v="OnePlus Nord"/>
    <n v="145081.20000000001"/>
    <s v="Good"/>
    <s v="Good"/>
  </r>
  <r>
    <s v="Deep35301"/>
    <n v="301"/>
    <n v="2"/>
    <n v="1"/>
    <n v="2022"/>
    <d v="2022-01-02T00:00:00"/>
    <s v="January"/>
    <d v="2022-08-05T00:00:00"/>
    <x v="1"/>
    <n v="5"/>
    <n v="15871.42"/>
    <s v="Deepika Desai"/>
    <n v="35"/>
    <s v="Adult"/>
    <s v="Good"/>
    <x v="2"/>
    <s v="Credit Card"/>
    <n v="5"/>
    <s v="Vivo S1"/>
    <n v="79357.100000000006"/>
    <s v="Good"/>
    <s v="Average"/>
  </r>
  <r>
    <s v="Anit51302"/>
    <n v="302"/>
    <n v="2"/>
    <n v="1"/>
    <n v="2022"/>
    <d v="2022-01-02T00:00:00"/>
    <s v="January"/>
    <d v="2022-08-06T00:00:00"/>
    <x v="2"/>
    <n v="4"/>
    <n v="44569.56"/>
    <s v="Anita Deshmukh"/>
    <n v="51"/>
    <s v="Senior Citezen"/>
    <s v="Good"/>
    <x v="15"/>
    <s v="Credit Card"/>
    <n v="5"/>
    <s v="OnePlus 8T"/>
    <n v="178278.24"/>
    <s v="Good"/>
    <s v="Good"/>
  </r>
  <r>
    <s v="Anit40303"/>
    <n v="303"/>
    <n v="3"/>
    <n v="1"/>
    <n v="2022"/>
    <d v="2022-01-03T00:00:00"/>
    <s v="January"/>
    <d v="2022-08-07T00:00:00"/>
    <x v="2"/>
    <n v="8"/>
    <n v="43220.67"/>
    <s v="Anita Bhattacharya"/>
    <n v="40"/>
    <s v="Adult"/>
    <s v="Good"/>
    <x v="17"/>
    <s v="Credit Card"/>
    <n v="5"/>
    <s v="OnePlus 9"/>
    <n v="345765.36"/>
    <s v="Good"/>
    <s v="Excellent"/>
  </r>
  <r>
    <s v="Raje18304"/>
    <n v="304"/>
    <n v="3"/>
    <n v="1"/>
    <n v="2022"/>
    <d v="2022-01-03T00:00:00"/>
    <s v="January"/>
    <d v="2022-08-08T00:00:00"/>
    <x v="2"/>
    <n v="4"/>
    <n v="21303.1"/>
    <s v="Rajesh Kapoor"/>
    <n v="18"/>
    <s v="Teenagers"/>
    <s v="Good"/>
    <x v="1"/>
    <s v="Credit Card"/>
    <n v="5"/>
    <s v="OnePlus Nord"/>
    <n v="85212.4"/>
    <s v="Good"/>
    <s v="Average"/>
  </r>
  <r>
    <s v="Adit27305"/>
    <n v="305"/>
    <n v="3"/>
    <n v="1"/>
    <n v="2022"/>
    <d v="2022-01-03T00:00:00"/>
    <s v="January"/>
    <d v="2022-08-09T00:00:00"/>
    <x v="2"/>
    <n v="2"/>
    <n v="13374.8"/>
    <s v="Aditya Arora"/>
    <n v="27"/>
    <s v="Teenagers"/>
    <s v="Good"/>
    <x v="14"/>
    <s v="Debit Card"/>
    <n v="5"/>
    <s v="OnePlus 9"/>
    <n v="26749.599999999999"/>
    <s v="Good"/>
    <s v="Low"/>
  </r>
  <r>
    <s v="Suni18306"/>
    <n v="306"/>
    <n v="3"/>
    <n v="1"/>
    <n v="2022"/>
    <d v="2022-01-03T00:00:00"/>
    <s v="January"/>
    <d v="2022-08-10T00:00:00"/>
    <x v="4"/>
    <n v="3"/>
    <n v="14842.51"/>
    <s v="Sunil Luthra"/>
    <n v="18"/>
    <s v="Teenagers"/>
    <s v="Good"/>
    <x v="2"/>
    <s v="Debit Card"/>
    <n v="5"/>
    <s v="iPhone SE"/>
    <n v="44527.53"/>
    <s v="Good"/>
    <s v="Low"/>
  </r>
  <r>
    <s v="Isha55307"/>
    <n v="307"/>
    <n v="4"/>
    <n v="1"/>
    <n v="2022"/>
    <d v="2022-01-04T00:00:00"/>
    <s v="January"/>
    <d v="2022-08-11T00:00:00"/>
    <x v="4"/>
    <n v="6"/>
    <n v="69566.259999999995"/>
    <s v="Isha Dutta"/>
    <n v="55"/>
    <s v="Senior Citezen"/>
    <s v="Good"/>
    <x v="1"/>
    <s v="UPI"/>
    <n v="5"/>
    <s v="iPhone SE"/>
    <n v="417397.55999999994"/>
    <s v="Good"/>
    <s v="Excellent"/>
  </r>
  <r>
    <s v="Bhav56308"/>
    <n v="308"/>
    <n v="4"/>
    <n v="1"/>
    <n v="2022"/>
    <d v="2022-01-04T00:00:00"/>
    <s v="January"/>
    <d v="2022-08-12T00:00:00"/>
    <x v="0"/>
    <n v="8"/>
    <n v="57015.03"/>
    <s v="Bhavana Mishra"/>
    <n v="56"/>
    <s v="Senior Citezen"/>
    <s v="Good"/>
    <x v="15"/>
    <s v="Debit Card"/>
    <n v="5"/>
    <s v="Mi 11"/>
    <n v="456120.24"/>
    <s v="Good"/>
    <s v="Excellent"/>
  </r>
  <r>
    <s v="Vino26309"/>
    <n v="309"/>
    <n v="4"/>
    <n v="1"/>
    <n v="2022"/>
    <d v="2022-01-04T00:00:00"/>
    <s v="January"/>
    <d v="2022-08-13T00:00:00"/>
    <x v="3"/>
    <n v="8"/>
    <n v="65319.25"/>
    <s v="Vinod Kaur"/>
    <n v="26"/>
    <s v="Teenagers"/>
    <s v="Good"/>
    <x v="15"/>
    <s v="Debit Card"/>
    <n v="4"/>
    <s v="Galaxy S21"/>
    <n v="522554"/>
    <s v="Good"/>
    <s v="Excellent"/>
  </r>
  <r>
    <s v="Anit48310"/>
    <n v="310"/>
    <n v="5"/>
    <n v="1"/>
    <n v="2022"/>
    <d v="2022-01-05T00:00:00"/>
    <s v="January"/>
    <d v="2022-08-14T00:00:00"/>
    <x v="2"/>
    <n v="9"/>
    <n v="21703.279999999999"/>
    <s v="Anita Sharma"/>
    <n v="48"/>
    <s v="Senior Citezen"/>
    <s v="AVG"/>
    <x v="13"/>
    <s v="UPI"/>
    <n v="3"/>
    <s v="OnePlus 9"/>
    <n v="195329.52"/>
    <s v="Average"/>
    <s v="Good"/>
  </r>
  <r>
    <s v="Radh24311"/>
    <n v="311"/>
    <n v="5"/>
    <n v="1"/>
    <n v="2022"/>
    <d v="2022-01-05T00:00:00"/>
    <s v="January"/>
    <d v="2022-08-15T00:00:00"/>
    <x v="0"/>
    <n v="7"/>
    <n v="67634.11"/>
    <s v="Radha Ghosh"/>
    <n v="24"/>
    <s v="Teenagers"/>
    <s v="Good"/>
    <x v="2"/>
    <s v="UPI"/>
    <n v="5"/>
    <s v="Redmi 9"/>
    <n v="473438.77"/>
    <s v="Good"/>
    <s v="Excellent"/>
  </r>
  <r>
    <s v="Tanu34312"/>
    <n v="312"/>
    <n v="5"/>
    <n v="1"/>
    <n v="2022"/>
    <d v="2022-01-05T00:00:00"/>
    <s v="January"/>
    <d v="2022-08-16T00:00:00"/>
    <x v="3"/>
    <n v="2"/>
    <n v="18559.259999999998"/>
    <s v="Tanuja Rao"/>
    <n v="34"/>
    <s v="Adult"/>
    <s v="Good"/>
    <x v="1"/>
    <s v="Cash"/>
    <n v="5"/>
    <s v="Galaxy A51"/>
    <n v="37118.519999999997"/>
    <s v="Good"/>
    <s v="Low"/>
  </r>
  <r>
    <s v="Nami52313"/>
    <n v="313"/>
    <n v="5"/>
    <n v="1"/>
    <n v="2022"/>
    <d v="2022-01-05T00:00:00"/>
    <s v="January"/>
    <d v="2022-08-17T00:00:00"/>
    <x v="1"/>
    <n v="8"/>
    <n v="40544.910000000003"/>
    <s v="Namita Reddy"/>
    <n v="52"/>
    <s v="Senior Citezen"/>
    <s v="Good"/>
    <x v="4"/>
    <s v="UPI"/>
    <n v="5"/>
    <s v="Vivo Y51"/>
    <n v="324359.28000000003"/>
    <s v="Good"/>
    <s v="Excellent"/>
  </r>
  <r>
    <s v="Roha54314"/>
    <n v="314"/>
    <n v="6"/>
    <n v="1"/>
    <n v="2022"/>
    <d v="2022-01-06T00:00:00"/>
    <s v="January"/>
    <d v="2022-08-18T00:00:00"/>
    <x v="4"/>
    <n v="7"/>
    <n v="59781.74"/>
    <s v="Rohan Prasad"/>
    <n v="54"/>
    <s v="Senior Citezen"/>
    <s v="Good"/>
    <x v="0"/>
    <s v="Debit Card"/>
    <n v="5"/>
    <s v="iPhone SE"/>
    <n v="418472.18"/>
    <s v="Good"/>
    <s v="Excellent"/>
  </r>
  <r>
    <s v="Priy35315"/>
    <n v="315"/>
    <n v="6"/>
    <n v="1"/>
    <n v="2022"/>
    <d v="2022-01-06T00:00:00"/>
    <s v="January"/>
    <d v="2022-08-19T00:00:00"/>
    <x v="3"/>
    <n v="8"/>
    <n v="30988.2"/>
    <s v="Priyanka Jain"/>
    <n v="35"/>
    <s v="Adult"/>
    <s v="Good"/>
    <x v="16"/>
    <s v="Credit Card"/>
    <n v="5"/>
    <s v="Galaxy S21"/>
    <n v="247905.6"/>
    <s v="Good"/>
    <s v="Excellent"/>
  </r>
  <r>
    <s v="Anit50316"/>
    <n v="316"/>
    <n v="6"/>
    <n v="1"/>
    <n v="2022"/>
    <d v="2022-01-06T00:00:00"/>
    <s v="January"/>
    <d v="2022-08-20T00:00:00"/>
    <x v="1"/>
    <n v="3"/>
    <n v="35489.71"/>
    <s v="Anita Rawat"/>
    <n v="50"/>
    <s v="Senior Citezen"/>
    <s v="Good"/>
    <x v="5"/>
    <s v="UPI"/>
    <n v="5"/>
    <s v="Vivo Y51"/>
    <n v="106469.13"/>
    <s v="Good"/>
    <s v="Good"/>
  </r>
  <r>
    <s v="Vive21317"/>
    <n v="317"/>
    <n v="6"/>
    <n v="1"/>
    <n v="2022"/>
    <d v="2022-01-06T00:00:00"/>
    <s v="January"/>
    <d v="2022-08-21T00:00:00"/>
    <x v="3"/>
    <n v="7"/>
    <n v="17691.11"/>
    <s v="Vivek Teja"/>
    <n v="21"/>
    <s v="Teenagers"/>
    <s v="Good"/>
    <x v="6"/>
    <s v="Cash"/>
    <n v="4"/>
    <s v="Galaxy S21"/>
    <n v="123837.77"/>
    <s v="Good"/>
    <s v="Good"/>
  </r>
  <r>
    <s v="Anan40318"/>
    <n v="318"/>
    <n v="7"/>
    <n v="1"/>
    <n v="2022"/>
    <d v="2022-01-07T00:00:00"/>
    <s v="January"/>
    <d v="2022-08-22T00:00:00"/>
    <x v="4"/>
    <n v="9"/>
    <n v="17375.310000000001"/>
    <s v="Anand Mehta"/>
    <n v="40"/>
    <s v="Adult"/>
    <s v="Good"/>
    <x v="13"/>
    <s v="Debit Card"/>
    <n v="5"/>
    <s v="iPhone 11"/>
    <n v="156377.79"/>
    <s v="Good"/>
    <s v="Good"/>
  </r>
  <r>
    <s v="Jyot28319"/>
    <n v="319"/>
    <n v="7"/>
    <n v="1"/>
    <n v="2022"/>
    <d v="2022-01-07T00:00:00"/>
    <s v="January"/>
    <d v="2022-08-23T00:00:00"/>
    <x v="4"/>
    <n v="3"/>
    <n v="47174.09"/>
    <s v="Jyoti Mishra"/>
    <n v="28"/>
    <s v="Teenagers"/>
    <s v="AVG"/>
    <x v="1"/>
    <s v="Cash"/>
    <n v="3"/>
    <s v="iPhone 12"/>
    <n v="141522.26999999999"/>
    <s v="Average"/>
    <s v="Good"/>
  </r>
  <r>
    <s v="Kris26320"/>
    <n v="320"/>
    <n v="7"/>
    <n v="1"/>
    <n v="2022"/>
    <d v="2022-01-07T00:00:00"/>
    <s v="January"/>
    <d v="2022-08-24T00:00:00"/>
    <x v="0"/>
    <n v="6"/>
    <n v="50531.94"/>
    <s v="Krishna Jain"/>
    <n v="26"/>
    <s v="Teenagers"/>
    <s v="Good"/>
    <x v="10"/>
    <s v="Cash"/>
    <n v="4"/>
    <s v="Redmi 9"/>
    <n v="303191.64"/>
    <s v="Good"/>
    <s v="Excellent"/>
  </r>
  <r>
    <s v="Sneh47321"/>
    <n v="321"/>
    <n v="7"/>
    <n v="1"/>
    <n v="2022"/>
    <d v="2022-01-07T00:00:00"/>
    <s v="January"/>
    <d v="2022-08-25T00:00:00"/>
    <x v="2"/>
    <n v="2"/>
    <n v="56639.95"/>
    <s v="Sneha Reddy"/>
    <n v="47"/>
    <s v="Senior Citezen"/>
    <s v="AVG"/>
    <x v="0"/>
    <s v="Debit Card"/>
    <n v="3"/>
    <s v="OnePlus 9"/>
    <n v="113279.9"/>
    <s v="Average"/>
    <s v="Good"/>
  </r>
  <r>
    <s v="Bhav25322"/>
    <n v="322"/>
    <n v="8"/>
    <n v="1"/>
    <n v="2022"/>
    <d v="2022-01-08T00:00:00"/>
    <s v="January"/>
    <d v="2022-08-26T00:00:00"/>
    <x v="3"/>
    <n v="2"/>
    <n v="43400.92"/>
    <s v="Bhavana Srivastava"/>
    <n v="25"/>
    <s v="Teenagers"/>
    <s v="Good"/>
    <x v="6"/>
    <s v="Cash"/>
    <n v="5"/>
    <s v="Galaxy S21"/>
    <n v="86801.84"/>
    <s v="Good"/>
    <s v="Average"/>
  </r>
  <r>
    <s v="Rame57323"/>
    <n v="323"/>
    <n v="8"/>
    <n v="1"/>
    <n v="2022"/>
    <d v="2022-01-08T00:00:00"/>
    <s v="January"/>
    <d v="2022-08-27T00:00:00"/>
    <x v="3"/>
    <n v="5"/>
    <n v="48745.56"/>
    <s v="Ramesh Jain"/>
    <n v="57"/>
    <s v="Senior Citezen"/>
    <s v="Good"/>
    <x v="4"/>
    <s v="Debit Card"/>
    <n v="5"/>
    <s v="Galaxy Note 20"/>
    <n v="243727.8"/>
    <s v="Good"/>
    <s v="Excellent"/>
  </r>
  <r>
    <s v="Yoge22324"/>
    <n v="324"/>
    <n v="8"/>
    <n v="1"/>
    <n v="2022"/>
    <d v="2022-01-08T00:00:00"/>
    <s v="January"/>
    <d v="2022-08-28T00:00:00"/>
    <x v="1"/>
    <n v="5"/>
    <n v="10811.04"/>
    <s v="Yogesh Sharma"/>
    <n v="22"/>
    <s v="Teenagers"/>
    <s v="Good"/>
    <x v="13"/>
    <s v="Cash"/>
    <n v="4"/>
    <s v="Vivo V20"/>
    <n v="54055.200000000004"/>
    <s v="Good"/>
    <s v="Average"/>
  </r>
  <r>
    <s v="Anja29325"/>
    <n v="325"/>
    <n v="8"/>
    <n v="1"/>
    <n v="2022"/>
    <d v="2022-01-08T00:00:00"/>
    <s v="January"/>
    <d v="2022-08-29T00:00:00"/>
    <x v="4"/>
    <n v="7"/>
    <n v="19730.240000000002"/>
    <s v="Anjali Patel"/>
    <n v="29"/>
    <s v="Teenagers"/>
    <s v="AVG"/>
    <x v="8"/>
    <s v="Credit Card"/>
    <n v="3"/>
    <s v="iPhone SE"/>
    <n v="138111.68000000002"/>
    <s v="Average"/>
    <s v="Good"/>
  </r>
  <r>
    <s v="Pras18326"/>
    <n v="326"/>
    <n v="9"/>
    <n v="1"/>
    <n v="2022"/>
    <d v="2022-01-09T00:00:00"/>
    <s v="January"/>
    <d v="2022-08-30T00:00:00"/>
    <x v="3"/>
    <n v="2"/>
    <n v="69094.89"/>
    <s v="Prashant Teja"/>
    <n v="18"/>
    <s v="Teenagers"/>
    <s v="Good"/>
    <x v="9"/>
    <s v="UPI"/>
    <n v="5"/>
    <s v="Galaxy Note 20"/>
    <n v="138189.78"/>
    <s v="Good"/>
    <s v="Good"/>
  </r>
  <r>
    <s v="Pooj32327"/>
    <n v="327"/>
    <n v="9"/>
    <n v="1"/>
    <n v="2022"/>
    <d v="2022-01-09T00:00:00"/>
    <s v="January"/>
    <d v="2022-08-31T00:00:00"/>
    <x v="4"/>
    <n v="7"/>
    <n v="14559.61"/>
    <s v="Pooja Goyal"/>
    <n v="32"/>
    <s v="Adult"/>
    <s v="Good"/>
    <x v="16"/>
    <s v="Credit Card"/>
    <n v="5"/>
    <s v="iPhone 11"/>
    <n v="101917.27"/>
    <s v="Good"/>
    <s v="Good"/>
  </r>
  <r>
    <s v="Neet42328"/>
    <n v="328"/>
    <n v="9"/>
    <n v="1"/>
    <n v="2022"/>
    <d v="2022-01-09T00:00:00"/>
    <s v="January"/>
    <d v="2022-09-01T00:00:00"/>
    <x v="3"/>
    <n v="5"/>
    <n v="50727.29"/>
    <s v="Neeta Malhotra"/>
    <n v="42"/>
    <s v="Adult"/>
    <s v="Good"/>
    <x v="1"/>
    <s v="Credit Card"/>
    <n v="5"/>
    <s v="Galaxy S21"/>
    <n v="253636.45"/>
    <s v="Good"/>
    <s v="Excellent"/>
  </r>
  <r>
    <s v="Kris35329"/>
    <n v="329"/>
    <n v="9"/>
    <n v="1"/>
    <n v="2022"/>
    <d v="2022-01-09T00:00:00"/>
    <s v="January"/>
    <d v="2022-09-02T00:00:00"/>
    <x v="0"/>
    <n v="6"/>
    <n v="20564.96"/>
    <s v="Krishna Menon"/>
    <n v="35"/>
    <s v="Adult"/>
    <s v="Good"/>
    <x v="8"/>
    <s v="Cash"/>
    <n v="5"/>
    <s v="Mi 11"/>
    <n v="123389.75999999999"/>
    <s v="Good"/>
    <s v="Good"/>
  </r>
  <r>
    <s v="Reen55330"/>
    <n v="330"/>
    <n v="10"/>
    <n v="1"/>
    <n v="2022"/>
    <d v="2022-01-10T00:00:00"/>
    <s v="January"/>
    <d v="2022-09-03T00:00:00"/>
    <x v="2"/>
    <n v="8"/>
    <n v="53003.12"/>
    <s v="Reena Das"/>
    <n v="55"/>
    <s v="Senior Citezen"/>
    <s v="Good"/>
    <x v="1"/>
    <s v="UPI"/>
    <n v="5"/>
    <s v="OnePlus Nord"/>
    <n v="424024.96"/>
    <s v="Good"/>
    <s v="Excellent"/>
  </r>
  <r>
    <s v="Rame59331"/>
    <n v="331"/>
    <n v="10"/>
    <n v="1"/>
    <n v="2022"/>
    <d v="2022-01-10T00:00:00"/>
    <s v="January"/>
    <d v="2022-09-04T00:00:00"/>
    <x v="3"/>
    <n v="4"/>
    <n v="52359.42"/>
    <s v="Ramesh Dutta"/>
    <n v="59"/>
    <s v="Senior Citezen"/>
    <s v="AVG"/>
    <x v="2"/>
    <s v="UPI"/>
    <n v="3"/>
    <s v="Galaxy S21"/>
    <n v="209437.68"/>
    <s v="Average"/>
    <s v="Excellent"/>
  </r>
  <r>
    <s v="Hari43332"/>
    <n v="332"/>
    <n v="10"/>
    <n v="1"/>
    <n v="2022"/>
    <d v="2022-01-10T00:00:00"/>
    <s v="January"/>
    <d v="2022-09-05T00:00:00"/>
    <x v="4"/>
    <n v="7"/>
    <n v="24051.94"/>
    <s v="Harish Goyal"/>
    <n v="43"/>
    <s v="Adult"/>
    <s v="AVG"/>
    <x v="2"/>
    <s v="UPI"/>
    <n v="3"/>
    <s v="iPhone SE"/>
    <n v="168363.58"/>
    <s v="Average"/>
    <s v="Good"/>
  </r>
  <r>
    <s v="Bina57333"/>
    <n v="333"/>
    <n v="10"/>
    <n v="1"/>
    <n v="2022"/>
    <d v="2022-01-10T00:00:00"/>
    <s v="January"/>
    <d v="2022-09-06T00:00:00"/>
    <x v="0"/>
    <n v="6"/>
    <n v="26178.06"/>
    <s v="Bina Rawat"/>
    <n v="57"/>
    <s v="Senior Citezen"/>
    <s v="Good"/>
    <x v="2"/>
    <s v="Cash"/>
    <n v="5"/>
    <s v="Redmi Note 10"/>
    <n v="157068.36000000002"/>
    <s v="Good"/>
    <s v="Good"/>
  </r>
  <r>
    <s v="Suni20334"/>
    <n v="334"/>
    <n v="11"/>
    <n v="1"/>
    <n v="2022"/>
    <d v="2022-01-11T00:00:00"/>
    <s v="January"/>
    <d v="2022-09-07T00:00:00"/>
    <x v="3"/>
    <n v="2"/>
    <n v="49286.239999999998"/>
    <s v="Sunil Mathur"/>
    <n v="20"/>
    <s v="Teenagers"/>
    <s v="AVG"/>
    <x v="1"/>
    <s v="Credit Card"/>
    <n v="3"/>
    <s v="Galaxy S21"/>
    <n v="98572.479999999996"/>
    <s v="Average"/>
    <s v="Average"/>
  </r>
  <r>
    <s v="Navi39335"/>
    <n v="335"/>
    <n v="11"/>
    <n v="1"/>
    <n v="2022"/>
    <d v="2022-01-11T00:00:00"/>
    <s v="January"/>
    <d v="2022-09-08T00:00:00"/>
    <x v="1"/>
    <n v="8"/>
    <n v="33405.160000000003"/>
    <s v="Navin Solanki"/>
    <n v="39"/>
    <s v="Adult"/>
    <s v="Good"/>
    <x v="14"/>
    <s v="Debit Card"/>
    <n v="5"/>
    <s v="Vivo Y51"/>
    <n v="267241.28000000003"/>
    <s v="Good"/>
    <s v="Excellent"/>
  </r>
  <r>
    <s v="Kavi43336"/>
    <n v="336"/>
    <n v="11"/>
    <n v="1"/>
    <n v="2022"/>
    <d v="2022-01-11T00:00:00"/>
    <s v="January"/>
    <d v="2022-09-09T00:00:00"/>
    <x v="2"/>
    <n v="9"/>
    <n v="21672.880000000001"/>
    <s v="Kavita Bhattacharya"/>
    <n v="43"/>
    <s v="Adult"/>
    <s v="Good"/>
    <x v="6"/>
    <s v="Debit Card"/>
    <n v="5"/>
    <s v="OnePlus 8T"/>
    <n v="195055.92"/>
    <s v="Good"/>
    <s v="Good"/>
  </r>
  <r>
    <s v="Priy36337"/>
    <n v="337"/>
    <n v="11"/>
    <n v="1"/>
    <n v="2022"/>
    <d v="2022-01-11T00:00:00"/>
    <s v="January"/>
    <d v="2022-09-10T00:00:00"/>
    <x v="3"/>
    <n v="5"/>
    <n v="53900.78"/>
    <s v="Priyanka Alva"/>
    <n v="36"/>
    <s v="Adult"/>
    <s v="Good"/>
    <x v="1"/>
    <s v="Debit Card"/>
    <n v="5"/>
    <s v="Galaxy Note 20"/>
    <n v="269503.90000000002"/>
    <s v="Good"/>
    <s v="Excellent"/>
  </r>
  <r>
    <s v="Anan56338"/>
    <n v="338"/>
    <n v="12"/>
    <n v="1"/>
    <n v="2022"/>
    <d v="2022-01-12T00:00:00"/>
    <s v="January"/>
    <d v="2022-09-11T00:00:00"/>
    <x v="0"/>
    <n v="4"/>
    <n v="19248.849999999999"/>
    <s v="Anand Bhattacharya"/>
    <n v="56"/>
    <s v="Senior Citezen"/>
    <s v="Good"/>
    <x v="18"/>
    <s v="UPI"/>
    <n v="5"/>
    <s v="Redmi Note 10"/>
    <n v="76995.399999999994"/>
    <s v="Good"/>
    <s v="Average"/>
  </r>
  <r>
    <s v="Roha53339"/>
    <n v="339"/>
    <n v="12"/>
    <n v="1"/>
    <n v="2022"/>
    <d v="2022-01-12T00:00:00"/>
    <s v="January"/>
    <d v="2022-09-12T00:00:00"/>
    <x v="1"/>
    <n v="6"/>
    <n v="61338.62"/>
    <s v="Rohan Rathod"/>
    <n v="53"/>
    <s v="Senior Citezen"/>
    <s v="Good"/>
    <x v="17"/>
    <s v="Debit Card"/>
    <n v="5"/>
    <s v="Vivo Y51"/>
    <n v="368031.72000000003"/>
    <s v="Good"/>
    <s v="Excellent"/>
  </r>
  <r>
    <s v="Deve38340"/>
    <n v="340"/>
    <n v="12"/>
    <n v="1"/>
    <n v="2022"/>
    <d v="2022-01-12T00:00:00"/>
    <s v="January"/>
    <d v="2022-09-13T00:00:00"/>
    <x v="0"/>
    <n v="8"/>
    <n v="40880.17"/>
    <s v="Devendra Arora"/>
    <n v="38"/>
    <s v="Adult"/>
    <s v="AVG"/>
    <x v="1"/>
    <s v="Credit Card"/>
    <n v="3"/>
    <s v="Redmi 9"/>
    <n v="327041.36"/>
    <s v="Average"/>
    <s v="Excellent"/>
  </r>
  <r>
    <s v="Reen58341"/>
    <n v="341"/>
    <n v="12"/>
    <n v="1"/>
    <n v="2022"/>
    <d v="2022-01-12T00:00:00"/>
    <s v="January"/>
    <d v="2022-09-14T00:00:00"/>
    <x v="0"/>
    <n v="3"/>
    <n v="16342.04"/>
    <s v="Reena Desai"/>
    <n v="58"/>
    <s v="Senior Citezen"/>
    <s v="AVG"/>
    <x v="1"/>
    <s v="Debit Card"/>
    <n v="3"/>
    <s v="Mi 11"/>
    <n v="49026.12"/>
    <s v="Average"/>
    <s v="Low"/>
  </r>
  <r>
    <s v="Pank43342"/>
    <n v="342"/>
    <n v="13"/>
    <n v="1"/>
    <n v="2022"/>
    <d v="2022-01-13T00:00:00"/>
    <s v="January"/>
    <d v="2022-09-15T00:00:00"/>
    <x v="1"/>
    <n v="1"/>
    <n v="51644.34"/>
    <s v="Pankaj Singh"/>
    <n v="43"/>
    <s v="Adult"/>
    <s v="Good"/>
    <x v="1"/>
    <s v="UPI"/>
    <n v="5"/>
    <s v="Vivo S1"/>
    <n v="51644.34"/>
    <s v="Good"/>
    <s v="Average"/>
  </r>
  <r>
    <s v="Pooj30343"/>
    <n v="343"/>
    <n v="13"/>
    <n v="1"/>
    <n v="2022"/>
    <d v="2022-01-13T00:00:00"/>
    <s v="January"/>
    <d v="2022-09-16T00:00:00"/>
    <x v="0"/>
    <n v="4"/>
    <n v="41149.78"/>
    <s v="Pooja Joshi"/>
    <n v="30"/>
    <s v="Teenagers"/>
    <s v="Good"/>
    <x v="1"/>
    <s v="UPI"/>
    <n v="5"/>
    <s v="Mi 11"/>
    <n v="164599.12"/>
    <s v="Good"/>
    <s v="Good"/>
  </r>
  <r>
    <s v="Priy53344"/>
    <n v="344"/>
    <n v="13"/>
    <n v="1"/>
    <n v="2022"/>
    <d v="2022-01-13T00:00:00"/>
    <s v="January"/>
    <d v="2022-09-17T00:00:00"/>
    <x v="1"/>
    <n v="4"/>
    <n v="27883.45"/>
    <s v="Priyanka Mishra"/>
    <n v="53"/>
    <s v="Senior Citezen"/>
    <s v="Good"/>
    <x v="16"/>
    <s v="Debit Card"/>
    <n v="5"/>
    <s v="Vivo V20"/>
    <n v="111533.8"/>
    <s v="Good"/>
    <s v="Good"/>
  </r>
  <r>
    <s v="Bhav41345"/>
    <n v="345"/>
    <n v="13"/>
    <n v="1"/>
    <n v="2022"/>
    <d v="2022-01-13T00:00:00"/>
    <s v="January"/>
    <d v="2022-09-18T00:00:00"/>
    <x v="3"/>
    <n v="1"/>
    <n v="35352.36"/>
    <s v="Bhavana Rawat"/>
    <n v="41"/>
    <s v="Adult"/>
    <s v="Good"/>
    <x v="1"/>
    <s v="UPI"/>
    <n v="5"/>
    <s v="Galaxy Note 20"/>
    <n v="35352.36"/>
    <s v="Good"/>
    <s v="Low"/>
  </r>
  <r>
    <s v="Pooj58346"/>
    <n v="346"/>
    <n v="14"/>
    <n v="1"/>
    <n v="2022"/>
    <d v="2022-01-14T00:00:00"/>
    <s v="January"/>
    <d v="2022-09-19T00:00:00"/>
    <x v="1"/>
    <n v="9"/>
    <n v="27900.26"/>
    <s v="Pooja Luthra"/>
    <n v="58"/>
    <s v="Senior Citezen"/>
    <s v="Good"/>
    <x v="1"/>
    <s v="Debit Card"/>
    <n v="4"/>
    <s v="Vivo S1"/>
    <n v="251102.34"/>
    <s v="Good"/>
    <s v="Excellent"/>
  </r>
  <r>
    <s v="Mano43347"/>
    <n v="347"/>
    <n v="14"/>
    <n v="1"/>
    <n v="2022"/>
    <d v="2022-01-14T00:00:00"/>
    <s v="January"/>
    <d v="2022-09-20T00:00:00"/>
    <x v="1"/>
    <n v="3"/>
    <n v="25781.55"/>
    <s v="Manoj Ahuja"/>
    <n v="43"/>
    <s v="Adult"/>
    <s v="Good"/>
    <x v="4"/>
    <s v="UPI"/>
    <n v="4"/>
    <s v="Vivo S1"/>
    <n v="77344.649999999994"/>
    <s v="Good"/>
    <s v="Average"/>
  </r>
  <r>
    <s v="Lata38348"/>
    <n v="348"/>
    <n v="14"/>
    <n v="1"/>
    <n v="2022"/>
    <d v="2022-01-14T00:00:00"/>
    <s v="January"/>
    <d v="2022-09-21T00:00:00"/>
    <x v="2"/>
    <n v="5"/>
    <n v="19816.509999999998"/>
    <s v="Lata Rawat"/>
    <n v="38"/>
    <s v="Adult"/>
    <s v="AVG"/>
    <x v="18"/>
    <s v="Cash"/>
    <n v="3"/>
    <s v="OnePlus 8T"/>
    <n v="99082.549999999988"/>
    <s v="Average"/>
    <s v="Average"/>
  </r>
  <r>
    <s v="Priy35349"/>
    <n v="349"/>
    <n v="14"/>
    <n v="1"/>
    <n v="2022"/>
    <d v="2022-01-14T00:00:00"/>
    <s v="January"/>
    <d v="2022-09-22T00:00:00"/>
    <x v="1"/>
    <n v="6"/>
    <n v="31766.03"/>
    <s v="Priyanka Sharma"/>
    <n v="35"/>
    <s v="Adult"/>
    <s v="Good"/>
    <x v="1"/>
    <s v="Cash"/>
    <n v="4"/>
    <s v="Vivo S1"/>
    <n v="190596.18"/>
    <s v="Good"/>
    <s v="Good"/>
  </r>
  <r>
    <s v="Navi32350"/>
    <n v="350"/>
    <n v="15"/>
    <n v="1"/>
    <n v="2022"/>
    <d v="2022-01-15T00:00:00"/>
    <s v="January"/>
    <d v="2022-09-23T00:00:00"/>
    <x v="1"/>
    <n v="8"/>
    <n v="25059.23"/>
    <s v="Navin Malhotra"/>
    <n v="32"/>
    <s v="Adult"/>
    <s v="Good"/>
    <x v="14"/>
    <s v="Credit Card"/>
    <n v="4"/>
    <s v="Vivo V20"/>
    <n v="200473.84"/>
    <s v="Good"/>
    <s v="Excellent"/>
  </r>
  <r>
    <s v="Kavi32351"/>
    <n v="351"/>
    <n v="15"/>
    <n v="1"/>
    <n v="2022"/>
    <d v="2022-01-15T00:00:00"/>
    <s v="January"/>
    <d v="2022-09-24T00:00:00"/>
    <x v="3"/>
    <n v="6"/>
    <n v="51006.07"/>
    <s v="Kavita Iyer"/>
    <n v="32"/>
    <s v="Adult"/>
    <s v="Good"/>
    <x v="6"/>
    <s v="Cash"/>
    <n v="5"/>
    <s v="Galaxy Note 20"/>
    <n v="306036.42"/>
    <s v="Good"/>
    <s v="Excellent"/>
  </r>
  <r>
    <s v="Anan23352"/>
    <n v="352"/>
    <n v="15"/>
    <n v="1"/>
    <n v="2022"/>
    <d v="2022-01-15T00:00:00"/>
    <s v="January"/>
    <d v="2022-09-25T00:00:00"/>
    <x v="2"/>
    <n v="3"/>
    <n v="51032.6"/>
    <s v="Anand Patel"/>
    <n v="23"/>
    <s v="Teenagers"/>
    <s v="Good"/>
    <x v="3"/>
    <s v="Debit Card"/>
    <n v="5"/>
    <s v="OnePlus Nord"/>
    <n v="153097.79999999999"/>
    <s v="Good"/>
    <s v="Good"/>
  </r>
  <r>
    <s v="Vija48353"/>
    <n v="353"/>
    <n v="15"/>
    <n v="1"/>
    <n v="2022"/>
    <d v="2022-01-15T00:00:00"/>
    <s v="January"/>
    <d v="2022-09-26T00:00:00"/>
    <x v="4"/>
    <n v="6"/>
    <n v="40110.410000000003"/>
    <s v="Vijay Prasad"/>
    <n v="48"/>
    <s v="Senior Citezen"/>
    <s v="Good"/>
    <x v="0"/>
    <s v="UPI"/>
    <n v="5"/>
    <s v="iPhone 11"/>
    <n v="240662.46000000002"/>
    <s v="Good"/>
    <s v="Excellent"/>
  </r>
  <r>
    <s v="Umes45354"/>
    <n v="354"/>
    <n v="16"/>
    <n v="1"/>
    <n v="2022"/>
    <d v="2022-01-16T00:00:00"/>
    <s v="January"/>
    <d v="2022-09-27T00:00:00"/>
    <x v="3"/>
    <n v="1"/>
    <n v="56676.67"/>
    <s v="Umesh Ghosh"/>
    <n v="45"/>
    <s v="Adult"/>
    <s v="Good"/>
    <x v="11"/>
    <s v="Credit Card"/>
    <n v="5"/>
    <s v="Galaxy Note 20"/>
    <n v="56676.67"/>
    <s v="Good"/>
    <s v="Average"/>
  </r>
  <r>
    <s v="Mano25355"/>
    <n v="355"/>
    <n v="16"/>
    <n v="1"/>
    <n v="2022"/>
    <d v="2022-01-16T00:00:00"/>
    <s v="January"/>
    <d v="2022-09-28T00:00:00"/>
    <x v="3"/>
    <n v="4"/>
    <n v="60480.38"/>
    <s v="Manoj Rao"/>
    <n v="25"/>
    <s v="Teenagers"/>
    <s v="Good"/>
    <x v="3"/>
    <s v="Debit Card"/>
    <n v="5"/>
    <s v="Galaxy Note 20"/>
    <n v="241921.52"/>
    <s v="Good"/>
    <s v="Excellent"/>
  </r>
  <r>
    <s v="Vive46356"/>
    <n v="356"/>
    <n v="16"/>
    <n v="1"/>
    <n v="2022"/>
    <d v="2022-01-16T00:00:00"/>
    <s v="January"/>
    <d v="2022-09-29T00:00:00"/>
    <x v="4"/>
    <n v="6"/>
    <n v="44785.99"/>
    <s v="Vivek Jain"/>
    <n v="46"/>
    <s v="Senior Citezen"/>
    <s v="Good"/>
    <x v="2"/>
    <s v="Debit Card"/>
    <n v="5"/>
    <s v="iPhone 11"/>
    <n v="268715.94"/>
    <s v="Good"/>
    <s v="Excellent"/>
  </r>
  <r>
    <s v="Adit38357"/>
    <n v="357"/>
    <n v="17"/>
    <n v="1"/>
    <n v="2022"/>
    <d v="2022-01-17T00:00:00"/>
    <s v="January"/>
    <d v="2022-09-30T00:00:00"/>
    <x v="1"/>
    <n v="7"/>
    <n v="47136.11"/>
    <s v="Aditya Patel"/>
    <n v="38"/>
    <s v="Adult"/>
    <s v="Good"/>
    <x v="11"/>
    <s v="Credit Card"/>
    <n v="5"/>
    <s v="Vivo Y51"/>
    <n v="329952.77"/>
    <s v="Good"/>
    <s v="Excellent"/>
  </r>
  <r>
    <s v="Hari34358"/>
    <n v="358"/>
    <n v="17"/>
    <n v="1"/>
    <n v="2022"/>
    <d v="2022-01-17T00:00:00"/>
    <s v="January"/>
    <d v="2022-10-01T00:00:00"/>
    <x v="0"/>
    <n v="3"/>
    <n v="26973.15"/>
    <s v="Harish Goyal"/>
    <n v="34"/>
    <s v="Adult"/>
    <s v="Good"/>
    <x v="2"/>
    <s v="Credit Card"/>
    <n v="4"/>
    <s v="Redmi Note 10"/>
    <n v="80919.450000000012"/>
    <s v="Good"/>
    <s v="Average"/>
  </r>
  <r>
    <s v="Sumi41359"/>
    <n v="359"/>
    <n v="17"/>
    <n v="1"/>
    <n v="2022"/>
    <d v="2022-01-17T00:00:00"/>
    <s v="January"/>
    <d v="2022-10-02T00:00:00"/>
    <x v="2"/>
    <n v="9"/>
    <n v="63692.15"/>
    <s v="Sumit Siddiqui"/>
    <n v="41"/>
    <s v="Adult"/>
    <s v="Good"/>
    <x v="2"/>
    <s v="Debit Card"/>
    <n v="5"/>
    <s v="OnePlus 8T"/>
    <n v="573229.35"/>
    <s v="Good"/>
    <s v="Excellent"/>
  </r>
  <r>
    <s v="Bhav53360"/>
    <n v="360"/>
    <n v="18"/>
    <n v="1"/>
    <n v="2022"/>
    <d v="2022-01-18T00:00:00"/>
    <s v="January"/>
    <d v="2022-10-03T00:00:00"/>
    <x v="0"/>
    <n v="7"/>
    <n v="11452.36"/>
    <s v="Bhavana Desai"/>
    <n v="53"/>
    <s v="Senior Citezen"/>
    <s v="Good"/>
    <x v="1"/>
    <s v="UPI"/>
    <n v="5"/>
    <s v="Redmi Note 10"/>
    <n v="80166.52"/>
    <s v="Good"/>
    <s v="Average"/>
  </r>
  <r>
    <s v="Ravi48361"/>
    <n v="361"/>
    <n v="18"/>
    <n v="1"/>
    <n v="2022"/>
    <d v="2022-01-18T00:00:00"/>
    <s v="January"/>
    <d v="2022-10-04T00:00:00"/>
    <x v="4"/>
    <n v="1"/>
    <n v="30916.15"/>
    <s v="Ravi Sheth"/>
    <n v="48"/>
    <s v="Senior Citezen"/>
    <s v="Good"/>
    <x v="15"/>
    <s v="Debit Card"/>
    <n v="4"/>
    <s v="iPhone 11"/>
    <n v="30916.15"/>
    <s v="Good"/>
    <s v="Low"/>
  </r>
  <r>
    <s v="Ravi51362"/>
    <n v="362"/>
    <n v="18"/>
    <n v="1"/>
    <n v="2022"/>
    <d v="2022-01-18T00:00:00"/>
    <s v="January"/>
    <d v="2022-10-05T00:00:00"/>
    <x v="3"/>
    <n v="2"/>
    <n v="53308.03"/>
    <s v="Ravi Patel"/>
    <n v="51"/>
    <s v="Senior Citezen"/>
    <s v="AVG"/>
    <x v="12"/>
    <s v="UPI"/>
    <n v="3"/>
    <s v="Galaxy A51"/>
    <n v="106616.06"/>
    <s v="Average"/>
    <s v="Good"/>
  </r>
  <r>
    <s v="Tapa19363"/>
    <n v="363"/>
    <n v="18"/>
    <n v="1"/>
    <n v="2022"/>
    <d v="2022-01-18T00:00:00"/>
    <s v="January"/>
    <d v="2022-10-06T00:00:00"/>
    <x v="3"/>
    <n v="1"/>
    <n v="14805.37"/>
    <s v="Tapan Mishra"/>
    <n v="19"/>
    <s v="Teenagers"/>
    <s v="Good"/>
    <x v="1"/>
    <s v="Credit Card"/>
    <n v="5"/>
    <s v="Galaxy Note 20"/>
    <n v="14805.37"/>
    <s v="Good"/>
    <s v="Low"/>
  </r>
  <r>
    <s v="Mala59364"/>
    <n v="364"/>
    <n v="19"/>
    <n v="1"/>
    <n v="2022"/>
    <d v="2022-01-19T00:00:00"/>
    <s v="January"/>
    <d v="2022-10-07T00:00:00"/>
    <x v="2"/>
    <n v="9"/>
    <n v="20990.17"/>
    <s v="Mala Verma"/>
    <n v="59"/>
    <s v="Senior Citezen"/>
    <s v="Good"/>
    <x v="18"/>
    <s v="Debit Card"/>
    <n v="5"/>
    <s v="OnePlus 8T"/>
    <n v="188911.52999999997"/>
    <s v="Good"/>
    <s v="Good"/>
  </r>
  <r>
    <s v="Gita20365"/>
    <n v="365"/>
    <n v="19"/>
    <n v="1"/>
    <n v="2022"/>
    <d v="2022-01-19T00:00:00"/>
    <s v="January"/>
    <d v="2022-10-08T00:00:00"/>
    <x v="3"/>
    <n v="9"/>
    <n v="45357.14"/>
    <s v="Gita Roy"/>
    <n v="20"/>
    <s v="Teenagers"/>
    <s v="AVG"/>
    <x v="13"/>
    <s v="Cash"/>
    <n v="3"/>
    <s v="Galaxy A51"/>
    <n v="408214.26"/>
    <s v="Average"/>
    <s v="Excellent"/>
  </r>
  <r>
    <s v="Vive47366"/>
    <n v="366"/>
    <n v="19"/>
    <n v="1"/>
    <n v="2022"/>
    <d v="2022-01-19T00:00:00"/>
    <s v="January"/>
    <d v="2022-10-09T00:00:00"/>
    <x v="3"/>
    <n v="7"/>
    <n v="43599.62"/>
    <s v="Vivek Rawat"/>
    <n v="47"/>
    <s v="Senior Citezen"/>
    <s v="Good"/>
    <x v="2"/>
    <s v="Debit Card"/>
    <n v="4"/>
    <s v="Galaxy S21"/>
    <n v="305197.34000000003"/>
    <s v="Good"/>
    <s v="Excellent"/>
  </r>
  <r>
    <s v="Anit25367"/>
    <n v="367"/>
    <n v="19"/>
    <n v="1"/>
    <n v="2022"/>
    <d v="2022-01-19T00:00:00"/>
    <s v="January"/>
    <d v="2022-10-10T00:00:00"/>
    <x v="2"/>
    <n v="3"/>
    <n v="54335.7"/>
    <s v="Anita Menon"/>
    <n v="25"/>
    <s v="Teenagers"/>
    <s v="Good"/>
    <x v="14"/>
    <s v="UPI"/>
    <n v="5"/>
    <s v="OnePlus 9"/>
    <n v="163007.09999999998"/>
    <s v="Good"/>
    <s v="Good"/>
  </r>
  <r>
    <s v="Tapa24368"/>
    <n v="368"/>
    <n v="20"/>
    <n v="1"/>
    <n v="2022"/>
    <d v="2022-01-20T00:00:00"/>
    <s v="January"/>
    <d v="2022-10-11T00:00:00"/>
    <x v="2"/>
    <n v="5"/>
    <n v="58756.76"/>
    <s v="Tapan Deshmukh"/>
    <n v="24"/>
    <s v="Teenagers"/>
    <s v="Good"/>
    <x v="1"/>
    <s v="Debit Card"/>
    <n v="4"/>
    <s v="OnePlus 9"/>
    <n v="293783.8"/>
    <s v="Good"/>
    <s v="Excellent"/>
  </r>
  <r>
    <s v="Shru29369"/>
    <n v="369"/>
    <n v="20"/>
    <n v="1"/>
    <n v="2022"/>
    <d v="2022-01-20T00:00:00"/>
    <s v="January"/>
    <d v="2022-10-12T00:00:00"/>
    <x v="4"/>
    <n v="4"/>
    <n v="17714.77"/>
    <s v="Shruti Thakur"/>
    <n v="29"/>
    <s v="Teenagers"/>
    <s v="Good"/>
    <x v="11"/>
    <s v="UPI"/>
    <n v="4"/>
    <s v="iPhone 12"/>
    <n v="70859.08"/>
    <s v="Good"/>
    <s v="Average"/>
  </r>
  <r>
    <s v="Reen36370"/>
    <n v="370"/>
    <n v="20"/>
    <n v="1"/>
    <n v="2022"/>
    <d v="2022-01-20T00:00:00"/>
    <s v="January"/>
    <d v="2022-10-13T00:00:00"/>
    <x v="3"/>
    <n v="7"/>
    <n v="11102.86"/>
    <s v="Reena Teja"/>
    <n v="36"/>
    <s v="Adult"/>
    <s v="Good"/>
    <x v="1"/>
    <s v="Cash"/>
    <n v="4"/>
    <s v="Galaxy A51"/>
    <n v="77720.02"/>
    <s v="Good"/>
    <s v="Average"/>
  </r>
  <r>
    <s v="Isha43371"/>
    <n v="371"/>
    <n v="20"/>
    <n v="1"/>
    <n v="2022"/>
    <d v="2022-01-20T00:00:00"/>
    <s v="January"/>
    <d v="2022-10-14T00:00:00"/>
    <x v="3"/>
    <n v="9"/>
    <n v="51378.31"/>
    <s v="Isha Dutta"/>
    <n v="43"/>
    <s v="Adult"/>
    <s v="Good"/>
    <x v="8"/>
    <s v="Credit Card"/>
    <n v="5"/>
    <s v="Galaxy S21"/>
    <n v="462404.79"/>
    <s v="Good"/>
    <s v="Excellent"/>
  </r>
  <r>
    <s v="Mano45372"/>
    <n v="372"/>
    <n v="21"/>
    <n v="1"/>
    <n v="2022"/>
    <d v="2022-01-21T00:00:00"/>
    <s v="January"/>
    <d v="2022-10-15T00:00:00"/>
    <x v="4"/>
    <n v="2"/>
    <n v="28083.51"/>
    <s v="Manoj Pathak"/>
    <n v="45"/>
    <s v="Adult"/>
    <s v="AVG"/>
    <x v="5"/>
    <s v="Cash"/>
    <n v="3"/>
    <s v="iPhone 12"/>
    <n v="56167.02"/>
    <s v="Average"/>
    <s v="Average"/>
  </r>
  <r>
    <s v="Tapa32373"/>
    <n v="373"/>
    <n v="21"/>
    <n v="1"/>
    <n v="2022"/>
    <d v="2022-01-21T00:00:00"/>
    <s v="January"/>
    <d v="2022-10-16T00:00:00"/>
    <x v="1"/>
    <n v="8"/>
    <n v="47559.03"/>
    <s v="Tapan Bhattacharya"/>
    <n v="32"/>
    <s v="Adult"/>
    <s v="AVG"/>
    <x v="7"/>
    <s v="UPI"/>
    <n v="3"/>
    <s v="Vivo V20"/>
    <n v="380472.24"/>
    <s v="Average"/>
    <s v="Excellent"/>
  </r>
  <r>
    <s v="Anja31374"/>
    <n v="374"/>
    <n v="21"/>
    <n v="1"/>
    <n v="2022"/>
    <d v="2022-01-21T00:00:00"/>
    <s v="January"/>
    <d v="2022-10-17T00:00:00"/>
    <x v="1"/>
    <n v="9"/>
    <n v="19032.68"/>
    <s v="Anjali Srivastava"/>
    <n v="31"/>
    <s v="Adult"/>
    <s v="Good"/>
    <x v="8"/>
    <s v="Credit Card"/>
    <n v="5"/>
    <s v="Vivo V20"/>
    <n v="171294.12"/>
    <s v="Good"/>
    <s v="Good"/>
  </r>
  <r>
    <s v="Anan31375"/>
    <n v="375"/>
    <n v="21"/>
    <n v="1"/>
    <n v="2022"/>
    <d v="2022-01-21T00:00:00"/>
    <s v="January"/>
    <d v="2022-10-18T00:00:00"/>
    <x v="1"/>
    <n v="9"/>
    <n v="38142.400000000001"/>
    <s v="Anand Reddy"/>
    <n v="31"/>
    <s v="Adult"/>
    <s v="Good"/>
    <x v="3"/>
    <s v="Credit Card"/>
    <n v="5"/>
    <s v="Vivo V20"/>
    <n v="343281.60000000003"/>
    <s v="Good"/>
    <s v="Excellent"/>
  </r>
  <r>
    <s v="Bhav20376"/>
    <n v="376"/>
    <n v="22"/>
    <n v="1"/>
    <n v="2022"/>
    <d v="2022-01-22T00:00:00"/>
    <s v="January"/>
    <d v="2022-10-19T00:00:00"/>
    <x v="4"/>
    <n v="7"/>
    <n v="40265.480000000003"/>
    <s v="Bhavana Jain"/>
    <n v="20"/>
    <s v="Teenagers"/>
    <s v="Good"/>
    <x v="3"/>
    <s v="Debit Card"/>
    <n v="4"/>
    <s v="iPhone 11"/>
    <n v="281858.36000000004"/>
    <s v="Good"/>
    <s v="Excellent"/>
  </r>
  <r>
    <s v="Tapa46377"/>
    <n v="377"/>
    <n v="22"/>
    <n v="1"/>
    <n v="2022"/>
    <d v="2022-01-22T00:00:00"/>
    <s v="January"/>
    <d v="2022-10-20T00:00:00"/>
    <x v="3"/>
    <n v="9"/>
    <n v="45104.67"/>
    <s v="Tapan Rawat"/>
    <n v="46"/>
    <s v="Senior Citezen"/>
    <s v="Good"/>
    <x v="1"/>
    <s v="Cash"/>
    <n v="5"/>
    <s v="Galaxy Note 20"/>
    <n v="405942.02999999997"/>
    <s v="Good"/>
    <s v="Excellent"/>
  </r>
  <r>
    <s v="Nami23378"/>
    <n v="378"/>
    <n v="22"/>
    <n v="1"/>
    <n v="2022"/>
    <d v="2022-01-22T00:00:00"/>
    <s v="January"/>
    <d v="2022-10-21T00:00:00"/>
    <x v="4"/>
    <n v="9"/>
    <n v="40790.199999999997"/>
    <s v="Namita Sheth"/>
    <n v="23"/>
    <s v="Teenagers"/>
    <s v="AVG"/>
    <x v="18"/>
    <s v="UPI"/>
    <n v="3"/>
    <s v="iPhone 12"/>
    <n v="367111.8"/>
    <s v="Average"/>
    <s v="Excellent"/>
  </r>
  <r>
    <s v="Arun40379"/>
    <n v="379"/>
    <n v="22"/>
    <n v="1"/>
    <n v="2022"/>
    <d v="2022-01-22T00:00:00"/>
    <s v="January"/>
    <d v="2022-10-22T00:00:00"/>
    <x v="4"/>
    <n v="3"/>
    <n v="39741.449999999997"/>
    <s v="Arun Luthra"/>
    <n v="40"/>
    <s v="Adult"/>
    <s v="AVG"/>
    <x v="1"/>
    <s v="UPI"/>
    <n v="3"/>
    <s v="iPhone SE"/>
    <n v="119224.34999999999"/>
    <s v="Average"/>
    <s v="Good"/>
  </r>
  <r>
    <s v="Mala45380"/>
    <n v="380"/>
    <n v="23"/>
    <n v="1"/>
    <n v="2022"/>
    <d v="2022-01-23T00:00:00"/>
    <s v="January"/>
    <d v="2022-10-23T00:00:00"/>
    <x v="1"/>
    <n v="4"/>
    <n v="29964.05"/>
    <s v="Mala Roy"/>
    <n v="45"/>
    <s v="Adult"/>
    <s v="Good"/>
    <x v="4"/>
    <s v="Credit Card"/>
    <n v="4"/>
    <s v="Vivo S1"/>
    <n v="119856.2"/>
    <s v="Good"/>
    <s v="Good"/>
  </r>
  <r>
    <s v="Deve31381"/>
    <n v="381"/>
    <n v="23"/>
    <n v="1"/>
    <n v="2022"/>
    <d v="2022-01-23T00:00:00"/>
    <s v="January"/>
    <d v="2022-10-24T00:00:00"/>
    <x v="0"/>
    <n v="2"/>
    <n v="14270.81"/>
    <s v="Devendra Varma"/>
    <n v="31"/>
    <s v="Adult"/>
    <s v="Good"/>
    <x v="2"/>
    <s v="Debit Card"/>
    <n v="5"/>
    <s v="Mi 11"/>
    <n v="28541.62"/>
    <s v="Good"/>
    <s v="Low"/>
  </r>
  <r>
    <s v="Ravi31382"/>
    <n v="382"/>
    <n v="23"/>
    <n v="1"/>
    <n v="2022"/>
    <d v="2022-01-23T00:00:00"/>
    <s v="January"/>
    <d v="2022-10-25T00:00:00"/>
    <x v="3"/>
    <n v="3"/>
    <n v="15371.21"/>
    <s v="Ravi Dutta"/>
    <n v="31"/>
    <s v="Adult"/>
    <s v="Good"/>
    <x v="1"/>
    <s v="UPI"/>
    <n v="4"/>
    <s v="Galaxy A51"/>
    <n v="46113.63"/>
    <s v="Good"/>
    <s v="Low"/>
  </r>
  <r>
    <s v="Rame37383"/>
    <n v="383"/>
    <n v="23"/>
    <n v="1"/>
    <n v="2022"/>
    <d v="2022-01-23T00:00:00"/>
    <s v="January"/>
    <d v="2022-10-26T00:00:00"/>
    <x v="1"/>
    <n v="5"/>
    <n v="36026.699999999997"/>
    <s v="Ramesh Das"/>
    <n v="37"/>
    <s v="Adult"/>
    <s v="Good"/>
    <x v="5"/>
    <s v="Debit Card"/>
    <n v="4"/>
    <s v="Vivo Y51"/>
    <n v="180133.5"/>
    <s v="Good"/>
    <s v="Good"/>
  </r>
  <r>
    <s v="Priy30384"/>
    <n v="384"/>
    <n v="24"/>
    <n v="1"/>
    <n v="2022"/>
    <d v="2022-01-24T00:00:00"/>
    <s v="January"/>
    <d v="2022-10-27T00:00:00"/>
    <x v="0"/>
    <n v="5"/>
    <n v="31347.59"/>
    <s v="Priya Roy"/>
    <n v="30"/>
    <s v="Teenagers"/>
    <s v="Good"/>
    <x v="7"/>
    <s v="Credit Card"/>
    <n v="5"/>
    <s v="Redmi Note 10"/>
    <n v="156737.95000000001"/>
    <s v="Good"/>
    <s v="Good"/>
  </r>
  <r>
    <s v="Sumi44385"/>
    <n v="385"/>
    <n v="24"/>
    <n v="1"/>
    <n v="2022"/>
    <d v="2022-01-24T00:00:00"/>
    <s v="January"/>
    <d v="2022-10-28T00:00:00"/>
    <x v="0"/>
    <n v="6"/>
    <n v="40968.089999999997"/>
    <s v="Sumit Siddiqui"/>
    <n v="44"/>
    <s v="Adult"/>
    <s v="Good"/>
    <x v="1"/>
    <s v="Credit Card"/>
    <n v="5"/>
    <s v="Redmi Note 10"/>
    <n v="245808.53999999998"/>
    <s v="Good"/>
    <s v="Excellent"/>
  </r>
  <r>
    <s v="Bina52386"/>
    <n v="386"/>
    <n v="24"/>
    <n v="1"/>
    <n v="2022"/>
    <d v="2022-01-24T00:00:00"/>
    <s v="January"/>
    <d v="2022-10-29T00:00:00"/>
    <x v="2"/>
    <n v="7"/>
    <n v="28290.29"/>
    <s v="Bina Siddiqui"/>
    <n v="52"/>
    <s v="Senior Citezen"/>
    <s v="Good"/>
    <x v="10"/>
    <s v="Credit Card"/>
    <n v="5"/>
    <s v="OnePlus Nord"/>
    <n v="198032.03"/>
    <s v="Good"/>
    <s v="Good"/>
  </r>
  <r>
    <s v="Kira19387"/>
    <n v="387"/>
    <n v="24"/>
    <n v="1"/>
    <n v="2022"/>
    <d v="2022-01-24T00:00:00"/>
    <s v="January"/>
    <d v="2022-10-30T00:00:00"/>
    <x v="3"/>
    <n v="7"/>
    <n v="51274.61"/>
    <s v="Kiran Rathod"/>
    <n v="19"/>
    <s v="Teenagers"/>
    <s v="Good"/>
    <x v="4"/>
    <s v="Debit Card"/>
    <n v="5"/>
    <s v="Galaxy A51"/>
    <n v="358922.27"/>
    <s v="Good"/>
    <s v="Excellent"/>
  </r>
  <r>
    <s v="Kuna58388"/>
    <n v="388"/>
    <n v="25"/>
    <n v="1"/>
    <n v="2022"/>
    <d v="2022-01-25T00:00:00"/>
    <s v="January"/>
    <d v="2022-10-31T00:00:00"/>
    <x v="0"/>
    <n v="1"/>
    <n v="61837.29"/>
    <s v="Kunal Chaudhary"/>
    <n v="58"/>
    <s v="Senior Citezen"/>
    <s v="Good"/>
    <x v="15"/>
    <s v="UPI"/>
    <n v="4"/>
    <s v="Redmi 9"/>
    <n v="61837.29"/>
    <s v="Good"/>
    <s v="Average"/>
  </r>
  <r>
    <s v="Vino57389"/>
    <n v="389"/>
    <n v="25"/>
    <n v="1"/>
    <n v="2022"/>
    <d v="2022-01-25T00:00:00"/>
    <s v="January"/>
    <d v="2022-11-01T00:00:00"/>
    <x v="1"/>
    <n v="2"/>
    <n v="27931.79"/>
    <s v="Vinod Malhotra"/>
    <n v="57"/>
    <s v="Senior Citezen"/>
    <s v="Good"/>
    <x v="10"/>
    <s v="Cash"/>
    <n v="4"/>
    <s v="Vivo V20"/>
    <n v="55863.58"/>
    <s v="Good"/>
    <s v="Average"/>
  </r>
  <r>
    <s v="Sneh41390"/>
    <n v="390"/>
    <n v="25"/>
    <n v="1"/>
    <n v="2022"/>
    <d v="2022-01-25T00:00:00"/>
    <s v="January"/>
    <d v="2022-11-02T00:00:00"/>
    <x v="2"/>
    <n v="9"/>
    <n v="21579.040000000001"/>
    <s v="Sneha Arora"/>
    <n v="41"/>
    <s v="Adult"/>
    <s v="Good"/>
    <x v="0"/>
    <s v="Debit Card"/>
    <n v="4"/>
    <s v="OnePlus 9"/>
    <n v="194211.36000000002"/>
    <s v="Good"/>
    <s v="Good"/>
  </r>
  <r>
    <s v="Deve46391"/>
    <n v="391"/>
    <n v="25"/>
    <n v="1"/>
    <n v="2022"/>
    <d v="2022-01-25T00:00:00"/>
    <s v="January"/>
    <d v="2022-11-03T00:00:00"/>
    <x v="3"/>
    <n v="2"/>
    <n v="16970.830000000002"/>
    <s v="Devendra Pathak"/>
    <n v="46"/>
    <s v="Senior Citezen"/>
    <s v="Good"/>
    <x v="2"/>
    <s v="Credit Card"/>
    <n v="4"/>
    <s v="Galaxy A51"/>
    <n v="33941.660000000003"/>
    <s v="Good"/>
    <s v="Low"/>
  </r>
  <r>
    <s v="Radh20392"/>
    <n v="392"/>
    <n v="26"/>
    <n v="1"/>
    <n v="2022"/>
    <d v="2022-01-26T00:00:00"/>
    <s v="January"/>
    <d v="2022-11-04T00:00:00"/>
    <x v="4"/>
    <n v="6"/>
    <n v="46975.24"/>
    <s v="Radha Alva"/>
    <n v="20"/>
    <s v="Teenagers"/>
    <s v="Good"/>
    <x v="7"/>
    <s v="Cash"/>
    <n v="4"/>
    <s v="iPhone SE"/>
    <n v="281851.44"/>
    <s v="Good"/>
    <s v="Excellent"/>
  </r>
  <r>
    <s v="Kris21393"/>
    <n v="393"/>
    <n v="26"/>
    <n v="1"/>
    <n v="2022"/>
    <d v="2022-01-26T00:00:00"/>
    <s v="January"/>
    <d v="2022-11-05T00:00:00"/>
    <x v="1"/>
    <n v="1"/>
    <n v="36631.360000000001"/>
    <s v="Krishna Nambiar"/>
    <n v="21"/>
    <s v="Teenagers"/>
    <s v="Good"/>
    <x v="3"/>
    <s v="Cash"/>
    <n v="5"/>
    <s v="Vivo S1"/>
    <n v="36631.360000000001"/>
    <s v="Good"/>
    <s v="Low"/>
  </r>
  <r>
    <s v="Vija19394"/>
    <n v="394"/>
    <n v="26"/>
    <n v="1"/>
    <n v="2022"/>
    <d v="2022-01-26T00:00:00"/>
    <s v="January"/>
    <d v="2022-11-06T00:00:00"/>
    <x v="0"/>
    <n v="3"/>
    <n v="21280.94"/>
    <s v="Vijay Jain"/>
    <n v="19"/>
    <s v="Teenagers"/>
    <s v="Good"/>
    <x v="3"/>
    <s v="Cash"/>
    <n v="4"/>
    <s v="Redmi 9"/>
    <n v="63842.819999999992"/>
    <s v="Good"/>
    <s v="Average"/>
  </r>
  <r>
    <s v="Reen37395"/>
    <n v="395"/>
    <n v="27"/>
    <n v="1"/>
    <n v="2022"/>
    <d v="2022-01-27T00:00:00"/>
    <s v="January"/>
    <d v="2022-11-07T00:00:00"/>
    <x v="0"/>
    <n v="2"/>
    <n v="49188.2"/>
    <s v="Reena Deshmukh"/>
    <n v="37"/>
    <s v="Adult"/>
    <s v="AVG"/>
    <x v="2"/>
    <s v="Cash"/>
    <n v="3"/>
    <s v="Mi 11"/>
    <n v="98376.4"/>
    <s v="Average"/>
    <s v="Average"/>
  </r>
  <r>
    <s v="Yoge32396"/>
    <n v="396"/>
    <n v="27"/>
    <n v="1"/>
    <n v="2022"/>
    <d v="2022-01-27T00:00:00"/>
    <s v="January"/>
    <d v="2022-11-08T00:00:00"/>
    <x v="1"/>
    <n v="3"/>
    <n v="18908.990000000002"/>
    <s v="Yogesh Alva"/>
    <n v="32"/>
    <s v="Adult"/>
    <s v="AVG"/>
    <x v="5"/>
    <s v="Cash"/>
    <n v="3"/>
    <s v="Vivo S1"/>
    <n v="56726.97"/>
    <s v="Average"/>
    <s v="Average"/>
  </r>
  <r>
    <s v="Sanj49397"/>
    <n v="397"/>
    <n v="27"/>
    <n v="1"/>
    <n v="2022"/>
    <d v="2022-01-27T00:00:00"/>
    <s v="January"/>
    <d v="2022-11-09T00:00:00"/>
    <x v="0"/>
    <n v="5"/>
    <n v="43258.04"/>
    <s v="Sanjay Mehta"/>
    <n v="49"/>
    <s v="Senior Citezen"/>
    <s v="Good"/>
    <x v="11"/>
    <s v="Credit Card"/>
    <n v="5"/>
    <s v="Redmi 9"/>
    <n v="216290.2"/>
    <s v="Good"/>
    <s v="Excellent"/>
  </r>
  <r>
    <s v="Neet59398"/>
    <n v="398"/>
    <n v="27"/>
    <n v="1"/>
    <n v="2022"/>
    <d v="2022-01-27T00:00:00"/>
    <s v="January"/>
    <d v="2022-11-10T00:00:00"/>
    <x v="2"/>
    <n v="6"/>
    <n v="41628.9"/>
    <s v="Neeta Yadav"/>
    <n v="59"/>
    <s v="Senior Citezen"/>
    <s v="Good"/>
    <x v="9"/>
    <s v="UPI"/>
    <n v="5"/>
    <s v="OnePlus 8T"/>
    <n v="249773.40000000002"/>
    <s v="Good"/>
    <s v="Excellent"/>
  </r>
  <r>
    <s v="Gita18399"/>
    <n v="399"/>
    <n v="28"/>
    <n v="1"/>
    <n v="2022"/>
    <d v="2022-01-28T00:00:00"/>
    <s v="January"/>
    <d v="2022-11-11T00:00:00"/>
    <x v="3"/>
    <n v="9"/>
    <n v="54053.67"/>
    <s v="Gita Rathod"/>
    <n v="18"/>
    <s v="Teenagers"/>
    <s v="AVG"/>
    <x v="1"/>
    <s v="Cash"/>
    <n v="3"/>
    <s v="Galaxy Note 20"/>
    <n v="486483.02999999997"/>
    <s v="Average"/>
    <s v="Excellent"/>
  </r>
  <r>
    <s v="Vino55400"/>
    <n v="400"/>
    <n v="28"/>
    <n v="1"/>
    <n v="2022"/>
    <d v="2022-01-28T00:00:00"/>
    <s v="January"/>
    <d v="2022-11-12T00:00:00"/>
    <x v="2"/>
    <n v="4"/>
    <n v="13306.58"/>
    <s v="Vinod Chatterjee"/>
    <n v="55"/>
    <s v="Senior Citezen"/>
    <s v="Good"/>
    <x v="2"/>
    <s v="UPI"/>
    <n v="5"/>
    <s v="OnePlus 8T"/>
    <n v="53226.32"/>
    <s v="Good"/>
    <s v="Average"/>
  </r>
  <r>
    <s v="Hari52401"/>
    <n v="401"/>
    <n v="28"/>
    <n v="1"/>
    <n v="2022"/>
    <d v="2022-01-28T00:00:00"/>
    <s v="January"/>
    <d v="2022-11-13T00:00:00"/>
    <x v="0"/>
    <n v="7"/>
    <n v="63272.38"/>
    <s v="Harish Mishra"/>
    <n v="52"/>
    <s v="Senior Citezen"/>
    <s v="Good"/>
    <x v="5"/>
    <s v="UPI"/>
    <n v="5"/>
    <s v="Mi 11"/>
    <n v="442906.66"/>
    <s v="Good"/>
    <s v="Excellent"/>
  </r>
  <r>
    <s v="Sneh24402"/>
    <n v="402"/>
    <n v="29"/>
    <n v="1"/>
    <n v="2022"/>
    <d v="2022-01-29T00:00:00"/>
    <s v="January"/>
    <d v="2022-11-14T00:00:00"/>
    <x v="4"/>
    <n v="6"/>
    <n v="52179.5"/>
    <s v="Sneha Patel"/>
    <n v="24"/>
    <s v="Teenagers"/>
    <s v="Good"/>
    <x v="7"/>
    <s v="Debit Card"/>
    <n v="5"/>
    <s v="iPhone SE"/>
    <n v="313077"/>
    <s v="Good"/>
    <s v="Excellent"/>
  </r>
  <r>
    <s v="Shru30403"/>
    <n v="403"/>
    <n v="29"/>
    <n v="1"/>
    <n v="2022"/>
    <d v="2022-01-29T00:00:00"/>
    <s v="January"/>
    <d v="2022-11-15T00:00:00"/>
    <x v="3"/>
    <n v="2"/>
    <n v="22967.56"/>
    <s v="Shruti Iyer"/>
    <n v="30"/>
    <s v="Teenagers"/>
    <s v="Good"/>
    <x v="1"/>
    <s v="Credit Card"/>
    <n v="4"/>
    <s v="Galaxy S21"/>
    <n v="45935.12"/>
    <s v="Good"/>
    <s v="Low"/>
  </r>
  <r>
    <s v="Vive18404"/>
    <n v="404"/>
    <n v="29"/>
    <n v="1"/>
    <n v="2022"/>
    <d v="2022-01-29T00:00:00"/>
    <s v="January"/>
    <d v="2022-11-16T00:00:00"/>
    <x v="3"/>
    <n v="8"/>
    <n v="21004.32"/>
    <s v="Vivek Mehta"/>
    <n v="18"/>
    <s v="Teenagers"/>
    <s v="Good"/>
    <x v="10"/>
    <s v="Cash"/>
    <n v="4"/>
    <s v="Galaxy S21"/>
    <n v="168034.56"/>
    <s v="Good"/>
    <s v="Good"/>
  </r>
  <r>
    <s v="Ravi31405"/>
    <n v="405"/>
    <n v="29"/>
    <n v="1"/>
    <n v="2022"/>
    <d v="2022-01-29T00:00:00"/>
    <s v="January"/>
    <d v="2022-11-17T00:00:00"/>
    <x v="1"/>
    <n v="7"/>
    <n v="35899.61"/>
    <s v="Ravi Bhattacharya"/>
    <n v="31"/>
    <s v="Adult"/>
    <s v="Good"/>
    <x v="11"/>
    <s v="UPI"/>
    <n v="5"/>
    <s v="Vivo V20"/>
    <n v="251297.27000000002"/>
    <s v="Good"/>
    <s v="Excellent"/>
  </r>
  <r>
    <s v="Anan46406"/>
    <n v="406"/>
    <n v="30"/>
    <n v="1"/>
    <n v="2022"/>
    <d v="2022-01-30T00:00:00"/>
    <s v="January"/>
    <d v="2022-11-18T00:00:00"/>
    <x v="1"/>
    <n v="7"/>
    <n v="59053.919999999998"/>
    <s v="Anand Siddiqui"/>
    <n v="46"/>
    <s v="Senior Citezen"/>
    <s v="Good"/>
    <x v="2"/>
    <s v="Debit Card"/>
    <n v="5"/>
    <s v="Vivo V20"/>
    <n v="413377.44"/>
    <s v="Good"/>
    <s v="Excellent"/>
  </r>
  <r>
    <s v="Jyot20407"/>
    <n v="407"/>
    <n v="30"/>
    <n v="1"/>
    <n v="2022"/>
    <d v="2022-01-30T00:00:00"/>
    <s v="January"/>
    <d v="2022-11-19T00:00:00"/>
    <x v="4"/>
    <n v="8"/>
    <n v="60577"/>
    <s v="Jyoti Kumar"/>
    <n v="20"/>
    <s v="Teenagers"/>
    <s v="AVG"/>
    <x v="18"/>
    <s v="UPI"/>
    <n v="3"/>
    <s v="iPhone 12"/>
    <n v="484616"/>
    <s v="Average"/>
    <s v="Excellent"/>
  </r>
  <r>
    <s v="Kris41408"/>
    <n v="408"/>
    <n v="30"/>
    <n v="1"/>
    <n v="2022"/>
    <d v="2022-01-30T00:00:00"/>
    <s v="January"/>
    <d v="2022-11-20T00:00:00"/>
    <x v="3"/>
    <n v="1"/>
    <n v="41227.370000000003"/>
    <s v="Krishna Sharma"/>
    <n v="41"/>
    <s v="Adult"/>
    <s v="Good"/>
    <x v="0"/>
    <s v="Cash"/>
    <n v="5"/>
    <s v="Galaxy S21"/>
    <n v="41227.370000000003"/>
    <s v="Good"/>
    <s v="Low"/>
  </r>
  <r>
    <s v="Adit18409"/>
    <n v="409"/>
    <n v="30"/>
    <n v="1"/>
    <n v="2022"/>
    <d v="2022-01-30T00:00:00"/>
    <s v="January"/>
    <d v="2022-11-21T00:00:00"/>
    <x v="4"/>
    <n v="1"/>
    <n v="61648.65"/>
    <s v="Aditya Roy"/>
    <n v="18"/>
    <s v="Teenagers"/>
    <s v="Good"/>
    <x v="11"/>
    <s v="Credit Card"/>
    <n v="5"/>
    <s v="iPhone 11"/>
    <n v="61648.65"/>
    <s v="Good"/>
    <s v="Average"/>
  </r>
  <r>
    <s v="Anit27410"/>
    <n v="410"/>
    <n v="31"/>
    <n v="1"/>
    <n v="2022"/>
    <d v="2022-01-31T00:00:00"/>
    <s v="January"/>
    <d v="2022-11-22T00:00:00"/>
    <x v="1"/>
    <n v="8"/>
    <n v="10326.620000000001"/>
    <s v="Anita Arora"/>
    <n v="27"/>
    <s v="Teenagers"/>
    <s v="Good"/>
    <x v="14"/>
    <s v="Credit Card"/>
    <n v="5"/>
    <s v="Vivo Y51"/>
    <n v="82612.960000000006"/>
    <s v="Good"/>
    <s v="Average"/>
  </r>
  <r>
    <s v="Tanu30411"/>
    <n v="411"/>
    <n v="31"/>
    <n v="1"/>
    <n v="2022"/>
    <d v="2022-01-31T00:00:00"/>
    <s v="January"/>
    <d v="2022-11-23T00:00:00"/>
    <x v="1"/>
    <n v="4"/>
    <n v="12110.48"/>
    <s v="Tanuja Rao"/>
    <n v="30"/>
    <s v="Teenagers"/>
    <s v="AVG"/>
    <x v="2"/>
    <s v="Cash"/>
    <n v="3"/>
    <s v="Vivo V20"/>
    <n v="48441.919999999998"/>
    <s v="Average"/>
    <s v="Low"/>
  </r>
  <r>
    <s v="Kavi53412"/>
    <n v="412"/>
    <n v="31"/>
    <n v="1"/>
    <n v="2022"/>
    <d v="2022-01-31T00:00:00"/>
    <s v="January"/>
    <d v="2022-11-24T00:00:00"/>
    <x v="3"/>
    <n v="5"/>
    <n v="64709.3"/>
    <s v="Kavita Bhattacharya"/>
    <n v="53"/>
    <s v="Senior Citezen"/>
    <s v="Good"/>
    <x v="12"/>
    <s v="UPI"/>
    <n v="5"/>
    <s v="Galaxy A51"/>
    <n v="323546.5"/>
    <s v="Good"/>
    <s v="Excellent"/>
  </r>
  <r>
    <s v="Hari26413"/>
    <n v="413"/>
    <n v="1"/>
    <n v="2"/>
    <n v="2022"/>
    <d v="2022-02-01T00:00:00"/>
    <s v="February"/>
    <d v="2022-11-25T00:00:00"/>
    <x v="2"/>
    <n v="8"/>
    <n v="56519.92"/>
    <s v="Harish Teja"/>
    <n v="26"/>
    <s v="Teenagers"/>
    <s v="Good"/>
    <x v="8"/>
    <s v="Debit Card"/>
    <n v="5"/>
    <s v="OnePlus Nord"/>
    <n v="452159.36"/>
    <s v="Good"/>
    <s v="Excellent"/>
  </r>
  <r>
    <s v="Anja31414"/>
    <n v="414"/>
    <n v="1"/>
    <n v="2"/>
    <n v="2022"/>
    <d v="2022-02-01T00:00:00"/>
    <s v="February"/>
    <d v="2022-11-26T00:00:00"/>
    <x v="0"/>
    <n v="5"/>
    <n v="37042.36"/>
    <s v="Anjali Patel"/>
    <n v="31"/>
    <s v="Adult"/>
    <s v="AVG"/>
    <x v="2"/>
    <s v="Credit Card"/>
    <n v="3"/>
    <s v="Redmi Note 10"/>
    <n v="185211.8"/>
    <s v="Average"/>
    <s v="Good"/>
  </r>
  <r>
    <s v="Gita53415"/>
    <n v="415"/>
    <n v="1"/>
    <n v="2"/>
    <n v="2022"/>
    <d v="2022-02-01T00:00:00"/>
    <s v="February"/>
    <d v="2022-11-27T00:00:00"/>
    <x v="1"/>
    <n v="4"/>
    <n v="55216.61"/>
    <s v="Gita Teja"/>
    <n v="53"/>
    <s v="Senior Citezen"/>
    <s v="Good"/>
    <x v="1"/>
    <s v="Credit Card"/>
    <n v="5"/>
    <s v="Vivo S1"/>
    <n v="220866.44"/>
    <s v="Good"/>
    <s v="Excellent"/>
  </r>
  <r>
    <s v="Anit27416"/>
    <n v="416"/>
    <n v="1"/>
    <n v="2"/>
    <n v="2022"/>
    <d v="2022-02-01T00:00:00"/>
    <s v="February"/>
    <d v="2022-11-28T00:00:00"/>
    <x v="1"/>
    <n v="6"/>
    <n v="67338.37"/>
    <s v="Anita Varma"/>
    <n v="27"/>
    <s v="Teenagers"/>
    <s v="Good"/>
    <x v="2"/>
    <s v="UPI"/>
    <n v="5"/>
    <s v="Vivo Y51"/>
    <n v="404030.22"/>
    <s v="Good"/>
    <s v="Excellent"/>
  </r>
  <r>
    <s v="Adit57417"/>
    <n v="417"/>
    <n v="2"/>
    <n v="2"/>
    <n v="2022"/>
    <d v="2022-02-02T00:00:00"/>
    <s v="February"/>
    <d v="2022-11-29T00:00:00"/>
    <x v="2"/>
    <n v="5"/>
    <n v="56325.37"/>
    <s v="Aditya Menon"/>
    <n v="57"/>
    <s v="Senior Citezen"/>
    <s v="BAD"/>
    <x v="15"/>
    <s v="UPI"/>
    <n v="2"/>
    <s v="OnePlus 8T"/>
    <n v="281626.85000000003"/>
    <s v="Average"/>
    <s v="Excellent"/>
  </r>
  <r>
    <s v="Amit40418"/>
    <n v="418"/>
    <n v="2"/>
    <n v="2"/>
    <n v="2022"/>
    <d v="2022-02-02T00:00:00"/>
    <s v="February"/>
    <d v="2022-11-30T00:00:00"/>
    <x v="2"/>
    <n v="7"/>
    <n v="60542.28"/>
    <s v="Amit Srivastava"/>
    <n v="40"/>
    <s v="Adult"/>
    <s v="Good"/>
    <x v="0"/>
    <s v="UPI"/>
    <n v="4"/>
    <s v="OnePlus Nord"/>
    <n v="423795.95999999996"/>
    <s v="Good"/>
    <s v="Excellent"/>
  </r>
  <r>
    <s v="Ayes52419"/>
    <n v="419"/>
    <n v="2"/>
    <n v="2"/>
    <n v="2022"/>
    <d v="2022-02-02T00:00:00"/>
    <s v="February"/>
    <d v="2022-12-01T00:00:00"/>
    <x v="4"/>
    <n v="7"/>
    <n v="55636.39"/>
    <s v="Ayesha Menon"/>
    <n v="52"/>
    <s v="Senior Citezen"/>
    <s v="AVG"/>
    <x v="5"/>
    <s v="Debit Card"/>
    <n v="3"/>
    <s v="iPhone 12"/>
    <n v="389454.73"/>
    <s v="Average"/>
    <s v="Excellent"/>
  </r>
  <r>
    <s v="Vive24420"/>
    <n v="420"/>
    <n v="3"/>
    <n v="2"/>
    <n v="2022"/>
    <d v="2022-02-03T00:00:00"/>
    <s v="February"/>
    <d v="2022-12-02T00:00:00"/>
    <x v="4"/>
    <n v="4"/>
    <n v="20092.669999999998"/>
    <s v="Vivek Sheth"/>
    <n v="24"/>
    <s v="Teenagers"/>
    <s v="Good"/>
    <x v="5"/>
    <s v="UPI"/>
    <n v="5"/>
    <s v="iPhone 11"/>
    <n v="80370.679999999993"/>
    <s v="Good"/>
    <s v="Average"/>
  </r>
  <r>
    <s v="Tapa59421"/>
    <n v="421"/>
    <n v="3"/>
    <n v="2"/>
    <n v="2022"/>
    <d v="2022-02-03T00:00:00"/>
    <s v="February"/>
    <d v="2022-12-03T00:00:00"/>
    <x v="0"/>
    <n v="5"/>
    <n v="60014.45"/>
    <s v="Tapan Mathur"/>
    <n v="59"/>
    <s v="Senior Citezen"/>
    <s v="Good"/>
    <x v="2"/>
    <s v="Debit Card"/>
    <n v="5"/>
    <s v="Redmi 9"/>
    <n v="300072.25"/>
    <s v="Good"/>
    <s v="Excellent"/>
  </r>
  <r>
    <s v="Sneh52422"/>
    <n v="422"/>
    <n v="3"/>
    <n v="2"/>
    <n v="2022"/>
    <d v="2022-02-03T00:00:00"/>
    <s v="February"/>
    <d v="2022-12-04T00:00:00"/>
    <x v="0"/>
    <n v="3"/>
    <n v="21706.53"/>
    <s v="Sneha Desai"/>
    <n v="52"/>
    <s v="Senior Citezen"/>
    <s v="Good"/>
    <x v="7"/>
    <s v="Cash"/>
    <n v="5"/>
    <s v="Redmi 9"/>
    <n v="65119.59"/>
    <s v="Good"/>
    <s v="Average"/>
  </r>
  <r>
    <s v="Amit19423"/>
    <n v="423"/>
    <n v="3"/>
    <n v="2"/>
    <n v="2022"/>
    <d v="2022-02-03T00:00:00"/>
    <s v="February"/>
    <d v="2022-12-05T00:00:00"/>
    <x v="3"/>
    <n v="4"/>
    <n v="63556.68"/>
    <s v="Amit Prasad"/>
    <n v="19"/>
    <s v="Teenagers"/>
    <s v="Good"/>
    <x v="13"/>
    <s v="Debit Card"/>
    <n v="5"/>
    <s v="Galaxy Note 20"/>
    <n v="254226.72"/>
    <s v="Good"/>
    <s v="Excellent"/>
  </r>
  <r>
    <s v="Sumi32424"/>
    <n v="424"/>
    <n v="4"/>
    <n v="2"/>
    <n v="2022"/>
    <d v="2022-02-04T00:00:00"/>
    <s v="February"/>
    <d v="2022-12-06T00:00:00"/>
    <x v="4"/>
    <n v="4"/>
    <n v="37518.99"/>
    <s v="Sumit Sharma"/>
    <n v="32"/>
    <s v="Adult"/>
    <s v="Good"/>
    <x v="1"/>
    <s v="UPI"/>
    <n v="4"/>
    <s v="iPhone 11"/>
    <n v="150075.96"/>
    <s v="Good"/>
    <s v="Good"/>
  </r>
  <r>
    <s v="Anan26425"/>
    <n v="425"/>
    <n v="4"/>
    <n v="2"/>
    <n v="2022"/>
    <d v="2022-02-04T00:00:00"/>
    <s v="February"/>
    <d v="2022-12-07T00:00:00"/>
    <x v="1"/>
    <n v="3"/>
    <n v="50618.61"/>
    <s v="Anand Joshi"/>
    <n v="26"/>
    <s v="Teenagers"/>
    <s v="Good"/>
    <x v="15"/>
    <s v="Debit Card"/>
    <n v="5"/>
    <s v="Vivo V20"/>
    <n v="151855.83000000002"/>
    <s v="Good"/>
    <s v="Good"/>
  </r>
  <r>
    <s v="Nami34426"/>
    <n v="426"/>
    <n v="4"/>
    <n v="2"/>
    <n v="2022"/>
    <d v="2022-02-04T00:00:00"/>
    <s v="February"/>
    <d v="2022-12-08T00:00:00"/>
    <x v="4"/>
    <n v="5"/>
    <n v="39834.449999999997"/>
    <s v="Namita Srivastava"/>
    <n v="34"/>
    <s v="Adult"/>
    <s v="Good"/>
    <x v="1"/>
    <s v="Debit Card"/>
    <n v="4"/>
    <s v="iPhone SE"/>
    <n v="199172.25"/>
    <s v="Good"/>
    <s v="Good"/>
  </r>
  <r>
    <s v="Vive56427"/>
    <n v="427"/>
    <n v="4"/>
    <n v="2"/>
    <n v="2022"/>
    <d v="2022-02-04T00:00:00"/>
    <s v="February"/>
    <d v="2022-12-09T00:00:00"/>
    <x v="1"/>
    <n v="5"/>
    <n v="15639.46"/>
    <s v="Vivek Alva"/>
    <n v="56"/>
    <s v="Senior Citezen"/>
    <s v="BAD"/>
    <x v="9"/>
    <s v="Debit Card"/>
    <n v="2"/>
    <s v="Vivo V20"/>
    <n v="78197.299999999988"/>
    <s v="Average"/>
    <s v="Average"/>
  </r>
  <r>
    <s v="Navi35428"/>
    <n v="428"/>
    <n v="5"/>
    <n v="2"/>
    <n v="2022"/>
    <d v="2022-02-05T00:00:00"/>
    <s v="February"/>
    <d v="2022-12-10T00:00:00"/>
    <x v="2"/>
    <n v="7"/>
    <n v="27443.34"/>
    <s v="Navin Mathur"/>
    <n v="35"/>
    <s v="Adult"/>
    <s v="BAD"/>
    <x v="11"/>
    <s v="Credit Card"/>
    <n v="2"/>
    <s v="OnePlus 8T"/>
    <n v="192103.38"/>
    <s v="Average"/>
    <s v="Good"/>
  </r>
  <r>
    <s v="Deve32429"/>
    <n v="429"/>
    <n v="5"/>
    <n v="2"/>
    <n v="2022"/>
    <d v="2022-02-05T00:00:00"/>
    <s v="February"/>
    <d v="2022-12-11T00:00:00"/>
    <x v="4"/>
    <n v="4"/>
    <n v="69023.91"/>
    <s v="Devendra Mathur"/>
    <n v="32"/>
    <s v="Adult"/>
    <s v="Good"/>
    <x v="1"/>
    <s v="UPI"/>
    <n v="5"/>
    <s v="iPhone SE"/>
    <n v="276095.64"/>
    <s v="Good"/>
    <s v="Excellent"/>
  </r>
  <r>
    <s v="Isha35430"/>
    <n v="430"/>
    <n v="5"/>
    <n v="2"/>
    <n v="2022"/>
    <d v="2022-02-05T00:00:00"/>
    <s v="February"/>
    <d v="2022-12-12T00:00:00"/>
    <x v="2"/>
    <n v="4"/>
    <n v="67642.89"/>
    <s v="Isha Nair"/>
    <n v="35"/>
    <s v="Adult"/>
    <s v="Good"/>
    <x v="1"/>
    <s v="Debit Card"/>
    <n v="4"/>
    <s v="OnePlus 8T"/>
    <n v="270571.56"/>
    <s v="Good"/>
    <s v="Excellent"/>
  </r>
  <r>
    <s v="Pank41431"/>
    <n v="431"/>
    <n v="6"/>
    <n v="2"/>
    <n v="2022"/>
    <d v="2022-02-06T00:00:00"/>
    <s v="February"/>
    <d v="2022-12-13T00:00:00"/>
    <x v="0"/>
    <n v="9"/>
    <n v="29229.21"/>
    <s v="Pankaj Jain"/>
    <n v="41"/>
    <s v="Adult"/>
    <s v="AVG"/>
    <x v="12"/>
    <s v="UPI"/>
    <n v="3"/>
    <s v="Mi 11"/>
    <n v="263062.89"/>
    <s v="Average"/>
    <s v="Excellent"/>
  </r>
  <r>
    <s v="Sach40432"/>
    <n v="432"/>
    <n v="6"/>
    <n v="2"/>
    <n v="2022"/>
    <d v="2022-02-06T00:00:00"/>
    <s v="February"/>
    <d v="2022-12-14T00:00:00"/>
    <x v="0"/>
    <n v="6"/>
    <n v="69777.81"/>
    <s v="Sachin Desai"/>
    <n v="40"/>
    <s v="Adult"/>
    <s v="Good"/>
    <x v="11"/>
    <s v="Cash"/>
    <n v="5"/>
    <s v="Mi 11"/>
    <n v="418666.86"/>
    <s v="Good"/>
    <s v="Excellent"/>
  </r>
  <r>
    <s v="Kira29433"/>
    <n v="433"/>
    <n v="6"/>
    <n v="2"/>
    <n v="2022"/>
    <d v="2022-02-06T00:00:00"/>
    <s v="February"/>
    <d v="2022-12-15T00:00:00"/>
    <x v="3"/>
    <n v="4"/>
    <n v="60733.07"/>
    <s v="Kiran Malhotra"/>
    <n v="29"/>
    <s v="Teenagers"/>
    <s v="Good"/>
    <x v="1"/>
    <s v="Debit Card"/>
    <n v="5"/>
    <s v="Galaxy S21"/>
    <n v="242932.28"/>
    <s v="Good"/>
    <s v="Excellent"/>
  </r>
  <r>
    <s v="Kira40434"/>
    <n v="434"/>
    <n v="6"/>
    <n v="2"/>
    <n v="2022"/>
    <d v="2022-02-06T00:00:00"/>
    <s v="February"/>
    <d v="2022-12-16T00:00:00"/>
    <x v="4"/>
    <n v="2"/>
    <n v="46657.57"/>
    <s v="Kiran Alva"/>
    <n v="40"/>
    <s v="Adult"/>
    <s v="BAD"/>
    <x v="1"/>
    <s v="Debit Card"/>
    <n v="2"/>
    <s v="iPhone 11"/>
    <n v="93315.14"/>
    <s v="Average"/>
    <s v="Average"/>
  </r>
  <r>
    <s v="Arun38435"/>
    <n v="435"/>
    <n v="7"/>
    <n v="2"/>
    <n v="2022"/>
    <d v="2022-02-07T00:00:00"/>
    <s v="February"/>
    <d v="2022-12-17T00:00:00"/>
    <x v="2"/>
    <n v="6"/>
    <n v="12407.48"/>
    <s v="Arun Deshmukh"/>
    <n v="38"/>
    <s v="Adult"/>
    <s v="BAD"/>
    <x v="4"/>
    <s v="Cash"/>
    <n v="2"/>
    <s v="OnePlus 9"/>
    <n v="74444.88"/>
    <s v="Average"/>
    <s v="Average"/>
  </r>
  <r>
    <s v="Hari43436"/>
    <n v="436"/>
    <n v="7"/>
    <n v="2"/>
    <n v="2022"/>
    <d v="2022-02-07T00:00:00"/>
    <s v="February"/>
    <d v="2022-12-18T00:00:00"/>
    <x v="1"/>
    <n v="2"/>
    <n v="64086.81"/>
    <s v="Harish Teja"/>
    <n v="43"/>
    <s v="Adult"/>
    <s v="AVG"/>
    <x v="12"/>
    <s v="UPI"/>
    <n v="3"/>
    <s v="Vivo Y51"/>
    <n v="128173.62"/>
    <s v="Average"/>
    <s v="Good"/>
  </r>
  <r>
    <s v="Vija25437"/>
    <n v="437"/>
    <n v="7"/>
    <n v="2"/>
    <n v="2022"/>
    <d v="2022-02-07T00:00:00"/>
    <s v="February"/>
    <d v="2022-12-19T00:00:00"/>
    <x v="0"/>
    <n v="5"/>
    <n v="43445.760000000002"/>
    <s v="Vijay Rawat"/>
    <n v="25"/>
    <s v="Teenagers"/>
    <s v="Good"/>
    <x v="12"/>
    <s v="Cash"/>
    <n v="5"/>
    <s v="Mi 11"/>
    <n v="217228.80000000002"/>
    <s v="Good"/>
    <s v="Excellent"/>
  </r>
  <r>
    <s v="Arun47438"/>
    <n v="438"/>
    <n v="8"/>
    <n v="2"/>
    <n v="2022"/>
    <d v="2022-02-08T00:00:00"/>
    <s v="February"/>
    <d v="2022-12-20T00:00:00"/>
    <x v="0"/>
    <n v="6"/>
    <n v="62108.57"/>
    <s v="Arun Dutta"/>
    <n v="47"/>
    <s v="Senior Citezen"/>
    <s v="Good"/>
    <x v="2"/>
    <s v="Cash"/>
    <n v="4"/>
    <s v="Redmi 9"/>
    <n v="372651.42"/>
    <s v="Good"/>
    <s v="Excellent"/>
  </r>
  <r>
    <s v="Hari51439"/>
    <n v="439"/>
    <n v="8"/>
    <n v="2"/>
    <n v="2022"/>
    <d v="2022-02-08T00:00:00"/>
    <s v="February"/>
    <d v="2022-12-21T00:00:00"/>
    <x v="1"/>
    <n v="4"/>
    <n v="60065.75"/>
    <s v="Harish Solanki"/>
    <n v="51"/>
    <s v="Senior Citezen"/>
    <s v="BAD"/>
    <x v="2"/>
    <s v="Cash"/>
    <n v="2"/>
    <s v="Vivo Y51"/>
    <n v="240263"/>
    <s v="Average"/>
    <s v="Excellent"/>
  </r>
  <r>
    <s v="Suni19440"/>
    <n v="440"/>
    <n v="8"/>
    <n v="2"/>
    <n v="2022"/>
    <d v="2022-02-08T00:00:00"/>
    <s v="February"/>
    <d v="2022-12-22T00:00:00"/>
    <x v="2"/>
    <n v="3"/>
    <n v="59980.37"/>
    <s v="Sunita Roy"/>
    <n v="19"/>
    <s v="Teenagers"/>
    <s v="Good"/>
    <x v="1"/>
    <s v="Cash"/>
    <n v="5"/>
    <s v="OnePlus Nord"/>
    <n v="179941.11000000002"/>
    <s v="Good"/>
    <s v="Good"/>
  </r>
  <r>
    <s v="Vino22441"/>
    <n v="441"/>
    <n v="8"/>
    <n v="2"/>
    <n v="2022"/>
    <d v="2022-02-08T00:00:00"/>
    <s v="February"/>
    <d v="2022-12-23T00:00:00"/>
    <x v="2"/>
    <n v="7"/>
    <n v="51890.43"/>
    <s v="Vinod Nambiar"/>
    <n v="22"/>
    <s v="Teenagers"/>
    <s v="AVG"/>
    <x v="15"/>
    <s v="UPI"/>
    <n v="3"/>
    <s v="OnePlus Nord"/>
    <n v="363233.01"/>
    <s v="Average"/>
    <s v="Excellent"/>
  </r>
  <r>
    <s v="Meen48442"/>
    <n v="442"/>
    <n v="9"/>
    <n v="2"/>
    <n v="2022"/>
    <d v="2022-02-09T00:00:00"/>
    <s v="February"/>
    <d v="2022-12-24T00:00:00"/>
    <x v="4"/>
    <n v="2"/>
    <n v="27484.91"/>
    <s v="Meena Kulkarni"/>
    <n v="48"/>
    <s v="Senior Citezen"/>
    <s v="AVG"/>
    <x v="2"/>
    <s v="Debit Card"/>
    <n v="3"/>
    <s v="iPhone 12"/>
    <n v="54969.82"/>
    <s v="Average"/>
    <s v="Average"/>
  </r>
  <r>
    <s v="Arun50443"/>
    <n v="443"/>
    <n v="9"/>
    <n v="2"/>
    <n v="2022"/>
    <d v="2022-02-09T00:00:00"/>
    <s v="February"/>
    <d v="2022-12-25T00:00:00"/>
    <x v="4"/>
    <n v="6"/>
    <n v="30169.62"/>
    <s v="Arun Sheth"/>
    <n v="50"/>
    <s v="Senior Citezen"/>
    <s v="AVG"/>
    <x v="12"/>
    <s v="Cash"/>
    <n v="3"/>
    <s v="iPhone SE"/>
    <n v="181017.72"/>
    <s v="Average"/>
    <s v="Good"/>
  </r>
  <r>
    <s v="Bhav21444"/>
    <n v="444"/>
    <n v="9"/>
    <n v="2"/>
    <n v="2022"/>
    <d v="2022-02-09T00:00:00"/>
    <s v="February"/>
    <d v="2022-12-26T00:00:00"/>
    <x v="3"/>
    <n v="4"/>
    <n v="28508.15"/>
    <s v="Bhavana Mehta"/>
    <n v="21"/>
    <s v="Teenagers"/>
    <s v="Good"/>
    <x v="2"/>
    <s v="Cash"/>
    <n v="5"/>
    <s v="Galaxy A51"/>
    <n v="114032.6"/>
    <s v="Good"/>
    <s v="Good"/>
  </r>
  <r>
    <s v="Bhav23445"/>
    <n v="445"/>
    <n v="10"/>
    <n v="2"/>
    <n v="2022"/>
    <d v="2022-02-10T00:00:00"/>
    <s v="February"/>
    <d v="2022-12-27T00:00:00"/>
    <x v="0"/>
    <n v="6"/>
    <n v="11202.76"/>
    <s v="Bhavana Varma"/>
    <n v="23"/>
    <s v="Teenagers"/>
    <s v="AVG"/>
    <x v="6"/>
    <s v="Credit Card"/>
    <n v="3"/>
    <s v="Mi 11"/>
    <n v="67216.56"/>
    <s v="Average"/>
    <s v="Average"/>
  </r>
  <r>
    <s v="Lata40446"/>
    <n v="446"/>
    <n v="10"/>
    <n v="2"/>
    <n v="2022"/>
    <d v="2022-02-10T00:00:00"/>
    <s v="February"/>
    <d v="2022-12-28T00:00:00"/>
    <x v="4"/>
    <n v="4"/>
    <n v="44954.13"/>
    <s v="Lata Shah"/>
    <n v="40"/>
    <s v="Adult"/>
    <s v="Good"/>
    <x v="1"/>
    <s v="UPI"/>
    <n v="4"/>
    <s v="iPhone 11"/>
    <n v="179816.52"/>
    <s v="Good"/>
    <s v="Good"/>
  </r>
  <r>
    <s v="Vive36447"/>
    <n v="447"/>
    <n v="10"/>
    <n v="2"/>
    <n v="2022"/>
    <d v="2022-02-10T00:00:00"/>
    <s v="February"/>
    <d v="2022-12-29T00:00:00"/>
    <x v="2"/>
    <n v="4"/>
    <n v="51930.02"/>
    <s v="Vivek Teja"/>
    <n v="36"/>
    <s v="Adult"/>
    <s v="Good"/>
    <x v="0"/>
    <s v="Cash"/>
    <n v="4"/>
    <s v="OnePlus 9"/>
    <n v="207720.08"/>
    <s v="Good"/>
    <s v="Excellent"/>
  </r>
  <r>
    <s v="Pras25448"/>
    <n v="448"/>
    <n v="11"/>
    <n v="2"/>
    <n v="2022"/>
    <d v="2022-02-11T00:00:00"/>
    <s v="February"/>
    <d v="2022-12-30T00:00:00"/>
    <x v="1"/>
    <n v="4"/>
    <n v="61231.96"/>
    <s v="Prashant Rathod"/>
    <n v="25"/>
    <s v="Teenagers"/>
    <s v="Good"/>
    <x v="2"/>
    <s v="Credit Card"/>
    <n v="5"/>
    <s v="Vivo S1"/>
    <n v="244927.84"/>
    <s v="Good"/>
    <s v="Excellent"/>
  </r>
  <r>
    <s v="Priy56449"/>
    <n v="449"/>
    <n v="11"/>
    <n v="2"/>
    <n v="2022"/>
    <d v="2022-02-11T00:00:00"/>
    <s v="February"/>
    <d v="2022-12-31T00:00:00"/>
    <x v="2"/>
    <n v="9"/>
    <n v="18409.93"/>
    <s v="Priyanka Menon"/>
    <n v="56"/>
    <s v="Senior Citezen"/>
    <s v="Good"/>
    <x v="16"/>
    <s v="Cash"/>
    <n v="5"/>
    <s v="OnePlus Nord"/>
    <n v="165689.37"/>
    <s v="Good"/>
    <s v="Good"/>
  </r>
  <r>
    <s v="Anja30450"/>
    <n v="450"/>
    <n v="11"/>
    <n v="2"/>
    <n v="2022"/>
    <d v="2022-02-11T00:00:00"/>
    <s v="February"/>
    <d v="2023-01-01T00:00:00"/>
    <x v="0"/>
    <n v="7"/>
    <n v="42650.99"/>
    <s v="Anjali Sharma"/>
    <n v="30"/>
    <s v="Teenagers"/>
    <s v="Good"/>
    <x v="2"/>
    <s v="UPI"/>
    <n v="4"/>
    <s v="Redmi Note 10"/>
    <n v="298556.93"/>
    <s v="Good"/>
    <s v="Excellent"/>
  </r>
  <r>
    <s v="Arun18451"/>
    <n v="451"/>
    <n v="11"/>
    <n v="2"/>
    <n v="2022"/>
    <d v="2022-02-11T00:00:00"/>
    <s v="February"/>
    <d v="2023-01-02T00:00:00"/>
    <x v="2"/>
    <n v="3"/>
    <n v="10480.49"/>
    <s v="Arun Kapoor"/>
    <n v="18"/>
    <s v="Teenagers"/>
    <s v="Good"/>
    <x v="14"/>
    <s v="Credit Card"/>
    <n v="5"/>
    <s v="OnePlus 8T"/>
    <n v="31441.47"/>
    <s v="Good"/>
    <s v="Low"/>
  </r>
  <r>
    <s v="Arun23452"/>
    <n v="452"/>
    <n v="12"/>
    <n v="2"/>
    <n v="2022"/>
    <d v="2022-02-12T00:00:00"/>
    <s v="February"/>
    <d v="2023-01-03T00:00:00"/>
    <x v="3"/>
    <n v="3"/>
    <n v="15705.62"/>
    <s v="Arun Goyal"/>
    <n v="23"/>
    <s v="Teenagers"/>
    <s v="Good"/>
    <x v="3"/>
    <s v="Credit Card"/>
    <n v="5"/>
    <s v="Galaxy A51"/>
    <n v="47116.86"/>
    <s v="Good"/>
    <s v="Low"/>
  </r>
  <r>
    <s v="Arun24453"/>
    <n v="453"/>
    <n v="12"/>
    <n v="2"/>
    <n v="2022"/>
    <d v="2022-02-12T00:00:00"/>
    <s v="February"/>
    <d v="2023-01-04T00:00:00"/>
    <x v="0"/>
    <n v="6"/>
    <n v="13252.7"/>
    <s v="Arun Pillai"/>
    <n v="24"/>
    <s v="Teenagers"/>
    <s v="AVG"/>
    <x v="1"/>
    <s v="UPI"/>
    <n v="3"/>
    <s v="Redmi Note 10"/>
    <n v="79516.200000000012"/>
    <s v="Average"/>
    <s v="Average"/>
  </r>
  <r>
    <s v="Vino44454"/>
    <n v="454"/>
    <n v="12"/>
    <n v="2"/>
    <n v="2022"/>
    <d v="2022-02-12T00:00:00"/>
    <s v="February"/>
    <d v="2023-01-05T00:00:00"/>
    <x v="1"/>
    <n v="6"/>
    <n v="53528.68"/>
    <s v="Vinod Goyal"/>
    <n v="44"/>
    <s v="Adult"/>
    <s v="Good"/>
    <x v="5"/>
    <s v="Credit Card"/>
    <n v="4"/>
    <s v="Vivo Y51"/>
    <n v="321172.08"/>
    <s v="Good"/>
    <s v="Excellent"/>
  </r>
  <r>
    <s v="Moni32455"/>
    <n v="455"/>
    <n v="12"/>
    <n v="2"/>
    <n v="2022"/>
    <d v="2022-02-12T00:00:00"/>
    <s v="February"/>
    <d v="2023-01-06T00:00:00"/>
    <x v="3"/>
    <n v="4"/>
    <n v="14863.57"/>
    <s v="Monika Deshmukh"/>
    <n v="32"/>
    <s v="Adult"/>
    <s v="BAD"/>
    <x v="1"/>
    <s v="Credit Card"/>
    <n v="2"/>
    <s v="Galaxy S21"/>
    <n v="59454.28"/>
    <s v="Average"/>
    <s v="Average"/>
  </r>
  <r>
    <s v="Vija51456"/>
    <n v="456"/>
    <n v="13"/>
    <n v="2"/>
    <n v="2022"/>
    <d v="2022-02-13T00:00:00"/>
    <s v="February"/>
    <d v="2023-01-07T00:00:00"/>
    <x v="0"/>
    <n v="9"/>
    <n v="52987.18"/>
    <s v="Vijay Varma"/>
    <n v="51"/>
    <s v="Senior Citezen"/>
    <s v="Good"/>
    <x v="1"/>
    <s v="Cash"/>
    <n v="5"/>
    <s v="Redmi Note 10"/>
    <n v="476884.62"/>
    <s v="Good"/>
    <s v="Excellent"/>
  </r>
  <r>
    <s v="Bhav40457"/>
    <n v="457"/>
    <n v="13"/>
    <n v="2"/>
    <n v="2022"/>
    <d v="2022-02-13T00:00:00"/>
    <s v="February"/>
    <d v="2023-01-08T00:00:00"/>
    <x v="1"/>
    <n v="4"/>
    <n v="24977.48"/>
    <s v="Bhavana Mathur"/>
    <n v="40"/>
    <s v="Adult"/>
    <s v="Good"/>
    <x v="2"/>
    <s v="Credit Card"/>
    <n v="5"/>
    <s v="Vivo S1"/>
    <n v="99909.92"/>
    <s v="Good"/>
    <s v="Average"/>
  </r>
  <r>
    <s v="Priy41458"/>
    <n v="458"/>
    <n v="13"/>
    <n v="2"/>
    <n v="2022"/>
    <d v="2022-02-13T00:00:00"/>
    <s v="February"/>
    <d v="2023-01-09T00:00:00"/>
    <x v="3"/>
    <n v="9"/>
    <n v="62662.78"/>
    <s v="Priya Singh"/>
    <n v="41"/>
    <s v="Adult"/>
    <s v="Good"/>
    <x v="2"/>
    <s v="Debit Card"/>
    <n v="4"/>
    <s v="Galaxy Note 20"/>
    <n v="563965.02"/>
    <s v="Good"/>
    <s v="Excellent"/>
  </r>
  <r>
    <s v="Tapa32459"/>
    <n v="459"/>
    <n v="14"/>
    <n v="2"/>
    <n v="2022"/>
    <d v="2022-02-14T00:00:00"/>
    <s v="February"/>
    <d v="2023-01-10T00:00:00"/>
    <x v="3"/>
    <n v="4"/>
    <n v="58789"/>
    <s v="Tapan Deshmukh"/>
    <n v="32"/>
    <s v="Adult"/>
    <s v="BAD"/>
    <x v="11"/>
    <s v="UPI"/>
    <n v="2"/>
    <s v="Galaxy A51"/>
    <n v="235156"/>
    <s v="Average"/>
    <s v="Excellent"/>
  </r>
  <r>
    <s v="Meen52460"/>
    <n v="460"/>
    <n v="14"/>
    <n v="2"/>
    <n v="2022"/>
    <d v="2022-02-14T00:00:00"/>
    <s v="February"/>
    <d v="2023-01-11T00:00:00"/>
    <x v="0"/>
    <n v="2"/>
    <n v="67469.81"/>
    <s v="Meena Patel"/>
    <n v="52"/>
    <s v="Senior Citezen"/>
    <s v="Good"/>
    <x v="18"/>
    <s v="Cash"/>
    <n v="5"/>
    <s v="Redmi 9"/>
    <n v="134939.62"/>
    <s v="Good"/>
    <s v="Good"/>
  </r>
  <r>
    <s v="Nami21461"/>
    <n v="461"/>
    <n v="14"/>
    <n v="2"/>
    <n v="2022"/>
    <d v="2022-02-14T00:00:00"/>
    <s v="February"/>
    <d v="2023-01-12T00:00:00"/>
    <x v="4"/>
    <n v="2"/>
    <n v="63025.72"/>
    <s v="Namita Sheth"/>
    <n v="21"/>
    <s v="Teenagers"/>
    <s v="Good"/>
    <x v="1"/>
    <s v="Credit Card"/>
    <n v="5"/>
    <s v="iPhone 11"/>
    <n v="126051.44"/>
    <s v="Good"/>
    <s v="Good"/>
  </r>
  <r>
    <s v="Anit54462"/>
    <n v="462"/>
    <n v="14"/>
    <n v="2"/>
    <n v="2022"/>
    <d v="2022-02-14T00:00:00"/>
    <s v="February"/>
    <d v="2023-01-13T00:00:00"/>
    <x v="3"/>
    <n v="5"/>
    <n v="65999.77"/>
    <s v="Anita Varma"/>
    <n v="54"/>
    <s v="Senior Citezen"/>
    <s v="BAD"/>
    <x v="2"/>
    <s v="Debit Card"/>
    <n v="2"/>
    <s v="Galaxy Note 20"/>
    <n v="329998.85000000003"/>
    <s v="Average"/>
    <s v="Excellent"/>
  </r>
  <r>
    <s v="Vino34463"/>
    <n v="463"/>
    <n v="15"/>
    <n v="2"/>
    <n v="2022"/>
    <d v="2022-02-15T00:00:00"/>
    <s v="February"/>
    <d v="2023-01-14T00:00:00"/>
    <x v="3"/>
    <n v="4"/>
    <n v="61524.54"/>
    <s v="Vinod Goyal"/>
    <n v="34"/>
    <s v="Adult"/>
    <s v="AVG"/>
    <x v="2"/>
    <s v="Cash"/>
    <n v="3"/>
    <s v="Galaxy Note 20"/>
    <n v="246098.16"/>
    <s v="Average"/>
    <s v="Excellent"/>
  </r>
  <r>
    <s v="Kuna48464"/>
    <n v="464"/>
    <n v="15"/>
    <n v="2"/>
    <n v="2022"/>
    <d v="2022-02-15T00:00:00"/>
    <s v="February"/>
    <d v="2023-01-15T00:00:00"/>
    <x v="1"/>
    <n v="7"/>
    <n v="51602.91"/>
    <s v="Kunal Shah"/>
    <n v="48"/>
    <s v="Senior Citezen"/>
    <s v="Good"/>
    <x v="8"/>
    <s v="UPI"/>
    <n v="5"/>
    <s v="Vivo S1"/>
    <n v="361220.37"/>
    <s v="Good"/>
    <s v="Excellent"/>
  </r>
  <r>
    <s v="Mala55465"/>
    <n v="465"/>
    <n v="15"/>
    <n v="2"/>
    <n v="2022"/>
    <d v="2022-02-15T00:00:00"/>
    <s v="February"/>
    <d v="2023-01-16T00:00:00"/>
    <x v="2"/>
    <n v="5"/>
    <n v="20215.55"/>
    <s v="Mala Teja"/>
    <n v="55"/>
    <s v="Senior Citezen"/>
    <s v="BAD"/>
    <x v="1"/>
    <s v="Credit Card"/>
    <n v="2"/>
    <s v="OnePlus 8T"/>
    <n v="101077.75"/>
    <s v="Average"/>
    <s v="Good"/>
  </r>
  <r>
    <s v="Sumi27466"/>
    <n v="466"/>
    <n v="15"/>
    <n v="2"/>
    <n v="2022"/>
    <d v="2022-02-15T00:00:00"/>
    <s v="February"/>
    <d v="2023-01-17T00:00:00"/>
    <x v="0"/>
    <n v="6"/>
    <n v="26302.45"/>
    <s v="Sumit Mishra"/>
    <n v="27"/>
    <s v="Teenagers"/>
    <s v="Good"/>
    <x v="4"/>
    <s v="UPI"/>
    <n v="4"/>
    <s v="Mi 11"/>
    <n v="157814.70000000001"/>
    <s v="Good"/>
    <s v="Good"/>
  </r>
  <r>
    <s v="Kavi44467"/>
    <n v="467"/>
    <n v="16"/>
    <n v="2"/>
    <n v="2022"/>
    <d v="2022-02-16T00:00:00"/>
    <s v="February"/>
    <d v="2023-01-18T00:00:00"/>
    <x v="0"/>
    <n v="4"/>
    <n v="22763.62"/>
    <s v="Kavita Gupta"/>
    <n v="44"/>
    <s v="Adult"/>
    <s v="Good"/>
    <x v="1"/>
    <s v="UPI"/>
    <n v="5"/>
    <s v="Mi 11"/>
    <n v="91054.48"/>
    <s v="Good"/>
    <s v="Average"/>
  </r>
  <r>
    <s v="Tapa59468"/>
    <n v="468"/>
    <n v="16"/>
    <n v="2"/>
    <n v="2022"/>
    <d v="2022-02-16T00:00:00"/>
    <s v="February"/>
    <d v="2023-01-19T00:00:00"/>
    <x v="4"/>
    <n v="2"/>
    <n v="46215.15"/>
    <s v="Tapan Joshi"/>
    <n v="59"/>
    <s v="Senior Citezen"/>
    <s v="Good"/>
    <x v="10"/>
    <s v="Credit Card"/>
    <n v="5"/>
    <s v="iPhone 12"/>
    <n v="92430.3"/>
    <s v="Good"/>
    <s v="Average"/>
  </r>
  <r>
    <s v="Nikh23469"/>
    <n v="469"/>
    <n v="16"/>
    <n v="2"/>
    <n v="2022"/>
    <d v="2022-02-16T00:00:00"/>
    <s v="February"/>
    <d v="2023-01-20T00:00:00"/>
    <x v="4"/>
    <n v="9"/>
    <n v="40217.199999999997"/>
    <s v="Nikhil Menon"/>
    <n v="23"/>
    <s v="Teenagers"/>
    <s v="Good"/>
    <x v="1"/>
    <s v="Credit Card"/>
    <n v="4"/>
    <s v="iPhone 11"/>
    <n v="361954.8"/>
    <s v="Good"/>
    <s v="Excellent"/>
  </r>
  <r>
    <s v="Vino23470"/>
    <n v="470"/>
    <n v="16"/>
    <n v="2"/>
    <n v="2022"/>
    <d v="2022-02-16T00:00:00"/>
    <s v="February"/>
    <d v="2023-01-21T00:00:00"/>
    <x v="0"/>
    <n v="7"/>
    <n v="62024.800000000003"/>
    <s v="Vinod Prasad"/>
    <n v="23"/>
    <s v="Teenagers"/>
    <s v="BAD"/>
    <x v="11"/>
    <s v="Cash"/>
    <n v="2"/>
    <s v="Redmi 9"/>
    <n v="434173.60000000003"/>
    <s v="Average"/>
    <s v="Excellent"/>
  </r>
  <r>
    <s v="Tapa32471"/>
    <n v="471"/>
    <n v="17"/>
    <n v="2"/>
    <n v="2022"/>
    <d v="2022-02-17T00:00:00"/>
    <s v="February"/>
    <d v="2023-01-22T00:00:00"/>
    <x v="4"/>
    <n v="4"/>
    <n v="67160.37"/>
    <s v="Tapan Bhattacharya"/>
    <n v="32"/>
    <s v="Adult"/>
    <s v="AVG"/>
    <x v="15"/>
    <s v="UPI"/>
    <n v="3"/>
    <s v="iPhone 12"/>
    <n v="268641.48"/>
    <s v="Average"/>
    <s v="Excellent"/>
  </r>
  <r>
    <s v="Jyot21472"/>
    <n v="472"/>
    <n v="17"/>
    <n v="2"/>
    <n v="2022"/>
    <d v="2022-02-17T00:00:00"/>
    <s v="February"/>
    <d v="2023-01-23T00:00:00"/>
    <x v="1"/>
    <n v="3"/>
    <n v="34291.589999999997"/>
    <s v="Jyoti Iyer"/>
    <n v="21"/>
    <s v="Teenagers"/>
    <s v="Good"/>
    <x v="16"/>
    <s v="Credit Card"/>
    <n v="5"/>
    <s v="Vivo S1"/>
    <n v="102874.76999999999"/>
    <s v="Good"/>
    <s v="Good"/>
  </r>
  <r>
    <s v="Shru57473"/>
    <n v="473"/>
    <n v="17"/>
    <n v="2"/>
    <n v="2022"/>
    <d v="2022-02-17T00:00:00"/>
    <s v="February"/>
    <d v="2023-01-24T00:00:00"/>
    <x v="0"/>
    <n v="3"/>
    <n v="40381.03"/>
    <s v="Shruti Chaudhary"/>
    <n v="57"/>
    <s v="Senior Citezen"/>
    <s v="Good"/>
    <x v="1"/>
    <s v="UPI"/>
    <n v="5"/>
    <s v="Redmi Note 10"/>
    <n v="121143.09"/>
    <s v="Good"/>
    <s v="Good"/>
  </r>
  <r>
    <s v="Jyot24474"/>
    <n v="474"/>
    <n v="18"/>
    <n v="2"/>
    <n v="2022"/>
    <d v="2022-02-18T00:00:00"/>
    <s v="February"/>
    <d v="2023-01-25T00:00:00"/>
    <x v="4"/>
    <n v="9"/>
    <n v="68290.98"/>
    <s v="Jyoti Pillai"/>
    <n v="24"/>
    <s v="Teenagers"/>
    <s v="Good"/>
    <x v="14"/>
    <s v="Credit Card"/>
    <n v="5"/>
    <s v="iPhone 11"/>
    <n v="614618.81999999995"/>
    <s v="Good"/>
    <s v="Excellent"/>
  </r>
  <r>
    <s v="Mano43475"/>
    <n v="475"/>
    <n v="18"/>
    <n v="2"/>
    <n v="2022"/>
    <d v="2022-02-18T00:00:00"/>
    <s v="February"/>
    <d v="2023-01-26T00:00:00"/>
    <x v="0"/>
    <n v="5"/>
    <n v="26574.34"/>
    <s v="Manoj Shah"/>
    <n v="43"/>
    <s v="Adult"/>
    <s v="Good"/>
    <x v="7"/>
    <s v="UPI"/>
    <n v="4"/>
    <s v="Redmi Note 10"/>
    <n v="132871.70000000001"/>
    <s v="Good"/>
    <s v="Good"/>
  </r>
  <r>
    <s v="Vija48476"/>
    <n v="476"/>
    <n v="18"/>
    <n v="2"/>
    <n v="2022"/>
    <d v="2022-02-18T00:00:00"/>
    <s v="February"/>
    <d v="2023-01-27T00:00:00"/>
    <x v="2"/>
    <n v="3"/>
    <n v="57543.45"/>
    <s v="Vijay Prasad"/>
    <n v="48"/>
    <s v="Senior Citezen"/>
    <s v="BAD"/>
    <x v="2"/>
    <s v="Cash"/>
    <n v="2"/>
    <s v="OnePlus Nord"/>
    <n v="172630.34999999998"/>
    <s v="Average"/>
    <s v="Good"/>
  </r>
  <r>
    <s v="Reen19477"/>
    <n v="477"/>
    <n v="19"/>
    <n v="2"/>
    <n v="2022"/>
    <d v="2022-02-19T00:00:00"/>
    <s v="February"/>
    <d v="2023-01-28T00:00:00"/>
    <x v="3"/>
    <n v="5"/>
    <n v="23514.39"/>
    <s v="Reena Sharma"/>
    <n v="19"/>
    <s v="Teenagers"/>
    <s v="BAD"/>
    <x v="1"/>
    <s v="UPI"/>
    <n v="2"/>
    <s v="Galaxy S21"/>
    <n v="117571.95"/>
    <s v="Average"/>
    <s v="Good"/>
  </r>
  <r>
    <s v="Sumi45478"/>
    <n v="478"/>
    <n v="19"/>
    <n v="2"/>
    <n v="2022"/>
    <d v="2022-02-19T00:00:00"/>
    <s v="February"/>
    <d v="2023-01-29T00:00:00"/>
    <x v="0"/>
    <n v="2"/>
    <n v="50887.61"/>
    <s v="Sumit Rathod"/>
    <n v="45"/>
    <s v="Adult"/>
    <s v="Good"/>
    <x v="15"/>
    <s v="Credit Card"/>
    <n v="4"/>
    <s v="Mi 11"/>
    <n v="101775.22"/>
    <s v="Good"/>
    <s v="Good"/>
  </r>
  <r>
    <s v="Kris59479"/>
    <n v="479"/>
    <n v="19"/>
    <n v="2"/>
    <n v="2022"/>
    <d v="2022-02-19T00:00:00"/>
    <s v="February"/>
    <d v="2023-01-30T00:00:00"/>
    <x v="3"/>
    <n v="4"/>
    <n v="25216.94"/>
    <s v="Krishna Malhotra"/>
    <n v="59"/>
    <s v="Senior Citezen"/>
    <s v="Good"/>
    <x v="1"/>
    <s v="Debit Card"/>
    <n v="5"/>
    <s v="Galaxy Note 20"/>
    <n v="100867.76"/>
    <s v="Good"/>
    <s v="Good"/>
  </r>
  <r>
    <s v="Nami30480"/>
    <n v="480"/>
    <n v="20"/>
    <n v="2"/>
    <n v="2022"/>
    <d v="2022-02-20T00:00:00"/>
    <s v="February"/>
    <d v="2023-01-31T00:00:00"/>
    <x v="4"/>
    <n v="2"/>
    <n v="63024"/>
    <s v="Namita Patel"/>
    <n v="30"/>
    <s v="Teenagers"/>
    <s v="Good"/>
    <x v="13"/>
    <s v="Cash"/>
    <n v="4"/>
    <s v="iPhone SE"/>
    <n v="126048"/>
    <s v="Good"/>
    <s v="Good"/>
  </r>
  <r>
    <s v="Deve35481"/>
    <n v="481"/>
    <n v="20"/>
    <n v="2"/>
    <n v="2022"/>
    <d v="2022-02-20T00:00:00"/>
    <s v="February"/>
    <d v="2023-02-01T00:00:00"/>
    <x v="3"/>
    <n v="2"/>
    <n v="43688.68"/>
    <s v="Devendra Rao"/>
    <n v="35"/>
    <s v="Adult"/>
    <s v="BAD"/>
    <x v="5"/>
    <s v="Cash"/>
    <n v="2"/>
    <s v="Galaxy S21"/>
    <n v="87377.36"/>
    <s v="Average"/>
    <s v="Average"/>
  </r>
  <r>
    <s v="Ravi47482"/>
    <n v="482"/>
    <n v="20"/>
    <n v="2"/>
    <n v="2022"/>
    <d v="2022-02-20T00:00:00"/>
    <s v="February"/>
    <d v="2023-02-02T00:00:00"/>
    <x v="0"/>
    <n v="8"/>
    <n v="21156.02"/>
    <s v="Ravi Malhotra"/>
    <n v="47"/>
    <s v="Senior Citezen"/>
    <s v="Good"/>
    <x v="2"/>
    <s v="Debit Card"/>
    <n v="4"/>
    <s v="Redmi 9"/>
    <n v="169248.16"/>
    <s v="Good"/>
    <s v="Good"/>
  </r>
  <r>
    <s v="Rame28483"/>
    <n v="483"/>
    <n v="21"/>
    <n v="2"/>
    <n v="2022"/>
    <d v="2022-02-21T00:00:00"/>
    <s v="February"/>
    <d v="2023-02-03T00:00:00"/>
    <x v="2"/>
    <n v="1"/>
    <n v="23462.15"/>
    <s v="Ramesh Gupta"/>
    <n v="28"/>
    <s v="Teenagers"/>
    <s v="Good"/>
    <x v="2"/>
    <s v="Credit Card"/>
    <n v="5"/>
    <s v="OnePlus Nord"/>
    <n v="23462.15"/>
    <s v="Good"/>
    <s v="Low"/>
  </r>
  <r>
    <s v="Shru30484"/>
    <n v="484"/>
    <n v="21"/>
    <n v="2"/>
    <n v="2022"/>
    <d v="2022-02-21T00:00:00"/>
    <s v="February"/>
    <d v="2023-02-04T00:00:00"/>
    <x v="4"/>
    <n v="7"/>
    <n v="39630.949999999997"/>
    <s v="Shruti Pathak"/>
    <n v="30"/>
    <s v="Teenagers"/>
    <s v="Good"/>
    <x v="1"/>
    <s v="Cash"/>
    <n v="5"/>
    <s v="iPhone SE"/>
    <n v="277416.64999999997"/>
    <s v="Good"/>
    <s v="Excellent"/>
  </r>
  <r>
    <s v="Rame41485"/>
    <n v="485"/>
    <n v="21"/>
    <n v="2"/>
    <n v="2022"/>
    <d v="2022-02-21T00:00:00"/>
    <s v="February"/>
    <d v="2023-02-05T00:00:00"/>
    <x v="0"/>
    <n v="5"/>
    <n v="67696.12"/>
    <s v="Ramesh Solanki"/>
    <n v="41"/>
    <s v="Adult"/>
    <s v="Good"/>
    <x v="1"/>
    <s v="Debit Card"/>
    <n v="5"/>
    <s v="Mi 11"/>
    <n v="338480.6"/>
    <s v="Good"/>
    <s v="Excellent"/>
  </r>
  <r>
    <s v="Shru46486"/>
    <n v="486"/>
    <n v="22"/>
    <n v="2"/>
    <n v="2022"/>
    <d v="2022-02-22T00:00:00"/>
    <s v="February"/>
    <d v="2023-02-06T00:00:00"/>
    <x v="4"/>
    <n v="8"/>
    <n v="56178.53"/>
    <s v="Shruti Pathak"/>
    <n v="46"/>
    <s v="Senior Citezen"/>
    <s v="AVG"/>
    <x v="2"/>
    <s v="Debit Card"/>
    <n v="3"/>
    <s v="iPhone 12"/>
    <n v="449428.24"/>
    <s v="Average"/>
    <s v="Excellent"/>
  </r>
  <r>
    <s v="Rame22487"/>
    <n v="487"/>
    <n v="22"/>
    <n v="2"/>
    <n v="2022"/>
    <d v="2022-02-22T00:00:00"/>
    <s v="February"/>
    <d v="2023-02-07T00:00:00"/>
    <x v="1"/>
    <n v="1"/>
    <n v="39298.58"/>
    <s v="Ramesh Dutta"/>
    <n v="22"/>
    <s v="Teenagers"/>
    <s v="AVG"/>
    <x v="16"/>
    <s v="UPI"/>
    <n v="3"/>
    <s v="Vivo Y51"/>
    <n v="39298.58"/>
    <s v="Average"/>
    <s v="Low"/>
  </r>
  <r>
    <s v="Umes52488"/>
    <n v="488"/>
    <n v="22"/>
    <n v="2"/>
    <n v="2022"/>
    <d v="2022-02-22T00:00:00"/>
    <s v="February"/>
    <d v="2023-02-08T00:00:00"/>
    <x v="3"/>
    <n v="7"/>
    <n v="30263.15"/>
    <s v="Umesh Ghosh"/>
    <n v="52"/>
    <s v="Senior Citezen"/>
    <s v="Good"/>
    <x v="1"/>
    <s v="UPI"/>
    <n v="4"/>
    <s v="Galaxy Note 20"/>
    <n v="211842.05000000002"/>
    <s v="Good"/>
    <s v="Excellent"/>
  </r>
  <r>
    <s v="Gita36489"/>
    <n v="489"/>
    <n v="23"/>
    <n v="2"/>
    <n v="2022"/>
    <d v="2022-02-23T00:00:00"/>
    <s v="February"/>
    <d v="2023-02-09T00:00:00"/>
    <x v="1"/>
    <n v="5"/>
    <n v="42956.11"/>
    <s v="Gita Iyer"/>
    <n v="36"/>
    <s v="Adult"/>
    <s v="Good"/>
    <x v="14"/>
    <s v="Credit Card"/>
    <n v="5"/>
    <s v="Vivo Y51"/>
    <n v="214780.55"/>
    <s v="Good"/>
    <s v="Excellent"/>
  </r>
  <r>
    <s v="Reen30490"/>
    <n v="490"/>
    <n v="23"/>
    <n v="2"/>
    <n v="2022"/>
    <d v="2022-02-23T00:00:00"/>
    <s v="February"/>
    <d v="2023-02-10T00:00:00"/>
    <x v="0"/>
    <n v="4"/>
    <n v="54901.65"/>
    <s v="Reena Desai"/>
    <n v="30"/>
    <s v="Teenagers"/>
    <s v="Good"/>
    <x v="16"/>
    <s v="Debit Card"/>
    <n v="5"/>
    <s v="Redmi Note 10"/>
    <n v="219606.6"/>
    <s v="Good"/>
    <s v="Excellent"/>
  </r>
  <r>
    <s v="Sanj22491"/>
    <n v="491"/>
    <n v="23"/>
    <n v="2"/>
    <n v="2022"/>
    <d v="2022-02-23T00:00:00"/>
    <s v="February"/>
    <d v="2023-02-11T00:00:00"/>
    <x v="2"/>
    <n v="7"/>
    <n v="57035.72"/>
    <s v="Sanjay Das"/>
    <n v="22"/>
    <s v="Teenagers"/>
    <s v="BAD"/>
    <x v="6"/>
    <s v="UPI"/>
    <n v="2"/>
    <s v="OnePlus 8T"/>
    <n v="399250.04000000004"/>
    <s v="Average"/>
    <s v="Excellent"/>
  </r>
  <r>
    <s v="Sanj31492"/>
    <n v="492"/>
    <n v="24"/>
    <n v="2"/>
    <n v="2022"/>
    <d v="2022-02-24T00:00:00"/>
    <s v="February"/>
    <d v="2023-02-12T00:00:00"/>
    <x v="4"/>
    <n v="2"/>
    <n v="29476.53"/>
    <s v="Sanjay Patel"/>
    <n v="31"/>
    <s v="Adult"/>
    <s v="Good"/>
    <x v="3"/>
    <s v="Credit Card"/>
    <n v="5"/>
    <s v="iPhone 11"/>
    <n v="58953.06"/>
    <s v="Good"/>
    <s v="Average"/>
  </r>
  <r>
    <s v="Anit55493"/>
    <n v="493"/>
    <n v="24"/>
    <n v="2"/>
    <n v="2022"/>
    <d v="2022-02-24T00:00:00"/>
    <s v="February"/>
    <d v="2023-02-13T00:00:00"/>
    <x v="3"/>
    <n v="1"/>
    <n v="53269.56"/>
    <s v="Anita Desai"/>
    <n v="55"/>
    <s v="Senior Citezen"/>
    <s v="Good"/>
    <x v="1"/>
    <s v="Cash"/>
    <n v="5"/>
    <s v="Galaxy Note 20"/>
    <n v="53269.56"/>
    <s v="Good"/>
    <s v="Average"/>
  </r>
  <r>
    <s v="Anan39494"/>
    <n v="494"/>
    <n v="24"/>
    <n v="2"/>
    <n v="2022"/>
    <d v="2022-02-24T00:00:00"/>
    <s v="February"/>
    <d v="2023-02-14T00:00:00"/>
    <x v="4"/>
    <n v="1"/>
    <n v="49467.33"/>
    <s v="Anand Chatterjee"/>
    <n v="39"/>
    <s v="Adult"/>
    <s v="Good"/>
    <x v="6"/>
    <s v="UPI"/>
    <n v="4"/>
    <s v="iPhone 12"/>
    <n v="49467.33"/>
    <s v="Good"/>
    <s v="Low"/>
  </r>
  <r>
    <s v="Bina26495"/>
    <n v="495"/>
    <n v="25"/>
    <n v="2"/>
    <n v="2022"/>
    <d v="2022-02-25T00:00:00"/>
    <s v="February"/>
    <d v="2023-02-15T00:00:00"/>
    <x v="0"/>
    <n v="1"/>
    <n v="67546.740000000005"/>
    <s v="Bina Solanki"/>
    <n v="26"/>
    <s v="Teenagers"/>
    <s v="BAD"/>
    <x v="6"/>
    <s v="Credit Card"/>
    <n v="2"/>
    <s v="Redmi Note 10"/>
    <n v="67546.740000000005"/>
    <s v="Average"/>
    <s v="Average"/>
  </r>
  <r>
    <s v="Suni57496"/>
    <n v="496"/>
    <n v="25"/>
    <n v="2"/>
    <n v="2022"/>
    <d v="2022-02-25T00:00:00"/>
    <s v="February"/>
    <d v="2023-02-16T00:00:00"/>
    <x v="4"/>
    <n v="5"/>
    <n v="65865.42"/>
    <s v="Sunita Mehta"/>
    <n v="57"/>
    <s v="Senior Citezen"/>
    <s v="BAD"/>
    <x v="0"/>
    <s v="UPI"/>
    <n v="2"/>
    <s v="iPhone SE"/>
    <n v="329327.09999999998"/>
    <s v="Average"/>
    <s v="Excellent"/>
  </r>
  <r>
    <s v="Pank43497"/>
    <n v="497"/>
    <n v="25"/>
    <n v="2"/>
    <n v="2022"/>
    <d v="2022-02-25T00:00:00"/>
    <s v="February"/>
    <d v="2023-02-17T00:00:00"/>
    <x v="3"/>
    <n v="7"/>
    <n v="57362.76"/>
    <s v="Pankaj Arora"/>
    <n v="43"/>
    <s v="Adult"/>
    <s v="Good"/>
    <x v="4"/>
    <s v="Cash"/>
    <n v="4"/>
    <s v="Galaxy Note 20"/>
    <n v="401539.32"/>
    <s v="Good"/>
    <s v="Excellent"/>
  </r>
  <r>
    <s v="Moni22498"/>
    <n v="498"/>
    <n v="26"/>
    <n v="2"/>
    <n v="2022"/>
    <d v="2022-02-26T00:00:00"/>
    <s v="February"/>
    <d v="2023-02-18T00:00:00"/>
    <x v="0"/>
    <n v="2"/>
    <n v="53403.68"/>
    <s v="Monika Srivastava"/>
    <n v="22"/>
    <s v="Teenagers"/>
    <s v="Good"/>
    <x v="7"/>
    <s v="Cash"/>
    <n v="4"/>
    <s v="Mi 11"/>
    <n v="106807.36"/>
    <s v="Good"/>
    <s v="Good"/>
  </r>
  <r>
    <s v="Raje46499"/>
    <n v="499"/>
    <n v="26"/>
    <n v="2"/>
    <n v="2022"/>
    <d v="2022-02-26T00:00:00"/>
    <s v="February"/>
    <d v="2023-02-19T00:00:00"/>
    <x v="4"/>
    <n v="8"/>
    <n v="26442.5"/>
    <s v="Rajesh Ghosh"/>
    <n v="46"/>
    <s v="Senior Citezen"/>
    <s v="Good"/>
    <x v="2"/>
    <s v="UPI"/>
    <n v="5"/>
    <s v="iPhone 12"/>
    <n v="211540"/>
    <s v="Good"/>
    <s v="Excellent"/>
  </r>
  <r>
    <s v="Priy39500"/>
    <n v="500"/>
    <n v="26"/>
    <n v="2"/>
    <n v="2022"/>
    <d v="2022-02-26T00:00:00"/>
    <s v="February"/>
    <d v="2023-02-20T00:00:00"/>
    <x v="2"/>
    <n v="4"/>
    <n v="60757.919999999998"/>
    <s v="Priya Sharma"/>
    <n v="39"/>
    <s v="Adult"/>
    <s v="Good"/>
    <x v="18"/>
    <s v="Cash"/>
    <n v="5"/>
    <s v="OnePlus 9"/>
    <n v="243031.67999999999"/>
    <s v="Good"/>
    <s v="Excellent"/>
  </r>
  <r>
    <s v="Kavi20501"/>
    <n v="501"/>
    <n v="26"/>
    <n v="2"/>
    <n v="2022"/>
    <d v="2022-02-26T00:00:00"/>
    <s v="February"/>
    <d v="2023-02-21T00:00:00"/>
    <x v="0"/>
    <n v="3"/>
    <n v="35650.339999999997"/>
    <s v="Kavita Kaur"/>
    <n v="20"/>
    <s v="Teenagers"/>
    <s v="BAD"/>
    <x v="14"/>
    <s v="Credit Card"/>
    <n v="2"/>
    <s v="Mi 11"/>
    <n v="106951.01999999999"/>
    <s v="Average"/>
    <s v="Good"/>
  </r>
  <r>
    <s v="Vive45502"/>
    <n v="502"/>
    <n v="27"/>
    <n v="2"/>
    <n v="2022"/>
    <d v="2022-02-27T00:00:00"/>
    <s v="February"/>
    <d v="2023-02-22T00:00:00"/>
    <x v="0"/>
    <n v="8"/>
    <n v="26334.43"/>
    <s v="Vivek Deshmukh"/>
    <n v="45"/>
    <s v="Adult"/>
    <s v="BAD"/>
    <x v="1"/>
    <s v="UPI"/>
    <n v="2"/>
    <s v="Redmi 9"/>
    <n v="210675.44"/>
    <s v="Average"/>
    <s v="Excellent"/>
  </r>
  <r>
    <s v="Pooj55503"/>
    <n v="503"/>
    <n v="27"/>
    <n v="2"/>
    <n v="2022"/>
    <d v="2022-02-27T00:00:00"/>
    <s v="February"/>
    <d v="2023-02-23T00:00:00"/>
    <x v="2"/>
    <n v="2"/>
    <n v="33049.65"/>
    <s v="Pooja Patel"/>
    <n v="55"/>
    <s v="Senior Citezen"/>
    <s v="Good"/>
    <x v="1"/>
    <s v="UPI"/>
    <n v="5"/>
    <s v="OnePlus Nord"/>
    <n v="66099.3"/>
    <s v="Good"/>
    <s v="Average"/>
  </r>
  <r>
    <s v="Meen31504"/>
    <n v="504"/>
    <n v="27"/>
    <n v="2"/>
    <n v="2022"/>
    <d v="2022-02-27T00:00:00"/>
    <s v="February"/>
    <d v="2023-02-24T00:00:00"/>
    <x v="1"/>
    <n v="3"/>
    <n v="60156.13"/>
    <s v="Meena Joshi"/>
    <n v="31"/>
    <s v="Adult"/>
    <s v="BAD"/>
    <x v="1"/>
    <s v="Cash"/>
    <n v="2"/>
    <s v="Vivo Y51"/>
    <n v="180468.38999999998"/>
    <s v="Average"/>
    <s v="Good"/>
  </r>
  <r>
    <s v="Nami31505"/>
    <n v="505"/>
    <n v="28"/>
    <n v="2"/>
    <n v="2022"/>
    <d v="2022-02-28T00:00:00"/>
    <s v="February"/>
    <d v="2023-02-25T00:00:00"/>
    <x v="3"/>
    <n v="3"/>
    <n v="18917.990000000002"/>
    <s v="Namita Gupta"/>
    <n v="31"/>
    <s v="Adult"/>
    <s v="Good"/>
    <x v="14"/>
    <s v="Credit Card"/>
    <n v="4"/>
    <s v="Galaxy A51"/>
    <n v="56753.97"/>
    <s v="Good"/>
    <s v="Average"/>
  </r>
  <r>
    <s v="Hari28506"/>
    <n v="506"/>
    <n v="28"/>
    <n v="2"/>
    <n v="2022"/>
    <d v="2022-02-28T00:00:00"/>
    <s v="February"/>
    <d v="2023-02-26T00:00:00"/>
    <x v="1"/>
    <n v="1"/>
    <n v="37369.519999999997"/>
    <s v="Harish Malhotra"/>
    <n v="28"/>
    <s v="Teenagers"/>
    <s v="Good"/>
    <x v="4"/>
    <s v="UPI"/>
    <n v="4"/>
    <s v="Vivo S1"/>
    <n v="37369.519999999997"/>
    <s v="Good"/>
    <s v="Low"/>
  </r>
  <r>
    <s v="Pank26507"/>
    <n v="507"/>
    <n v="28"/>
    <n v="2"/>
    <n v="2022"/>
    <d v="2022-02-28T00:00:00"/>
    <s v="February"/>
    <d v="2023-02-27T00:00:00"/>
    <x v="4"/>
    <n v="6"/>
    <n v="39541.46"/>
    <s v="Pankaj Patel"/>
    <n v="26"/>
    <s v="Teenagers"/>
    <s v="Good"/>
    <x v="16"/>
    <s v="UPI"/>
    <n v="5"/>
    <s v="iPhone 11"/>
    <n v="237248.76"/>
    <s v="Good"/>
    <s v="Excellent"/>
  </r>
  <r>
    <s v="Adit55508"/>
    <n v="508"/>
    <n v="28"/>
    <n v="2"/>
    <n v="2022"/>
    <d v="2022-02-28T00:00:00"/>
    <s v="February"/>
    <d v="2023-02-28T00:00:00"/>
    <x v="2"/>
    <n v="2"/>
    <n v="12197.78"/>
    <s v="Aditya Iyer"/>
    <n v="55"/>
    <s v="Senior Citezen"/>
    <s v="AVG"/>
    <x v="0"/>
    <s v="Cash"/>
    <n v="3"/>
    <s v="OnePlus Nord"/>
    <n v="24395.56"/>
    <s v="Average"/>
    <s v="Low"/>
  </r>
  <r>
    <s v="Rame23509"/>
    <n v="509"/>
    <n v="1"/>
    <n v="3"/>
    <n v="2022"/>
    <d v="2022-03-01T00:00:00"/>
    <s v="March"/>
    <d v="2023-03-01T00:00:00"/>
    <x v="1"/>
    <n v="1"/>
    <n v="21744.76"/>
    <s v="Ramesh Joshi"/>
    <n v="23"/>
    <s v="Teenagers"/>
    <s v="AVG"/>
    <x v="1"/>
    <s v="Cash"/>
    <n v="3"/>
    <s v="Vivo V20"/>
    <n v="21744.76"/>
    <s v="Average"/>
    <s v="Low"/>
  </r>
  <r>
    <s v="Sach18510"/>
    <n v="510"/>
    <n v="1"/>
    <n v="3"/>
    <n v="2022"/>
    <d v="2022-03-01T00:00:00"/>
    <s v="March"/>
    <d v="2023-03-02T00:00:00"/>
    <x v="0"/>
    <n v="2"/>
    <n v="59604.55"/>
    <s v="Sachin Rao"/>
    <n v="18"/>
    <s v="Teenagers"/>
    <s v="Good"/>
    <x v="1"/>
    <s v="Credit Card"/>
    <n v="4"/>
    <s v="Mi 11"/>
    <n v="119209.1"/>
    <s v="Good"/>
    <s v="Good"/>
  </r>
  <r>
    <s v="Pank42511"/>
    <n v="511"/>
    <n v="1"/>
    <n v="3"/>
    <n v="2022"/>
    <d v="2022-03-01T00:00:00"/>
    <s v="March"/>
    <d v="2023-03-03T00:00:00"/>
    <x v="4"/>
    <n v="6"/>
    <n v="59846.04"/>
    <s v="Pankaj Jain"/>
    <n v="42"/>
    <s v="Adult"/>
    <s v="AVG"/>
    <x v="1"/>
    <s v="Credit Card"/>
    <n v="3"/>
    <s v="iPhone 12"/>
    <n v="359076.24"/>
    <s v="Average"/>
    <s v="Excellent"/>
  </r>
  <r>
    <s v="Moni33512"/>
    <n v="512"/>
    <n v="1"/>
    <n v="3"/>
    <n v="2022"/>
    <d v="2022-03-01T00:00:00"/>
    <s v="March"/>
    <d v="2023-03-04T00:00:00"/>
    <x v="4"/>
    <n v="4"/>
    <n v="27544.91"/>
    <s v="Monika Singh"/>
    <n v="33"/>
    <s v="Adult"/>
    <s v="AVG"/>
    <x v="1"/>
    <s v="Cash"/>
    <n v="3"/>
    <s v="iPhone 11"/>
    <n v="110179.64"/>
    <s v="Average"/>
    <s v="Good"/>
  </r>
  <r>
    <s v="Deep32513"/>
    <n v="513"/>
    <n v="2"/>
    <n v="3"/>
    <n v="2022"/>
    <d v="2022-03-02T00:00:00"/>
    <s v="March"/>
    <d v="2023-03-05T00:00:00"/>
    <x v="1"/>
    <n v="6"/>
    <n v="62493.83"/>
    <s v="Deepika Kulkarni"/>
    <n v="32"/>
    <s v="Adult"/>
    <s v="Good"/>
    <x v="2"/>
    <s v="Credit Card"/>
    <n v="5"/>
    <s v="Vivo V20"/>
    <n v="374962.98"/>
    <s v="Good"/>
    <s v="Excellent"/>
  </r>
  <r>
    <s v="Vino51514"/>
    <n v="514"/>
    <n v="2"/>
    <n v="3"/>
    <n v="2022"/>
    <d v="2022-03-02T00:00:00"/>
    <s v="March"/>
    <d v="2023-03-06T00:00:00"/>
    <x v="1"/>
    <n v="9"/>
    <n v="56306.98"/>
    <s v="Vinod Kumar"/>
    <n v="51"/>
    <s v="Senior Citezen"/>
    <s v="BAD"/>
    <x v="3"/>
    <s v="Debit Card"/>
    <n v="2"/>
    <s v="Vivo S1"/>
    <n v="506762.82"/>
    <s v="Average"/>
    <s v="Excellent"/>
  </r>
  <r>
    <s v="Neet34515"/>
    <n v="515"/>
    <n v="2"/>
    <n v="3"/>
    <n v="2022"/>
    <d v="2022-03-02T00:00:00"/>
    <s v="March"/>
    <d v="2023-03-07T00:00:00"/>
    <x v="2"/>
    <n v="8"/>
    <n v="35074.449999999997"/>
    <s v="Neeta Kumar"/>
    <n v="34"/>
    <s v="Adult"/>
    <s v="BAD"/>
    <x v="1"/>
    <s v="Debit Card"/>
    <n v="2"/>
    <s v="OnePlus 9"/>
    <n v="280595.59999999998"/>
    <s v="Average"/>
    <s v="Excellent"/>
  </r>
  <r>
    <s v="Vino20516"/>
    <n v="516"/>
    <n v="2"/>
    <n v="3"/>
    <n v="2022"/>
    <d v="2022-03-02T00:00:00"/>
    <s v="March"/>
    <d v="2023-03-08T00:00:00"/>
    <x v="3"/>
    <n v="1"/>
    <n v="54904.38"/>
    <s v="Vinod Kulkarni"/>
    <n v="20"/>
    <s v="Teenagers"/>
    <s v="AVG"/>
    <x v="15"/>
    <s v="Cash"/>
    <n v="3"/>
    <s v="Galaxy S21"/>
    <n v="54904.38"/>
    <s v="Average"/>
    <s v="Average"/>
  </r>
  <r>
    <s v="Vino20517"/>
    <n v="517"/>
    <n v="3"/>
    <n v="3"/>
    <n v="2022"/>
    <d v="2022-03-03T00:00:00"/>
    <s v="March"/>
    <d v="2023-03-09T00:00:00"/>
    <x v="1"/>
    <n v="8"/>
    <n v="67680.08"/>
    <s v="Vinod Nair"/>
    <n v="20"/>
    <s v="Teenagers"/>
    <s v="Good"/>
    <x v="1"/>
    <s v="UPI"/>
    <n v="5"/>
    <s v="Vivo V20"/>
    <n v="541440.64"/>
    <s v="Good"/>
    <s v="Excellent"/>
  </r>
  <r>
    <s v="Vino54518"/>
    <n v="518"/>
    <n v="3"/>
    <n v="3"/>
    <n v="2022"/>
    <d v="2022-03-03T00:00:00"/>
    <s v="March"/>
    <d v="2023-03-10T00:00:00"/>
    <x v="1"/>
    <n v="9"/>
    <n v="37538.18"/>
    <s v="Vinod Solanki"/>
    <n v="54"/>
    <s v="Senior Citezen"/>
    <s v="Good"/>
    <x v="1"/>
    <s v="Cash"/>
    <n v="5"/>
    <s v="Vivo V20"/>
    <n v="337843.62"/>
    <s v="Good"/>
    <s v="Excellent"/>
  </r>
  <r>
    <s v="Sach34519"/>
    <n v="519"/>
    <n v="3"/>
    <n v="3"/>
    <n v="2022"/>
    <d v="2022-03-03T00:00:00"/>
    <s v="March"/>
    <d v="2023-03-11T00:00:00"/>
    <x v="0"/>
    <n v="6"/>
    <n v="24305.63"/>
    <s v="Sachin Sheth"/>
    <n v="34"/>
    <s v="Adult"/>
    <s v="AVG"/>
    <x v="1"/>
    <s v="Cash"/>
    <n v="3"/>
    <s v="Redmi Note 10"/>
    <n v="145833.78"/>
    <s v="Average"/>
    <s v="Good"/>
  </r>
  <r>
    <s v="Pras55520"/>
    <n v="520"/>
    <n v="4"/>
    <n v="3"/>
    <n v="2022"/>
    <d v="2022-03-04T00:00:00"/>
    <s v="March"/>
    <d v="2023-03-12T00:00:00"/>
    <x v="4"/>
    <n v="5"/>
    <n v="66508.990000000005"/>
    <s v="Prashant Srivastava"/>
    <n v="55"/>
    <s v="Senior Citezen"/>
    <s v="Good"/>
    <x v="0"/>
    <s v="Cash"/>
    <n v="5"/>
    <s v="iPhone 11"/>
    <n v="332544.95"/>
    <s v="Good"/>
    <s v="Excellent"/>
  </r>
  <r>
    <s v="Neet18521"/>
    <n v="521"/>
    <n v="4"/>
    <n v="3"/>
    <n v="2022"/>
    <d v="2022-03-04T00:00:00"/>
    <s v="March"/>
    <d v="2023-03-13T00:00:00"/>
    <x v="3"/>
    <n v="6"/>
    <n v="46224.66"/>
    <s v="Neeta Nair"/>
    <n v="18"/>
    <s v="Teenagers"/>
    <s v="Good"/>
    <x v="5"/>
    <s v="UPI"/>
    <n v="5"/>
    <s v="Galaxy S21"/>
    <n v="277347.96000000002"/>
    <s v="Good"/>
    <s v="Excellent"/>
  </r>
  <r>
    <s v="Lali24522"/>
    <n v="522"/>
    <n v="4"/>
    <n v="3"/>
    <n v="2022"/>
    <d v="2022-03-04T00:00:00"/>
    <s v="March"/>
    <d v="2023-03-14T00:00:00"/>
    <x v="0"/>
    <n v="6"/>
    <n v="16315.91"/>
    <s v="Lalita Kaur"/>
    <n v="24"/>
    <s v="Teenagers"/>
    <s v="Good"/>
    <x v="5"/>
    <s v="Debit Card"/>
    <n v="5"/>
    <s v="Redmi Note 10"/>
    <n v="97895.459999999992"/>
    <s v="Good"/>
    <s v="Average"/>
  </r>
  <r>
    <s v="Isha43523"/>
    <n v="523"/>
    <n v="5"/>
    <n v="3"/>
    <n v="2022"/>
    <d v="2022-03-05T00:00:00"/>
    <s v="March"/>
    <d v="2023-03-15T00:00:00"/>
    <x v="2"/>
    <n v="9"/>
    <n v="44360.97"/>
    <s v="Isha Menon"/>
    <n v="43"/>
    <s v="Adult"/>
    <s v="BAD"/>
    <x v="1"/>
    <s v="Credit Card"/>
    <n v="2"/>
    <s v="OnePlus 8T"/>
    <n v="399248.73"/>
    <s v="Average"/>
    <s v="Excellent"/>
  </r>
  <r>
    <s v="Neet56524"/>
    <n v="524"/>
    <n v="5"/>
    <n v="3"/>
    <n v="2022"/>
    <d v="2022-03-05T00:00:00"/>
    <s v="March"/>
    <d v="2023-03-16T00:00:00"/>
    <x v="2"/>
    <n v="4"/>
    <n v="40034.85"/>
    <s v="Neeta Pillai"/>
    <n v="56"/>
    <s v="Senior Citezen"/>
    <s v="Good"/>
    <x v="11"/>
    <s v="Debit Card"/>
    <n v="4"/>
    <s v="OnePlus 8T"/>
    <n v="160139.4"/>
    <s v="Good"/>
    <s v="Good"/>
  </r>
  <r>
    <s v="Vive36525"/>
    <n v="525"/>
    <n v="5"/>
    <n v="3"/>
    <n v="2022"/>
    <d v="2022-03-05T00:00:00"/>
    <s v="March"/>
    <d v="2023-03-17T00:00:00"/>
    <x v="1"/>
    <n v="2"/>
    <n v="61335.33"/>
    <s v="Vivek Siddiqui"/>
    <n v="36"/>
    <s v="Adult"/>
    <s v="Good"/>
    <x v="16"/>
    <s v="Credit Card"/>
    <n v="5"/>
    <s v="Vivo S1"/>
    <n v="122670.66"/>
    <s v="Good"/>
    <s v="Good"/>
  </r>
  <r>
    <s v="Anan47526"/>
    <n v="526"/>
    <n v="6"/>
    <n v="3"/>
    <n v="2022"/>
    <d v="2022-03-06T00:00:00"/>
    <s v="March"/>
    <d v="2023-03-18T00:00:00"/>
    <x v="1"/>
    <n v="9"/>
    <n v="41841.71"/>
    <s v="Anand Mishra"/>
    <n v="47"/>
    <s v="Senior Citezen"/>
    <s v="Good"/>
    <x v="1"/>
    <s v="Credit Card"/>
    <n v="4"/>
    <s v="Vivo V20"/>
    <n v="376575.39"/>
    <s v="Good"/>
    <s v="Excellent"/>
  </r>
  <r>
    <s v="Nami31527"/>
    <n v="527"/>
    <n v="6"/>
    <n v="3"/>
    <n v="2022"/>
    <d v="2022-03-06T00:00:00"/>
    <s v="March"/>
    <d v="2023-03-19T00:00:00"/>
    <x v="2"/>
    <n v="2"/>
    <n v="25313.95"/>
    <s v="Namita Sheth"/>
    <n v="31"/>
    <s v="Adult"/>
    <s v="Good"/>
    <x v="14"/>
    <s v="Cash"/>
    <n v="4"/>
    <s v="OnePlus 9"/>
    <n v="50627.9"/>
    <s v="Good"/>
    <s v="Average"/>
  </r>
  <r>
    <s v="Roha30528"/>
    <n v="528"/>
    <n v="6"/>
    <n v="3"/>
    <n v="2022"/>
    <d v="2022-03-06T00:00:00"/>
    <s v="March"/>
    <d v="2023-03-20T00:00:00"/>
    <x v="1"/>
    <n v="9"/>
    <n v="50538.64"/>
    <s v="Rohan Menon"/>
    <n v="30"/>
    <s v="Teenagers"/>
    <s v="Good"/>
    <x v="2"/>
    <s v="Cash"/>
    <n v="5"/>
    <s v="Vivo S1"/>
    <n v="454847.76"/>
    <s v="Good"/>
    <s v="Excellent"/>
  </r>
  <r>
    <s v="Vive37529"/>
    <n v="529"/>
    <n v="7"/>
    <n v="3"/>
    <n v="2022"/>
    <d v="2022-03-07T00:00:00"/>
    <s v="March"/>
    <d v="2023-03-21T00:00:00"/>
    <x v="3"/>
    <n v="2"/>
    <n v="42554.53"/>
    <s v="Vivek Patel"/>
    <n v="37"/>
    <s v="Adult"/>
    <s v="BAD"/>
    <x v="2"/>
    <s v="Credit Card"/>
    <n v="2"/>
    <s v="Galaxy S21"/>
    <n v="85109.06"/>
    <s v="Average"/>
    <s v="Average"/>
  </r>
  <r>
    <s v="Bhav43530"/>
    <n v="530"/>
    <n v="7"/>
    <n v="3"/>
    <n v="2022"/>
    <d v="2022-03-07T00:00:00"/>
    <s v="March"/>
    <d v="2023-03-22T00:00:00"/>
    <x v="1"/>
    <n v="8"/>
    <n v="23982.68"/>
    <s v="Bhavana Varma"/>
    <n v="43"/>
    <s v="Adult"/>
    <s v="Good"/>
    <x v="10"/>
    <s v="UPI"/>
    <n v="5"/>
    <s v="Vivo S1"/>
    <n v="191861.44"/>
    <s v="Good"/>
    <s v="Good"/>
  </r>
  <r>
    <s v="Vino44531"/>
    <n v="531"/>
    <n v="7"/>
    <n v="3"/>
    <n v="2022"/>
    <d v="2022-03-07T00:00:00"/>
    <s v="March"/>
    <d v="2023-03-23T00:00:00"/>
    <x v="4"/>
    <n v="9"/>
    <n v="44417.67"/>
    <s v="Vinod Dutta"/>
    <n v="44"/>
    <s v="Adult"/>
    <s v="Good"/>
    <x v="1"/>
    <s v="UPI"/>
    <n v="5"/>
    <s v="iPhone 11"/>
    <n v="399759.02999999997"/>
    <s v="Good"/>
    <s v="Excellent"/>
  </r>
  <r>
    <s v="Roha42532"/>
    <n v="532"/>
    <n v="7"/>
    <n v="3"/>
    <n v="2022"/>
    <d v="2022-03-07T00:00:00"/>
    <s v="March"/>
    <d v="2023-03-24T00:00:00"/>
    <x v="1"/>
    <n v="9"/>
    <n v="59292.13"/>
    <s v="Rohan Menon"/>
    <n v="42"/>
    <s v="Adult"/>
    <s v="BAD"/>
    <x v="16"/>
    <s v="UPI"/>
    <n v="2"/>
    <s v="Vivo V20"/>
    <n v="533629.16999999993"/>
    <s v="Average"/>
    <s v="Excellent"/>
  </r>
  <r>
    <s v="Deep26533"/>
    <n v="533"/>
    <n v="8"/>
    <n v="3"/>
    <n v="2022"/>
    <d v="2022-03-08T00:00:00"/>
    <s v="March"/>
    <d v="2023-03-25T00:00:00"/>
    <x v="0"/>
    <n v="9"/>
    <n v="11714.26"/>
    <s v="Deepika Sharma"/>
    <n v="26"/>
    <s v="Teenagers"/>
    <s v="AVG"/>
    <x v="2"/>
    <s v="UPI"/>
    <n v="3"/>
    <s v="Redmi Note 10"/>
    <n v="105428.34"/>
    <s v="Average"/>
    <s v="Good"/>
  </r>
  <r>
    <s v="Raje58534"/>
    <n v="534"/>
    <n v="8"/>
    <n v="3"/>
    <n v="2022"/>
    <d v="2022-03-08T00:00:00"/>
    <s v="March"/>
    <d v="2023-03-26T00:00:00"/>
    <x v="3"/>
    <n v="2"/>
    <n v="47851.06"/>
    <s v="Rajesh Yadav"/>
    <n v="58"/>
    <s v="Senior Citezen"/>
    <s v="BAD"/>
    <x v="12"/>
    <s v="Cash"/>
    <n v="2"/>
    <s v="Galaxy Note 20"/>
    <n v="95702.12"/>
    <s v="Average"/>
    <s v="Average"/>
  </r>
  <r>
    <s v="Arun29535"/>
    <n v="535"/>
    <n v="8"/>
    <n v="3"/>
    <n v="2022"/>
    <d v="2022-03-08T00:00:00"/>
    <s v="March"/>
    <d v="2023-03-27T00:00:00"/>
    <x v="0"/>
    <n v="4"/>
    <n v="30975.11"/>
    <s v="Arun Ghosh"/>
    <n v="29"/>
    <s v="Teenagers"/>
    <s v="Good"/>
    <x v="15"/>
    <s v="Debit Card"/>
    <n v="5"/>
    <s v="Redmi Note 10"/>
    <n v="123900.44"/>
    <s v="Good"/>
    <s v="Good"/>
  </r>
  <r>
    <s v="Anit27536"/>
    <n v="536"/>
    <n v="9"/>
    <n v="3"/>
    <n v="2022"/>
    <d v="2022-03-09T00:00:00"/>
    <s v="March"/>
    <d v="2023-03-28T00:00:00"/>
    <x v="0"/>
    <n v="7"/>
    <n v="27560.29"/>
    <s v="Anita Patel"/>
    <n v="27"/>
    <s v="Teenagers"/>
    <s v="Good"/>
    <x v="1"/>
    <s v="Debit Card"/>
    <n v="5"/>
    <s v="Mi 11"/>
    <n v="192922.03"/>
    <s v="Good"/>
    <s v="Good"/>
  </r>
  <r>
    <s v="Kuna23537"/>
    <n v="537"/>
    <n v="9"/>
    <n v="3"/>
    <n v="2022"/>
    <d v="2022-03-09T00:00:00"/>
    <s v="March"/>
    <d v="2023-03-29T00:00:00"/>
    <x v="4"/>
    <n v="2"/>
    <n v="33555.269999999997"/>
    <s v="Kunal Patel"/>
    <n v="23"/>
    <s v="Teenagers"/>
    <s v="Good"/>
    <x v="10"/>
    <s v="Credit Card"/>
    <n v="4"/>
    <s v="iPhone 11"/>
    <n v="67110.539999999994"/>
    <s v="Good"/>
    <s v="Average"/>
  </r>
  <r>
    <s v="Ravi51538"/>
    <n v="538"/>
    <n v="9"/>
    <n v="3"/>
    <n v="2022"/>
    <d v="2022-03-09T00:00:00"/>
    <s v="March"/>
    <d v="2023-03-30T00:00:00"/>
    <x v="3"/>
    <n v="1"/>
    <n v="30521.360000000001"/>
    <s v="Ravi Kulkarni"/>
    <n v="51"/>
    <s v="Senior Citezen"/>
    <s v="AVG"/>
    <x v="13"/>
    <s v="UPI"/>
    <n v="3"/>
    <s v="Galaxy A51"/>
    <n v="30521.360000000001"/>
    <s v="Average"/>
    <s v="Low"/>
  </r>
  <r>
    <s v="Neet58539"/>
    <n v="539"/>
    <n v="10"/>
    <n v="3"/>
    <n v="2022"/>
    <d v="2022-03-10T00:00:00"/>
    <s v="March"/>
    <d v="2023-03-31T00:00:00"/>
    <x v="3"/>
    <n v="3"/>
    <n v="59934.35"/>
    <s v="Neeta Mishra"/>
    <n v="58"/>
    <s v="Senior Citezen"/>
    <s v="BAD"/>
    <x v="14"/>
    <s v="Cash"/>
    <n v="2"/>
    <s v="Galaxy Note 20"/>
    <n v="179803.05"/>
    <s v="Average"/>
    <s v="Good"/>
  </r>
  <r>
    <s v="Kira36540"/>
    <n v="540"/>
    <n v="10"/>
    <n v="3"/>
    <n v="2022"/>
    <d v="2022-03-10T00:00:00"/>
    <s v="March"/>
    <d v="2023-04-01T00:00:00"/>
    <x v="3"/>
    <n v="4"/>
    <n v="26487.87"/>
    <s v="Kiran Solanki"/>
    <n v="36"/>
    <s v="Adult"/>
    <s v="AVG"/>
    <x v="9"/>
    <s v="Cash"/>
    <n v="3"/>
    <s v="Galaxy A51"/>
    <n v="105951.48"/>
    <s v="Average"/>
    <s v="Good"/>
  </r>
  <r>
    <s v="Radh23541"/>
    <n v="541"/>
    <n v="10"/>
    <n v="3"/>
    <n v="2022"/>
    <d v="2022-03-10T00:00:00"/>
    <s v="March"/>
    <d v="2023-04-02T00:00:00"/>
    <x v="3"/>
    <n v="8"/>
    <n v="53989.18"/>
    <s v="Radha Sharma"/>
    <n v="23"/>
    <s v="Teenagers"/>
    <s v="Good"/>
    <x v="1"/>
    <s v="Cash"/>
    <n v="4"/>
    <s v="Galaxy Note 20"/>
    <n v="431913.44"/>
    <s v="Good"/>
    <s v="Excellent"/>
  </r>
  <r>
    <s v="Nikh19542"/>
    <n v="542"/>
    <n v="11"/>
    <n v="3"/>
    <n v="2022"/>
    <d v="2022-03-11T00:00:00"/>
    <s v="March"/>
    <d v="2023-04-03T00:00:00"/>
    <x v="3"/>
    <n v="6"/>
    <n v="15643.59"/>
    <s v="Nikhil Chaudhary"/>
    <n v="19"/>
    <s v="Teenagers"/>
    <s v="AVG"/>
    <x v="4"/>
    <s v="Credit Card"/>
    <n v="3"/>
    <s v="Galaxy A51"/>
    <n v="93861.540000000008"/>
    <s v="Average"/>
    <s v="Average"/>
  </r>
  <r>
    <s v="Hari32543"/>
    <n v="543"/>
    <n v="11"/>
    <n v="3"/>
    <n v="2022"/>
    <d v="2022-03-11T00:00:00"/>
    <s v="March"/>
    <d v="2023-04-04T00:00:00"/>
    <x v="4"/>
    <n v="2"/>
    <n v="67083.78"/>
    <s v="Harish Mishra"/>
    <n v="32"/>
    <s v="Adult"/>
    <s v="AVG"/>
    <x v="6"/>
    <s v="Cash"/>
    <n v="3"/>
    <s v="iPhone SE"/>
    <n v="134167.56"/>
    <s v="Average"/>
    <s v="Good"/>
  </r>
  <r>
    <s v="Sanj34544"/>
    <n v="544"/>
    <n v="11"/>
    <n v="3"/>
    <n v="2022"/>
    <d v="2022-03-11T00:00:00"/>
    <s v="March"/>
    <d v="2023-04-05T00:00:00"/>
    <x v="1"/>
    <n v="9"/>
    <n v="47339"/>
    <s v="Sanjay Menon"/>
    <n v="34"/>
    <s v="Adult"/>
    <s v="BAD"/>
    <x v="10"/>
    <s v="Credit Card"/>
    <n v="2"/>
    <s v="Vivo S1"/>
    <n v="426051"/>
    <s v="Average"/>
    <s v="Excellent"/>
  </r>
  <r>
    <s v="Suni33545"/>
    <n v="545"/>
    <n v="12"/>
    <n v="3"/>
    <n v="2022"/>
    <d v="2022-03-12T00:00:00"/>
    <s v="March"/>
    <d v="2023-04-06T00:00:00"/>
    <x v="0"/>
    <n v="2"/>
    <n v="52403.11"/>
    <s v="Sunil Rao"/>
    <n v="33"/>
    <s v="Adult"/>
    <s v="AVG"/>
    <x v="10"/>
    <s v="Credit Card"/>
    <n v="3"/>
    <s v="Redmi 9"/>
    <n v="104806.22"/>
    <s v="Average"/>
    <s v="Good"/>
  </r>
  <r>
    <s v="Kira45546"/>
    <n v="546"/>
    <n v="12"/>
    <n v="3"/>
    <n v="2022"/>
    <d v="2022-03-12T00:00:00"/>
    <s v="March"/>
    <d v="2023-04-07T00:00:00"/>
    <x v="3"/>
    <n v="5"/>
    <n v="27882.36"/>
    <s v="Kiran Solanki"/>
    <n v="45"/>
    <s v="Adult"/>
    <s v="Good"/>
    <x v="1"/>
    <s v="Credit Card"/>
    <n v="4"/>
    <s v="Galaxy S21"/>
    <n v="139411.79999999999"/>
    <s v="Good"/>
    <s v="Good"/>
  </r>
  <r>
    <s v="Deep38547"/>
    <n v="547"/>
    <n v="12"/>
    <n v="3"/>
    <n v="2022"/>
    <d v="2022-03-12T00:00:00"/>
    <s v="March"/>
    <d v="2023-04-08T00:00:00"/>
    <x v="1"/>
    <n v="4"/>
    <n v="34725.79"/>
    <s v="Deepika Das"/>
    <n v="38"/>
    <s v="Adult"/>
    <s v="Good"/>
    <x v="17"/>
    <s v="Credit Card"/>
    <n v="5"/>
    <s v="Vivo Y51"/>
    <n v="138903.16"/>
    <s v="Good"/>
    <s v="Good"/>
  </r>
  <r>
    <s v="Kira25548"/>
    <n v="548"/>
    <n v="13"/>
    <n v="3"/>
    <n v="2022"/>
    <d v="2022-03-13T00:00:00"/>
    <s v="March"/>
    <d v="2023-04-09T00:00:00"/>
    <x v="1"/>
    <n v="7"/>
    <n v="23426.7"/>
    <s v="Kiran Singh"/>
    <n v="25"/>
    <s v="Teenagers"/>
    <s v="Good"/>
    <x v="2"/>
    <s v="Cash"/>
    <n v="5"/>
    <s v="Vivo Y51"/>
    <n v="163986.9"/>
    <s v="Good"/>
    <s v="Good"/>
  </r>
  <r>
    <s v="Rame27549"/>
    <n v="549"/>
    <n v="13"/>
    <n v="3"/>
    <n v="2022"/>
    <d v="2022-03-13T00:00:00"/>
    <s v="March"/>
    <d v="2023-04-10T00:00:00"/>
    <x v="0"/>
    <n v="8"/>
    <n v="65952.17"/>
    <s v="Ramesh Kumar"/>
    <n v="27"/>
    <s v="Teenagers"/>
    <s v="Good"/>
    <x v="5"/>
    <s v="Cash"/>
    <n v="5"/>
    <s v="Mi 11"/>
    <n v="527617.36"/>
    <s v="Good"/>
    <s v="Excellent"/>
  </r>
  <r>
    <s v="Bhav27550"/>
    <n v="550"/>
    <n v="13"/>
    <n v="3"/>
    <n v="2022"/>
    <d v="2022-03-13T00:00:00"/>
    <s v="March"/>
    <d v="2023-04-11T00:00:00"/>
    <x v="4"/>
    <n v="5"/>
    <n v="39286.269999999997"/>
    <s v="Bhavana Mehta"/>
    <n v="27"/>
    <s v="Teenagers"/>
    <s v="Good"/>
    <x v="11"/>
    <s v="Debit Card"/>
    <n v="5"/>
    <s v="iPhone 11"/>
    <n v="196431.34999999998"/>
    <s v="Good"/>
    <s v="Good"/>
  </r>
  <r>
    <s v="Roha27551"/>
    <n v="551"/>
    <n v="13"/>
    <n v="3"/>
    <n v="2022"/>
    <d v="2022-03-13T00:00:00"/>
    <s v="March"/>
    <d v="2023-04-12T00:00:00"/>
    <x v="2"/>
    <n v="5"/>
    <n v="47826.89"/>
    <s v="Rohan Pathak"/>
    <n v="27"/>
    <s v="Teenagers"/>
    <s v="BAD"/>
    <x v="17"/>
    <s v="Cash"/>
    <n v="2"/>
    <s v="OnePlus Nord"/>
    <n v="239134.45"/>
    <s v="Average"/>
    <s v="Excellent"/>
  </r>
  <r>
    <s v="Yoge26552"/>
    <n v="552"/>
    <n v="14"/>
    <n v="3"/>
    <n v="2022"/>
    <d v="2022-03-14T00:00:00"/>
    <s v="March"/>
    <d v="2023-04-13T00:00:00"/>
    <x v="2"/>
    <n v="2"/>
    <n v="54056.32"/>
    <s v="Yogesh Patel"/>
    <n v="26"/>
    <s v="Teenagers"/>
    <s v="Good"/>
    <x v="16"/>
    <s v="UPI"/>
    <n v="5"/>
    <s v="OnePlus 9"/>
    <n v="108112.64"/>
    <s v="Good"/>
    <s v="Good"/>
  </r>
  <r>
    <s v="Bhav45553"/>
    <n v="553"/>
    <n v="14"/>
    <n v="3"/>
    <n v="2022"/>
    <d v="2022-03-14T00:00:00"/>
    <s v="March"/>
    <d v="2023-04-14T00:00:00"/>
    <x v="1"/>
    <n v="8"/>
    <n v="32266.37"/>
    <s v="Bhavana Bhatnagar"/>
    <n v="45"/>
    <s v="Adult"/>
    <s v="Good"/>
    <x v="6"/>
    <s v="UPI"/>
    <n v="5"/>
    <s v="Vivo Y51"/>
    <n v="258130.96"/>
    <s v="Good"/>
    <s v="Excellent"/>
  </r>
  <r>
    <s v="Meen41554"/>
    <n v="554"/>
    <n v="14"/>
    <n v="3"/>
    <n v="2022"/>
    <d v="2022-03-14T00:00:00"/>
    <s v="March"/>
    <d v="2023-04-15T00:00:00"/>
    <x v="0"/>
    <n v="2"/>
    <n v="53206.1"/>
    <s v="Meena Verma"/>
    <n v="41"/>
    <s v="Adult"/>
    <s v="Good"/>
    <x v="12"/>
    <s v="Credit Card"/>
    <n v="5"/>
    <s v="Mi 11"/>
    <n v="106412.2"/>
    <s v="Good"/>
    <s v="Good"/>
  </r>
  <r>
    <s v="Priy36555"/>
    <n v="555"/>
    <n v="15"/>
    <n v="3"/>
    <n v="2022"/>
    <d v="2022-03-15T00:00:00"/>
    <s v="March"/>
    <d v="2023-04-16T00:00:00"/>
    <x v="2"/>
    <n v="6"/>
    <n v="50559.55"/>
    <s v="Priyanka Chatterjee"/>
    <n v="36"/>
    <s v="Adult"/>
    <s v="Good"/>
    <x v="2"/>
    <s v="Credit Card"/>
    <n v="5"/>
    <s v="OnePlus 8T"/>
    <n v="303357.30000000005"/>
    <s v="Good"/>
    <s v="Excellent"/>
  </r>
  <r>
    <s v="Shru50556"/>
    <n v="556"/>
    <n v="15"/>
    <n v="3"/>
    <n v="2022"/>
    <d v="2022-03-15T00:00:00"/>
    <s v="March"/>
    <d v="2023-04-17T00:00:00"/>
    <x v="1"/>
    <n v="8"/>
    <n v="52339.56"/>
    <s v="Shruti Thakur"/>
    <n v="50"/>
    <s v="Senior Citezen"/>
    <s v="BAD"/>
    <x v="2"/>
    <s v="Credit Card"/>
    <n v="2"/>
    <s v="Vivo S1"/>
    <n v="418716.48"/>
    <s v="Average"/>
    <s v="Excellent"/>
  </r>
  <r>
    <s v="Vija21557"/>
    <n v="557"/>
    <n v="15"/>
    <n v="3"/>
    <n v="2022"/>
    <d v="2022-03-15T00:00:00"/>
    <s v="March"/>
    <d v="2023-04-18T00:00:00"/>
    <x v="4"/>
    <n v="6"/>
    <n v="39353.79"/>
    <s v="Vijay Malhotra"/>
    <n v="21"/>
    <s v="Teenagers"/>
    <s v="Good"/>
    <x v="15"/>
    <s v="Debit Card"/>
    <n v="5"/>
    <s v="iPhone 11"/>
    <n v="236122.74"/>
    <s v="Good"/>
    <s v="Excellent"/>
  </r>
  <r>
    <s v="Jyot20558"/>
    <n v="558"/>
    <n v="15"/>
    <n v="3"/>
    <n v="2022"/>
    <d v="2022-03-15T00:00:00"/>
    <s v="March"/>
    <d v="2023-04-19T00:00:00"/>
    <x v="2"/>
    <n v="4"/>
    <n v="32976.239999999998"/>
    <s v="Jyoti Alva"/>
    <n v="20"/>
    <s v="Teenagers"/>
    <s v="BAD"/>
    <x v="2"/>
    <s v="Credit Card"/>
    <n v="2"/>
    <s v="OnePlus 8T"/>
    <n v="131904.95999999999"/>
    <s v="Average"/>
    <s v="Good"/>
  </r>
  <r>
    <s v="Moni59559"/>
    <n v="559"/>
    <n v="16"/>
    <n v="3"/>
    <n v="2022"/>
    <d v="2022-03-16T00:00:00"/>
    <s v="March"/>
    <d v="2023-04-20T00:00:00"/>
    <x v="1"/>
    <n v="4"/>
    <n v="23324.93"/>
    <s v="Monika Chatterjee"/>
    <n v="59"/>
    <s v="Senior Citezen"/>
    <s v="BAD"/>
    <x v="9"/>
    <s v="Debit Card"/>
    <n v="2"/>
    <s v="Vivo V20"/>
    <n v="93299.72"/>
    <s v="Average"/>
    <s v="Average"/>
  </r>
  <r>
    <s v="Ayes29560"/>
    <n v="560"/>
    <n v="16"/>
    <n v="3"/>
    <n v="2022"/>
    <d v="2022-03-16T00:00:00"/>
    <s v="March"/>
    <d v="2023-04-21T00:00:00"/>
    <x v="1"/>
    <n v="6"/>
    <n v="59477.58"/>
    <s v="Ayesha Sheth"/>
    <n v="29"/>
    <s v="Teenagers"/>
    <s v="Good"/>
    <x v="12"/>
    <s v="Credit Card"/>
    <n v="4"/>
    <s v="Vivo S1"/>
    <n v="356865.48"/>
    <s v="Good"/>
    <s v="Excellent"/>
  </r>
  <r>
    <s v="Vive35561"/>
    <n v="561"/>
    <n v="16"/>
    <n v="3"/>
    <n v="2022"/>
    <d v="2022-03-16T00:00:00"/>
    <s v="March"/>
    <d v="2023-04-22T00:00:00"/>
    <x v="3"/>
    <n v="4"/>
    <n v="46501"/>
    <s v="Vivek Rawat"/>
    <n v="35"/>
    <s v="Adult"/>
    <s v="Good"/>
    <x v="10"/>
    <s v="UPI"/>
    <n v="5"/>
    <s v="Galaxy S21"/>
    <n v="186004"/>
    <s v="Good"/>
    <s v="Good"/>
  </r>
  <r>
    <s v="Sneh40562"/>
    <n v="562"/>
    <n v="17"/>
    <n v="3"/>
    <n v="2022"/>
    <d v="2022-03-17T00:00:00"/>
    <s v="March"/>
    <d v="2023-04-23T00:00:00"/>
    <x v="4"/>
    <n v="8"/>
    <n v="36661.129999999997"/>
    <s v="Sneha Mishra"/>
    <n v="40"/>
    <s v="Adult"/>
    <s v="Good"/>
    <x v="11"/>
    <s v="Credit Card"/>
    <n v="5"/>
    <s v="iPhone 11"/>
    <n v="293289.03999999998"/>
    <s v="Good"/>
    <s v="Excellent"/>
  </r>
  <r>
    <s v="Bhav37563"/>
    <n v="563"/>
    <n v="17"/>
    <n v="3"/>
    <n v="2022"/>
    <d v="2022-03-17T00:00:00"/>
    <s v="March"/>
    <d v="2023-04-24T00:00:00"/>
    <x v="3"/>
    <n v="9"/>
    <n v="66639.75"/>
    <s v="Bhavana Bhatnagar"/>
    <n v="37"/>
    <s v="Adult"/>
    <s v="AVG"/>
    <x v="9"/>
    <s v="Cash"/>
    <n v="3"/>
    <s v="Galaxy A51"/>
    <n v="599757.75"/>
    <s v="Average"/>
    <s v="Excellent"/>
  </r>
  <r>
    <s v="Pank23564"/>
    <n v="564"/>
    <n v="17"/>
    <n v="3"/>
    <n v="2022"/>
    <d v="2022-03-17T00:00:00"/>
    <s v="March"/>
    <d v="2023-04-25T00:00:00"/>
    <x v="0"/>
    <n v="1"/>
    <n v="12870.33"/>
    <s v="Pankaj Patel"/>
    <n v="23"/>
    <s v="Teenagers"/>
    <s v="Good"/>
    <x v="6"/>
    <s v="Credit Card"/>
    <n v="5"/>
    <s v="Mi 11"/>
    <n v="12870.33"/>
    <s v="Good"/>
    <s v="Low"/>
  </r>
  <r>
    <s v="Shru51565"/>
    <n v="565"/>
    <n v="17"/>
    <n v="3"/>
    <n v="2022"/>
    <d v="2022-03-17T00:00:00"/>
    <s v="March"/>
    <d v="2023-04-26T00:00:00"/>
    <x v="3"/>
    <n v="4"/>
    <n v="61010.32"/>
    <s v="Shruti Dutta"/>
    <n v="51"/>
    <s v="Senior Citezen"/>
    <s v="Good"/>
    <x v="1"/>
    <s v="Cash"/>
    <n v="4"/>
    <s v="Galaxy Note 20"/>
    <n v="244041.28"/>
    <s v="Good"/>
    <s v="Excellent"/>
  </r>
  <r>
    <s v="Mala59566"/>
    <n v="566"/>
    <n v="18"/>
    <n v="3"/>
    <n v="2022"/>
    <d v="2022-03-18T00:00:00"/>
    <s v="March"/>
    <d v="2023-04-27T00:00:00"/>
    <x v="3"/>
    <n v="4"/>
    <n v="69854.960000000006"/>
    <s v="Mala Siddiqui"/>
    <n v="59"/>
    <s v="Senior Citezen"/>
    <s v="Good"/>
    <x v="14"/>
    <s v="Cash"/>
    <n v="5"/>
    <s v="Galaxy A51"/>
    <n v="279419.84000000003"/>
    <s v="Good"/>
    <s v="Excellent"/>
  </r>
  <r>
    <s v="Nikh19567"/>
    <n v="567"/>
    <n v="18"/>
    <n v="3"/>
    <n v="2022"/>
    <d v="2022-03-18T00:00:00"/>
    <s v="March"/>
    <d v="2023-04-28T00:00:00"/>
    <x v="2"/>
    <n v="2"/>
    <n v="63216.53"/>
    <s v="Nikhil Reddy"/>
    <n v="19"/>
    <s v="Teenagers"/>
    <s v="AVG"/>
    <x v="3"/>
    <s v="Cash"/>
    <n v="3"/>
    <s v="OnePlus 9"/>
    <n v="126433.06"/>
    <s v="Average"/>
    <s v="Good"/>
  </r>
  <r>
    <s v="Mala47568"/>
    <n v="568"/>
    <n v="18"/>
    <n v="3"/>
    <n v="2022"/>
    <d v="2022-03-18T00:00:00"/>
    <s v="March"/>
    <d v="2023-04-29T00:00:00"/>
    <x v="1"/>
    <n v="6"/>
    <n v="58626.2"/>
    <s v="Mala Siddiqui"/>
    <n v="47"/>
    <s v="Senior Citezen"/>
    <s v="Good"/>
    <x v="16"/>
    <s v="Cash"/>
    <n v="4"/>
    <s v="Vivo S1"/>
    <n v="351757.19999999995"/>
    <s v="Good"/>
    <s v="Excellent"/>
  </r>
  <r>
    <s v="Kira26569"/>
    <n v="569"/>
    <n v="19"/>
    <n v="3"/>
    <n v="2022"/>
    <d v="2022-03-19T00:00:00"/>
    <s v="March"/>
    <d v="2023-04-30T00:00:00"/>
    <x v="4"/>
    <n v="3"/>
    <n v="32458.36"/>
    <s v="Kiran Malhotra"/>
    <n v="26"/>
    <s v="Teenagers"/>
    <s v="BAD"/>
    <x v="1"/>
    <s v="Debit Card"/>
    <n v="2"/>
    <s v="iPhone SE"/>
    <n v="97375.08"/>
    <s v="Average"/>
    <s v="Average"/>
  </r>
  <r>
    <s v="Pank44570"/>
    <n v="570"/>
    <n v="19"/>
    <n v="3"/>
    <n v="2022"/>
    <d v="2022-03-19T00:00:00"/>
    <s v="March"/>
    <d v="2023-05-01T00:00:00"/>
    <x v="3"/>
    <n v="7"/>
    <n v="23878.85"/>
    <s v="Pankaj Kapoor"/>
    <n v="44"/>
    <s v="Adult"/>
    <s v="Good"/>
    <x v="1"/>
    <s v="Debit Card"/>
    <n v="5"/>
    <s v="Galaxy S21"/>
    <n v="167151.94999999998"/>
    <s v="Good"/>
    <s v="Good"/>
  </r>
  <r>
    <s v="Vive59571"/>
    <n v="571"/>
    <n v="19"/>
    <n v="3"/>
    <n v="2022"/>
    <d v="2022-03-19T00:00:00"/>
    <s v="March"/>
    <d v="2023-05-02T00:00:00"/>
    <x v="4"/>
    <n v="5"/>
    <n v="54091.03"/>
    <s v="Vivek Ghosh"/>
    <n v="59"/>
    <s v="Senior Citezen"/>
    <s v="Good"/>
    <x v="1"/>
    <s v="Credit Card"/>
    <n v="5"/>
    <s v="iPhone SE"/>
    <n v="270455.15000000002"/>
    <s v="Good"/>
    <s v="Excellent"/>
  </r>
  <r>
    <s v="Gita51572"/>
    <n v="572"/>
    <n v="20"/>
    <n v="3"/>
    <n v="2022"/>
    <d v="2022-03-20T00:00:00"/>
    <s v="March"/>
    <d v="2023-05-03T00:00:00"/>
    <x v="3"/>
    <n v="4"/>
    <n v="28274.52"/>
    <s v="Gita Teja"/>
    <n v="51"/>
    <s v="Senior Citezen"/>
    <s v="Good"/>
    <x v="2"/>
    <s v="Credit Card"/>
    <n v="4"/>
    <s v="Galaxy S21"/>
    <n v="113098.08"/>
    <s v="Good"/>
    <s v="Good"/>
  </r>
  <r>
    <s v="Mala57573"/>
    <n v="573"/>
    <n v="20"/>
    <n v="3"/>
    <n v="2022"/>
    <d v="2022-03-20T00:00:00"/>
    <s v="March"/>
    <d v="2023-05-04T00:00:00"/>
    <x v="0"/>
    <n v="5"/>
    <n v="20562.38"/>
    <s v="Mala Goyal"/>
    <n v="57"/>
    <s v="Senior Citezen"/>
    <s v="AVG"/>
    <x v="14"/>
    <s v="Debit Card"/>
    <n v="3"/>
    <s v="Redmi Note 10"/>
    <n v="102811.90000000001"/>
    <s v="Average"/>
    <s v="Good"/>
  </r>
  <r>
    <s v="Priy41574"/>
    <n v="574"/>
    <n v="20"/>
    <n v="3"/>
    <n v="2022"/>
    <d v="2022-03-20T00:00:00"/>
    <s v="March"/>
    <d v="2023-05-05T00:00:00"/>
    <x v="3"/>
    <n v="8"/>
    <n v="57191.55"/>
    <s v="Priya Mehta"/>
    <n v="41"/>
    <s v="Adult"/>
    <s v="Good"/>
    <x v="17"/>
    <s v="Credit Card"/>
    <n v="5"/>
    <s v="Galaxy A51"/>
    <n v="457532.4"/>
    <s v="Good"/>
    <s v="Excellent"/>
  </r>
  <r>
    <s v="Kavi34575"/>
    <n v="575"/>
    <n v="20"/>
    <n v="3"/>
    <n v="2022"/>
    <d v="2022-03-20T00:00:00"/>
    <s v="March"/>
    <d v="2023-05-06T00:00:00"/>
    <x v="2"/>
    <n v="3"/>
    <n v="28752.62"/>
    <s v="Kavita Dutta"/>
    <n v="34"/>
    <s v="Adult"/>
    <s v="BAD"/>
    <x v="1"/>
    <s v="Credit Card"/>
    <n v="2"/>
    <s v="OnePlus Nord"/>
    <n v="86257.86"/>
    <s v="Average"/>
    <s v="Average"/>
  </r>
  <r>
    <s v="Roha46576"/>
    <n v="576"/>
    <n v="21"/>
    <n v="3"/>
    <n v="2022"/>
    <d v="2022-03-21T00:00:00"/>
    <s v="March"/>
    <d v="2023-05-07T00:00:00"/>
    <x v="1"/>
    <n v="7"/>
    <n v="64866.5"/>
    <s v="Rohan Singh"/>
    <n v="46"/>
    <s v="Senior Citezen"/>
    <s v="Good"/>
    <x v="4"/>
    <s v="Debit Card"/>
    <n v="5"/>
    <s v="Vivo V20"/>
    <n v="454065.5"/>
    <s v="Good"/>
    <s v="Excellent"/>
  </r>
  <r>
    <s v="Sneh53577"/>
    <n v="577"/>
    <n v="21"/>
    <n v="3"/>
    <n v="2022"/>
    <d v="2022-03-21T00:00:00"/>
    <s v="March"/>
    <d v="2023-05-08T00:00:00"/>
    <x v="0"/>
    <n v="6"/>
    <n v="60437.96"/>
    <s v="Sneha Yadav"/>
    <n v="53"/>
    <s v="Senior Citezen"/>
    <s v="AVG"/>
    <x v="2"/>
    <s v="Debit Card"/>
    <n v="3"/>
    <s v="Redmi Note 10"/>
    <n v="362627.76"/>
    <s v="Average"/>
    <s v="Excellent"/>
  </r>
  <r>
    <s v="Yoge29578"/>
    <n v="578"/>
    <n v="21"/>
    <n v="3"/>
    <n v="2022"/>
    <d v="2022-03-21T00:00:00"/>
    <s v="March"/>
    <d v="2023-05-09T00:00:00"/>
    <x v="3"/>
    <n v="1"/>
    <n v="60858.42"/>
    <s v="Yogesh Reddy"/>
    <n v="29"/>
    <s v="Teenagers"/>
    <s v="BAD"/>
    <x v="14"/>
    <s v="Credit Card"/>
    <n v="2"/>
    <s v="Galaxy S21"/>
    <n v="60858.42"/>
    <s v="Average"/>
    <s v="Average"/>
  </r>
  <r>
    <s v="Sneh48579"/>
    <n v="579"/>
    <n v="21"/>
    <n v="3"/>
    <n v="2022"/>
    <d v="2022-03-21T00:00:00"/>
    <s v="March"/>
    <d v="2023-05-10T00:00:00"/>
    <x v="4"/>
    <n v="7"/>
    <n v="56294.18"/>
    <s v="Sneha Mehta"/>
    <n v="48"/>
    <s v="Senior Citezen"/>
    <s v="AVG"/>
    <x v="4"/>
    <s v="Debit Card"/>
    <n v="3"/>
    <s v="iPhone 12"/>
    <n v="394059.26"/>
    <s v="Average"/>
    <s v="Excellent"/>
  </r>
  <r>
    <s v="Kavi26580"/>
    <n v="580"/>
    <n v="22"/>
    <n v="3"/>
    <n v="2022"/>
    <d v="2022-03-22T00:00:00"/>
    <s v="March"/>
    <d v="2023-05-11T00:00:00"/>
    <x v="0"/>
    <n v="7"/>
    <n v="62852.89"/>
    <s v="Kavita Siddiqui"/>
    <n v="26"/>
    <s v="Teenagers"/>
    <s v="Good"/>
    <x v="14"/>
    <s v="UPI"/>
    <n v="5"/>
    <s v="Redmi Note 10"/>
    <n v="439970.23"/>
    <s v="Good"/>
    <s v="Excellent"/>
  </r>
  <r>
    <s v="Raje36581"/>
    <n v="581"/>
    <n v="22"/>
    <n v="3"/>
    <n v="2022"/>
    <d v="2022-03-22T00:00:00"/>
    <s v="March"/>
    <d v="2023-05-12T00:00:00"/>
    <x v="0"/>
    <n v="1"/>
    <n v="58344.81"/>
    <s v="Rajesh Siddiqui"/>
    <n v="36"/>
    <s v="Adult"/>
    <s v="AVG"/>
    <x v="1"/>
    <s v="Cash"/>
    <n v="3"/>
    <s v="Redmi 9"/>
    <n v="58344.81"/>
    <s v="Average"/>
    <s v="Average"/>
  </r>
  <r>
    <s v="Nikh34582"/>
    <n v="582"/>
    <n v="22"/>
    <n v="3"/>
    <n v="2022"/>
    <d v="2022-03-22T00:00:00"/>
    <s v="March"/>
    <d v="2023-05-13T00:00:00"/>
    <x v="3"/>
    <n v="9"/>
    <n v="46150.68"/>
    <s v="Nikhil Solanki"/>
    <n v="34"/>
    <s v="Adult"/>
    <s v="Good"/>
    <x v="0"/>
    <s v="Cash"/>
    <n v="5"/>
    <s v="Galaxy Note 20"/>
    <n v="415356.12"/>
    <s v="Good"/>
    <s v="Excellent"/>
  </r>
  <r>
    <s v="Jyot19583"/>
    <n v="583"/>
    <n v="22"/>
    <n v="3"/>
    <n v="2022"/>
    <d v="2022-03-22T00:00:00"/>
    <s v="March"/>
    <d v="2023-05-14T00:00:00"/>
    <x v="0"/>
    <n v="6"/>
    <n v="27749.360000000001"/>
    <s v="Jyoti Mehta"/>
    <n v="19"/>
    <s v="Teenagers"/>
    <s v="Good"/>
    <x v="8"/>
    <s v="UPI"/>
    <n v="5"/>
    <s v="Redmi 9"/>
    <n v="166496.16"/>
    <s v="Good"/>
    <s v="Good"/>
  </r>
  <r>
    <s v="Bhav57584"/>
    <n v="584"/>
    <n v="23"/>
    <n v="3"/>
    <n v="2022"/>
    <d v="2022-03-23T00:00:00"/>
    <s v="March"/>
    <d v="2023-05-15T00:00:00"/>
    <x v="4"/>
    <n v="2"/>
    <n v="63292.55"/>
    <s v="Bhavana Srivastava"/>
    <n v="57"/>
    <s v="Senior Citezen"/>
    <s v="Good"/>
    <x v="2"/>
    <s v="UPI"/>
    <n v="5"/>
    <s v="iPhone 11"/>
    <n v="126585.1"/>
    <s v="Good"/>
    <s v="Good"/>
  </r>
  <r>
    <s v="Lata22585"/>
    <n v="585"/>
    <n v="23"/>
    <n v="3"/>
    <n v="2022"/>
    <d v="2022-03-23T00:00:00"/>
    <s v="March"/>
    <d v="2023-05-16T00:00:00"/>
    <x v="0"/>
    <n v="5"/>
    <n v="60436.22"/>
    <s v="Lata Kaur"/>
    <n v="22"/>
    <s v="Teenagers"/>
    <s v="Good"/>
    <x v="1"/>
    <s v="Credit Card"/>
    <n v="4"/>
    <s v="Redmi Note 10"/>
    <n v="302181.09999999998"/>
    <s v="Good"/>
    <s v="Excellent"/>
  </r>
  <r>
    <s v="Rame56586"/>
    <n v="586"/>
    <n v="23"/>
    <n v="3"/>
    <n v="2022"/>
    <d v="2022-03-23T00:00:00"/>
    <s v="March"/>
    <d v="2023-05-17T00:00:00"/>
    <x v="4"/>
    <n v="4"/>
    <n v="38372.76"/>
    <s v="Ramesh Dutta"/>
    <n v="56"/>
    <s v="Senior Citezen"/>
    <s v="Good"/>
    <x v="1"/>
    <s v="Credit Card"/>
    <n v="5"/>
    <s v="iPhone SE"/>
    <n v="153491.04"/>
    <s v="Good"/>
    <s v="Good"/>
  </r>
  <r>
    <s v="Amit33587"/>
    <n v="587"/>
    <n v="24"/>
    <n v="3"/>
    <n v="2022"/>
    <d v="2022-03-24T00:00:00"/>
    <s v="March"/>
    <d v="2023-05-18T00:00:00"/>
    <x v="3"/>
    <n v="7"/>
    <n v="12344.72"/>
    <s v="Amit Sheth"/>
    <n v="33"/>
    <s v="Adult"/>
    <s v="Good"/>
    <x v="2"/>
    <s v="Cash"/>
    <n v="5"/>
    <s v="Galaxy Note 20"/>
    <n v="86413.04"/>
    <s v="Good"/>
    <s v="Average"/>
  </r>
  <r>
    <s v="Kavi34588"/>
    <n v="588"/>
    <n v="24"/>
    <n v="3"/>
    <n v="2022"/>
    <d v="2022-03-24T00:00:00"/>
    <s v="March"/>
    <d v="2023-05-19T00:00:00"/>
    <x v="1"/>
    <n v="8"/>
    <n v="48312.62"/>
    <s v="Kavita Bhatnagar"/>
    <n v="34"/>
    <s v="Adult"/>
    <s v="Good"/>
    <x v="5"/>
    <s v="Credit Card"/>
    <n v="5"/>
    <s v="Vivo V20"/>
    <n v="386500.96"/>
    <s v="Good"/>
    <s v="Excellent"/>
  </r>
  <r>
    <s v="Bina44589"/>
    <n v="589"/>
    <n v="24"/>
    <n v="3"/>
    <n v="2022"/>
    <d v="2022-03-24T00:00:00"/>
    <s v="March"/>
    <d v="2023-05-20T00:00:00"/>
    <x v="0"/>
    <n v="1"/>
    <n v="13035.81"/>
    <s v="Bina Goyal"/>
    <n v="44"/>
    <s v="Adult"/>
    <s v="AVG"/>
    <x v="3"/>
    <s v="Cash"/>
    <n v="3"/>
    <s v="Redmi 9"/>
    <n v="13035.81"/>
    <s v="Average"/>
    <s v="Low"/>
  </r>
  <r>
    <s v="Mano24590"/>
    <n v="590"/>
    <n v="24"/>
    <n v="3"/>
    <n v="2022"/>
    <d v="2022-03-24T00:00:00"/>
    <s v="March"/>
    <d v="2023-05-21T00:00:00"/>
    <x v="1"/>
    <n v="5"/>
    <n v="65576.800000000003"/>
    <s v="Manoj Mehta"/>
    <n v="24"/>
    <s v="Teenagers"/>
    <s v="AVG"/>
    <x v="4"/>
    <s v="Credit Card"/>
    <n v="3"/>
    <s v="Vivo Y51"/>
    <n v="327884"/>
    <s v="Average"/>
    <s v="Excellent"/>
  </r>
  <r>
    <s v="Neet25591"/>
    <n v="591"/>
    <n v="25"/>
    <n v="3"/>
    <n v="2022"/>
    <d v="2022-03-25T00:00:00"/>
    <s v="March"/>
    <d v="2023-05-22T00:00:00"/>
    <x v="4"/>
    <n v="3"/>
    <n v="67697.88"/>
    <s v="Neeta Arora"/>
    <n v="25"/>
    <s v="Teenagers"/>
    <s v="Good"/>
    <x v="2"/>
    <s v="Credit Card"/>
    <n v="5"/>
    <s v="iPhone SE"/>
    <n v="203093.64"/>
    <s v="Good"/>
    <s v="Excellent"/>
  </r>
  <r>
    <s v="Priy25592"/>
    <n v="592"/>
    <n v="25"/>
    <n v="3"/>
    <n v="2022"/>
    <d v="2022-03-25T00:00:00"/>
    <s v="March"/>
    <d v="2023-05-23T00:00:00"/>
    <x v="0"/>
    <n v="1"/>
    <n v="21369.41"/>
    <s v="Priya Varma"/>
    <n v="25"/>
    <s v="Teenagers"/>
    <s v="AVG"/>
    <x v="2"/>
    <s v="Cash"/>
    <n v="3"/>
    <s v="Mi 11"/>
    <n v="21369.41"/>
    <s v="Average"/>
    <s v="Low"/>
  </r>
  <r>
    <s v="Jyot40593"/>
    <n v="593"/>
    <n v="25"/>
    <n v="3"/>
    <n v="2022"/>
    <d v="2022-03-25T00:00:00"/>
    <s v="March"/>
    <d v="2023-05-24T00:00:00"/>
    <x v="2"/>
    <n v="3"/>
    <n v="50583.360000000001"/>
    <s v="Jyoti Sheth"/>
    <n v="40"/>
    <s v="Adult"/>
    <s v="Good"/>
    <x v="2"/>
    <s v="UPI"/>
    <n v="5"/>
    <s v="OnePlus Nord"/>
    <n v="151750.08000000002"/>
    <s v="Good"/>
    <s v="Good"/>
  </r>
  <r>
    <s v="Shru49594"/>
    <n v="594"/>
    <n v="26"/>
    <n v="3"/>
    <n v="2022"/>
    <d v="2022-03-26T00:00:00"/>
    <s v="March"/>
    <d v="2023-05-25T00:00:00"/>
    <x v="1"/>
    <n v="6"/>
    <n v="15536.14"/>
    <s v="Shruti Iyer"/>
    <n v="49"/>
    <s v="Senior Citezen"/>
    <s v="Good"/>
    <x v="4"/>
    <s v="UPI"/>
    <n v="5"/>
    <s v="Vivo S1"/>
    <n v="93216.84"/>
    <s v="Good"/>
    <s v="Average"/>
  </r>
  <r>
    <s v="Amit35595"/>
    <n v="595"/>
    <n v="26"/>
    <n v="3"/>
    <n v="2022"/>
    <d v="2022-03-26T00:00:00"/>
    <s v="March"/>
    <d v="2023-05-26T00:00:00"/>
    <x v="0"/>
    <n v="7"/>
    <n v="53771.02"/>
    <s v="Amit Rathod"/>
    <n v="35"/>
    <s v="Adult"/>
    <s v="AVG"/>
    <x v="18"/>
    <s v="Credit Card"/>
    <n v="3"/>
    <s v="Mi 11"/>
    <n v="376397.13999999996"/>
    <s v="Average"/>
    <s v="Excellent"/>
  </r>
  <r>
    <s v="Vino55596"/>
    <n v="596"/>
    <n v="26"/>
    <n v="3"/>
    <n v="2022"/>
    <d v="2022-03-26T00:00:00"/>
    <s v="March"/>
    <d v="2023-05-27T00:00:00"/>
    <x v="1"/>
    <n v="8"/>
    <n v="30837.26"/>
    <s v="Vinod Joshi"/>
    <n v="55"/>
    <s v="Senior Citezen"/>
    <s v="AVG"/>
    <x v="7"/>
    <s v="UPI"/>
    <n v="3"/>
    <s v="Vivo S1"/>
    <n v="246698.08"/>
    <s v="Average"/>
    <s v="Excellent"/>
  </r>
  <r>
    <s v="Anja29597"/>
    <n v="597"/>
    <n v="27"/>
    <n v="3"/>
    <n v="2022"/>
    <d v="2022-03-27T00:00:00"/>
    <s v="March"/>
    <d v="2023-05-28T00:00:00"/>
    <x v="0"/>
    <n v="4"/>
    <n v="50863.01"/>
    <s v="Anjali Chatterjee"/>
    <n v="29"/>
    <s v="Teenagers"/>
    <s v="Good"/>
    <x v="2"/>
    <s v="Credit Card"/>
    <n v="5"/>
    <s v="Redmi 9"/>
    <n v="203452.04"/>
    <s v="Good"/>
    <s v="Excellent"/>
  </r>
  <r>
    <s v="Deve32598"/>
    <n v="598"/>
    <n v="27"/>
    <n v="3"/>
    <n v="2022"/>
    <d v="2022-03-27T00:00:00"/>
    <s v="March"/>
    <d v="2023-05-29T00:00:00"/>
    <x v="3"/>
    <n v="3"/>
    <n v="32372.59"/>
    <s v="Devendra Mathur"/>
    <n v="32"/>
    <s v="Adult"/>
    <s v="Good"/>
    <x v="13"/>
    <s v="Debit Card"/>
    <n v="5"/>
    <s v="Galaxy S21"/>
    <n v="97117.77"/>
    <s v="Good"/>
    <s v="Average"/>
  </r>
  <r>
    <s v="Deep45599"/>
    <n v="599"/>
    <n v="27"/>
    <n v="3"/>
    <n v="2022"/>
    <d v="2022-03-27T00:00:00"/>
    <s v="March"/>
    <d v="2023-05-30T00:00:00"/>
    <x v="1"/>
    <n v="5"/>
    <n v="18734.05"/>
    <s v="Deepika Sharma"/>
    <n v="45"/>
    <s v="Adult"/>
    <s v="Good"/>
    <x v="1"/>
    <s v="Debit Card"/>
    <n v="5"/>
    <s v="Vivo Y51"/>
    <n v="93670.25"/>
    <s v="Good"/>
    <s v="Average"/>
  </r>
  <r>
    <s v="Mala55600"/>
    <n v="600"/>
    <n v="27"/>
    <n v="3"/>
    <n v="2022"/>
    <d v="2022-03-27T00:00:00"/>
    <s v="March"/>
    <d v="2023-05-31T00:00:00"/>
    <x v="2"/>
    <n v="9"/>
    <n v="34366.6"/>
    <s v="Mala Roy"/>
    <n v="55"/>
    <s v="Senior Citezen"/>
    <s v="AVG"/>
    <x v="1"/>
    <s v="Debit Card"/>
    <n v="3"/>
    <s v="OnePlus Nord"/>
    <n v="309299.39999999997"/>
    <s v="Average"/>
    <s v="Excellent"/>
  </r>
  <r>
    <s v="Hari48601"/>
    <n v="601"/>
    <n v="28"/>
    <n v="3"/>
    <n v="2022"/>
    <d v="2022-03-28T00:00:00"/>
    <s v="March"/>
    <d v="2023-06-01T00:00:00"/>
    <x v="2"/>
    <n v="6"/>
    <n v="16760.41"/>
    <s v="Harish Teja"/>
    <n v="48"/>
    <s v="Senior Citezen"/>
    <s v="Good"/>
    <x v="2"/>
    <s v="UPI"/>
    <n v="4"/>
    <s v="OnePlus 8T"/>
    <n v="100562.45999999999"/>
    <s v="Good"/>
    <s v="Good"/>
  </r>
  <r>
    <s v="Lata26602"/>
    <n v="602"/>
    <n v="28"/>
    <n v="3"/>
    <n v="2022"/>
    <d v="2022-03-28T00:00:00"/>
    <s v="March"/>
    <d v="2023-06-02T00:00:00"/>
    <x v="4"/>
    <n v="9"/>
    <n v="44613"/>
    <s v="Lata Shah"/>
    <n v="26"/>
    <s v="Teenagers"/>
    <s v="Good"/>
    <x v="18"/>
    <s v="UPI"/>
    <n v="5"/>
    <s v="iPhone SE"/>
    <n v="401517"/>
    <s v="Good"/>
    <s v="Excellent"/>
  </r>
  <r>
    <s v="Deep25603"/>
    <n v="603"/>
    <n v="28"/>
    <n v="3"/>
    <n v="2022"/>
    <d v="2022-03-28T00:00:00"/>
    <s v="March"/>
    <d v="2023-06-03T00:00:00"/>
    <x v="0"/>
    <n v="6"/>
    <n v="12457.09"/>
    <s v="Deepika Deshmukh"/>
    <n v="25"/>
    <s v="Teenagers"/>
    <s v="Good"/>
    <x v="13"/>
    <s v="Cash"/>
    <n v="4"/>
    <s v="Mi 11"/>
    <n v="74742.540000000008"/>
    <s v="Good"/>
    <s v="Average"/>
  </r>
  <r>
    <s v="Shru36604"/>
    <n v="604"/>
    <n v="28"/>
    <n v="3"/>
    <n v="2022"/>
    <d v="2022-03-28T00:00:00"/>
    <s v="March"/>
    <d v="2023-06-04T00:00:00"/>
    <x v="1"/>
    <n v="2"/>
    <n v="41639.18"/>
    <s v="Shruti Iyer"/>
    <n v="36"/>
    <s v="Adult"/>
    <s v="Good"/>
    <x v="16"/>
    <s v="UPI"/>
    <n v="5"/>
    <s v="Vivo Y51"/>
    <n v="83278.36"/>
    <s v="Good"/>
    <s v="Average"/>
  </r>
  <r>
    <s v="Hari25605"/>
    <n v="605"/>
    <n v="29"/>
    <n v="3"/>
    <n v="2022"/>
    <d v="2022-03-29T00:00:00"/>
    <s v="March"/>
    <d v="2023-06-05T00:00:00"/>
    <x v="4"/>
    <n v="5"/>
    <n v="63182.12"/>
    <s v="Harish Kapoor"/>
    <n v="25"/>
    <s v="Teenagers"/>
    <s v="Good"/>
    <x v="17"/>
    <s v="Credit Card"/>
    <n v="5"/>
    <s v="iPhone 12"/>
    <n v="315910.60000000003"/>
    <s v="Good"/>
    <s v="Excellent"/>
  </r>
  <r>
    <s v="Raje51606"/>
    <n v="606"/>
    <n v="29"/>
    <n v="3"/>
    <n v="2022"/>
    <d v="2022-03-29T00:00:00"/>
    <s v="March"/>
    <d v="2023-06-06T00:00:00"/>
    <x v="1"/>
    <n v="9"/>
    <n v="60272.4"/>
    <s v="Rajesh Roy"/>
    <n v="51"/>
    <s v="Senior Citezen"/>
    <s v="Good"/>
    <x v="2"/>
    <s v="Cash"/>
    <n v="4"/>
    <s v="Vivo V20"/>
    <n v="542451.6"/>
    <s v="Good"/>
    <s v="Excellent"/>
  </r>
  <r>
    <s v="Sach21607"/>
    <n v="607"/>
    <n v="29"/>
    <n v="3"/>
    <n v="2022"/>
    <d v="2022-03-29T00:00:00"/>
    <s v="March"/>
    <d v="2023-06-07T00:00:00"/>
    <x v="0"/>
    <n v="8"/>
    <n v="62966.9"/>
    <s v="Sachin Iyer"/>
    <n v="21"/>
    <s v="Teenagers"/>
    <s v="Good"/>
    <x v="2"/>
    <s v="UPI"/>
    <n v="5"/>
    <s v="Mi 11"/>
    <n v="503735.2"/>
    <s v="Good"/>
    <s v="Excellent"/>
  </r>
  <r>
    <s v="Raje48608"/>
    <n v="608"/>
    <n v="30"/>
    <n v="3"/>
    <n v="2022"/>
    <d v="2022-03-30T00:00:00"/>
    <s v="March"/>
    <d v="2023-06-08T00:00:00"/>
    <x v="2"/>
    <n v="7"/>
    <n v="65322.93"/>
    <s v="Rajesh Arora"/>
    <n v="48"/>
    <s v="Senior Citezen"/>
    <s v="Good"/>
    <x v="8"/>
    <s v="Cash"/>
    <n v="4"/>
    <s v="OnePlus Nord"/>
    <n v="457260.51"/>
    <s v="Good"/>
    <s v="Excellent"/>
  </r>
  <r>
    <s v="Sneh55609"/>
    <n v="609"/>
    <n v="30"/>
    <n v="3"/>
    <n v="2022"/>
    <d v="2022-03-30T00:00:00"/>
    <s v="March"/>
    <d v="2023-06-09T00:00:00"/>
    <x v="3"/>
    <n v="1"/>
    <n v="16271.67"/>
    <s v="Sneha Teja"/>
    <n v="55"/>
    <s v="Senior Citezen"/>
    <s v="Good"/>
    <x v="9"/>
    <s v="UPI"/>
    <n v="5"/>
    <s v="Galaxy Note 20"/>
    <n v="16271.67"/>
    <s v="Good"/>
    <s v="Low"/>
  </r>
  <r>
    <s v="Sach20610"/>
    <n v="610"/>
    <n v="30"/>
    <n v="3"/>
    <n v="2022"/>
    <d v="2022-03-30T00:00:00"/>
    <s v="March"/>
    <d v="2023-06-10T00:00:00"/>
    <x v="2"/>
    <n v="4"/>
    <n v="17724.830000000002"/>
    <s v="Sachin Rawat"/>
    <n v="20"/>
    <s v="Teenagers"/>
    <s v="Good"/>
    <x v="10"/>
    <s v="Credit Card"/>
    <n v="5"/>
    <s v="OnePlus Nord"/>
    <n v="70899.320000000007"/>
    <s v="Good"/>
    <s v="Average"/>
  </r>
  <r>
    <s v="Lata52611"/>
    <n v="611"/>
    <n v="31"/>
    <n v="3"/>
    <n v="2022"/>
    <d v="2022-03-31T00:00:00"/>
    <s v="March"/>
    <d v="2023-06-11T00:00:00"/>
    <x v="4"/>
    <n v="7"/>
    <n v="43420.41"/>
    <s v="Lata Nambiar"/>
    <n v="52"/>
    <s v="Senior Citezen"/>
    <s v="Good"/>
    <x v="13"/>
    <s v="Debit Card"/>
    <n v="5"/>
    <s v="iPhone 11"/>
    <n v="303942.87"/>
    <s v="Good"/>
    <s v="Excellent"/>
  </r>
  <r>
    <s v="Sach36612"/>
    <n v="612"/>
    <n v="31"/>
    <n v="3"/>
    <n v="2022"/>
    <d v="2022-03-31T00:00:00"/>
    <s v="March"/>
    <d v="2023-06-12T00:00:00"/>
    <x v="3"/>
    <n v="7"/>
    <n v="63638.36"/>
    <s v="Sachin Kaur"/>
    <n v="36"/>
    <s v="Adult"/>
    <s v="Good"/>
    <x v="1"/>
    <s v="Debit Card"/>
    <n v="4"/>
    <s v="Galaxy S21"/>
    <n v="445468.52"/>
    <s v="Good"/>
    <s v="Excellent"/>
  </r>
  <r>
    <s v="Roha46613"/>
    <n v="613"/>
    <n v="31"/>
    <n v="3"/>
    <n v="2022"/>
    <d v="2022-03-31T00:00:00"/>
    <s v="March"/>
    <d v="2023-06-13T00:00:00"/>
    <x v="4"/>
    <n v="6"/>
    <n v="68460.97"/>
    <s v="Rohan Prasad"/>
    <n v="46"/>
    <s v="Senior Citezen"/>
    <s v="Good"/>
    <x v="18"/>
    <s v="Credit Card"/>
    <n v="4"/>
    <s v="iPhone 12"/>
    <n v="410765.82"/>
    <s v="Good"/>
    <s v="Excellent"/>
  </r>
  <r>
    <s v="Vino27614"/>
    <n v="614"/>
    <n v="31"/>
    <n v="3"/>
    <n v="2022"/>
    <d v="2022-03-31T00:00:00"/>
    <s v="March"/>
    <d v="2023-06-14T00:00:00"/>
    <x v="0"/>
    <n v="8"/>
    <n v="12775.72"/>
    <s v="Vinod Nambiar"/>
    <n v="27"/>
    <s v="Teenagers"/>
    <s v="Good"/>
    <x v="10"/>
    <s v="Cash"/>
    <n v="4"/>
    <s v="Redmi 9"/>
    <n v="102205.75999999999"/>
    <s v="Good"/>
    <s v="Good"/>
  </r>
  <r>
    <s v="Meen29615"/>
    <n v="615"/>
    <n v="1"/>
    <n v="4"/>
    <n v="2022"/>
    <d v="2022-04-01T00:00:00"/>
    <s v="April"/>
    <d v="2023-06-15T00:00:00"/>
    <x v="3"/>
    <n v="6"/>
    <n v="31346.45"/>
    <s v="Meena Prasad"/>
    <n v="29"/>
    <s v="Teenagers"/>
    <s v="Good"/>
    <x v="13"/>
    <s v="Debit Card"/>
    <n v="5"/>
    <s v="Galaxy Note 20"/>
    <n v="188078.7"/>
    <s v="Good"/>
    <s v="Good"/>
  </r>
  <r>
    <s v="Vino47616"/>
    <n v="616"/>
    <n v="1"/>
    <n v="4"/>
    <n v="2022"/>
    <d v="2022-04-01T00:00:00"/>
    <s v="April"/>
    <d v="2023-06-16T00:00:00"/>
    <x v="4"/>
    <n v="3"/>
    <n v="22773.66"/>
    <s v="Vinod Arora"/>
    <n v="47"/>
    <s v="Senior Citezen"/>
    <s v="Good"/>
    <x v="2"/>
    <s v="UPI"/>
    <n v="4"/>
    <s v="iPhone SE"/>
    <n v="68320.98"/>
    <s v="Good"/>
    <s v="Average"/>
  </r>
  <r>
    <s v="Navi47617"/>
    <n v="617"/>
    <n v="1"/>
    <n v="4"/>
    <n v="2022"/>
    <d v="2022-04-01T00:00:00"/>
    <s v="April"/>
    <d v="2023-06-17T00:00:00"/>
    <x v="0"/>
    <n v="4"/>
    <n v="55357.95"/>
    <s v="Navin Joshi"/>
    <n v="47"/>
    <s v="Senior Citezen"/>
    <s v="Good"/>
    <x v="14"/>
    <s v="UPI"/>
    <n v="5"/>
    <s v="Redmi Note 10"/>
    <n v="221431.8"/>
    <s v="Good"/>
    <s v="Excellent"/>
  </r>
  <r>
    <s v="Sneh35618"/>
    <n v="618"/>
    <n v="1"/>
    <n v="4"/>
    <n v="2022"/>
    <d v="2022-04-01T00:00:00"/>
    <s v="April"/>
    <d v="2023-06-18T00:00:00"/>
    <x v="2"/>
    <n v="3"/>
    <n v="48411.63"/>
    <s v="Sneha Yadav"/>
    <n v="35"/>
    <s v="Adult"/>
    <s v="Good"/>
    <x v="16"/>
    <s v="Cash"/>
    <n v="4"/>
    <s v="OnePlus 8T"/>
    <n v="145234.88999999998"/>
    <s v="Good"/>
    <s v="Good"/>
  </r>
  <r>
    <s v="Neet41619"/>
    <n v="619"/>
    <n v="2"/>
    <n v="4"/>
    <n v="2022"/>
    <d v="2022-04-02T00:00:00"/>
    <s v="April"/>
    <d v="2023-06-19T00:00:00"/>
    <x v="0"/>
    <n v="1"/>
    <n v="17193.28"/>
    <s v="Neeta Deshmukh"/>
    <n v="41"/>
    <s v="Adult"/>
    <s v="Good"/>
    <x v="7"/>
    <s v="Cash"/>
    <n v="5"/>
    <s v="Redmi Note 10"/>
    <n v="17193.28"/>
    <s v="Good"/>
    <s v="Low"/>
  </r>
  <r>
    <s v="Mala49620"/>
    <n v="620"/>
    <n v="2"/>
    <n v="4"/>
    <n v="2022"/>
    <d v="2022-04-02T00:00:00"/>
    <s v="April"/>
    <d v="2023-06-20T00:00:00"/>
    <x v="1"/>
    <n v="5"/>
    <n v="39011.32"/>
    <s v="Mala Kulkarni"/>
    <n v="49"/>
    <s v="Senior Citezen"/>
    <s v="Good"/>
    <x v="0"/>
    <s v="Credit Card"/>
    <n v="5"/>
    <s v="Vivo V20"/>
    <n v="195056.6"/>
    <s v="Good"/>
    <s v="Good"/>
  </r>
  <r>
    <s v="Sanj26621"/>
    <n v="621"/>
    <n v="2"/>
    <n v="4"/>
    <n v="2022"/>
    <d v="2022-04-02T00:00:00"/>
    <s v="April"/>
    <d v="2023-06-21T00:00:00"/>
    <x v="0"/>
    <n v="1"/>
    <n v="51126.43"/>
    <s v="Sanjay Jain"/>
    <n v="26"/>
    <s v="Teenagers"/>
    <s v="Good"/>
    <x v="1"/>
    <s v="Debit Card"/>
    <n v="5"/>
    <s v="Mi 11"/>
    <n v="51126.43"/>
    <s v="Good"/>
    <s v="Average"/>
  </r>
  <r>
    <s v="Raje41622"/>
    <n v="622"/>
    <n v="2"/>
    <n v="4"/>
    <n v="2022"/>
    <d v="2022-04-02T00:00:00"/>
    <s v="April"/>
    <d v="2023-06-22T00:00:00"/>
    <x v="0"/>
    <n v="1"/>
    <n v="56740.32"/>
    <s v="Rajesh Chatterjee"/>
    <n v="41"/>
    <s v="Adult"/>
    <s v="Good"/>
    <x v="1"/>
    <s v="Cash"/>
    <n v="5"/>
    <s v="Redmi 9"/>
    <n v="56740.32"/>
    <s v="Good"/>
    <s v="Average"/>
  </r>
  <r>
    <s v="Nami43623"/>
    <n v="623"/>
    <n v="3"/>
    <n v="4"/>
    <n v="2022"/>
    <d v="2022-04-03T00:00:00"/>
    <s v="April"/>
    <d v="2023-06-23T00:00:00"/>
    <x v="1"/>
    <n v="2"/>
    <n v="11203.16"/>
    <s v="Namita Deshmukh"/>
    <n v="43"/>
    <s v="Adult"/>
    <s v="Good"/>
    <x v="1"/>
    <s v="Debit Card"/>
    <n v="5"/>
    <s v="Vivo Y51"/>
    <n v="22406.32"/>
    <s v="Good"/>
    <s v="Low"/>
  </r>
  <r>
    <s v="Ayes20624"/>
    <n v="624"/>
    <n v="3"/>
    <n v="4"/>
    <n v="2022"/>
    <d v="2022-04-03T00:00:00"/>
    <s v="April"/>
    <d v="2023-06-24T00:00:00"/>
    <x v="4"/>
    <n v="4"/>
    <n v="63428.17"/>
    <s v="Ayesha Luthra"/>
    <n v="20"/>
    <s v="Teenagers"/>
    <s v="Good"/>
    <x v="16"/>
    <s v="Debit Card"/>
    <n v="5"/>
    <s v="iPhone 12"/>
    <n v="253712.68"/>
    <s v="Good"/>
    <s v="Excellent"/>
  </r>
  <r>
    <s v="Kris40625"/>
    <n v="625"/>
    <n v="3"/>
    <n v="4"/>
    <n v="2022"/>
    <d v="2022-04-03T00:00:00"/>
    <s v="April"/>
    <d v="2023-06-25T00:00:00"/>
    <x v="4"/>
    <n v="6"/>
    <n v="44156.88"/>
    <s v="Krishna Rawat"/>
    <n v="40"/>
    <s v="Adult"/>
    <s v="Good"/>
    <x v="2"/>
    <s v="UPI"/>
    <n v="5"/>
    <s v="iPhone 12"/>
    <n v="264941.27999999997"/>
    <s v="Good"/>
    <s v="Excellent"/>
  </r>
  <r>
    <s v="Gita28626"/>
    <n v="626"/>
    <n v="4"/>
    <n v="4"/>
    <n v="2022"/>
    <d v="2022-04-04T00:00:00"/>
    <s v="April"/>
    <d v="2023-06-26T00:00:00"/>
    <x v="0"/>
    <n v="8"/>
    <n v="58714.55"/>
    <s v="Gita Dutta"/>
    <n v="28"/>
    <s v="Teenagers"/>
    <s v="Good"/>
    <x v="1"/>
    <s v="Cash"/>
    <n v="4"/>
    <s v="Redmi Note 10"/>
    <n v="469716.4"/>
    <s v="Good"/>
    <s v="Excellent"/>
  </r>
  <r>
    <s v="Deve27627"/>
    <n v="627"/>
    <n v="4"/>
    <n v="4"/>
    <n v="2022"/>
    <d v="2022-04-04T00:00:00"/>
    <s v="April"/>
    <d v="2023-06-27T00:00:00"/>
    <x v="1"/>
    <n v="3"/>
    <n v="58476.28"/>
    <s v="Devendra Singh"/>
    <n v="27"/>
    <s v="Teenagers"/>
    <s v="AVG"/>
    <x v="11"/>
    <s v="Credit Card"/>
    <n v="3"/>
    <s v="Vivo V20"/>
    <n v="175428.84"/>
    <s v="Average"/>
    <s v="Good"/>
  </r>
  <r>
    <s v="Raje53628"/>
    <n v="628"/>
    <n v="4"/>
    <n v="4"/>
    <n v="2022"/>
    <d v="2022-04-04T00:00:00"/>
    <s v="April"/>
    <d v="2023-06-28T00:00:00"/>
    <x v="1"/>
    <n v="1"/>
    <n v="21391.16"/>
    <s v="Rajesh Ghosh"/>
    <n v="53"/>
    <s v="Senior Citezen"/>
    <s v="Good"/>
    <x v="14"/>
    <s v="Cash"/>
    <n v="5"/>
    <s v="Vivo S1"/>
    <n v="21391.16"/>
    <s v="Good"/>
    <s v="Low"/>
  </r>
  <r>
    <s v="Vive30629"/>
    <n v="629"/>
    <n v="5"/>
    <n v="4"/>
    <n v="2022"/>
    <d v="2022-04-05T00:00:00"/>
    <s v="April"/>
    <d v="2023-06-29T00:00:00"/>
    <x v="2"/>
    <n v="3"/>
    <n v="16610.330000000002"/>
    <s v="Vivek Bhatnagar"/>
    <n v="30"/>
    <s v="Teenagers"/>
    <s v="Good"/>
    <x v="2"/>
    <s v="Debit Card"/>
    <n v="5"/>
    <s v="OnePlus 8T"/>
    <n v="49830.990000000005"/>
    <s v="Good"/>
    <s v="Low"/>
  </r>
  <r>
    <s v="Kris46630"/>
    <n v="630"/>
    <n v="5"/>
    <n v="4"/>
    <n v="2022"/>
    <d v="2022-04-05T00:00:00"/>
    <s v="April"/>
    <d v="2023-06-30T00:00:00"/>
    <x v="4"/>
    <n v="3"/>
    <n v="53277.24"/>
    <s v="Krishna Chatterjee"/>
    <n v="46"/>
    <s v="Senior Citezen"/>
    <s v="Good"/>
    <x v="9"/>
    <s v="UPI"/>
    <n v="5"/>
    <s v="iPhone 11"/>
    <n v="159831.72"/>
    <s v="Good"/>
    <s v="Good"/>
  </r>
  <r>
    <s v="Shru55631"/>
    <n v="631"/>
    <n v="5"/>
    <n v="4"/>
    <n v="2022"/>
    <d v="2022-04-05T00:00:00"/>
    <s v="April"/>
    <d v="2023-07-01T00:00:00"/>
    <x v="3"/>
    <n v="5"/>
    <n v="19385.62"/>
    <s v="Shruti Menon"/>
    <n v="55"/>
    <s v="Senior Citezen"/>
    <s v="Good"/>
    <x v="5"/>
    <s v="Cash"/>
    <n v="5"/>
    <s v="Galaxy A51"/>
    <n v="96928.099999999991"/>
    <s v="Good"/>
    <s v="Average"/>
  </r>
  <r>
    <s v="Pooj30632"/>
    <n v="632"/>
    <n v="6"/>
    <n v="4"/>
    <n v="2022"/>
    <d v="2022-04-06T00:00:00"/>
    <s v="April"/>
    <d v="2023-07-02T00:00:00"/>
    <x v="4"/>
    <n v="4"/>
    <n v="60996.25"/>
    <s v="Pooja Dutta"/>
    <n v="30"/>
    <s v="Teenagers"/>
    <s v="Good"/>
    <x v="1"/>
    <s v="Cash"/>
    <n v="5"/>
    <s v="iPhone SE"/>
    <n v="243985"/>
    <s v="Good"/>
    <s v="Excellent"/>
  </r>
  <r>
    <s v="Isha43633"/>
    <n v="633"/>
    <n v="6"/>
    <n v="4"/>
    <n v="2022"/>
    <d v="2022-04-06T00:00:00"/>
    <s v="April"/>
    <d v="2023-07-03T00:00:00"/>
    <x v="4"/>
    <n v="4"/>
    <n v="53571.37"/>
    <s v="Isha Dutta"/>
    <n v="43"/>
    <s v="Adult"/>
    <s v="Good"/>
    <x v="7"/>
    <s v="Cash"/>
    <n v="5"/>
    <s v="iPhone 12"/>
    <n v="214285.48"/>
    <s v="Good"/>
    <s v="Excellent"/>
  </r>
  <r>
    <s v="Raje37634"/>
    <n v="634"/>
    <n v="6"/>
    <n v="4"/>
    <n v="2022"/>
    <d v="2022-04-06T00:00:00"/>
    <s v="April"/>
    <d v="2023-07-04T00:00:00"/>
    <x v="2"/>
    <n v="9"/>
    <n v="60509.52"/>
    <s v="Rajesh Pathak"/>
    <n v="37"/>
    <s v="Adult"/>
    <s v="Good"/>
    <x v="1"/>
    <s v="Credit Card"/>
    <n v="5"/>
    <s v="OnePlus 8T"/>
    <n v="544585.67999999993"/>
    <s v="Good"/>
    <s v="Excellent"/>
  </r>
  <r>
    <s v="Kavi22635"/>
    <n v="635"/>
    <n v="7"/>
    <n v="4"/>
    <n v="2022"/>
    <d v="2022-04-07T00:00:00"/>
    <s v="April"/>
    <d v="2023-07-05T00:00:00"/>
    <x v="3"/>
    <n v="7"/>
    <n v="27940.76"/>
    <s v="Kavita Jain"/>
    <n v="22"/>
    <s v="Teenagers"/>
    <s v="AVG"/>
    <x v="17"/>
    <s v="Credit Card"/>
    <n v="3"/>
    <s v="Galaxy Note 20"/>
    <n v="195585.31999999998"/>
    <s v="Average"/>
    <s v="Good"/>
  </r>
  <r>
    <s v="Umes37636"/>
    <n v="636"/>
    <n v="7"/>
    <n v="4"/>
    <n v="2022"/>
    <d v="2022-04-07T00:00:00"/>
    <s v="April"/>
    <d v="2023-07-06T00:00:00"/>
    <x v="2"/>
    <n v="4"/>
    <n v="28995.88"/>
    <s v="Umesh Teja"/>
    <n v="37"/>
    <s v="Adult"/>
    <s v="Good"/>
    <x v="16"/>
    <s v="Credit Card"/>
    <n v="5"/>
    <s v="OnePlus 8T"/>
    <n v="115983.52"/>
    <s v="Good"/>
    <s v="Good"/>
  </r>
  <r>
    <s v="Anan31637"/>
    <n v="637"/>
    <n v="7"/>
    <n v="4"/>
    <n v="2022"/>
    <d v="2022-04-07T00:00:00"/>
    <s v="April"/>
    <d v="2023-07-07T00:00:00"/>
    <x v="3"/>
    <n v="3"/>
    <n v="50273.29"/>
    <s v="Anand Siddiqui"/>
    <n v="31"/>
    <s v="Adult"/>
    <s v="Good"/>
    <x v="1"/>
    <s v="Credit Card"/>
    <n v="4"/>
    <s v="Galaxy A51"/>
    <n v="150819.87"/>
    <s v="Good"/>
    <s v="Good"/>
  </r>
  <r>
    <s v="Kavi31638"/>
    <n v="638"/>
    <n v="8"/>
    <n v="4"/>
    <n v="2022"/>
    <d v="2022-04-08T00:00:00"/>
    <s v="April"/>
    <d v="2023-07-08T00:00:00"/>
    <x v="0"/>
    <n v="6"/>
    <n v="11886.76"/>
    <s v="Kavita Goyal"/>
    <n v="31"/>
    <s v="Adult"/>
    <s v="Good"/>
    <x v="2"/>
    <s v="UPI"/>
    <n v="5"/>
    <s v="Redmi Note 10"/>
    <n v="71320.56"/>
    <s v="Good"/>
    <s v="Average"/>
  </r>
  <r>
    <s v="Rame25639"/>
    <n v="639"/>
    <n v="8"/>
    <n v="4"/>
    <n v="2022"/>
    <d v="2022-04-08T00:00:00"/>
    <s v="April"/>
    <d v="2023-07-09T00:00:00"/>
    <x v="3"/>
    <n v="3"/>
    <n v="53589.8"/>
    <s v="Ramesh Mishra"/>
    <n v="25"/>
    <s v="Teenagers"/>
    <s v="AVG"/>
    <x v="1"/>
    <s v="UPI"/>
    <n v="3"/>
    <s v="Galaxy S21"/>
    <n v="160769.40000000002"/>
    <s v="Average"/>
    <s v="Good"/>
  </r>
  <r>
    <s v="Kira30640"/>
    <n v="640"/>
    <n v="8"/>
    <n v="4"/>
    <n v="2022"/>
    <d v="2022-04-08T00:00:00"/>
    <s v="April"/>
    <d v="2023-07-10T00:00:00"/>
    <x v="2"/>
    <n v="6"/>
    <n v="60146.98"/>
    <s v="Kiran Ghosh"/>
    <n v="30"/>
    <s v="Teenagers"/>
    <s v="Good"/>
    <x v="4"/>
    <s v="Credit Card"/>
    <n v="5"/>
    <s v="OnePlus 8T"/>
    <n v="360881.88"/>
    <s v="Good"/>
    <s v="Excellent"/>
  </r>
  <r>
    <s v="Navi41641"/>
    <n v="641"/>
    <n v="9"/>
    <n v="4"/>
    <n v="2022"/>
    <d v="2022-04-09T00:00:00"/>
    <s v="April"/>
    <d v="2023-07-11T00:00:00"/>
    <x v="4"/>
    <n v="9"/>
    <n v="34909.82"/>
    <s v="Navin Malhotra"/>
    <n v="41"/>
    <s v="Adult"/>
    <s v="Good"/>
    <x v="1"/>
    <s v="Debit Card"/>
    <n v="4"/>
    <s v="iPhone 12"/>
    <n v="314188.38"/>
    <s v="Good"/>
    <s v="Excellent"/>
  </r>
  <r>
    <s v="Lali32642"/>
    <n v="642"/>
    <n v="9"/>
    <n v="4"/>
    <n v="2022"/>
    <d v="2022-04-09T00:00:00"/>
    <s v="April"/>
    <d v="2023-07-12T00:00:00"/>
    <x v="3"/>
    <n v="6"/>
    <n v="55892.73"/>
    <s v="Lalita Thakur"/>
    <n v="32"/>
    <s v="Adult"/>
    <s v="Good"/>
    <x v="2"/>
    <s v="Credit Card"/>
    <n v="4"/>
    <s v="Galaxy A51"/>
    <n v="335356.38"/>
    <s v="Good"/>
    <s v="Excellent"/>
  </r>
  <r>
    <s v="Hari18643"/>
    <n v="643"/>
    <n v="9"/>
    <n v="4"/>
    <n v="2022"/>
    <d v="2022-04-09T00:00:00"/>
    <s v="April"/>
    <d v="2023-07-13T00:00:00"/>
    <x v="3"/>
    <n v="4"/>
    <n v="20476.66"/>
    <s v="Harish Kaur"/>
    <n v="18"/>
    <s v="Teenagers"/>
    <s v="Good"/>
    <x v="1"/>
    <s v="Credit Card"/>
    <n v="4"/>
    <s v="Galaxy A51"/>
    <n v="81906.64"/>
    <s v="Good"/>
    <s v="Average"/>
  </r>
  <r>
    <s v="Anja39644"/>
    <n v="644"/>
    <n v="9"/>
    <n v="4"/>
    <n v="2022"/>
    <d v="2022-04-09T00:00:00"/>
    <s v="April"/>
    <d v="2023-07-14T00:00:00"/>
    <x v="1"/>
    <n v="5"/>
    <n v="29335.62"/>
    <s v="Anjali Patel"/>
    <n v="39"/>
    <s v="Adult"/>
    <s v="Good"/>
    <x v="2"/>
    <s v="Debit Card"/>
    <n v="5"/>
    <s v="Vivo Y51"/>
    <n v="146678.1"/>
    <s v="Good"/>
    <s v="Good"/>
  </r>
  <r>
    <s v="Kavi51645"/>
    <n v="645"/>
    <n v="10"/>
    <n v="4"/>
    <n v="2022"/>
    <d v="2022-04-10T00:00:00"/>
    <s v="April"/>
    <d v="2023-07-15T00:00:00"/>
    <x v="4"/>
    <n v="6"/>
    <n v="68458.3"/>
    <s v="Kavita Mehta"/>
    <n v="51"/>
    <s v="Senior Citezen"/>
    <s v="Good"/>
    <x v="11"/>
    <s v="Cash"/>
    <n v="5"/>
    <s v="iPhone 12"/>
    <n v="410749.80000000005"/>
    <s v="Good"/>
    <s v="Excellent"/>
  </r>
  <r>
    <s v="Anja57646"/>
    <n v="646"/>
    <n v="10"/>
    <n v="4"/>
    <n v="2022"/>
    <d v="2022-04-10T00:00:00"/>
    <s v="April"/>
    <d v="2023-07-16T00:00:00"/>
    <x v="0"/>
    <n v="3"/>
    <n v="69179.69"/>
    <s v="Anjali Sharma"/>
    <n v="57"/>
    <s v="Senior Citezen"/>
    <s v="AVG"/>
    <x v="1"/>
    <s v="Debit Card"/>
    <n v="3"/>
    <s v="Redmi 9"/>
    <n v="207539.07"/>
    <s v="Average"/>
    <s v="Excellent"/>
  </r>
  <r>
    <s v="Pooj20647"/>
    <n v="647"/>
    <n v="10"/>
    <n v="4"/>
    <n v="2022"/>
    <d v="2022-04-10T00:00:00"/>
    <s v="April"/>
    <d v="2023-07-17T00:00:00"/>
    <x v="2"/>
    <n v="8"/>
    <n v="40756.300000000003"/>
    <s v="Pooja Pillai"/>
    <n v="20"/>
    <s v="Teenagers"/>
    <s v="Good"/>
    <x v="10"/>
    <s v="Debit Card"/>
    <n v="4"/>
    <s v="OnePlus Nord"/>
    <n v="326050.40000000002"/>
    <s v="Good"/>
    <s v="Excellent"/>
  </r>
  <r>
    <s v="Priy43648"/>
    <n v="648"/>
    <n v="11"/>
    <n v="4"/>
    <n v="2022"/>
    <d v="2022-04-11T00:00:00"/>
    <s v="April"/>
    <d v="2023-07-18T00:00:00"/>
    <x v="0"/>
    <n v="4"/>
    <n v="66056.19"/>
    <s v="Priyanka Ghosh"/>
    <n v="43"/>
    <s v="Adult"/>
    <s v="Good"/>
    <x v="4"/>
    <s v="UPI"/>
    <n v="5"/>
    <s v="Redmi 9"/>
    <n v="264224.76"/>
    <s v="Good"/>
    <s v="Excellent"/>
  </r>
  <r>
    <s v="Mano31649"/>
    <n v="649"/>
    <n v="11"/>
    <n v="4"/>
    <n v="2022"/>
    <d v="2022-04-11T00:00:00"/>
    <s v="April"/>
    <d v="2023-07-19T00:00:00"/>
    <x v="4"/>
    <n v="8"/>
    <n v="41363.839999999997"/>
    <s v="Manoj Jain"/>
    <n v="31"/>
    <s v="Adult"/>
    <s v="Good"/>
    <x v="1"/>
    <s v="Cash"/>
    <n v="5"/>
    <s v="iPhone SE"/>
    <n v="330910.71999999997"/>
    <s v="Good"/>
    <s v="Excellent"/>
  </r>
  <r>
    <s v="Hari58650"/>
    <n v="650"/>
    <n v="11"/>
    <n v="4"/>
    <n v="2022"/>
    <d v="2022-04-11T00:00:00"/>
    <s v="April"/>
    <d v="2023-07-20T00:00:00"/>
    <x v="3"/>
    <n v="3"/>
    <n v="27495.29"/>
    <s v="Harish Mehta"/>
    <n v="58"/>
    <s v="Senior Citezen"/>
    <s v="Good"/>
    <x v="6"/>
    <s v="Debit Card"/>
    <n v="5"/>
    <s v="Galaxy S21"/>
    <n v="82485.87"/>
    <s v="Good"/>
    <s v="Average"/>
  </r>
  <r>
    <s v="Priy25651"/>
    <n v="651"/>
    <n v="12"/>
    <n v="4"/>
    <n v="2022"/>
    <d v="2022-04-12T00:00:00"/>
    <s v="April"/>
    <d v="2023-07-21T00:00:00"/>
    <x v="3"/>
    <n v="7"/>
    <n v="26013.96"/>
    <s v="Priyanka Pathak"/>
    <n v="25"/>
    <s v="Teenagers"/>
    <s v="Good"/>
    <x v="6"/>
    <s v="Credit Card"/>
    <n v="5"/>
    <s v="Galaxy A51"/>
    <n v="182097.72"/>
    <s v="Good"/>
    <s v="Good"/>
  </r>
  <r>
    <s v="Arun33652"/>
    <n v="652"/>
    <n v="12"/>
    <n v="4"/>
    <n v="2022"/>
    <d v="2022-04-12T00:00:00"/>
    <s v="April"/>
    <d v="2023-07-22T00:00:00"/>
    <x v="4"/>
    <n v="9"/>
    <n v="65770.34"/>
    <s v="Arun Dutta"/>
    <n v="33"/>
    <s v="Adult"/>
    <s v="AVG"/>
    <x v="2"/>
    <s v="Debit Card"/>
    <n v="3"/>
    <s v="iPhone SE"/>
    <n v="591933.05999999994"/>
    <s v="Average"/>
    <s v="Excellent"/>
  </r>
  <r>
    <s v="Amit59653"/>
    <n v="653"/>
    <n v="12"/>
    <n v="4"/>
    <n v="2022"/>
    <d v="2022-04-12T00:00:00"/>
    <s v="April"/>
    <d v="2023-07-23T00:00:00"/>
    <x v="3"/>
    <n v="4"/>
    <n v="20346.78"/>
    <s v="Amit Ghosh"/>
    <n v="59"/>
    <s v="Senior Citezen"/>
    <s v="Good"/>
    <x v="7"/>
    <s v="UPI"/>
    <n v="5"/>
    <s v="Galaxy S21"/>
    <n v="81387.12"/>
    <s v="Good"/>
    <s v="Average"/>
  </r>
  <r>
    <s v="Anit38654"/>
    <n v="654"/>
    <n v="13"/>
    <n v="4"/>
    <n v="2022"/>
    <d v="2022-04-13T00:00:00"/>
    <s v="April"/>
    <d v="2023-07-24T00:00:00"/>
    <x v="3"/>
    <n v="8"/>
    <n v="44777.95"/>
    <s v="Anita Shah"/>
    <n v="38"/>
    <s v="Adult"/>
    <s v="Good"/>
    <x v="9"/>
    <s v="Debit Card"/>
    <n v="4"/>
    <s v="Galaxy Note 20"/>
    <n v="358223.6"/>
    <s v="Good"/>
    <s v="Excellent"/>
  </r>
  <r>
    <s v="Tanu27655"/>
    <n v="655"/>
    <n v="13"/>
    <n v="4"/>
    <n v="2022"/>
    <d v="2022-04-13T00:00:00"/>
    <s v="April"/>
    <d v="2023-07-25T00:00:00"/>
    <x v="3"/>
    <n v="3"/>
    <n v="43331.5"/>
    <s v="Tanuja Mathur"/>
    <n v="27"/>
    <s v="Teenagers"/>
    <s v="Good"/>
    <x v="7"/>
    <s v="Credit Card"/>
    <n v="5"/>
    <s v="Galaxy Note 20"/>
    <n v="129994.5"/>
    <s v="Good"/>
    <s v="Good"/>
  </r>
  <r>
    <s v="Bhav42656"/>
    <n v="656"/>
    <n v="13"/>
    <n v="4"/>
    <n v="2022"/>
    <d v="2022-04-13T00:00:00"/>
    <s v="April"/>
    <d v="2023-07-26T00:00:00"/>
    <x v="2"/>
    <n v="7"/>
    <n v="54377.3"/>
    <s v="Bhavana Sheth"/>
    <n v="42"/>
    <s v="Adult"/>
    <s v="AVG"/>
    <x v="18"/>
    <s v="Cash"/>
    <n v="3"/>
    <s v="OnePlus Nord"/>
    <n v="380641.10000000003"/>
    <s v="Average"/>
    <s v="Excellent"/>
  </r>
  <r>
    <s v="Sach55657"/>
    <n v="657"/>
    <n v="13"/>
    <n v="4"/>
    <n v="2022"/>
    <d v="2022-04-13T00:00:00"/>
    <s v="April"/>
    <d v="2023-07-27T00:00:00"/>
    <x v="2"/>
    <n v="3"/>
    <n v="39954.57"/>
    <s v="Sachin Arora"/>
    <n v="55"/>
    <s v="Senior Citezen"/>
    <s v="Good"/>
    <x v="1"/>
    <s v="UPI"/>
    <n v="5"/>
    <s v="OnePlus 8T"/>
    <n v="119863.70999999999"/>
    <s v="Good"/>
    <s v="Good"/>
  </r>
  <r>
    <s v="Raje39658"/>
    <n v="658"/>
    <n v="14"/>
    <n v="4"/>
    <n v="2022"/>
    <d v="2022-04-14T00:00:00"/>
    <s v="April"/>
    <d v="2023-07-28T00:00:00"/>
    <x v="1"/>
    <n v="7"/>
    <n v="26337.14"/>
    <s v="Rajesh Chatterjee"/>
    <n v="39"/>
    <s v="Adult"/>
    <s v="AVG"/>
    <x v="2"/>
    <s v="Cash"/>
    <n v="3"/>
    <s v="Vivo V20"/>
    <n v="184359.97999999998"/>
    <s v="Average"/>
    <s v="Good"/>
  </r>
  <r>
    <s v="Raje21659"/>
    <n v="659"/>
    <n v="14"/>
    <n v="4"/>
    <n v="2022"/>
    <d v="2022-04-14T00:00:00"/>
    <s v="April"/>
    <d v="2023-07-29T00:00:00"/>
    <x v="0"/>
    <n v="6"/>
    <n v="20163.79"/>
    <s v="Rajesh Prasad"/>
    <n v="21"/>
    <s v="Teenagers"/>
    <s v="Good"/>
    <x v="2"/>
    <s v="UPI"/>
    <n v="5"/>
    <s v="Redmi 9"/>
    <n v="120982.74"/>
    <s v="Good"/>
    <s v="Good"/>
  </r>
  <r>
    <s v="Vija21660"/>
    <n v="660"/>
    <n v="14"/>
    <n v="4"/>
    <n v="2022"/>
    <d v="2022-04-14T00:00:00"/>
    <s v="April"/>
    <d v="2023-07-30T00:00:00"/>
    <x v="4"/>
    <n v="2"/>
    <n v="47249.13"/>
    <s v="Vijay Das"/>
    <n v="21"/>
    <s v="Teenagers"/>
    <s v="Good"/>
    <x v="18"/>
    <s v="Credit Card"/>
    <n v="5"/>
    <s v="iPhone 12"/>
    <n v="94498.26"/>
    <s v="Good"/>
    <s v="Average"/>
  </r>
  <r>
    <s v="Suni47661"/>
    <n v="661"/>
    <n v="15"/>
    <n v="4"/>
    <n v="2022"/>
    <d v="2022-04-15T00:00:00"/>
    <s v="April"/>
    <d v="2023-07-31T00:00:00"/>
    <x v="4"/>
    <n v="3"/>
    <n v="53139.45"/>
    <s v="Sunita Verma"/>
    <n v="47"/>
    <s v="Senior Citezen"/>
    <s v="Good"/>
    <x v="5"/>
    <s v="UPI"/>
    <n v="5"/>
    <s v="iPhone 11"/>
    <n v="159418.34999999998"/>
    <s v="Good"/>
    <s v="Good"/>
  </r>
  <r>
    <s v="Suni19662"/>
    <n v="662"/>
    <n v="15"/>
    <n v="4"/>
    <n v="2022"/>
    <d v="2022-04-15T00:00:00"/>
    <s v="April"/>
    <d v="2023-08-01T00:00:00"/>
    <x v="4"/>
    <n v="6"/>
    <n v="44171.28"/>
    <s v="Sunita Sharma"/>
    <n v="19"/>
    <s v="Teenagers"/>
    <s v="Good"/>
    <x v="11"/>
    <s v="Cash"/>
    <n v="5"/>
    <s v="iPhone 11"/>
    <n v="265027.68"/>
    <s v="Good"/>
    <s v="Excellent"/>
  </r>
  <r>
    <s v="Radh46663"/>
    <n v="663"/>
    <n v="15"/>
    <n v="4"/>
    <n v="2022"/>
    <d v="2022-04-15T00:00:00"/>
    <s v="April"/>
    <d v="2023-08-02T00:00:00"/>
    <x v="1"/>
    <n v="4"/>
    <n v="54301.08"/>
    <s v="Radha Rao"/>
    <n v="46"/>
    <s v="Senior Citezen"/>
    <s v="Good"/>
    <x v="1"/>
    <s v="Cash"/>
    <n v="4"/>
    <s v="Vivo S1"/>
    <n v="217204.32"/>
    <s v="Good"/>
    <s v="Excellent"/>
  </r>
  <r>
    <s v="Amit53664"/>
    <n v="664"/>
    <n v="16"/>
    <n v="4"/>
    <n v="2022"/>
    <d v="2022-04-16T00:00:00"/>
    <s v="April"/>
    <d v="2023-08-03T00:00:00"/>
    <x v="2"/>
    <n v="6"/>
    <n v="18491.27"/>
    <s v="Amit Teja"/>
    <n v="53"/>
    <s v="Senior Citezen"/>
    <s v="Good"/>
    <x v="1"/>
    <s v="Debit Card"/>
    <n v="5"/>
    <s v="OnePlus 8T"/>
    <n v="110947.62"/>
    <s v="Good"/>
    <s v="Good"/>
  </r>
  <r>
    <s v="Moni38665"/>
    <n v="665"/>
    <n v="16"/>
    <n v="4"/>
    <n v="2022"/>
    <d v="2022-04-16T00:00:00"/>
    <s v="April"/>
    <d v="2023-08-04T00:00:00"/>
    <x v="1"/>
    <n v="1"/>
    <n v="62948.21"/>
    <s v="Monika Dutta"/>
    <n v="38"/>
    <s v="Adult"/>
    <s v="Good"/>
    <x v="2"/>
    <s v="Cash"/>
    <n v="5"/>
    <s v="Vivo S1"/>
    <n v="62948.21"/>
    <s v="Good"/>
    <s v="Average"/>
  </r>
  <r>
    <s v="Nami38666"/>
    <n v="666"/>
    <n v="16"/>
    <n v="4"/>
    <n v="2022"/>
    <d v="2022-04-16T00:00:00"/>
    <s v="April"/>
    <d v="2023-08-05T00:00:00"/>
    <x v="4"/>
    <n v="1"/>
    <n v="44943.73"/>
    <s v="Namita Kapoor"/>
    <n v="38"/>
    <s v="Adult"/>
    <s v="AVG"/>
    <x v="7"/>
    <s v="Debit Card"/>
    <n v="3"/>
    <s v="iPhone SE"/>
    <n v="44943.73"/>
    <s v="Average"/>
    <s v="Low"/>
  </r>
  <r>
    <s v="Suni38667"/>
    <n v="667"/>
    <n v="16"/>
    <n v="4"/>
    <n v="2022"/>
    <d v="2022-04-16T00:00:00"/>
    <s v="April"/>
    <d v="2023-08-06T00:00:00"/>
    <x v="0"/>
    <n v="3"/>
    <n v="17610.64"/>
    <s v="Sunita Ahuja"/>
    <n v="38"/>
    <s v="Adult"/>
    <s v="Good"/>
    <x v="7"/>
    <s v="Cash"/>
    <n v="5"/>
    <s v="Redmi Note 10"/>
    <n v="52831.92"/>
    <s v="Good"/>
    <s v="Average"/>
  </r>
  <r>
    <s v="Reen21668"/>
    <n v="668"/>
    <n v="17"/>
    <n v="4"/>
    <n v="2022"/>
    <d v="2022-04-17T00:00:00"/>
    <s v="April"/>
    <d v="2023-08-07T00:00:00"/>
    <x v="3"/>
    <n v="8"/>
    <n v="37715.51"/>
    <s v="Reena Desai"/>
    <n v="21"/>
    <s v="Teenagers"/>
    <s v="AVG"/>
    <x v="1"/>
    <s v="Debit Card"/>
    <n v="3"/>
    <s v="Galaxy Note 20"/>
    <n v="301724.08"/>
    <s v="Average"/>
    <s v="Excellent"/>
  </r>
  <r>
    <s v="Bhav18669"/>
    <n v="669"/>
    <n v="17"/>
    <n v="4"/>
    <n v="2022"/>
    <d v="2022-04-17T00:00:00"/>
    <s v="April"/>
    <d v="2023-08-08T00:00:00"/>
    <x v="2"/>
    <n v="8"/>
    <n v="60687.5"/>
    <s v="Bhavana Mehta"/>
    <n v="18"/>
    <s v="Teenagers"/>
    <s v="Good"/>
    <x v="13"/>
    <s v="Credit Card"/>
    <n v="5"/>
    <s v="OnePlus 8T"/>
    <n v="485500"/>
    <s v="Good"/>
    <s v="Excellent"/>
  </r>
  <r>
    <s v="Bina43670"/>
    <n v="670"/>
    <n v="17"/>
    <n v="4"/>
    <n v="2022"/>
    <d v="2022-04-17T00:00:00"/>
    <s v="April"/>
    <d v="2023-08-09T00:00:00"/>
    <x v="2"/>
    <n v="4"/>
    <n v="63853.73"/>
    <s v="Bina Teja"/>
    <n v="43"/>
    <s v="Adult"/>
    <s v="AVG"/>
    <x v="2"/>
    <s v="Debit Card"/>
    <n v="3"/>
    <s v="OnePlus Nord"/>
    <n v="255414.92"/>
    <s v="Average"/>
    <s v="Excellent"/>
  </r>
  <r>
    <s v="Ravi19671"/>
    <n v="671"/>
    <n v="18"/>
    <n v="4"/>
    <n v="2022"/>
    <d v="2022-04-18T00:00:00"/>
    <s v="April"/>
    <d v="2023-08-10T00:00:00"/>
    <x v="1"/>
    <n v="6"/>
    <n v="25878.97"/>
    <s v="Ravi Kumar"/>
    <n v="19"/>
    <s v="Teenagers"/>
    <s v="Good"/>
    <x v="5"/>
    <s v="Cash"/>
    <n v="5"/>
    <s v="Vivo S1"/>
    <n v="155273.82"/>
    <s v="Good"/>
    <s v="Good"/>
  </r>
  <r>
    <s v="Suni26672"/>
    <n v="672"/>
    <n v="18"/>
    <n v="4"/>
    <n v="2022"/>
    <d v="2022-04-18T00:00:00"/>
    <s v="April"/>
    <d v="2023-08-11T00:00:00"/>
    <x v="2"/>
    <n v="8"/>
    <n v="52675.95"/>
    <s v="Sunil Singh"/>
    <n v="26"/>
    <s v="Teenagers"/>
    <s v="Good"/>
    <x v="1"/>
    <s v="Credit Card"/>
    <n v="5"/>
    <s v="OnePlus Nord"/>
    <n v="421407.6"/>
    <s v="Good"/>
    <s v="Excellent"/>
  </r>
  <r>
    <s v="Meen35673"/>
    <n v="673"/>
    <n v="18"/>
    <n v="4"/>
    <n v="2022"/>
    <d v="2022-04-18T00:00:00"/>
    <s v="April"/>
    <d v="2023-08-12T00:00:00"/>
    <x v="4"/>
    <n v="7"/>
    <n v="15999.11"/>
    <s v="Meena Pillai"/>
    <n v="35"/>
    <s v="Adult"/>
    <s v="AVG"/>
    <x v="3"/>
    <s v="UPI"/>
    <n v="3"/>
    <s v="iPhone SE"/>
    <n v="111993.77"/>
    <s v="Average"/>
    <s v="Good"/>
  </r>
  <r>
    <s v="Ayes59674"/>
    <n v="674"/>
    <n v="19"/>
    <n v="4"/>
    <n v="2022"/>
    <d v="2022-04-19T00:00:00"/>
    <s v="April"/>
    <d v="2023-08-13T00:00:00"/>
    <x v="4"/>
    <n v="7"/>
    <n v="12012.75"/>
    <s v="Ayesha Siddiqui"/>
    <n v="59"/>
    <s v="Senior Citezen"/>
    <s v="Good"/>
    <x v="2"/>
    <s v="Cash"/>
    <n v="4"/>
    <s v="iPhone 12"/>
    <n v="84089.25"/>
    <s v="Good"/>
    <s v="Average"/>
  </r>
  <r>
    <s v="Bina58675"/>
    <n v="675"/>
    <n v="19"/>
    <n v="4"/>
    <n v="2022"/>
    <d v="2022-04-19T00:00:00"/>
    <s v="April"/>
    <d v="2023-08-14T00:00:00"/>
    <x v="1"/>
    <n v="4"/>
    <n v="43623.94"/>
    <s v="Bina Singh"/>
    <n v="58"/>
    <s v="Senior Citezen"/>
    <s v="Good"/>
    <x v="1"/>
    <s v="Debit Card"/>
    <n v="5"/>
    <s v="Vivo Y51"/>
    <n v="174495.76"/>
    <s v="Good"/>
    <s v="Good"/>
  </r>
  <r>
    <s v="Lata28676"/>
    <n v="676"/>
    <n v="19"/>
    <n v="4"/>
    <n v="2022"/>
    <d v="2022-04-19T00:00:00"/>
    <s v="April"/>
    <d v="2023-08-15T00:00:00"/>
    <x v="4"/>
    <n v="9"/>
    <n v="51689.65"/>
    <s v="Lata Patel"/>
    <n v="28"/>
    <s v="Teenagers"/>
    <s v="Good"/>
    <x v="1"/>
    <s v="UPI"/>
    <n v="5"/>
    <s v="iPhone 12"/>
    <n v="465206.85000000003"/>
    <s v="Good"/>
    <s v="Excellent"/>
  </r>
  <r>
    <s v="Lali42677"/>
    <n v="677"/>
    <n v="20"/>
    <n v="4"/>
    <n v="2022"/>
    <d v="2022-04-20T00:00:00"/>
    <s v="April"/>
    <d v="2023-08-16T00:00:00"/>
    <x v="0"/>
    <n v="6"/>
    <n v="57747.199999999997"/>
    <s v="Lalita Shah"/>
    <n v="42"/>
    <s v="Adult"/>
    <s v="Good"/>
    <x v="10"/>
    <s v="Debit Card"/>
    <n v="4"/>
    <s v="Mi 11"/>
    <n v="346483.19999999995"/>
    <s v="Good"/>
    <s v="Excellent"/>
  </r>
  <r>
    <s v="Pooj43678"/>
    <n v="678"/>
    <n v="20"/>
    <n v="4"/>
    <n v="2022"/>
    <d v="2022-04-20T00:00:00"/>
    <s v="April"/>
    <d v="2023-08-17T00:00:00"/>
    <x v="1"/>
    <n v="3"/>
    <n v="30412.97"/>
    <s v="Pooja Dutta"/>
    <n v="43"/>
    <s v="Adult"/>
    <s v="Good"/>
    <x v="1"/>
    <s v="UPI"/>
    <n v="5"/>
    <s v="Vivo V20"/>
    <n v="91238.91"/>
    <s v="Good"/>
    <s v="Average"/>
  </r>
  <r>
    <s v="Priy53679"/>
    <n v="679"/>
    <n v="20"/>
    <n v="4"/>
    <n v="2022"/>
    <d v="2022-04-20T00:00:00"/>
    <s v="April"/>
    <d v="2023-08-18T00:00:00"/>
    <x v="0"/>
    <n v="5"/>
    <n v="10391.52"/>
    <s v="Priya Mehta"/>
    <n v="53"/>
    <s v="Senior Citezen"/>
    <s v="Good"/>
    <x v="3"/>
    <s v="Credit Card"/>
    <n v="4"/>
    <s v="Redmi 9"/>
    <n v="51957.600000000006"/>
    <s v="Good"/>
    <s v="Average"/>
  </r>
  <r>
    <s v="Yoge59680"/>
    <n v="680"/>
    <n v="21"/>
    <n v="4"/>
    <n v="2022"/>
    <d v="2022-04-21T00:00:00"/>
    <s v="April"/>
    <d v="2023-08-19T00:00:00"/>
    <x v="3"/>
    <n v="5"/>
    <n v="38771.15"/>
    <s v="Yogesh Mishra"/>
    <n v="59"/>
    <s v="Senior Citezen"/>
    <s v="Good"/>
    <x v="3"/>
    <s v="Cash"/>
    <n v="5"/>
    <s v="Galaxy S21"/>
    <n v="193855.75"/>
    <s v="Good"/>
    <s v="Good"/>
  </r>
  <r>
    <s v="Mala52681"/>
    <n v="681"/>
    <n v="21"/>
    <n v="4"/>
    <n v="2022"/>
    <d v="2022-04-21T00:00:00"/>
    <s v="April"/>
    <d v="2023-08-20T00:00:00"/>
    <x v="0"/>
    <n v="5"/>
    <n v="10951.21"/>
    <s v="Mala Goyal"/>
    <n v="52"/>
    <s v="Senior Citezen"/>
    <s v="Good"/>
    <x v="1"/>
    <s v="Credit Card"/>
    <n v="5"/>
    <s v="Redmi Note 10"/>
    <n v="54756.049999999996"/>
    <s v="Good"/>
    <s v="Average"/>
  </r>
  <r>
    <s v="Vino55682"/>
    <n v="682"/>
    <n v="21"/>
    <n v="4"/>
    <n v="2022"/>
    <d v="2022-04-21T00:00:00"/>
    <s v="April"/>
    <d v="2023-08-21T00:00:00"/>
    <x v="3"/>
    <n v="8"/>
    <n v="15519.07"/>
    <s v="Vinod Chatterjee"/>
    <n v="55"/>
    <s v="Senior Citezen"/>
    <s v="Good"/>
    <x v="1"/>
    <s v="Cash"/>
    <n v="5"/>
    <s v="Galaxy A51"/>
    <n v="124152.56"/>
    <s v="Good"/>
    <s v="Good"/>
  </r>
  <r>
    <s v="Suni20683"/>
    <n v="683"/>
    <n v="22"/>
    <n v="4"/>
    <n v="2022"/>
    <d v="2022-04-22T00:00:00"/>
    <s v="April"/>
    <d v="2023-08-22T00:00:00"/>
    <x v="3"/>
    <n v="9"/>
    <n v="29601.34"/>
    <s v="Sunita Luthra"/>
    <n v="20"/>
    <s v="Teenagers"/>
    <s v="Good"/>
    <x v="9"/>
    <s v="UPI"/>
    <n v="5"/>
    <s v="Galaxy A51"/>
    <n v="266412.06"/>
    <s v="Good"/>
    <s v="Excellent"/>
  </r>
  <r>
    <s v="Anan58684"/>
    <n v="684"/>
    <n v="22"/>
    <n v="4"/>
    <n v="2022"/>
    <d v="2022-04-22T00:00:00"/>
    <s v="April"/>
    <d v="2023-08-23T00:00:00"/>
    <x v="0"/>
    <n v="9"/>
    <n v="36230.32"/>
    <s v="Anand Joshi"/>
    <n v="58"/>
    <s v="Senior Citezen"/>
    <s v="Good"/>
    <x v="14"/>
    <s v="Credit Card"/>
    <n v="5"/>
    <s v="Mi 11"/>
    <n v="326072.88"/>
    <s v="Good"/>
    <s v="Excellent"/>
  </r>
  <r>
    <s v="Lata52685"/>
    <n v="685"/>
    <n v="22"/>
    <n v="4"/>
    <n v="2022"/>
    <d v="2022-04-22T00:00:00"/>
    <s v="April"/>
    <d v="2023-08-24T00:00:00"/>
    <x v="1"/>
    <n v="6"/>
    <n v="26768.17"/>
    <s v="Lata Chaudhary"/>
    <n v="52"/>
    <s v="Senior Citezen"/>
    <s v="Good"/>
    <x v="9"/>
    <s v="Cash"/>
    <n v="4"/>
    <s v="Vivo Y51"/>
    <n v="160609.01999999999"/>
    <s v="Good"/>
    <s v="Good"/>
  </r>
  <r>
    <s v="Hari57686"/>
    <n v="686"/>
    <n v="22"/>
    <n v="4"/>
    <n v="2022"/>
    <d v="2022-04-22T00:00:00"/>
    <s v="April"/>
    <d v="2023-08-25T00:00:00"/>
    <x v="4"/>
    <n v="6"/>
    <n v="44911.92"/>
    <s v="Harish Mehta"/>
    <n v="57"/>
    <s v="Senior Citezen"/>
    <s v="Good"/>
    <x v="7"/>
    <s v="UPI"/>
    <n v="5"/>
    <s v="iPhone 12"/>
    <n v="269471.52"/>
    <s v="Good"/>
    <s v="Excellent"/>
  </r>
  <r>
    <s v="Neet39687"/>
    <n v="687"/>
    <n v="23"/>
    <n v="4"/>
    <n v="2022"/>
    <d v="2022-04-23T00:00:00"/>
    <s v="April"/>
    <d v="2023-08-26T00:00:00"/>
    <x v="4"/>
    <n v="9"/>
    <n v="13320.99"/>
    <s v="Neeta Menon"/>
    <n v="39"/>
    <s v="Adult"/>
    <s v="Good"/>
    <x v="2"/>
    <s v="Credit Card"/>
    <n v="5"/>
    <s v="iPhone 12"/>
    <n v="119888.91"/>
    <s v="Good"/>
    <s v="Good"/>
  </r>
  <r>
    <s v="Pank25688"/>
    <n v="688"/>
    <n v="23"/>
    <n v="4"/>
    <n v="2022"/>
    <d v="2022-04-23T00:00:00"/>
    <s v="April"/>
    <d v="2023-08-27T00:00:00"/>
    <x v="3"/>
    <n v="4"/>
    <n v="18674.78"/>
    <s v="Pankaj Shah"/>
    <n v="25"/>
    <s v="Teenagers"/>
    <s v="AVG"/>
    <x v="18"/>
    <s v="Credit Card"/>
    <n v="3"/>
    <s v="Galaxy S21"/>
    <n v="74699.12"/>
    <s v="Average"/>
    <s v="Average"/>
  </r>
  <r>
    <s v="Pras32689"/>
    <n v="689"/>
    <n v="23"/>
    <n v="4"/>
    <n v="2022"/>
    <d v="2022-04-23T00:00:00"/>
    <s v="April"/>
    <d v="2023-08-28T00:00:00"/>
    <x v="3"/>
    <n v="6"/>
    <n v="51715.5"/>
    <s v="Prashant Deshmukh"/>
    <n v="32"/>
    <s v="Adult"/>
    <s v="Good"/>
    <x v="1"/>
    <s v="Credit Card"/>
    <n v="5"/>
    <s v="Galaxy A51"/>
    <n v="310293"/>
    <s v="Good"/>
    <s v="Excellent"/>
  </r>
  <r>
    <s v="Suni24690"/>
    <n v="690"/>
    <n v="23"/>
    <n v="4"/>
    <n v="2022"/>
    <d v="2022-04-23T00:00:00"/>
    <s v="April"/>
    <d v="2023-08-29T00:00:00"/>
    <x v="1"/>
    <n v="4"/>
    <n v="18528.45"/>
    <s v="Sunita Verma"/>
    <n v="24"/>
    <s v="Teenagers"/>
    <s v="Good"/>
    <x v="1"/>
    <s v="Credit Card"/>
    <n v="5"/>
    <s v="Vivo Y51"/>
    <n v="74113.8"/>
    <s v="Good"/>
    <s v="Average"/>
  </r>
  <r>
    <s v="Gita36691"/>
    <n v="691"/>
    <n v="24"/>
    <n v="4"/>
    <n v="2022"/>
    <d v="2022-04-24T00:00:00"/>
    <s v="April"/>
    <d v="2023-08-30T00:00:00"/>
    <x v="2"/>
    <n v="1"/>
    <n v="48386.51"/>
    <s v="Gita Teja"/>
    <n v="36"/>
    <s v="Adult"/>
    <s v="Good"/>
    <x v="7"/>
    <s v="Debit Card"/>
    <n v="5"/>
    <s v="OnePlus 9"/>
    <n v="48386.51"/>
    <s v="Good"/>
    <s v="Low"/>
  </r>
  <r>
    <s v="Sach57692"/>
    <n v="692"/>
    <n v="24"/>
    <n v="4"/>
    <n v="2022"/>
    <d v="2022-04-24T00:00:00"/>
    <s v="April"/>
    <d v="2023-08-31T00:00:00"/>
    <x v="0"/>
    <n v="7"/>
    <n v="13281.08"/>
    <s v="Sachin Goyal"/>
    <n v="57"/>
    <s v="Senior Citezen"/>
    <s v="AVG"/>
    <x v="13"/>
    <s v="UPI"/>
    <n v="3"/>
    <s v="Mi 11"/>
    <n v="92967.56"/>
    <s v="Average"/>
    <s v="Average"/>
  </r>
  <r>
    <s v="Bina59693"/>
    <n v="693"/>
    <n v="24"/>
    <n v="4"/>
    <n v="2022"/>
    <d v="2022-04-24T00:00:00"/>
    <s v="April"/>
    <d v="2023-09-01T00:00:00"/>
    <x v="3"/>
    <n v="6"/>
    <n v="34442.94"/>
    <s v="Bina Goyal"/>
    <n v="59"/>
    <s v="Senior Citezen"/>
    <s v="Good"/>
    <x v="0"/>
    <s v="Debit Card"/>
    <n v="5"/>
    <s v="Galaxy Note 20"/>
    <n v="206657.64"/>
    <s v="Good"/>
    <s v="Excellent"/>
  </r>
  <r>
    <s v="Sneh34694"/>
    <n v="694"/>
    <n v="24"/>
    <n v="4"/>
    <n v="2022"/>
    <d v="2022-04-24T00:00:00"/>
    <s v="April"/>
    <d v="2023-09-02T00:00:00"/>
    <x v="4"/>
    <n v="9"/>
    <n v="20644.57"/>
    <s v="Sneha Arora"/>
    <n v="34"/>
    <s v="Adult"/>
    <s v="Good"/>
    <x v="1"/>
    <s v="UPI"/>
    <n v="5"/>
    <s v="iPhone SE"/>
    <n v="185801.13"/>
    <s v="Good"/>
    <s v="Good"/>
  </r>
  <r>
    <s v="Ravi18695"/>
    <n v="695"/>
    <n v="25"/>
    <n v="4"/>
    <n v="2022"/>
    <d v="2022-04-25T00:00:00"/>
    <s v="April"/>
    <d v="2023-09-03T00:00:00"/>
    <x v="1"/>
    <n v="7"/>
    <n v="16578.18"/>
    <s v="Ravi Reddy"/>
    <n v="18"/>
    <s v="Teenagers"/>
    <s v="Good"/>
    <x v="14"/>
    <s v="UPI"/>
    <n v="5"/>
    <s v="Vivo S1"/>
    <n v="116047.26000000001"/>
    <s v="Good"/>
    <s v="Good"/>
  </r>
  <r>
    <s v="Navi46696"/>
    <n v="696"/>
    <n v="25"/>
    <n v="4"/>
    <n v="2022"/>
    <d v="2022-04-25T00:00:00"/>
    <s v="April"/>
    <d v="2023-09-04T00:00:00"/>
    <x v="0"/>
    <n v="7"/>
    <n v="44021.97"/>
    <s v="Navin Pathak"/>
    <n v="46"/>
    <s v="Senior Citezen"/>
    <s v="Good"/>
    <x v="9"/>
    <s v="UPI"/>
    <n v="4"/>
    <s v="Redmi Note 10"/>
    <n v="308153.79000000004"/>
    <s v="Good"/>
    <s v="Excellent"/>
  </r>
  <r>
    <s v="Nikh30697"/>
    <n v="697"/>
    <n v="25"/>
    <n v="4"/>
    <n v="2022"/>
    <d v="2022-04-25T00:00:00"/>
    <s v="April"/>
    <d v="2023-09-05T00:00:00"/>
    <x v="1"/>
    <n v="2"/>
    <n v="65700.149999999994"/>
    <s v="Nikhil Jain"/>
    <n v="30"/>
    <s v="Teenagers"/>
    <s v="AVG"/>
    <x v="2"/>
    <s v="Cash"/>
    <n v="3"/>
    <s v="Vivo V20"/>
    <n v="131400.29999999999"/>
    <s v="Average"/>
    <s v="Good"/>
  </r>
  <r>
    <s v="Amit46698"/>
    <n v="698"/>
    <n v="26"/>
    <n v="4"/>
    <n v="2022"/>
    <d v="2022-04-26T00:00:00"/>
    <s v="April"/>
    <d v="2023-09-06T00:00:00"/>
    <x v="0"/>
    <n v="9"/>
    <n v="13287.22"/>
    <s v="Amit Ghosh"/>
    <n v="46"/>
    <s v="Senior Citezen"/>
    <s v="Good"/>
    <x v="11"/>
    <s v="UPI"/>
    <n v="5"/>
    <s v="Redmi Note 10"/>
    <n v="119584.98"/>
    <s v="Good"/>
    <s v="Good"/>
  </r>
  <r>
    <s v="Lali58699"/>
    <n v="699"/>
    <n v="26"/>
    <n v="4"/>
    <n v="2022"/>
    <d v="2022-04-26T00:00:00"/>
    <s v="April"/>
    <d v="2023-09-07T00:00:00"/>
    <x v="0"/>
    <n v="9"/>
    <n v="35293.25"/>
    <s v="Lalita Rathod"/>
    <n v="58"/>
    <s v="Senior Citezen"/>
    <s v="Good"/>
    <x v="2"/>
    <s v="Credit Card"/>
    <n v="5"/>
    <s v="Redmi Note 10"/>
    <n v="317639.25"/>
    <s v="Good"/>
    <s v="Excellent"/>
  </r>
  <r>
    <s v="Isha59700"/>
    <n v="700"/>
    <n v="26"/>
    <n v="4"/>
    <n v="2022"/>
    <d v="2022-04-26T00:00:00"/>
    <s v="April"/>
    <d v="2023-09-08T00:00:00"/>
    <x v="3"/>
    <n v="6"/>
    <n v="52452.13"/>
    <s v="Isha Kaur"/>
    <n v="59"/>
    <s v="Senior Citezen"/>
    <s v="Good"/>
    <x v="14"/>
    <s v="Debit Card"/>
    <n v="5"/>
    <s v="Galaxy S21"/>
    <n v="314712.77999999997"/>
    <s v="Good"/>
    <s v="Excellent"/>
  </r>
  <r>
    <s v="Vive23701"/>
    <n v="701"/>
    <n v="27"/>
    <n v="4"/>
    <n v="2022"/>
    <d v="2022-04-27T00:00:00"/>
    <s v="April"/>
    <d v="2023-09-09T00:00:00"/>
    <x v="1"/>
    <n v="3"/>
    <n v="37761.269999999997"/>
    <s v="Vivek Mishra"/>
    <n v="23"/>
    <s v="Teenagers"/>
    <s v="Good"/>
    <x v="1"/>
    <s v="Credit Card"/>
    <n v="5"/>
    <s v="Vivo Y51"/>
    <n v="113283.81"/>
    <s v="Good"/>
    <s v="Good"/>
  </r>
  <r>
    <s v="Kavi22702"/>
    <n v="702"/>
    <n v="27"/>
    <n v="4"/>
    <n v="2022"/>
    <d v="2022-04-27T00:00:00"/>
    <s v="April"/>
    <d v="2023-09-10T00:00:00"/>
    <x v="1"/>
    <n v="1"/>
    <n v="58389.760000000002"/>
    <s v="Kavita Desai"/>
    <n v="22"/>
    <s v="Teenagers"/>
    <s v="Good"/>
    <x v="12"/>
    <s v="Credit Card"/>
    <n v="5"/>
    <s v="Vivo Y51"/>
    <n v="58389.760000000002"/>
    <s v="Good"/>
    <s v="Average"/>
  </r>
  <r>
    <s v="Anja51703"/>
    <n v="703"/>
    <n v="27"/>
    <n v="4"/>
    <n v="2022"/>
    <d v="2022-04-27T00:00:00"/>
    <s v="April"/>
    <d v="2023-09-11T00:00:00"/>
    <x v="4"/>
    <n v="4"/>
    <n v="20778.72"/>
    <s v="Anjali Pathak"/>
    <n v="51"/>
    <s v="Senior Citezen"/>
    <s v="Good"/>
    <x v="7"/>
    <s v="Debit Card"/>
    <n v="4"/>
    <s v="iPhone SE"/>
    <n v="83114.880000000005"/>
    <s v="Good"/>
    <s v="Average"/>
  </r>
  <r>
    <s v="Moni28704"/>
    <n v="704"/>
    <n v="28"/>
    <n v="4"/>
    <n v="2022"/>
    <d v="2022-04-28T00:00:00"/>
    <s v="April"/>
    <d v="2023-09-12T00:00:00"/>
    <x v="4"/>
    <n v="3"/>
    <n v="67575.649999999994"/>
    <s v="Monika Rathod"/>
    <n v="28"/>
    <s v="Teenagers"/>
    <s v="Good"/>
    <x v="2"/>
    <s v="Credit Card"/>
    <n v="5"/>
    <s v="iPhone SE"/>
    <n v="202726.94999999998"/>
    <s v="Good"/>
    <s v="Excellent"/>
  </r>
  <r>
    <s v="Anit26705"/>
    <n v="705"/>
    <n v="28"/>
    <n v="4"/>
    <n v="2022"/>
    <d v="2022-04-28T00:00:00"/>
    <s v="April"/>
    <d v="2023-09-13T00:00:00"/>
    <x v="3"/>
    <n v="1"/>
    <n v="33109.760000000002"/>
    <s v="Anita Kulkarni"/>
    <n v="26"/>
    <s v="Teenagers"/>
    <s v="Good"/>
    <x v="1"/>
    <s v="Cash"/>
    <n v="5"/>
    <s v="Galaxy Note 20"/>
    <n v="33109.760000000002"/>
    <s v="Good"/>
    <s v="Low"/>
  </r>
  <r>
    <s v="Nami55706"/>
    <n v="706"/>
    <n v="28"/>
    <n v="4"/>
    <n v="2022"/>
    <d v="2022-04-28T00:00:00"/>
    <s v="April"/>
    <d v="2023-09-14T00:00:00"/>
    <x v="3"/>
    <n v="3"/>
    <n v="30494.18"/>
    <s v="Namita Patel"/>
    <n v="55"/>
    <s v="Senior Citezen"/>
    <s v="Good"/>
    <x v="2"/>
    <s v="Credit Card"/>
    <n v="5"/>
    <s v="Galaxy A51"/>
    <n v="91482.540000000008"/>
    <s v="Good"/>
    <s v="Average"/>
  </r>
  <r>
    <s v="Priy57707"/>
    <n v="707"/>
    <n v="28"/>
    <n v="4"/>
    <n v="2022"/>
    <d v="2022-04-28T00:00:00"/>
    <s v="April"/>
    <d v="2023-09-15T00:00:00"/>
    <x v="2"/>
    <n v="4"/>
    <n v="62476.35"/>
    <s v="Priyanka Goyal"/>
    <n v="57"/>
    <s v="Senior Citezen"/>
    <s v="Good"/>
    <x v="1"/>
    <s v="Credit Card"/>
    <n v="5"/>
    <s v="OnePlus Nord"/>
    <n v="249905.4"/>
    <s v="Good"/>
    <s v="Excellent"/>
  </r>
  <r>
    <s v="Bina58708"/>
    <n v="708"/>
    <n v="29"/>
    <n v="4"/>
    <n v="2022"/>
    <d v="2022-04-29T00:00:00"/>
    <s v="April"/>
    <d v="2023-09-16T00:00:00"/>
    <x v="4"/>
    <n v="8"/>
    <n v="43832.02"/>
    <s v="Bina Siddiqui"/>
    <n v="58"/>
    <s v="Senior Citezen"/>
    <s v="Good"/>
    <x v="1"/>
    <s v="Debit Card"/>
    <n v="5"/>
    <s v="iPhone 12"/>
    <n v="350656.16"/>
    <s v="Good"/>
    <s v="Excellent"/>
  </r>
  <r>
    <s v="Meen26709"/>
    <n v="709"/>
    <n v="29"/>
    <n v="4"/>
    <n v="2022"/>
    <d v="2022-04-29T00:00:00"/>
    <s v="April"/>
    <d v="2023-09-17T00:00:00"/>
    <x v="0"/>
    <n v="9"/>
    <n v="40986.660000000003"/>
    <s v="Meena Verma"/>
    <n v="26"/>
    <s v="Teenagers"/>
    <s v="Good"/>
    <x v="4"/>
    <s v="Credit Card"/>
    <n v="5"/>
    <s v="Redmi 9"/>
    <n v="368879.94000000006"/>
    <s v="Good"/>
    <s v="Excellent"/>
  </r>
  <r>
    <s v="Adit25710"/>
    <n v="710"/>
    <n v="29"/>
    <n v="4"/>
    <n v="2022"/>
    <d v="2022-04-29T00:00:00"/>
    <s v="April"/>
    <d v="2023-09-18T00:00:00"/>
    <x v="1"/>
    <n v="3"/>
    <n v="53618.68"/>
    <s v="Aditya Rao"/>
    <n v="25"/>
    <s v="Teenagers"/>
    <s v="Good"/>
    <x v="16"/>
    <s v="Debit Card"/>
    <n v="5"/>
    <s v="Vivo S1"/>
    <n v="160856.04"/>
    <s v="Good"/>
    <s v="Good"/>
  </r>
  <r>
    <s v="Roha57711"/>
    <n v="711"/>
    <n v="30"/>
    <n v="4"/>
    <n v="2022"/>
    <d v="2022-04-30T00:00:00"/>
    <s v="April"/>
    <d v="2023-09-19T00:00:00"/>
    <x v="3"/>
    <n v="6"/>
    <n v="44790.05"/>
    <s v="Rohan Goyal"/>
    <n v="57"/>
    <s v="Senior Citezen"/>
    <s v="AVG"/>
    <x v="2"/>
    <s v="UPI"/>
    <n v="3"/>
    <s v="Galaxy A51"/>
    <n v="268740.30000000005"/>
    <s v="Average"/>
    <s v="Excellent"/>
  </r>
  <r>
    <s v="Amit20712"/>
    <n v="712"/>
    <n v="30"/>
    <n v="4"/>
    <n v="2022"/>
    <d v="2022-04-30T00:00:00"/>
    <s v="April"/>
    <d v="2023-09-20T00:00:00"/>
    <x v="1"/>
    <n v="5"/>
    <n v="19750.939999999999"/>
    <s v="Amit Chatterjee"/>
    <n v="20"/>
    <s v="Teenagers"/>
    <s v="Good"/>
    <x v="10"/>
    <s v="UPI"/>
    <n v="5"/>
    <s v="Vivo Y51"/>
    <n v="98754.7"/>
    <s v="Good"/>
    <s v="Average"/>
  </r>
  <r>
    <s v="Deve30713"/>
    <n v="713"/>
    <n v="30"/>
    <n v="4"/>
    <n v="2022"/>
    <d v="2022-04-30T00:00:00"/>
    <s v="April"/>
    <d v="2023-09-21T00:00:00"/>
    <x v="1"/>
    <n v="6"/>
    <n v="50451.86"/>
    <s v="Devendra Singh"/>
    <n v="30"/>
    <s v="Teenagers"/>
    <s v="Good"/>
    <x v="8"/>
    <s v="Cash"/>
    <n v="5"/>
    <s v="Vivo Y51"/>
    <n v="302711.16000000003"/>
    <s v="Good"/>
    <s v="Excellent"/>
  </r>
  <r>
    <s v="Bhav36714"/>
    <n v="714"/>
    <n v="1"/>
    <n v="5"/>
    <n v="2022"/>
    <d v="2022-05-01T00:00:00"/>
    <s v="May"/>
    <d v="2023-09-22T00:00:00"/>
    <x v="2"/>
    <n v="4"/>
    <n v="18008.13"/>
    <s v="Bhavana Malhotra"/>
    <n v="36"/>
    <s v="Adult"/>
    <s v="Good"/>
    <x v="4"/>
    <s v="Debit Card"/>
    <n v="5"/>
    <s v="OnePlus 9"/>
    <n v="72032.52"/>
    <s v="Good"/>
    <s v="Average"/>
  </r>
  <r>
    <s v="Lata51715"/>
    <n v="715"/>
    <n v="1"/>
    <n v="5"/>
    <n v="2022"/>
    <d v="2022-05-01T00:00:00"/>
    <s v="May"/>
    <d v="2023-09-23T00:00:00"/>
    <x v="4"/>
    <n v="6"/>
    <n v="58351.46"/>
    <s v="Lata Shah"/>
    <n v="51"/>
    <s v="Senior Citezen"/>
    <s v="Good"/>
    <x v="13"/>
    <s v="Debit Card"/>
    <n v="4"/>
    <s v="iPhone SE"/>
    <n v="350108.76"/>
    <s v="Good"/>
    <s v="Excellent"/>
  </r>
  <r>
    <s v="Vija49716"/>
    <n v="716"/>
    <n v="1"/>
    <n v="5"/>
    <n v="2022"/>
    <d v="2022-05-01T00:00:00"/>
    <s v="May"/>
    <d v="2023-09-24T00:00:00"/>
    <x v="3"/>
    <n v="7"/>
    <n v="69384.2"/>
    <s v="Vijay Malhotra"/>
    <n v="49"/>
    <s v="Senior Citezen"/>
    <s v="Good"/>
    <x v="2"/>
    <s v="Debit Card"/>
    <n v="5"/>
    <s v="Galaxy Note 20"/>
    <n v="485689.39999999997"/>
    <s v="Good"/>
    <s v="Excellent"/>
  </r>
  <r>
    <s v="Tapa33717"/>
    <n v="717"/>
    <n v="1"/>
    <n v="5"/>
    <n v="2022"/>
    <d v="2022-05-01T00:00:00"/>
    <s v="May"/>
    <d v="2023-09-25T00:00:00"/>
    <x v="1"/>
    <n v="9"/>
    <n v="32643.26"/>
    <s v="Tapan Luthra"/>
    <n v="33"/>
    <s v="Adult"/>
    <s v="Good"/>
    <x v="1"/>
    <s v="Cash"/>
    <n v="5"/>
    <s v="Vivo V20"/>
    <n v="293789.33999999997"/>
    <s v="Good"/>
    <s v="Excellent"/>
  </r>
  <r>
    <s v="Vive53718"/>
    <n v="718"/>
    <n v="2"/>
    <n v="5"/>
    <n v="2022"/>
    <d v="2022-05-02T00:00:00"/>
    <s v="May"/>
    <d v="2023-09-26T00:00:00"/>
    <x v="3"/>
    <n v="7"/>
    <n v="36685.35"/>
    <s v="Vivek Alva"/>
    <n v="53"/>
    <s v="Senior Citezen"/>
    <s v="Good"/>
    <x v="1"/>
    <s v="Cash"/>
    <n v="4"/>
    <s v="Galaxy A51"/>
    <n v="256797.44999999998"/>
    <s v="Good"/>
    <s v="Excellent"/>
  </r>
  <r>
    <s v="Mano35719"/>
    <n v="719"/>
    <n v="2"/>
    <n v="5"/>
    <n v="2022"/>
    <d v="2022-05-02T00:00:00"/>
    <s v="May"/>
    <d v="2023-09-27T00:00:00"/>
    <x v="0"/>
    <n v="6"/>
    <n v="12786.02"/>
    <s v="Manoj Luthra"/>
    <n v="35"/>
    <s v="Adult"/>
    <s v="Good"/>
    <x v="10"/>
    <s v="Credit Card"/>
    <n v="5"/>
    <s v="Redmi Note 10"/>
    <n v="76716.12"/>
    <s v="Good"/>
    <s v="Average"/>
  </r>
  <r>
    <s v="Sach31720"/>
    <n v="720"/>
    <n v="2"/>
    <n v="5"/>
    <n v="2022"/>
    <d v="2022-05-02T00:00:00"/>
    <s v="May"/>
    <d v="2023-09-28T00:00:00"/>
    <x v="2"/>
    <n v="1"/>
    <n v="10823.99"/>
    <s v="Sachin Jain"/>
    <n v="31"/>
    <s v="Adult"/>
    <s v="Good"/>
    <x v="13"/>
    <s v="Debit Card"/>
    <n v="5"/>
    <s v="OnePlus 9"/>
    <n v="10823.99"/>
    <s v="Good"/>
    <s v="Low"/>
  </r>
  <r>
    <s v="Sumi47721"/>
    <n v="721"/>
    <n v="3"/>
    <n v="5"/>
    <n v="2022"/>
    <d v="2022-05-03T00:00:00"/>
    <s v="May"/>
    <d v="2023-09-29T00:00:00"/>
    <x v="0"/>
    <n v="2"/>
    <n v="65285.16"/>
    <s v="Sumit Joshi"/>
    <n v="47"/>
    <s v="Senior Citezen"/>
    <s v="Good"/>
    <x v="10"/>
    <s v="Cash"/>
    <n v="5"/>
    <s v="Redmi 9"/>
    <n v="130570.32"/>
    <s v="Good"/>
    <s v="Good"/>
  </r>
  <r>
    <s v="Bhav19722"/>
    <n v="722"/>
    <n v="3"/>
    <n v="5"/>
    <n v="2022"/>
    <d v="2022-05-03T00:00:00"/>
    <s v="May"/>
    <d v="2023-09-30T00:00:00"/>
    <x v="3"/>
    <n v="1"/>
    <n v="17717.439999999999"/>
    <s v="Bhavana Varma"/>
    <n v="19"/>
    <s v="Teenagers"/>
    <s v="Good"/>
    <x v="1"/>
    <s v="UPI"/>
    <n v="4"/>
    <s v="Galaxy Note 20"/>
    <n v="17717.439999999999"/>
    <s v="Good"/>
    <s v="Low"/>
  </r>
  <r>
    <s v="Jyot30723"/>
    <n v="723"/>
    <n v="3"/>
    <n v="5"/>
    <n v="2022"/>
    <d v="2022-05-03T00:00:00"/>
    <s v="May"/>
    <d v="2023-10-01T00:00:00"/>
    <x v="3"/>
    <n v="9"/>
    <n v="36746.720000000001"/>
    <s v="Jyoti Alva"/>
    <n v="30"/>
    <s v="Teenagers"/>
    <s v="Good"/>
    <x v="16"/>
    <s v="UPI"/>
    <n v="5"/>
    <s v="Galaxy A51"/>
    <n v="330720.48"/>
    <s v="Good"/>
    <s v="Excellent"/>
  </r>
  <r>
    <s v="Amit44724"/>
    <n v="724"/>
    <n v="3"/>
    <n v="5"/>
    <n v="2022"/>
    <d v="2022-05-03T00:00:00"/>
    <s v="May"/>
    <d v="2023-10-02T00:00:00"/>
    <x v="4"/>
    <n v="9"/>
    <n v="58921.279999999999"/>
    <s v="Amit Ghosh"/>
    <n v="44"/>
    <s v="Adult"/>
    <s v="Good"/>
    <x v="6"/>
    <s v="Debit Card"/>
    <n v="5"/>
    <s v="iPhone SE"/>
    <n v="530291.52"/>
    <s v="Good"/>
    <s v="Excellent"/>
  </r>
  <r>
    <s v="Arun34725"/>
    <n v="725"/>
    <n v="4"/>
    <n v="5"/>
    <n v="2022"/>
    <d v="2022-05-04T00:00:00"/>
    <s v="May"/>
    <d v="2023-10-03T00:00:00"/>
    <x v="1"/>
    <n v="7"/>
    <n v="63359.13"/>
    <s v="Arun Sheth"/>
    <n v="34"/>
    <s v="Adult"/>
    <s v="Good"/>
    <x v="3"/>
    <s v="UPI"/>
    <n v="5"/>
    <s v="Vivo S1"/>
    <n v="443513.91"/>
    <s v="Good"/>
    <s v="Excellent"/>
  </r>
  <r>
    <s v="Meen48726"/>
    <n v="726"/>
    <n v="4"/>
    <n v="5"/>
    <n v="2022"/>
    <d v="2022-05-04T00:00:00"/>
    <s v="May"/>
    <d v="2023-10-04T00:00:00"/>
    <x v="1"/>
    <n v="2"/>
    <n v="41163.86"/>
    <s v="Meena Malhotra"/>
    <n v="48"/>
    <s v="Senior Citezen"/>
    <s v="Good"/>
    <x v="1"/>
    <s v="Credit Card"/>
    <n v="4"/>
    <s v="Vivo Y51"/>
    <n v="82327.72"/>
    <s v="Good"/>
    <s v="Average"/>
  </r>
  <r>
    <s v="Pank32727"/>
    <n v="727"/>
    <n v="4"/>
    <n v="5"/>
    <n v="2022"/>
    <d v="2022-05-04T00:00:00"/>
    <s v="May"/>
    <d v="2023-10-05T00:00:00"/>
    <x v="0"/>
    <n v="6"/>
    <n v="43901.95"/>
    <s v="Pankaj Shah"/>
    <n v="32"/>
    <s v="Adult"/>
    <s v="Good"/>
    <x v="8"/>
    <s v="Credit Card"/>
    <n v="4"/>
    <s v="Redmi 9"/>
    <n v="263411.69999999995"/>
    <s v="Good"/>
    <s v="Excellent"/>
  </r>
  <r>
    <s v="Ravi37728"/>
    <n v="728"/>
    <n v="4"/>
    <n v="5"/>
    <n v="2022"/>
    <d v="2022-05-04T00:00:00"/>
    <s v="May"/>
    <d v="2023-10-06T00:00:00"/>
    <x v="2"/>
    <n v="4"/>
    <n v="50181.04"/>
    <s v="Ravi Varma"/>
    <n v="37"/>
    <s v="Adult"/>
    <s v="Good"/>
    <x v="7"/>
    <s v="Debit Card"/>
    <n v="5"/>
    <s v="OnePlus 8T"/>
    <n v="200724.16"/>
    <s v="Good"/>
    <s v="Excellent"/>
  </r>
  <r>
    <s v="Tanu22729"/>
    <n v="729"/>
    <n v="5"/>
    <n v="5"/>
    <n v="2022"/>
    <d v="2022-05-05T00:00:00"/>
    <s v="May"/>
    <d v="2023-10-07T00:00:00"/>
    <x v="1"/>
    <n v="1"/>
    <n v="67682.95"/>
    <s v="Tanuja Reddy"/>
    <n v="22"/>
    <s v="Teenagers"/>
    <s v="Good"/>
    <x v="1"/>
    <s v="Cash"/>
    <n v="4"/>
    <s v="Vivo V20"/>
    <n v="67682.95"/>
    <s v="Good"/>
    <s v="Average"/>
  </r>
  <r>
    <s v="Suni24730"/>
    <n v="730"/>
    <n v="5"/>
    <n v="5"/>
    <n v="2022"/>
    <d v="2022-05-05T00:00:00"/>
    <s v="May"/>
    <d v="2023-10-08T00:00:00"/>
    <x v="4"/>
    <n v="1"/>
    <n v="46160.2"/>
    <s v="Sunita Mehta"/>
    <n v="24"/>
    <s v="Teenagers"/>
    <s v="Good"/>
    <x v="1"/>
    <s v="Cash"/>
    <n v="5"/>
    <s v="iPhone 11"/>
    <n v="46160.2"/>
    <s v="Good"/>
    <s v="Low"/>
  </r>
  <r>
    <s v="Lali35731"/>
    <n v="731"/>
    <n v="5"/>
    <n v="5"/>
    <n v="2022"/>
    <d v="2022-05-05T00:00:00"/>
    <s v="May"/>
    <d v="2023-10-09T00:00:00"/>
    <x v="0"/>
    <n v="5"/>
    <n v="43568.52"/>
    <s v="Lalita Patel"/>
    <n v="35"/>
    <s v="Adult"/>
    <s v="Good"/>
    <x v="7"/>
    <s v="Cash"/>
    <n v="4"/>
    <s v="Redmi Note 10"/>
    <n v="217842.59999999998"/>
    <s v="Good"/>
    <s v="Excellent"/>
  </r>
  <r>
    <s v="Anja28732"/>
    <n v="732"/>
    <n v="5"/>
    <n v="5"/>
    <n v="2022"/>
    <d v="2022-05-05T00:00:00"/>
    <s v="May"/>
    <d v="2023-10-10T00:00:00"/>
    <x v="0"/>
    <n v="2"/>
    <n v="10872.05"/>
    <s v="Anjali Thakur"/>
    <n v="28"/>
    <s v="Teenagers"/>
    <s v="AVG"/>
    <x v="1"/>
    <s v="Cash"/>
    <n v="3"/>
    <s v="Redmi Note 10"/>
    <n v="21744.1"/>
    <s v="Average"/>
    <s v="Low"/>
  </r>
  <r>
    <s v="Yoge49733"/>
    <n v="733"/>
    <n v="6"/>
    <n v="5"/>
    <n v="2022"/>
    <d v="2022-05-06T00:00:00"/>
    <s v="May"/>
    <d v="2023-10-11T00:00:00"/>
    <x v="4"/>
    <n v="4"/>
    <n v="14856.98"/>
    <s v="Yogesh Malhotra"/>
    <n v="49"/>
    <s v="Senior Citezen"/>
    <s v="Good"/>
    <x v="1"/>
    <s v="Debit Card"/>
    <n v="5"/>
    <s v="iPhone SE"/>
    <n v="59427.92"/>
    <s v="Good"/>
    <s v="Average"/>
  </r>
  <r>
    <s v="Deep44734"/>
    <n v="734"/>
    <n v="6"/>
    <n v="5"/>
    <n v="2022"/>
    <d v="2022-05-06T00:00:00"/>
    <s v="May"/>
    <d v="2023-10-12T00:00:00"/>
    <x v="2"/>
    <n v="1"/>
    <n v="44630.3"/>
    <s v="Deepika Malhotra"/>
    <n v="44"/>
    <s v="Adult"/>
    <s v="Good"/>
    <x v="13"/>
    <s v="Credit Card"/>
    <n v="5"/>
    <s v="OnePlus 8T"/>
    <n v="44630.3"/>
    <s v="Good"/>
    <s v="Low"/>
  </r>
  <r>
    <s v="Suni43735"/>
    <n v="735"/>
    <n v="6"/>
    <n v="5"/>
    <n v="2022"/>
    <d v="2022-05-06T00:00:00"/>
    <s v="May"/>
    <d v="2023-10-13T00:00:00"/>
    <x v="4"/>
    <n v="4"/>
    <n v="66174.42"/>
    <s v="Sunil Varma"/>
    <n v="43"/>
    <s v="Adult"/>
    <s v="Good"/>
    <x v="1"/>
    <s v="Debit Card"/>
    <n v="5"/>
    <s v="iPhone 12"/>
    <n v="264697.68"/>
    <s v="Good"/>
    <s v="Excellent"/>
  </r>
  <r>
    <s v="Jyot54736"/>
    <n v="736"/>
    <n v="7"/>
    <n v="5"/>
    <n v="2022"/>
    <d v="2022-05-07T00:00:00"/>
    <s v="May"/>
    <d v="2023-10-14T00:00:00"/>
    <x v="2"/>
    <n v="6"/>
    <n v="62001.48"/>
    <s v="Jyoti Iyer"/>
    <n v="54"/>
    <s v="Senior Citezen"/>
    <s v="Good"/>
    <x v="2"/>
    <s v="Debit Card"/>
    <n v="5"/>
    <s v="OnePlus 9"/>
    <n v="372008.88"/>
    <s v="Good"/>
    <s v="Excellent"/>
  </r>
  <r>
    <s v="Sneh45737"/>
    <n v="737"/>
    <n v="7"/>
    <n v="5"/>
    <n v="2022"/>
    <d v="2022-05-07T00:00:00"/>
    <s v="May"/>
    <d v="2023-10-15T00:00:00"/>
    <x v="4"/>
    <n v="4"/>
    <n v="68954.740000000005"/>
    <s v="Sneha Patel"/>
    <n v="45"/>
    <s v="Adult"/>
    <s v="AVG"/>
    <x v="1"/>
    <s v="UPI"/>
    <n v="3"/>
    <s v="iPhone 11"/>
    <n v="275818.96000000002"/>
    <s v="Average"/>
    <s v="Excellent"/>
  </r>
  <r>
    <s v="Yoge19738"/>
    <n v="738"/>
    <n v="7"/>
    <n v="5"/>
    <n v="2022"/>
    <d v="2022-05-07T00:00:00"/>
    <s v="May"/>
    <d v="2023-10-16T00:00:00"/>
    <x v="4"/>
    <n v="1"/>
    <n v="41670.04"/>
    <s v="Yogesh Roy"/>
    <n v="19"/>
    <s v="Teenagers"/>
    <s v="Good"/>
    <x v="3"/>
    <s v="Credit Card"/>
    <n v="5"/>
    <s v="iPhone 11"/>
    <n v="41670.04"/>
    <s v="Good"/>
    <s v="Low"/>
  </r>
  <r>
    <s v="Kavi37739"/>
    <n v="739"/>
    <n v="8"/>
    <n v="5"/>
    <n v="2022"/>
    <d v="2022-05-08T00:00:00"/>
    <s v="May"/>
    <d v="2023-10-17T00:00:00"/>
    <x v="3"/>
    <n v="7"/>
    <n v="57275.86"/>
    <s v="Kavita Siddiqui"/>
    <n v="37"/>
    <s v="Adult"/>
    <s v="Good"/>
    <x v="1"/>
    <s v="Cash"/>
    <n v="5"/>
    <s v="Galaxy S21"/>
    <n v="400931.02"/>
    <s v="Good"/>
    <s v="Excellent"/>
  </r>
  <r>
    <s v="Pooj21740"/>
    <n v="740"/>
    <n v="8"/>
    <n v="5"/>
    <n v="2022"/>
    <d v="2022-05-08T00:00:00"/>
    <s v="May"/>
    <d v="2023-10-18T00:00:00"/>
    <x v="0"/>
    <n v="2"/>
    <n v="60424.02"/>
    <s v="Pooja Arora"/>
    <n v="21"/>
    <s v="Teenagers"/>
    <s v="Good"/>
    <x v="1"/>
    <s v="Credit Card"/>
    <n v="5"/>
    <s v="Redmi Note 10"/>
    <n v="120848.04"/>
    <s v="Good"/>
    <s v="Good"/>
  </r>
  <r>
    <s v="Arun30741"/>
    <n v="741"/>
    <n v="8"/>
    <n v="5"/>
    <n v="2022"/>
    <d v="2022-05-08T00:00:00"/>
    <s v="May"/>
    <d v="2023-10-19T00:00:00"/>
    <x v="4"/>
    <n v="9"/>
    <n v="48881.9"/>
    <s v="Arun Ghosh"/>
    <n v="30"/>
    <s v="Teenagers"/>
    <s v="Good"/>
    <x v="14"/>
    <s v="UPI"/>
    <n v="5"/>
    <s v="iPhone 11"/>
    <n v="439937.10000000003"/>
    <s v="Good"/>
    <s v="Excellent"/>
  </r>
  <r>
    <s v="Adit41742"/>
    <n v="742"/>
    <n v="9"/>
    <n v="5"/>
    <n v="2022"/>
    <d v="2022-05-09T00:00:00"/>
    <s v="May"/>
    <d v="2023-10-20T00:00:00"/>
    <x v="4"/>
    <n v="3"/>
    <n v="30324.99"/>
    <s v="Aditya Luthra"/>
    <n v="41"/>
    <s v="Adult"/>
    <s v="Good"/>
    <x v="18"/>
    <s v="Debit Card"/>
    <n v="5"/>
    <s v="iPhone 11"/>
    <n v="90974.97"/>
    <s v="Good"/>
    <s v="Average"/>
  </r>
  <r>
    <s v="Navi55743"/>
    <n v="743"/>
    <n v="9"/>
    <n v="5"/>
    <n v="2022"/>
    <d v="2022-05-09T00:00:00"/>
    <s v="May"/>
    <d v="2023-10-21T00:00:00"/>
    <x v="1"/>
    <n v="8"/>
    <n v="38198.71"/>
    <s v="Navin Chaudhary"/>
    <n v="55"/>
    <s v="Senior Citezen"/>
    <s v="Good"/>
    <x v="18"/>
    <s v="Credit Card"/>
    <n v="4"/>
    <s v="Vivo V20"/>
    <n v="305589.68"/>
    <s v="Good"/>
    <s v="Excellent"/>
  </r>
  <r>
    <s v="Kuna57744"/>
    <n v="744"/>
    <n v="9"/>
    <n v="5"/>
    <n v="2022"/>
    <d v="2022-05-09T00:00:00"/>
    <s v="May"/>
    <d v="2023-10-22T00:00:00"/>
    <x v="0"/>
    <n v="8"/>
    <n v="61475.02"/>
    <s v="Kunal Deshmukh"/>
    <n v="57"/>
    <s v="Senior Citezen"/>
    <s v="Good"/>
    <x v="1"/>
    <s v="UPI"/>
    <n v="5"/>
    <s v="Redmi 9"/>
    <n v="491800.16"/>
    <s v="Good"/>
    <s v="Excellent"/>
  </r>
  <r>
    <s v="Pank46745"/>
    <n v="745"/>
    <n v="10"/>
    <n v="5"/>
    <n v="2022"/>
    <d v="2022-05-10T00:00:00"/>
    <s v="May"/>
    <d v="2023-10-23T00:00:00"/>
    <x v="1"/>
    <n v="3"/>
    <n v="27912.880000000001"/>
    <s v="Pankaj Srivastava"/>
    <n v="46"/>
    <s v="Senior Citezen"/>
    <s v="Good"/>
    <x v="2"/>
    <s v="Debit Card"/>
    <n v="5"/>
    <s v="Vivo Y51"/>
    <n v="83738.64"/>
    <s v="Good"/>
    <s v="Average"/>
  </r>
  <r>
    <s v="Kris53746"/>
    <n v="746"/>
    <n v="10"/>
    <n v="5"/>
    <n v="2022"/>
    <d v="2022-05-10T00:00:00"/>
    <s v="May"/>
    <d v="2023-10-24T00:00:00"/>
    <x v="0"/>
    <n v="4"/>
    <n v="65424.59"/>
    <s v="Krishna Pillai"/>
    <n v="53"/>
    <s v="Senior Citezen"/>
    <s v="AVG"/>
    <x v="1"/>
    <s v="Cash"/>
    <n v="3"/>
    <s v="Redmi Note 10"/>
    <n v="261698.36"/>
    <s v="Average"/>
    <s v="Excellent"/>
  </r>
  <r>
    <s v="Mala19747"/>
    <n v="747"/>
    <n v="10"/>
    <n v="5"/>
    <n v="2022"/>
    <d v="2022-05-10T00:00:00"/>
    <s v="May"/>
    <d v="2023-10-25T00:00:00"/>
    <x v="1"/>
    <n v="2"/>
    <n v="23788.38"/>
    <s v="Mala Mathur"/>
    <n v="19"/>
    <s v="Teenagers"/>
    <s v="Good"/>
    <x v="1"/>
    <s v="Credit Card"/>
    <n v="5"/>
    <s v="Vivo V20"/>
    <n v="47576.76"/>
    <s v="Good"/>
    <s v="Low"/>
  </r>
  <r>
    <s v="Navi58748"/>
    <n v="748"/>
    <n v="11"/>
    <n v="5"/>
    <n v="2022"/>
    <d v="2022-05-11T00:00:00"/>
    <s v="May"/>
    <d v="2023-10-26T00:00:00"/>
    <x v="4"/>
    <n v="4"/>
    <n v="54970.98"/>
    <s v="Navin Kapoor"/>
    <n v="58"/>
    <s v="Senior Citezen"/>
    <s v="Good"/>
    <x v="1"/>
    <s v="Cash"/>
    <n v="4"/>
    <s v="iPhone SE"/>
    <n v="219883.92"/>
    <s v="Good"/>
    <s v="Excellent"/>
  </r>
  <r>
    <s v="Neet35749"/>
    <n v="749"/>
    <n v="11"/>
    <n v="5"/>
    <n v="2022"/>
    <d v="2022-05-11T00:00:00"/>
    <s v="May"/>
    <d v="2023-10-27T00:00:00"/>
    <x v="4"/>
    <n v="9"/>
    <n v="47833.55"/>
    <s v="Neeta Ghosh"/>
    <n v="35"/>
    <s v="Adult"/>
    <s v="Good"/>
    <x v="2"/>
    <s v="Cash"/>
    <n v="4"/>
    <s v="iPhone 11"/>
    <n v="430501.95"/>
    <s v="Good"/>
    <s v="Excellent"/>
  </r>
  <r>
    <s v="Mano25750"/>
    <n v="750"/>
    <n v="11"/>
    <n v="5"/>
    <n v="2022"/>
    <d v="2022-05-11T00:00:00"/>
    <s v="May"/>
    <d v="2023-10-28T00:00:00"/>
    <x v="3"/>
    <n v="2"/>
    <n v="54975.97"/>
    <s v="Manoj Kulkarni"/>
    <n v="25"/>
    <s v="Teenagers"/>
    <s v="Good"/>
    <x v="1"/>
    <s v="UPI"/>
    <n v="5"/>
    <s v="Galaxy S21"/>
    <n v="109951.94"/>
    <s v="Good"/>
    <s v="Good"/>
  </r>
  <r>
    <s v="Ravi32751"/>
    <n v="751"/>
    <n v="12"/>
    <n v="5"/>
    <n v="2022"/>
    <d v="2022-05-12T00:00:00"/>
    <s v="May"/>
    <d v="2023-10-29T00:00:00"/>
    <x v="1"/>
    <n v="3"/>
    <n v="36240.85"/>
    <s v="Ravi Ghosh"/>
    <n v="32"/>
    <s v="Adult"/>
    <s v="Good"/>
    <x v="2"/>
    <s v="UPI"/>
    <n v="5"/>
    <s v="Vivo S1"/>
    <n v="108722.54999999999"/>
    <s v="Good"/>
    <s v="Good"/>
  </r>
  <r>
    <s v="Kira58752"/>
    <n v="752"/>
    <n v="12"/>
    <n v="5"/>
    <n v="2022"/>
    <d v="2022-05-12T00:00:00"/>
    <s v="May"/>
    <d v="2023-10-30T00:00:00"/>
    <x v="2"/>
    <n v="4"/>
    <n v="65958.460000000006"/>
    <s v="Kiran Siddiqui"/>
    <n v="58"/>
    <s v="Senior Citezen"/>
    <s v="Good"/>
    <x v="12"/>
    <s v="Debit Card"/>
    <n v="5"/>
    <s v="OnePlus 8T"/>
    <n v="263833.84000000003"/>
    <s v="Good"/>
    <s v="Excellent"/>
  </r>
  <r>
    <s v="Mala34753"/>
    <n v="753"/>
    <n v="12"/>
    <n v="5"/>
    <n v="2022"/>
    <d v="2022-05-12T00:00:00"/>
    <s v="May"/>
    <d v="2023-10-31T00:00:00"/>
    <x v="3"/>
    <n v="5"/>
    <n v="47948.33"/>
    <s v="Mala Verma"/>
    <n v="34"/>
    <s v="Adult"/>
    <s v="Good"/>
    <x v="5"/>
    <s v="Cash"/>
    <n v="4"/>
    <s v="Galaxy A51"/>
    <n v="239741.65000000002"/>
    <s v="Good"/>
    <s v="Excellent"/>
  </r>
  <r>
    <s v="Jyot40754"/>
    <n v="754"/>
    <n v="13"/>
    <n v="5"/>
    <n v="2022"/>
    <d v="2022-05-13T00:00:00"/>
    <s v="May"/>
    <d v="2023-11-01T00:00:00"/>
    <x v="1"/>
    <n v="1"/>
    <n v="27297.75"/>
    <s v="Jyoti Ahuja"/>
    <n v="40"/>
    <s v="Adult"/>
    <s v="Good"/>
    <x v="1"/>
    <s v="UPI"/>
    <n v="4"/>
    <s v="Vivo V20"/>
    <n v="27297.75"/>
    <s v="Good"/>
    <s v="Low"/>
  </r>
  <r>
    <s v="Umes19755"/>
    <n v="755"/>
    <n v="13"/>
    <n v="5"/>
    <n v="2022"/>
    <d v="2022-05-13T00:00:00"/>
    <s v="May"/>
    <d v="2023-11-02T00:00:00"/>
    <x v="1"/>
    <n v="7"/>
    <n v="48307.3"/>
    <s v="Umesh Kaur"/>
    <n v="19"/>
    <s v="Teenagers"/>
    <s v="AVG"/>
    <x v="2"/>
    <s v="UPI"/>
    <n v="3"/>
    <s v="Vivo S1"/>
    <n v="338151.10000000003"/>
    <s v="Average"/>
    <s v="Excellent"/>
  </r>
  <r>
    <s v="Nikh23756"/>
    <n v="756"/>
    <n v="13"/>
    <n v="5"/>
    <n v="2022"/>
    <d v="2022-05-13T00:00:00"/>
    <s v="May"/>
    <d v="2023-11-03T00:00:00"/>
    <x v="3"/>
    <n v="7"/>
    <n v="27208.94"/>
    <s v="Nikhil Varma"/>
    <n v="23"/>
    <s v="Teenagers"/>
    <s v="AVG"/>
    <x v="13"/>
    <s v="Cash"/>
    <n v="3"/>
    <s v="Galaxy S21"/>
    <n v="190462.58"/>
    <s v="Average"/>
    <s v="Good"/>
  </r>
  <r>
    <s v="Nami46757"/>
    <n v="757"/>
    <n v="13"/>
    <n v="5"/>
    <n v="2022"/>
    <d v="2022-05-13T00:00:00"/>
    <s v="May"/>
    <d v="2023-11-04T00:00:00"/>
    <x v="4"/>
    <n v="9"/>
    <n v="27617.94"/>
    <s v="Namita Mehta"/>
    <n v="46"/>
    <s v="Senior Citezen"/>
    <s v="Good"/>
    <x v="11"/>
    <s v="Debit Card"/>
    <n v="4"/>
    <s v="iPhone 12"/>
    <n v="248561.46"/>
    <s v="Good"/>
    <s v="Excellent"/>
  </r>
  <r>
    <s v="Isha44758"/>
    <n v="758"/>
    <n v="14"/>
    <n v="5"/>
    <n v="2022"/>
    <d v="2022-05-14T00:00:00"/>
    <s v="May"/>
    <d v="2023-11-05T00:00:00"/>
    <x v="1"/>
    <n v="4"/>
    <n v="33975.910000000003"/>
    <s v="Isha Dutta"/>
    <n v="44"/>
    <s v="Adult"/>
    <s v="AVG"/>
    <x v="6"/>
    <s v="Cash"/>
    <n v="3"/>
    <s v="Vivo S1"/>
    <n v="135903.64000000001"/>
    <s v="Average"/>
    <s v="Good"/>
  </r>
  <r>
    <s v="Vino54759"/>
    <n v="759"/>
    <n v="14"/>
    <n v="5"/>
    <n v="2022"/>
    <d v="2022-05-14T00:00:00"/>
    <s v="May"/>
    <d v="2023-11-06T00:00:00"/>
    <x v="4"/>
    <n v="6"/>
    <n v="61145.83"/>
    <s v="Vinod Arora"/>
    <n v="54"/>
    <s v="Senior Citezen"/>
    <s v="AVG"/>
    <x v="5"/>
    <s v="Debit Card"/>
    <n v="3"/>
    <s v="iPhone SE"/>
    <n v="366874.98"/>
    <s v="Average"/>
    <s v="Excellent"/>
  </r>
  <r>
    <s v="Meen51760"/>
    <n v="760"/>
    <n v="14"/>
    <n v="5"/>
    <n v="2022"/>
    <d v="2022-05-14T00:00:00"/>
    <s v="May"/>
    <d v="2023-11-07T00:00:00"/>
    <x v="3"/>
    <n v="2"/>
    <n v="40017.870000000003"/>
    <s v="Meena Mathur"/>
    <n v="51"/>
    <s v="Senior Citezen"/>
    <s v="AVG"/>
    <x v="2"/>
    <s v="Debit Card"/>
    <n v="3"/>
    <s v="Galaxy S21"/>
    <n v="80035.740000000005"/>
    <s v="Average"/>
    <s v="Average"/>
  </r>
  <r>
    <s v="Suni35761"/>
    <n v="761"/>
    <n v="15"/>
    <n v="5"/>
    <n v="2022"/>
    <d v="2022-05-15T00:00:00"/>
    <s v="May"/>
    <d v="2023-11-08T00:00:00"/>
    <x v="4"/>
    <n v="4"/>
    <n v="50734.05"/>
    <s v="Sunil Kumar"/>
    <n v="35"/>
    <s v="Adult"/>
    <s v="Good"/>
    <x v="6"/>
    <s v="UPI"/>
    <n v="4"/>
    <s v="iPhone SE"/>
    <n v="202936.2"/>
    <s v="Good"/>
    <s v="Excellent"/>
  </r>
  <r>
    <s v="Roha59762"/>
    <n v="762"/>
    <n v="15"/>
    <n v="5"/>
    <n v="2022"/>
    <d v="2022-05-15T00:00:00"/>
    <s v="May"/>
    <d v="2023-11-09T00:00:00"/>
    <x v="0"/>
    <n v="2"/>
    <n v="33518.06"/>
    <s v="Rohan Singh"/>
    <n v="59"/>
    <s v="Senior Citezen"/>
    <s v="Good"/>
    <x v="1"/>
    <s v="Cash"/>
    <n v="5"/>
    <s v="Mi 11"/>
    <n v="67036.12"/>
    <s v="Good"/>
    <s v="Average"/>
  </r>
  <r>
    <s v="Anan27763"/>
    <n v="763"/>
    <n v="15"/>
    <n v="5"/>
    <n v="2022"/>
    <d v="2022-05-15T00:00:00"/>
    <s v="May"/>
    <d v="2023-11-10T00:00:00"/>
    <x v="2"/>
    <n v="5"/>
    <n v="25816.33"/>
    <s v="Anand Kapoor"/>
    <n v="27"/>
    <s v="Teenagers"/>
    <s v="Good"/>
    <x v="5"/>
    <s v="Cash"/>
    <n v="5"/>
    <s v="OnePlus 8T"/>
    <n v="129081.65000000001"/>
    <s v="Good"/>
    <s v="Good"/>
  </r>
  <r>
    <s v="Mala55764"/>
    <n v="764"/>
    <n v="15"/>
    <n v="5"/>
    <n v="2022"/>
    <d v="2022-05-15T00:00:00"/>
    <s v="May"/>
    <d v="2023-11-11T00:00:00"/>
    <x v="1"/>
    <n v="7"/>
    <n v="67278.41"/>
    <s v="Mala Ghosh"/>
    <n v="55"/>
    <s v="Senior Citezen"/>
    <s v="Good"/>
    <x v="11"/>
    <s v="UPI"/>
    <n v="5"/>
    <s v="Vivo S1"/>
    <n v="470948.87"/>
    <s v="Good"/>
    <s v="Excellent"/>
  </r>
  <r>
    <s v="Priy34765"/>
    <n v="765"/>
    <n v="16"/>
    <n v="5"/>
    <n v="2022"/>
    <d v="2022-05-16T00:00:00"/>
    <s v="May"/>
    <d v="2023-11-12T00:00:00"/>
    <x v="2"/>
    <n v="1"/>
    <n v="46214.87"/>
    <s v="Priya Kaur"/>
    <n v="34"/>
    <s v="Adult"/>
    <s v="AVG"/>
    <x v="2"/>
    <s v="Credit Card"/>
    <n v="3"/>
    <s v="OnePlus Nord"/>
    <n v="46214.87"/>
    <s v="Average"/>
    <s v="Low"/>
  </r>
  <r>
    <s v="Meen30766"/>
    <n v="766"/>
    <n v="16"/>
    <n v="5"/>
    <n v="2022"/>
    <d v="2022-05-16T00:00:00"/>
    <s v="May"/>
    <d v="2023-11-13T00:00:00"/>
    <x v="4"/>
    <n v="7"/>
    <n v="66037.08"/>
    <s v="Meena Joshi"/>
    <n v="30"/>
    <s v="Teenagers"/>
    <s v="Good"/>
    <x v="2"/>
    <s v="Credit Card"/>
    <n v="5"/>
    <s v="iPhone 11"/>
    <n v="462259.56"/>
    <s v="Good"/>
    <s v="Excellent"/>
  </r>
  <r>
    <s v="Sach59767"/>
    <n v="767"/>
    <n v="16"/>
    <n v="5"/>
    <n v="2022"/>
    <d v="2022-05-16T00:00:00"/>
    <s v="May"/>
    <d v="2023-11-14T00:00:00"/>
    <x v="1"/>
    <n v="6"/>
    <n v="22204.78"/>
    <s v="Sachin Joshi"/>
    <n v="59"/>
    <s v="Senior Citezen"/>
    <s v="Good"/>
    <x v="6"/>
    <s v="Cash"/>
    <n v="5"/>
    <s v="Vivo V20"/>
    <n v="133228.68"/>
    <s v="Good"/>
    <s v="Good"/>
  </r>
  <r>
    <s v="Arun44768"/>
    <n v="768"/>
    <n v="17"/>
    <n v="5"/>
    <n v="2022"/>
    <d v="2022-05-17T00:00:00"/>
    <s v="May"/>
    <d v="2023-11-15T00:00:00"/>
    <x v="4"/>
    <n v="6"/>
    <n v="18813.650000000001"/>
    <s v="Arun Dutta"/>
    <n v="44"/>
    <s v="Adult"/>
    <s v="Good"/>
    <x v="18"/>
    <s v="UPI"/>
    <n v="5"/>
    <s v="iPhone 12"/>
    <n v="112881.90000000001"/>
    <s v="Good"/>
    <s v="Good"/>
  </r>
  <r>
    <s v="Suni19769"/>
    <n v="769"/>
    <n v="17"/>
    <n v="5"/>
    <n v="2022"/>
    <d v="2022-05-17T00:00:00"/>
    <s v="May"/>
    <d v="2023-11-16T00:00:00"/>
    <x v="0"/>
    <n v="8"/>
    <n v="61349.37"/>
    <s v="Sunita Nair"/>
    <n v="19"/>
    <s v="Teenagers"/>
    <s v="AVG"/>
    <x v="6"/>
    <s v="Debit Card"/>
    <n v="3"/>
    <s v="Mi 11"/>
    <n v="490794.96"/>
    <s v="Average"/>
    <s v="Excellent"/>
  </r>
  <r>
    <s v="Raje51770"/>
    <n v="770"/>
    <n v="17"/>
    <n v="5"/>
    <n v="2022"/>
    <d v="2022-05-17T00:00:00"/>
    <s v="May"/>
    <d v="2023-11-17T00:00:00"/>
    <x v="3"/>
    <n v="8"/>
    <n v="50855.03"/>
    <s v="Rajesh Kaur"/>
    <n v="51"/>
    <s v="Senior Citezen"/>
    <s v="Good"/>
    <x v="17"/>
    <s v="Debit Card"/>
    <n v="5"/>
    <s v="Galaxy S21"/>
    <n v="406840.24"/>
    <s v="Good"/>
    <s v="Excellent"/>
  </r>
  <r>
    <s v="Anan48771"/>
    <n v="771"/>
    <n v="18"/>
    <n v="5"/>
    <n v="2022"/>
    <d v="2022-05-18T00:00:00"/>
    <s v="May"/>
    <d v="2023-11-18T00:00:00"/>
    <x v="1"/>
    <n v="6"/>
    <n v="21194.71"/>
    <s v="Anand Kaur"/>
    <n v="48"/>
    <s v="Senior Citezen"/>
    <s v="Good"/>
    <x v="9"/>
    <s v="Cash"/>
    <n v="5"/>
    <s v="Vivo S1"/>
    <n v="127168.26"/>
    <s v="Good"/>
    <s v="Good"/>
  </r>
  <r>
    <s v="Kuna40772"/>
    <n v="772"/>
    <n v="18"/>
    <n v="5"/>
    <n v="2022"/>
    <d v="2022-05-18T00:00:00"/>
    <s v="May"/>
    <d v="2023-11-19T00:00:00"/>
    <x v="0"/>
    <n v="3"/>
    <n v="26161.58"/>
    <s v="Kunal Yadav"/>
    <n v="40"/>
    <s v="Adult"/>
    <s v="Good"/>
    <x v="2"/>
    <s v="UPI"/>
    <n v="5"/>
    <s v="Redmi 9"/>
    <n v="78484.740000000005"/>
    <s v="Good"/>
    <s v="Average"/>
  </r>
  <r>
    <s v="Roha24773"/>
    <n v="773"/>
    <n v="18"/>
    <n v="5"/>
    <n v="2022"/>
    <d v="2022-05-18T00:00:00"/>
    <s v="May"/>
    <d v="2023-11-20T00:00:00"/>
    <x v="0"/>
    <n v="5"/>
    <n v="58039.839999999997"/>
    <s v="Rohan Sheth"/>
    <n v="24"/>
    <s v="Teenagers"/>
    <s v="Good"/>
    <x v="1"/>
    <s v="Cash"/>
    <n v="5"/>
    <s v="Mi 11"/>
    <n v="290199.19999999995"/>
    <s v="Good"/>
    <s v="Excellent"/>
  </r>
  <r>
    <s v="Vive55774"/>
    <n v="774"/>
    <n v="19"/>
    <n v="5"/>
    <n v="2022"/>
    <d v="2022-05-19T00:00:00"/>
    <s v="May"/>
    <d v="2023-11-21T00:00:00"/>
    <x v="1"/>
    <n v="2"/>
    <n v="37232.120000000003"/>
    <s v="Vivek Bhattacharya"/>
    <n v="55"/>
    <s v="Senior Citezen"/>
    <s v="Good"/>
    <x v="12"/>
    <s v="Cash"/>
    <n v="5"/>
    <s v="Vivo Y51"/>
    <n v="74464.240000000005"/>
    <s v="Good"/>
    <s v="Average"/>
  </r>
  <r>
    <s v="Ravi50775"/>
    <n v="775"/>
    <n v="19"/>
    <n v="5"/>
    <n v="2022"/>
    <d v="2022-05-19T00:00:00"/>
    <s v="May"/>
    <d v="2023-11-22T00:00:00"/>
    <x v="4"/>
    <n v="5"/>
    <n v="50232.43"/>
    <s v="Ravi Gupta"/>
    <n v="50"/>
    <s v="Senior Citezen"/>
    <s v="AVG"/>
    <x v="1"/>
    <s v="UPI"/>
    <n v="3"/>
    <s v="iPhone 11"/>
    <n v="251162.15"/>
    <s v="Average"/>
    <s v="Excellent"/>
  </r>
  <r>
    <s v="Ravi29776"/>
    <n v="776"/>
    <n v="19"/>
    <n v="5"/>
    <n v="2022"/>
    <d v="2022-05-19T00:00:00"/>
    <s v="May"/>
    <d v="2023-11-23T00:00:00"/>
    <x v="0"/>
    <n v="9"/>
    <n v="29101.119999999999"/>
    <s v="Ravi Bhattacharya"/>
    <n v="29"/>
    <s v="Teenagers"/>
    <s v="Good"/>
    <x v="1"/>
    <s v="Cash"/>
    <n v="5"/>
    <s v="Mi 11"/>
    <n v="261910.08"/>
    <s v="Good"/>
    <s v="Excellent"/>
  </r>
  <r>
    <s v="Deep29777"/>
    <n v="777"/>
    <n v="19"/>
    <n v="5"/>
    <n v="2022"/>
    <d v="2022-05-19T00:00:00"/>
    <s v="May"/>
    <d v="2023-11-24T00:00:00"/>
    <x v="2"/>
    <n v="1"/>
    <n v="32873.800000000003"/>
    <s v="Deepika Shah"/>
    <n v="29"/>
    <s v="Teenagers"/>
    <s v="Good"/>
    <x v="10"/>
    <s v="Debit Card"/>
    <n v="4"/>
    <s v="OnePlus 9"/>
    <n v="32873.800000000003"/>
    <s v="Good"/>
    <s v="Low"/>
  </r>
  <r>
    <s v="Shru36778"/>
    <n v="778"/>
    <n v="20"/>
    <n v="5"/>
    <n v="2022"/>
    <d v="2022-05-20T00:00:00"/>
    <s v="May"/>
    <d v="2023-11-25T00:00:00"/>
    <x v="0"/>
    <n v="5"/>
    <n v="69442.75"/>
    <s v="Shruti Shah"/>
    <n v="36"/>
    <s v="Adult"/>
    <s v="AVG"/>
    <x v="2"/>
    <s v="Credit Card"/>
    <n v="3"/>
    <s v="Redmi Note 10"/>
    <n v="347213.75"/>
    <s v="Average"/>
    <s v="Excellent"/>
  </r>
  <r>
    <s v="Nami26779"/>
    <n v="779"/>
    <n v="20"/>
    <n v="5"/>
    <n v="2022"/>
    <d v="2022-05-20T00:00:00"/>
    <s v="May"/>
    <d v="2023-11-26T00:00:00"/>
    <x v="4"/>
    <n v="6"/>
    <n v="24857.03"/>
    <s v="Namita Mehta"/>
    <n v="26"/>
    <s v="Teenagers"/>
    <s v="Good"/>
    <x v="1"/>
    <s v="Debit Card"/>
    <n v="4"/>
    <s v="iPhone 12"/>
    <n v="149142.18"/>
    <s v="Good"/>
    <s v="Good"/>
  </r>
  <r>
    <s v="Radh27780"/>
    <n v="780"/>
    <n v="20"/>
    <n v="5"/>
    <n v="2022"/>
    <d v="2022-05-20T00:00:00"/>
    <s v="May"/>
    <d v="2023-11-27T00:00:00"/>
    <x v="4"/>
    <n v="7"/>
    <n v="40387.379999999997"/>
    <s v="Radha Pathak"/>
    <n v="27"/>
    <s v="Teenagers"/>
    <s v="Good"/>
    <x v="11"/>
    <s v="Credit Card"/>
    <n v="5"/>
    <s v="iPhone SE"/>
    <n v="282711.65999999997"/>
    <s v="Good"/>
    <s v="Excellent"/>
  </r>
  <r>
    <s v="Arun34781"/>
    <n v="781"/>
    <n v="20"/>
    <n v="5"/>
    <n v="2022"/>
    <d v="2022-05-20T00:00:00"/>
    <s v="May"/>
    <d v="2023-11-28T00:00:00"/>
    <x v="2"/>
    <n v="9"/>
    <n v="60664.14"/>
    <s v="Arun Chaudhary"/>
    <n v="34"/>
    <s v="Adult"/>
    <s v="Good"/>
    <x v="1"/>
    <s v="UPI"/>
    <n v="5"/>
    <s v="OnePlus Nord"/>
    <n v="545977.26"/>
    <s v="Good"/>
    <s v="Excellent"/>
  </r>
  <r>
    <s v="Arun57782"/>
    <n v="782"/>
    <n v="21"/>
    <n v="5"/>
    <n v="2022"/>
    <d v="2022-05-21T00:00:00"/>
    <s v="May"/>
    <d v="2023-11-29T00:00:00"/>
    <x v="0"/>
    <n v="6"/>
    <n v="24353.39"/>
    <s v="Arun Goyal"/>
    <n v="57"/>
    <s v="Senior Citezen"/>
    <s v="AVG"/>
    <x v="1"/>
    <s v="Cash"/>
    <n v="3"/>
    <s v="Mi 11"/>
    <n v="146120.34"/>
    <s v="Average"/>
    <s v="Good"/>
  </r>
  <r>
    <s v="Umes56783"/>
    <n v="783"/>
    <n v="21"/>
    <n v="5"/>
    <n v="2022"/>
    <d v="2022-05-21T00:00:00"/>
    <s v="May"/>
    <d v="2023-11-30T00:00:00"/>
    <x v="4"/>
    <n v="5"/>
    <n v="34912.83"/>
    <s v="Umesh Srivastava"/>
    <n v="56"/>
    <s v="Senior Citezen"/>
    <s v="AVG"/>
    <x v="16"/>
    <s v="Credit Card"/>
    <n v="3"/>
    <s v="iPhone 11"/>
    <n v="174564.15000000002"/>
    <s v="Average"/>
    <s v="Good"/>
  </r>
  <r>
    <s v="Deep58784"/>
    <n v="784"/>
    <n v="21"/>
    <n v="5"/>
    <n v="2022"/>
    <d v="2022-05-21T00:00:00"/>
    <s v="May"/>
    <d v="2023-12-01T00:00:00"/>
    <x v="1"/>
    <n v="7"/>
    <n v="46905.48"/>
    <s v="Deepika Patel"/>
    <n v="58"/>
    <s v="Senior Citezen"/>
    <s v="Good"/>
    <x v="8"/>
    <s v="UPI"/>
    <n v="5"/>
    <s v="Vivo V20"/>
    <n v="328338.36000000004"/>
    <s v="Good"/>
    <s v="Excellent"/>
  </r>
  <r>
    <s v="Amit27785"/>
    <n v="785"/>
    <n v="21"/>
    <n v="5"/>
    <n v="2022"/>
    <d v="2022-05-21T00:00:00"/>
    <s v="May"/>
    <d v="2023-12-02T00:00:00"/>
    <x v="3"/>
    <n v="1"/>
    <n v="38871.29"/>
    <s v="Amit Prasad"/>
    <n v="27"/>
    <s v="Teenagers"/>
    <s v="BAD"/>
    <x v="2"/>
    <s v="UPI"/>
    <n v="2"/>
    <s v="Galaxy S21"/>
    <n v="38871.29"/>
    <s v="Average"/>
    <s v="Low"/>
  </r>
  <r>
    <s v="Yoge29786"/>
    <n v="786"/>
    <n v="22"/>
    <n v="5"/>
    <n v="2022"/>
    <d v="2022-05-22T00:00:00"/>
    <s v="May"/>
    <d v="2023-12-03T00:00:00"/>
    <x v="3"/>
    <n v="5"/>
    <n v="37570.14"/>
    <s v="Yogesh Sharma"/>
    <n v="29"/>
    <s v="Teenagers"/>
    <s v="Good"/>
    <x v="1"/>
    <s v="UPI"/>
    <n v="5"/>
    <s v="Galaxy S21"/>
    <n v="187850.7"/>
    <s v="Good"/>
    <s v="Good"/>
  </r>
  <r>
    <s v="Moni32787"/>
    <n v="787"/>
    <n v="22"/>
    <n v="5"/>
    <n v="2022"/>
    <d v="2022-05-22T00:00:00"/>
    <s v="May"/>
    <d v="2023-12-04T00:00:00"/>
    <x v="3"/>
    <n v="2"/>
    <n v="31750.58"/>
    <s v="Monika Deshmukh"/>
    <n v="32"/>
    <s v="Adult"/>
    <s v="Good"/>
    <x v="1"/>
    <s v="Debit Card"/>
    <n v="5"/>
    <s v="Galaxy Note 20"/>
    <n v="63501.16"/>
    <s v="Good"/>
    <s v="Average"/>
  </r>
  <r>
    <s v="Tanu48788"/>
    <n v="788"/>
    <n v="22"/>
    <n v="5"/>
    <n v="2022"/>
    <d v="2022-05-22T00:00:00"/>
    <s v="May"/>
    <d v="2023-12-05T00:00:00"/>
    <x v="0"/>
    <n v="4"/>
    <n v="45198.78"/>
    <s v="Tanuja Dutta"/>
    <n v="48"/>
    <s v="Senior Citezen"/>
    <s v="AVG"/>
    <x v="11"/>
    <s v="Debit Card"/>
    <n v="3"/>
    <s v="Redmi Note 10"/>
    <n v="180795.12"/>
    <s v="Average"/>
    <s v="Good"/>
  </r>
  <r>
    <s v="Suni32789"/>
    <n v="789"/>
    <n v="22"/>
    <n v="5"/>
    <n v="2022"/>
    <d v="2022-05-22T00:00:00"/>
    <s v="May"/>
    <d v="2023-12-06T00:00:00"/>
    <x v="2"/>
    <n v="7"/>
    <n v="47462.36"/>
    <s v="Sunil Patel"/>
    <n v="32"/>
    <s v="Adult"/>
    <s v="BAD"/>
    <x v="16"/>
    <s v="Credit Card"/>
    <n v="2"/>
    <s v="OnePlus 8T"/>
    <n v="332236.52"/>
    <s v="Average"/>
    <s v="Excellent"/>
  </r>
  <r>
    <s v="Amit45790"/>
    <n v="790"/>
    <n v="23"/>
    <n v="5"/>
    <n v="2022"/>
    <d v="2022-05-23T00:00:00"/>
    <s v="May"/>
    <d v="2023-12-07T00:00:00"/>
    <x v="4"/>
    <n v="5"/>
    <n v="49197.37"/>
    <s v="Amit Sheth"/>
    <n v="45"/>
    <s v="Adult"/>
    <s v="AVG"/>
    <x v="2"/>
    <s v="Credit Card"/>
    <n v="3"/>
    <s v="iPhone 11"/>
    <n v="245986.85"/>
    <s v="Average"/>
    <s v="Excellent"/>
  </r>
  <r>
    <s v="Vive21791"/>
    <n v="791"/>
    <n v="23"/>
    <n v="5"/>
    <n v="2022"/>
    <d v="2022-05-23T00:00:00"/>
    <s v="May"/>
    <d v="2023-12-08T00:00:00"/>
    <x v="1"/>
    <n v="6"/>
    <n v="14222.09"/>
    <s v="Vivek Luthra"/>
    <n v="21"/>
    <s v="Teenagers"/>
    <s v="Good"/>
    <x v="2"/>
    <s v="Debit Card"/>
    <n v="4"/>
    <s v="Vivo S1"/>
    <n v="85332.540000000008"/>
    <s v="Good"/>
    <s v="Average"/>
  </r>
  <r>
    <s v="Radh53792"/>
    <n v="792"/>
    <n v="23"/>
    <n v="5"/>
    <n v="2022"/>
    <d v="2022-05-23T00:00:00"/>
    <s v="May"/>
    <d v="2023-12-09T00:00:00"/>
    <x v="1"/>
    <n v="2"/>
    <n v="47862.05"/>
    <s v="Radha Alva"/>
    <n v="53"/>
    <s v="Senior Citezen"/>
    <s v="AVG"/>
    <x v="3"/>
    <s v="Credit Card"/>
    <n v="3"/>
    <s v="Vivo S1"/>
    <n v="95724.1"/>
    <s v="Average"/>
    <s v="Average"/>
  </r>
  <r>
    <s v="Radh18793"/>
    <n v="793"/>
    <n v="24"/>
    <n v="5"/>
    <n v="2022"/>
    <d v="2022-05-24T00:00:00"/>
    <s v="May"/>
    <d v="2023-12-10T00:00:00"/>
    <x v="0"/>
    <n v="3"/>
    <n v="67194.23"/>
    <s v="Radha Alva"/>
    <n v="18"/>
    <s v="Teenagers"/>
    <s v="Good"/>
    <x v="9"/>
    <s v="Credit Card"/>
    <n v="5"/>
    <s v="Mi 11"/>
    <n v="201582.69"/>
    <s v="Good"/>
    <s v="Excellent"/>
  </r>
  <r>
    <s v="Tapa51794"/>
    <n v="794"/>
    <n v="24"/>
    <n v="5"/>
    <n v="2022"/>
    <d v="2022-05-24T00:00:00"/>
    <s v="May"/>
    <d v="2023-12-11T00:00:00"/>
    <x v="3"/>
    <n v="7"/>
    <n v="42459.17"/>
    <s v="Tapan Rawat"/>
    <n v="51"/>
    <s v="Senior Citezen"/>
    <s v="Good"/>
    <x v="2"/>
    <s v="Cash"/>
    <n v="5"/>
    <s v="Galaxy S21"/>
    <n v="297214.19"/>
    <s v="Good"/>
    <s v="Excellent"/>
  </r>
  <r>
    <s v="Sumi34795"/>
    <n v="795"/>
    <n v="24"/>
    <n v="5"/>
    <n v="2022"/>
    <d v="2022-05-24T00:00:00"/>
    <s v="May"/>
    <d v="2023-12-12T00:00:00"/>
    <x v="0"/>
    <n v="2"/>
    <n v="52916.02"/>
    <s v="Sumit Roy"/>
    <n v="34"/>
    <s v="Adult"/>
    <s v="AVG"/>
    <x v="0"/>
    <s v="Credit Card"/>
    <n v="3"/>
    <s v="Mi 11"/>
    <n v="105832.04"/>
    <s v="Average"/>
    <s v="Good"/>
  </r>
  <r>
    <s v="Sach56796"/>
    <n v="796"/>
    <n v="24"/>
    <n v="5"/>
    <n v="2022"/>
    <d v="2022-05-24T00:00:00"/>
    <s v="May"/>
    <d v="2023-12-13T00:00:00"/>
    <x v="2"/>
    <n v="6"/>
    <n v="43403.94"/>
    <s v="Sachin Shah"/>
    <n v="56"/>
    <s v="Senior Citezen"/>
    <s v="Good"/>
    <x v="1"/>
    <s v="UPI"/>
    <n v="4"/>
    <s v="OnePlus 8T"/>
    <n v="260423.64"/>
    <s v="Good"/>
    <s v="Excellent"/>
  </r>
  <r>
    <s v="Suni55797"/>
    <n v="797"/>
    <n v="25"/>
    <n v="5"/>
    <n v="2022"/>
    <d v="2022-05-25T00:00:00"/>
    <s v="May"/>
    <d v="2023-12-14T00:00:00"/>
    <x v="2"/>
    <n v="5"/>
    <n v="61284.44"/>
    <s v="Sunil Jain"/>
    <n v="55"/>
    <s v="Senior Citezen"/>
    <s v="Good"/>
    <x v="2"/>
    <s v="Cash"/>
    <n v="4"/>
    <s v="OnePlus 8T"/>
    <n v="306422.2"/>
    <s v="Good"/>
    <s v="Excellent"/>
  </r>
  <r>
    <s v="Bina50798"/>
    <n v="798"/>
    <n v="25"/>
    <n v="5"/>
    <n v="2022"/>
    <d v="2022-05-25T00:00:00"/>
    <s v="May"/>
    <d v="2023-12-15T00:00:00"/>
    <x v="4"/>
    <n v="1"/>
    <n v="65774.990000000005"/>
    <s v="Bina Mishra"/>
    <n v="50"/>
    <s v="Senior Citezen"/>
    <s v="Good"/>
    <x v="0"/>
    <s v="Credit Card"/>
    <n v="5"/>
    <s v="iPhone 11"/>
    <n v="65774.990000000005"/>
    <s v="Good"/>
    <s v="Average"/>
  </r>
  <r>
    <s v="Arun38799"/>
    <n v="799"/>
    <n v="25"/>
    <n v="5"/>
    <n v="2022"/>
    <d v="2022-05-25T00:00:00"/>
    <s v="May"/>
    <d v="2023-12-16T00:00:00"/>
    <x v="4"/>
    <n v="4"/>
    <n v="21053.19"/>
    <s v="Arun Yadav"/>
    <n v="38"/>
    <s v="Adult"/>
    <s v="Good"/>
    <x v="16"/>
    <s v="Cash"/>
    <n v="4"/>
    <s v="iPhone SE"/>
    <n v="84212.76"/>
    <s v="Good"/>
    <s v="Average"/>
  </r>
  <r>
    <s v="Jyot43800"/>
    <n v="800"/>
    <n v="26"/>
    <n v="5"/>
    <n v="2022"/>
    <d v="2022-05-26T00:00:00"/>
    <s v="May"/>
    <d v="2023-12-17T00:00:00"/>
    <x v="2"/>
    <n v="2"/>
    <n v="36211.599999999999"/>
    <s v="Jyoti Bhattacharya"/>
    <n v="43"/>
    <s v="Adult"/>
    <s v="Good"/>
    <x v="1"/>
    <s v="UPI"/>
    <n v="5"/>
    <s v="OnePlus Nord"/>
    <n v="72423.199999999997"/>
    <s v="Good"/>
    <s v="Average"/>
  </r>
  <r>
    <s v="Suni53801"/>
    <n v="801"/>
    <n v="26"/>
    <n v="5"/>
    <n v="2022"/>
    <d v="2022-05-26T00:00:00"/>
    <s v="May"/>
    <d v="2023-12-18T00:00:00"/>
    <x v="2"/>
    <n v="4"/>
    <n v="33542.93"/>
    <s v="Sunita Teja"/>
    <n v="53"/>
    <s v="Senior Citezen"/>
    <s v="Good"/>
    <x v="7"/>
    <s v="Credit Card"/>
    <n v="5"/>
    <s v="OnePlus 8T"/>
    <n v="134171.72"/>
    <s v="Good"/>
    <s v="Good"/>
  </r>
  <r>
    <s v="Kira22802"/>
    <n v="802"/>
    <n v="26"/>
    <n v="5"/>
    <n v="2022"/>
    <d v="2022-05-26T00:00:00"/>
    <s v="May"/>
    <d v="2023-12-19T00:00:00"/>
    <x v="2"/>
    <n v="1"/>
    <n v="34312.910000000003"/>
    <s v="Kiran Siddiqui"/>
    <n v="22"/>
    <s v="Teenagers"/>
    <s v="Good"/>
    <x v="12"/>
    <s v="Cash"/>
    <n v="5"/>
    <s v="OnePlus Nord"/>
    <n v="34312.910000000003"/>
    <s v="Good"/>
    <s v="Low"/>
  </r>
  <r>
    <s v="Meen50803"/>
    <n v="803"/>
    <n v="27"/>
    <n v="5"/>
    <n v="2022"/>
    <d v="2022-05-27T00:00:00"/>
    <s v="May"/>
    <d v="2023-12-20T00:00:00"/>
    <x v="0"/>
    <n v="2"/>
    <n v="17531.45"/>
    <s v="Meena Yadav"/>
    <n v="50"/>
    <s v="Senior Citezen"/>
    <s v="BAD"/>
    <x v="18"/>
    <s v="Credit Card"/>
    <n v="2"/>
    <s v="Redmi 9"/>
    <n v="35062.9"/>
    <s v="Average"/>
    <s v="Low"/>
  </r>
  <r>
    <s v="Mala18804"/>
    <n v="804"/>
    <n v="27"/>
    <n v="5"/>
    <n v="2022"/>
    <d v="2022-05-27T00:00:00"/>
    <s v="May"/>
    <d v="2023-12-21T00:00:00"/>
    <x v="2"/>
    <n v="8"/>
    <n v="58816.94"/>
    <s v="Mala Malhotra"/>
    <n v="18"/>
    <s v="Teenagers"/>
    <s v="Good"/>
    <x v="1"/>
    <s v="Cash"/>
    <n v="4"/>
    <s v="OnePlus 9"/>
    <n v="470535.52"/>
    <s v="Good"/>
    <s v="Excellent"/>
  </r>
  <r>
    <s v="Anit23805"/>
    <n v="805"/>
    <n v="27"/>
    <n v="5"/>
    <n v="2022"/>
    <d v="2022-05-27T00:00:00"/>
    <s v="May"/>
    <d v="2023-12-22T00:00:00"/>
    <x v="1"/>
    <n v="6"/>
    <n v="12145.97"/>
    <s v="Anita Srivastava"/>
    <n v="23"/>
    <s v="Teenagers"/>
    <s v="Good"/>
    <x v="1"/>
    <s v="Cash"/>
    <n v="4"/>
    <s v="Vivo S1"/>
    <n v="72875.819999999992"/>
    <s v="Good"/>
    <s v="Average"/>
  </r>
  <r>
    <s v="Sach54806"/>
    <n v="806"/>
    <n v="27"/>
    <n v="5"/>
    <n v="2022"/>
    <d v="2022-05-27T00:00:00"/>
    <s v="May"/>
    <d v="2023-12-23T00:00:00"/>
    <x v="3"/>
    <n v="2"/>
    <n v="41693.599999999999"/>
    <s v="Sachin Varma"/>
    <n v="54"/>
    <s v="Senior Citezen"/>
    <s v="AVG"/>
    <x v="13"/>
    <s v="UPI"/>
    <n v="3"/>
    <s v="Galaxy A51"/>
    <n v="83387.199999999997"/>
    <s v="Average"/>
    <s v="Average"/>
  </r>
  <r>
    <s v="Pank19807"/>
    <n v="807"/>
    <n v="28"/>
    <n v="5"/>
    <n v="2022"/>
    <d v="2022-05-28T00:00:00"/>
    <s v="May"/>
    <d v="2023-12-24T00:00:00"/>
    <x v="2"/>
    <n v="6"/>
    <n v="49712.7"/>
    <s v="Pankaj Shah"/>
    <n v="19"/>
    <s v="Teenagers"/>
    <s v="BAD"/>
    <x v="9"/>
    <s v="UPI"/>
    <n v="2"/>
    <s v="OnePlus 8T"/>
    <n v="298276.19999999995"/>
    <s v="Average"/>
    <s v="Excellent"/>
  </r>
  <r>
    <s v="Pras22808"/>
    <n v="808"/>
    <n v="28"/>
    <n v="5"/>
    <n v="2022"/>
    <d v="2022-05-28T00:00:00"/>
    <s v="May"/>
    <d v="2023-12-25T00:00:00"/>
    <x v="3"/>
    <n v="9"/>
    <n v="22448.17"/>
    <s v="Prashant Shah"/>
    <n v="22"/>
    <s v="Teenagers"/>
    <s v="AVG"/>
    <x v="10"/>
    <s v="Credit Card"/>
    <n v="3"/>
    <s v="Galaxy A51"/>
    <n v="202033.52999999997"/>
    <s v="Average"/>
    <s v="Excellent"/>
  </r>
  <r>
    <s v="Navi43809"/>
    <n v="809"/>
    <n v="28"/>
    <n v="5"/>
    <n v="2022"/>
    <d v="2022-05-28T00:00:00"/>
    <s v="May"/>
    <d v="2023-12-26T00:00:00"/>
    <x v="0"/>
    <n v="7"/>
    <n v="64351.01"/>
    <s v="Navin Gupta"/>
    <n v="43"/>
    <s v="Adult"/>
    <s v="Good"/>
    <x v="2"/>
    <s v="Debit Card"/>
    <n v="5"/>
    <s v="Redmi 9"/>
    <n v="450457.07"/>
    <s v="Good"/>
    <s v="Excellent"/>
  </r>
  <r>
    <s v="Pank58810"/>
    <n v="810"/>
    <n v="28"/>
    <n v="5"/>
    <n v="2022"/>
    <d v="2022-05-28T00:00:00"/>
    <s v="May"/>
    <d v="2023-12-27T00:00:00"/>
    <x v="3"/>
    <n v="9"/>
    <n v="60312.95"/>
    <s v="Pankaj Alva"/>
    <n v="58"/>
    <s v="Senior Citezen"/>
    <s v="Good"/>
    <x v="16"/>
    <s v="Credit Card"/>
    <n v="5"/>
    <s v="Galaxy A51"/>
    <n v="542816.54999999993"/>
    <s v="Good"/>
    <s v="Excellent"/>
  </r>
  <r>
    <s v="Amit30811"/>
    <n v="811"/>
    <n v="29"/>
    <n v="5"/>
    <n v="2022"/>
    <d v="2022-05-29T00:00:00"/>
    <s v="May"/>
    <d v="2023-12-28T00:00:00"/>
    <x v="0"/>
    <n v="5"/>
    <n v="38265.019999999997"/>
    <s v="Amit Joshi"/>
    <n v="30"/>
    <s v="Teenagers"/>
    <s v="Good"/>
    <x v="1"/>
    <s v="Cash"/>
    <n v="4"/>
    <s v="Mi 11"/>
    <n v="191325.09999999998"/>
    <s v="Good"/>
    <s v="Good"/>
  </r>
  <r>
    <s v="Pras29812"/>
    <n v="812"/>
    <n v="29"/>
    <n v="5"/>
    <n v="2022"/>
    <d v="2022-05-29T00:00:00"/>
    <s v="May"/>
    <d v="2023-12-29T00:00:00"/>
    <x v="1"/>
    <n v="7"/>
    <n v="34668.94"/>
    <s v="Prashant Chatterjee"/>
    <n v="29"/>
    <s v="Teenagers"/>
    <s v="Good"/>
    <x v="2"/>
    <s v="UPI"/>
    <n v="5"/>
    <s v="Vivo Y51"/>
    <n v="242682.58000000002"/>
    <s v="Good"/>
    <s v="Excellent"/>
  </r>
  <r>
    <s v="Jyot22813"/>
    <n v="813"/>
    <n v="29"/>
    <n v="5"/>
    <n v="2022"/>
    <d v="2022-05-29T00:00:00"/>
    <s v="May"/>
    <d v="2023-12-30T00:00:00"/>
    <x v="0"/>
    <n v="7"/>
    <n v="24194.080000000002"/>
    <s v="Jyoti Gupta"/>
    <n v="22"/>
    <s v="Teenagers"/>
    <s v="Good"/>
    <x v="15"/>
    <s v="UPI"/>
    <n v="5"/>
    <s v="Redmi 9"/>
    <n v="169358.56"/>
    <s v="Good"/>
    <s v="Good"/>
  </r>
  <r>
    <s v="Meen19814"/>
    <n v="814"/>
    <n v="29"/>
    <n v="5"/>
    <n v="2022"/>
    <d v="2022-05-29T00:00:00"/>
    <s v="May"/>
    <d v="2023-12-31T00:00:00"/>
    <x v="0"/>
    <n v="3"/>
    <n v="53799.59"/>
    <s v="Meena Malhotra"/>
    <n v="19"/>
    <s v="Teenagers"/>
    <s v="Good"/>
    <x v="9"/>
    <s v="Cash"/>
    <n v="5"/>
    <s v="Mi 11"/>
    <n v="161398.76999999999"/>
    <s v="Good"/>
    <s v="Good"/>
  </r>
  <r>
    <s v="Priy21815"/>
    <n v="815"/>
    <n v="30"/>
    <n v="5"/>
    <n v="2022"/>
    <d v="2022-05-30T00:00:00"/>
    <s v="May"/>
    <d v="2024-01-01T00:00:00"/>
    <x v="4"/>
    <n v="7"/>
    <n v="17904.63"/>
    <s v="Priya Roy"/>
    <n v="21"/>
    <s v="Teenagers"/>
    <s v="BAD"/>
    <x v="1"/>
    <s v="Debit Card"/>
    <n v="2"/>
    <s v="iPhone 11"/>
    <n v="125332.41"/>
    <s v="Average"/>
    <s v="Good"/>
  </r>
  <r>
    <s v="Shru44816"/>
    <n v="816"/>
    <n v="30"/>
    <n v="5"/>
    <n v="2022"/>
    <d v="2022-05-30T00:00:00"/>
    <s v="May"/>
    <d v="2024-01-02T00:00:00"/>
    <x v="2"/>
    <n v="1"/>
    <n v="50814.27"/>
    <s v="Shruti Verma"/>
    <n v="44"/>
    <s v="Adult"/>
    <s v="AVG"/>
    <x v="7"/>
    <s v="UPI"/>
    <n v="3"/>
    <s v="OnePlus 9"/>
    <n v="50814.27"/>
    <s v="Average"/>
    <s v="Average"/>
  </r>
  <r>
    <s v="Priy27817"/>
    <n v="817"/>
    <n v="30"/>
    <n v="5"/>
    <n v="2022"/>
    <d v="2022-05-30T00:00:00"/>
    <s v="May"/>
    <d v="2024-01-03T00:00:00"/>
    <x v="2"/>
    <n v="9"/>
    <n v="60547.42"/>
    <s v="Priya Singh"/>
    <n v="27"/>
    <s v="Teenagers"/>
    <s v="Good"/>
    <x v="4"/>
    <s v="Debit Card"/>
    <n v="4"/>
    <s v="OnePlus Nord"/>
    <n v="544926.78"/>
    <s v="Good"/>
    <s v="Excellent"/>
  </r>
  <r>
    <s v="Amit30818"/>
    <n v="818"/>
    <n v="30"/>
    <n v="5"/>
    <n v="2022"/>
    <d v="2022-05-30T00:00:00"/>
    <s v="May"/>
    <d v="2024-01-04T00:00:00"/>
    <x v="1"/>
    <n v="6"/>
    <n v="23708.29"/>
    <s v="Amit Goyal"/>
    <n v="30"/>
    <s v="Teenagers"/>
    <s v="Good"/>
    <x v="1"/>
    <s v="UPI"/>
    <n v="4"/>
    <s v="Vivo V20"/>
    <n v="142249.74"/>
    <s v="Good"/>
    <s v="Good"/>
  </r>
  <r>
    <s v="Adit19819"/>
    <n v="819"/>
    <n v="31"/>
    <n v="5"/>
    <n v="2022"/>
    <d v="2022-05-31T00:00:00"/>
    <s v="May"/>
    <d v="2024-01-05T00:00:00"/>
    <x v="1"/>
    <n v="5"/>
    <n v="61985.64"/>
    <s v="Aditya Nair"/>
    <n v="19"/>
    <s v="Teenagers"/>
    <s v="Good"/>
    <x v="16"/>
    <s v="Cash"/>
    <n v="5"/>
    <s v="Vivo S1"/>
    <n v="309928.2"/>
    <s v="Good"/>
    <s v="Excellent"/>
  </r>
  <r>
    <s v="Adit43820"/>
    <n v="820"/>
    <n v="31"/>
    <n v="5"/>
    <n v="2022"/>
    <d v="2022-05-31T00:00:00"/>
    <s v="May"/>
    <d v="2024-01-06T00:00:00"/>
    <x v="2"/>
    <n v="7"/>
    <n v="11999.39"/>
    <s v="Aditya Jain"/>
    <n v="43"/>
    <s v="Adult"/>
    <s v="BAD"/>
    <x v="2"/>
    <s v="Credit Card"/>
    <n v="2"/>
    <s v="OnePlus Nord"/>
    <n v="83995.73"/>
    <s v="Average"/>
    <s v="Average"/>
  </r>
  <r>
    <s v="Adit32821"/>
    <n v="821"/>
    <n v="31"/>
    <n v="5"/>
    <n v="2022"/>
    <d v="2022-05-31T00:00:00"/>
    <s v="May"/>
    <d v="2024-01-07T00:00:00"/>
    <x v="4"/>
    <n v="5"/>
    <n v="64767.24"/>
    <s v="Aditya Rao"/>
    <n v="32"/>
    <s v="Adult"/>
    <s v="Good"/>
    <x v="2"/>
    <s v="Credit Card"/>
    <n v="5"/>
    <s v="iPhone 12"/>
    <n v="323836.2"/>
    <s v="Good"/>
    <s v="Excellent"/>
  </r>
  <r>
    <s v="Anit27822"/>
    <n v="822"/>
    <n v="31"/>
    <n v="5"/>
    <n v="2022"/>
    <d v="2022-05-31T00:00:00"/>
    <s v="May"/>
    <d v="2024-01-08T00:00:00"/>
    <x v="2"/>
    <n v="5"/>
    <n v="17101.73"/>
    <s v="Anita Menon"/>
    <n v="27"/>
    <s v="Teenagers"/>
    <s v="BAD"/>
    <x v="10"/>
    <s v="Debit Card"/>
    <n v="2"/>
    <s v="OnePlus 9"/>
    <n v="85508.65"/>
    <s v="Average"/>
    <s v="Average"/>
  </r>
  <r>
    <s v="Pooj39823"/>
    <n v="823"/>
    <n v="1"/>
    <n v="6"/>
    <n v="2022"/>
    <d v="2022-06-01T00:00:00"/>
    <s v="June"/>
    <d v="2024-01-09T00:00:00"/>
    <x v="4"/>
    <n v="7"/>
    <n v="48745.55"/>
    <s v="Pooja Joshi"/>
    <n v="39"/>
    <s v="Adult"/>
    <s v="Good"/>
    <x v="11"/>
    <s v="Credit Card"/>
    <n v="4"/>
    <s v="iPhone SE"/>
    <n v="341218.85000000003"/>
    <s v="Good"/>
    <s v="Excellent"/>
  </r>
  <r>
    <s v="Kris57824"/>
    <n v="824"/>
    <n v="1"/>
    <n v="6"/>
    <n v="2022"/>
    <d v="2022-06-01T00:00:00"/>
    <s v="June"/>
    <d v="2024-01-10T00:00:00"/>
    <x v="1"/>
    <n v="7"/>
    <n v="25004.95"/>
    <s v="Krishna Goyal"/>
    <n v="57"/>
    <s v="Senior Citezen"/>
    <s v="AVG"/>
    <x v="1"/>
    <s v="Cash"/>
    <n v="3"/>
    <s v="Vivo V20"/>
    <n v="175034.65"/>
    <s v="Average"/>
    <s v="Good"/>
  </r>
  <r>
    <s v="Sumi42825"/>
    <n v="825"/>
    <n v="1"/>
    <n v="6"/>
    <n v="2022"/>
    <d v="2022-06-01T00:00:00"/>
    <s v="June"/>
    <d v="2024-01-11T00:00:00"/>
    <x v="3"/>
    <n v="3"/>
    <n v="60193.14"/>
    <s v="Sumit Teja"/>
    <n v="42"/>
    <s v="Adult"/>
    <s v="Good"/>
    <x v="1"/>
    <s v="Credit Card"/>
    <n v="5"/>
    <s v="Galaxy S21"/>
    <n v="180579.41999999998"/>
    <s v="Good"/>
    <s v="Good"/>
  </r>
  <r>
    <s v="Kira32826"/>
    <n v="826"/>
    <n v="1"/>
    <n v="6"/>
    <n v="2022"/>
    <d v="2022-06-01T00:00:00"/>
    <s v="June"/>
    <d v="2024-01-12T00:00:00"/>
    <x v="1"/>
    <n v="3"/>
    <n v="40738.019999999997"/>
    <s v="Kiran Mathur"/>
    <n v="32"/>
    <s v="Adult"/>
    <s v="Good"/>
    <x v="1"/>
    <s v="Debit Card"/>
    <n v="5"/>
    <s v="Vivo Y51"/>
    <n v="122214.06"/>
    <s v="Good"/>
    <s v="Good"/>
  </r>
  <r>
    <s v="Bina30827"/>
    <n v="827"/>
    <n v="2"/>
    <n v="6"/>
    <n v="2022"/>
    <d v="2022-06-02T00:00:00"/>
    <s v="June"/>
    <d v="2024-01-13T00:00:00"/>
    <x v="1"/>
    <n v="3"/>
    <n v="18114.47"/>
    <s v="Bina Solanki"/>
    <n v="30"/>
    <s v="Teenagers"/>
    <s v="Good"/>
    <x v="12"/>
    <s v="Cash"/>
    <n v="5"/>
    <s v="Vivo S1"/>
    <n v="54343.41"/>
    <s v="Good"/>
    <s v="Average"/>
  </r>
  <r>
    <s v="Sneh25828"/>
    <n v="828"/>
    <n v="2"/>
    <n v="6"/>
    <n v="2022"/>
    <d v="2022-06-02T00:00:00"/>
    <s v="June"/>
    <d v="2024-01-14T00:00:00"/>
    <x v="0"/>
    <n v="6"/>
    <n v="44259.49"/>
    <s v="Sneha Yadav"/>
    <n v="25"/>
    <s v="Teenagers"/>
    <s v="Good"/>
    <x v="15"/>
    <s v="Cash"/>
    <n v="5"/>
    <s v="Mi 11"/>
    <n v="265556.94"/>
    <s v="Good"/>
    <s v="Excellent"/>
  </r>
  <r>
    <s v="Pooj38829"/>
    <n v="829"/>
    <n v="2"/>
    <n v="6"/>
    <n v="2022"/>
    <d v="2022-06-02T00:00:00"/>
    <s v="June"/>
    <d v="2024-01-15T00:00:00"/>
    <x v="0"/>
    <n v="6"/>
    <n v="34472.959999999999"/>
    <s v="Pooja Kaur"/>
    <n v="38"/>
    <s v="Adult"/>
    <s v="AVG"/>
    <x v="1"/>
    <s v="UPI"/>
    <n v="3"/>
    <s v="Redmi 9"/>
    <n v="206837.76000000001"/>
    <s v="Average"/>
    <s v="Excellent"/>
  </r>
  <r>
    <s v="Nami38830"/>
    <n v="830"/>
    <n v="2"/>
    <n v="6"/>
    <n v="2022"/>
    <d v="2022-06-02T00:00:00"/>
    <s v="June"/>
    <d v="2024-01-16T00:00:00"/>
    <x v="0"/>
    <n v="3"/>
    <n v="49686.87"/>
    <s v="Namita Ghosh"/>
    <n v="38"/>
    <s v="Adult"/>
    <s v="Good"/>
    <x v="2"/>
    <s v="UPI"/>
    <n v="4"/>
    <s v="Mi 11"/>
    <n v="149060.61000000002"/>
    <s v="Good"/>
    <s v="Good"/>
  </r>
  <r>
    <s v="Suni39831"/>
    <n v="831"/>
    <n v="3"/>
    <n v="6"/>
    <n v="2022"/>
    <d v="2022-06-03T00:00:00"/>
    <s v="June"/>
    <d v="2024-01-17T00:00:00"/>
    <x v="0"/>
    <n v="3"/>
    <n v="62914.2"/>
    <s v="Sunita Mathur"/>
    <n v="39"/>
    <s v="Adult"/>
    <s v="Good"/>
    <x v="11"/>
    <s v="Credit Card"/>
    <n v="4"/>
    <s v="Redmi 9"/>
    <n v="188742.59999999998"/>
    <s v="Good"/>
    <s v="Good"/>
  </r>
  <r>
    <s v="Vive50832"/>
    <n v="832"/>
    <n v="3"/>
    <n v="6"/>
    <n v="2022"/>
    <d v="2022-06-03T00:00:00"/>
    <s v="June"/>
    <d v="2024-01-18T00:00:00"/>
    <x v="4"/>
    <n v="8"/>
    <n v="34563.35"/>
    <s v="Vivek Srivastava"/>
    <n v="50"/>
    <s v="Senior Citezen"/>
    <s v="BAD"/>
    <x v="1"/>
    <s v="Debit Card"/>
    <n v="2"/>
    <s v="iPhone 11"/>
    <n v="276506.8"/>
    <s v="Average"/>
    <s v="Excellent"/>
  </r>
  <r>
    <s v="Radh44833"/>
    <n v="833"/>
    <n v="3"/>
    <n v="6"/>
    <n v="2022"/>
    <d v="2022-06-03T00:00:00"/>
    <s v="June"/>
    <d v="2024-01-19T00:00:00"/>
    <x v="2"/>
    <n v="8"/>
    <n v="27392.84"/>
    <s v="Radha Sheth"/>
    <n v="44"/>
    <s v="Adult"/>
    <s v="BAD"/>
    <x v="1"/>
    <s v="Cash"/>
    <n v="2"/>
    <s v="OnePlus Nord"/>
    <n v="219142.72"/>
    <s v="Average"/>
    <s v="Excellent"/>
  </r>
  <r>
    <s v="Nikh57834"/>
    <n v="834"/>
    <n v="3"/>
    <n v="6"/>
    <n v="2022"/>
    <d v="2022-06-03T00:00:00"/>
    <s v="June"/>
    <d v="2024-01-20T00:00:00"/>
    <x v="3"/>
    <n v="7"/>
    <n v="10870.91"/>
    <s v="Nikhil Menon"/>
    <n v="57"/>
    <s v="Senior Citezen"/>
    <s v="Good"/>
    <x v="0"/>
    <s v="Credit Card"/>
    <n v="4"/>
    <s v="Galaxy Note 20"/>
    <n v="76096.37"/>
    <s v="Good"/>
    <s v="Average"/>
  </r>
  <r>
    <s v="Adit39835"/>
    <n v="835"/>
    <n v="4"/>
    <n v="6"/>
    <n v="2022"/>
    <d v="2022-06-04T00:00:00"/>
    <s v="June"/>
    <d v="2024-01-21T00:00:00"/>
    <x v="1"/>
    <n v="4"/>
    <n v="44490.34"/>
    <s v="Aditya Kulkarni"/>
    <n v="39"/>
    <s v="Adult"/>
    <s v="Good"/>
    <x v="10"/>
    <s v="Credit Card"/>
    <n v="5"/>
    <s v="Vivo V20"/>
    <n v="177961.36"/>
    <s v="Good"/>
    <s v="Good"/>
  </r>
  <r>
    <s v="Kris47836"/>
    <n v="836"/>
    <n v="4"/>
    <n v="6"/>
    <n v="2022"/>
    <d v="2022-06-04T00:00:00"/>
    <s v="June"/>
    <d v="2024-01-22T00:00:00"/>
    <x v="4"/>
    <n v="4"/>
    <n v="34136.49"/>
    <s v="Krishna Rathod"/>
    <n v="47"/>
    <s v="Senior Citezen"/>
    <s v="AVG"/>
    <x v="1"/>
    <s v="UPI"/>
    <n v="3"/>
    <s v="iPhone SE"/>
    <n v="136545.96"/>
    <s v="Average"/>
    <s v="Good"/>
  </r>
  <r>
    <s v="Reen26837"/>
    <n v="837"/>
    <n v="4"/>
    <n v="6"/>
    <n v="2022"/>
    <d v="2022-06-04T00:00:00"/>
    <s v="June"/>
    <d v="2024-01-23T00:00:00"/>
    <x v="3"/>
    <n v="3"/>
    <n v="32478.95"/>
    <s v="Reena Arora"/>
    <n v="26"/>
    <s v="Teenagers"/>
    <s v="Good"/>
    <x v="17"/>
    <s v="Credit Card"/>
    <n v="4"/>
    <s v="Galaxy S21"/>
    <n v="97436.85"/>
    <s v="Good"/>
    <s v="Average"/>
  </r>
  <r>
    <s v="Anit52838"/>
    <n v="838"/>
    <n v="5"/>
    <n v="6"/>
    <n v="2022"/>
    <d v="2022-06-05T00:00:00"/>
    <s v="June"/>
    <d v="2024-01-24T00:00:00"/>
    <x v="4"/>
    <n v="5"/>
    <n v="20976.12"/>
    <s v="Anita Pathak"/>
    <n v="52"/>
    <s v="Senior Citezen"/>
    <s v="AVG"/>
    <x v="2"/>
    <s v="Credit Card"/>
    <n v="3"/>
    <s v="iPhone 11"/>
    <n v="104880.59999999999"/>
    <s v="Average"/>
    <s v="Good"/>
  </r>
  <r>
    <s v="Yoge35839"/>
    <n v="839"/>
    <n v="5"/>
    <n v="6"/>
    <n v="2022"/>
    <d v="2022-06-05T00:00:00"/>
    <s v="June"/>
    <d v="2024-01-25T00:00:00"/>
    <x v="4"/>
    <n v="3"/>
    <n v="35803.32"/>
    <s v="Yogesh Rao"/>
    <n v="35"/>
    <s v="Adult"/>
    <s v="Good"/>
    <x v="9"/>
    <s v="UPI"/>
    <n v="5"/>
    <s v="iPhone SE"/>
    <n v="107409.95999999999"/>
    <s v="Good"/>
    <s v="Good"/>
  </r>
  <r>
    <s v="Umes59840"/>
    <n v="840"/>
    <n v="5"/>
    <n v="6"/>
    <n v="2022"/>
    <d v="2022-06-05T00:00:00"/>
    <s v="June"/>
    <d v="2024-01-26T00:00:00"/>
    <x v="1"/>
    <n v="8"/>
    <n v="69066.52"/>
    <s v="Umesh Teja"/>
    <n v="59"/>
    <s v="Senior Citezen"/>
    <s v="Good"/>
    <x v="16"/>
    <s v="Credit Card"/>
    <n v="5"/>
    <s v="Vivo Y51"/>
    <n v="552532.16"/>
    <s v="Good"/>
    <s v="Excellent"/>
  </r>
  <r>
    <s v="Vive22841"/>
    <n v="841"/>
    <n v="5"/>
    <n v="6"/>
    <n v="2022"/>
    <d v="2022-06-05T00:00:00"/>
    <s v="June"/>
    <d v="2024-01-27T00:00:00"/>
    <x v="2"/>
    <n v="7"/>
    <n v="27865.25"/>
    <s v="Vivek Yadav"/>
    <n v="22"/>
    <s v="Teenagers"/>
    <s v="Good"/>
    <x v="7"/>
    <s v="Credit Card"/>
    <n v="5"/>
    <s v="OnePlus 8T"/>
    <n v="195056.75"/>
    <s v="Good"/>
    <s v="Good"/>
  </r>
  <r>
    <s v="Suni44842"/>
    <n v="842"/>
    <n v="6"/>
    <n v="6"/>
    <n v="2022"/>
    <d v="2022-06-06T00:00:00"/>
    <s v="June"/>
    <d v="2024-01-28T00:00:00"/>
    <x v="0"/>
    <n v="3"/>
    <n v="45982.26"/>
    <s v="Sunil Siddiqui"/>
    <n v="44"/>
    <s v="Adult"/>
    <s v="Good"/>
    <x v="1"/>
    <s v="Cash"/>
    <n v="4"/>
    <s v="Redmi Note 10"/>
    <n v="137946.78"/>
    <s v="Good"/>
    <s v="Good"/>
  </r>
  <r>
    <s v="Vive23843"/>
    <n v="843"/>
    <n v="6"/>
    <n v="6"/>
    <n v="2022"/>
    <d v="2022-06-06T00:00:00"/>
    <s v="June"/>
    <d v="2024-01-29T00:00:00"/>
    <x v="2"/>
    <n v="9"/>
    <n v="56589.21"/>
    <s v="Vivek Srivastava"/>
    <n v="23"/>
    <s v="Teenagers"/>
    <s v="BAD"/>
    <x v="17"/>
    <s v="Credit Card"/>
    <n v="2"/>
    <s v="OnePlus Nord"/>
    <n v="509302.89"/>
    <s v="Average"/>
    <s v="Excellent"/>
  </r>
  <r>
    <s v="Navi49844"/>
    <n v="844"/>
    <n v="6"/>
    <n v="6"/>
    <n v="2022"/>
    <d v="2022-06-06T00:00:00"/>
    <s v="June"/>
    <d v="2024-01-30T00:00:00"/>
    <x v="1"/>
    <n v="5"/>
    <n v="54949.47"/>
    <s v="Navin Pathak"/>
    <n v="49"/>
    <s v="Senior Citezen"/>
    <s v="Good"/>
    <x v="14"/>
    <s v="UPI"/>
    <n v="4"/>
    <s v="Vivo Y51"/>
    <n v="274747.34999999998"/>
    <s v="Good"/>
    <s v="Excellent"/>
  </r>
  <r>
    <s v="Tanu25845"/>
    <n v="845"/>
    <n v="6"/>
    <n v="6"/>
    <n v="2022"/>
    <d v="2022-06-06T00:00:00"/>
    <s v="June"/>
    <d v="2024-01-31T00:00:00"/>
    <x v="1"/>
    <n v="9"/>
    <n v="29726.46"/>
    <s v="Tanuja Goyal"/>
    <n v="25"/>
    <s v="Teenagers"/>
    <s v="Good"/>
    <x v="1"/>
    <s v="UPI"/>
    <n v="5"/>
    <s v="Vivo V20"/>
    <n v="267538.14"/>
    <s v="Good"/>
    <s v="Excellent"/>
  </r>
  <r>
    <s v="Tanu56846"/>
    <n v="846"/>
    <n v="7"/>
    <n v="6"/>
    <n v="2022"/>
    <d v="2022-06-07T00:00:00"/>
    <s v="June"/>
    <d v="2024-02-01T00:00:00"/>
    <x v="1"/>
    <n v="7"/>
    <n v="46651.61"/>
    <s v="Tanuja Bhatnagar"/>
    <n v="56"/>
    <s v="Senior Citezen"/>
    <s v="AVG"/>
    <x v="1"/>
    <s v="Cash"/>
    <n v="3"/>
    <s v="Vivo V20"/>
    <n v="326561.27"/>
    <s v="Average"/>
    <s v="Excellent"/>
  </r>
  <r>
    <s v="Moni38847"/>
    <n v="847"/>
    <n v="7"/>
    <n v="6"/>
    <n v="2022"/>
    <d v="2022-06-07T00:00:00"/>
    <s v="June"/>
    <d v="2024-02-02T00:00:00"/>
    <x v="3"/>
    <n v="7"/>
    <n v="62275.88"/>
    <s v="Monika Srivastava"/>
    <n v="38"/>
    <s v="Adult"/>
    <s v="Good"/>
    <x v="11"/>
    <s v="UPI"/>
    <n v="4"/>
    <s v="Galaxy S21"/>
    <n v="435931.16"/>
    <s v="Good"/>
    <s v="Excellent"/>
  </r>
  <r>
    <s v="Priy35848"/>
    <n v="848"/>
    <n v="7"/>
    <n v="6"/>
    <n v="2022"/>
    <d v="2022-06-07T00:00:00"/>
    <s v="June"/>
    <d v="2024-02-03T00:00:00"/>
    <x v="2"/>
    <n v="6"/>
    <n v="10926.85"/>
    <s v="Priyanka Goyal"/>
    <n v="35"/>
    <s v="Adult"/>
    <s v="BAD"/>
    <x v="12"/>
    <s v="UPI"/>
    <n v="2"/>
    <s v="OnePlus 9"/>
    <n v="65561.100000000006"/>
    <s v="Average"/>
    <s v="Average"/>
  </r>
  <r>
    <s v="Hari31849"/>
    <n v="849"/>
    <n v="8"/>
    <n v="6"/>
    <n v="2022"/>
    <d v="2022-06-08T00:00:00"/>
    <s v="June"/>
    <d v="2024-02-04T00:00:00"/>
    <x v="2"/>
    <n v="2"/>
    <n v="36144.06"/>
    <s v="Harish Prasad"/>
    <n v="31"/>
    <s v="Adult"/>
    <s v="Good"/>
    <x v="2"/>
    <s v="UPI"/>
    <n v="5"/>
    <s v="OnePlus 8T"/>
    <n v="72288.12"/>
    <s v="Good"/>
    <s v="Average"/>
  </r>
  <r>
    <s v="Vino32850"/>
    <n v="850"/>
    <n v="8"/>
    <n v="6"/>
    <n v="2022"/>
    <d v="2022-06-08T00:00:00"/>
    <s v="June"/>
    <d v="2024-02-05T00:00:00"/>
    <x v="4"/>
    <n v="9"/>
    <n v="23456.41"/>
    <s v="Vinod Ahuja"/>
    <n v="32"/>
    <s v="Adult"/>
    <s v="Good"/>
    <x v="17"/>
    <s v="Credit Card"/>
    <n v="4"/>
    <s v="iPhone 11"/>
    <n v="211107.69"/>
    <s v="Good"/>
    <s v="Excellent"/>
  </r>
  <r>
    <s v="Tapa59851"/>
    <n v="851"/>
    <n v="8"/>
    <n v="6"/>
    <n v="2022"/>
    <d v="2022-06-08T00:00:00"/>
    <s v="June"/>
    <d v="2024-02-06T00:00:00"/>
    <x v="4"/>
    <n v="6"/>
    <n v="33317.94"/>
    <s v="Tapan Gupta"/>
    <n v="59"/>
    <s v="Senior Citezen"/>
    <s v="Good"/>
    <x v="0"/>
    <s v="Cash"/>
    <n v="5"/>
    <s v="iPhone 11"/>
    <n v="199907.64"/>
    <s v="Good"/>
    <s v="Good"/>
  </r>
  <r>
    <s v="Tapa43852"/>
    <n v="852"/>
    <n v="8"/>
    <n v="6"/>
    <n v="2022"/>
    <d v="2022-06-08T00:00:00"/>
    <s v="June"/>
    <d v="2024-02-07T00:00:00"/>
    <x v="4"/>
    <n v="8"/>
    <n v="34959.379999999997"/>
    <s v="Tapan Joshi"/>
    <n v="43"/>
    <s v="Adult"/>
    <s v="Good"/>
    <x v="15"/>
    <s v="Debit Card"/>
    <n v="5"/>
    <s v="iPhone SE"/>
    <n v="279675.03999999998"/>
    <s v="Good"/>
    <s v="Excellent"/>
  </r>
  <r>
    <s v="Kris49853"/>
    <n v="853"/>
    <n v="9"/>
    <n v="6"/>
    <n v="2022"/>
    <d v="2022-06-09T00:00:00"/>
    <s v="June"/>
    <d v="2024-02-08T00:00:00"/>
    <x v="1"/>
    <n v="1"/>
    <n v="54800.26"/>
    <s v="Krishna Menon"/>
    <n v="49"/>
    <s v="Senior Citezen"/>
    <s v="Good"/>
    <x v="1"/>
    <s v="Cash"/>
    <n v="5"/>
    <s v="Vivo S1"/>
    <n v="54800.26"/>
    <s v="Good"/>
    <s v="Average"/>
  </r>
  <r>
    <s v="Pank56854"/>
    <n v="854"/>
    <n v="9"/>
    <n v="6"/>
    <n v="2022"/>
    <d v="2022-06-09T00:00:00"/>
    <s v="June"/>
    <d v="2024-02-09T00:00:00"/>
    <x v="2"/>
    <n v="5"/>
    <n v="15629.31"/>
    <s v="Pankaj Sheth"/>
    <n v="56"/>
    <s v="Senior Citezen"/>
    <s v="AVG"/>
    <x v="2"/>
    <s v="Cash"/>
    <n v="3"/>
    <s v="OnePlus 9"/>
    <n v="78146.55"/>
    <s v="Average"/>
    <s v="Average"/>
  </r>
  <r>
    <s v="Anan45855"/>
    <n v="855"/>
    <n v="9"/>
    <n v="6"/>
    <n v="2022"/>
    <d v="2022-06-09T00:00:00"/>
    <s v="June"/>
    <d v="2024-02-10T00:00:00"/>
    <x v="1"/>
    <n v="1"/>
    <n v="40755.03"/>
    <s v="Anand Srivastava"/>
    <n v="45"/>
    <s v="Adult"/>
    <s v="Good"/>
    <x v="2"/>
    <s v="Cash"/>
    <n v="5"/>
    <s v="Vivo Y51"/>
    <n v="40755.03"/>
    <s v="Good"/>
    <s v="Low"/>
  </r>
  <r>
    <s v="Roha56856"/>
    <n v="856"/>
    <n v="10"/>
    <n v="6"/>
    <n v="2022"/>
    <d v="2022-06-10T00:00:00"/>
    <s v="June"/>
    <d v="2024-02-11T00:00:00"/>
    <x v="3"/>
    <n v="8"/>
    <n v="43851.69"/>
    <s v="Rohan Dutta"/>
    <n v="56"/>
    <s v="Senior Citezen"/>
    <s v="Good"/>
    <x v="1"/>
    <s v="Debit Card"/>
    <n v="5"/>
    <s v="Galaxy S21"/>
    <n v="350813.52"/>
    <s v="Good"/>
    <s v="Excellent"/>
  </r>
  <r>
    <s v="Pooj49857"/>
    <n v="857"/>
    <n v="10"/>
    <n v="6"/>
    <n v="2022"/>
    <d v="2022-06-10T00:00:00"/>
    <s v="June"/>
    <d v="2024-02-12T00:00:00"/>
    <x v="4"/>
    <n v="8"/>
    <n v="39649.46"/>
    <s v="Pooja Kaur"/>
    <n v="49"/>
    <s v="Senior Citezen"/>
    <s v="BAD"/>
    <x v="1"/>
    <s v="Debit Card"/>
    <n v="2"/>
    <s v="iPhone 11"/>
    <n v="317195.68"/>
    <s v="Average"/>
    <s v="Excellent"/>
  </r>
  <r>
    <s v="Yoge30858"/>
    <n v="858"/>
    <n v="10"/>
    <n v="6"/>
    <n v="2022"/>
    <d v="2022-06-10T00:00:00"/>
    <s v="June"/>
    <d v="2024-02-13T00:00:00"/>
    <x v="1"/>
    <n v="1"/>
    <n v="53912.4"/>
    <s v="Yogesh Kulkarni"/>
    <n v="30"/>
    <s v="Teenagers"/>
    <s v="BAD"/>
    <x v="12"/>
    <s v="UPI"/>
    <n v="2"/>
    <s v="Vivo S1"/>
    <n v="53912.4"/>
    <s v="Average"/>
    <s v="Average"/>
  </r>
  <r>
    <s v="Sach32859"/>
    <n v="859"/>
    <n v="11"/>
    <n v="6"/>
    <n v="2022"/>
    <d v="2022-06-11T00:00:00"/>
    <s v="June"/>
    <d v="2024-02-14T00:00:00"/>
    <x v="1"/>
    <n v="9"/>
    <n v="33027.480000000003"/>
    <s v="Sachin Joshi"/>
    <n v="32"/>
    <s v="Adult"/>
    <s v="Good"/>
    <x v="14"/>
    <s v="Credit Card"/>
    <n v="5"/>
    <s v="Vivo V20"/>
    <n v="297247.32"/>
    <s v="Good"/>
    <s v="Excellent"/>
  </r>
  <r>
    <s v="Deve35860"/>
    <n v="860"/>
    <n v="11"/>
    <n v="6"/>
    <n v="2022"/>
    <d v="2022-06-11T00:00:00"/>
    <s v="June"/>
    <d v="2024-02-15T00:00:00"/>
    <x v="3"/>
    <n v="2"/>
    <n v="66698.02"/>
    <s v="Devendra Rao"/>
    <n v="35"/>
    <s v="Adult"/>
    <s v="BAD"/>
    <x v="16"/>
    <s v="UPI"/>
    <n v="2"/>
    <s v="Galaxy Note 20"/>
    <n v="133396.04"/>
    <s v="Average"/>
    <s v="Good"/>
  </r>
  <r>
    <s v="Mano56861"/>
    <n v="861"/>
    <n v="11"/>
    <n v="6"/>
    <n v="2022"/>
    <d v="2022-06-11T00:00:00"/>
    <s v="June"/>
    <d v="2024-02-16T00:00:00"/>
    <x v="0"/>
    <n v="9"/>
    <n v="38908.21"/>
    <s v="Manoj Pathak"/>
    <n v="56"/>
    <s v="Senior Citezen"/>
    <s v="Good"/>
    <x v="14"/>
    <s v="UPI"/>
    <n v="5"/>
    <s v="Mi 11"/>
    <n v="350173.89"/>
    <s v="Good"/>
    <s v="Excellent"/>
  </r>
  <r>
    <s v="Kuna23862"/>
    <n v="862"/>
    <n v="11"/>
    <n v="6"/>
    <n v="2022"/>
    <d v="2022-06-11T00:00:00"/>
    <s v="June"/>
    <d v="2024-02-17T00:00:00"/>
    <x v="2"/>
    <n v="1"/>
    <n v="44272.83"/>
    <s v="Kunal Deshmukh"/>
    <n v="23"/>
    <s v="Teenagers"/>
    <s v="Good"/>
    <x v="3"/>
    <s v="Debit Card"/>
    <n v="4"/>
    <s v="OnePlus 8T"/>
    <n v="44272.83"/>
    <s v="Good"/>
    <s v="Low"/>
  </r>
  <r>
    <s v="Ayes28863"/>
    <n v="863"/>
    <n v="12"/>
    <n v="6"/>
    <n v="2022"/>
    <d v="2022-06-12T00:00:00"/>
    <s v="June"/>
    <d v="2024-02-18T00:00:00"/>
    <x v="0"/>
    <n v="9"/>
    <n v="59531.85"/>
    <s v="Ayesha Ghosh"/>
    <n v="28"/>
    <s v="Teenagers"/>
    <s v="Good"/>
    <x v="14"/>
    <s v="UPI"/>
    <n v="5"/>
    <s v="Redmi Note 10"/>
    <n v="535786.65"/>
    <s v="Good"/>
    <s v="Excellent"/>
  </r>
  <r>
    <s v="Roha49864"/>
    <n v="864"/>
    <n v="12"/>
    <n v="6"/>
    <n v="2022"/>
    <d v="2022-06-12T00:00:00"/>
    <s v="June"/>
    <d v="2024-02-19T00:00:00"/>
    <x v="4"/>
    <n v="4"/>
    <n v="26514.17"/>
    <s v="Rohan Mishra"/>
    <n v="49"/>
    <s v="Senior Citezen"/>
    <s v="Good"/>
    <x v="2"/>
    <s v="UPI"/>
    <n v="4"/>
    <s v="iPhone SE"/>
    <n v="106056.68"/>
    <s v="Good"/>
    <s v="Good"/>
  </r>
  <r>
    <s v="Sumi57865"/>
    <n v="865"/>
    <n v="12"/>
    <n v="6"/>
    <n v="2022"/>
    <d v="2022-06-12T00:00:00"/>
    <s v="June"/>
    <d v="2024-02-20T00:00:00"/>
    <x v="1"/>
    <n v="9"/>
    <n v="14512.12"/>
    <s v="Sumit Alva"/>
    <n v="57"/>
    <s v="Senior Citezen"/>
    <s v="BAD"/>
    <x v="0"/>
    <s v="Debit Card"/>
    <n v="2"/>
    <s v="Vivo Y51"/>
    <n v="130609.08"/>
    <s v="Average"/>
    <s v="Good"/>
  </r>
  <r>
    <s v="Anit37866"/>
    <n v="866"/>
    <n v="13"/>
    <n v="6"/>
    <n v="2022"/>
    <d v="2022-06-13T00:00:00"/>
    <s v="June"/>
    <d v="2024-02-21T00:00:00"/>
    <x v="3"/>
    <n v="7"/>
    <n v="52467.040000000001"/>
    <s v="Anita Mehta"/>
    <n v="37"/>
    <s v="Adult"/>
    <s v="AVG"/>
    <x v="2"/>
    <s v="Cash"/>
    <n v="3"/>
    <s v="Galaxy S21"/>
    <n v="367269.28"/>
    <s v="Average"/>
    <s v="Excellent"/>
  </r>
  <r>
    <s v="Umes50867"/>
    <n v="867"/>
    <n v="13"/>
    <n v="6"/>
    <n v="2022"/>
    <d v="2022-06-13T00:00:00"/>
    <s v="June"/>
    <d v="2024-02-22T00:00:00"/>
    <x v="3"/>
    <n v="6"/>
    <n v="38980.71"/>
    <s v="Umesh Menon"/>
    <n v="50"/>
    <s v="Senior Citezen"/>
    <s v="AVG"/>
    <x v="10"/>
    <s v="Cash"/>
    <n v="3"/>
    <s v="Galaxy Note 20"/>
    <n v="233884.26"/>
    <s v="Average"/>
    <s v="Excellent"/>
  </r>
  <r>
    <s v="Deep57868"/>
    <n v="868"/>
    <n v="13"/>
    <n v="6"/>
    <n v="2022"/>
    <d v="2022-06-13T00:00:00"/>
    <s v="June"/>
    <d v="2024-02-23T00:00:00"/>
    <x v="2"/>
    <n v="5"/>
    <n v="63790.26"/>
    <s v="Deepika Gupta"/>
    <n v="57"/>
    <s v="Senior Citezen"/>
    <s v="Good"/>
    <x v="16"/>
    <s v="Debit Card"/>
    <n v="5"/>
    <s v="OnePlus 9"/>
    <n v="318951.3"/>
    <s v="Good"/>
    <s v="Excellent"/>
  </r>
  <r>
    <s v="Tanu25869"/>
    <n v="869"/>
    <n v="14"/>
    <n v="6"/>
    <n v="2022"/>
    <d v="2022-06-14T00:00:00"/>
    <s v="June"/>
    <d v="2024-02-24T00:00:00"/>
    <x v="0"/>
    <n v="9"/>
    <n v="68960.800000000003"/>
    <s v="Tanuja Dutta"/>
    <n v="25"/>
    <s v="Teenagers"/>
    <s v="Good"/>
    <x v="10"/>
    <s v="Credit Card"/>
    <n v="5"/>
    <s v="Redmi 9"/>
    <n v="620647.20000000007"/>
    <s v="Good"/>
    <s v="Excellent"/>
  </r>
  <r>
    <s v="Sach52870"/>
    <n v="870"/>
    <n v="14"/>
    <n v="6"/>
    <n v="2022"/>
    <d v="2022-06-14T00:00:00"/>
    <s v="June"/>
    <d v="2024-02-25T00:00:00"/>
    <x v="2"/>
    <n v="2"/>
    <n v="33946.559999999998"/>
    <s v="Sachin Rawat"/>
    <n v="52"/>
    <s v="Senior Citezen"/>
    <s v="BAD"/>
    <x v="5"/>
    <s v="UPI"/>
    <n v="2"/>
    <s v="OnePlus 8T"/>
    <n v="67893.119999999995"/>
    <s v="Average"/>
    <s v="Average"/>
  </r>
  <r>
    <s v="Ayes22871"/>
    <n v="871"/>
    <n v="14"/>
    <n v="6"/>
    <n v="2022"/>
    <d v="2022-06-14T00:00:00"/>
    <s v="June"/>
    <d v="2024-02-26T00:00:00"/>
    <x v="1"/>
    <n v="2"/>
    <n v="34926.339999999997"/>
    <s v="Ayesha Kaur"/>
    <n v="22"/>
    <s v="Teenagers"/>
    <s v="AVG"/>
    <x v="4"/>
    <s v="Cash"/>
    <n v="3"/>
    <s v="Vivo V20"/>
    <n v="69852.679999999993"/>
    <s v="Average"/>
    <s v="Average"/>
  </r>
  <r>
    <s v="Anja52872"/>
    <n v="872"/>
    <n v="15"/>
    <n v="6"/>
    <n v="2022"/>
    <d v="2022-06-15T00:00:00"/>
    <s v="June"/>
    <d v="2024-02-27T00:00:00"/>
    <x v="2"/>
    <n v="9"/>
    <n v="34477.760000000002"/>
    <s v="Anjali Ahuja"/>
    <n v="52"/>
    <s v="Senior Citezen"/>
    <s v="AVG"/>
    <x v="9"/>
    <s v="Debit Card"/>
    <n v="3"/>
    <s v="OnePlus 8T"/>
    <n v="310299.84000000003"/>
    <s v="Average"/>
    <s v="Excellent"/>
  </r>
  <r>
    <s v="Isha31873"/>
    <n v="873"/>
    <n v="15"/>
    <n v="6"/>
    <n v="2022"/>
    <d v="2022-06-15T00:00:00"/>
    <s v="June"/>
    <d v="2024-02-28T00:00:00"/>
    <x v="3"/>
    <n v="3"/>
    <n v="29473.25"/>
    <s v="Isha Nair"/>
    <n v="31"/>
    <s v="Adult"/>
    <s v="Good"/>
    <x v="4"/>
    <s v="Credit Card"/>
    <n v="5"/>
    <s v="Galaxy S21"/>
    <n v="88419.75"/>
    <s v="Good"/>
    <s v="Average"/>
  </r>
  <r>
    <s v="Bhav38874"/>
    <n v="874"/>
    <n v="15"/>
    <n v="6"/>
    <n v="2022"/>
    <d v="2022-06-15T00:00:00"/>
    <s v="June"/>
    <d v="2024-02-29T00:00:00"/>
    <x v="3"/>
    <n v="8"/>
    <n v="56901.23"/>
    <s v="Bhavana Kapoor"/>
    <n v="38"/>
    <s v="Adult"/>
    <s v="AVG"/>
    <x v="15"/>
    <s v="UPI"/>
    <n v="3"/>
    <s v="Galaxy A51"/>
    <n v="455209.84"/>
    <s v="Average"/>
    <s v="Excellent"/>
  </r>
  <r>
    <s v="Pras41875"/>
    <n v="875"/>
    <n v="16"/>
    <n v="6"/>
    <n v="2022"/>
    <d v="2022-06-16T00:00:00"/>
    <s v="June"/>
    <d v="2024-03-01T00:00:00"/>
    <x v="4"/>
    <n v="9"/>
    <n v="55539.75"/>
    <s v="Prashant Dutta"/>
    <n v="41"/>
    <s v="Adult"/>
    <s v="Good"/>
    <x v="13"/>
    <s v="Debit Card"/>
    <n v="5"/>
    <s v="iPhone SE"/>
    <n v="499857.75"/>
    <s v="Good"/>
    <s v="Excellent"/>
  </r>
  <r>
    <s v="Anan34876"/>
    <n v="876"/>
    <n v="16"/>
    <n v="6"/>
    <n v="2022"/>
    <d v="2022-06-16T00:00:00"/>
    <s v="June"/>
    <d v="2024-03-02T00:00:00"/>
    <x v="4"/>
    <n v="8"/>
    <n v="38718.69"/>
    <s v="Anand Kaur"/>
    <n v="34"/>
    <s v="Adult"/>
    <s v="Good"/>
    <x v="11"/>
    <s v="Debit Card"/>
    <n v="5"/>
    <s v="iPhone 12"/>
    <n v="309749.52"/>
    <s v="Good"/>
    <s v="Excellent"/>
  </r>
  <r>
    <s v="Deep35877"/>
    <n v="877"/>
    <n v="16"/>
    <n v="6"/>
    <n v="2022"/>
    <d v="2022-06-16T00:00:00"/>
    <s v="June"/>
    <d v="2024-03-03T00:00:00"/>
    <x v="1"/>
    <n v="4"/>
    <n v="12679.67"/>
    <s v="Deepika Verma"/>
    <n v="35"/>
    <s v="Adult"/>
    <s v="AVG"/>
    <x v="12"/>
    <s v="Debit Card"/>
    <n v="3"/>
    <s v="Vivo S1"/>
    <n v="50718.68"/>
    <s v="Average"/>
    <s v="Average"/>
  </r>
  <r>
    <s v="Kira51878"/>
    <n v="878"/>
    <n v="16"/>
    <n v="6"/>
    <n v="2022"/>
    <d v="2022-06-16T00:00:00"/>
    <s v="June"/>
    <d v="2024-03-04T00:00:00"/>
    <x v="0"/>
    <n v="1"/>
    <n v="28573.56"/>
    <s v="Kiran Rathod"/>
    <n v="51"/>
    <s v="Senior Citezen"/>
    <s v="Good"/>
    <x v="6"/>
    <s v="UPI"/>
    <n v="4"/>
    <s v="Mi 11"/>
    <n v="28573.56"/>
    <s v="Good"/>
    <s v="Low"/>
  </r>
  <r>
    <s v="Meen29879"/>
    <n v="879"/>
    <n v="17"/>
    <n v="6"/>
    <n v="2022"/>
    <d v="2022-06-17T00:00:00"/>
    <s v="June"/>
    <d v="2024-03-05T00:00:00"/>
    <x v="2"/>
    <n v="4"/>
    <n v="27538.18"/>
    <s v="Meena Das"/>
    <n v="29"/>
    <s v="Teenagers"/>
    <s v="BAD"/>
    <x v="2"/>
    <s v="Cash"/>
    <n v="2"/>
    <s v="OnePlus Nord"/>
    <n v="110152.72"/>
    <s v="Average"/>
    <s v="Good"/>
  </r>
  <r>
    <s v="Pank33880"/>
    <n v="880"/>
    <n v="17"/>
    <n v="6"/>
    <n v="2022"/>
    <d v="2022-06-17T00:00:00"/>
    <s v="June"/>
    <d v="2024-03-06T00:00:00"/>
    <x v="1"/>
    <n v="9"/>
    <n v="58665.23"/>
    <s v="Pankaj Srivastava"/>
    <n v="33"/>
    <s v="Adult"/>
    <s v="Good"/>
    <x v="1"/>
    <s v="UPI"/>
    <n v="5"/>
    <s v="Vivo Y51"/>
    <n v="527987.07000000007"/>
    <s v="Good"/>
    <s v="Excellent"/>
  </r>
  <r>
    <s v="Sneh21881"/>
    <n v="881"/>
    <n v="17"/>
    <n v="6"/>
    <n v="2022"/>
    <d v="2022-06-17T00:00:00"/>
    <s v="June"/>
    <d v="2024-03-07T00:00:00"/>
    <x v="4"/>
    <n v="2"/>
    <n v="15254.53"/>
    <s v="Sneha Rao"/>
    <n v="21"/>
    <s v="Teenagers"/>
    <s v="AVG"/>
    <x v="14"/>
    <s v="UPI"/>
    <n v="3"/>
    <s v="iPhone SE"/>
    <n v="30509.06"/>
    <s v="Average"/>
    <s v="Low"/>
  </r>
  <r>
    <s v="Nikh42882"/>
    <n v="882"/>
    <n v="18"/>
    <n v="6"/>
    <n v="2022"/>
    <d v="2022-06-18T00:00:00"/>
    <s v="June"/>
    <d v="2024-03-08T00:00:00"/>
    <x v="2"/>
    <n v="3"/>
    <n v="58340.52"/>
    <s v="Nikhil Patel"/>
    <n v="42"/>
    <s v="Adult"/>
    <s v="AVG"/>
    <x v="4"/>
    <s v="Cash"/>
    <n v="3"/>
    <s v="OnePlus Nord"/>
    <n v="175021.56"/>
    <s v="Average"/>
    <s v="Good"/>
  </r>
  <r>
    <s v="Lali51883"/>
    <n v="883"/>
    <n v="18"/>
    <n v="6"/>
    <n v="2022"/>
    <d v="2022-06-18T00:00:00"/>
    <s v="June"/>
    <d v="2024-03-09T00:00:00"/>
    <x v="4"/>
    <n v="8"/>
    <n v="50151.02"/>
    <s v="Lalita Siddiqui"/>
    <n v="51"/>
    <s v="Senior Citezen"/>
    <s v="Good"/>
    <x v="1"/>
    <s v="Debit Card"/>
    <n v="5"/>
    <s v="iPhone 11"/>
    <n v="401208.16"/>
    <s v="Good"/>
    <s v="Excellent"/>
  </r>
  <r>
    <s v="Radh45884"/>
    <n v="884"/>
    <n v="18"/>
    <n v="6"/>
    <n v="2022"/>
    <d v="2022-06-18T00:00:00"/>
    <s v="June"/>
    <d v="2024-03-10T00:00:00"/>
    <x v="2"/>
    <n v="6"/>
    <n v="53946.49"/>
    <s v="Radha Kulkarni"/>
    <n v="45"/>
    <s v="Adult"/>
    <s v="Good"/>
    <x v="1"/>
    <s v="Credit Card"/>
    <n v="4"/>
    <s v="OnePlus Nord"/>
    <n v="323678.94"/>
    <s v="Good"/>
    <s v="Excellent"/>
  </r>
  <r>
    <s v="Meen28885"/>
    <n v="885"/>
    <n v="18"/>
    <n v="6"/>
    <n v="2022"/>
    <d v="2022-06-18T00:00:00"/>
    <s v="June"/>
    <d v="2024-03-11T00:00:00"/>
    <x v="0"/>
    <n v="8"/>
    <n v="35932.79"/>
    <s v="Meena Kumar"/>
    <n v="28"/>
    <s v="Teenagers"/>
    <s v="AVG"/>
    <x v="5"/>
    <s v="Credit Card"/>
    <n v="3"/>
    <s v="Mi 11"/>
    <n v="287462.32"/>
    <s v="Average"/>
    <s v="Excellent"/>
  </r>
  <r>
    <s v="Vino30886"/>
    <n v="886"/>
    <n v="19"/>
    <n v="6"/>
    <n v="2022"/>
    <d v="2022-06-19T00:00:00"/>
    <s v="June"/>
    <d v="2024-03-12T00:00:00"/>
    <x v="1"/>
    <n v="7"/>
    <n v="50783.55"/>
    <s v="Vinod Chatterjee"/>
    <n v="30"/>
    <s v="Teenagers"/>
    <s v="Good"/>
    <x v="10"/>
    <s v="Cash"/>
    <n v="5"/>
    <s v="Vivo Y51"/>
    <n v="355484.85000000003"/>
    <s v="Good"/>
    <s v="Excellent"/>
  </r>
  <r>
    <s v="Priy48887"/>
    <n v="887"/>
    <n v="19"/>
    <n v="6"/>
    <n v="2022"/>
    <d v="2022-06-19T00:00:00"/>
    <s v="June"/>
    <d v="2024-03-13T00:00:00"/>
    <x v="2"/>
    <n v="5"/>
    <n v="46541.74"/>
    <s v="Priyanka Nambiar"/>
    <n v="48"/>
    <s v="Senior Citezen"/>
    <s v="BAD"/>
    <x v="11"/>
    <s v="Cash"/>
    <n v="2"/>
    <s v="OnePlus Nord"/>
    <n v="232708.69999999998"/>
    <s v="Average"/>
    <s v="Excellent"/>
  </r>
  <r>
    <s v="Reen42888"/>
    <n v="888"/>
    <n v="19"/>
    <n v="6"/>
    <n v="2022"/>
    <d v="2022-06-19T00:00:00"/>
    <s v="June"/>
    <d v="2024-03-14T00:00:00"/>
    <x v="3"/>
    <n v="9"/>
    <n v="56138.81"/>
    <s v="Reena Teja"/>
    <n v="42"/>
    <s v="Adult"/>
    <s v="Good"/>
    <x v="1"/>
    <s v="Debit Card"/>
    <n v="5"/>
    <s v="Galaxy A51"/>
    <n v="505249.29"/>
    <s v="Good"/>
    <s v="Excellent"/>
  </r>
  <r>
    <s v="Mano56889"/>
    <n v="889"/>
    <n v="20"/>
    <n v="6"/>
    <n v="2022"/>
    <d v="2022-06-20T00:00:00"/>
    <s v="June"/>
    <d v="2024-03-15T00:00:00"/>
    <x v="3"/>
    <n v="4"/>
    <n v="36806.19"/>
    <s v="Manoj Jain"/>
    <n v="56"/>
    <s v="Senior Citezen"/>
    <s v="AVG"/>
    <x v="9"/>
    <s v="Credit Card"/>
    <n v="3"/>
    <s v="Galaxy Note 20"/>
    <n v="147224.76"/>
    <s v="Average"/>
    <s v="Good"/>
  </r>
  <r>
    <s v="Rame27890"/>
    <n v="890"/>
    <n v="20"/>
    <n v="6"/>
    <n v="2022"/>
    <d v="2022-06-20T00:00:00"/>
    <s v="June"/>
    <d v="2024-03-16T00:00:00"/>
    <x v="2"/>
    <n v="6"/>
    <n v="38369.54"/>
    <s v="Ramesh Mishra"/>
    <n v="27"/>
    <s v="Teenagers"/>
    <s v="BAD"/>
    <x v="1"/>
    <s v="Credit Card"/>
    <n v="2"/>
    <s v="OnePlus 9"/>
    <n v="230217.24"/>
    <s v="Average"/>
    <s v="Excellent"/>
  </r>
  <r>
    <s v="Anit41891"/>
    <n v="891"/>
    <n v="20"/>
    <n v="6"/>
    <n v="2022"/>
    <d v="2022-06-20T00:00:00"/>
    <s v="June"/>
    <d v="2024-03-17T00:00:00"/>
    <x v="2"/>
    <n v="2"/>
    <n v="48614.57"/>
    <s v="Anita Srivastava"/>
    <n v="41"/>
    <s v="Adult"/>
    <s v="Good"/>
    <x v="10"/>
    <s v="Debit Card"/>
    <n v="5"/>
    <s v="OnePlus Nord"/>
    <n v="97229.14"/>
    <s v="Good"/>
    <s v="Average"/>
  </r>
  <r>
    <s v="Nami18892"/>
    <n v="892"/>
    <n v="21"/>
    <n v="6"/>
    <n v="2022"/>
    <d v="2022-06-21T00:00:00"/>
    <s v="June"/>
    <d v="2024-03-18T00:00:00"/>
    <x v="2"/>
    <n v="2"/>
    <n v="16484.650000000001"/>
    <s v="Namita Sheth"/>
    <n v="18"/>
    <s v="Teenagers"/>
    <s v="Good"/>
    <x v="10"/>
    <s v="Cash"/>
    <n v="5"/>
    <s v="OnePlus Nord"/>
    <n v="32969.300000000003"/>
    <s v="Good"/>
    <s v="Low"/>
  </r>
  <r>
    <s v="Mala42893"/>
    <n v="893"/>
    <n v="21"/>
    <n v="6"/>
    <n v="2022"/>
    <d v="2022-06-21T00:00:00"/>
    <s v="June"/>
    <d v="2024-03-19T00:00:00"/>
    <x v="3"/>
    <n v="2"/>
    <n v="36174.67"/>
    <s v="Mala Chatterjee"/>
    <n v="42"/>
    <s v="Adult"/>
    <s v="Good"/>
    <x v="3"/>
    <s v="Cash"/>
    <n v="5"/>
    <s v="Galaxy S21"/>
    <n v="72349.34"/>
    <s v="Good"/>
    <s v="Average"/>
  </r>
  <r>
    <s v="Sumi45894"/>
    <n v="894"/>
    <n v="21"/>
    <n v="6"/>
    <n v="2022"/>
    <d v="2022-06-21T00:00:00"/>
    <s v="June"/>
    <d v="2024-03-20T00:00:00"/>
    <x v="3"/>
    <n v="7"/>
    <n v="68317.05"/>
    <s v="Sumit Joshi"/>
    <n v="45"/>
    <s v="Adult"/>
    <s v="Good"/>
    <x v="3"/>
    <s v="Debit Card"/>
    <n v="4"/>
    <s v="Galaxy S21"/>
    <n v="478219.35000000003"/>
    <s v="Good"/>
    <s v="Excellent"/>
  </r>
  <r>
    <s v="Vive53895"/>
    <n v="895"/>
    <n v="22"/>
    <n v="6"/>
    <n v="2022"/>
    <d v="2022-06-22T00:00:00"/>
    <s v="June"/>
    <d v="2024-03-21T00:00:00"/>
    <x v="2"/>
    <n v="2"/>
    <n v="12253.14"/>
    <s v="Vivek Bhatnagar"/>
    <n v="53"/>
    <s v="Senior Citezen"/>
    <s v="Good"/>
    <x v="1"/>
    <s v="Cash"/>
    <n v="5"/>
    <s v="OnePlus Nord"/>
    <n v="24506.28"/>
    <s v="Good"/>
    <s v="Low"/>
  </r>
  <r>
    <s v="Radh35896"/>
    <n v="896"/>
    <n v="22"/>
    <n v="6"/>
    <n v="2022"/>
    <d v="2022-06-22T00:00:00"/>
    <s v="June"/>
    <d v="2024-03-22T00:00:00"/>
    <x v="4"/>
    <n v="2"/>
    <n v="28960.28"/>
    <s v="Radha Kulkarni"/>
    <n v="35"/>
    <s v="Adult"/>
    <s v="Good"/>
    <x v="14"/>
    <s v="UPI"/>
    <n v="5"/>
    <s v="iPhone SE"/>
    <n v="57920.56"/>
    <s v="Good"/>
    <s v="Average"/>
  </r>
  <r>
    <s v="Tapa23897"/>
    <n v="897"/>
    <n v="22"/>
    <n v="6"/>
    <n v="2022"/>
    <d v="2022-06-22T00:00:00"/>
    <s v="June"/>
    <d v="2024-03-23T00:00:00"/>
    <x v="4"/>
    <n v="9"/>
    <n v="28846.59"/>
    <s v="Tapan Deshmukh"/>
    <n v="23"/>
    <s v="Teenagers"/>
    <s v="Good"/>
    <x v="1"/>
    <s v="Cash"/>
    <n v="4"/>
    <s v="iPhone SE"/>
    <n v="259619.31"/>
    <s v="Good"/>
    <s v="Excellent"/>
  </r>
  <r>
    <s v="Sach19898"/>
    <n v="898"/>
    <n v="23"/>
    <n v="6"/>
    <n v="2022"/>
    <d v="2022-06-23T00:00:00"/>
    <s v="June"/>
    <d v="2024-03-24T00:00:00"/>
    <x v="0"/>
    <n v="7"/>
    <n v="48007.85"/>
    <s v="Sachin Rao"/>
    <n v="19"/>
    <s v="Teenagers"/>
    <s v="Good"/>
    <x v="1"/>
    <s v="UPI"/>
    <n v="5"/>
    <s v="Redmi Note 10"/>
    <n v="336054.95"/>
    <s v="Good"/>
    <s v="Excellent"/>
  </r>
  <r>
    <s v="Gita20899"/>
    <n v="899"/>
    <n v="23"/>
    <n v="6"/>
    <n v="2022"/>
    <d v="2022-06-23T00:00:00"/>
    <s v="June"/>
    <d v="2024-03-25T00:00:00"/>
    <x v="1"/>
    <n v="3"/>
    <n v="16348.02"/>
    <s v="Gita Teja"/>
    <n v="20"/>
    <s v="Teenagers"/>
    <s v="Good"/>
    <x v="1"/>
    <s v="Credit Card"/>
    <n v="5"/>
    <s v="Vivo S1"/>
    <n v="49044.06"/>
    <s v="Good"/>
    <s v="Low"/>
  </r>
  <r>
    <s v="Priy25900"/>
    <n v="900"/>
    <n v="23"/>
    <n v="6"/>
    <n v="2022"/>
    <d v="2022-06-23T00:00:00"/>
    <s v="June"/>
    <d v="2024-03-26T00:00:00"/>
    <x v="4"/>
    <n v="3"/>
    <n v="47712.639999999999"/>
    <s v="Priya Patel"/>
    <n v="25"/>
    <s v="Teenagers"/>
    <s v="Good"/>
    <x v="1"/>
    <s v="Credit Card"/>
    <n v="4"/>
    <s v="iPhone 12"/>
    <n v="143137.91999999998"/>
    <s v="Good"/>
    <s v="Good"/>
  </r>
  <r>
    <s v="Anan48901"/>
    <n v="901"/>
    <n v="23"/>
    <n v="6"/>
    <n v="2022"/>
    <d v="2022-06-23T00:00:00"/>
    <s v="June"/>
    <d v="2024-03-27T00:00:00"/>
    <x v="3"/>
    <n v="7"/>
    <n v="15702.41"/>
    <s v="Anand Thakur"/>
    <n v="48"/>
    <s v="Senior Citezen"/>
    <s v="Good"/>
    <x v="15"/>
    <s v="Cash"/>
    <n v="5"/>
    <s v="Galaxy S21"/>
    <n v="109916.87"/>
    <s v="Good"/>
    <s v="Good"/>
  </r>
  <r>
    <s v="Sneh36902"/>
    <n v="902"/>
    <n v="24"/>
    <n v="6"/>
    <n v="2022"/>
    <d v="2022-06-24T00:00:00"/>
    <s v="June"/>
    <d v="2024-03-28T00:00:00"/>
    <x v="4"/>
    <n v="5"/>
    <n v="15697.22"/>
    <s v="Sneha Thakur"/>
    <n v="36"/>
    <s v="Adult"/>
    <s v="BAD"/>
    <x v="17"/>
    <s v="Debit Card"/>
    <n v="2"/>
    <s v="iPhone 11"/>
    <n v="78486.099999999991"/>
    <s v="Average"/>
    <s v="Average"/>
  </r>
  <r>
    <s v="Arun23903"/>
    <n v="903"/>
    <n v="24"/>
    <n v="6"/>
    <n v="2022"/>
    <d v="2022-06-24T00:00:00"/>
    <s v="June"/>
    <d v="2024-03-29T00:00:00"/>
    <x v="0"/>
    <n v="6"/>
    <n v="53691"/>
    <s v="Arun Deshmukh"/>
    <n v="23"/>
    <s v="Teenagers"/>
    <s v="AVG"/>
    <x v="2"/>
    <s v="Cash"/>
    <n v="3"/>
    <s v="Redmi Note 10"/>
    <n v="322146"/>
    <s v="Average"/>
    <s v="Excellent"/>
  </r>
  <r>
    <s v="Isha31904"/>
    <n v="904"/>
    <n v="24"/>
    <n v="6"/>
    <n v="2022"/>
    <d v="2022-06-24T00:00:00"/>
    <s v="June"/>
    <d v="2024-03-30T00:00:00"/>
    <x v="0"/>
    <n v="8"/>
    <n v="29448.11"/>
    <s v="Isha Nair"/>
    <n v="31"/>
    <s v="Adult"/>
    <s v="Good"/>
    <x v="11"/>
    <s v="Debit Card"/>
    <n v="5"/>
    <s v="Mi 11"/>
    <n v="235584.88"/>
    <s v="Good"/>
    <s v="Excellent"/>
  </r>
  <r>
    <s v="Bina20905"/>
    <n v="905"/>
    <n v="24"/>
    <n v="6"/>
    <n v="2022"/>
    <d v="2022-06-24T00:00:00"/>
    <s v="June"/>
    <d v="2024-03-31T00:00:00"/>
    <x v="1"/>
    <n v="9"/>
    <n v="68645.38"/>
    <s v="Bina Joshi"/>
    <n v="20"/>
    <s v="Teenagers"/>
    <s v="Good"/>
    <x v="3"/>
    <s v="Credit Card"/>
    <n v="5"/>
    <s v="Vivo V20"/>
    <n v="617808.42000000004"/>
    <s v="Good"/>
    <s v="Excellent"/>
  </r>
  <r>
    <s v="Arun18906"/>
    <n v="906"/>
    <n v="25"/>
    <n v="6"/>
    <n v="2022"/>
    <d v="2022-06-25T00:00:00"/>
    <s v="June"/>
    <d v="2024-04-01T00:00:00"/>
    <x v="4"/>
    <n v="1"/>
    <n v="12241.18"/>
    <s v="Arun Dutta"/>
    <n v="18"/>
    <s v="Teenagers"/>
    <s v="AVG"/>
    <x v="15"/>
    <s v="Credit Card"/>
    <n v="3"/>
    <s v="iPhone 12"/>
    <n v="12241.18"/>
    <s v="Average"/>
    <s v="Low"/>
  </r>
  <r>
    <s v="Adit47907"/>
    <n v="907"/>
    <n v="25"/>
    <n v="6"/>
    <n v="2022"/>
    <d v="2022-06-25T00:00:00"/>
    <s v="June"/>
    <d v="2024-04-02T00:00:00"/>
    <x v="3"/>
    <n v="3"/>
    <n v="36706.400000000001"/>
    <s v="Aditya Luthra"/>
    <n v="47"/>
    <s v="Senior Citezen"/>
    <s v="Good"/>
    <x v="16"/>
    <s v="Credit Card"/>
    <n v="5"/>
    <s v="Galaxy Note 20"/>
    <n v="110119.20000000001"/>
    <s v="Good"/>
    <s v="Good"/>
  </r>
  <r>
    <s v="Kira36908"/>
    <n v="908"/>
    <n v="25"/>
    <n v="6"/>
    <n v="2022"/>
    <d v="2022-06-25T00:00:00"/>
    <s v="June"/>
    <d v="2024-04-03T00:00:00"/>
    <x v="3"/>
    <n v="7"/>
    <n v="16788.16"/>
    <s v="Kiran Rawat"/>
    <n v="36"/>
    <s v="Adult"/>
    <s v="AVG"/>
    <x v="2"/>
    <s v="Debit Card"/>
    <n v="3"/>
    <s v="Galaxy Note 20"/>
    <n v="117517.12"/>
    <s v="Average"/>
    <s v="Good"/>
  </r>
  <r>
    <s v="Rame36909"/>
    <n v="909"/>
    <n v="26"/>
    <n v="6"/>
    <n v="2022"/>
    <d v="2022-06-26T00:00:00"/>
    <s v="June"/>
    <d v="2024-04-04T00:00:00"/>
    <x v="2"/>
    <n v="6"/>
    <n v="31082.74"/>
    <s v="Ramesh Chatterjee"/>
    <n v="36"/>
    <s v="Adult"/>
    <s v="Good"/>
    <x v="1"/>
    <s v="Debit Card"/>
    <n v="4"/>
    <s v="OnePlus 8T"/>
    <n v="186496.44"/>
    <s v="Good"/>
    <s v="Good"/>
  </r>
  <r>
    <s v="Meen26910"/>
    <n v="910"/>
    <n v="26"/>
    <n v="6"/>
    <n v="2022"/>
    <d v="2022-06-26T00:00:00"/>
    <s v="June"/>
    <d v="2024-04-05T00:00:00"/>
    <x v="3"/>
    <n v="7"/>
    <n v="69893.350000000006"/>
    <s v="Meena Mathur"/>
    <n v="26"/>
    <s v="Teenagers"/>
    <s v="Good"/>
    <x v="13"/>
    <s v="Credit Card"/>
    <n v="5"/>
    <s v="Galaxy Note 20"/>
    <n v="489253.45000000007"/>
    <s v="Good"/>
    <s v="Excellent"/>
  </r>
  <r>
    <s v="Kris24911"/>
    <n v="911"/>
    <n v="26"/>
    <n v="6"/>
    <n v="2022"/>
    <d v="2022-06-26T00:00:00"/>
    <s v="June"/>
    <d v="2024-04-06T00:00:00"/>
    <x v="1"/>
    <n v="8"/>
    <n v="63330.55"/>
    <s v="Krishna Mehta"/>
    <n v="24"/>
    <s v="Teenagers"/>
    <s v="Good"/>
    <x v="1"/>
    <s v="Cash"/>
    <n v="5"/>
    <s v="Vivo Y51"/>
    <n v="506644.4"/>
    <s v="Good"/>
    <s v="Excellent"/>
  </r>
  <r>
    <s v="Pank54912"/>
    <n v="912"/>
    <n v="27"/>
    <n v="6"/>
    <n v="2022"/>
    <d v="2022-06-27T00:00:00"/>
    <s v="June"/>
    <d v="2024-04-07T00:00:00"/>
    <x v="1"/>
    <n v="6"/>
    <n v="12899.46"/>
    <s v="Pankaj Desai"/>
    <n v="54"/>
    <s v="Senior Citezen"/>
    <s v="BAD"/>
    <x v="9"/>
    <s v="Debit Card"/>
    <n v="2"/>
    <s v="Vivo Y51"/>
    <n v="77396.759999999995"/>
    <s v="Average"/>
    <s v="Average"/>
  </r>
  <r>
    <s v="Navi58913"/>
    <n v="913"/>
    <n v="27"/>
    <n v="6"/>
    <n v="2022"/>
    <d v="2022-06-27T00:00:00"/>
    <s v="June"/>
    <d v="2024-04-08T00:00:00"/>
    <x v="3"/>
    <n v="3"/>
    <n v="43795.35"/>
    <s v="Navin Joshi"/>
    <n v="58"/>
    <s v="Senior Citezen"/>
    <s v="BAD"/>
    <x v="7"/>
    <s v="UPI"/>
    <n v="2"/>
    <s v="Galaxy Note 20"/>
    <n v="131386.04999999999"/>
    <s v="Average"/>
    <s v="Good"/>
  </r>
  <r>
    <s v="Ravi24914"/>
    <n v="914"/>
    <n v="27"/>
    <n v="6"/>
    <n v="2022"/>
    <d v="2022-06-27T00:00:00"/>
    <s v="June"/>
    <d v="2024-04-09T00:00:00"/>
    <x v="3"/>
    <n v="2"/>
    <n v="48869.34"/>
    <s v="Ravi Teja"/>
    <n v="24"/>
    <s v="Teenagers"/>
    <s v="AVG"/>
    <x v="15"/>
    <s v="Credit Card"/>
    <n v="3"/>
    <s v="Galaxy S21"/>
    <n v="97738.68"/>
    <s v="Average"/>
    <s v="Average"/>
  </r>
  <r>
    <s v="Neet26915"/>
    <n v="915"/>
    <n v="27"/>
    <n v="6"/>
    <n v="2022"/>
    <d v="2022-06-27T00:00:00"/>
    <s v="June"/>
    <d v="2024-04-10T00:00:00"/>
    <x v="2"/>
    <n v="7"/>
    <n v="22572.080000000002"/>
    <s v="Neeta Mishra"/>
    <n v="26"/>
    <s v="Teenagers"/>
    <s v="Good"/>
    <x v="7"/>
    <s v="Debit Card"/>
    <n v="4"/>
    <s v="OnePlus 9"/>
    <n v="158004.56"/>
    <s v="Good"/>
    <s v="Good"/>
  </r>
  <r>
    <s v="Vija21916"/>
    <n v="916"/>
    <n v="28"/>
    <n v="6"/>
    <n v="2022"/>
    <d v="2022-06-28T00:00:00"/>
    <s v="June"/>
    <d v="2024-04-11T00:00:00"/>
    <x v="3"/>
    <n v="1"/>
    <n v="18706.330000000002"/>
    <s v="Vijay Siddiqui"/>
    <n v="21"/>
    <s v="Teenagers"/>
    <s v="AVG"/>
    <x v="4"/>
    <s v="Credit Card"/>
    <n v="3"/>
    <s v="Galaxy Note 20"/>
    <n v="18706.330000000002"/>
    <s v="Average"/>
    <s v="Low"/>
  </r>
  <r>
    <s v="Sumi42917"/>
    <n v="917"/>
    <n v="28"/>
    <n v="6"/>
    <n v="2022"/>
    <d v="2022-06-28T00:00:00"/>
    <s v="June"/>
    <d v="2024-04-12T00:00:00"/>
    <x v="2"/>
    <n v="3"/>
    <n v="64262.87"/>
    <s v="Sumit Malhotra"/>
    <n v="42"/>
    <s v="Adult"/>
    <s v="Good"/>
    <x v="2"/>
    <s v="UPI"/>
    <n v="5"/>
    <s v="OnePlus Nord"/>
    <n v="192788.61000000002"/>
    <s v="Good"/>
    <s v="Good"/>
  </r>
  <r>
    <s v="Vive29918"/>
    <n v="918"/>
    <n v="28"/>
    <n v="6"/>
    <n v="2022"/>
    <d v="2022-06-28T00:00:00"/>
    <s v="June"/>
    <d v="2024-04-13T00:00:00"/>
    <x v="2"/>
    <n v="4"/>
    <n v="68128.990000000005"/>
    <s v="Vivek Alva"/>
    <n v="29"/>
    <s v="Teenagers"/>
    <s v="Good"/>
    <x v="18"/>
    <s v="Cash"/>
    <n v="5"/>
    <s v="OnePlus 8T"/>
    <n v="272515.96000000002"/>
    <s v="Good"/>
    <s v="Excellent"/>
  </r>
  <r>
    <s v="Pooj23919"/>
    <n v="919"/>
    <n v="29"/>
    <n v="6"/>
    <n v="2022"/>
    <d v="2022-06-29T00:00:00"/>
    <s v="June"/>
    <d v="2024-04-14T00:00:00"/>
    <x v="3"/>
    <n v="1"/>
    <n v="69513.570000000007"/>
    <s v="Pooja Deshmukh"/>
    <n v="23"/>
    <s v="Teenagers"/>
    <s v="AVG"/>
    <x v="1"/>
    <s v="UPI"/>
    <n v="3"/>
    <s v="Galaxy A51"/>
    <n v="69513.570000000007"/>
    <s v="Average"/>
    <s v="Average"/>
  </r>
  <r>
    <s v="Arun35920"/>
    <n v="920"/>
    <n v="29"/>
    <n v="6"/>
    <n v="2022"/>
    <d v="2022-06-29T00:00:00"/>
    <s v="June"/>
    <d v="2024-04-15T00:00:00"/>
    <x v="0"/>
    <n v="5"/>
    <n v="57385.71"/>
    <s v="Arun Gupta"/>
    <n v="35"/>
    <s v="Adult"/>
    <s v="AVG"/>
    <x v="6"/>
    <s v="Cash"/>
    <n v="3"/>
    <s v="Redmi Note 10"/>
    <n v="286928.55"/>
    <s v="Average"/>
    <s v="Excellent"/>
  </r>
  <r>
    <s v="Sach57921"/>
    <n v="921"/>
    <n v="29"/>
    <n v="6"/>
    <n v="2022"/>
    <d v="2022-06-29T00:00:00"/>
    <s v="June"/>
    <d v="2024-04-16T00:00:00"/>
    <x v="0"/>
    <n v="3"/>
    <n v="49810.12"/>
    <s v="Sachin Sheth"/>
    <n v="57"/>
    <s v="Senior Citezen"/>
    <s v="Good"/>
    <x v="16"/>
    <s v="Cash"/>
    <n v="5"/>
    <s v="Redmi Note 10"/>
    <n v="149430.36000000002"/>
    <s v="Good"/>
    <s v="Good"/>
  </r>
  <r>
    <s v="Mano38922"/>
    <n v="922"/>
    <n v="30"/>
    <n v="6"/>
    <n v="2022"/>
    <d v="2022-06-30T00:00:00"/>
    <s v="June"/>
    <d v="2024-04-17T00:00:00"/>
    <x v="2"/>
    <n v="2"/>
    <n v="30743.82"/>
    <s v="Manoj Jain"/>
    <n v="38"/>
    <s v="Adult"/>
    <s v="Good"/>
    <x v="1"/>
    <s v="Debit Card"/>
    <n v="5"/>
    <s v="OnePlus Nord"/>
    <n v="61487.64"/>
    <s v="Good"/>
    <s v="Average"/>
  </r>
  <r>
    <s v="Meen32923"/>
    <n v="923"/>
    <n v="30"/>
    <n v="6"/>
    <n v="2022"/>
    <d v="2022-06-30T00:00:00"/>
    <s v="June"/>
    <d v="2024-04-18T00:00:00"/>
    <x v="3"/>
    <n v="3"/>
    <n v="20283.900000000001"/>
    <s v="Meena Roy"/>
    <n v="32"/>
    <s v="Adult"/>
    <s v="BAD"/>
    <x v="15"/>
    <s v="Cash"/>
    <n v="2"/>
    <s v="Galaxy S21"/>
    <n v="60851.700000000004"/>
    <s v="Average"/>
    <s v="Average"/>
  </r>
  <r>
    <s v="Vino20924"/>
    <n v="924"/>
    <n v="30"/>
    <n v="6"/>
    <n v="2022"/>
    <d v="2022-06-30T00:00:00"/>
    <s v="June"/>
    <d v="2024-04-19T00:00:00"/>
    <x v="0"/>
    <n v="8"/>
    <n v="14738.84"/>
    <s v="Vinod Arora"/>
    <n v="20"/>
    <s v="Teenagers"/>
    <s v="BAD"/>
    <x v="1"/>
    <s v="Cash"/>
    <n v="2"/>
    <s v="Mi 11"/>
    <n v="117910.72"/>
    <s v="Average"/>
    <s v="Good"/>
  </r>
  <r>
    <s v="Vino19925"/>
    <n v="925"/>
    <n v="1"/>
    <n v="7"/>
    <n v="2022"/>
    <d v="2022-07-01T00:00:00"/>
    <s v="July"/>
    <d v="2024-04-20T00:00:00"/>
    <x v="3"/>
    <n v="6"/>
    <n v="51597.85"/>
    <s v="Vinod Verma"/>
    <n v="19"/>
    <s v="Teenagers"/>
    <s v="Good"/>
    <x v="10"/>
    <s v="Cash"/>
    <n v="5"/>
    <s v="Galaxy A51"/>
    <n v="309587.09999999998"/>
    <s v="Good"/>
    <s v="Excellent"/>
  </r>
  <r>
    <s v="Suni58926"/>
    <n v="926"/>
    <n v="1"/>
    <n v="7"/>
    <n v="2022"/>
    <d v="2022-07-01T00:00:00"/>
    <s v="July"/>
    <d v="2024-04-21T00:00:00"/>
    <x v="3"/>
    <n v="7"/>
    <n v="57083.4"/>
    <s v="Sunita Nair"/>
    <n v="58"/>
    <s v="Senior Citezen"/>
    <s v="AVG"/>
    <x v="2"/>
    <s v="Credit Card"/>
    <n v="3"/>
    <s v="Galaxy A51"/>
    <n v="399583.8"/>
    <s v="Average"/>
    <s v="Excellent"/>
  </r>
  <r>
    <s v="Bina57927"/>
    <n v="927"/>
    <n v="1"/>
    <n v="7"/>
    <n v="2022"/>
    <d v="2022-07-01T00:00:00"/>
    <s v="July"/>
    <d v="2024-04-22T00:00:00"/>
    <x v="3"/>
    <n v="6"/>
    <n v="59587.22"/>
    <s v="Bina Nair"/>
    <n v="57"/>
    <s v="Senior Citezen"/>
    <s v="Good"/>
    <x v="18"/>
    <s v="Debit Card"/>
    <n v="5"/>
    <s v="Galaxy S21"/>
    <n v="357523.32"/>
    <s v="Good"/>
    <s v="Excellent"/>
  </r>
  <r>
    <s v="Pank21928"/>
    <n v="928"/>
    <n v="1"/>
    <n v="7"/>
    <n v="2022"/>
    <d v="2022-07-01T00:00:00"/>
    <s v="July"/>
    <d v="2024-04-23T00:00:00"/>
    <x v="4"/>
    <n v="6"/>
    <n v="64825.9"/>
    <s v="Pankaj Prasad"/>
    <n v="21"/>
    <s v="Teenagers"/>
    <s v="AVG"/>
    <x v="8"/>
    <s v="Debit Card"/>
    <n v="3"/>
    <s v="iPhone SE"/>
    <n v="388955.4"/>
    <s v="Average"/>
    <s v="Excellent"/>
  </r>
  <r>
    <s v="Jyot49929"/>
    <n v="929"/>
    <n v="2"/>
    <n v="7"/>
    <n v="2022"/>
    <d v="2022-07-02T00:00:00"/>
    <s v="July"/>
    <d v="2024-04-24T00:00:00"/>
    <x v="3"/>
    <n v="3"/>
    <n v="62795.77"/>
    <s v="Jyoti Varma"/>
    <n v="49"/>
    <s v="Senior Citezen"/>
    <s v="Good"/>
    <x v="1"/>
    <s v="Cash"/>
    <n v="5"/>
    <s v="Galaxy A51"/>
    <n v="188387.31"/>
    <s v="Good"/>
    <s v="Good"/>
  </r>
  <r>
    <s v="Kuna19930"/>
    <n v="930"/>
    <n v="2"/>
    <n v="7"/>
    <n v="2022"/>
    <d v="2022-07-02T00:00:00"/>
    <s v="July"/>
    <d v="2024-04-25T00:00:00"/>
    <x v="4"/>
    <n v="8"/>
    <n v="69984.479999999996"/>
    <s v="Kunal Yadav"/>
    <n v="19"/>
    <s v="Teenagers"/>
    <s v="Good"/>
    <x v="2"/>
    <s v="Credit Card"/>
    <n v="5"/>
    <s v="iPhone SE"/>
    <n v="559875.83999999997"/>
    <s v="Good"/>
    <s v="Excellent"/>
  </r>
  <r>
    <s v="Pank46931"/>
    <n v="931"/>
    <n v="2"/>
    <n v="7"/>
    <n v="2022"/>
    <d v="2022-07-02T00:00:00"/>
    <s v="July"/>
    <d v="2024-04-26T00:00:00"/>
    <x v="2"/>
    <n v="7"/>
    <n v="24643.84"/>
    <s v="Pankaj Prasad"/>
    <n v="46"/>
    <s v="Senior Citezen"/>
    <s v="Good"/>
    <x v="14"/>
    <s v="Cash"/>
    <n v="5"/>
    <s v="OnePlus 9"/>
    <n v="172506.88"/>
    <s v="Good"/>
    <s v="Good"/>
  </r>
  <r>
    <s v="Neet19932"/>
    <n v="932"/>
    <n v="2"/>
    <n v="7"/>
    <n v="2022"/>
    <d v="2022-07-02T00:00:00"/>
    <s v="July"/>
    <d v="2024-04-27T00:00:00"/>
    <x v="0"/>
    <n v="7"/>
    <n v="55798.46"/>
    <s v="Neeta Nair"/>
    <n v="19"/>
    <s v="Teenagers"/>
    <s v="BAD"/>
    <x v="14"/>
    <s v="Debit Card"/>
    <n v="2"/>
    <s v="Redmi 9"/>
    <n v="390589.22"/>
    <s v="Average"/>
    <s v="Excellent"/>
  </r>
  <r>
    <s v="Navi51933"/>
    <n v="933"/>
    <n v="3"/>
    <n v="7"/>
    <n v="2022"/>
    <d v="2022-07-03T00:00:00"/>
    <s v="July"/>
    <d v="2024-04-28T00:00:00"/>
    <x v="0"/>
    <n v="6"/>
    <n v="45187.57"/>
    <s v="Navin Patel"/>
    <n v="51"/>
    <s v="Senior Citezen"/>
    <s v="Good"/>
    <x v="2"/>
    <s v="Debit Card"/>
    <n v="5"/>
    <s v="Redmi 9"/>
    <n v="271125.42"/>
    <s v="Good"/>
    <s v="Excellent"/>
  </r>
  <r>
    <s v="Sumi44934"/>
    <n v="934"/>
    <n v="3"/>
    <n v="7"/>
    <n v="2022"/>
    <d v="2022-07-03T00:00:00"/>
    <s v="July"/>
    <d v="2024-04-29T00:00:00"/>
    <x v="0"/>
    <n v="5"/>
    <n v="25674.71"/>
    <s v="Sumit Malhotra"/>
    <n v="44"/>
    <s v="Adult"/>
    <s v="Good"/>
    <x v="2"/>
    <s v="Debit Card"/>
    <n v="4"/>
    <s v="Mi 11"/>
    <n v="128373.54999999999"/>
    <s v="Good"/>
    <s v="Good"/>
  </r>
  <r>
    <s v="Navi56935"/>
    <n v="935"/>
    <n v="3"/>
    <n v="7"/>
    <n v="2022"/>
    <d v="2022-07-03T00:00:00"/>
    <s v="July"/>
    <d v="2024-04-30T00:00:00"/>
    <x v="0"/>
    <n v="8"/>
    <n v="68914.320000000007"/>
    <s v="Navin Kapoor"/>
    <n v="56"/>
    <s v="Senior Citezen"/>
    <s v="Good"/>
    <x v="1"/>
    <s v="Debit Card"/>
    <n v="5"/>
    <s v="Mi 11"/>
    <n v="551314.56000000006"/>
    <s v="Good"/>
    <s v="Excellent"/>
  </r>
  <r>
    <s v="Nami55936"/>
    <n v="936"/>
    <n v="3"/>
    <n v="7"/>
    <n v="2022"/>
    <d v="2022-07-03T00:00:00"/>
    <s v="July"/>
    <d v="2024-05-01T00:00:00"/>
    <x v="0"/>
    <n v="5"/>
    <n v="63873.89"/>
    <s v="Namita Teja"/>
    <n v="55"/>
    <s v="Senior Citezen"/>
    <s v="Good"/>
    <x v="8"/>
    <s v="Credit Card"/>
    <n v="5"/>
    <s v="Redmi 9"/>
    <n v="319369.45"/>
    <s v="Good"/>
    <s v="Excellent"/>
  </r>
  <r>
    <s v="Moni35937"/>
    <n v="937"/>
    <n v="4"/>
    <n v="7"/>
    <n v="2022"/>
    <d v="2022-07-04T00:00:00"/>
    <s v="July"/>
    <d v="2024-05-02T00:00:00"/>
    <x v="0"/>
    <n v="9"/>
    <n v="17710.939999999999"/>
    <s v="Monika Chatterjee"/>
    <n v="35"/>
    <s v="Adult"/>
    <s v="Good"/>
    <x v="0"/>
    <s v="UPI"/>
    <n v="4"/>
    <s v="Redmi Note 10"/>
    <n v="159398.46"/>
    <s v="Good"/>
    <s v="Good"/>
  </r>
  <r>
    <s v="Moni53938"/>
    <n v="938"/>
    <n v="4"/>
    <n v="7"/>
    <n v="2022"/>
    <d v="2022-07-04T00:00:00"/>
    <s v="July"/>
    <d v="2024-05-03T00:00:00"/>
    <x v="0"/>
    <n v="9"/>
    <n v="11569.5"/>
    <s v="Monika Mehta"/>
    <n v="53"/>
    <s v="Senior Citezen"/>
    <s v="Good"/>
    <x v="3"/>
    <s v="UPI"/>
    <n v="4"/>
    <s v="Redmi 9"/>
    <n v="104125.5"/>
    <s v="Good"/>
    <s v="Good"/>
  </r>
  <r>
    <s v="Ayes36939"/>
    <n v="939"/>
    <n v="4"/>
    <n v="7"/>
    <n v="2022"/>
    <d v="2022-07-04T00:00:00"/>
    <s v="July"/>
    <d v="2024-05-04T00:00:00"/>
    <x v="2"/>
    <n v="1"/>
    <n v="51299.85"/>
    <s v="Ayesha Kaur"/>
    <n v="36"/>
    <s v="Adult"/>
    <s v="Good"/>
    <x v="14"/>
    <s v="Credit Card"/>
    <n v="5"/>
    <s v="OnePlus 9"/>
    <n v="51299.85"/>
    <s v="Good"/>
    <s v="Average"/>
  </r>
  <r>
    <s v="Vija44940"/>
    <n v="940"/>
    <n v="5"/>
    <n v="7"/>
    <n v="2022"/>
    <d v="2022-07-05T00:00:00"/>
    <s v="July"/>
    <d v="2024-05-05T00:00:00"/>
    <x v="3"/>
    <n v="6"/>
    <n v="46247.839999999997"/>
    <s v="Vijay Malhotra"/>
    <n v="44"/>
    <s v="Adult"/>
    <s v="AVG"/>
    <x v="1"/>
    <s v="Cash"/>
    <n v="3"/>
    <s v="Galaxy Note 20"/>
    <n v="277487.03999999998"/>
    <s v="Average"/>
    <s v="Excellent"/>
  </r>
  <r>
    <s v="Sach37941"/>
    <n v="941"/>
    <n v="5"/>
    <n v="7"/>
    <n v="2022"/>
    <d v="2022-07-05T00:00:00"/>
    <s v="July"/>
    <d v="2024-05-06T00:00:00"/>
    <x v="1"/>
    <n v="7"/>
    <n v="66148.94"/>
    <s v="Sachin Shah"/>
    <n v="37"/>
    <s v="Adult"/>
    <s v="Good"/>
    <x v="15"/>
    <s v="Debit Card"/>
    <n v="4"/>
    <s v="Vivo Y51"/>
    <n v="463042.58"/>
    <s v="Good"/>
    <s v="Excellent"/>
  </r>
  <r>
    <s v="Ayes38942"/>
    <n v="942"/>
    <n v="5"/>
    <n v="7"/>
    <n v="2022"/>
    <d v="2022-07-05T00:00:00"/>
    <s v="July"/>
    <d v="2024-05-07T00:00:00"/>
    <x v="4"/>
    <n v="3"/>
    <n v="24040.32"/>
    <s v="Ayesha Ahuja"/>
    <n v="38"/>
    <s v="Adult"/>
    <s v="Good"/>
    <x v="1"/>
    <s v="Debit Card"/>
    <n v="5"/>
    <s v="iPhone SE"/>
    <n v="72120.959999999992"/>
    <s v="Good"/>
    <s v="Average"/>
  </r>
  <r>
    <s v="Ravi40943"/>
    <n v="943"/>
    <n v="6"/>
    <n v="7"/>
    <n v="2022"/>
    <d v="2022-07-06T00:00:00"/>
    <s v="July"/>
    <d v="2024-05-08T00:00:00"/>
    <x v="1"/>
    <n v="7"/>
    <n v="15063.28"/>
    <s v="Ravi Reddy"/>
    <n v="40"/>
    <s v="Adult"/>
    <s v="Good"/>
    <x v="1"/>
    <s v="Debit Card"/>
    <n v="4"/>
    <s v="Vivo V20"/>
    <n v="105442.96"/>
    <s v="Good"/>
    <s v="Good"/>
  </r>
  <r>
    <s v="Pank47944"/>
    <n v="944"/>
    <n v="6"/>
    <n v="7"/>
    <n v="2022"/>
    <d v="2022-07-06T00:00:00"/>
    <s v="July"/>
    <d v="2024-05-09T00:00:00"/>
    <x v="1"/>
    <n v="7"/>
    <n v="25552.92"/>
    <s v="Pankaj Kapoor"/>
    <n v="47"/>
    <s v="Senior Citezen"/>
    <s v="Good"/>
    <x v="1"/>
    <s v="Credit Card"/>
    <n v="5"/>
    <s v="Vivo V20"/>
    <n v="178870.44"/>
    <s v="Good"/>
    <s v="Good"/>
  </r>
  <r>
    <s v="Lali42945"/>
    <n v="945"/>
    <n v="6"/>
    <n v="7"/>
    <n v="2022"/>
    <d v="2022-07-06T00:00:00"/>
    <s v="July"/>
    <d v="2024-05-10T00:00:00"/>
    <x v="3"/>
    <n v="2"/>
    <n v="11135.66"/>
    <s v="Lalita Kaur"/>
    <n v="42"/>
    <s v="Adult"/>
    <s v="Good"/>
    <x v="11"/>
    <s v="Credit Card"/>
    <n v="5"/>
    <s v="Galaxy S21"/>
    <n v="22271.32"/>
    <s v="Good"/>
    <s v="Low"/>
  </r>
  <r>
    <s v="Pank48946"/>
    <n v="946"/>
    <n v="6"/>
    <n v="7"/>
    <n v="2022"/>
    <d v="2022-07-06T00:00:00"/>
    <s v="July"/>
    <d v="2024-05-11T00:00:00"/>
    <x v="3"/>
    <n v="7"/>
    <n v="12153.57"/>
    <s v="Pankaj Alva"/>
    <n v="48"/>
    <s v="Senior Citezen"/>
    <s v="Good"/>
    <x v="18"/>
    <s v="Debit Card"/>
    <n v="5"/>
    <s v="Galaxy A51"/>
    <n v="85074.989999999991"/>
    <s v="Good"/>
    <s v="Average"/>
  </r>
  <r>
    <s v="Ayes44947"/>
    <n v="947"/>
    <n v="7"/>
    <n v="7"/>
    <n v="2022"/>
    <d v="2022-07-07T00:00:00"/>
    <s v="July"/>
    <d v="2024-05-12T00:00:00"/>
    <x v="3"/>
    <n v="1"/>
    <n v="64891.47"/>
    <s v="Ayesha Bhattacharya"/>
    <n v="44"/>
    <s v="Adult"/>
    <s v="Good"/>
    <x v="11"/>
    <s v="Debit Card"/>
    <n v="5"/>
    <s v="Galaxy S21"/>
    <n v="64891.47"/>
    <s v="Good"/>
    <s v="Average"/>
  </r>
  <r>
    <s v="Hari51948"/>
    <n v="948"/>
    <n v="7"/>
    <n v="7"/>
    <n v="2022"/>
    <d v="2022-07-07T00:00:00"/>
    <s v="July"/>
    <d v="2024-05-13T00:00:00"/>
    <x v="0"/>
    <n v="5"/>
    <n v="31120.99"/>
    <s v="Harish Kumar"/>
    <n v="51"/>
    <s v="Senior Citezen"/>
    <s v="Good"/>
    <x v="15"/>
    <s v="Cash"/>
    <n v="5"/>
    <s v="Mi 11"/>
    <n v="155604.95000000001"/>
    <s v="Good"/>
    <s v="Good"/>
  </r>
  <r>
    <s v="Yoge25949"/>
    <n v="949"/>
    <n v="7"/>
    <n v="7"/>
    <n v="2022"/>
    <d v="2022-07-07T00:00:00"/>
    <s v="July"/>
    <d v="2024-05-14T00:00:00"/>
    <x v="2"/>
    <n v="9"/>
    <n v="34648.54"/>
    <s v="Yogesh Desai"/>
    <n v="25"/>
    <s v="Teenagers"/>
    <s v="AVG"/>
    <x v="1"/>
    <s v="UPI"/>
    <n v="3"/>
    <s v="OnePlus 9"/>
    <n v="311836.86"/>
    <s v="Average"/>
    <s v="Excellent"/>
  </r>
  <r>
    <s v="Shru36950"/>
    <n v="950"/>
    <n v="7"/>
    <n v="7"/>
    <n v="2022"/>
    <d v="2022-07-07T00:00:00"/>
    <s v="July"/>
    <d v="2024-05-15T00:00:00"/>
    <x v="0"/>
    <n v="7"/>
    <n v="11102.3"/>
    <s v="Shruti Dutta"/>
    <n v="36"/>
    <s v="Adult"/>
    <s v="Good"/>
    <x v="2"/>
    <s v="Credit Card"/>
    <n v="5"/>
    <s v="Redmi Note 10"/>
    <n v="77716.099999999991"/>
    <s v="Good"/>
    <s v="Average"/>
  </r>
  <r>
    <s v="Neet58951"/>
    <n v="951"/>
    <n v="8"/>
    <n v="7"/>
    <n v="2022"/>
    <d v="2022-07-08T00:00:00"/>
    <s v="July"/>
    <d v="2024-05-16T00:00:00"/>
    <x v="2"/>
    <n v="7"/>
    <n v="26231.31"/>
    <s v="Neeta Malhotra"/>
    <n v="58"/>
    <s v="Senior Citezen"/>
    <s v="Good"/>
    <x v="1"/>
    <s v="UPI"/>
    <n v="5"/>
    <s v="OnePlus Nord"/>
    <n v="183619.17"/>
    <s v="Good"/>
    <s v="Good"/>
  </r>
  <r>
    <s v="Tanu43952"/>
    <n v="952"/>
    <n v="8"/>
    <n v="7"/>
    <n v="2022"/>
    <d v="2022-07-08T00:00:00"/>
    <s v="July"/>
    <d v="2024-05-17T00:00:00"/>
    <x v="2"/>
    <n v="2"/>
    <n v="58283.56"/>
    <s v="Tanuja Solanki"/>
    <n v="43"/>
    <s v="Adult"/>
    <s v="Good"/>
    <x v="14"/>
    <s v="Debit Card"/>
    <n v="5"/>
    <s v="OnePlus Nord"/>
    <n v="116567.12"/>
    <s v="Good"/>
    <s v="Good"/>
  </r>
  <r>
    <s v="Nami45953"/>
    <n v="953"/>
    <n v="8"/>
    <n v="7"/>
    <n v="2022"/>
    <d v="2022-07-08T00:00:00"/>
    <s v="July"/>
    <d v="2024-05-18T00:00:00"/>
    <x v="1"/>
    <n v="8"/>
    <n v="46929.46"/>
    <s v="Namita Kumar"/>
    <n v="45"/>
    <s v="Adult"/>
    <s v="Good"/>
    <x v="1"/>
    <s v="UPI"/>
    <n v="4"/>
    <s v="Vivo S1"/>
    <n v="375435.68"/>
    <s v="Good"/>
    <s v="Excellent"/>
  </r>
  <r>
    <s v="Sumi21954"/>
    <n v="954"/>
    <n v="8"/>
    <n v="7"/>
    <n v="2022"/>
    <d v="2022-07-08T00:00:00"/>
    <s v="July"/>
    <d v="2024-05-19T00:00:00"/>
    <x v="1"/>
    <n v="3"/>
    <n v="55226.84"/>
    <s v="Sumit Chatterjee"/>
    <n v="21"/>
    <s v="Teenagers"/>
    <s v="Good"/>
    <x v="5"/>
    <s v="UPI"/>
    <n v="5"/>
    <s v="Vivo S1"/>
    <n v="165680.51999999999"/>
    <s v="Good"/>
    <s v="Good"/>
  </r>
  <r>
    <s v="Ravi48955"/>
    <n v="955"/>
    <n v="9"/>
    <n v="7"/>
    <n v="2022"/>
    <d v="2022-07-09T00:00:00"/>
    <s v="July"/>
    <d v="2024-05-20T00:00:00"/>
    <x v="2"/>
    <n v="8"/>
    <n v="36832.82"/>
    <s v="Ravi Jain"/>
    <n v="48"/>
    <s v="Senior Citezen"/>
    <s v="AVG"/>
    <x v="2"/>
    <s v="Credit Card"/>
    <n v="3"/>
    <s v="OnePlus Nord"/>
    <n v="294662.56"/>
    <s v="Average"/>
    <s v="Excellent"/>
  </r>
  <r>
    <s v="Roha33956"/>
    <n v="956"/>
    <n v="9"/>
    <n v="7"/>
    <n v="2022"/>
    <d v="2022-07-09T00:00:00"/>
    <s v="July"/>
    <d v="2024-05-21T00:00:00"/>
    <x v="2"/>
    <n v="3"/>
    <n v="28583.75"/>
    <s v="Rohan Pathak"/>
    <n v="33"/>
    <s v="Adult"/>
    <s v="BAD"/>
    <x v="6"/>
    <s v="Credit Card"/>
    <n v="2"/>
    <s v="OnePlus 9"/>
    <n v="85751.25"/>
    <s v="Average"/>
    <s v="Average"/>
  </r>
  <r>
    <s v="Roha27957"/>
    <n v="957"/>
    <n v="9"/>
    <n v="7"/>
    <n v="2022"/>
    <d v="2022-07-09T00:00:00"/>
    <s v="July"/>
    <d v="2024-05-22T00:00:00"/>
    <x v="0"/>
    <n v="7"/>
    <n v="38968.61"/>
    <s v="Rohan Rathod"/>
    <n v="27"/>
    <s v="Teenagers"/>
    <s v="Good"/>
    <x v="17"/>
    <s v="Cash"/>
    <n v="4"/>
    <s v="Redmi Note 10"/>
    <n v="272780.27"/>
    <s v="Good"/>
    <s v="Excellent"/>
  </r>
  <r>
    <s v="Nami55958"/>
    <n v="958"/>
    <n v="9"/>
    <n v="7"/>
    <n v="2022"/>
    <d v="2022-07-09T00:00:00"/>
    <s v="July"/>
    <d v="2024-05-23T00:00:00"/>
    <x v="0"/>
    <n v="2"/>
    <n v="29384.26"/>
    <s v="Namita Goyal"/>
    <n v="55"/>
    <s v="Senior Citezen"/>
    <s v="AVG"/>
    <x v="5"/>
    <s v="Debit Card"/>
    <n v="3"/>
    <s v="Redmi 9"/>
    <n v="58768.52"/>
    <s v="Average"/>
    <s v="Average"/>
  </r>
  <r>
    <s v="Tanu27959"/>
    <n v="959"/>
    <n v="10"/>
    <n v="7"/>
    <n v="2022"/>
    <d v="2022-07-10T00:00:00"/>
    <s v="July"/>
    <d v="2024-05-24T00:00:00"/>
    <x v="1"/>
    <n v="4"/>
    <n v="60338.27"/>
    <s v="Tanuja Bhatnagar"/>
    <n v="27"/>
    <s v="Teenagers"/>
    <s v="Good"/>
    <x v="15"/>
    <s v="Cash"/>
    <n v="5"/>
    <s v="Vivo S1"/>
    <n v="241353.08"/>
    <s v="Good"/>
    <s v="Excellent"/>
  </r>
  <r>
    <s v="Raje26960"/>
    <n v="960"/>
    <n v="10"/>
    <n v="7"/>
    <n v="2022"/>
    <d v="2022-07-10T00:00:00"/>
    <s v="July"/>
    <d v="2024-05-25T00:00:00"/>
    <x v="3"/>
    <n v="6"/>
    <n v="27860.42"/>
    <s v="Rajesh Kapoor"/>
    <n v="26"/>
    <s v="Teenagers"/>
    <s v="AVG"/>
    <x v="2"/>
    <s v="Credit Card"/>
    <n v="3"/>
    <s v="Galaxy S21"/>
    <n v="167162.51999999999"/>
    <s v="Average"/>
    <s v="Good"/>
  </r>
  <r>
    <s v="Lali56961"/>
    <n v="961"/>
    <n v="10"/>
    <n v="7"/>
    <n v="2022"/>
    <d v="2022-07-10T00:00:00"/>
    <s v="July"/>
    <d v="2024-05-26T00:00:00"/>
    <x v="2"/>
    <n v="9"/>
    <n v="49585.82"/>
    <s v="Lalita Desai"/>
    <n v="56"/>
    <s v="Senior Citezen"/>
    <s v="BAD"/>
    <x v="8"/>
    <s v="Cash"/>
    <n v="2"/>
    <s v="OnePlus Nord"/>
    <n v="446272.38"/>
    <s v="Average"/>
    <s v="Excellent"/>
  </r>
  <r>
    <s v="Rame53962"/>
    <n v="962"/>
    <n v="11"/>
    <n v="7"/>
    <n v="2022"/>
    <d v="2022-07-11T00:00:00"/>
    <s v="July"/>
    <d v="2024-05-27T00:00:00"/>
    <x v="0"/>
    <n v="5"/>
    <n v="18218.93"/>
    <s v="Ramesh Verma"/>
    <n v="53"/>
    <s v="Senior Citezen"/>
    <s v="AVG"/>
    <x v="17"/>
    <s v="UPI"/>
    <n v="3"/>
    <s v="Mi 11"/>
    <n v="91094.65"/>
    <s v="Average"/>
    <s v="Average"/>
  </r>
  <r>
    <s v="Sanj53963"/>
    <n v="963"/>
    <n v="11"/>
    <n v="7"/>
    <n v="2022"/>
    <d v="2022-07-11T00:00:00"/>
    <s v="July"/>
    <d v="2024-05-28T00:00:00"/>
    <x v="1"/>
    <n v="9"/>
    <n v="51211.99"/>
    <s v="Sanjay Roy"/>
    <n v="53"/>
    <s v="Senior Citezen"/>
    <s v="BAD"/>
    <x v="3"/>
    <s v="UPI"/>
    <n v="2"/>
    <s v="Vivo V20"/>
    <n v="460907.91"/>
    <s v="Average"/>
    <s v="Excellent"/>
  </r>
  <r>
    <s v="Kris36964"/>
    <n v="964"/>
    <n v="11"/>
    <n v="7"/>
    <n v="2022"/>
    <d v="2022-07-11T00:00:00"/>
    <s v="July"/>
    <d v="2024-05-29T00:00:00"/>
    <x v="0"/>
    <n v="5"/>
    <n v="64797.98"/>
    <s v="Krishna Mehta"/>
    <n v="36"/>
    <s v="Adult"/>
    <s v="BAD"/>
    <x v="14"/>
    <s v="Credit Card"/>
    <n v="2"/>
    <s v="Mi 11"/>
    <n v="323989.90000000002"/>
    <s v="Average"/>
    <s v="Excellent"/>
  </r>
  <r>
    <s v="Vino36965"/>
    <n v="965"/>
    <n v="11"/>
    <n v="7"/>
    <n v="2022"/>
    <d v="2022-07-11T00:00:00"/>
    <s v="July"/>
    <d v="2024-05-30T00:00:00"/>
    <x v="2"/>
    <n v="8"/>
    <n v="46514.99"/>
    <s v="Vinod Chatterjee"/>
    <n v="36"/>
    <s v="Adult"/>
    <s v="BAD"/>
    <x v="6"/>
    <s v="UPI"/>
    <n v="2"/>
    <s v="OnePlus 9"/>
    <n v="372119.92"/>
    <s v="Average"/>
    <s v="Excellent"/>
  </r>
  <r>
    <s v="Kira29966"/>
    <n v="966"/>
    <n v="12"/>
    <n v="7"/>
    <n v="2022"/>
    <d v="2022-07-12T00:00:00"/>
    <s v="July"/>
    <d v="2024-05-31T00:00:00"/>
    <x v="2"/>
    <n v="1"/>
    <n v="43591.32"/>
    <s v="Kiran Jain"/>
    <n v="29"/>
    <s v="Teenagers"/>
    <s v="AVG"/>
    <x v="11"/>
    <s v="Debit Card"/>
    <n v="3"/>
    <s v="OnePlus 9"/>
    <n v="43591.32"/>
    <s v="Average"/>
    <s v="Low"/>
  </r>
  <r>
    <s v="Anit30967"/>
    <n v="967"/>
    <n v="12"/>
    <n v="7"/>
    <n v="2022"/>
    <d v="2022-07-12T00:00:00"/>
    <s v="July"/>
    <d v="2024-06-01T00:00:00"/>
    <x v="4"/>
    <n v="7"/>
    <n v="67667.100000000006"/>
    <s v="Anita Sharma"/>
    <n v="30"/>
    <s v="Teenagers"/>
    <s v="Good"/>
    <x v="6"/>
    <s v="Credit Card"/>
    <n v="5"/>
    <s v="iPhone 12"/>
    <n v="473669.70000000007"/>
    <s v="Good"/>
    <s v="Excellent"/>
  </r>
  <r>
    <s v="Radh42968"/>
    <n v="968"/>
    <n v="12"/>
    <n v="7"/>
    <n v="2022"/>
    <d v="2022-07-12T00:00:00"/>
    <s v="July"/>
    <d v="2024-06-02T00:00:00"/>
    <x v="3"/>
    <n v="4"/>
    <n v="47643.79"/>
    <s v="Radha Ghosh"/>
    <n v="42"/>
    <s v="Adult"/>
    <s v="Good"/>
    <x v="2"/>
    <s v="Debit Card"/>
    <n v="5"/>
    <s v="Galaxy S21"/>
    <n v="190575.16"/>
    <s v="Good"/>
    <s v="Good"/>
  </r>
  <r>
    <s v="Nami53969"/>
    <n v="969"/>
    <n v="13"/>
    <n v="7"/>
    <n v="2022"/>
    <d v="2022-07-13T00:00:00"/>
    <s v="July"/>
    <d v="2024-06-03T00:00:00"/>
    <x v="4"/>
    <n v="5"/>
    <n v="25573.03"/>
    <s v="Namita Kumar"/>
    <n v="53"/>
    <s v="Senior Citezen"/>
    <s v="Good"/>
    <x v="14"/>
    <s v="Credit Card"/>
    <n v="5"/>
    <s v="iPhone 12"/>
    <n v="127865.15"/>
    <s v="Good"/>
    <s v="Good"/>
  </r>
  <r>
    <s v="Navi42970"/>
    <n v="970"/>
    <n v="13"/>
    <n v="7"/>
    <n v="2022"/>
    <d v="2022-07-13T00:00:00"/>
    <s v="July"/>
    <d v="2024-06-04T00:00:00"/>
    <x v="1"/>
    <n v="6"/>
    <n v="27543.46"/>
    <s v="Navin Pathak"/>
    <n v="42"/>
    <s v="Adult"/>
    <s v="AVG"/>
    <x v="1"/>
    <s v="Credit Card"/>
    <n v="3"/>
    <s v="Vivo V20"/>
    <n v="165260.76"/>
    <s v="Average"/>
    <s v="Good"/>
  </r>
  <r>
    <s v="Rame45971"/>
    <n v="971"/>
    <n v="13"/>
    <n v="7"/>
    <n v="2022"/>
    <d v="2022-07-13T00:00:00"/>
    <s v="July"/>
    <d v="2024-06-05T00:00:00"/>
    <x v="0"/>
    <n v="5"/>
    <n v="52318.400000000001"/>
    <s v="Ramesh Yadav"/>
    <n v="45"/>
    <s v="Adult"/>
    <s v="Good"/>
    <x v="2"/>
    <s v="UPI"/>
    <n v="5"/>
    <s v="Redmi Note 10"/>
    <n v="261592"/>
    <s v="Good"/>
    <s v="Excellent"/>
  </r>
  <r>
    <s v="Deve59972"/>
    <n v="972"/>
    <n v="13"/>
    <n v="7"/>
    <n v="2022"/>
    <d v="2022-07-13T00:00:00"/>
    <s v="July"/>
    <d v="2024-06-06T00:00:00"/>
    <x v="1"/>
    <n v="1"/>
    <n v="54126.2"/>
    <s v="Devendra Thakur"/>
    <n v="59"/>
    <s v="Senior Citezen"/>
    <s v="Good"/>
    <x v="0"/>
    <s v="Credit Card"/>
    <n v="5"/>
    <s v="Vivo S1"/>
    <n v="54126.2"/>
    <s v="Good"/>
    <s v="Average"/>
  </r>
  <r>
    <s v="Bhav56973"/>
    <n v="973"/>
    <n v="14"/>
    <n v="7"/>
    <n v="2022"/>
    <d v="2022-07-14T00:00:00"/>
    <s v="July"/>
    <d v="2024-06-07T00:00:00"/>
    <x v="2"/>
    <n v="9"/>
    <n v="28209.77"/>
    <s v="Bhavana Sheth"/>
    <n v="56"/>
    <s v="Senior Citezen"/>
    <s v="BAD"/>
    <x v="1"/>
    <s v="Credit Card"/>
    <n v="2"/>
    <s v="OnePlus Nord"/>
    <n v="253887.93"/>
    <s v="Average"/>
    <s v="Excellent"/>
  </r>
  <r>
    <s v="Yoge47974"/>
    <n v="974"/>
    <n v="14"/>
    <n v="7"/>
    <n v="2022"/>
    <d v="2022-07-14T00:00:00"/>
    <s v="July"/>
    <d v="2024-06-08T00:00:00"/>
    <x v="4"/>
    <n v="2"/>
    <n v="30720.639999999999"/>
    <s v="Yogesh Reddy"/>
    <n v="47"/>
    <s v="Senior Citezen"/>
    <s v="AVG"/>
    <x v="7"/>
    <s v="Cash"/>
    <n v="3"/>
    <s v="iPhone SE"/>
    <n v="61441.279999999999"/>
    <s v="Average"/>
    <s v="Average"/>
  </r>
  <r>
    <s v="Kavi22975"/>
    <n v="975"/>
    <n v="14"/>
    <n v="7"/>
    <n v="2022"/>
    <d v="2022-07-14T00:00:00"/>
    <s v="July"/>
    <d v="2024-06-09T00:00:00"/>
    <x v="4"/>
    <n v="9"/>
    <n v="69463.39"/>
    <s v="Kavita Iyer"/>
    <n v="22"/>
    <s v="Teenagers"/>
    <s v="AVG"/>
    <x v="1"/>
    <s v="UPI"/>
    <n v="3"/>
    <s v="iPhone 11"/>
    <n v="625170.51"/>
    <s v="Average"/>
    <s v="Excellent"/>
  </r>
  <r>
    <s v="Suni34976"/>
    <n v="976"/>
    <n v="15"/>
    <n v="7"/>
    <n v="2022"/>
    <d v="2022-07-15T00:00:00"/>
    <s v="July"/>
    <d v="2024-06-10T00:00:00"/>
    <x v="4"/>
    <n v="2"/>
    <n v="16117.15"/>
    <s v="Sunil Rawat"/>
    <n v="34"/>
    <s v="Adult"/>
    <s v="Good"/>
    <x v="17"/>
    <s v="Debit Card"/>
    <n v="4"/>
    <s v="iPhone 12"/>
    <n v="32234.3"/>
    <s v="Good"/>
    <s v="Low"/>
  </r>
  <r>
    <s v="Arun35977"/>
    <n v="977"/>
    <n v="15"/>
    <n v="7"/>
    <n v="2022"/>
    <d v="2022-07-15T00:00:00"/>
    <s v="July"/>
    <d v="2024-06-11T00:00:00"/>
    <x v="1"/>
    <n v="9"/>
    <n v="34278.699999999997"/>
    <s v="Arun Rawat"/>
    <n v="35"/>
    <s v="Adult"/>
    <s v="Good"/>
    <x v="17"/>
    <s v="Credit Card"/>
    <n v="4"/>
    <s v="Vivo S1"/>
    <n v="308508.3"/>
    <s v="Good"/>
    <s v="Excellent"/>
  </r>
  <r>
    <s v="Tanu38978"/>
    <n v="978"/>
    <n v="15"/>
    <n v="7"/>
    <n v="2022"/>
    <d v="2022-07-15T00:00:00"/>
    <s v="July"/>
    <d v="2024-06-12T00:00:00"/>
    <x v="2"/>
    <n v="6"/>
    <n v="13746.85"/>
    <s v="Tanuja Ahuja"/>
    <n v="38"/>
    <s v="Adult"/>
    <s v="Good"/>
    <x v="3"/>
    <s v="Debit Card"/>
    <n v="4"/>
    <s v="OnePlus Nord"/>
    <n v="82481.100000000006"/>
    <s v="Good"/>
    <s v="Average"/>
  </r>
  <r>
    <s v="Anan39979"/>
    <n v="979"/>
    <n v="15"/>
    <n v="7"/>
    <n v="2022"/>
    <d v="2022-07-15T00:00:00"/>
    <s v="July"/>
    <d v="2024-06-13T00:00:00"/>
    <x v="0"/>
    <n v="9"/>
    <n v="59264.7"/>
    <s v="Anand Mehta"/>
    <n v="39"/>
    <s v="Adult"/>
    <s v="Good"/>
    <x v="12"/>
    <s v="Cash"/>
    <n v="5"/>
    <s v="Redmi 9"/>
    <n v="533382.29999999993"/>
    <s v="Good"/>
    <s v="Excellent"/>
  </r>
  <r>
    <s v="Bhav56980"/>
    <n v="980"/>
    <n v="16"/>
    <n v="7"/>
    <n v="2022"/>
    <d v="2022-07-16T00:00:00"/>
    <s v="July"/>
    <d v="2024-06-14T00:00:00"/>
    <x v="0"/>
    <n v="6"/>
    <n v="15540.75"/>
    <s v="Bhavana Mishra"/>
    <n v="56"/>
    <s v="Senior Citezen"/>
    <s v="AVG"/>
    <x v="5"/>
    <s v="Credit Card"/>
    <n v="3"/>
    <s v="Redmi Note 10"/>
    <n v="93244.5"/>
    <s v="Average"/>
    <s v="Average"/>
  </r>
  <r>
    <s v="Hari23981"/>
    <n v="981"/>
    <n v="16"/>
    <n v="7"/>
    <n v="2022"/>
    <d v="2022-07-16T00:00:00"/>
    <s v="July"/>
    <d v="2024-06-15T00:00:00"/>
    <x v="1"/>
    <n v="6"/>
    <n v="50440.44"/>
    <s v="Harish Pillai"/>
    <n v="23"/>
    <s v="Teenagers"/>
    <s v="Good"/>
    <x v="1"/>
    <s v="Debit Card"/>
    <n v="4"/>
    <s v="Vivo V20"/>
    <n v="302642.64"/>
    <s v="Good"/>
    <s v="Excellent"/>
  </r>
  <r>
    <s v="Radh33982"/>
    <n v="982"/>
    <n v="16"/>
    <n v="7"/>
    <n v="2022"/>
    <d v="2022-07-16T00:00:00"/>
    <s v="July"/>
    <d v="2024-06-16T00:00:00"/>
    <x v="4"/>
    <n v="2"/>
    <n v="13389.01"/>
    <s v="Radha Sheth"/>
    <n v="33"/>
    <s v="Adult"/>
    <s v="AVG"/>
    <x v="5"/>
    <s v="UPI"/>
    <n v="3"/>
    <s v="iPhone 11"/>
    <n v="26778.02"/>
    <s v="Average"/>
    <s v="Low"/>
  </r>
  <r>
    <s v="Raje19983"/>
    <n v="983"/>
    <n v="16"/>
    <n v="7"/>
    <n v="2022"/>
    <d v="2022-07-16T00:00:00"/>
    <s v="July"/>
    <d v="2024-06-17T00:00:00"/>
    <x v="3"/>
    <n v="8"/>
    <n v="50371.3"/>
    <s v="Rajesh Arora"/>
    <n v="19"/>
    <s v="Teenagers"/>
    <s v="Good"/>
    <x v="2"/>
    <s v="Cash"/>
    <n v="5"/>
    <s v="Galaxy Note 20"/>
    <n v="402970.4"/>
    <s v="Good"/>
    <s v="Excellent"/>
  </r>
  <r>
    <s v="Meen18984"/>
    <n v="984"/>
    <n v="17"/>
    <n v="7"/>
    <n v="2022"/>
    <d v="2022-07-17T00:00:00"/>
    <s v="July"/>
    <d v="2024-06-18T00:00:00"/>
    <x v="1"/>
    <n v="3"/>
    <n v="60582.22"/>
    <s v="Meena Kumar"/>
    <n v="18"/>
    <s v="Teenagers"/>
    <s v="Good"/>
    <x v="2"/>
    <s v="Cash"/>
    <n v="4"/>
    <s v="Vivo V20"/>
    <n v="181746.66"/>
    <s v="Good"/>
    <s v="Good"/>
  </r>
  <r>
    <s v="Vive47985"/>
    <n v="985"/>
    <n v="17"/>
    <n v="7"/>
    <n v="2022"/>
    <d v="2022-07-17T00:00:00"/>
    <s v="July"/>
    <d v="2024-06-19T00:00:00"/>
    <x v="1"/>
    <n v="7"/>
    <n v="33929.29"/>
    <s v="Vivek Teja"/>
    <n v="47"/>
    <s v="Senior Citezen"/>
    <s v="AVG"/>
    <x v="1"/>
    <s v="Debit Card"/>
    <n v="3"/>
    <s v="Vivo Y51"/>
    <n v="237505.03"/>
    <s v="Average"/>
    <s v="Excellent"/>
  </r>
  <r>
    <s v="Deve54986"/>
    <n v="986"/>
    <n v="17"/>
    <n v="7"/>
    <n v="2022"/>
    <d v="2022-07-17T00:00:00"/>
    <s v="July"/>
    <d v="2024-06-20T00:00:00"/>
    <x v="2"/>
    <n v="5"/>
    <n v="41327.589999999997"/>
    <s v="Devendra Yadav"/>
    <n v="54"/>
    <s v="Senior Citezen"/>
    <s v="Good"/>
    <x v="15"/>
    <s v="Credit Card"/>
    <n v="5"/>
    <s v="OnePlus Nord"/>
    <n v="206637.94999999998"/>
    <s v="Good"/>
    <s v="Excellent"/>
  </r>
  <r>
    <s v="Bhav40987"/>
    <n v="987"/>
    <n v="17"/>
    <n v="7"/>
    <n v="2022"/>
    <d v="2022-07-17T00:00:00"/>
    <s v="July"/>
    <d v="2024-06-21T00:00:00"/>
    <x v="0"/>
    <n v="3"/>
    <n v="34092.5"/>
    <s v="Bhavana Rathod"/>
    <n v="40"/>
    <s v="Adult"/>
    <s v="Good"/>
    <x v="1"/>
    <s v="Credit Card"/>
    <n v="5"/>
    <s v="Mi 11"/>
    <n v="102277.5"/>
    <s v="Good"/>
    <s v="Good"/>
  </r>
  <r>
    <s v="Lata18988"/>
    <n v="988"/>
    <n v="18"/>
    <n v="7"/>
    <n v="2022"/>
    <d v="2022-07-18T00:00:00"/>
    <s v="July"/>
    <d v="2024-06-22T00:00:00"/>
    <x v="1"/>
    <n v="1"/>
    <n v="28029.33"/>
    <s v="Lata Goyal"/>
    <n v="18"/>
    <s v="Teenagers"/>
    <s v="Good"/>
    <x v="11"/>
    <s v="UPI"/>
    <n v="5"/>
    <s v="Vivo S1"/>
    <n v="28029.33"/>
    <s v="Good"/>
    <s v="Low"/>
  </r>
  <r>
    <s v="Isha36989"/>
    <n v="989"/>
    <n v="18"/>
    <n v="7"/>
    <n v="2022"/>
    <d v="2022-07-18T00:00:00"/>
    <s v="July"/>
    <d v="2024-06-23T00:00:00"/>
    <x v="1"/>
    <n v="8"/>
    <n v="58195.8"/>
    <s v="Isha Luthra"/>
    <n v="36"/>
    <s v="Adult"/>
    <s v="Good"/>
    <x v="16"/>
    <s v="UPI"/>
    <n v="4"/>
    <s v="Vivo Y51"/>
    <n v="465566.4"/>
    <s v="Good"/>
    <s v="Excellent"/>
  </r>
  <r>
    <s v="Neet20990"/>
    <n v="990"/>
    <n v="18"/>
    <n v="7"/>
    <n v="2022"/>
    <d v="2022-07-18T00:00:00"/>
    <s v="July"/>
    <d v="2024-06-24T00:00:00"/>
    <x v="4"/>
    <n v="3"/>
    <n v="26320.15"/>
    <s v="Neeta Pillai"/>
    <n v="20"/>
    <s v="Teenagers"/>
    <s v="Good"/>
    <x v="4"/>
    <s v="Credit Card"/>
    <n v="5"/>
    <s v="iPhone SE"/>
    <n v="78960.450000000012"/>
    <s v="Good"/>
    <s v="Average"/>
  </r>
  <r>
    <s v="Lali19991"/>
    <n v="991"/>
    <n v="18"/>
    <n v="7"/>
    <n v="2022"/>
    <d v="2022-07-18T00:00:00"/>
    <s v="July"/>
    <d v="2024-06-25T00:00:00"/>
    <x v="4"/>
    <n v="2"/>
    <n v="53376.61"/>
    <s v="Lalita Sheth"/>
    <n v="19"/>
    <s v="Teenagers"/>
    <s v="Good"/>
    <x v="8"/>
    <s v="Cash"/>
    <n v="5"/>
    <s v="iPhone 11"/>
    <n v="106753.22"/>
    <s v="Good"/>
    <s v="Good"/>
  </r>
  <r>
    <s v="Pras54992"/>
    <n v="992"/>
    <n v="19"/>
    <n v="7"/>
    <n v="2022"/>
    <d v="2022-07-19T00:00:00"/>
    <s v="July"/>
    <d v="2024-06-26T00:00:00"/>
    <x v="3"/>
    <n v="1"/>
    <n v="22371.82"/>
    <s v="Prashant Verma"/>
    <n v="54"/>
    <s v="Senior Citezen"/>
    <s v="Good"/>
    <x v="1"/>
    <s v="UPI"/>
    <n v="5"/>
    <s v="Galaxy Note 20"/>
    <n v="22371.82"/>
    <s v="Good"/>
    <s v="Low"/>
  </r>
  <r>
    <s v="Pras34993"/>
    <n v="993"/>
    <n v="19"/>
    <n v="7"/>
    <n v="2022"/>
    <d v="2022-07-19T00:00:00"/>
    <s v="July"/>
    <d v="2024-06-27T00:00:00"/>
    <x v="2"/>
    <n v="4"/>
    <n v="24991.23"/>
    <s v="Prashant Sharma"/>
    <n v="34"/>
    <s v="Adult"/>
    <s v="AVG"/>
    <x v="2"/>
    <s v="UPI"/>
    <n v="3"/>
    <s v="OnePlus 9"/>
    <n v="99964.92"/>
    <s v="Average"/>
    <s v="Average"/>
  </r>
  <r>
    <s v="Nikh45994"/>
    <n v="994"/>
    <n v="19"/>
    <n v="7"/>
    <n v="2022"/>
    <d v="2022-07-19T00:00:00"/>
    <s v="July"/>
    <d v="2024-06-28T00:00:00"/>
    <x v="3"/>
    <n v="8"/>
    <n v="30187.67"/>
    <s v="Nikhil Arora"/>
    <n v="45"/>
    <s v="Adult"/>
    <s v="Good"/>
    <x v="2"/>
    <s v="Cash"/>
    <n v="5"/>
    <s v="Galaxy S21"/>
    <n v="241501.36"/>
    <s v="Good"/>
    <s v="Excellent"/>
  </r>
  <r>
    <s v="Pras35995"/>
    <n v="995"/>
    <n v="20"/>
    <n v="7"/>
    <n v="2022"/>
    <d v="2022-07-20T00:00:00"/>
    <s v="July"/>
    <d v="2024-06-29T00:00:00"/>
    <x v="4"/>
    <n v="3"/>
    <n v="45349.38"/>
    <s v="Prashant Arora"/>
    <n v="35"/>
    <s v="Adult"/>
    <s v="Good"/>
    <x v="4"/>
    <s v="Credit Card"/>
    <n v="4"/>
    <s v="iPhone SE"/>
    <n v="136048.13999999998"/>
    <s v="Good"/>
    <s v="Good"/>
  </r>
  <r>
    <s v="Kira50996"/>
    <n v="996"/>
    <n v="20"/>
    <n v="7"/>
    <n v="2022"/>
    <d v="2022-07-20T00:00:00"/>
    <s v="July"/>
    <d v="2024-06-30T00:00:00"/>
    <x v="0"/>
    <n v="1"/>
    <n v="37265.339999999997"/>
    <s v="Kiran Pathak"/>
    <n v="50"/>
    <s v="Senior Citezen"/>
    <s v="AVG"/>
    <x v="2"/>
    <s v="Debit Card"/>
    <n v="3"/>
    <s v="Redmi Note 10"/>
    <n v="37265.339999999997"/>
    <s v="Average"/>
    <s v="Low"/>
  </r>
  <r>
    <s v="Ravi32997"/>
    <n v="997"/>
    <n v="20"/>
    <n v="7"/>
    <n v="2022"/>
    <d v="2022-07-20T00:00:00"/>
    <s v="July"/>
    <d v="2024-07-01T00:00:00"/>
    <x v="4"/>
    <n v="4"/>
    <n v="54708.69"/>
    <s v="Ravi Jain"/>
    <n v="32"/>
    <s v="Adult"/>
    <s v="AVG"/>
    <x v="11"/>
    <s v="UPI"/>
    <n v="3"/>
    <s v="iPhone SE"/>
    <n v="218834.76"/>
    <s v="Average"/>
    <s v="Excellent"/>
  </r>
  <r>
    <s v="Yoge39998"/>
    <n v="998"/>
    <n v="20"/>
    <n v="7"/>
    <n v="2022"/>
    <d v="2022-07-20T00:00:00"/>
    <s v="July"/>
    <d v="2024-07-02T00:00:00"/>
    <x v="2"/>
    <n v="9"/>
    <n v="22814.04"/>
    <s v="Yogesh Luthra"/>
    <n v="39"/>
    <s v="Adult"/>
    <s v="Good"/>
    <x v="2"/>
    <s v="Cash"/>
    <n v="5"/>
    <s v="OnePlus 9"/>
    <n v="205326.36000000002"/>
    <s v="Good"/>
    <s v="Excellent"/>
  </r>
  <r>
    <s v="Arun58999"/>
    <n v="999"/>
    <n v="21"/>
    <n v="7"/>
    <n v="2022"/>
    <d v="2022-07-21T00:00:00"/>
    <s v="July"/>
    <d v="2024-07-03T00:00:00"/>
    <x v="4"/>
    <n v="1"/>
    <n v="10640.34"/>
    <s v="Arun Iyer"/>
    <n v="58"/>
    <s v="Senior Citezen"/>
    <s v="AVG"/>
    <x v="17"/>
    <s v="UPI"/>
    <n v="3"/>
    <s v="iPhone 12"/>
    <n v="10640.34"/>
    <s v="Average"/>
    <s v="Low"/>
  </r>
  <r>
    <s v="Anan441000"/>
    <n v="1000"/>
    <n v="21"/>
    <n v="7"/>
    <n v="2022"/>
    <d v="2022-07-21T00:00:00"/>
    <s v="July"/>
    <d v="2024-07-04T00:00:00"/>
    <x v="2"/>
    <n v="2"/>
    <n v="56593.45"/>
    <s v="Anand Kapoor"/>
    <n v="44"/>
    <s v="Adult"/>
    <s v="AVG"/>
    <x v="2"/>
    <s v="Cash"/>
    <n v="3"/>
    <s v="OnePlus Nord"/>
    <n v="113186.9"/>
    <s v="Average"/>
    <s v="Good"/>
  </r>
  <r>
    <s v="Lata541001"/>
    <n v="1001"/>
    <n v="21"/>
    <n v="7"/>
    <n v="2022"/>
    <d v="2022-07-21T00:00:00"/>
    <s v="July"/>
    <d v="2024-07-05T00:00:00"/>
    <x v="2"/>
    <n v="9"/>
    <n v="59298.96"/>
    <s v="Lata Alva"/>
    <n v="54"/>
    <s v="Senior Citezen"/>
    <s v="Good"/>
    <x v="16"/>
    <s v="UPI"/>
    <n v="5"/>
    <s v="OnePlus 8T"/>
    <n v="533690.64"/>
    <s v="Good"/>
    <s v="Excellent"/>
  </r>
  <r>
    <s v="Arun491002"/>
    <n v="1002"/>
    <n v="22"/>
    <n v="7"/>
    <n v="2022"/>
    <d v="2022-07-22T00:00:00"/>
    <s v="July"/>
    <d v="2024-07-06T00:00:00"/>
    <x v="2"/>
    <n v="2"/>
    <n v="13568.81"/>
    <s v="Arun Siddiqui"/>
    <n v="49"/>
    <s v="Senior Citezen"/>
    <s v="Good"/>
    <x v="2"/>
    <s v="Credit Card"/>
    <n v="4"/>
    <s v="OnePlus Nord"/>
    <n v="27137.62"/>
    <s v="Good"/>
    <s v="Low"/>
  </r>
  <r>
    <s v="Bhav361003"/>
    <n v="1003"/>
    <n v="22"/>
    <n v="7"/>
    <n v="2022"/>
    <d v="2022-07-22T00:00:00"/>
    <s v="July"/>
    <d v="2024-07-07T00:00:00"/>
    <x v="2"/>
    <n v="3"/>
    <n v="46654.45"/>
    <s v="Bhavana Mehta"/>
    <n v="36"/>
    <s v="Adult"/>
    <s v="Good"/>
    <x v="18"/>
    <s v="Cash"/>
    <n v="5"/>
    <s v="OnePlus Nord"/>
    <n v="139963.34999999998"/>
    <s v="Good"/>
    <s v="Good"/>
  </r>
  <r>
    <s v="Kris451004"/>
    <n v="1004"/>
    <n v="22"/>
    <n v="7"/>
    <n v="2022"/>
    <d v="2022-07-22T00:00:00"/>
    <s v="July"/>
    <d v="2024-07-08T00:00:00"/>
    <x v="2"/>
    <n v="7"/>
    <n v="32692.41"/>
    <s v="Krishna Patel"/>
    <n v="45"/>
    <s v="Adult"/>
    <s v="Good"/>
    <x v="1"/>
    <s v="Debit Card"/>
    <n v="5"/>
    <s v="OnePlus Nord"/>
    <n v="228846.87"/>
    <s v="Good"/>
    <s v="Excellent"/>
  </r>
  <r>
    <s v="Rame451005"/>
    <n v="1005"/>
    <n v="23"/>
    <n v="7"/>
    <n v="2022"/>
    <d v="2022-07-23T00:00:00"/>
    <s v="July"/>
    <d v="2024-07-09T00:00:00"/>
    <x v="0"/>
    <n v="3"/>
    <n v="57633.74"/>
    <s v="Ramesh Shah"/>
    <n v="45"/>
    <s v="Adult"/>
    <s v="Good"/>
    <x v="5"/>
    <s v="Debit Card"/>
    <n v="5"/>
    <s v="Redmi Note 10"/>
    <n v="172901.22"/>
    <s v="Good"/>
    <s v="Good"/>
  </r>
  <r>
    <s v="Yoge271006"/>
    <n v="1006"/>
    <n v="23"/>
    <n v="7"/>
    <n v="2022"/>
    <d v="2022-07-23T00:00:00"/>
    <s v="July"/>
    <d v="2024-07-10T00:00:00"/>
    <x v="3"/>
    <n v="9"/>
    <n v="62464.87"/>
    <s v="Yogesh Malhotra"/>
    <n v="27"/>
    <s v="Teenagers"/>
    <s v="Good"/>
    <x v="7"/>
    <s v="UPI"/>
    <n v="5"/>
    <s v="Galaxy S21"/>
    <n v="562183.83000000007"/>
    <s v="Good"/>
    <s v="Excellent"/>
  </r>
  <r>
    <s v="Priy371007"/>
    <n v="1007"/>
    <n v="23"/>
    <n v="7"/>
    <n v="2022"/>
    <d v="2022-07-23T00:00:00"/>
    <s v="July"/>
    <d v="2024-07-11T00:00:00"/>
    <x v="1"/>
    <n v="6"/>
    <n v="61060.23"/>
    <s v="Priyanka Dutta"/>
    <n v="37"/>
    <s v="Adult"/>
    <s v="Good"/>
    <x v="4"/>
    <s v="Debit Card"/>
    <n v="5"/>
    <s v="Vivo V20"/>
    <n v="366361.38"/>
    <s v="Good"/>
    <s v="Excellent"/>
  </r>
  <r>
    <s v="Mano421008"/>
    <n v="1008"/>
    <n v="24"/>
    <n v="7"/>
    <n v="2022"/>
    <d v="2022-07-24T00:00:00"/>
    <s v="July"/>
    <d v="2024-07-12T00:00:00"/>
    <x v="3"/>
    <n v="3"/>
    <n v="56632.25"/>
    <s v="Manoj Dutta"/>
    <n v="42"/>
    <s v="Adult"/>
    <s v="Good"/>
    <x v="14"/>
    <s v="UPI"/>
    <n v="5"/>
    <s v="Galaxy A51"/>
    <n v="169896.75"/>
    <s v="Good"/>
    <s v="Good"/>
  </r>
  <r>
    <s v="Vija381009"/>
    <n v="1009"/>
    <n v="24"/>
    <n v="7"/>
    <n v="2022"/>
    <d v="2022-07-24T00:00:00"/>
    <s v="July"/>
    <d v="2024-07-13T00:00:00"/>
    <x v="2"/>
    <n v="9"/>
    <n v="26143.13"/>
    <s v="Vijay Rawat"/>
    <n v="38"/>
    <s v="Adult"/>
    <s v="Good"/>
    <x v="13"/>
    <s v="Cash"/>
    <n v="5"/>
    <s v="OnePlus 8T"/>
    <n v="235288.17"/>
    <s v="Good"/>
    <s v="Excellent"/>
  </r>
  <r>
    <s v="Umes311010"/>
    <n v="1010"/>
    <n v="24"/>
    <n v="7"/>
    <n v="2022"/>
    <d v="2022-07-24T00:00:00"/>
    <s v="July"/>
    <d v="2024-07-14T00:00:00"/>
    <x v="0"/>
    <n v="1"/>
    <n v="58713.38"/>
    <s v="Umesh Menon"/>
    <n v="31"/>
    <s v="Adult"/>
    <s v="Good"/>
    <x v="1"/>
    <s v="Cash"/>
    <n v="4"/>
    <s v="Mi 11"/>
    <n v="58713.38"/>
    <s v="Good"/>
    <s v="Average"/>
  </r>
  <r>
    <s v="Vino391011"/>
    <n v="1011"/>
    <n v="25"/>
    <n v="7"/>
    <n v="2022"/>
    <d v="2022-07-25T00:00:00"/>
    <s v="July"/>
    <d v="2024-07-15T00:00:00"/>
    <x v="4"/>
    <n v="3"/>
    <n v="42008.71"/>
    <s v="Vinod Prasad"/>
    <n v="39"/>
    <s v="Adult"/>
    <s v="Good"/>
    <x v="13"/>
    <s v="Debit Card"/>
    <n v="5"/>
    <s v="iPhone SE"/>
    <n v="126026.13"/>
    <s v="Good"/>
    <s v="Good"/>
  </r>
  <r>
    <s v="Hari431012"/>
    <n v="1012"/>
    <n v="25"/>
    <n v="7"/>
    <n v="2022"/>
    <d v="2022-07-25T00:00:00"/>
    <s v="July"/>
    <d v="2024-07-16T00:00:00"/>
    <x v="0"/>
    <n v="1"/>
    <n v="13165.4"/>
    <s v="Harish Prasad"/>
    <n v="43"/>
    <s v="Adult"/>
    <s v="Good"/>
    <x v="12"/>
    <s v="Debit Card"/>
    <n v="5"/>
    <s v="Redmi 9"/>
    <n v="13165.4"/>
    <s v="Good"/>
    <s v="Low"/>
  </r>
  <r>
    <s v="Bina281013"/>
    <n v="1013"/>
    <n v="25"/>
    <n v="7"/>
    <n v="2022"/>
    <d v="2022-07-25T00:00:00"/>
    <s v="July"/>
    <d v="2024-07-17T00:00:00"/>
    <x v="2"/>
    <n v="2"/>
    <n v="37416.33"/>
    <s v="Bina Siddiqui"/>
    <n v="28"/>
    <s v="Teenagers"/>
    <s v="Good"/>
    <x v="1"/>
    <s v="Credit Card"/>
    <n v="5"/>
    <s v="OnePlus 8T"/>
    <n v="74832.66"/>
    <s v="Good"/>
    <s v="Average"/>
  </r>
  <r>
    <s v="Pras241014"/>
    <n v="1014"/>
    <n v="25"/>
    <n v="7"/>
    <n v="2022"/>
    <d v="2022-07-25T00:00:00"/>
    <s v="July"/>
    <d v="2024-07-18T00:00:00"/>
    <x v="0"/>
    <n v="8"/>
    <n v="66529.48"/>
    <s v="Prashant Chatterjee"/>
    <n v="24"/>
    <s v="Teenagers"/>
    <s v="Good"/>
    <x v="14"/>
    <s v="Cash"/>
    <n v="5"/>
    <s v="Redmi Note 10"/>
    <n v="532235.84"/>
    <s v="Good"/>
    <s v="Excellent"/>
  </r>
  <r>
    <s v="Amit341015"/>
    <n v="1015"/>
    <n v="26"/>
    <n v="7"/>
    <n v="2022"/>
    <d v="2022-07-26T00:00:00"/>
    <s v="July"/>
    <d v="2024-07-19T00:00:00"/>
    <x v="0"/>
    <n v="7"/>
    <n v="63271.56"/>
    <s v="Amit Rathod"/>
    <n v="34"/>
    <s v="Adult"/>
    <s v="Good"/>
    <x v="18"/>
    <s v="Debit Card"/>
    <n v="5"/>
    <s v="Redmi 9"/>
    <n v="442900.92"/>
    <s v="Good"/>
    <s v="Excellent"/>
  </r>
  <r>
    <s v="Arun351016"/>
    <n v="1016"/>
    <n v="26"/>
    <n v="7"/>
    <n v="2022"/>
    <d v="2022-07-26T00:00:00"/>
    <s v="July"/>
    <d v="2024-07-20T00:00:00"/>
    <x v="2"/>
    <n v="2"/>
    <n v="16135.86"/>
    <s v="Arun Shah"/>
    <n v="35"/>
    <s v="Adult"/>
    <s v="Good"/>
    <x v="2"/>
    <s v="Debit Card"/>
    <n v="5"/>
    <s v="OnePlus 8T"/>
    <n v="32271.72"/>
    <s v="Good"/>
    <s v="Low"/>
  </r>
  <r>
    <s v="Umes241017"/>
    <n v="1017"/>
    <n v="26"/>
    <n v="7"/>
    <n v="2022"/>
    <d v="2022-07-26T00:00:00"/>
    <s v="July"/>
    <d v="2024-07-21T00:00:00"/>
    <x v="0"/>
    <n v="2"/>
    <n v="54647.6"/>
    <s v="Umesh Kulkarni"/>
    <n v="24"/>
    <s v="Teenagers"/>
    <s v="AVG"/>
    <x v="11"/>
    <s v="Debit Card"/>
    <n v="3"/>
    <s v="Mi 11"/>
    <n v="109295.2"/>
    <s v="Average"/>
    <s v="Good"/>
  </r>
  <r>
    <s v="Bhav371018"/>
    <n v="1018"/>
    <n v="27"/>
    <n v="7"/>
    <n v="2022"/>
    <d v="2022-07-27T00:00:00"/>
    <s v="July"/>
    <d v="2024-07-22T00:00:00"/>
    <x v="1"/>
    <n v="9"/>
    <n v="58347.57"/>
    <s v="Bhavana Prasad"/>
    <n v="37"/>
    <s v="Adult"/>
    <s v="AVG"/>
    <x v="15"/>
    <s v="UPI"/>
    <n v="3"/>
    <s v="Vivo Y51"/>
    <n v="525128.13"/>
    <s v="Average"/>
    <s v="Excellent"/>
  </r>
  <r>
    <s v="Nikh551019"/>
    <n v="1019"/>
    <n v="27"/>
    <n v="7"/>
    <n v="2022"/>
    <d v="2022-07-27T00:00:00"/>
    <s v="July"/>
    <d v="2024-07-23T00:00:00"/>
    <x v="1"/>
    <n v="6"/>
    <n v="26283.29"/>
    <s v="Nikhil Rathod"/>
    <n v="55"/>
    <s v="Senior Citezen"/>
    <s v="AVG"/>
    <x v="0"/>
    <s v="Credit Card"/>
    <n v="3"/>
    <s v="Vivo V20"/>
    <n v="157699.74"/>
    <s v="Average"/>
    <s v="Good"/>
  </r>
  <r>
    <s v="Anja281020"/>
    <n v="1020"/>
    <n v="27"/>
    <n v="7"/>
    <n v="2022"/>
    <d v="2022-07-27T00:00:00"/>
    <s v="July"/>
    <d v="2024-07-24T00:00:00"/>
    <x v="0"/>
    <n v="5"/>
    <n v="38296.51"/>
    <s v="Anjali Srivastava"/>
    <n v="28"/>
    <s v="Teenagers"/>
    <s v="AVG"/>
    <x v="2"/>
    <s v="Cash"/>
    <n v="3"/>
    <s v="Mi 11"/>
    <n v="191482.55000000002"/>
    <s v="Average"/>
    <s v="Good"/>
  </r>
  <r>
    <s v="Anit331021"/>
    <n v="1021"/>
    <n v="28"/>
    <n v="7"/>
    <n v="2022"/>
    <d v="2022-07-28T00:00:00"/>
    <s v="July"/>
    <d v="2024-07-25T00:00:00"/>
    <x v="4"/>
    <n v="6"/>
    <n v="52659.28"/>
    <s v="Anita Kulkarni"/>
    <n v="33"/>
    <s v="Adult"/>
    <s v="Good"/>
    <x v="14"/>
    <s v="Debit Card"/>
    <n v="5"/>
    <s v="iPhone 11"/>
    <n v="315955.68"/>
    <s v="Good"/>
    <s v="Excellent"/>
  </r>
  <r>
    <s v="Sumi441022"/>
    <n v="1022"/>
    <n v="28"/>
    <n v="7"/>
    <n v="2022"/>
    <d v="2022-07-28T00:00:00"/>
    <s v="July"/>
    <d v="2024-07-26T00:00:00"/>
    <x v="2"/>
    <n v="9"/>
    <n v="36342.49"/>
    <s v="Sumit Rathod"/>
    <n v="44"/>
    <s v="Adult"/>
    <s v="AVG"/>
    <x v="3"/>
    <s v="Debit Card"/>
    <n v="3"/>
    <s v="OnePlus 8T"/>
    <n v="327082.40999999997"/>
    <s v="Average"/>
    <s v="Excellent"/>
  </r>
  <r>
    <s v="Moni281023"/>
    <n v="1023"/>
    <n v="28"/>
    <n v="7"/>
    <n v="2022"/>
    <d v="2022-07-28T00:00:00"/>
    <s v="July"/>
    <d v="2024-07-27T00:00:00"/>
    <x v="1"/>
    <n v="7"/>
    <n v="16767.82"/>
    <s v="Monika Rawat"/>
    <n v="28"/>
    <s v="Teenagers"/>
    <s v="Good"/>
    <x v="1"/>
    <s v="Debit Card"/>
    <n v="5"/>
    <s v="Vivo S1"/>
    <n v="117374.73999999999"/>
    <s v="Good"/>
    <s v="Good"/>
  </r>
  <r>
    <s v="Sumi331024"/>
    <n v="1024"/>
    <n v="29"/>
    <n v="7"/>
    <n v="2022"/>
    <d v="2022-07-29T00:00:00"/>
    <s v="July"/>
    <d v="2024-07-28T00:00:00"/>
    <x v="4"/>
    <n v="9"/>
    <n v="52352.95"/>
    <s v="Sumit Ghosh"/>
    <n v="33"/>
    <s v="Adult"/>
    <s v="Good"/>
    <x v="15"/>
    <s v="UPI"/>
    <n v="4"/>
    <s v="iPhone SE"/>
    <n v="471176.55"/>
    <s v="Good"/>
    <s v="Excellent"/>
  </r>
  <r>
    <s v="Anit401025"/>
    <n v="1025"/>
    <n v="29"/>
    <n v="7"/>
    <n v="2022"/>
    <d v="2022-07-29T00:00:00"/>
    <s v="July"/>
    <d v="2024-07-29T00:00:00"/>
    <x v="0"/>
    <n v="4"/>
    <n v="64698.32"/>
    <s v="Anita Menon"/>
    <n v="40"/>
    <s v="Adult"/>
    <s v="AVG"/>
    <x v="15"/>
    <s v="Cash"/>
    <n v="3"/>
    <s v="Redmi 9"/>
    <n v="258793.28"/>
    <s v="Average"/>
    <s v="Excellent"/>
  </r>
  <r>
    <s v="Bhav291026"/>
    <n v="1026"/>
    <n v="29"/>
    <n v="7"/>
    <n v="2022"/>
    <d v="2022-07-29T00:00:00"/>
    <s v="July"/>
    <d v="2024-07-30T00:00:00"/>
    <x v="4"/>
    <n v="2"/>
    <n v="49149.08"/>
    <s v="Bhavana Yadav"/>
    <n v="29"/>
    <s v="Teenagers"/>
    <s v="Good"/>
    <x v="2"/>
    <s v="Debit Card"/>
    <n v="5"/>
    <s v="iPhone 11"/>
    <n v="98298.16"/>
    <s v="Good"/>
    <s v="Average"/>
  </r>
  <r>
    <s v="Umes571027"/>
    <n v="1027"/>
    <n v="29"/>
    <n v="7"/>
    <n v="2022"/>
    <d v="2022-07-29T00:00:00"/>
    <s v="July"/>
    <d v="2024-07-31T00:00:00"/>
    <x v="3"/>
    <n v="8"/>
    <n v="56428.04"/>
    <s v="Umesh Kaur"/>
    <n v="57"/>
    <s v="Senior Citezen"/>
    <s v="Good"/>
    <x v="1"/>
    <s v="Debit Card"/>
    <n v="4"/>
    <s v="Galaxy Note 20"/>
    <n v="451424.32"/>
    <s v="Good"/>
    <s v="Excellent"/>
  </r>
  <r>
    <s v="Kris201028"/>
    <n v="1028"/>
    <n v="30"/>
    <n v="7"/>
    <n v="2022"/>
    <d v="2022-07-30T00:00:00"/>
    <s v="July"/>
    <d v="2024-08-01T00:00:00"/>
    <x v="1"/>
    <n v="4"/>
    <n v="31501.75"/>
    <s v="Krishna Iyer"/>
    <n v="20"/>
    <s v="Teenagers"/>
    <s v="Good"/>
    <x v="17"/>
    <s v="UPI"/>
    <n v="5"/>
    <s v="Vivo V20"/>
    <n v="126007"/>
    <s v="Good"/>
    <s v="Good"/>
  </r>
  <r>
    <s v="Lali191029"/>
    <n v="1029"/>
    <n v="30"/>
    <n v="7"/>
    <n v="2022"/>
    <d v="2022-07-30T00:00:00"/>
    <s v="July"/>
    <d v="2024-08-02T00:00:00"/>
    <x v="0"/>
    <n v="9"/>
    <n v="20991.89"/>
    <s v="Lalita Rao"/>
    <n v="19"/>
    <s v="Teenagers"/>
    <s v="Good"/>
    <x v="12"/>
    <s v="UPI"/>
    <n v="4"/>
    <s v="Mi 11"/>
    <n v="188927.01"/>
    <s v="Good"/>
    <s v="Good"/>
  </r>
  <r>
    <s v="Kavi551030"/>
    <n v="1030"/>
    <n v="30"/>
    <n v="7"/>
    <n v="2022"/>
    <d v="2022-07-30T00:00:00"/>
    <s v="July"/>
    <d v="2024-08-03T00:00:00"/>
    <x v="2"/>
    <n v="4"/>
    <n v="48566.42"/>
    <s v="Kavita Kumar"/>
    <n v="55"/>
    <s v="Senior Citezen"/>
    <s v="Good"/>
    <x v="1"/>
    <s v="Credit Card"/>
    <n v="4"/>
    <s v="OnePlus 9"/>
    <n v="194265.68"/>
    <s v="Good"/>
    <s v="Good"/>
  </r>
  <r>
    <s v="Neet411031"/>
    <n v="1031"/>
    <n v="30"/>
    <n v="7"/>
    <n v="2022"/>
    <d v="2022-07-30T00:00:00"/>
    <s v="July"/>
    <d v="2024-08-04T00:00:00"/>
    <x v="0"/>
    <n v="8"/>
    <n v="29666.27"/>
    <s v="Neeta Singh"/>
    <n v="41"/>
    <s v="Adult"/>
    <s v="Good"/>
    <x v="11"/>
    <s v="Credit Card"/>
    <n v="5"/>
    <s v="Mi 11"/>
    <n v="237330.16"/>
    <s v="Good"/>
    <s v="Excellent"/>
  </r>
  <r>
    <s v="Nami461032"/>
    <n v="1032"/>
    <n v="31"/>
    <n v="7"/>
    <n v="2022"/>
    <d v="2022-07-31T00:00:00"/>
    <s v="July"/>
    <d v="2024-08-05T00:00:00"/>
    <x v="2"/>
    <n v="9"/>
    <n v="61604.41"/>
    <s v="Namita Siddiqui"/>
    <n v="46"/>
    <s v="Senior Citezen"/>
    <s v="AVG"/>
    <x v="15"/>
    <s v="Cash"/>
    <n v="3"/>
    <s v="OnePlus 9"/>
    <n v="554439.69000000006"/>
    <s v="Average"/>
    <s v="Excellent"/>
  </r>
  <r>
    <s v="Anan511033"/>
    <n v="1033"/>
    <n v="31"/>
    <n v="7"/>
    <n v="2022"/>
    <d v="2022-07-31T00:00:00"/>
    <s v="July"/>
    <d v="2024-08-06T00:00:00"/>
    <x v="0"/>
    <n v="9"/>
    <n v="17357.68"/>
    <s v="Anand Bhattacharya"/>
    <n v="51"/>
    <s v="Senior Citezen"/>
    <s v="Good"/>
    <x v="12"/>
    <s v="Credit Card"/>
    <n v="5"/>
    <s v="Redmi 9"/>
    <n v="156219.12"/>
    <s v="Good"/>
    <s v="Good"/>
  </r>
  <r>
    <s v="Kavi371034"/>
    <n v="1034"/>
    <n v="31"/>
    <n v="7"/>
    <n v="2022"/>
    <d v="2022-07-31T00:00:00"/>
    <s v="July"/>
    <d v="2024-08-07T00:00:00"/>
    <x v="4"/>
    <n v="4"/>
    <n v="36007.82"/>
    <s v="Kavita Bhatnagar"/>
    <n v="37"/>
    <s v="Adult"/>
    <s v="Good"/>
    <x v="1"/>
    <s v="Cash"/>
    <n v="5"/>
    <s v="iPhone 11"/>
    <n v="144031.28"/>
    <s v="Good"/>
    <s v="Good"/>
  </r>
  <r>
    <s v="Arun351035"/>
    <n v="1035"/>
    <n v="31"/>
    <n v="7"/>
    <n v="2022"/>
    <d v="2022-07-31T00:00:00"/>
    <s v="July"/>
    <d v="2024-08-08T00:00:00"/>
    <x v="4"/>
    <n v="1"/>
    <n v="33803.660000000003"/>
    <s v="Arun Prasad"/>
    <n v="35"/>
    <s v="Adult"/>
    <s v="Good"/>
    <x v="17"/>
    <s v="Credit Card"/>
    <n v="5"/>
    <s v="iPhone 12"/>
    <n v="33803.660000000003"/>
    <s v="Good"/>
    <s v="Low"/>
  </r>
  <r>
    <s v="Kira311036"/>
    <n v="1036"/>
    <n v="1"/>
    <n v="8"/>
    <n v="2022"/>
    <d v="2022-08-01T00:00:00"/>
    <s v="August"/>
    <d v="2024-08-09T00:00:00"/>
    <x v="4"/>
    <n v="3"/>
    <n v="66283.23"/>
    <s v="Kiran Rathod"/>
    <n v="31"/>
    <s v="Adult"/>
    <s v="Good"/>
    <x v="1"/>
    <s v="Debit Card"/>
    <n v="5"/>
    <s v="iPhone SE"/>
    <n v="198849.69"/>
    <s v="Good"/>
    <s v="Good"/>
  </r>
  <r>
    <s v="Bina351037"/>
    <n v="1037"/>
    <n v="1"/>
    <n v="8"/>
    <n v="2022"/>
    <d v="2022-08-01T00:00:00"/>
    <s v="August"/>
    <d v="2024-08-10T00:00:00"/>
    <x v="3"/>
    <n v="9"/>
    <n v="19188.09"/>
    <s v="Bina Teja"/>
    <n v="35"/>
    <s v="Adult"/>
    <s v="Good"/>
    <x v="4"/>
    <s v="Credit Card"/>
    <n v="5"/>
    <s v="Galaxy A51"/>
    <n v="172692.81"/>
    <s v="Good"/>
    <s v="Good"/>
  </r>
  <r>
    <s v="Deve191038"/>
    <n v="1038"/>
    <n v="1"/>
    <n v="8"/>
    <n v="2022"/>
    <d v="2022-08-01T00:00:00"/>
    <s v="August"/>
    <d v="2024-08-11T00:00:00"/>
    <x v="2"/>
    <n v="4"/>
    <n v="10590.81"/>
    <s v="Devendra Mathur"/>
    <n v="19"/>
    <s v="Teenagers"/>
    <s v="Good"/>
    <x v="10"/>
    <s v="Debit Card"/>
    <n v="4"/>
    <s v="OnePlus 8T"/>
    <n v="42363.24"/>
    <s v="Good"/>
    <s v="Low"/>
  </r>
  <r>
    <s v="Lali181039"/>
    <n v="1039"/>
    <n v="1"/>
    <n v="8"/>
    <n v="2022"/>
    <d v="2022-08-01T00:00:00"/>
    <s v="August"/>
    <d v="2024-08-12T00:00:00"/>
    <x v="4"/>
    <n v="5"/>
    <n v="24285.11"/>
    <s v="Lalita Alva"/>
    <n v="18"/>
    <s v="Teenagers"/>
    <s v="AVG"/>
    <x v="14"/>
    <s v="Cash"/>
    <n v="3"/>
    <s v="iPhone 12"/>
    <n v="121425.55"/>
    <s v="Average"/>
    <s v="Good"/>
  </r>
  <r>
    <s v="Tanu371040"/>
    <n v="1040"/>
    <n v="2"/>
    <n v="8"/>
    <n v="2022"/>
    <d v="2022-08-02T00:00:00"/>
    <s v="August"/>
    <d v="2024-08-13T00:00:00"/>
    <x v="3"/>
    <n v="7"/>
    <n v="59216.61"/>
    <s v="Tanuja Reddy"/>
    <n v="37"/>
    <s v="Adult"/>
    <s v="AVG"/>
    <x v="1"/>
    <s v="Credit Card"/>
    <n v="3"/>
    <s v="Galaxy S21"/>
    <n v="414516.27"/>
    <s v="Average"/>
    <s v="Excellent"/>
  </r>
  <r>
    <s v="Pras511041"/>
    <n v="1041"/>
    <n v="2"/>
    <n v="8"/>
    <n v="2022"/>
    <d v="2022-08-02T00:00:00"/>
    <s v="August"/>
    <d v="2024-08-14T00:00:00"/>
    <x v="2"/>
    <n v="5"/>
    <n v="22559.31"/>
    <s v="Prashant Sharma"/>
    <n v="51"/>
    <s v="Senior Citezen"/>
    <s v="Good"/>
    <x v="1"/>
    <s v="Credit Card"/>
    <n v="5"/>
    <s v="OnePlus 9"/>
    <n v="112796.55"/>
    <s v="Good"/>
    <s v="Good"/>
  </r>
  <r>
    <s v="Raje581042"/>
    <n v="1042"/>
    <n v="2"/>
    <n v="8"/>
    <n v="2022"/>
    <d v="2022-08-02T00:00:00"/>
    <s v="August"/>
    <d v="2024-08-15T00:00:00"/>
    <x v="0"/>
    <n v="4"/>
    <n v="24452.68"/>
    <s v="Rajesh Prasad"/>
    <n v="58"/>
    <s v="Senior Citezen"/>
    <s v="Good"/>
    <x v="2"/>
    <s v="Credit Card"/>
    <n v="5"/>
    <s v="Redmi 9"/>
    <n v="97810.72"/>
    <s v="Good"/>
    <s v="Average"/>
  </r>
  <r>
    <s v="Jyot581043"/>
    <n v="1043"/>
    <n v="3"/>
    <n v="8"/>
    <n v="2022"/>
    <d v="2022-08-03T00:00:00"/>
    <s v="August"/>
    <d v="2024-08-16T00:00:00"/>
    <x v="3"/>
    <n v="2"/>
    <n v="17793.93"/>
    <s v="Jyoti Rawat"/>
    <n v="58"/>
    <s v="Senior Citezen"/>
    <s v="Good"/>
    <x v="1"/>
    <s v="Debit Card"/>
    <n v="5"/>
    <s v="Galaxy S21"/>
    <n v="35587.86"/>
    <s v="Good"/>
    <s v="Low"/>
  </r>
  <r>
    <s v="Sach281044"/>
    <n v="1044"/>
    <n v="3"/>
    <n v="8"/>
    <n v="2022"/>
    <d v="2022-08-03T00:00:00"/>
    <s v="August"/>
    <d v="2024-08-17T00:00:00"/>
    <x v="1"/>
    <n v="2"/>
    <n v="52926.17"/>
    <s v="Sachin Varma"/>
    <n v="28"/>
    <s v="Teenagers"/>
    <s v="Good"/>
    <x v="18"/>
    <s v="Debit Card"/>
    <n v="5"/>
    <s v="Vivo S1"/>
    <n v="105852.34"/>
    <s v="Good"/>
    <s v="Good"/>
  </r>
  <r>
    <s v="Pank441045"/>
    <n v="1045"/>
    <n v="3"/>
    <n v="8"/>
    <n v="2022"/>
    <d v="2022-08-03T00:00:00"/>
    <s v="August"/>
    <d v="2024-08-18T00:00:00"/>
    <x v="3"/>
    <n v="4"/>
    <n v="14150.45"/>
    <s v="Pankaj Mehta"/>
    <n v="44"/>
    <s v="Adult"/>
    <s v="Good"/>
    <x v="1"/>
    <s v="Credit Card"/>
    <n v="5"/>
    <s v="Galaxy S21"/>
    <n v="56601.8"/>
    <s v="Good"/>
    <s v="Average"/>
  </r>
  <r>
    <s v="Meen401046"/>
    <n v="1046"/>
    <n v="4"/>
    <n v="8"/>
    <n v="2022"/>
    <d v="2022-08-04T00:00:00"/>
    <s v="August"/>
    <d v="2024-08-19T00:00:00"/>
    <x v="3"/>
    <n v="9"/>
    <n v="29872.5"/>
    <s v="Meena Dutta"/>
    <n v="40"/>
    <s v="Adult"/>
    <s v="Good"/>
    <x v="16"/>
    <s v="Cash"/>
    <n v="5"/>
    <s v="Galaxy A51"/>
    <n v="268852.5"/>
    <s v="Good"/>
    <s v="Excellent"/>
  </r>
  <r>
    <s v="Moni551047"/>
    <n v="1047"/>
    <n v="4"/>
    <n v="8"/>
    <n v="2022"/>
    <d v="2022-08-04T00:00:00"/>
    <s v="August"/>
    <d v="2024-08-20T00:00:00"/>
    <x v="2"/>
    <n v="8"/>
    <n v="26949.919999999998"/>
    <s v="Monika Nambiar"/>
    <n v="55"/>
    <s v="Senior Citezen"/>
    <s v="Good"/>
    <x v="6"/>
    <s v="Debit Card"/>
    <n v="5"/>
    <s v="OnePlus 8T"/>
    <n v="215599.35999999999"/>
    <s v="Good"/>
    <s v="Excellent"/>
  </r>
  <r>
    <s v="Tapa201048"/>
    <n v="1048"/>
    <n v="4"/>
    <n v="8"/>
    <n v="2022"/>
    <d v="2022-08-04T00:00:00"/>
    <s v="August"/>
    <d v="2024-08-21T00:00:00"/>
    <x v="0"/>
    <n v="3"/>
    <n v="43309.58"/>
    <s v="Tapan Rathod"/>
    <n v="20"/>
    <s v="Teenagers"/>
    <s v="Good"/>
    <x v="2"/>
    <s v="UPI"/>
    <n v="5"/>
    <s v="Redmi 9"/>
    <n v="129928.74"/>
    <s v="Good"/>
    <s v="Good"/>
  </r>
  <r>
    <s v="Suni291049"/>
    <n v="1049"/>
    <n v="4"/>
    <n v="8"/>
    <n v="2022"/>
    <d v="2022-08-04T00:00:00"/>
    <s v="August"/>
    <d v="2024-08-22T00:00:00"/>
    <x v="1"/>
    <n v="9"/>
    <n v="53824.98"/>
    <s v="Sunil Kumar"/>
    <n v="29"/>
    <s v="Teenagers"/>
    <s v="Good"/>
    <x v="2"/>
    <s v="Cash"/>
    <n v="5"/>
    <s v="Vivo V20"/>
    <n v="484424.82"/>
    <s v="Good"/>
    <s v="Excellent"/>
  </r>
  <r>
    <s v="Nami471050"/>
    <n v="1050"/>
    <n v="5"/>
    <n v="8"/>
    <n v="2022"/>
    <d v="2022-08-05T00:00:00"/>
    <s v="August"/>
    <d v="2024-08-23T00:00:00"/>
    <x v="4"/>
    <n v="5"/>
    <n v="41972.59"/>
    <s v="Namita Siddiqui"/>
    <n v="47"/>
    <s v="Senior Citezen"/>
    <s v="Good"/>
    <x v="8"/>
    <s v="Cash"/>
    <n v="5"/>
    <s v="iPhone SE"/>
    <n v="209862.94999999998"/>
    <s v="Good"/>
    <s v="Excellent"/>
  </r>
  <r>
    <s v="Pras481051"/>
    <n v="1051"/>
    <n v="5"/>
    <n v="8"/>
    <n v="2022"/>
    <d v="2022-08-05T00:00:00"/>
    <s v="August"/>
    <d v="2024-08-24T00:00:00"/>
    <x v="4"/>
    <n v="3"/>
    <n v="65861.56"/>
    <s v="Prashant Jain"/>
    <n v="48"/>
    <s v="Senior Citezen"/>
    <s v="Good"/>
    <x v="4"/>
    <s v="Cash"/>
    <n v="5"/>
    <s v="iPhone 12"/>
    <n v="197584.68"/>
    <s v="Good"/>
    <s v="Good"/>
  </r>
  <r>
    <s v="Kuna401052"/>
    <n v="1052"/>
    <n v="5"/>
    <n v="8"/>
    <n v="2022"/>
    <d v="2022-08-05T00:00:00"/>
    <s v="August"/>
    <d v="2024-08-25T00:00:00"/>
    <x v="3"/>
    <n v="5"/>
    <n v="67086.559999999998"/>
    <s v="Kunal Yadav"/>
    <n v="40"/>
    <s v="Adult"/>
    <s v="Good"/>
    <x v="2"/>
    <s v="Debit Card"/>
    <n v="5"/>
    <s v="Galaxy Note 20"/>
    <n v="335432.8"/>
    <s v="Good"/>
    <s v="Excellent"/>
  </r>
  <r>
    <s v="Umes181053"/>
    <n v="1053"/>
    <n v="6"/>
    <n v="8"/>
    <n v="2022"/>
    <d v="2022-08-06T00:00:00"/>
    <s v="August"/>
    <d v="2024-08-26T00:00:00"/>
    <x v="2"/>
    <n v="4"/>
    <n v="31687.919999999998"/>
    <s v="Umesh Ghosh"/>
    <n v="18"/>
    <s v="Teenagers"/>
    <s v="Good"/>
    <x v="11"/>
    <s v="Credit Card"/>
    <n v="4"/>
    <s v="OnePlus Nord"/>
    <n v="126751.67999999999"/>
    <s v="Good"/>
    <s v="Good"/>
  </r>
  <r>
    <s v="Lata581054"/>
    <n v="1054"/>
    <n v="6"/>
    <n v="8"/>
    <n v="2022"/>
    <d v="2022-08-06T00:00:00"/>
    <s v="August"/>
    <d v="2024-08-27T00:00:00"/>
    <x v="2"/>
    <n v="8"/>
    <n v="56660.82"/>
    <s v="Lata Mehta"/>
    <n v="58"/>
    <s v="Senior Citezen"/>
    <s v="Good"/>
    <x v="14"/>
    <s v="Credit Card"/>
    <n v="5"/>
    <s v="OnePlus 8T"/>
    <n v="453286.56"/>
    <s v="Good"/>
    <s v="Excellent"/>
  </r>
  <r>
    <s v="Ravi371055"/>
    <n v="1055"/>
    <n v="6"/>
    <n v="8"/>
    <n v="2022"/>
    <d v="2022-08-06T00:00:00"/>
    <s v="August"/>
    <d v="2024-08-28T00:00:00"/>
    <x v="4"/>
    <n v="5"/>
    <n v="54328.08"/>
    <s v="Ravi Arora"/>
    <n v="37"/>
    <s v="Adult"/>
    <s v="Good"/>
    <x v="2"/>
    <s v="UPI"/>
    <n v="5"/>
    <s v="iPhone SE"/>
    <n v="271640.40000000002"/>
    <s v="Good"/>
    <s v="Excellent"/>
  </r>
  <r>
    <s v="Kavi231056"/>
    <n v="1056"/>
    <n v="7"/>
    <n v="8"/>
    <n v="2022"/>
    <d v="2022-08-07T00:00:00"/>
    <s v="August"/>
    <d v="2024-08-29T00:00:00"/>
    <x v="1"/>
    <n v="8"/>
    <n v="63577.88"/>
    <s v="Kavita Nair"/>
    <n v="23"/>
    <s v="Teenagers"/>
    <s v="Good"/>
    <x v="16"/>
    <s v="Credit Card"/>
    <n v="5"/>
    <s v="Vivo S1"/>
    <n v="508623.04"/>
    <s v="Good"/>
    <s v="Excellent"/>
  </r>
  <r>
    <s v="Kavi281057"/>
    <n v="1057"/>
    <n v="7"/>
    <n v="8"/>
    <n v="2022"/>
    <d v="2022-08-07T00:00:00"/>
    <s v="August"/>
    <d v="2024-08-30T00:00:00"/>
    <x v="0"/>
    <n v="9"/>
    <n v="36876.620000000003"/>
    <s v="Kavita Teja"/>
    <n v="28"/>
    <s v="Teenagers"/>
    <s v="Good"/>
    <x v="8"/>
    <s v="UPI"/>
    <n v="5"/>
    <s v="Mi 11"/>
    <n v="331889.58"/>
    <s v="Good"/>
    <s v="Excellent"/>
  </r>
  <r>
    <s v="Suni521058"/>
    <n v="1058"/>
    <n v="7"/>
    <n v="8"/>
    <n v="2022"/>
    <d v="2022-08-07T00:00:00"/>
    <s v="August"/>
    <d v="2024-08-31T00:00:00"/>
    <x v="1"/>
    <n v="4"/>
    <n v="41828.39"/>
    <s v="Sunita Sheth"/>
    <n v="52"/>
    <s v="Senior Citezen"/>
    <s v="Good"/>
    <x v="10"/>
    <s v="UPI"/>
    <n v="5"/>
    <s v="Vivo Y51"/>
    <n v="167313.56"/>
    <s v="Good"/>
    <s v="Good"/>
  </r>
  <r>
    <s v="Isha211059"/>
    <n v="1059"/>
    <n v="8"/>
    <n v="8"/>
    <n v="2022"/>
    <d v="2022-08-08T00:00:00"/>
    <s v="August"/>
    <d v="2024-09-01T00:00:00"/>
    <x v="0"/>
    <n v="7"/>
    <n v="34946.46"/>
    <s v="Isha Ahuja"/>
    <n v="21"/>
    <s v="Teenagers"/>
    <s v="AVG"/>
    <x v="17"/>
    <s v="Credit Card"/>
    <n v="3"/>
    <s v="Redmi 9"/>
    <n v="244625.22"/>
    <s v="Average"/>
    <s v="Excellent"/>
  </r>
  <r>
    <s v="Ravi461060"/>
    <n v="1060"/>
    <n v="8"/>
    <n v="8"/>
    <n v="2022"/>
    <d v="2022-08-08T00:00:00"/>
    <s v="August"/>
    <d v="2024-09-02T00:00:00"/>
    <x v="4"/>
    <n v="2"/>
    <n v="61022.62"/>
    <s v="Ravi Teja"/>
    <n v="46"/>
    <s v="Senior Citezen"/>
    <s v="Good"/>
    <x v="1"/>
    <s v="UPI"/>
    <n v="5"/>
    <s v="iPhone SE"/>
    <n v="122045.24"/>
    <s v="Good"/>
    <s v="Good"/>
  </r>
  <r>
    <s v="Rame271061"/>
    <n v="1061"/>
    <n v="8"/>
    <n v="8"/>
    <n v="2022"/>
    <d v="2022-08-08T00:00:00"/>
    <s v="August"/>
    <d v="2024-09-03T00:00:00"/>
    <x v="0"/>
    <n v="6"/>
    <n v="23782.14"/>
    <s v="Ramesh Srivastava"/>
    <n v="27"/>
    <s v="Teenagers"/>
    <s v="Good"/>
    <x v="7"/>
    <s v="Cash"/>
    <n v="5"/>
    <s v="Redmi 9"/>
    <n v="142692.84"/>
    <s v="Good"/>
    <s v="Good"/>
  </r>
  <r>
    <s v="Sneh461062"/>
    <n v="1062"/>
    <n v="8"/>
    <n v="8"/>
    <n v="2022"/>
    <d v="2022-08-08T00:00:00"/>
    <s v="August"/>
    <d v="2024-09-04T00:00:00"/>
    <x v="2"/>
    <n v="8"/>
    <n v="24382.54"/>
    <s v="Sneha Rao"/>
    <n v="46"/>
    <s v="Senior Citezen"/>
    <s v="AVG"/>
    <x v="0"/>
    <s v="Cash"/>
    <n v="3"/>
    <s v="OnePlus 8T"/>
    <n v="195060.32"/>
    <s v="Average"/>
    <s v="Good"/>
  </r>
  <r>
    <s v="Vive551063"/>
    <n v="1063"/>
    <n v="9"/>
    <n v="8"/>
    <n v="2022"/>
    <d v="2022-08-09T00:00:00"/>
    <s v="August"/>
    <d v="2024-09-05T00:00:00"/>
    <x v="3"/>
    <n v="7"/>
    <n v="32356.31"/>
    <s v="Vivek Bhatnagar"/>
    <n v="55"/>
    <s v="Senior Citezen"/>
    <s v="Good"/>
    <x v="17"/>
    <s v="Cash"/>
    <n v="5"/>
    <s v="Galaxy S21"/>
    <n v="226494.17"/>
    <s v="Good"/>
    <s v="Excellent"/>
  </r>
  <r>
    <s v="Navi181064"/>
    <n v="1064"/>
    <n v="9"/>
    <n v="8"/>
    <n v="2022"/>
    <d v="2022-08-09T00:00:00"/>
    <s v="August"/>
    <d v="2024-09-06T00:00:00"/>
    <x v="3"/>
    <n v="7"/>
    <n v="23820.57"/>
    <s v="Navin Sharma"/>
    <n v="18"/>
    <s v="Teenagers"/>
    <s v="Good"/>
    <x v="2"/>
    <s v="Debit Card"/>
    <n v="5"/>
    <s v="Galaxy Note 20"/>
    <n v="166743.99"/>
    <s v="Good"/>
    <s v="Good"/>
  </r>
  <r>
    <s v="Priy571065"/>
    <n v="1065"/>
    <n v="9"/>
    <n v="8"/>
    <n v="2022"/>
    <d v="2022-08-09T00:00:00"/>
    <s v="August"/>
    <d v="2024-09-07T00:00:00"/>
    <x v="4"/>
    <n v="8"/>
    <n v="43660.41"/>
    <s v="Priya Siddiqui"/>
    <n v="57"/>
    <s v="Senior Citezen"/>
    <s v="Good"/>
    <x v="18"/>
    <s v="UPI"/>
    <n v="4"/>
    <s v="iPhone SE"/>
    <n v="349283.28"/>
    <s v="Good"/>
    <s v="Excellent"/>
  </r>
  <r>
    <s v="Shru251066"/>
    <n v="1066"/>
    <n v="9"/>
    <n v="8"/>
    <n v="2022"/>
    <d v="2022-08-09T00:00:00"/>
    <s v="August"/>
    <d v="2024-09-08T00:00:00"/>
    <x v="2"/>
    <n v="7"/>
    <n v="18069.41"/>
    <s v="Shruti Kulkarni"/>
    <n v="25"/>
    <s v="Teenagers"/>
    <s v="Good"/>
    <x v="6"/>
    <s v="UPI"/>
    <n v="4"/>
    <s v="OnePlus Nord"/>
    <n v="126485.87"/>
    <s v="Good"/>
    <s v="Good"/>
  </r>
  <r>
    <s v="Nikh551067"/>
    <n v="1067"/>
    <n v="10"/>
    <n v="8"/>
    <n v="2022"/>
    <d v="2022-08-10T00:00:00"/>
    <s v="August"/>
    <d v="2024-09-09T00:00:00"/>
    <x v="1"/>
    <n v="5"/>
    <n v="29211.17"/>
    <s v="Nikhil Bhattacharya"/>
    <n v="55"/>
    <s v="Senior Citezen"/>
    <s v="Good"/>
    <x v="17"/>
    <s v="Cash"/>
    <n v="4"/>
    <s v="Vivo Y51"/>
    <n v="146055.84999999998"/>
    <s v="Good"/>
    <s v="Good"/>
  </r>
  <r>
    <s v="Navi341068"/>
    <n v="1068"/>
    <n v="10"/>
    <n v="8"/>
    <n v="2022"/>
    <d v="2022-08-10T00:00:00"/>
    <s v="August"/>
    <d v="2024-09-10T00:00:00"/>
    <x v="2"/>
    <n v="7"/>
    <n v="64806.68"/>
    <s v="Navin Solanki"/>
    <n v="34"/>
    <s v="Adult"/>
    <s v="Good"/>
    <x v="2"/>
    <s v="Debit Card"/>
    <n v="5"/>
    <s v="OnePlus Nord"/>
    <n v="453646.76"/>
    <s v="Good"/>
    <s v="Excellent"/>
  </r>
  <r>
    <s v="Reen361069"/>
    <n v="1069"/>
    <n v="10"/>
    <n v="8"/>
    <n v="2022"/>
    <d v="2022-08-10T00:00:00"/>
    <s v="August"/>
    <d v="2024-09-11T00:00:00"/>
    <x v="3"/>
    <n v="3"/>
    <n v="34553.53"/>
    <s v="Reena Bhattacharya"/>
    <n v="36"/>
    <s v="Adult"/>
    <s v="Good"/>
    <x v="1"/>
    <s v="Credit Card"/>
    <n v="5"/>
    <s v="Galaxy A51"/>
    <n v="103660.59"/>
    <s v="Good"/>
    <s v="Good"/>
  </r>
  <r>
    <s v="Radh501070"/>
    <n v="1070"/>
    <n v="11"/>
    <n v="8"/>
    <n v="2022"/>
    <d v="2022-08-11T00:00:00"/>
    <s v="August"/>
    <d v="2024-09-12T00:00:00"/>
    <x v="3"/>
    <n v="5"/>
    <n v="54894.02"/>
    <s v="Radha Gupta"/>
    <n v="50"/>
    <s v="Senior Citezen"/>
    <s v="AVG"/>
    <x v="9"/>
    <s v="Cash"/>
    <n v="3"/>
    <s v="Galaxy A51"/>
    <n v="274470.09999999998"/>
    <s v="Average"/>
    <s v="Excellent"/>
  </r>
  <r>
    <s v="Moni321071"/>
    <n v="1071"/>
    <n v="11"/>
    <n v="8"/>
    <n v="2022"/>
    <d v="2022-08-11T00:00:00"/>
    <s v="August"/>
    <d v="2024-09-13T00:00:00"/>
    <x v="2"/>
    <n v="7"/>
    <n v="16807.73"/>
    <s v="Monika Bhatnagar"/>
    <n v="32"/>
    <s v="Adult"/>
    <s v="Good"/>
    <x v="14"/>
    <s v="Debit Card"/>
    <n v="5"/>
    <s v="OnePlus Nord"/>
    <n v="117654.11"/>
    <s v="Good"/>
    <s v="Good"/>
  </r>
  <r>
    <s v="Tapa481072"/>
    <n v="1072"/>
    <n v="11"/>
    <n v="8"/>
    <n v="2022"/>
    <d v="2022-08-11T00:00:00"/>
    <s v="August"/>
    <d v="2024-09-14T00:00:00"/>
    <x v="2"/>
    <n v="9"/>
    <n v="24853.87"/>
    <s v="Tapan Varma"/>
    <n v="48"/>
    <s v="Senior Citezen"/>
    <s v="Good"/>
    <x v="1"/>
    <s v="Credit Card"/>
    <n v="5"/>
    <s v="OnePlus Nord"/>
    <n v="223684.83"/>
    <s v="Good"/>
    <s v="Excellent"/>
  </r>
  <r>
    <s v="Ayes381073"/>
    <n v="1073"/>
    <n v="11"/>
    <n v="8"/>
    <n v="2022"/>
    <d v="2022-08-11T00:00:00"/>
    <s v="August"/>
    <d v="2024-09-15T00:00:00"/>
    <x v="3"/>
    <n v="2"/>
    <n v="58440.74"/>
    <s v="Ayesha Solanki"/>
    <n v="38"/>
    <s v="Adult"/>
    <s v="AVG"/>
    <x v="2"/>
    <s v="Debit Card"/>
    <n v="3"/>
    <s v="Galaxy S21"/>
    <n v="116881.48"/>
    <s v="Average"/>
    <s v="Good"/>
  </r>
  <r>
    <s v="Lali201074"/>
    <n v="1074"/>
    <n v="12"/>
    <n v="8"/>
    <n v="2022"/>
    <d v="2022-08-12T00:00:00"/>
    <s v="August"/>
    <d v="2024-09-16T00:00:00"/>
    <x v="1"/>
    <n v="4"/>
    <n v="55779.58"/>
    <s v="Lalita Alva"/>
    <n v="20"/>
    <s v="Teenagers"/>
    <s v="AVG"/>
    <x v="5"/>
    <s v="Credit Card"/>
    <n v="3"/>
    <s v="Vivo Y51"/>
    <n v="223118.32"/>
    <s v="Average"/>
    <s v="Excellent"/>
  </r>
  <r>
    <s v="Vive191075"/>
    <n v="1075"/>
    <n v="12"/>
    <n v="8"/>
    <n v="2022"/>
    <d v="2022-08-12T00:00:00"/>
    <s v="August"/>
    <d v="2024-09-17T00:00:00"/>
    <x v="4"/>
    <n v="7"/>
    <n v="33169.360000000001"/>
    <s v="Vivek Menon"/>
    <n v="19"/>
    <s v="Teenagers"/>
    <s v="Good"/>
    <x v="1"/>
    <s v="UPI"/>
    <n v="5"/>
    <s v="iPhone 11"/>
    <n v="232185.52000000002"/>
    <s v="Good"/>
    <s v="Excellent"/>
  </r>
  <r>
    <s v="Priy521076"/>
    <n v="1076"/>
    <n v="12"/>
    <n v="8"/>
    <n v="2022"/>
    <d v="2022-08-12T00:00:00"/>
    <s v="August"/>
    <d v="2024-09-18T00:00:00"/>
    <x v="4"/>
    <n v="1"/>
    <n v="67263.81"/>
    <s v="Priyanka Jain"/>
    <n v="52"/>
    <s v="Senior Citezen"/>
    <s v="Good"/>
    <x v="1"/>
    <s v="UPI"/>
    <n v="5"/>
    <s v="iPhone 11"/>
    <n v="67263.81"/>
    <s v="Good"/>
    <s v="Average"/>
  </r>
  <r>
    <s v="Sneh581077"/>
    <n v="1077"/>
    <n v="12"/>
    <n v="8"/>
    <n v="2022"/>
    <d v="2022-08-12T00:00:00"/>
    <s v="August"/>
    <d v="2024-09-19T00:00:00"/>
    <x v="2"/>
    <n v="2"/>
    <n v="64638.58"/>
    <s v="Sneha Sharma"/>
    <n v="58"/>
    <s v="Senior Citezen"/>
    <s v="Good"/>
    <x v="14"/>
    <s v="Debit Card"/>
    <n v="5"/>
    <s v="OnePlus 9"/>
    <n v="129277.16"/>
    <s v="Good"/>
    <s v="Good"/>
  </r>
  <r>
    <s v="Mala331078"/>
    <n v="1078"/>
    <n v="13"/>
    <n v="8"/>
    <n v="2022"/>
    <d v="2022-08-13T00:00:00"/>
    <s v="August"/>
    <d v="2024-09-20T00:00:00"/>
    <x v="4"/>
    <n v="9"/>
    <n v="67738.039999999994"/>
    <s v="Mala Pathak"/>
    <n v="33"/>
    <s v="Adult"/>
    <s v="Good"/>
    <x v="5"/>
    <s v="Debit Card"/>
    <n v="5"/>
    <s v="iPhone 12"/>
    <n v="609642.36"/>
    <s v="Good"/>
    <s v="Excellent"/>
  </r>
  <r>
    <s v="Navi381079"/>
    <n v="1079"/>
    <n v="13"/>
    <n v="8"/>
    <n v="2022"/>
    <d v="2022-08-13T00:00:00"/>
    <s v="August"/>
    <d v="2024-09-21T00:00:00"/>
    <x v="3"/>
    <n v="7"/>
    <n v="35674.879999999997"/>
    <s v="Navin Kapoor"/>
    <n v="38"/>
    <s v="Adult"/>
    <s v="Good"/>
    <x v="1"/>
    <s v="Credit Card"/>
    <n v="4"/>
    <s v="Galaxy Note 20"/>
    <n v="249724.15999999997"/>
    <s v="Good"/>
    <s v="Excellent"/>
  </r>
  <r>
    <s v="Tapa291080"/>
    <n v="1080"/>
    <n v="13"/>
    <n v="8"/>
    <n v="2022"/>
    <d v="2022-08-13T00:00:00"/>
    <s v="August"/>
    <d v="2024-09-22T00:00:00"/>
    <x v="3"/>
    <n v="7"/>
    <n v="21848.42"/>
    <s v="Tapan Ahuja"/>
    <n v="29"/>
    <s v="Teenagers"/>
    <s v="Good"/>
    <x v="1"/>
    <s v="Debit Card"/>
    <n v="5"/>
    <s v="Galaxy Note 20"/>
    <n v="152938.94"/>
    <s v="Good"/>
    <s v="Good"/>
  </r>
  <r>
    <s v="Rame451081"/>
    <n v="1081"/>
    <n v="13"/>
    <n v="8"/>
    <n v="2022"/>
    <d v="2022-08-13T00:00:00"/>
    <s v="August"/>
    <d v="2024-09-23T00:00:00"/>
    <x v="2"/>
    <n v="6"/>
    <n v="47599.519999999997"/>
    <s v="Ramesh Solanki"/>
    <n v="45"/>
    <s v="Adult"/>
    <s v="AVG"/>
    <x v="1"/>
    <s v="Debit Card"/>
    <n v="3"/>
    <s v="OnePlus 8T"/>
    <n v="285597.12"/>
    <s v="Average"/>
    <s v="Excellent"/>
  </r>
  <r>
    <s v="Yoge291082"/>
    <n v="1082"/>
    <n v="14"/>
    <n v="8"/>
    <n v="2022"/>
    <d v="2022-08-14T00:00:00"/>
    <s v="August"/>
    <d v="2024-09-24T00:00:00"/>
    <x v="2"/>
    <n v="3"/>
    <n v="51086.39"/>
    <s v="Yogesh Patel"/>
    <n v="29"/>
    <s v="Teenagers"/>
    <s v="AVG"/>
    <x v="7"/>
    <s v="Credit Card"/>
    <n v="3"/>
    <s v="OnePlus Nord"/>
    <n v="153259.16999999998"/>
    <s v="Average"/>
    <s v="Good"/>
  </r>
  <r>
    <s v="Nikh501083"/>
    <n v="1083"/>
    <n v="14"/>
    <n v="8"/>
    <n v="2022"/>
    <d v="2022-08-14T00:00:00"/>
    <s v="August"/>
    <d v="2024-09-25T00:00:00"/>
    <x v="2"/>
    <n v="3"/>
    <n v="17526.509999999998"/>
    <s v="Nikhil Ahuja"/>
    <n v="50"/>
    <s v="Senior Citezen"/>
    <s v="Good"/>
    <x v="1"/>
    <s v="Credit Card"/>
    <n v="4"/>
    <s v="OnePlus 9"/>
    <n v="52579.53"/>
    <s v="Good"/>
    <s v="Average"/>
  </r>
  <r>
    <s v="Vive371084"/>
    <n v="1084"/>
    <n v="14"/>
    <n v="8"/>
    <n v="2022"/>
    <d v="2022-08-14T00:00:00"/>
    <s v="August"/>
    <d v="2024-09-26T00:00:00"/>
    <x v="1"/>
    <n v="2"/>
    <n v="57188.98"/>
    <s v="Vivek Prasad"/>
    <n v="37"/>
    <s v="Adult"/>
    <s v="AVG"/>
    <x v="17"/>
    <s v="UPI"/>
    <n v="3"/>
    <s v="Vivo V20"/>
    <n v="114377.96"/>
    <s v="Average"/>
    <s v="Good"/>
  </r>
  <r>
    <s v="Navi571085"/>
    <n v="1085"/>
    <n v="14"/>
    <n v="8"/>
    <n v="2022"/>
    <d v="2022-08-14T00:00:00"/>
    <s v="August"/>
    <d v="2024-09-27T00:00:00"/>
    <x v="4"/>
    <n v="6"/>
    <n v="11083.61"/>
    <s v="Navin Mathur"/>
    <n v="57"/>
    <s v="Senior Citezen"/>
    <s v="Good"/>
    <x v="18"/>
    <s v="Cash"/>
    <n v="4"/>
    <s v="iPhone SE"/>
    <n v="66501.66"/>
    <s v="Good"/>
    <s v="Average"/>
  </r>
  <r>
    <s v="Suni381086"/>
    <n v="1086"/>
    <n v="15"/>
    <n v="8"/>
    <n v="2022"/>
    <d v="2022-08-15T00:00:00"/>
    <s v="August"/>
    <d v="2024-09-28T00:00:00"/>
    <x v="2"/>
    <n v="4"/>
    <n v="38963.699999999997"/>
    <s v="Sunita Teja"/>
    <n v="38"/>
    <s v="Adult"/>
    <s v="Good"/>
    <x v="1"/>
    <s v="Debit Card"/>
    <n v="5"/>
    <s v="OnePlus 9"/>
    <n v="155854.79999999999"/>
    <s v="Good"/>
    <s v="Good"/>
  </r>
  <r>
    <s v="Bhav561087"/>
    <n v="1087"/>
    <n v="15"/>
    <n v="8"/>
    <n v="2022"/>
    <d v="2022-08-15T00:00:00"/>
    <s v="August"/>
    <d v="2024-09-29T00:00:00"/>
    <x v="0"/>
    <n v="5"/>
    <n v="29860.98"/>
    <s v="Bhavana Mishra"/>
    <n v="56"/>
    <s v="Senior Citezen"/>
    <s v="Good"/>
    <x v="1"/>
    <s v="Credit Card"/>
    <n v="4"/>
    <s v="Mi 11"/>
    <n v="149304.9"/>
    <s v="Good"/>
    <s v="Good"/>
  </r>
  <r>
    <s v="Adit581088"/>
    <n v="1088"/>
    <n v="15"/>
    <n v="8"/>
    <n v="2022"/>
    <d v="2022-08-15T00:00:00"/>
    <s v="August"/>
    <d v="2024-09-30T00:00:00"/>
    <x v="0"/>
    <n v="3"/>
    <n v="54418.18"/>
    <s v="Aditya Menon"/>
    <n v="58"/>
    <s v="Senior Citezen"/>
    <s v="Good"/>
    <x v="11"/>
    <s v="UPI"/>
    <n v="5"/>
    <s v="Redmi Note 10"/>
    <n v="163254.54"/>
    <s v="Good"/>
    <s v="Good"/>
  </r>
  <r>
    <s v="Anit591089"/>
    <n v="1089"/>
    <n v="15"/>
    <n v="8"/>
    <n v="2022"/>
    <d v="2022-08-15T00:00:00"/>
    <s v="August"/>
    <d v="2024-10-01T00:00:00"/>
    <x v="3"/>
    <n v="6"/>
    <n v="28765.64"/>
    <s v="Anita Sharma"/>
    <n v="59"/>
    <s v="Senior Citezen"/>
    <s v="Good"/>
    <x v="5"/>
    <s v="Cash"/>
    <n v="4"/>
    <s v="Galaxy A51"/>
    <n v="172593.84"/>
    <s v="Good"/>
    <s v="Good"/>
  </r>
  <r>
    <s v="Mano531090"/>
    <n v="1090"/>
    <n v="16"/>
    <n v="8"/>
    <n v="2022"/>
    <d v="2022-08-16T00:00:00"/>
    <s v="August"/>
    <d v="2024-10-02T00:00:00"/>
    <x v="4"/>
    <n v="3"/>
    <n v="59608.43"/>
    <s v="Manoj Mehta"/>
    <n v="53"/>
    <s v="Senior Citezen"/>
    <s v="Good"/>
    <x v="11"/>
    <s v="Debit Card"/>
    <n v="5"/>
    <s v="iPhone 11"/>
    <n v="178825.29"/>
    <s v="Good"/>
    <s v="Good"/>
  </r>
  <r>
    <s v="Deep391091"/>
    <n v="1091"/>
    <n v="16"/>
    <n v="8"/>
    <n v="2022"/>
    <d v="2022-08-16T00:00:00"/>
    <s v="August"/>
    <d v="2024-10-03T00:00:00"/>
    <x v="2"/>
    <n v="8"/>
    <n v="45697.21"/>
    <s v="Deepika Shah"/>
    <n v="39"/>
    <s v="Adult"/>
    <s v="Good"/>
    <x v="18"/>
    <s v="UPI"/>
    <n v="4"/>
    <s v="OnePlus 9"/>
    <n v="365577.68"/>
    <s v="Good"/>
    <s v="Excellent"/>
  </r>
  <r>
    <s v="Amit431092"/>
    <n v="1092"/>
    <n v="16"/>
    <n v="8"/>
    <n v="2022"/>
    <d v="2022-08-16T00:00:00"/>
    <s v="August"/>
    <d v="2024-10-04T00:00:00"/>
    <x v="0"/>
    <n v="9"/>
    <n v="57633.599999999999"/>
    <s v="Amit Das"/>
    <n v="43"/>
    <s v="Adult"/>
    <s v="Good"/>
    <x v="1"/>
    <s v="Cash"/>
    <n v="5"/>
    <s v="Mi 11"/>
    <n v="518702.39999999997"/>
    <s v="Good"/>
    <s v="Excellent"/>
  </r>
  <r>
    <s v="Pooj241093"/>
    <n v="1093"/>
    <n v="17"/>
    <n v="8"/>
    <n v="2022"/>
    <d v="2022-08-17T00:00:00"/>
    <s v="August"/>
    <d v="2024-10-05T00:00:00"/>
    <x v="4"/>
    <n v="4"/>
    <n v="69360.44"/>
    <s v="Pooja Menon"/>
    <n v="24"/>
    <s v="Teenagers"/>
    <s v="Good"/>
    <x v="1"/>
    <s v="Debit Card"/>
    <n v="5"/>
    <s v="iPhone 12"/>
    <n v="277441.76"/>
    <s v="Good"/>
    <s v="Excellent"/>
  </r>
  <r>
    <s v="Yoge241094"/>
    <n v="1094"/>
    <n v="17"/>
    <n v="8"/>
    <n v="2022"/>
    <d v="2022-08-17T00:00:00"/>
    <s v="August"/>
    <d v="2024-10-06T00:00:00"/>
    <x v="3"/>
    <n v="9"/>
    <n v="50749.5"/>
    <s v="Yogesh Kaur"/>
    <n v="24"/>
    <s v="Teenagers"/>
    <s v="Good"/>
    <x v="15"/>
    <s v="UPI"/>
    <n v="5"/>
    <s v="Galaxy Note 20"/>
    <n v="456745.5"/>
    <s v="Good"/>
    <s v="Excellent"/>
  </r>
  <r>
    <s v="Anja251095"/>
    <n v="1095"/>
    <n v="17"/>
    <n v="8"/>
    <n v="2022"/>
    <d v="2022-08-17T00:00:00"/>
    <s v="August"/>
    <d v="2024-10-07T00:00:00"/>
    <x v="1"/>
    <n v="7"/>
    <n v="69097.02"/>
    <s v="Anjali Varma"/>
    <n v="25"/>
    <s v="Teenagers"/>
    <s v="Good"/>
    <x v="1"/>
    <s v="Debit Card"/>
    <n v="5"/>
    <s v="Vivo S1"/>
    <n v="483679.14"/>
    <s v="Good"/>
    <s v="Excellent"/>
  </r>
  <r>
    <s v="Sanj431096"/>
    <n v="1096"/>
    <n v="17"/>
    <n v="8"/>
    <n v="2022"/>
    <d v="2022-08-17T00:00:00"/>
    <s v="August"/>
    <d v="2024-10-08T00:00:00"/>
    <x v="4"/>
    <n v="3"/>
    <n v="11730.18"/>
    <s v="Sanjay Patel"/>
    <n v="43"/>
    <s v="Adult"/>
    <s v="Good"/>
    <x v="1"/>
    <s v="Cash"/>
    <n v="5"/>
    <s v="iPhone SE"/>
    <n v="35190.54"/>
    <s v="Good"/>
    <s v="Low"/>
  </r>
  <r>
    <s v="Anja411097"/>
    <n v="1097"/>
    <n v="18"/>
    <n v="8"/>
    <n v="2022"/>
    <d v="2022-08-18T00:00:00"/>
    <s v="August"/>
    <d v="2024-10-09T00:00:00"/>
    <x v="4"/>
    <n v="7"/>
    <n v="30288.400000000001"/>
    <s v="Anjali Varma"/>
    <n v="41"/>
    <s v="Adult"/>
    <s v="Good"/>
    <x v="1"/>
    <s v="Credit Card"/>
    <n v="5"/>
    <s v="iPhone 12"/>
    <n v="212018.80000000002"/>
    <s v="Good"/>
    <s v="Excellent"/>
  </r>
  <r>
    <s v="Vino411098"/>
    <n v="1098"/>
    <n v="18"/>
    <n v="8"/>
    <n v="2022"/>
    <d v="2022-08-18T00:00:00"/>
    <s v="August"/>
    <d v="2024-10-10T00:00:00"/>
    <x v="1"/>
    <n v="1"/>
    <n v="16471.2"/>
    <s v="Vinod Dutta"/>
    <n v="41"/>
    <s v="Adult"/>
    <s v="Good"/>
    <x v="2"/>
    <s v="UPI"/>
    <n v="4"/>
    <s v="Vivo V20"/>
    <n v="16471.2"/>
    <s v="Good"/>
    <s v="Low"/>
  </r>
  <r>
    <s v="Meen571099"/>
    <n v="1099"/>
    <n v="18"/>
    <n v="8"/>
    <n v="2022"/>
    <d v="2022-08-18T00:00:00"/>
    <s v="August"/>
    <d v="2024-10-11T00:00:00"/>
    <x v="4"/>
    <n v="3"/>
    <n v="25738.3"/>
    <s v="Meena Desai"/>
    <n v="57"/>
    <s v="Senior Citezen"/>
    <s v="Good"/>
    <x v="1"/>
    <s v="Cash"/>
    <n v="5"/>
    <s v="iPhone 11"/>
    <n v="77214.899999999994"/>
    <s v="Good"/>
    <s v="Average"/>
  </r>
  <r>
    <s v="Umes291100"/>
    <n v="1100"/>
    <n v="19"/>
    <n v="8"/>
    <n v="2022"/>
    <d v="2022-08-19T00:00:00"/>
    <s v="August"/>
    <d v="2024-10-12T00:00:00"/>
    <x v="3"/>
    <n v="6"/>
    <n v="60333.27"/>
    <s v="Umesh Rawat"/>
    <n v="29"/>
    <s v="Teenagers"/>
    <s v="Good"/>
    <x v="1"/>
    <s v="Debit Card"/>
    <n v="5"/>
    <s v="Galaxy A51"/>
    <n v="361999.62"/>
    <s v="Good"/>
    <s v="Excellent"/>
  </r>
  <r>
    <s v="Pank251101"/>
    <n v="1101"/>
    <n v="19"/>
    <n v="8"/>
    <n v="2022"/>
    <d v="2022-08-19T00:00:00"/>
    <s v="August"/>
    <d v="2024-10-13T00:00:00"/>
    <x v="3"/>
    <n v="4"/>
    <n v="11939.4"/>
    <s v="Pankaj Arora"/>
    <n v="25"/>
    <s v="Teenagers"/>
    <s v="Good"/>
    <x v="3"/>
    <s v="Cash"/>
    <n v="5"/>
    <s v="Galaxy Note 20"/>
    <n v="47757.599999999999"/>
    <s v="Good"/>
    <s v="Low"/>
  </r>
  <r>
    <s v="Sumi261102"/>
    <n v="1102"/>
    <n v="19"/>
    <n v="8"/>
    <n v="2022"/>
    <d v="2022-08-19T00:00:00"/>
    <s v="August"/>
    <d v="2024-10-14T00:00:00"/>
    <x v="1"/>
    <n v="7"/>
    <n v="41210.980000000003"/>
    <s v="Sumit Reddy"/>
    <n v="26"/>
    <s v="Teenagers"/>
    <s v="Good"/>
    <x v="2"/>
    <s v="Cash"/>
    <n v="5"/>
    <s v="Vivo S1"/>
    <n v="288476.86000000004"/>
    <s v="Good"/>
    <s v="Excellent"/>
  </r>
  <r>
    <s v="Nikh201103"/>
    <n v="1103"/>
    <n v="20"/>
    <n v="8"/>
    <n v="2022"/>
    <d v="2022-08-20T00:00:00"/>
    <s v="August"/>
    <d v="2024-10-15T00:00:00"/>
    <x v="2"/>
    <n v="3"/>
    <n v="44027.72"/>
    <s v="Nikhil Kapoor"/>
    <n v="20"/>
    <s v="Teenagers"/>
    <s v="Good"/>
    <x v="17"/>
    <s v="Credit Card"/>
    <n v="5"/>
    <s v="OnePlus 8T"/>
    <n v="132083.16"/>
    <s v="Good"/>
    <s v="Good"/>
  </r>
  <r>
    <s v="Amit381104"/>
    <n v="1104"/>
    <n v="20"/>
    <n v="8"/>
    <n v="2022"/>
    <d v="2022-08-20T00:00:00"/>
    <s v="August"/>
    <d v="2024-10-16T00:00:00"/>
    <x v="0"/>
    <n v="1"/>
    <n v="43669.07"/>
    <s v="Amit Prasad"/>
    <n v="38"/>
    <s v="Adult"/>
    <s v="Good"/>
    <x v="1"/>
    <s v="UPI"/>
    <n v="5"/>
    <s v="Mi 11"/>
    <n v="43669.07"/>
    <s v="Good"/>
    <s v="Low"/>
  </r>
  <r>
    <s v="Ayes481105"/>
    <n v="1105"/>
    <n v="20"/>
    <n v="8"/>
    <n v="2022"/>
    <d v="2022-08-20T00:00:00"/>
    <s v="August"/>
    <d v="2024-10-17T00:00:00"/>
    <x v="2"/>
    <n v="9"/>
    <n v="38517.82"/>
    <s v="Ayesha Patel"/>
    <n v="48"/>
    <s v="Senior Citezen"/>
    <s v="Good"/>
    <x v="8"/>
    <s v="Cash"/>
    <n v="5"/>
    <s v="OnePlus 8T"/>
    <n v="346660.38"/>
    <s v="Good"/>
    <s v="Excellent"/>
  </r>
  <r>
    <s v="Raje411106"/>
    <n v="1106"/>
    <n v="20"/>
    <n v="8"/>
    <n v="2022"/>
    <d v="2022-08-20T00:00:00"/>
    <s v="August"/>
    <d v="2024-10-18T00:00:00"/>
    <x v="4"/>
    <n v="6"/>
    <n v="57436.18"/>
    <s v="Rajesh Ghosh"/>
    <n v="41"/>
    <s v="Adult"/>
    <s v="AVG"/>
    <x v="12"/>
    <s v="Credit Card"/>
    <n v="3"/>
    <s v="iPhone 12"/>
    <n v="344617.08"/>
    <s v="Average"/>
    <s v="Excellent"/>
  </r>
  <r>
    <s v="Gita211107"/>
    <n v="1107"/>
    <n v="21"/>
    <n v="8"/>
    <n v="2022"/>
    <d v="2022-08-21T00:00:00"/>
    <s v="August"/>
    <d v="2024-10-19T00:00:00"/>
    <x v="0"/>
    <n v="8"/>
    <n v="18012.59"/>
    <s v="Gita Bhattacharya"/>
    <n v="21"/>
    <s v="Teenagers"/>
    <s v="Good"/>
    <x v="1"/>
    <s v="Credit Card"/>
    <n v="5"/>
    <s v="Redmi 9"/>
    <n v="144100.72"/>
    <s v="Good"/>
    <s v="Good"/>
  </r>
  <r>
    <s v="Sanj371108"/>
    <n v="1108"/>
    <n v="21"/>
    <n v="8"/>
    <n v="2022"/>
    <d v="2022-08-21T00:00:00"/>
    <s v="August"/>
    <d v="2024-10-20T00:00:00"/>
    <x v="1"/>
    <n v="3"/>
    <n v="28634.62"/>
    <s v="Sanjay Das"/>
    <n v="37"/>
    <s v="Adult"/>
    <s v="BAD"/>
    <x v="1"/>
    <s v="Credit Card"/>
    <n v="1"/>
    <s v="Vivo V20"/>
    <n v="85903.86"/>
    <s v="Average"/>
    <s v="Average"/>
  </r>
  <r>
    <s v="Deep331109"/>
    <n v="1109"/>
    <n v="21"/>
    <n v="8"/>
    <n v="2022"/>
    <d v="2022-08-21T00:00:00"/>
    <s v="August"/>
    <d v="2024-10-21T00:00:00"/>
    <x v="1"/>
    <n v="8"/>
    <n v="46943.56"/>
    <s v="Deepika Reddy"/>
    <n v="33"/>
    <s v="Adult"/>
    <s v="Good"/>
    <x v="3"/>
    <s v="Debit Card"/>
    <n v="4"/>
    <s v="Vivo V20"/>
    <n v="375548.48"/>
    <s v="Good"/>
    <s v="Excellent"/>
  </r>
  <r>
    <s v="Kris271110"/>
    <n v="1110"/>
    <n v="22"/>
    <n v="8"/>
    <n v="2022"/>
    <d v="2022-08-22T00:00:00"/>
    <s v="August"/>
    <d v="2024-10-22T00:00:00"/>
    <x v="0"/>
    <n v="2"/>
    <n v="51457.08"/>
    <s v="Krishna Nambiar"/>
    <n v="27"/>
    <s v="Teenagers"/>
    <s v="Good"/>
    <x v="0"/>
    <s v="Credit Card"/>
    <n v="4"/>
    <s v="Mi 11"/>
    <n v="102914.16"/>
    <s v="Good"/>
    <s v="Good"/>
  </r>
  <r>
    <s v="Mala431111"/>
    <n v="1111"/>
    <n v="22"/>
    <n v="8"/>
    <n v="2022"/>
    <d v="2022-08-22T00:00:00"/>
    <s v="August"/>
    <d v="2024-10-23T00:00:00"/>
    <x v="3"/>
    <n v="4"/>
    <n v="34248.910000000003"/>
    <s v="Mala Mathur"/>
    <n v="43"/>
    <s v="Adult"/>
    <s v="AVG"/>
    <x v="1"/>
    <s v="Credit Card"/>
    <n v="3"/>
    <s v="Galaxy A51"/>
    <n v="136995.64000000001"/>
    <s v="Average"/>
    <s v="Good"/>
  </r>
  <r>
    <s v="Kris461112"/>
    <n v="1112"/>
    <n v="22"/>
    <n v="8"/>
    <n v="2022"/>
    <d v="2022-08-22T00:00:00"/>
    <s v="August"/>
    <d v="2024-10-24T00:00:00"/>
    <x v="0"/>
    <n v="3"/>
    <n v="62522.28"/>
    <s v="Krishna Menon"/>
    <n v="46"/>
    <s v="Senior Citezen"/>
    <s v="BAD"/>
    <x v="1"/>
    <s v="Credit Card"/>
    <n v="1"/>
    <s v="Redmi Note 10"/>
    <n v="187566.84"/>
    <s v="Average"/>
    <s v="Good"/>
  </r>
  <r>
    <s v="Raje221113"/>
    <n v="1113"/>
    <n v="23"/>
    <n v="8"/>
    <n v="2022"/>
    <d v="2022-08-23T00:00:00"/>
    <s v="August"/>
    <d v="2024-10-25T00:00:00"/>
    <x v="4"/>
    <n v="1"/>
    <n v="34929.599999999999"/>
    <s v="Rajesh Menon"/>
    <n v="22"/>
    <s v="Teenagers"/>
    <s v="Good"/>
    <x v="4"/>
    <s v="Credit Card"/>
    <n v="5"/>
    <s v="iPhone 11"/>
    <n v="34929.599999999999"/>
    <s v="Good"/>
    <s v="Low"/>
  </r>
  <r>
    <s v="Deve281114"/>
    <n v="1114"/>
    <n v="23"/>
    <n v="8"/>
    <n v="2022"/>
    <d v="2022-08-23T00:00:00"/>
    <s v="August"/>
    <d v="2024-10-26T00:00:00"/>
    <x v="3"/>
    <n v="7"/>
    <n v="34166.57"/>
    <s v="Devendra Srivastava"/>
    <n v="28"/>
    <s v="Teenagers"/>
    <s v="Good"/>
    <x v="13"/>
    <s v="UPI"/>
    <n v="5"/>
    <s v="Galaxy A51"/>
    <n v="239165.99"/>
    <s v="Good"/>
    <s v="Excellent"/>
  </r>
  <r>
    <s v="Sanj461115"/>
    <n v="1115"/>
    <n v="23"/>
    <n v="8"/>
    <n v="2022"/>
    <d v="2022-08-23T00:00:00"/>
    <s v="August"/>
    <d v="2024-10-27T00:00:00"/>
    <x v="1"/>
    <n v="2"/>
    <n v="12172.44"/>
    <s v="Sanjay Pathak"/>
    <n v="46"/>
    <s v="Senior Citezen"/>
    <s v="Good"/>
    <x v="1"/>
    <s v="UPI"/>
    <n v="5"/>
    <s v="Vivo S1"/>
    <n v="24344.880000000001"/>
    <s v="Good"/>
    <s v="Low"/>
  </r>
  <r>
    <s v="Suni321116"/>
    <n v="1116"/>
    <n v="24"/>
    <n v="8"/>
    <n v="2022"/>
    <d v="2022-08-24T00:00:00"/>
    <s v="August"/>
    <d v="2024-10-28T00:00:00"/>
    <x v="0"/>
    <n v="4"/>
    <n v="43068.480000000003"/>
    <s v="Sunita Verma"/>
    <n v="32"/>
    <s v="Adult"/>
    <s v="AVG"/>
    <x v="17"/>
    <s v="Credit Card"/>
    <n v="3"/>
    <s v="Redmi Note 10"/>
    <n v="172273.92000000001"/>
    <s v="Average"/>
    <s v="Good"/>
  </r>
  <r>
    <s v="Sach231117"/>
    <n v="1117"/>
    <n v="24"/>
    <n v="8"/>
    <n v="2022"/>
    <d v="2022-08-24T00:00:00"/>
    <s v="August"/>
    <d v="2024-10-29T00:00:00"/>
    <x v="2"/>
    <n v="9"/>
    <n v="52520.85"/>
    <s v="Sachin Joshi"/>
    <n v="23"/>
    <s v="Teenagers"/>
    <s v="AVG"/>
    <x v="2"/>
    <s v="Cash"/>
    <n v="3"/>
    <s v="OnePlus 8T"/>
    <n v="472687.64999999997"/>
    <s v="Average"/>
    <s v="Excellent"/>
  </r>
  <r>
    <s v="Kris321118"/>
    <n v="1118"/>
    <n v="24"/>
    <n v="8"/>
    <n v="2022"/>
    <d v="2022-08-24T00:00:00"/>
    <s v="August"/>
    <d v="2024-10-30T00:00:00"/>
    <x v="2"/>
    <n v="6"/>
    <n v="16866.29"/>
    <s v="Krishna Alva"/>
    <n v="32"/>
    <s v="Adult"/>
    <s v="AVG"/>
    <x v="4"/>
    <s v="Debit Card"/>
    <n v="3"/>
    <s v="OnePlus 9"/>
    <n v="101197.74"/>
    <s v="Average"/>
    <s v="Good"/>
  </r>
  <r>
    <s v="Amit371119"/>
    <n v="1119"/>
    <n v="24"/>
    <n v="8"/>
    <n v="2022"/>
    <d v="2022-08-24T00:00:00"/>
    <s v="August"/>
    <d v="2024-10-31T00:00:00"/>
    <x v="4"/>
    <n v="8"/>
    <n v="28325.97"/>
    <s v="Amit Rao"/>
    <n v="37"/>
    <s v="Adult"/>
    <s v="AVG"/>
    <x v="10"/>
    <s v="Cash"/>
    <n v="3"/>
    <s v="iPhone SE"/>
    <n v="226607.76"/>
    <s v="Average"/>
    <s v="Excellent"/>
  </r>
  <r>
    <s v="Lali511120"/>
    <n v="1120"/>
    <n v="25"/>
    <n v="8"/>
    <n v="2022"/>
    <d v="2022-08-25T00:00:00"/>
    <s v="August"/>
    <d v="2024-11-01T00:00:00"/>
    <x v="2"/>
    <n v="2"/>
    <n v="56875.42"/>
    <s v="Lalita Sheth"/>
    <n v="51"/>
    <s v="Senior Citezen"/>
    <s v="AVG"/>
    <x v="1"/>
    <s v="Cash"/>
    <n v="3"/>
    <s v="OnePlus 9"/>
    <n v="113750.84"/>
    <s v="Average"/>
    <s v="Good"/>
  </r>
  <r>
    <s v="Anit191121"/>
    <n v="1121"/>
    <n v="25"/>
    <n v="8"/>
    <n v="2022"/>
    <d v="2022-08-25T00:00:00"/>
    <s v="August"/>
    <d v="2024-11-02T00:00:00"/>
    <x v="0"/>
    <n v="7"/>
    <n v="31955.17"/>
    <s v="Anita Prasad"/>
    <n v="19"/>
    <s v="Teenagers"/>
    <s v="AVG"/>
    <x v="1"/>
    <s v="Credit Card"/>
    <n v="3"/>
    <s v="Mi 11"/>
    <n v="223686.19"/>
    <s v="Average"/>
    <s v="Excellent"/>
  </r>
  <r>
    <s v="Vive331122"/>
    <n v="1122"/>
    <n v="25"/>
    <n v="8"/>
    <n v="2022"/>
    <d v="2022-08-25T00:00:00"/>
    <s v="August"/>
    <d v="2024-11-03T00:00:00"/>
    <x v="0"/>
    <n v="6"/>
    <n v="24496.15"/>
    <s v="Vivek Alva"/>
    <n v="33"/>
    <s v="Adult"/>
    <s v="Good"/>
    <x v="6"/>
    <s v="Cash"/>
    <n v="5"/>
    <s v="Redmi 9"/>
    <n v="146976.90000000002"/>
    <s v="Good"/>
    <s v="Good"/>
  </r>
  <r>
    <s v="Kira361123"/>
    <n v="1123"/>
    <n v="25"/>
    <n v="8"/>
    <n v="2022"/>
    <d v="2022-08-25T00:00:00"/>
    <s v="August"/>
    <d v="2024-11-04T00:00:00"/>
    <x v="2"/>
    <n v="9"/>
    <n v="50332.04"/>
    <s v="Kiran Bhattacharya"/>
    <n v="36"/>
    <s v="Adult"/>
    <s v="Good"/>
    <x v="16"/>
    <s v="UPI"/>
    <n v="5"/>
    <s v="OnePlus 8T"/>
    <n v="452988.36"/>
    <s v="Good"/>
    <s v="Excellent"/>
  </r>
  <r>
    <s v="Vino511124"/>
    <n v="1124"/>
    <n v="26"/>
    <n v="8"/>
    <n v="2022"/>
    <d v="2022-08-26T00:00:00"/>
    <s v="August"/>
    <d v="2024-11-05T00:00:00"/>
    <x v="0"/>
    <n v="7"/>
    <n v="21805.53"/>
    <s v="Vinod Pathak"/>
    <n v="51"/>
    <s v="Senior Citezen"/>
    <s v="Good"/>
    <x v="10"/>
    <s v="UPI"/>
    <n v="5"/>
    <s v="Mi 11"/>
    <n v="152638.71"/>
    <s v="Good"/>
    <s v="Good"/>
  </r>
  <r>
    <s v="Nikh311125"/>
    <n v="1125"/>
    <n v="26"/>
    <n v="8"/>
    <n v="2022"/>
    <d v="2022-08-26T00:00:00"/>
    <s v="August"/>
    <d v="2024-11-06T00:00:00"/>
    <x v="4"/>
    <n v="1"/>
    <n v="63739.18"/>
    <s v="Nikhil Rathod"/>
    <n v="31"/>
    <s v="Adult"/>
    <s v="Good"/>
    <x v="1"/>
    <s v="Debit Card"/>
    <n v="5"/>
    <s v="iPhone SE"/>
    <n v="63739.18"/>
    <s v="Good"/>
    <s v="Average"/>
  </r>
  <r>
    <s v="Lata411126"/>
    <n v="1126"/>
    <n v="26"/>
    <n v="8"/>
    <n v="2022"/>
    <d v="2022-08-26T00:00:00"/>
    <s v="August"/>
    <d v="2024-11-07T00:00:00"/>
    <x v="3"/>
    <n v="8"/>
    <n v="16335.9"/>
    <s v="Lata Dutta"/>
    <n v="41"/>
    <s v="Adult"/>
    <s v="AVG"/>
    <x v="2"/>
    <s v="UPI"/>
    <n v="3"/>
    <s v="Galaxy Note 20"/>
    <n v="130687.2"/>
    <s v="Average"/>
    <s v="Good"/>
  </r>
  <r>
    <s v="Kuna451127"/>
    <n v="1127"/>
    <n v="27"/>
    <n v="8"/>
    <n v="2022"/>
    <d v="2022-08-27T00:00:00"/>
    <s v="August"/>
    <d v="2024-11-08T00:00:00"/>
    <x v="4"/>
    <n v="3"/>
    <n v="52392.99"/>
    <s v="Kunal Patel"/>
    <n v="45"/>
    <s v="Adult"/>
    <s v="Good"/>
    <x v="1"/>
    <s v="UPI"/>
    <n v="5"/>
    <s v="iPhone 11"/>
    <n v="157178.97"/>
    <s v="Good"/>
    <s v="Good"/>
  </r>
  <r>
    <s v="Deep491128"/>
    <n v="1128"/>
    <n v="27"/>
    <n v="8"/>
    <n v="2022"/>
    <d v="2022-08-27T00:00:00"/>
    <s v="August"/>
    <d v="2024-11-09T00:00:00"/>
    <x v="4"/>
    <n v="2"/>
    <n v="39972.92"/>
    <s v="Deepika Alva"/>
    <n v="49"/>
    <s v="Senior Citezen"/>
    <s v="AVG"/>
    <x v="2"/>
    <s v="Credit Card"/>
    <n v="3"/>
    <s v="iPhone 11"/>
    <n v="79945.84"/>
    <s v="Average"/>
    <s v="Average"/>
  </r>
  <r>
    <s v="Radh541129"/>
    <n v="1129"/>
    <n v="27"/>
    <n v="8"/>
    <n v="2022"/>
    <d v="2022-08-27T00:00:00"/>
    <s v="August"/>
    <d v="2024-11-10T00:00:00"/>
    <x v="0"/>
    <n v="3"/>
    <n v="62195.77"/>
    <s v="Radha Jain"/>
    <n v="54"/>
    <s v="Senior Citezen"/>
    <s v="Good"/>
    <x v="2"/>
    <s v="UPI"/>
    <n v="5"/>
    <s v="Redmi 9"/>
    <n v="186587.31"/>
    <s v="Good"/>
    <s v="Good"/>
  </r>
  <r>
    <s v="Kira271130"/>
    <n v="1130"/>
    <n v="27"/>
    <n v="8"/>
    <n v="2022"/>
    <d v="2022-08-27T00:00:00"/>
    <s v="August"/>
    <d v="2024-11-11T00:00:00"/>
    <x v="3"/>
    <n v="6"/>
    <n v="17571.71"/>
    <s v="Kiran Pathak"/>
    <n v="27"/>
    <s v="Teenagers"/>
    <s v="Good"/>
    <x v="7"/>
    <s v="Cash"/>
    <n v="4"/>
    <s v="Galaxy Note 20"/>
    <n v="105430.26"/>
    <s v="Good"/>
    <s v="Good"/>
  </r>
  <r>
    <s v="Kris261131"/>
    <n v="1131"/>
    <n v="28"/>
    <n v="8"/>
    <n v="2022"/>
    <d v="2022-08-28T00:00:00"/>
    <s v="August"/>
    <d v="2024-11-12T00:00:00"/>
    <x v="0"/>
    <n v="3"/>
    <n v="50673.7"/>
    <s v="Krishna Goyal"/>
    <n v="26"/>
    <s v="Teenagers"/>
    <s v="Good"/>
    <x v="15"/>
    <s v="Cash"/>
    <n v="5"/>
    <s v="Redmi Note 10"/>
    <n v="152021.09999999998"/>
    <s v="Good"/>
    <s v="Good"/>
  </r>
  <r>
    <s v="Tapa411132"/>
    <n v="1132"/>
    <n v="28"/>
    <n v="8"/>
    <n v="2022"/>
    <d v="2022-08-28T00:00:00"/>
    <s v="August"/>
    <d v="2024-11-13T00:00:00"/>
    <x v="1"/>
    <n v="5"/>
    <n v="44323.28"/>
    <s v="Tapan Ahuja"/>
    <n v="41"/>
    <s v="Adult"/>
    <s v="BAD"/>
    <x v="1"/>
    <s v="UPI"/>
    <n v="1"/>
    <s v="Vivo V20"/>
    <n v="221616.4"/>
    <s v="Average"/>
    <s v="Excellent"/>
  </r>
  <r>
    <s v="Priy531133"/>
    <n v="1133"/>
    <n v="28"/>
    <n v="8"/>
    <n v="2022"/>
    <d v="2022-08-28T00:00:00"/>
    <s v="August"/>
    <d v="2024-11-14T00:00:00"/>
    <x v="0"/>
    <n v="6"/>
    <n v="38805.410000000003"/>
    <s v="Priya Patel"/>
    <n v="53"/>
    <s v="Senior Citezen"/>
    <s v="Good"/>
    <x v="7"/>
    <s v="Debit Card"/>
    <n v="5"/>
    <s v="Mi 11"/>
    <n v="232832.46000000002"/>
    <s v="Good"/>
    <s v="Excellent"/>
  </r>
  <r>
    <s v="Anit461134"/>
    <n v="1134"/>
    <n v="28"/>
    <n v="8"/>
    <n v="2022"/>
    <d v="2022-08-28T00:00:00"/>
    <s v="August"/>
    <d v="2024-11-15T00:00:00"/>
    <x v="0"/>
    <n v="8"/>
    <n v="39484.44"/>
    <s v="Anita Ghosh"/>
    <n v="46"/>
    <s v="Senior Citezen"/>
    <s v="BAD"/>
    <x v="0"/>
    <s v="Debit Card"/>
    <n v="1"/>
    <s v="Redmi Note 10"/>
    <n v="315875.52"/>
    <s v="Average"/>
    <s v="Excellent"/>
  </r>
  <r>
    <s v="Deep461135"/>
    <n v="1135"/>
    <n v="29"/>
    <n v="8"/>
    <n v="2022"/>
    <d v="2022-08-29T00:00:00"/>
    <s v="August"/>
    <d v="2024-11-16T00:00:00"/>
    <x v="0"/>
    <n v="7"/>
    <n v="53318.62"/>
    <s v="Deepika Menon"/>
    <n v="46"/>
    <s v="Senior Citezen"/>
    <s v="Good"/>
    <x v="2"/>
    <s v="Debit Card"/>
    <n v="5"/>
    <s v="Redmi Note 10"/>
    <n v="373230.34"/>
    <s v="Good"/>
    <s v="Excellent"/>
  </r>
  <r>
    <s v="Vino401136"/>
    <n v="1136"/>
    <n v="29"/>
    <n v="8"/>
    <n v="2022"/>
    <d v="2022-08-29T00:00:00"/>
    <s v="August"/>
    <d v="2024-11-17T00:00:00"/>
    <x v="3"/>
    <n v="8"/>
    <n v="66264.5"/>
    <s v="Vinod Kaur"/>
    <n v="40"/>
    <s v="Adult"/>
    <s v="Good"/>
    <x v="2"/>
    <s v="UPI"/>
    <n v="5"/>
    <s v="Galaxy A51"/>
    <n v="530116"/>
    <s v="Good"/>
    <s v="Excellent"/>
  </r>
  <r>
    <s v="Kris441137"/>
    <n v="1137"/>
    <n v="29"/>
    <n v="8"/>
    <n v="2022"/>
    <d v="2022-08-29T00:00:00"/>
    <s v="August"/>
    <d v="2024-11-18T00:00:00"/>
    <x v="0"/>
    <n v="3"/>
    <n v="15475.1"/>
    <s v="Krishna Bhattacharya"/>
    <n v="44"/>
    <s v="Adult"/>
    <s v="Good"/>
    <x v="17"/>
    <s v="Debit Card"/>
    <n v="4"/>
    <s v="Mi 11"/>
    <n v="46425.3"/>
    <s v="Good"/>
    <s v="Low"/>
  </r>
  <r>
    <s v="Arun481138"/>
    <n v="1138"/>
    <n v="29"/>
    <n v="8"/>
    <n v="2022"/>
    <d v="2022-08-29T00:00:00"/>
    <s v="August"/>
    <d v="2024-11-19T00:00:00"/>
    <x v="3"/>
    <n v="4"/>
    <n v="11170.16"/>
    <s v="Arun Mathur"/>
    <n v="48"/>
    <s v="Senior Citezen"/>
    <s v="Good"/>
    <x v="17"/>
    <s v="UPI"/>
    <n v="5"/>
    <s v="Galaxy A51"/>
    <n v="44680.639999999999"/>
    <s v="Good"/>
    <s v="Low"/>
  </r>
  <r>
    <s v="Deep241139"/>
    <n v="1139"/>
    <n v="30"/>
    <n v="8"/>
    <n v="2022"/>
    <d v="2022-08-30T00:00:00"/>
    <s v="August"/>
    <d v="2024-11-20T00:00:00"/>
    <x v="2"/>
    <n v="6"/>
    <n v="58342.29"/>
    <s v="Deepika Solanki"/>
    <n v="24"/>
    <s v="Teenagers"/>
    <s v="Good"/>
    <x v="2"/>
    <s v="Cash"/>
    <n v="5"/>
    <s v="OnePlus 8T"/>
    <n v="350053.74"/>
    <s v="Good"/>
    <s v="Excellent"/>
  </r>
  <r>
    <s v="Raje211140"/>
    <n v="1140"/>
    <n v="30"/>
    <n v="8"/>
    <n v="2022"/>
    <d v="2022-08-30T00:00:00"/>
    <s v="August"/>
    <d v="2024-11-21T00:00:00"/>
    <x v="1"/>
    <n v="7"/>
    <n v="16490.16"/>
    <s v="Rajesh Prasad"/>
    <n v="21"/>
    <s v="Teenagers"/>
    <s v="Good"/>
    <x v="1"/>
    <s v="Debit Card"/>
    <n v="5"/>
    <s v="Vivo V20"/>
    <n v="115431.12"/>
    <s v="Good"/>
    <s v="Good"/>
  </r>
  <r>
    <s v="Priy311141"/>
    <n v="1141"/>
    <n v="30"/>
    <n v="8"/>
    <n v="2022"/>
    <d v="2022-08-30T00:00:00"/>
    <s v="August"/>
    <d v="2024-11-22T00:00:00"/>
    <x v="3"/>
    <n v="9"/>
    <n v="69201.81"/>
    <s v="Priya Singh"/>
    <n v="31"/>
    <s v="Adult"/>
    <s v="AVG"/>
    <x v="1"/>
    <s v="Debit Card"/>
    <n v="3"/>
    <s v="Galaxy A51"/>
    <n v="622816.29"/>
    <s v="Average"/>
    <s v="Excellent"/>
  </r>
  <r>
    <s v="Vino591142"/>
    <n v="1142"/>
    <n v="30"/>
    <n v="8"/>
    <n v="2022"/>
    <d v="2022-08-30T00:00:00"/>
    <s v="August"/>
    <d v="2024-11-23T00:00:00"/>
    <x v="2"/>
    <n v="1"/>
    <n v="47160.89"/>
    <s v="Vinod Dutta"/>
    <n v="59"/>
    <s v="Senior Citezen"/>
    <s v="Good"/>
    <x v="6"/>
    <s v="Debit Card"/>
    <n v="5"/>
    <s v="OnePlus Nord"/>
    <n v="47160.89"/>
    <s v="Good"/>
    <s v="Low"/>
  </r>
  <r>
    <s v="Meen591143"/>
    <n v="1143"/>
    <n v="31"/>
    <n v="8"/>
    <n v="2022"/>
    <d v="2022-08-31T00:00:00"/>
    <s v="August"/>
    <d v="2024-11-24T00:00:00"/>
    <x v="3"/>
    <n v="8"/>
    <n v="49051.98"/>
    <s v="Meena Verma"/>
    <n v="59"/>
    <s v="Senior Citezen"/>
    <s v="Good"/>
    <x v="1"/>
    <s v="Cash"/>
    <n v="5"/>
    <s v="Galaxy S21"/>
    <n v="392415.84"/>
    <s v="Good"/>
    <s v="Excellent"/>
  </r>
  <r>
    <s v="Roha271144"/>
    <n v="1144"/>
    <n v="31"/>
    <n v="8"/>
    <n v="2022"/>
    <d v="2022-08-31T00:00:00"/>
    <s v="August"/>
    <d v="2024-11-25T00:00:00"/>
    <x v="3"/>
    <n v="8"/>
    <n v="21933.5"/>
    <s v="Rohan Goyal"/>
    <n v="27"/>
    <s v="Teenagers"/>
    <s v="Good"/>
    <x v="15"/>
    <s v="UPI"/>
    <n v="4"/>
    <s v="Galaxy S21"/>
    <n v="175468"/>
    <s v="Good"/>
    <s v="Good"/>
  </r>
  <r>
    <s v="Priy511145"/>
    <n v="1145"/>
    <n v="31"/>
    <n v="8"/>
    <n v="2022"/>
    <d v="2022-08-31T00:00:00"/>
    <s v="August"/>
    <d v="2024-11-26T00:00:00"/>
    <x v="1"/>
    <n v="6"/>
    <n v="24418.74"/>
    <s v="Priya Siddiqui"/>
    <n v="51"/>
    <s v="Senior Citezen"/>
    <s v="BAD"/>
    <x v="2"/>
    <s v="Cash"/>
    <n v="1"/>
    <s v="Vivo Y51"/>
    <n v="146512.44"/>
    <s v="Average"/>
    <s v="Good"/>
  </r>
  <r>
    <s v="Meen431146"/>
    <n v="1146"/>
    <n v="1"/>
    <n v="9"/>
    <n v="2022"/>
    <d v="2022-09-01T00:00:00"/>
    <s v="September"/>
    <d v="2024-11-27T00:00:00"/>
    <x v="4"/>
    <n v="4"/>
    <n v="49561.02"/>
    <s v="Meena Menon"/>
    <n v="43"/>
    <s v="Adult"/>
    <s v="BAD"/>
    <x v="2"/>
    <s v="Cash"/>
    <n v="1"/>
    <s v="iPhone 11"/>
    <n v="198244.08"/>
    <s v="Average"/>
    <s v="Good"/>
  </r>
  <r>
    <s v="Adit401147"/>
    <n v="1147"/>
    <n v="1"/>
    <n v="9"/>
    <n v="2022"/>
    <d v="2022-09-01T00:00:00"/>
    <s v="September"/>
    <d v="2024-11-28T00:00:00"/>
    <x v="4"/>
    <n v="3"/>
    <n v="64583.61"/>
    <s v="Aditya Joshi"/>
    <n v="40"/>
    <s v="Adult"/>
    <s v="Good"/>
    <x v="1"/>
    <s v="Credit Card"/>
    <n v="4"/>
    <s v="iPhone 12"/>
    <n v="193750.83000000002"/>
    <s v="Good"/>
    <s v="Good"/>
  </r>
  <r>
    <s v="Roha261148"/>
    <n v="1148"/>
    <n v="1"/>
    <n v="9"/>
    <n v="2022"/>
    <d v="2022-09-01T00:00:00"/>
    <s v="September"/>
    <d v="2024-11-29T00:00:00"/>
    <x v="3"/>
    <n v="3"/>
    <n v="68943.429999999993"/>
    <s v="Rohan Jain"/>
    <n v="26"/>
    <s v="Teenagers"/>
    <s v="Good"/>
    <x v="2"/>
    <s v="Debit Card"/>
    <n v="5"/>
    <s v="Galaxy S21"/>
    <n v="206830.28999999998"/>
    <s v="Good"/>
    <s v="Excellent"/>
  </r>
  <r>
    <s v="Ravi541149"/>
    <n v="1149"/>
    <n v="2"/>
    <n v="9"/>
    <n v="2022"/>
    <d v="2022-09-02T00:00:00"/>
    <s v="September"/>
    <d v="2024-11-30T00:00:00"/>
    <x v="0"/>
    <n v="6"/>
    <n v="21881.86"/>
    <s v="Ravi Teja"/>
    <n v="54"/>
    <s v="Senior Citezen"/>
    <s v="Good"/>
    <x v="1"/>
    <s v="UPI"/>
    <n v="5"/>
    <s v="Redmi 9"/>
    <n v="131291.16"/>
    <s v="Good"/>
    <s v="Good"/>
  </r>
  <r>
    <s v="Lata251150"/>
    <n v="1150"/>
    <n v="2"/>
    <n v="9"/>
    <n v="2022"/>
    <d v="2022-09-02T00:00:00"/>
    <s v="September"/>
    <d v="2024-12-01T00:00:00"/>
    <x v="2"/>
    <n v="8"/>
    <n v="18047.18"/>
    <s v="Lata Chatterjee"/>
    <n v="25"/>
    <s v="Teenagers"/>
    <s v="Good"/>
    <x v="15"/>
    <s v="UPI"/>
    <n v="5"/>
    <s v="OnePlus Nord"/>
    <n v="144377.44"/>
    <s v="Good"/>
    <s v="Good"/>
  </r>
  <r>
    <s v="Bhav311151"/>
    <n v="1151"/>
    <n v="2"/>
    <n v="9"/>
    <n v="2022"/>
    <d v="2022-09-02T00:00:00"/>
    <s v="September"/>
    <d v="2024-12-02T00:00:00"/>
    <x v="0"/>
    <n v="7"/>
    <n v="13384.08"/>
    <s v="Bhavana Ghosh"/>
    <n v="31"/>
    <s v="Adult"/>
    <s v="Good"/>
    <x v="6"/>
    <s v="Credit Card"/>
    <n v="4"/>
    <s v="Mi 11"/>
    <n v="93688.56"/>
    <s v="Good"/>
    <s v="Average"/>
  </r>
  <r>
    <s v="Suni241152"/>
    <n v="1152"/>
    <n v="2"/>
    <n v="9"/>
    <n v="2022"/>
    <d v="2022-09-02T00:00:00"/>
    <s v="September"/>
    <d v="2024-12-03T00:00:00"/>
    <x v="0"/>
    <n v="1"/>
    <n v="62097.82"/>
    <s v="Sunita Singh"/>
    <n v="24"/>
    <s v="Teenagers"/>
    <s v="Good"/>
    <x v="14"/>
    <s v="Credit Card"/>
    <n v="5"/>
    <s v="Redmi 9"/>
    <n v="62097.82"/>
    <s v="Good"/>
    <s v="Average"/>
  </r>
  <r>
    <s v="Deep241153"/>
    <n v="1153"/>
    <n v="3"/>
    <n v="9"/>
    <n v="2022"/>
    <d v="2022-09-03T00:00:00"/>
    <s v="September"/>
    <d v="2024-12-04T00:00:00"/>
    <x v="3"/>
    <n v="6"/>
    <n v="27682.89"/>
    <s v="Deepika Gupta"/>
    <n v="24"/>
    <s v="Teenagers"/>
    <s v="BAD"/>
    <x v="10"/>
    <s v="Cash"/>
    <n v="1"/>
    <s v="Galaxy S21"/>
    <n v="166097.34"/>
    <s v="Average"/>
    <s v="Good"/>
  </r>
  <r>
    <s v="Amit261154"/>
    <n v="1154"/>
    <n v="3"/>
    <n v="9"/>
    <n v="2022"/>
    <d v="2022-09-03T00:00:00"/>
    <s v="September"/>
    <d v="2024-12-05T00:00:00"/>
    <x v="3"/>
    <n v="7"/>
    <n v="10108.719999999999"/>
    <s v="Amit Prasad"/>
    <n v="26"/>
    <s v="Teenagers"/>
    <s v="AVG"/>
    <x v="1"/>
    <s v="Credit Card"/>
    <n v="3"/>
    <s v="Galaxy S21"/>
    <n v="70761.039999999994"/>
    <s v="Average"/>
    <s v="Average"/>
  </r>
  <r>
    <s v="Pras201155"/>
    <n v="1155"/>
    <n v="3"/>
    <n v="9"/>
    <n v="2022"/>
    <d v="2022-09-03T00:00:00"/>
    <s v="September"/>
    <d v="2024-12-06T00:00:00"/>
    <x v="3"/>
    <n v="7"/>
    <n v="23429.09"/>
    <s v="Prashant Gupta"/>
    <n v="20"/>
    <s v="Teenagers"/>
    <s v="Good"/>
    <x v="2"/>
    <s v="UPI"/>
    <n v="5"/>
    <s v="Galaxy S21"/>
    <n v="164003.63"/>
    <s v="Good"/>
    <s v="Good"/>
  </r>
  <r>
    <s v="Anja311156"/>
    <n v="1156"/>
    <n v="3"/>
    <n v="9"/>
    <n v="2022"/>
    <d v="2022-09-03T00:00:00"/>
    <s v="September"/>
    <d v="2024-12-07T00:00:00"/>
    <x v="3"/>
    <n v="9"/>
    <n v="30426.46"/>
    <s v="Anjali Thakur"/>
    <n v="31"/>
    <s v="Adult"/>
    <s v="AVG"/>
    <x v="5"/>
    <s v="UPI"/>
    <n v="3"/>
    <s v="Galaxy S21"/>
    <n v="273838.14"/>
    <s v="Average"/>
    <s v="Excellent"/>
  </r>
  <r>
    <s v="Mano341157"/>
    <n v="1157"/>
    <n v="4"/>
    <n v="9"/>
    <n v="2022"/>
    <d v="2022-09-04T00:00:00"/>
    <s v="September"/>
    <d v="2024-12-08T00:00:00"/>
    <x v="4"/>
    <n v="5"/>
    <n v="69459.17"/>
    <s v="Manoj Iyer"/>
    <n v="34"/>
    <s v="Adult"/>
    <s v="Good"/>
    <x v="4"/>
    <s v="UPI"/>
    <n v="5"/>
    <s v="iPhone 11"/>
    <n v="347295.85"/>
    <s v="Good"/>
    <s v="Excellent"/>
  </r>
  <r>
    <s v="Pras391158"/>
    <n v="1158"/>
    <n v="4"/>
    <n v="9"/>
    <n v="2022"/>
    <d v="2022-09-04T00:00:00"/>
    <s v="September"/>
    <d v="2024-12-09T00:00:00"/>
    <x v="3"/>
    <n v="1"/>
    <n v="41412.5"/>
    <s v="Prashant Nair"/>
    <n v="39"/>
    <s v="Adult"/>
    <s v="Good"/>
    <x v="1"/>
    <s v="Cash"/>
    <n v="4"/>
    <s v="Galaxy S21"/>
    <n v="41412.5"/>
    <s v="Good"/>
    <s v="Low"/>
  </r>
  <r>
    <s v="Pras431159"/>
    <n v="1159"/>
    <n v="4"/>
    <n v="9"/>
    <n v="2022"/>
    <d v="2022-09-04T00:00:00"/>
    <s v="September"/>
    <d v="2024-12-10T00:00:00"/>
    <x v="4"/>
    <n v="2"/>
    <n v="22282.84"/>
    <s v="Prashant Nair"/>
    <n v="43"/>
    <s v="Adult"/>
    <s v="AVG"/>
    <x v="14"/>
    <s v="Debit Card"/>
    <n v="3"/>
    <s v="iPhone 12"/>
    <n v="44565.68"/>
    <s v="Average"/>
    <s v="Low"/>
  </r>
  <r>
    <s v="Kavi451160"/>
    <n v="1160"/>
    <n v="5"/>
    <n v="9"/>
    <n v="2022"/>
    <d v="2022-09-05T00:00:00"/>
    <s v="September"/>
    <d v="2024-12-11T00:00:00"/>
    <x v="4"/>
    <n v="4"/>
    <n v="30089.1"/>
    <s v="Kavita Iyer"/>
    <n v="45"/>
    <s v="Adult"/>
    <s v="Good"/>
    <x v="0"/>
    <s v="Debit Card"/>
    <n v="5"/>
    <s v="iPhone 12"/>
    <n v="120356.4"/>
    <s v="Good"/>
    <s v="Good"/>
  </r>
  <r>
    <s v="Nami311161"/>
    <n v="1161"/>
    <n v="5"/>
    <n v="9"/>
    <n v="2022"/>
    <d v="2022-09-05T00:00:00"/>
    <s v="September"/>
    <d v="2024-12-12T00:00:00"/>
    <x v="3"/>
    <n v="5"/>
    <n v="29818.46"/>
    <s v="Namita Pathak"/>
    <n v="31"/>
    <s v="Adult"/>
    <s v="Good"/>
    <x v="2"/>
    <s v="Cash"/>
    <n v="4"/>
    <s v="Galaxy S21"/>
    <n v="149092.29999999999"/>
    <s v="Good"/>
    <s v="Good"/>
  </r>
  <r>
    <s v="Nikh261162"/>
    <n v="1162"/>
    <n v="5"/>
    <n v="9"/>
    <n v="2022"/>
    <d v="2022-09-05T00:00:00"/>
    <s v="September"/>
    <d v="2024-12-13T00:00:00"/>
    <x v="1"/>
    <n v="9"/>
    <n v="11183.54"/>
    <s v="Nikhil Chaudhary"/>
    <n v="26"/>
    <s v="Teenagers"/>
    <s v="BAD"/>
    <x v="1"/>
    <s v="UPI"/>
    <n v="1"/>
    <s v="Vivo Y51"/>
    <n v="100651.86000000002"/>
    <s v="Average"/>
    <s v="Good"/>
  </r>
  <r>
    <s v="Raje431163"/>
    <n v="1163"/>
    <n v="6"/>
    <n v="9"/>
    <n v="2022"/>
    <d v="2022-09-06T00:00:00"/>
    <s v="September"/>
    <d v="2024-12-14T00:00:00"/>
    <x v="2"/>
    <n v="1"/>
    <n v="18110.98"/>
    <s v="Rajesh Kulkarni"/>
    <n v="43"/>
    <s v="Adult"/>
    <s v="Good"/>
    <x v="1"/>
    <s v="UPI"/>
    <n v="5"/>
    <s v="OnePlus 8T"/>
    <n v="18110.98"/>
    <s v="Good"/>
    <s v="Low"/>
  </r>
  <r>
    <s v="Nami191164"/>
    <n v="1164"/>
    <n v="6"/>
    <n v="9"/>
    <n v="2022"/>
    <d v="2022-09-06T00:00:00"/>
    <s v="September"/>
    <d v="2024-12-15T00:00:00"/>
    <x v="0"/>
    <n v="3"/>
    <n v="51711.79"/>
    <s v="Namita Patel"/>
    <n v="19"/>
    <s v="Teenagers"/>
    <s v="Good"/>
    <x v="2"/>
    <s v="Cash"/>
    <n v="4"/>
    <s v="Redmi 9"/>
    <n v="155135.37"/>
    <s v="Good"/>
    <s v="Good"/>
  </r>
  <r>
    <s v="Kris281165"/>
    <n v="1165"/>
    <n v="6"/>
    <n v="9"/>
    <n v="2022"/>
    <d v="2022-09-06T00:00:00"/>
    <s v="September"/>
    <d v="2024-12-16T00:00:00"/>
    <x v="4"/>
    <n v="5"/>
    <n v="17215.060000000001"/>
    <s v="Krishna Joshi"/>
    <n v="28"/>
    <s v="Teenagers"/>
    <s v="Good"/>
    <x v="4"/>
    <s v="Cash"/>
    <n v="4"/>
    <s v="iPhone 11"/>
    <n v="86075.3"/>
    <s v="Good"/>
    <s v="Average"/>
  </r>
  <r>
    <s v="Isha341166"/>
    <n v="1166"/>
    <n v="6"/>
    <n v="9"/>
    <n v="2022"/>
    <d v="2022-09-06T00:00:00"/>
    <s v="September"/>
    <d v="2024-12-17T00:00:00"/>
    <x v="2"/>
    <n v="3"/>
    <n v="23844.06"/>
    <s v="Isha Singh"/>
    <n v="34"/>
    <s v="Adult"/>
    <s v="BAD"/>
    <x v="2"/>
    <s v="Credit Card"/>
    <n v="1"/>
    <s v="OnePlus 8T"/>
    <n v="71532.180000000008"/>
    <s v="Average"/>
    <s v="Average"/>
  </r>
  <r>
    <s v="Roha511167"/>
    <n v="1167"/>
    <n v="7"/>
    <n v="9"/>
    <n v="2022"/>
    <d v="2022-09-07T00:00:00"/>
    <s v="September"/>
    <d v="2024-12-18T00:00:00"/>
    <x v="1"/>
    <n v="4"/>
    <n v="31044.240000000002"/>
    <s v="Rohan Sheth"/>
    <n v="51"/>
    <s v="Senior Citezen"/>
    <s v="AVG"/>
    <x v="7"/>
    <s v="Cash"/>
    <n v="3"/>
    <s v="Vivo Y51"/>
    <n v="124176.96000000001"/>
    <s v="Average"/>
    <s v="Good"/>
  </r>
  <r>
    <s v="Radh361168"/>
    <n v="1168"/>
    <n v="7"/>
    <n v="9"/>
    <n v="2022"/>
    <d v="2022-09-07T00:00:00"/>
    <s v="September"/>
    <d v="2024-12-19T00:00:00"/>
    <x v="0"/>
    <n v="3"/>
    <n v="55464.1"/>
    <s v="Radha Kaur"/>
    <n v="36"/>
    <s v="Adult"/>
    <s v="Good"/>
    <x v="17"/>
    <s v="Debit Card"/>
    <n v="5"/>
    <s v="Redmi 9"/>
    <n v="166392.29999999999"/>
    <s v="Good"/>
    <s v="Good"/>
  </r>
  <r>
    <s v="Meen561169"/>
    <n v="1169"/>
    <n v="7"/>
    <n v="9"/>
    <n v="2022"/>
    <d v="2022-09-07T00:00:00"/>
    <s v="September"/>
    <d v="2024-12-20T00:00:00"/>
    <x v="0"/>
    <n v="4"/>
    <n v="44944.06"/>
    <s v="Meena Prasad"/>
    <n v="56"/>
    <s v="Senior Citezen"/>
    <s v="AVG"/>
    <x v="2"/>
    <s v="Cash"/>
    <n v="3"/>
    <s v="Redmi Note 10"/>
    <n v="179776.24"/>
    <s v="Average"/>
    <s v="Good"/>
  </r>
  <r>
    <s v="Pooj351170"/>
    <n v="1170"/>
    <n v="8"/>
    <n v="9"/>
    <n v="2022"/>
    <d v="2022-09-08T00:00:00"/>
    <s v="September"/>
    <d v="2024-12-21T00:00:00"/>
    <x v="4"/>
    <n v="1"/>
    <n v="51340"/>
    <s v="Pooja Joshi"/>
    <n v="35"/>
    <s v="Adult"/>
    <s v="Good"/>
    <x v="2"/>
    <s v="UPI"/>
    <n v="4"/>
    <s v="iPhone SE"/>
    <n v="51340"/>
    <s v="Good"/>
    <s v="Average"/>
  </r>
  <r>
    <s v="Pank301171"/>
    <n v="1171"/>
    <n v="8"/>
    <n v="9"/>
    <n v="2022"/>
    <d v="2022-09-08T00:00:00"/>
    <s v="September"/>
    <d v="2024-12-22T00:00:00"/>
    <x v="3"/>
    <n v="8"/>
    <n v="44020.74"/>
    <s v="Pankaj Singh"/>
    <n v="30"/>
    <s v="Teenagers"/>
    <s v="Good"/>
    <x v="3"/>
    <s v="UPI"/>
    <n v="5"/>
    <s v="Galaxy S21"/>
    <n v="352165.92"/>
    <s v="Good"/>
    <s v="Excellent"/>
  </r>
  <r>
    <s v="Anan221172"/>
    <n v="1172"/>
    <n v="8"/>
    <n v="9"/>
    <n v="2022"/>
    <d v="2022-09-08T00:00:00"/>
    <s v="September"/>
    <d v="2024-12-23T00:00:00"/>
    <x v="1"/>
    <n v="4"/>
    <n v="51015.55"/>
    <s v="Anand Pillai"/>
    <n v="22"/>
    <s v="Teenagers"/>
    <s v="Good"/>
    <x v="13"/>
    <s v="UPI"/>
    <n v="5"/>
    <s v="Vivo Y51"/>
    <n v="204062.2"/>
    <s v="Good"/>
    <s v="Excellent"/>
  </r>
  <r>
    <s v="Vija401173"/>
    <n v="1173"/>
    <n v="8"/>
    <n v="9"/>
    <n v="2022"/>
    <d v="2022-09-08T00:00:00"/>
    <s v="September"/>
    <d v="2024-12-24T00:00:00"/>
    <x v="4"/>
    <n v="7"/>
    <n v="10170.530000000001"/>
    <s v="Vijay Siddiqui"/>
    <n v="40"/>
    <s v="Adult"/>
    <s v="Good"/>
    <x v="1"/>
    <s v="Debit Card"/>
    <n v="5"/>
    <s v="iPhone 12"/>
    <n v="71193.710000000006"/>
    <s v="Good"/>
    <s v="Average"/>
  </r>
  <r>
    <s v="Raje411174"/>
    <n v="1174"/>
    <n v="9"/>
    <n v="9"/>
    <n v="2022"/>
    <d v="2022-09-09T00:00:00"/>
    <s v="September"/>
    <d v="2024-12-25T00:00:00"/>
    <x v="1"/>
    <n v="2"/>
    <n v="65853.89"/>
    <s v="Rajesh Ahuja"/>
    <n v="41"/>
    <s v="Adult"/>
    <s v="Good"/>
    <x v="3"/>
    <s v="Debit Card"/>
    <n v="5"/>
    <s v="Vivo S1"/>
    <n v="131707.78"/>
    <s v="Good"/>
    <s v="Good"/>
  </r>
  <r>
    <s v="Anja461175"/>
    <n v="1175"/>
    <n v="9"/>
    <n v="9"/>
    <n v="2022"/>
    <d v="2022-09-09T00:00:00"/>
    <s v="September"/>
    <d v="2024-12-26T00:00:00"/>
    <x v="3"/>
    <n v="2"/>
    <n v="16655.21"/>
    <s v="Anjali Thakur"/>
    <n v="46"/>
    <s v="Senior Citezen"/>
    <s v="Good"/>
    <x v="13"/>
    <s v="Credit Card"/>
    <n v="4"/>
    <s v="Galaxy S21"/>
    <n v="33310.42"/>
    <s v="Good"/>
    <s v="Low"/>
  </r>
  <r>
    <s v="Suni251176"/>
    <n v="1176"/>
    <n v="9"/>
    <n v="9"/>
    <n v="2022"/>
    <d v="2022-09-09T00:00:00"/>
    <s v="September"/>
    <d v="2024-12-27T00:00:00"/>
    <x v="3"/>
    <n v="6"/>
    <n v="34374.949999999997"/>
    <s v="Sunil Rawat"/>
    <n v="25"/>
    <s v="Teenagers"/>
    <s v="BAD"/>
    <x v="2"/>
    <s v="Cash"/>
    <n v="1"/>
    <s v="Galaxy S21"/>
    <n v="206249.69999999998"/>
    <s v="Average"/>
    <s v="Excellent"/>
  </r>
  <r>
    <s v="Kavi431177"/>
    <n v="1177"/>
    <n v="9"/>
    <n v="9"/>
    <n v="2022"/>
    <d v="2022-09-09T00:00:00"/>
    <s v="September"/>
    <d v="2024-12-28T00:00:00"/>
    <x v="4"/>
    <n v="2"/>
    <n v="56262.3"/>
    <s v="Kavita Rawat"/>
    <n v="43"/>
    <s v="Adult"/>
    <s v="AVG"/>
    <x v="4"/>
    <s v="Credit Card"/>
    <n v="3"/>
    <s v="iPhone 11"/>
    <n v="112524.6"/>
    <s v="Average"/>
    <s v="Good"/>
  </r>
  <r>
    <s v="Kira321178"/>
    <n v="1178"/>
    <n v="10"/>
    <n v="9"/>
    <n v="2022"/>
    <d v="2022-09-10T00:00:00"/>
    <s v="September"/>
    <d v="2024-12-29T00:00:00"/>
    <x v="3"/>
    <n v="6"/>
    <n v="36113.839999999997"/>
    <s v="Kiran Gupta"/>
    <n v="32"/>
    <s v="Adult"/>
    <s v="AVG"/>
    <x v="1"/>
    <s v="Cash"/>
    <n v="3"/>
    <s v="Galaxy S21"/>
    <n v="216683.03999999998"/>
    <s v="Average"/>
    <s v="Excellent"/>
  </r>
  <r>
    <s v="Lata181179"/>
    <n v="1179"/>
    <n v="10"/>
    <n v="9"/>
    <n v="2022"/>
    <d v="2022-09-10T00:00:00"/>
    <s v="September"/>
    <d v="2024-12-30T00:00:00"/>
    <x v="2"/>
    <n v="2"/>
    <n v="66810.55"/>
    <s v="Lata Verma"/>
    <n v="18"/>
    <s v="Teenagers"/>
    <s v="BAD"/>
    <x v="1"/>
    <s v="Cash"/>
    <n v="1"/>
    <s v="OnePlus 9"/>
    <n v="133621.1"/>
    <s v="Average"/>
    <s v="Good"/>
  </r>
  <r>
    <s v="Meen451180"/>
    <n v="1180"/>
    <n v="10"/>
    <n v="9"/>
    <n v="2022"/>
    <d v="2022-09-10T00:00:00"/>
    <s v="September"/>
    <d v="2024-12-31T00:00:00"/>
    <x v="0"/>
    <n v="4"/>
    <n v="38055.339999999997"/>
    <s v="Meena Patel"/>
    <n v="45"/>
    <s v="Adult"/>
    <s v="BAD"/>
    <x v="1"/>
    <s v="Debit Card"/>
    <n v="1"/>
    <s v="Mi 11"/>
    <n v="152221.35999999999"/>
    <s v="Average"/>
    <s v="Good"/>
  </r>
  <r>
    <s v="Roha311181"/>
    <n v="1181"/>
    <n v="11"/>
    <n v="9"/>
    <n v="2022"/>
    <d v="2022-09-11T00:00:00"/>
    <s v="September"/>
    <d v="2025-01-01T00:00:00"/>
    <x v="4"/>
    <n v="7"/>
    <n v="62496.36"/>
    <s v="Rohan Thakur"/>
    <n v="31"/>
    <s v="Adult"/>
    <s v="Good"/>
    <x v="1"/>
    <s v="UPI"/>
    <n v="5"/>
    <s v="iPhone SE"/>
    <n v="437474.52"/>
    <s v="Good"/>
    <s v="Excellent"/>
  </r>
  <r>
    <s v="Mala591182"/>
    <n v="1182"/>
    <n v="11"/>
    <n v="9"/>
    <n v="2022"/>
    <d v="2022-09-11T00:00:00"/>
    <s v="September"/>
    <d v="2025-01-02T00:00:00"/>
    <x v="1"/>
    <n v="8"/>
    <n v="58649.69"/>
    <s v="Mala Ghosh"/>
    <n v="59"/>
    <s v="Senior Citezen"/>
    <s v="BAD"/>
    <x v="14"/>
    <s v="Cash"/>
    <n v="1"/>
    <s v="Vivo Y51"/>
    <n v="469197.52"/>
    <s v="Average"/>
    <s v="Excellent"/>
  </r>
  <r>
    <s v="Lali511183"/>
    <n v="1183"/>
    <n v="11"/>
    <n v="9"/>
    <n v="2022"/>
    <d v="2022-09-11T00:00:00"/>
    <s v="September"/>
    <d v="2025-01-03T00:00:00"/>
    <x v="2"/>
    <n v="3"/>
    <n v="68859.179999999993"/>
    <s v="Lalita Siddiqui"/>
    <n v="51"/>
    <s v="Senior Citezen"/>
    <s v="Good"/>
    <x v="1"/>
    <s v="Debit Card"/>
    <n v="5"/>
    <s v="OnePlus 9"/>
    <n v="206577.53999999998"/>
    <s v="Good"/>
    <s v="Excellent"/>
  </r>
  <r>
    <s v="Sach481184"/>
    <n v="1184"/>
    <n v="12"/>
    <n v="9"/>
    <n v="2022"/>
    <d v="2022-09-12T00:00:00"/>
    <s v="September"/>
    <d v="2025-01-04T00:00:00"/>
    <x v="4"/>
    <n v="9"/>
    <n v="65592.87"/>
    <s v="Sachin Iyer"/>
    <n v="48"/>
    <s v="Senior Citezen"/>
    <s v="Good"/>
    <x v="8"/>
    <s v="Credit Card"/>
    <n v="5"/>
    <s v="iPhone 11"/>
    <n v="590335.82999999996"/>
    <s v="Good"/>
    <s v="Excellent"/>
  </r>
  <r>
    <s v="Suni231185"/>
    <n v="1185"/>
    <n v="12"/>
    <n v="9"/>
    <n v="2022"/>
    <d v="2022-09-12T00:00:00"/>
    <s v="September"/>
    <d v="2025-01-05T00:00:00"/>
    <x v="3"/>
    <n v="2"/>
    <n v="63887.43"/>
    <s v="Sunita Singh"/>
    <n v="23"/>
    <s v="Teenagers"/>
    <s v="Good"/>
    <x v="6"/>
    <s v="UPI"/>
    <n v="4"/>
    <s v="Galaxy Note 20"/>
    <n v="127774.86"/>
    <s v="Good"/>
    <s v="Good"/>
  </r>
  <r>
    <s v="Kira221186"/>
    <n v="1186"/>
    <n v="12"/>
    <n v="9"/>
    <n v="2022"/>
    <d v="2022-09-12T00:00:00"/>
    <s v="September"/>
    <d v="2025-01-06T00:00:00"/>
    <x v="3"/>
    <n v="8"/>
    <n v="53896.26"/>
    <s v="Kiran Ghosh"/>
    <n v="22"/>
    <s v="Teenagers"/>
    <s v="Good"/>
    <x v="1"/>
    <s v="Credit Card"/>
    <n v="5"/>
    <s v="Galaxy S21"/>
    <n v="431170.08"/>
    <s v="Good"/>
    <s v="Excellent"/>
  </r>
  <r>
    <s v="Shru481187"/>
    <n v="1187"/>
    <n v="12"/>
    <n v="9"/>
    <n v="2022"/>
    <d v="2022-09-12T00:00:00"/>
    <s v="September"/>
    <d v="2025-01-07T00:00:00"/>
    <x v="3"/>
    <n v="8"/>
    <n v="32019.89"/>
    <s v="Shruti Shah"/>
    <n v="48"/>
    <s v="Senior Citezen"/>
    <s v="Good"/>
    <x v="1"/>
    <s v="Credit Card"/>
    <n v="5"/>
    <s v="Galaxy A51"/>
    <n v="256159.12"/>
    <s v="Good"/>
    <s v="Excellent"/>
  </r>
  <r>
    <s v="Amit541188"/>
    <n v="1188"/>
    <n v="13"/>
    <n v="9"/>
    <n v="2022"/>
    <d v="2022-09-13T00:00:00"/>
    <s v="September"/>
    <d v="2025-01-08T00:00:00"/>
    <x v="3"/>
    <n v="4"/>
    <n v="16367.53"/>
    <s v="Amit Goyal"/>
    <n v="54"/>
    <s v="Senior Citezen"/>
    <s v="AVG"/>
    <x v="0"/>
    <s v="Debit Card"/>
    <n v="3"/>
    <s v="Galaxy Note 20"/>
    <n v="65470.12"/>
    <s v="Average"/>
    <s v="Average"/>
  </r>
  <r>
    <s v="Pooj321189"/>
    <n v="1189"/>
    <n v="13"/>
    <n v="9"/>
    <n v="2022"/>
    <d v="2022-09-13T00:00:00"/>
    <s v="September"/>
    <d v="2025-01-09T00:00:00"/>
    <x v="1"/>
    <n v="1"/>
    <n v="51318.7"/>
    <s v="Pooja Goyal"/>
    <n v="32"/>
    <s v="Adult"/>
    <s v="BAD"/>
    <x v="1"/>
    <s v="UPI"/>
    <n v="1"/>
    <s v="Vivo S1"/>
    <n v="51318.7"/>
    <s v="Average"/>
    <s v="Average"/>
  </r>
  <r>
    <s v="Suni321190"/>
    <n v="1190"/>
    <n v="13"/>
    <n v="9"/>
    <n v="2022"/>
    <d v="2022-09-13T00:00:00"/>
    <s v="September"/>
    <d v="2025-01-10T00:00:00"/>
    <x v="2"/>
    <n v="1"/>
    <n v="68719.240000000005"/>
    <s v="Sunil Jain"/>
    <n v="32"/>
    <s v="Adult"/>
    <s v="Good"/>
    <x v="13"/>
    <s v="Cash"/>
    <n v="5"/>
    <s v="OnePlus 8T"/>
    <n v="68719.240000000005"/>
    <s v="Good"/>
    <s v="Average"/>
  </r>
  <r>
    <s v="Pank221191"/>
    <n v="1191"/>
    <n v="13"/>
    <n v="9"/>
    <n v="2022"/>
    <d v="2022-09-13T00:00:00"/>
    <s v="September"/>
    <d v="2025-01-11T00:00:00"/>
    <x v="0"/>
    <n v="2"/>
    <n v="53596.27"/>
    <s v="Pankaj Bhattacharya"/>
    <n v="22"/>
    <s v="Teenagers"/>
    <s v="BAD"/>
    <x v="17"/>
    <s v="Credit Card"/>
    <n v="1"/>
    <s v="Redmi Note 10"/>
    <n v="107192.54"/>
    <s v="Average"/>
    <s v="Good"/>
  </r>
  <r>
    <s v="Bhav451192"/>
    <n v="1192"/>
    <n v="14"/>
    <n v="9"/>
    <n v="2022"/>
    <d v="2022-09-14T00:00:00"/>
    <s v="September"/>
    <d v="2025-01-12T00:00:00"/>
    <x v="1"/>
    <n v="9"/>
    <n v="65723.759999999995"/>
    <s v="Bhavana Bhatnagar"/>
    <n v="45"/>
    <s v="Adult"/>
    <s v="AVG"/>
    <x v="1"/>
    <s v="Cash"/>
    <n v="3"/>
    <s v="Vivo V20"/>
    <n v="591513.84"/>
    <s v="Average"/>
    <s v="Excellent"/>
  </r>
  <r>
    <s v="Navi501193"/>
    <n v="1193"/>
    <n v="14"/>
    <n v="9"/>
    <n v="2022"/>
    <d v="2022-09-14T00:00:00"/>
    <s v="September"/>
    <d v="2025-01-13T00:00:00"/>
    <x v="1"/>
    <n v="2"/>
    <n v="58258.28"/>
    <s v="Navin Gupta"/>
    <n v="50"/>
    <s v="Senior Citezen"/>
    <s v="BAD"/>
    <x v="0"/>
    <s v="UPI"/>
    <n v="1"/>
    <s v="Vivo Y51"/>
    <n v="116516.56"/>
    <s v="Average"/>
    <s v="Good"/>
  </r>
  <r>
    <s v="Kris281194"/>
    <n v="1194"/>
    <n v="14"/>
    <n v="9"/>
    <n v="2022"/>
    <d v="2022-09-14T00:00:00"/>
    <s v="September"/>
    <d v="2025-01-14T00:00:00"/>
    <x v="0"/>
    <n v="2"/>
    <n v="19786.88"/>
    <s v="Krishna Mehta"/>
    <n v="28"/>
    <s v="Teenagers"/>
    <s v="Good"/>
    <x v="1"/>
    <s v="Debit Card"/>
    <n v="5"/>
    <s v="Mi 11"/>
    <n v="39573.760000000002"/>
    <s v="Good"/>
    <s v="Low"/>
  </r>
  <r>
    <s v="Suni231195"/>
    <n v="1195"/>
    <n v="15"/>
    <n v="9"/>
    <n v="2022"/>
    <d v="2022-09-15T00:00:00"/>
    <s v="September"/>
    <d v="2025-01-15T00:00:00"/>
    <x v="0"/>
    <n v="6"/>
    <n v="24952.23"/>
    <s v="Sunita Sheth"/>
    <n v="23"/>
    <s v="Teenagers"/>
    <s v="BAD"/>
    <x v="3"/>
    <s v="Debit Card"/>
    <n v="1"/>
    <s v="Mi 11"/>
    <n v="149713.38"/>
    <s v="Average"/>
    <s v="Good"/>
  </r>
  <r>
    <s v="Lali401196"/>
    <n v="1196"/>
    <n v="15"/>
    <n v="9"/>
    <n v="2022"/>
    <d v="2022-09-15T00:00:00"/>
    <s v="September"/>
    <d v="2025-01-16T00:00:00"/>
    <x v="3"/>
    <n v="7"/>
    <n v="30511.94"/>
    <s v="Lalita Nambiar"/>
    <n v="40"/>
    <s v="Adult"/>
    <s v="AVG"/>
    <x v="18"/>
    <s v="Debit Card"/>
    <n v="3"/>
    <s v="Galaxy S21"/>
    <n v="213583.58"/>
    <s v="Average"/>
    <s v="Excellent"/>
  </r>
  <r>
    <s v="Suni571197"/>
    <n v="1197"/>
    <n v="15"/>
    <n v="9"/>
    <n v="2022"/>
    <d v="2022-09-15T00:00:00"/>
    <s v="September"/>
    <d v="2025-01-17T00:00:00"/>
    <x v="1"/>
    <n v="7"/>
    <n v="20095.63"/>
    <s v="Sunil Dutta"/>
    <n v="57"/>
    <s v="Senior Citezen"/>
    <s v="Good"/>
    <x v="1"/>
    <s v="Cash"/>
    <n v="5"/>
    <s v="Vivo Y51"/>
    <n v="140669.41"/>
    <s v="Good"/>
    <s v="Good"/>
  </r>
  <r>
    <s v="Mano191198"/>
    <n v="1198"/>
    <n v="15"/>
    <n v="9"/>
    <n v="2022"/>
    <d v="2022-09-15T00:00:00"/>
    <s v="September"/>
    <d v="2025-01-18T00:00:00"/>
    <x v="4"/>
    <n v="9"/>
    <n v="44899.08"/>
    <s v="Manoj Nambiar"/>
    <n v="19"/>
    <s v="Teenagers"/>
    <s v="BAD"/>
    <x v="16"/>
    <s v="Cash"/>
    <n v="1"/>
    <s v="iPhone 12"/>
    <n v="404091.72000000003"/>
    <s v="Average"/>
    <s v="Excellent"/>
  </r>
  <r>
    <s v="Radh321199"/>
    <n v="1199"/>
    <n v="16"/>
    <n v="9"/>
    <n v="2022"/>
    <d v="2022-09-16T00:00:00"/>
    <s v="September"/>
    <d v="2025-01-19T00:00:00"/>
    <x v="0"/>
    <n v="6"/>
    <n v="68527.03"/>
    <s v="Radha Gupta"/>
    <n v="32"/>
    <s v="Adult"/>
    <s v="AVG"/>
    <x v="7"/>
    <s v="UPI"/>
    <n v="3"/>
    <s v="Mi 11"/>
    <n v="411162.18"/>
    <s v="Average"/>
    <s v="Excellent"/>
  </r>
  <r>
    <s v="Priy401200"/>
    <n v="1200"/>
    <n v="16"/>
    <n v="9"/>
    <n v="2022"/>
    <d v="2022-09-16T00:00:00"/>
    <s v="September"/>
    <d v="2025-01-20T00:00:00"/>
    <x v="0"/>
    <n v="8"/>
    <n v="55687.53"/>
    <s v="Priya Bhattacharya"/>
    <n v="40"/>
    <s v="Adult"/>
    <s v="AVG"/>
    <x v="18"/>
    <s v="Cash"/>
    <n v="3"/>
    <s v="Redmi Note 10"/>
    <n v="445500.24"/>
    <s v="Average"/>
    <s v="Excellent"/>
  </r>
  <r>
    <s v="Reen391201"/>
    <n v="1201"/>
    <n v="16"/>
    <n v="9"/>
    <n v="2022"/>
    <d v="2022-09-16T00:00:00"/>
    <s v="September"/>
    <d v="2025-01-21T00:00:00"/>
    <x v="2"/>
    <n v="6"/>
    <n v="35403.199999999997"/>
    <s v="Reena Arora"/>
    <n v="39"/>
    <s v="Adult"/>
    <s v="Good"/>
    <x v="12"/>
    <s v="Debit Card"/>
    <n v="5"/>
    <s v="OnePlus 8T"/>
    <n v="212419.19999999998"/>
    <s v="Good"/>
    <s v="Excellent"/>
  </r>
  <r>
    <s v="Deep261202"/>
    <n v="1202"/>
    <n v="17"/>
    <n v="9"/>
    <n v="2022"/>
    <d v="2022-09-17T00:00:00"/>
    <s v="September"/>
    <d v="2025-01-22T00:00:00"/>
    <x v="4"/>
    <n v="2"/>
    <n v="10270.27"/>
    <s v="Deepika Iyer"/>
    <n v="26"/>
    <s v="Teenagers"/>
    <s v="Good"/>
    <x v="2"/>
    <s v="Credit Card"/>
    <n v="5"/>
    <s v="iPhone SE"/>
    <n v="20540.54"/>
    <s v="Good"/>
    <s v="Low"/>
  </r>
  <r>
    <s v="Vino571203"/>
    <n v="1203"/>
    <n v="17"/>
    <n v="9"/>
    <n v="2022"/>
    <d v="2022-09-17T00:00:00"/>
    <s v="September"/>
    <d v="2025-01-23T00:00:00"/>
    <x v="4"/>
    <n v="1"/>
    <n v="28796.560000000001"/>
    <s v="Vinod Nair"/>
    <n v="57"/>
    <s v="Senior Citezen"/>
    <s v="Good"/>
    <x v="1"/>
    <s v="Credit Card"/>
    <n v="5"/>
    <s v="iPhone SE"/>
    <n v="28796.560000000001"/>
    <s v="Good"/>
    <s v="Low"/>
  </r>
  <r>
    <s v="Raje471204"/>
    <n v="1204"/>
    <n v="17"/>
    <n v="9"/>
    <n v="2022"/>
    <d v="2022-09-17T00:00:00"/>
    <s v="September"/>
    <d v="2025-01-24T00:00:00"/>
    <x v="0"/>
    <n v="5"/>
    <n v="41605.56"/>
    <s v="Rajesh Ghosh"/>
    <n v="47"/>
    <s v="Senior Citezen"/>
    <s v="BAD"/>
    <x v="2"/>
    <s v="Credit Card"/>
    <n v="1"/>
    <s v="Redmi Note 10"/>
    <n v="208027.8"/>
    <s v="Average"/>
    <s v="Excellent"/>
  </r>
  <r>
    <s v="Arun331205"/>
    <n v="1205"/>
    <n v="17"/>
    <n v="9"/>
    <n v="2022"/>
    <d v="2022-09-17T00:00:00"/>
    <s v="September"/>
    <d v="2025-01-25T00:00:00"/>
    <x v="3"/>
    <n v="9"/>
    <n v="29455.05"/>
    <s v="Arun Gupta"/>
    <n v="33"/>
    <s v="Adult"/>
    <s v="Good"/>
    <x v="13"/>
    <s v="Debit Card"/>
    <n v="5"/>
    <s v="Galaxy Note 20"/>
    <n v="265095.45"/>
    <s v="Good"/>
    <s v="Excellent"/>
  </r>
  <r>
    <s v="Mala471206"/>
    <n v="1206"/>
    <n v="18"/>
    <n v="9"/>
    <n v="2022"/>
    <d v="2022-09-18T00:00:00"/>
    <s v="September"/>
    <d v="2025-01-26T00:00:00"/>
    <x v="2"/>
    <n v="8"/>
    <n v="16662.099999999999"/>
    <s v="Mala Thakur"/>
    <n v="47"/>
    <s v="Senior Citezen"/>
    <s v="Good"/>
    <x v="1"/>
    <s v="Cash"/>
    <n v="5"/>
    <s v="OnePlus Nord"/>
    <n v="133296.79999999999"/>
    <s v="Good"/>
    <s v="Good"/>
  </r>
  <r>
    <s v="Nikh261207"/>
    <n v="1207"/>
    <n v="18"/>
    <n v="9"/>
    <n v="2022"/>
    <d v="2022-09-18T00:00:00"/>
    <s v="September"/>
    <d v="2025-01-27T00:00:00"/>
    <x v="4"/>
    <n v="4"/>
    <n v="36565.9"/>
    <s v="Nikhil Solanki"/>
    <n v="26"/>
    <s v="Teenagers"/>
    <s v="AVG"/>
    <x v="1"/>
    <s v="Credit Card"/>
    <n v="3"/>
    <s v="iPhone 11"/>
    <n v="146263.6"/>
    <s v="Average"/>
    <s v="Good"/>
  </r>
  <r>
    <s v="Priy181208"/>
    <n v="1208"/>
    <n v="18"/>
    <n v="9"/>
    <n v="2022"/>
    <d v="2022-09-18T00:00:00"/>
    <s v="September"/>
    <d v="2025-01-28T00:00:00"/>
    <x v="0"/>
    <n v="5"/>
    <n v="25195.17"/>
    <s v="Priyanka Menon"/>
    <n v="18"/>
    <s v="Teenagers"/>
    <s v="Good"/>
    <x v="14"/>
    <s v="Cash"/>
    <n v="5"/>
    <s v="Mi 11"/>
    <n v="125975.84999999999"/>
    <s v="Good"/>
    <s v="Good"/>
  </r>
  <r>
    <s v="Ayes551209"/>
    <n v="1209"/>
    <n v="19"/>
    <n v="9"/>
    <n v="2022"/>
    <d v="2022-09-19T00:00:00"/>
    <s v="September"/>
    <d v="2025-01-29T00:00:00"/>
    <x v="4"/>
    <n v="5"/>
    <n v="64553.94"/>
    <s v="Ayesha Sheth"/>
    <n v="55"/>
    <s v="Senior Citezen"/>
    <s v="Good"/>
    <x v="17"/>
    <s v="Cash"/>
    <n v="5"/>
    <s v="iPhone 11"/>
    <n v="322769.7"/>
    <s v="Good"/>
    <s v="Excellent"/>
  </r>
  <r>
    <s v="Meen251210"/>
    <n v="1210"/>
    <n v="19"/>
    <n v="9"/>
    <n v="2022"/>
    <d v="2022-09-19T00:00:00"/>
    <s v="September"/>
    <d v="2025-01-30T00:00:00"/>
    <x v="2"/>
    <n v="6"/>
    <n v="16105.27"/>
    <s v="Meena Roy"/>
    <n v="25"/>
    <s v="Teenagers"/>
    <s v="Good"/>
    <x v="2"/>
    <s v="Debit Card"/>
    <n v="4"/>
    <s v="OnePlus Nord"/>
    <n v="96631.62"/>
    <s v="Good"/>
    <s v="Average"/>
  </r>
  <r>
    <s v="Nikh351211"/>
    <n v="1211"/>
    <n v="19"/>
    <n v="9"/>
    <n v="2022"/>
    <d v="2022-09-19T00:00:00"/>
    <s v="September"/>
    <d v="2025-01-31T00:00:00"/>
    <x v="2"/>
    <n v="3"/>
    <n v="12949.16"/>
    <s v="Nikhil Solanki"/>
    <n v="35"/>
    <s v="Adult"/>
    <s v="AVG"/>
    <x v="9"/>
    <s v="Cash"/>
    <n v="3"/>
    <s v="OnePlus 9"/>
    <n v="38847.479999999996"/>
    <s v="Average"/>
    <s v="Low"/>
  </r>
  <r>
    <s v="Ayes441212"/>
    <n v="1212"/>
    <n v="20"/>
    <n v="9"/>
    <n v="2022"/>
    <d v="2022-09-20T00:00:00"/>
    <s v="September"/>
    <d v="2025-02-01T00:00:00"/>
    <x v="1"/>
    <n v="5"/>
    <n v="10318.85"/>
    <s v="Ayesha Sheth"/>
    <n v="44"/>
    <s v="Adult"/>
    <s v="Good"/>
    <x v="1"/>
    <s v="Cash"/>
    <n v="5"/>
    <s v="Vivo S1"/>
    <n v="51594.25"/>
    <s v="Good"/>
    <s v="Average"/>
  </r>
  <r>
    <s v="Ayes351213"/>
    <n v="1213"/>
    <n v="20"/>
    <n v="9"/>
    <n v="2022"/>
    <d v="2022-09-20T00:00:00"/>
    <s v="September"/>
    <d v="2025-02-02T00:00:00"/>
    <x v="0"/>
    <n v="2"/>
    <n v="29684.18"/>
    <s v="Ayesha Siddiqui"/>
    <n v="35"/>
    <s v="Adult"/>
    <s v="AVG"/>
    <x v="16"/>
    <s v="Debit Card"/>
    <n v="3"/>
    <s v="Redmi Note 10"/>
    <n v="59368.36"/>
    <s v="Average"/>
    <s v="Average"/>
  </r>
  <r>
    <s v="Vive491214"/>
    <n v="1214"/>
    <n v="20"/>
    <n v="9"/>
    <n v="2022"/>
    <d v="2022-09-20T00:00:00"/>
    <s v="September"/>
    <d v="2025-02-03T00:00:00"/>
    <x v="2"/>
    <n v="1"/>
    <n v="49623.21"/>
    <s v="Vivek Siddiqui"/>
    <n v="49"/>
    <s v="Senior Citezen"/>
    <s v="BAD"/>
    <x v="12"/>
    <s v="UPI"/>
    <n v="1"/>
    <s v="OnePlus Nord"/>
    <n v="49623.21"/>
    <s v="Average"/>
    <s v="Low"/>
  </r>
  <r>
    <s v="Pras491215"/>
    <n v="1215"/>
    <n v="21"/>
    <n v="9"/>
    <n v="2022"/>
    <d v="2022-09-21T00:00:00"/>
    <s v="September"/>
    <d v="2025-02-04T00:00:00"/>
    <x v="1"/>
    <n v="1"/>
    <n v="53824.83"/>
    <s v="Prashant Verma"/>
    <n v="49"/>
    <s v="Senior Citezen"/>
    <s v="AVG"/>
    <x v="1"/>
    <s v="Credit Card"/>
    <n v="3"/>
    <s v="Vivo Y51"/>
    <n v="53824.83"/>
    <s v="Average"/>
    <s v="Average"/>
  </r>
  <r>
    <s v="Gita531216"/>
    <n v="1216"/>
    <n v="21"/>
    <n v="9"/>
    <n v="2022"/>
    <d v="2022-09-21T00:00:00"/>
    <s v="September"/>
    <d v="2025-02-05T00:00:00"/>
    <x v="1"/>
    <n v="7"/>
    <n v="37195.699999999997"/>
    <s v="Gita Mehta"/>
    <n v="53"/>
    <s v="Senior Citezen"/>
    <s v="Good"/>
    <x v="12"/>
    <s v="Credit Card"/>
    <n v="5"/>
    <s v="Vivo Y51"/>
    <n v="260369.89999999997"/>
    <s v="Good"/>
    <s v="Excellent"/>
  </r>
  <r>
    <s v="Raje531217"/>
    <n v="1217"/>
    <n v="21"/>
    <n v="9"/>
    <n v="2022"/>
    <d v="2022-09-21T00:00:00"/>
    <s v="September"/>
    <d v="2025-02-06T00:00:00"/>
    <x v="4"/>
    <n v="2"/>
    <n v="51059.72"/>
    <s v="Rajesh Chatterjee"/>
    <n v="53"/>
    <s v="Senior Citezen"/>
    <s v="BAD"/>
    <x v="18"/>
    <s v="Cash"/>
    <n v="1"/>
    <s v="iPhone 11"/>
    <n v="102119.44"/>
    <s v="Average"/>
    <s v="Good"/>
  </r>
  <r>
    <s v="Pank381218"/>
    <n v="1218"/>
    <n v="21"/>
    <n v="9"/>
    <n v="2022"/>
    <d v="2022-09-21T00:00:00"/>
    <s v="September"/>
    <d v="2025-02-07T00:00:00"/>
    <x v="4"/>
    <n v="4"/>
    <n v="31594.84"/>
    <s v="Pankaj Pathak"/>
    <n v="38"/>
    <s v="Adult"/>
    <s v="BAD"/>
    <x v="3"/>
    <s v="UPI"/>
    <n v="1"/>
    <s v="iPhone SE"/>
    <n v="126379.36"/>
    <s v="Average"/>
    <s v="Good"/>
  </r>
  <r>
    <s v="Suni491219"/>
    <n v="1219"/>
    <n v="22"/>
    <n v="9"/>
    <n v="2022"/>
    <d v="2022-09-22T00:00:00"/>
    <s v="September"/>
    <d v="2025-02-08T00:00:00"/>
    <x v="1"/>
    <n v="5"/>
    <n v="50068.37"/>
    <s v="Sunil Gupta"/>
    <n v="49"/>
    <s v="Senior Citezen"/>
    <s v="BAD"/>
    <x v="7"/>
    <s v="Debit Card"/>
    <n v="1"/>
    <s v="Vivo S1"/>
    <n v="250341.85"/>
    <s v="Average"/>
    <s v="Excellent"/>
  </r>
  <r>
    <s v="Mano481220"/>
    <n v="1220"/>
    <n v="22"/>
    <n v="9"/>
    <n v="2022"/>
    <d v="2022-09-22T00:00:00"/>
    <s v="September"/>
    <d v="2025-02-09T00:00:00"/>
    <x v="4"/>
    <n v="7"/>
    <n v="12435.76"/>
    <s v="Manoj Kaur"/>
    <n v="48"/>
    <s v="Senior Citezen"/>
    <s v="Good"/>
    <x v="15"/>
    <s v="Cash"/>
    <n v="4"/>
    <s v="iPhone 12"/>
    <n v="87050.32"/>
    <s v="Good"/>
    <s v="Average"/>
  </r>
  <r>
    <s v="Tapa541221"/>
    <n v="1221"/>
    <n v="22"/>
    <n v="9"/>
    <n v="2022"/>
    <d v="2022-09-22T00:00:00"/>
    <s v="September"/>
    <d v="2025-02-10T00:00:00"/>
    <x v="2"/>
    <n v="2"/>
    <n v="33445.18"/>
    <s v="Tapan Mathur"/>
    <n v="54"/>
    <s v="Senior Citezen"/>
    <s v="Good"/>
    <x v="5"/>
    <s v="Debit Card"/>
    <n v="4"/>
    <s v="OnePlus Nord"/>
    <n v="66890.36"/>
    <s v="Good"/>
    <s v="Average"/>
  </r>
  <r>
    <s v="Mano331222"/>
    <n v="1222"/>
    <n v="22"/>
    <n v="9"/>
    <n v="2022"/>
    <d v="2022-09-22T00:00:00"/>
    <s v="September"/>
    <d v="2025-02-11T00:00:00"/>
    <x v="3"/>
    <n v="6"/>
    <n v="57450.98"/>
    <s v="Manoj Sharma"/>
    <n v="33"/>
    <s v="Adult"/>
    <s v="BAD"/>
    <x v="3"/>
    <s v="Credit Card"/>
    <n v="1"/>
    <s v="Galaxy S21"/>
    <n v="344705.88"/>
    <s v="Average"/>
    <s v="Excellent"/>
  </r>
  <r>
    <s v="Pras311223"/>
    <n v="1223"/>
    <n v="23"/>
    <n v="9"/>
    <n v="2022"/>
    <d v="2022-09-23T00:00:00"/>
    <s v="September"/>
    <d v="2025-02-12T00:00:00"/>
    <x v="2"/>
    <n v="1"/>
    <n v="58180.36"/>
    <s v="Prashant Chatterjee"/>
    <n v="31"/>
    <s v="Adult"/>
    <s v="Good"/>
    <x v="15"/>
    <s v="Debit Card"/>
    <n v="5"/>
    <s v="OnePlus Nord"/>
    <n v="58180.36"/>
    <s v="Good"/>
    <s v="Average"/>
  </r>
  <r>
    <s v="Jyot411224"/>
    <n v="1224"/>
    <n v="23"/>
    <n v="9"/>
    <n v="2022"/>
    <d v="2022-09-23T00:00:00"/>
    <s v="September"/>
    <d v="2025-02-13T00:00:00"/>
    <x v="1"/>
    <n v="7"/>
    <n v="52968.93"/>
    <s v="Jyoti Varma"/>
    <n v="41"/>
    <s v="Adult"/>
    <s v="BAD"/>
    <x v="9"/>
    <s v="Credit Card"/>
    <n v="1"/>
    <s v="Vivo Y51"/>
    <n v="370782.51"/>
    <s v="Average"/>
    <s v="Excellent"/>
  </r>
  <r>
    <s v="Lali421225"/>
    <n v="1225"/>
    <n v="23"/>
    <n v="9"/>
    <n v="2022"/>
    <d v="2022-09-23T00:00:00"/>
    <s v="September"/>
    <d v="2025-02-14T00:00:00"/>
    <x v="1"/>
    <n v="9"/>
    <n v="22254.32"/>
    <s v="Lalita Rathod"/>
    <n v="42"/>
    <s v="Adult"/>
    <s v="BAD"/>
    <x v="7"/>
    <s v="Debit Card"/>
    <n v="1"/>
    <s v="Vivo S1"/>
    <n v="200288.88"/>
    <s v="Average"/>
    <s v="Excellent"/>
  </r>
  <r>
    <s v="Vive521226"/>
    <n v="1226"/>
    <n v="24"/>
    <n v="9"/>
    <n v="2022"/>
    <d v="2022-09-24T00:00:00"/>
    <s v="September"/>
    <d v="2025-02-15T00:00:00"/>
    <x v="2"/>
    <n v="5"/>
    <n v="24832.31"/>
    <s v="Vivek Teja"/>
    <n v="52"/>
    <s v="Senior Citezen"/>
    <s v="AVG"/>
    <x v="13"/>
    <s v="Debit Card"/>
    <n v="3"/>
    <s v="OnePlus 8T"/>
    <n v="124161.55"/>
    <s v="Average"/>
    <s v="Good"/>
  </r>
  <r>
    <s v="Sumi341227"/>
    <n v="1227"/>
    <n v="24"/>
    <n v="9"/>
    <n v="2022"/>
    <d v="2022-09-24T00:00:00"/>
    <s v="September"/>
    <d v="2025-02-16T00:00:00"/>
    <x v="4"/>
    <n v="5"/>
    <n v="69765.320000000007"/>
    <s v="Sumit Malhotra"/>
    <n v="34"/>
    <s v="Adult"/>
    <s v="AVG"/>
    <x v="6"/>
    <s v="UPI"/>
    <n v="3"/>
    <s v="iPhone SE"/>
    <n v="348826.60000000003"/>
    <s v="Average"/>
    <s v="Excellent"/>
  </r>
  <r>
    <s v="Anja591228"/>
    <n v="1228"/>
    <n v="24"/>
    <n v="9"/>
    <n v="2022"/>
    <d v="2022-09-24T00:00:00"/>
    <s v="September"/>
    <d v="2025-02-17T00:00:00"/>
    <x v="4"/>
    <n v="4"/>
    <n v="16202.68"/>
    <s v="Anjali Chaudhary"/>
    <n v="59"/>
    <s v="Senior Citezen"/>
    <s v="AVG"/>
    <x v="7"/>
    <s v="Debit Card"/>
    <n v="3"/>
    <s v="iPhone 12"/>
    <n v="64810.720000000001"/>
    <s v="Average"/>
    <s v="Average"/>
  </r>
  <r>
    <s v="Lata211229"/>
    <n v="1229"/>
    <n v="24"/>
    <n v="9"/>
    <n v="2022"/>
    <d v="2022-09-24T00:00:00"/>
    <s v="September"/>
    <d v="2025-02-18T00:00:00"/>
    <x v="1"/>
    <n v="3"/>
    <n v="20839.759999999998"/>
    <s v="Lata Chaudhary"/>
    <n v="21"/>
    <s v="Teenagers"/>
    <s v="Good"/>
    <x v="15"/>
    <s v="Cash"/>
    <n v="5"/>
    <s v="Vivo S1"/>
    <n v="62519.28"/>
    <s v="Good"/>
    <s v="Average"/>
  </r>
  <r>
    <s v="Ayes281230"/>
    <n v="1230"/>
    <n v="25"/>
    <n v="9"/>
    <n v="2022"/>
    <d v="2022-09-25T00:00:00"/>
    <s v="September"/>
    <d v="2025-02-19T00:00:00"/>
    <x v="0"/>
    <n v="9"/>
    <n v="17801.580000000002"/>
    <s v="Ayesha Luthra"/>
    <n v="28"/>
    <s v="Teenagers"/>
    <s v="AVG"/>
    <x v="16"/>
    <s v="UPI"/>
    <n v="3"/>
    <s v="Mi 11"/>
    <n v="160214.22000000003"/>
    <s v="Average"/>
    <s v="Good"/>
  </r>
  <r>
    <s v="Vino321231"/>
    <n v="1231"/>
    <n v="25"/>
    <n v="9"/>
    <n v="2022"/>
    <d v="2022-09-25T00:00:00"/>
    <s v="September"/>
    <d v="2025-02-20T00:00:00"/>
    <x v="4"/>
    <n v="5"/>
    <n v="29659.3"/>
    <s v="Vinod Prasad"/>
    <n v="32"/>
    <s v="Adult"/>
    <s v="AVG"/>
    <x v="1"/>
    <s v="Cash"/>
    <n v="3"/>
    <s v="iPhone SE"/>
    <n v="148296.5"/>
    <s v="Average"/>
    <s v="Good"/>
  </r>
  <r>
    <s v="Umes471232"/>
    <n v="1232"/>
    <n v="25"/>
    <n v="9"/>
    <n v="2022"/>
    <d v="2022-09-25T00:00:00"/>
    <s v="September"/>
    <d v="2025-02-21T00:00:00"/>
    <x v="2"/>
    <n v="8"/>
    <n v="22610.55"/>
    <s v="Umesh Dutta"/>
    <n v="47"/>
    <s v="Senior Citezen"/>
    <s v="Good"/>
    <x v="1"/>
    <s v="Debit Card"/>
    <n v="5"/>
    <s v="OnePlus 9"/>
    <n v="180884.4"/>
    <s v="Good"/>
    <s v="Good"/>
  </r>
  <r>
    <s v="Radh411233"/>
    <n v="1233"/>
    <n v="26"/>
    <n v="9"/>
    <n v="2022"/>
    <d v="2022-09-26T00:00:00"/>
    <s v="September"/>
    <d v="2025-02-22T00:00:00"/>
    <x v="4"/>
    <n v="9"/>
    <n v="39861.279999999999"/>
    <s v="Radha Alva"/>
    <n v="41"/>
    <s v="Adult"/>
    <s v="Good"/>
    <x v="16"/>
    <s v="Debit Card"/>
    <n v="4"/>
    <s v="iPhone 12"/>
    <n v="358751.52"/>
    <s v="Good"/>
    <s v="Excellent"/>
  </r>
  <r>
    <s v="Lata191234"/>
    <n v="1234"/>
    <n v="26"/>
    <n v="9"/>
    <n v="2022"/>
    <d v="2022-09-26T00:00:00"/>
    <s v="September"/>
    <d v="2025-02-23T00:00:00"/>
    <x v="2"/>
    <n v="5"/>
    <n v="38561.24"/>
    <s v="Lata Reddy"/>
    <n v="19"/>
    <s v="Teenagers"/>
    <s v="Good"/>
    <x v="10"/>
    <s v="UPI"/>
    <n v="4"/>
    <s v="OnePlus 9"/>
    <n v="192806.19999999998"/>
    <s v="Good"/>
    <s v="Good"/>
  </r>
  <r>
    <s v="Vive511235"/>
    <n v="1235"/>
    <n v="26"/>
    <n v="9"/>
    <n v="2022"/>
    <d v="2022-09-26T00:00:00"/>
    <s v="September"/>
    <d v="2025-02-24T00:00:00"/>
    <x v="1"/>
    <n v="9"/>
    <n v="64090.34"/>
    <s v="Vivek Mathur"/>
    <n v="51"/>
    <s v="Senior Citezen"/>
    <s v="Good"/>
    <x v="2"/>
    <s v="Credit Card"/>
    <n v="4"/>
    <s v="Vivo V20"/>
    <n v="576813.05999999994"/>
    <s v="Good"/>
    <s v="Excellent"/>
  </r>
  <r>
    <s v="Bhav401236"/>
    <n v="1236"/>
    <n v="27"/>
    <n v="9"/>
    <n v="2022"/>
    <d v="2022-09-27T00:00:00"/>
    <s v="September"/>
    <d v="2025-02-25T00:00:00"/>
    <x v="4"/>
    <n v="2"/>
    <n v="12084.4"/>
    <s v="Bhavana Prasad"/>
    <n v="40"/>
    <s v="Adult"/>
    <s v="Good"/>
    <x v="1"/>
    <s v="UPI"/>
    <n v="5"/>
    <s v="iPhone SE"/>
    <n v="24168.799999999999"/>
    <s v="Good"/>
    <s v="Low"/>
  </r>
  <r>
    <s v="Umes481237"/>
    <n v="1237"/>
    <n v="27"/>
    <n v="9"/>
    <n v="2022"/>
    <d v="2022-09-27T00:00:00"/>
    <s v="September"/>
    <d v="2025-02-26T00:00:00"/>
    <x v="2"/>
    <n v="9"/>
    <n v="29192.77"/>
    <s v="Umesh Varma"/>
    <n v="48"/>
    <s v="Senior Citezen"/>
    <s v="BAD"/>
    <x v="7"/>
    <s v="Credit Card"/>
    <n v="1"/>
    <s v="OnePlus 9"/>
    <n v="262734.93"/>
    <s v="Average"/>
    <s v="Excellent"/>
  </r>
  <r>
    <s v="Kris541238"/>
    <n v="1238"/>
    <n v="27"/>
    <n v="9"/>
    <n v="2022"/>
    <d v="2022-09-27T00:00:00"/>
    <s v="September"/>
    <d v="2025-02-27T00:00:00"/>
    <x v="1"/>
    <n v="4"/>
    <n v="45799.47"/>
    <s v="Krishna Rathod"/>
    <n v="54"/>
    <s v="Senior Citezen"/>
    <s v="AVG"/>
    <x v="1"/>
    <s v="Credit Card"/>
    <n v="3"/>
    <s v="Vivo S1"/>
    <n v="183197.88"/>
    <s v="Average"/>
    <s v="Good"/>
  </r>
  <r>
    <s v="Ravi301239"/>
    <n v="1239"/>
    <n v="27"/>
    <n v="9"/>
    <n v="2022"/>
    <d v="2022-09-27T00:00:00"/>
    <s v="September"/>
    <d v="2025-02-28T00:00:00"/>
    <x v="0"/>
    <n v="6"/>
    <n v="46288.11"/>
    <s v="Ravi Varma"/>
    <n v="30"/>
    <s v="Teenagers"/>
    <s v="Good"/>
    <x v="12"/>
    <s v="Debit Card"/>
    <n v="5"/>
    <s v="Redmi 9"/>
    <n v="277728.66000000003"/>
    <s v="Good"/>
    <s v="Excellent"/>
  </r>
  <r>
    <s v="Pras501240"/>
    <n v="1240"/>
    <n v="28"/>
    <n v="9"/>
    <n v="2022"/>
    <d v="2022-09-28T00:00:00"/>
    <s v="September"/>
    <d v="2025-03-01T00:00:00"/>
    <x v="2"/>
    <n v="6"/>
    <n v="38807.57"/>
    <s v="Prashant Das"/>
    <n v="50"/>
    <s v="Senior Citezen"/>
    <s v="Good"/>
    <x v="1"/>
    <s v="Cash"/>
    <n v="5"/>
    <s v="OnePlus Nord"/>
    <n v="232845.41999999998"/>
    <s v="Good"/>
    <s v="Excellent"/>
  </r>
  <r>
    <s v="Yoge241241"/>
    <n v="1241"/>
    <n v="28"/>
    <n v="9"/>
    <n v="2022"/>
    <d v="2022-09-28T00:00:00"/>
    <s v="September"/>
    <d v="2025-03-02T00:00:00"/>
    <x v="0"/>
    <n v="6"/>
    <n v="58939.93"/>
    <s v="Yogesh Rao"/>
    <n v="24"/>
    <s v="Teenagers"/>
    <s v="Good"/>
    <x v="1"/>
    <s v="UPI"/>
    <n v="4"/>
    <s v="Redmi Note 10"/>
    <n v="353639.58"/>
    <s v="Good"/>
    <s v="Excellent"/>
  </r>
  <r>
    <s v="Mala491242"/>
    <n v="1242"/>
    <n v="28"/>
    <n v="9"/>
    <n v="2022"/>
    <d v="2022-09-28T00:00:00"/>
    <s v="September"/>
    <d v="2025-03-03T00:00:00"/>
    <x v="0"/>
    <n v="2"/>
    <n v="13763.33"/>
    <s v="Mala Thakur"/>
    <n v="49"/>
    <s v="Senior Citezen"/>
    <s v="Good"/>
    <x v="6"/>
    <s v="UPI"/>
    <n v="5"/>
    <s v="Redmi Note 10"/>
    <n v="27526.66"/>
    <s v="Good"/>
    <s v="Low"/>
  </r>
  <r>
    <s v="Tapa241243"/>
    <n v="1243"/>
    <n v="28"/>
    <n v="9"/>
    <n v="2022"/>
    <d v="2022-09-28T00:00:00"/>
    <s v="September"/>
    <d v="2025-03-04T00:00:00"/>
    <x v="3"/>
    <n v="7"/>
    <n v="58929.27"/>
    <s v="Tapan Chatterjee"/>
    <n v="24"/>
    <s v="Teenagers"/>
    <s v="Good"/>
    <x v="1"/>
    <s v="Debit Card"/>
    <n v="5"/>
    <s v="Galaxy A51"/>
    <n v="412504.88999999996"/>
    <s v="Good"/>
    <s v="Excellent"/>
  </r>
  <r>
    <s v="Sach591244"/>
    <n v="1244"/>
    <n v="29"/>
    <n v="9"/>
    <n v="2022"/>
    <d v="2022-09-29T00:00:00"/>
    <s v="September"/>
    <d v="2025-03-05T00:00:00"/>
    <x v="4"/>
    <n v="6"/>
    <n v="39685.25"/>
    <s v="Sachin Rao"/>
    <n v="59"/>
    <s v="Senior Citezen"/>
    <s v="Good"/>
    <x v="7"/>
    <s v="Debit Card"/>
    <n v="5"/>
    <s v="iPhone SE"/>
    <n v="238111.5"/>
    <s v="Good"/>
    <s v="Excellent"/>
  </r>
  <r>
    <s v="Suni551245"/>
    <n v="1245"/>
    <n v="29"/>
    <n v="9"/>
    <n v="2022"/>
    <d v="2022-09-29T00:00:00"/>
    <s v="September"/>
    <d v="2025-03-06T00:00:00"/>
    <x v="2"/>
    <n v="1"/>
    <n v="18025.64"/>
    <s v="Sunita Mehta"/>
    <n v="55"/>
    <s v="Senior Citezen"/>
    <s v="Good"/>
    <x v="1"/>
    <s v="UPI"/>
    <n v="4"/>
    <s v="OnePlus Nord"/>
    <n v="18025.64"/>
    <s v="Good"/>
    <s v="Low"/>
  </r>
  <r>
    <s v="Arun301246"/>
    <n v="1246"/>
    <n v="29"/>
    <n v="9"/>
    <n v="2022"/>
    <d v="2022-09-29T00:00:00"/>
    <s v="September"/>
    <d v="2025-03-07T00:00:00"/>
    <x v="0"/>
    <n v="2"/>
    <n v="63142.11"/>
    <s v="Arun Kumar"/>
    <n v="30"/>
    <s v="Teenagers"/>
    <s v="BAD"/>
    <x v="10"/>
    <s v="UPI"/>
    <n v="1"/>
    <s v="Mi 11"/>
    <n v="126284.22"/>
    <s v="Average"/>
    <s v="Good"/>
  </r>
  <r>
    <s v="Adit411247"/>
    <n v="1247"/>
    <n v="30"/>
    <n v="9"/>
    <n v="2022"/>
    <d v="2022-09-30T00:00:00"/>
    <s v="September"/>
    <d v="2025-03-08T00:00:00"/>
    <x v="3"/>
    <n v="7"/>
    <n v="48953.73"/>
    <s v="Aditya Iyer"/>
    <n v="41"/>
    <s v="Adult"/>
    <s v="Good"/>
    <x v="13"/>
    <s v="Cash"/>
    <n v="4"/>
    <s v="Galaxy Note 20"/>
    <n v="342676.11000000004"/>
    <s v="Good"/>
    <s v="Excellent"/>
  </r>
  <r>
    <s v="Anit451248"/>
    <n v="1248"/>
    <n v="30"/>
    <n v="9"/>
    <n v="2022"/>
    <d v="2022-09-30T00:00:00"/>
    <s v="September"/>
    <d v="2025-03-09T00:00:00"/>
    <x v="1"/>
    <n v="1"/>
    <n v="19812.740000000002"/>
    <s v="Anita Arora"/>
    <n v="45"/>
    <s v="Adult"/>
    <s v="Good"/>
    <x v="0"/>
    <s v="Debit Card"/>
    <n v="4"/>
    <s v="Vivo V20"/>
    <n v="19812.740000000002"/>
    <s v="Good"/>
    <s v="Low"/>
  </r>
  <r>
    <s v="Pank491249"/>
    <n v="1249"/>
    <n v="30"/>
    <n v="9"/>
    <n v="2022"/>
    <d v="2022-09-30T00:00:00"/>
    <s v="September"/>
    <d v="2025-03-10T00:00:00"/>
    <x v="2"/>
    <n v="1"/>
    <n v="12018.98"/>
    <s v="Pankaj Teja"/>
    <n v="49"/>
    <s v="Senior Citezen"/>
    <s v="Good"/>
    <x v="2"/>
    <s v="Cash"/>
    <n v="4"/>
    <s v="OnePlus 8T"/>
    <n v="12018.98"/>
    <s v="Good"/>
    <s v="Low"/>
  </r>
  <r>
    <s v="Kavi351250"/>
    <n v="1250"/>
    <n v="30"/>
    <n v="9"/>
    <n v="2022"/>
    <d v="2022-09-30T00:00:00"/>
    <s v="September"/>
    <d v="2025-03-11T00:00:00"/>
    <x v="0"/>
    <n v="1"/>
    <n v="18466.580000000002"/>
    <s v="Kavita Ahuja"/>
    <n v="35"/>
    <s v="Adult"/>
    <s v="Good"/>
    <x v="1"/>
    <s v="Debit Card"/>
    <n v="5"/>
    <s v="Redmi 9"/>
    <n v="18466.580000000002"/>
    <s v="Good"/>
    <s v="Low"/>
  </r>
  <r>
    <s v="Sneh511251"/>
    <n v="1251"/>
    <n v="1"/>
    <n v="10"/>
    <n v="2022"/>
    <d v="2022-10-01T00:00:00"/>
    <s v="October"/>
    <d v="2025-03-12T00:00:00"/>
    <x v="4"/>
    <n v="8"/>
    <n v="46527.88"/>
    <s v="Sneha Arora"/>
    <n v="51"/>
    <s v="Senior Citezen"/>
    <s v="Good"/>
    <x v="7"/>
    <s v="Debit Card"/>
    <n v="5"/>
    <s v="iPhone SE"/>
    <n v="372223.04"/>
    <s v="Good"/>
    <s v="Excellent"/>
  </r>
  <r>
    <s v="Yoge511252"/>
    <n v="1252"/>
    <n v="1"/>
    <n v="10"/>
    <n v="2022"/>
    <d v="2022-10-01T00:00:00"/>
    <s v="October"/>
    <d v="2025-03-13T00:00:00"/>
    <x v="3"/>
    <n v="4"/>
    <n v="20757.77"/>
    <s v="Yogesh Patel"/>
    <n v="51"/>
    <s v="Senior Citezen"/>
    <s v="Good"/>
    <x v="1"/>
    <s v="Cash"/>
    <n v="4"/>
    <s v="Galaxy S21"/>
    <n v="83031.08"/>
    <s v="Good"/>
    <s v="Average"/>
  </r>
  <r>
    <s v="Radh551253"/>
    <n v="1253"/>
    <n v="1"/>
    <n v="10"/>
    <n v="2022"/>
    <d v="2022-10-01T00:00:00"/>
    <s v="October"/>
    <d v="2025-03-14T00:00:00"/>
    <x v="0"/>
    <n v="4"/>
    <n v="23545.78"/>
    <s v="Radha Ghosh"/>
    <n v="55"/>
    <s v="Senior Citezen"/>
    <s v="Good"/>
    <x v="1"/>
    <s v="Credit Card"/>
    <n v="5"/>
    <s v="Redmi Note 10"/>
    <n v="94183.12"/>
    <s v="Good"/>
    <s v="Average"/>
  </r>
  <r>
    <s v="Lali181254"/>
    <n v="1254"/>
    <n v="1"/>
    <n v="10"/>
    <n v="2022"/>
    <d v="2022-10-01T00:00:00"/>
    <s v="October"/>
    <d v="2025-03-15T00:00:00"/>
    <x v="4"/>
    <n v="2"/>
    <n v="11508.38"/>
    <s v="Lalita Bhatnagar"/>
    <n v="18"/>
    <s v="Teenagers"/>
    <s v="Good"/>
    <x v="7"/>
    <s v="Credit Card"/>
    <n v="5"/>
    <s v="iPhone 11"/>
    <n v="23016.76"/>
    <s v="Good"/>
    <s v="Low"/>
  </r>
  <r>
    <s v="Pank591255"/>
    <n v="1255"/>
    <n v="2"/>
    <n v="10"/>
    <n v="2022"/>
    <d v="2022-10-02T00:00:00"/>
    <s v="October"/>
    <d v="2025-03-16T00:00:00"/>
    <x v="0"/>
    <n v="1"/>
    <n v="53375.839999999997"/>
    <s v="Pankaj Teja"/>
    <n v="59"/>
    <s v="Senior Citezen"/>
    <s v="BAD"/>
    <x v="7"/>
    <s v="Credit Card"/>
    <n v="1"/>
    <s v="Redmi 9"/>
    <n v="53375.839999999997"/>
    <s v="Average"/>
    <s v="Average"/>
  </r>
  <r>
    <s v="Umes481256"/>
    <n v="1256"/>
    <n v="2"/>
    <n v="10"/>
    <n v="2022"/>
    <d v="2022-10-02T00:00:00"/>
    <s v="October"/>
    <d v="2025-03-17T00:00:00"/>
    <x v="2"/>
    <n v="9"/>
    <n v="58621.86"/>
    <s v="Umesh Rawat"/>
    <n v="48"/>
    <s v="Senior Citezen"/>
    <s v="Good"/>
    <x v="1"/>
    <s v="Debit Card"/>
    <n v="4"/>
    <s v="OnePlus 9"/>
    <n v="527596.74"/>
    <s v="Good"/>
    <s v="Excellent"/>
  </r>
  <r>
    <s v="Pras181257"/>
    <n v="1257"/>
    <n v="2"/>
    <n v="10"/>
    <n v="2022"/>
    <d v="2022-10-02T00:00:00"/>
    <s v="October"/>
    <d v="2025-03-18T00:00:00"/>
    <x v="2"/>
    <n v="7"/>
    <n v="57810.89"/>
    <s v="Prashant Arora"/>
    <n v="18"/>
    <s v="Teenagers"/>
    <s v="AVG"/>
    <x v="18"/>
    <s v="Cash"/>
    <n v="3"/>
    <s v="OnePlus 9"/>
    <n v="404676.23"/>
    <s v="Average"/>
    <s v="Excellent"/>
  </r>
  <r>
    <s v="Pras331258"/>
    <n v="1258"/>
    <n v="3"/>
    <n v="10"/>
    <n v="2022"/>
    <d v="2022-10-03T00:00:00"/>
    <s v="October"/>
    <d v="2025-03-19T00:00:00"/>
    <x v="2"/>
    <n v="4"/>
    <n v="17654.09"/>
    <s v="Prashant Rathod"/>
    <n v="33"/>
    <s v="Adult"/>
    <s v="Good"/>
    <x v="15"/>
    <s v="Credit Card"/>
    <n v="5"/>
    <s v="OnePlus 8T"/>
    <n v="70616.36"/>
    <s v="Good"/>
    <s v="Average"/>
  </r>
  <r>
    <s v="Sumi561259"/>
    <n v="1259"/>
    <n v="3"/>
    <n v="10"/>
    <n v="2022"/>
    <d v="2022-10-03T00:00:00"/>
    <s v="October"/>
    <d v="2025-03-20T00:00:00"/>
    <x v="3"/>
    <n v="6"/>
    <n v="64198.07"/>
    <s v="Sumit Sharma"/>
    <n v="56"/>
    <s v="Senior Citezen"/>
    <s v="BAD"/>
    <x v="15"/>
    <s v="UPI"/>
    <n v="1"/>
    <s v="Galaxy S21"/>
    <n v="385188.42"/>
    <s v="Average"/>
    <s v="Excellent"/>
  </r>
  <r>
    <s v="Tanu321260"/>
    <n v="1260"/>
    <n v="3"/>
    <n v="10"/>
    <n v="2022"/>
    <d v="2022-10-03T00:00:00"/>
    <s v="October"/>
    <d v="2025-03-21T00:00:00"/>
    <x v="2"/>
    <n v="2"/>
    <n v="50336.73"/>
    <s v="Tanuja Dutta"/>
    <n v="32"/>
    <s v="Adult"/>
    <s v="BAD"/>
    <x v="3"/>
    <s v="Credit Card"/>
    <n v="1"/>
    <s v="OnePlus 8T"/>
    <n v="100673.46"/>
    <s v="Average"/>
    <s v="Good"/>
  </r>
  <r>
    <s v="Sanj501261"/>
    <n v="1261"/>
    <n v="4"/>
    <n v="10"/>
    <n v="2022"/>
    <d v="2022-10-04T00:00:00"/>
    <s v="October"/>
    <d v="2025-03-22T00:00:00"/>
    <x v="4"/>
    <n v="7"/>
    <n v="63851.72"/>
    <s v="Sanjay Ghosh"/>
    <n v="50"/>
    <s v="Senior Citezen"/>
    <s v="BAD"/>
    <x v="1"/>
    <s v="Cash"/>
    <n v="1"/>
    <s v="iPhone SE"/>
    <n v="446962.04000000004"/>
    <s v="Average"/>
    <s v="Excellent"/>
  </r>
  <r>
    <s v="Meen401262"/>
    <n v="1262"/>
    <n v="4"/>
    <n v="10"/>
    <n v="2022"/>
    <d v="2022-10-04T00:00:00"/>
    <s v="October"/>
    <d v="2025-03-23T00:00:00"/>
    <x v="0"/>
    <n v="2"/>
    <n v="36829.629999999997"/>
    <s v="Meena Yadav"/>
    <n v="40"/>
    <s v="Adult"/>
    <s v="Good"/>
    <x v="2"/>
    <s v="Debit Card"/>
    <n v="5"/>
    <s v="Mi 11"/>
    <n v="73659.259999999995"/>
    <s v="Good"/>
    <s v="Average"/>
  </r>
  <r>
    <s v="Radh581263"/>
    <n v="1263"/>
    <n v="4"/>
    <n v="10"/>
    <n v="2022"/>
    <d v="2022-10-04T00:00:00"/>
    <s v="October"/>
    <d v="2025-03-24T00:00:00"/>
    <x v="1"/>
    <n v="8"/>
    <n v="36217.29"/>
    <s v="Radha Nair"/>
    <n v="58"/>
    <s v="Senior Citezen"/>
    <s v="Good"/>
    <x v="0"/>
    <s v="Cash"/>
    <n v="5"/>
    <s v="Vivo V20"/>
    <n v="289738.32"/>
    <s v="Good"/>
    <s v="Excellent"/>
  </r>
  <r>
    <s v="Radh511264"/>
    <n v="1264"/>
    <n v="4"/>
    <n v="10"/>
    <n v="2022"/>
    <d v="2022-10-04T00:00:00"/>
    <s v="October"/>
    <d v="2025-03-25T00:00:00"/>
    <x v="4"/>
    <n v="8"/>
    <n v="57072.19"/>
    <s v="Radha Mathur"/>
    <n v="51"/>
    <s v="Senior Citezen"/>
    <s v="AVG"/>
    <x v="14"/>
    <s v="Debit Card"/>
    <n v="3"/>
    <s v="iPhone 11"/>
    <n v="456577.52"/>
    <s v="Average"/>
    <s v="Excellent"/>
  </r>
  <r>
    <s v="Lali341265"/>
    <n v="1265"/>
    <n v="5"/>
    <n v="10"/>
    <n v="2022"/>
    <d v="2022-10-05T00:00:00"/>
    <s v="October"/>
    <d v="2025-03-26T00:00:00"/>
    <x v="4"/>
    <n v="1"/>
    <n v="15597.87"/>
    <s v="Lalita Bhatnagar"/>
    <n v="34"/>
    <s v="Adult"/>
    <s v="Good"/>
    <x v="12"/>
    <s v="Cash"/>
    <n v="5"/>
    <s v="iPhone 11"/>
    <n v="15597.87"/>
    <s v="Good"/>
    <s v="Low"/>
  </r>
  <r>
    <s v="Anit421266"/>
    <n v="1266"/>
    <n v="5"/>
    <n v="10"/>
    <n v="2022"/>
    <d v="2022-10-05T00:00:00"/>
    <s v="October"/>
    <d v="2025-03-27T00:00:00"/>
    <x v="2"/>
    <n v="8"/>
    <n v="41252.44"/>
    <s v="Anita Dutta"/>
    <n v="42"/>
    <s v="Adult"/>
    <s v="Good"/>
    <x v="7"/>
    <s v="Cash"/>
    <n v="4"/>
    <s v="OnePlus Nord"/>
    <n v="330019.52"/>
    <s v="Good"/>
    <s v="Excellent"/>
  </r>
  <r>
    <s v="Pank591267"/>
    <n v="1267"/>
    <n v="5"/>
    <n v="10"/>
    <n v="2022"/>
    <d v="2022-10-05T00:00:00"/>
    <s v="October"/>
    <d v="2025-03-28T00:00:00"/>
    <x v="3"/>
    <n v="2"/>
    <n v="60183.05"/>
    <s v="Pankaj Prasad"/>
    <n v="59"/>
    <s v="Senior Citezen"/>
    <s v="AVG"/>
    <x v="2"/>
    <s v="UPI"/>
    <n v="3"/>
    <s v="Galaxy Note 20"/>
    <n v="120366.1"/>
    <s v="Average"/>
    <s v="Good"/>
  </r>
  <r>
    <s v="Anit231268"/>
    <n v="1268"/>
    <n v="6"/>
    <n v="10"/>
    <n v="2022"/>
    <d v="2022-10-06T00:00:00"/>
    <s v="October"/>
    <d v="2025-03-29T00:00:00"/>
    <x v="0"/>
    <n v="6"/>
    <n v="59811.55"/>
    <s v="Anita Mishra"/>
    <n v="23"/>
    <s v="Teenagers"/>
    <s v="Good"/>
    <x v="6"/>
    <s v="Credit Card"/>
    <n v="5"/>
    <s v="Redmi Note 10"/>
    <n v="358869.30000000005"/>
    <s v="Good"/>
    <s v="Excellent"/>
  </r>
  <r>
    <s v="Suni481269"/>
    <n v="1269"/>
    <n v="6"/>
    <n v="10"/>
    <n v="2022"/>
    <d v="2022-10-06T00:00:00"/>
    <s v="October"/>
    <d v="2025-03-30T00:00:00"/>
    <x v="3"/>
    <n v="1"/>
    <n v="67367.97"/>
    <s v="Sunil Rao"/>
    <n v="48"/>
    <s v="Senior Citezen"/>
    <s v="Good"/>
    <x v="9"/>
    <s v="Credit Card"/>
    <n v="4"/>
    <s v="Galaxy S21"/>
    <n v="67367.97"/>
    <s v="Good"/>
    <s v="Average"/>
  </r>
  <r>
    <s v="Vive221270"/>
    <n v="1270"/>
    <n v="6"/>
    <n v="10"/>
    <n v="2022"/>
    <d v="2022-10-06T00:00:00"/>
    <s v="October"/>
    <d v="2025-03-31T00:00:00"/>
    <x v="0"/>
    <n v="5"/>
    <n v="51896.36"/>
    <s v="Vivek Rawat"/>
    <n v="22"/>
    <s v="Teenagers"/>
    <s v="AVG"/>
    <x v="13"/>
    <s v="Cash"/>
    <n v="3"/>
    <s v="Redmi 9"/>
    <n v="259481.8"/>
    <s v="Average"/>
    <s v="Excellent"/>
  </r>
  <r>
    <s v="Isha571271"/>
    <n v="1271"/>
    <n v="7"/>
    <n v="10"/>
    <n v="2022"/>
    <d v="2022-10-07T00:00:00"/>
    <s v="October"/>
    <d v="2025-04-01T00:00:00"/>
    <x v="0"/>
    <n v="7"/>
    <n v="22466.240000000002"/>
    <s v="Isha Ahuja"/>
    <n v="57"/>
    <s v="Senior Citezen"/>
    <s v="Good"/>
    <x v="7"/>
    <s v="Credit Card"/>
    <n v="5"/>
    <s v="Redmi 9"/>
    <n v="157263.68000000002"/>
    <s v="Good"/>
    <s v="Good"/>
  </r>
  <r>
    <s v="Priy571272"/>
    <n v="1272"/>
    <n v="7"/>
    <n v="10"/>
    <n v="2022"/>
    <d v="2022-10-07T00:00:00"/>
    <s v="October"/>
    <d v="2025-04-02T00:00:00"/>
    <x v="3"/>
    <n v="1"/>
    <n v="11216.82"/>
    <s v="Priya Reddy"/>
    <n v="57"/>
    <s v="Senior Citezen"/>
    <s v="Good"/>
    <x v="2"/>
    <s v="UPI"/>
    <n v="4"/>
    <s v="Galaxy A51"/>
    <n v="11216.82"/>
    <s v="Good"/>
    <s v="Low"/>
  </r>
  <r>
    <s v="Sumi471273"/>
    <n v="1273"/>
    <n v="7"/>
    <n v="10"/>
    <n v="2022"/>
    <d v="2022-10-07T00:00:00"/>
    <s v="October"/>
    <d v="2025-04-03T00:00:00"/>
    <x v="4"/>
    <n v="2"/>
    <n v="38764.949999999997"/>
    <s v="Sumit Nambiar"/>
    <n v="47"/>
    <s v="Senior Citezen"/>
    <s v="Good"/>
    <x v="1"/>
    <s v="Cash"/>
    <n v="5"/>
    <s v="iPhone 12"/>
    <n v="77529.899999999994"/>
    <s v="Good"/>
    <s v="Average"/>
  </r>
  <r>
    <s v="Mano221274"/>
    <n v="1274"/>
    <n v="7"/>
    <n v="10"/>
    <n v="2022"/>
    <d v="2022-10-07T00:00:00"/>
    <s v="October"/>
    <d v="2025-04-04T00:00:00"/>
    <x v="0"/>
    <n v="7"/>
    <n v="40822.230000000003"/>
    <s v="Manoj Kulkarni"/>
    <n v="22"/>
    <s v="Teenagers"/>
    <s v="AVG"/>
    <x v="2"/>
    <s v="Credit Card"/>
    <n v="3"/>
    <s v="Mi 11"/>
    <n v="285755.61000000004"/>
    <s v="Average"/>
    <s v="Excellent"/>
  </r>
  <r>
    <s v="Yoge291275"/>
    <n v="1275"/>
    <n v="8"/>
    <n v="10"/>
    <n v="2022"/>
    <d v="2022-10-08T00:00:00"/>
    <s v="October"/>
    <d v="2025-04-05T00:00:00"/>
    <x v="3"/>
    <n v="6"/>
    <n v="24415.759999999998"/>
    <s v="Yogesh Roy"/>
    <n v="29"/>
    <s v="Teenagers"/>
    <s v="Good"/>
    <x v="13"/>
    <s v="Credit Card"/>
    <n v="4"/>
    <s v="Galaxy S21"/>
    <n v="146494.56"/>
    <s v="Good"/>
    <s v="Good"/>
  </r>
  <r>
    <s v="Hari241276"/>
    <n v="1276"/>
    <n v="8"/>
    <n v="10"/>
    <n v="2022"/>
    <d v="2022-10-08T00:00:00"/>
    <s v="October"/>
    <d v="2025-04-06T00:00:00"/>
    <x v="0"/>
    <n v="3"/>
    <n v="17481.849999999999"/>
    <s v="Harish Sharma"/>
    <n v="24"/>
    <s v="Teenagers"/>
    <s v="Good"/>
    <x v="10"/>
    <s v="Debit Card"/>
    <n v="4"/>
    <s v="Redmi Note 10"/>
    <n v="52445.549999999996"/>
    <s v="Good"/>
    <s v="Average"/>
  </r>
  <r>
    <s v="Sumi301277"/>
    <n v="1277"/>
    <n v="8"/>
    <n v="10"/>
    <n v="2022"/>
    <d v="2022-10-08T00:00:00"/>
    <s v="October"/>
    <d v="2025-04-07T00:00:00"/>
    <x v="1"/>
    <n v="2"/>
    <n v="45172.49"/>
    <s v="Sumit Dutta"/>
    <n v="30"/>
    <s v="Teenagers"/>
    <s v="Good"/>
    <x v="2"/>
    <s v="Credit Card"/>
    <n v="5"/>
    <s v="Vivo S1"/>
    <n v="90344.98"/>
    <s v="Good"/>
    <s v="Average"/>
  </r>
  <r>
    <s v="Pooj211278"/>
    <n v="1278"/>
    <n v="9"/>
    <n v="10"/>
    <n v="2022"/>
    <d v="2022-10-09T00:00:00"/>
    <s v="October"/>
    <d v="2025-04-08T00:00:00"/>
    <x v="4"/>
    <n v="4"/>
    <n v="55855.34"/>
    <s v="Pooja Sharma"/>
    <n v="21"/>
    <s v="Teenagers"/>
    <s v="Good"/>
    <x v="1"/>
    <s v="Credit Card"/>
    <n v="4"/>
    <s v="iPhone SE"/>
    <n v="223421.36"/>
    <s v="Good"/>
    <s v="Excellent"/>
  </r>
  <r>
    <s v="Isha591279"/>
    <n v="1279"/>
    <n v="9"/>
    <n v="10"/>
    <n v="2022"/>
    <d v="2022-10-09T00:00:00"/>
    <s v="October"/>
    <d v="2025-04-09T00:00:00"/>
    <x v="2"/>
    <n v="3"/>
    <n v="69589.25"/>
    <s v="Isha Nair"/>
    <n v="59"/>
    <s v="Senior Citezen"/>
    <s v="AVG"/>
    <x v="1"/>
    <s v="Debit Card"/>
    <n v="3"/>
    <s v="OnePlus 8T"/>
    <n v="208767.75"/>
    <s v="Average"/>
    <s v="Excellent"/>
  </r>
  <r>
    <s v="Ayes201280"/>
    <n v="1280"/>
    <n v="9"/>
    <n v="10"/>
    <n v="2022"/>
    <d v="2022-10-09T00:00:00"/>
    <s v="October"/>
    <d v="2025-04-10T00:00:00"/>
    <x v="0"/>
    <n v="7"/>
    <n v="55498.16"/>
    <s v="Ayesha Bhattacharya"/>
    <n v="20"/>
    <s v="Teenagers"/>
    <s v="BAD"/>
    <x v="15"/>
    <s v="Cash"/>
    <n v="1"/>
    <s v="Mi 11"/>
    <n v="388487.12"/>
    <s v="Average"/>
    <s v="Excellent"/>
  </r>
  <r>
    <s v="Umes291281"/>
    <n v="1281"/>
    <n v="10"/>
    <n v="10"/>
    <n v="2022"/>
    <d v="2022-10-10T00:00:00"/>
    <s v="October"/>
    <d v="2025-04-11T00:00:00"/>
    <x v="1"/>
    <n v="8"/>
    <n v="57617.94"/>
    <s v="Umesh Bhattacharya"/>
    <n v="29"/>
    <s v="Teenagers"/>
    <s v="AVG"/>
    <x v="14"/>
    <s v="Cash"/>
    <n v="3"/>
    <s v="Vivo Y51"/>
    <n v="460943.52"/>
    <s v="Average"/>
    <s v="Excellent"/>
  </r>
  <r>
    <s v="Lata181282"/>
    <n v="1282"/>
    <n v="10"/>
    <n v="10"/>
    <n v="2022"/>
    <d v="2022-10-10T00:00:00"/>
    <s v="October"/>
    <d v="2025-04-12T00:00:00"/>
    <x v="2"/>
    <n v="2"/>
    <n v="46987.65"/>
    <s v="Lata Mathur"/>
    <n v="18"/>
    <s v="Teenagers"/>
    <s v="AVG"/>
    <x v="1"/>
    <s v="UPI"/>
    <n v="3"/>
    <s v="OnePlus 8T"/>
    <n v="93975.3"/>
    <s v="Average"/>
    <s v="Average"/>
  </r>
  <r>
    <s v="Anit441283"/>
    <n v="1283"/>
    <n v="10"/>
    <n v="10"/>
    <n v="2022"/>
    <d v="2022-10-10T00:00:00"/>
    <s v="October"/>
    <d v="2025-04-13T00:00:00"/>
    <x v="2"/>
    <n v="7"/>
    <n v="69155.360000000001"/>
    <s v="Anita Mehta"/>
    <n v="44"/>
    <s v="Adult"/>
    <s v="Good"/>
    <x v="1"/>
    <s v="Debit Card"/>
    <n v="5"/>
    <s v="OnePlus 9"/>
    <n v="484087.52"/>
    <s v="Good"/>
    <s v="Excellent"/>
  </r>
  <r>
    <s v="Sanj301284"/>
    <n v="1284"/>
    <n v="10"/>
    <n v="10"/>
    <n v="2022"/>
    <d v="2022-10-10T00:00:00"/>
    <s v="October"/>
    <d v="2025-04-14T00:00:00"/>
    <x v="0"/>
    <n v="8"/>
    <n v="48397.38"/>
    <s v="Sanjay Joshi"/>
    <n v="30"/>
    <s v="Teenagers"/>
    <s v="Good"/>
    <x v="18"/>
    <s v="Cash"/>
    <n v="5"/>
    <s v="Mi 11"/>
    <n v="387179.04"/>
    <s v="Good"/>
    <s v="Excellent"/>
  </r>
  <r>
    <s v="Isha341285"/>
    <n v="1285"/>
    <n v="11"/>
    <n v="10"/>
    <n v="2022"/>
    <d v="2022-10-11T00:00:00"/>
    <s v="October"/>
    <d v="2025-04-15T00:00:00"/>
    <x v="3"/>
    <n v="6"/>
    <n v="61615.199999999997"/>
    <s v="Isha Kaur"/>
    <n v="34"/>
    <s v="Adult"/>
    <s v="Good"/>
    <x v="5"/>
    <s v="Credit Card"/>
    <n v="4"/>
    <s v="Galaxy S21"/>
    <n v="369691.19999999995"/>
    <s v="Good"/>
    <s v="Excellent"/>
  </r>
  <r>
    <s v="Meen251286"/>
    <n v="1286"/>
    <n v="11"/>
    <n v="10"/>
    <n v="2022"/>
    <d v="2022-10-11T00:00:00"/>
    <s v="October"/>
    <d v="2025-04-16T00:00:00"/>
    <x v="0"/>
    <n v="6"/>
    <n v="66747.08"/>
    <s v="Meena Dutta"/>
    <n v="25"/>
    <s v="Teenagers"/>
    <s v="Good"/>
    <x v="5"/>
    <s v="Credit Card"/>
    <n v="5"/>
    <s v="Redmi Note 10"/>
    <n v="400482.48"/>
    <s v="Good"/>
    <s v="Excellent"/>
  </r>
  <r>
    <s v="Neet491287"/>
    <n v="1287"/>
    <n v="11"/>
    <n v="10"/>
    <n v="2022"/>
    <d v="2022-10-11T00:00:00"/>
    <s v="October"/>
    <d v="2025-04-17T00:00:00"/>
    <x v="1"/>
    <n v="1"/>
    <n v="65791.509999999995"/>
    <s v="Neeta Menon"/>
    <n v="49"/>
    <s v="Senior Citezen"/>
    <s v="Good"/>
    <x v="1"/>
    <s v="Credit Card"/>
    <n v="4"/>
    <s v="Vivo Y51"/>
    <n v="65791.509999999995"/>
    <s v="Good"/>
    <s v="Average"/>
  </r>
  <r>
    <s v="Bina371288"/>
    <n v="1288"/>
    <n v="11"/>
    <n v="10"/>
    <n v="2022"/>
    <d v="2022-10-11T00:00:00"/>
    <s v="October"/>
    <d v="2025-04-18T00:00:00"/>
    <x v="2"/>
    <n v="4"/>
    <n v="32884.92"/>
    <s v="Bina Mathur"/>
    <n v="37"/>
    <s v="Adult"/>
    <s v="BAD"/>
    <x v="2"/>
    <s v="UPI"/>
    <n v="1"/>
    <s v="OnePlus 8T"/>
    <n v="131539.68"/>
    <s v="Average"/>
    <s v="Good"/>
  </r>
  <r>
    <s v="Neet341289"/>
    <n v="1289"/>
    <n v="12"/>
    <n v="10"/>
    <n v="2022"/>
    <d v="2022-10-12T00:00:00"/>
    <s v="October"/>
    <d v="2025-04-19T00:00:00"/>
    <x v="0"/>
    <n v="1"/>
    <n v="14719.72"/>
    <s v="Neeta Mishra"/>
    <n v="34"/>
    <s v="Adult"/>
    <s v="Good"/>
    <x v="4"/>
    <s v="Cash"/>
    <n v="5"/>
    <s v="Redmi Note 10"/>
    <n v="14719.72"/>
    <s v="Good"/>
    <s v="Low"/>
  </r>
  <r>
    <s v="Suni511290"/>
    <n v="1290"/>
    <n v="12"/>
    <n v="10"/>
    <n v="2022"/>
    <d v="2022-10-12T00:00:00"/>
    <s v="October"/>
    <d v="2025-04-20T00:00:00"/>
    <x v="3"/>
    <n v="4"/>
    <n v="20312.419999999998"/>
    <s v="Sunil Chaudhary"/>
    <n v="51"/>
    <s v="Senior Citezen"/>
    <s v="Good"/>
    <x v="1"/>
    <s v="Debit Card"/>
    <n v="5"/>
    <s v="Galaxy A51"/>
    <n v="81249.679999999993"/>
    <s v="Good"/>
    <s v="Average"/>
  </r>
  <r>
    <s v="Sneh521291"/>
    <n v="1291"/>
    <n v="12"/>
    <n v="10"/>
    <n v="2022"/>
    <d v="2022-10-12T00:00:00"/>
    <s v="October"/>
    <d v="2025-04-21T00:00:00"/>
    <x v="0"/>
    <n v="2"/>
    <n v="13553.4"/>
    <s v="Sneha Prasad"/>
    <n v="52"/>
    <s v="Senior Citezen"/>
    <s v="Good"/>
    <x v="2"/>
    <s v="Cash"/>
    <n v="5"/>
    <s v="Mi 11"/>
    <n v="27106.799999999999"/>
    <s v="Good"/>
    <s v="Low"/>
  </r>
  <r>
    <s v="Isha521292"/>
    <n v="1292"/>
    <n v="13"/>
    <n v="10"/>
    <n v="2022"/>
    <d v="2022-10-13T00:00:00"/>
    <s v="October"/>
    <d v="2025-04-22T00:00:00"/>
    <x v="4"/>
    <n v="5"/>
    <n v="16323.82"/>
    <s v="Isha Arora"/>
    <n v="52"/>
    <s v="Senior Citezen"/>
    <s v="BAD"/>
    <x v="10"/>
    <s v="Debit Card"/>
    <n v="1"/>
    <s v="iPhone SE"/>
    <n v="81619.100000000006"/>
    <s v="Average"/>
    <s v="Average"/>
  </r>
  <r>
    <s v="Priy551293"/>
    <n v="1293"/>
    <n v="13"/>
    <n v="10"/>
    <n v="2022"/>
    <d v="2022-10-13T00:00:00"/>
    <s v="October"/>
    <d v="2025-04-23T00:00:00"/>
    <x v="3"/>
    <n v="9"/>
    <n v="21079.07"/>
    <s v="Priyanka Pathak"/>
    <n v="55"/>
    <s v="Senior Citezen"/>
    <s v="Good"/>
    <x v="2"/>
    <s v="Debit Card"/>
    <n v="5"/>
    <s v="Galaxy S21"/>
    <n v="189711.63"/>
    <s v="Good"/>
    <s v="Good"/>
  </r>
  <r>
    <s v="Deep591294"/>
    <n v="1294"/>
    <n v="13"/>
    <n v="10"/>
    <n v="2022"/>
    <d v="2022-10-13T00:00:00"/>
    <s v="October"/>
    <d v="2025-04-24T00:00:00"/>
    <x v="1"/>
    <n v="3"/>
    <n v="30465.66"/>
    <s v="Deepika Verma"/>
    <n v="59"/>
    <s v="Senior Citezen"/>
    <s v="BAD"/>
    <x v="2"/>
    <s v="Cash"/>
    <n v="1"/>
    <s v="Vivo S1"/>
    <n v="91396.98"/>
    <s v="Average"/>
    <s v="Average"/>
  </r>
  <r>
    <s v="Bhav411295"/>
    <n v="1295"/>
    <n v="14"/>
    <n v="10"/>
    <n v="2022"/>
    <d v="2022-10-14T00:00:00"/>
    <s v="October"/>
    <d v="2025-04-25T00:00:00"/>
    <x v="2"/>
    <n v="8"/>
    <n v="42612.38"/>
    <s v="Bhavana Luthra"/>
    <n v="41"/>
    <s v="Adult"/>
    <s v="Good"/>
    <x v="17"/>
    <s v="Credit Card"/>
    <n v="4"/>
    <s v="OnePlus 9"/>
    <n v="340899.04"/>
    <s v="Good"/>
    <s v="Excellent"/>
  </r>
  <r>
    <s v="Suni351296"/>
    <n v="1296"/>
    <n v="14"/>
    <n v="10"/>
    <n v="2022"/>
    <d v="2022-10-14T00:00:00"/>
    <s v="October"/>
    <d v="2025-04-26T00:00:00"/>
    <x v="0"/>
    <n v="3"/>
    <n v="52700.92"/>
    <s v="Sunita Luthra"/>
    <n v="35"/>
    <s v="Adult"/>
    <s v="Good"/>
    <x v="2"/>
    <s v="Credit Card"/>
    <n v="5"/>
    <s v="Redmi 9"/>
    <n v="158102.76"/>
    <s v="Good"/>
    <s v="Good"/>
  </r>
  <r>
    <s v="Adit561297"/>
    <n v="1297"/>
    <n v="14"/>
    <n v="10"/>
    <n v="2022"/>
    <d v="2022-10-14T00:00:00"/>
    <s v="October"/>
    <d v="2025-04-27T00:00:00"/>
    <x v="3"/>
    <n v="6"/>
    <n v="22655.64"/>
    <s v="Aditya Joshi"/>
    <n v="56"/>
    <s v="Senior Citezen"/>
    <s v="Good"/>
    <x v="1"/>
    <s v="Debit Card"/>
    <n v="5"/>
    <s v="Galaxy A51"/>
    <n v="135933.84"/>
    <s v="Good"/>
    <s v="Good"/>
  </r>
  <r>
    <s v="Kira501298"/>
    <n v="1298"/>
    <n v="14"/>
    <n v="10"/>
    <n v="2022"/>
    <d v="2022-10-14T00:00:00"/>
    <s v="October"/>
    <d v="2025-04-28T00:00:00"/>
    <x v="4"/>
    <n v="4"/>
    <n v="50351.34"/>
    <s v="Kiran Nair"/>
    <n v="50"/>
    <s v="Senior Citezen"/>
    <s v="Good"/>
    <x v="0"/>
    <s v="Credit Card"/>
    <n v="4"/>
    <s v="iPhone SE"/>
    <n v="201405.36"/>
    <s v="Good"/>
    <s v="Excellent"/>
  </r>
  <r>
    <s v="Meen401299"/>
    <n v="1299"/>
    <n v="15"/>
    <n v="10"/>
    <n v="2022"/>
    <d v="2022-10-15T00:00:00"/>
    <s v="October"/>
    <d v="2025-04-29T00:00:00"/>
    <x v="3"/>
    <n v="8"/>
    <n v="52255.54"/>
    <s v="Meena Das"/>
    <n v="40"/>
    <s v="Adult"/>
    <s v="Good"/>
    <x v="14"/>
    <s v="UPI"/>
    <n v="5"/>
    <s v="Galaxy S21"/>
    <n v="418044.32"/>
    <s v="Good"/>
    <s v="Excellent"/>
  </r>
  <r>
    <s v="Pank421300"/>
    <n v="1300"/>
    <n v="15"/>
    <n v="10"/>
    <n v="2022"/>
    <d v="2022-10-15T00:00:00"/>
    <s v="October"/>
    <d v="2025-04-30T00:00:00"/>
    <x v="4"/>
    <n v="6"/>
    <n v="43517.34"/>
    <s v="Pankaj Nambiar"/>
    <n v="42"/>
    <s v="Adult"/>
    <s v="AVG"/>
    <x v="5"/>
    <s v="UPI"/>
    <n v="3"/>
    <s v="iPhone 12"/>
    <n v="261104.03999999998"/>
    <s v="Average"/>
    <s v="Excellent"/>
  </r>
  <r>
    <s v="Sumi541301"/>
    <n v="1301"/>
    <n v="15"/>
    <n v="10"/>
    <n v="2022"/>
    <d v="2022-10-15T00:00:00"/>
    <s v="October"/>
    <d v="2025-05-01T00:00:00"/>
    <x v="1"/>
    <n v="8"/>
    <n v="64217.07"/>
    <s v="Sumit Siddiqui"/>
    <n v="54"/>
    <s v="Senior Citezen"/>
    <s v="BAD"/>
    <x v="1"/>
    <s v="Debit Card"/>
    <n v="1"/>
    <s v="Vivo V20"/>
    <n v="513736.56"/>
    <s v="Average"/>
    <s v="Excellent"/>
  </r>
  <r>
    <s v="Ayes441302"/>
    <n v="1302"/>
    <n v="15"/>
    <n v="10"/>
    <n v="2022"/>
    <d v="2022-10-15T00:00:00"/>
    <s v="October"/>
    <d v="2025-05-02T00:00:00"/>
    <x v="2"/>
    <n v="1"/>
    <n v="16659.689999999999"/>
    <s v="Ayesha Solanki"/>
    <n v="44"/>
    <s v="Adult"/>
    <s v="Good"/>
    <x v="16"/>
    <s v="Credit Card"/>
    <n v="5"/>
    <s v="OnePlus 8T"/>
    <n v="16659.689999999999"/>
    <s v="Good"/>
    <s v="Low"/>
  </r>
  <r>
    <s v="Sneh181303"/>
    <n v="1303"/>
    <n v="16"/>
    <n v="10"/>
    <n v="2022"/>
    <d v="2022-10-16T00:00:00"/>
    <s v="October"/>
    <d v="2025-05-03T00:00:00"/>
    <x v="1"/>
    <n v="6"/>
    <n v="20627.29"/>
    <s v="Sneha Malhotra"/>
    <n v="18"/>
    <s v="Teenagers"/>
    <s v="AVG"/>
    <x v="7"/>
    <s v="Debit Card"/>
    <n v="3"/>
    <s v="Vivo V20"/>
    <n v="123763.74"/>
    <s v="Average"/>
    <s v="Good"/>
  </r>
  <r>
    <s v="Lali381304"/>
    <n v="1304"/>
    <n v="16"/>
    <n v="10"/>
    <n v="2022"/>
    <d v="2022-10-16T00:00:00"/>
    <s v="October"/>
    <d v="2025-05-04T00:00:00"/>
    <x v="0"/>
    <n v="1"/>
    <n v="35719.89"/>
    <s v="Lalita Rao"/>
    <n v="38"/>
    <s v="Adult"/>
    <s v="Good"/>
    <x v="12"/>
    <s v="UPI"/>
    <n v="5"/>
    <s v="Mi 11"/>
    <n v="35719.89"/>
    <s v="Good"/>
    <s v="Low"/>
  </r>
  <r>
    <s v="Kira271305"/>
    <n v="1305"/>
    <n v="16"/>
    <n v="10"/>
    <n v="2022"/>
    <d v="2022-10-16T00:00:00"/>
    <s v="October"/>
    <d v="2025-05-05T00:00:00"/>
    <x v="3"/>
    <n v="1"/>
    <n v="17602.759999999998"/>
    <s v="Kiran Siddiqui"/>
    <n v="27"/>
    <s v="Teenagers"/>
    <s v="AVG"/>
    <x v="2"/>
    <s v="UPI"/>
    <n v="3"/>
    <s v="Galaxy S21"/>
    <n v="17602.759999999998"/>
    <s v="Average"/>
    <s v="Low"/>
  </r>
  <r>
    <s v="Neet481306"/>
    <n v="1306"/>
    <n v="16"/>
    <n v="10"/>
    <n v="2022"/>
    <d v="2022-10-16T00:00:00"/>
    <s v="October"/>
    <d v="2025-05-06T00:00:00"/>
    <x v="4"/>
    <n v="8"/>
    <n v="43977.77"/>
    <s v="Neeta Singh"/>
    <n v="48"/>
    <s v="Senior Citezen"/>
    <s v="AVG"/>
    <x v="11"/>
    <s v="UPI"/>
    <n v="3"/>
    <s v="iPhone 11"/>
    <n v="351822.16"/>
    <s v="Average"/>
    <s v="Excellent"/>
  </r>
  <r>
    <s v="Vive421307"/>
    <n v="1307"/>
    <n v="17"/>
    <n v="10"/>
    <n v="2022"/>
    <d v="2022-10-17T00:00:00"/>
    <s v="October"/>
    <d v="2025-05-07T00:00:00"/>
    <x v="4"/>
    <n v="7"/>
    <n v="33904.03"/>
    <s v="Vivek Siddiqui"/>
    <n v="42"/>
    <s v="Adult"/>
    <s v="AVG"/>
    <x v="2"/>
    <s v="Cash"/>
    <n v="3"/>
    <s v="iPhone SE"/>
    <n v="237328.21"/>
    <s v="Average"/>
    <s v="Excellent"/>
  </r>
  <r>
    <s v="Vino371308"/>
    <n v="1308"/>
    <n v="17"/>
    <n v="10"/>
    <n v="2022"/>
    <d v="2022-10-17T00:00:00"/>
    <s v="October"/>
    <d v="2025-05-08T00:00:00"/>
    <x v="3"/>
    <n v="3"/>
    <n v="27075.75"/>
    <s v="Vinod Nambiar"/>
    <n v="37"/>
    <s v="Adult"/>
    <s v="BAD"/>
    <x v="13"/>
    <s v="UPI"/>
    <n v="1"/>
    <s v="Galaxy A51"/>
    <n v="81227.25"/>
    <s v="Average"/>
    <s v="Average"/>
  </r>
  <r>
    <s v="Vino191309"/>
    <n v="1309"/>
    <n v="17"/>
    <n v="10"/>
    <n v="2022"/>
    <d v="2022-10-17T00:00:00"/>
    <s v="October"/>
    <d v="2025-05-09T00:00:00"/>
    <x v="3"/>
    <n v="6"/>
    <n v="20199.39"/>
    <s v="Vinod Nambiar"/>
    <n v="19"/>
    <s v="Teenagers"/>
    <s v="Good"/>
    <x v="9"/>
    <s v="Credit Card"/>
    <n v="5"/>
    <s v="Galaxy S21"/>
    <n v="121196.34"/>
    <s v="Good"/>
    <s v="Good"/>
  </r>
  <r>
    <s v="Kris321310"/>
    <n v="1310"/>
    <n v="17"/>
    <n v="10"/>
    <n v="2022"/>
    <d v="2022-10-17T00:00:00"/>
    <s v="October"/>
    <d v="2025-05-10T00:00:00"/>
    <x v="0"/>
    <n v="9"/>
    <n v="30120.29"/>
    <s v="Krishna Menon"/>
    <n v="32"/>
    <s v="Adult"/>
    <s v="Good"/>
    <x v="2"/>
    <s v="Cash"/>
    <n v="4"/>
    <s v="Mi 11"/>
    <n v="271082.61"/>
    <s v="Good"/>
    <s v="Excellent"/>
  </r>
  <r>
    <s v="Shru451311"/>
    <n v="1311"/>
    <n v="18"/>
    <n v="10"/>
    <n v="2022"/>
    <d v="2022-10-18T00:00:00"/>
    <s v="October"/>
    <d v="2025-05-11T00:00:00"/>
    <x v="1"/>
    <n v="7"/>
    <n v="46477.56"/>
    <s v="Shruti Sharma"/>
    <n v="45"/>
    <s v="Adult"/>
    <s v="Good"/>
    <x v="12"/>
    <s v="UPI"/>
    <n v="4"/>
    <s v="Vivo S1"/>
    <n v="325342.92"/>
    <s v="Good"/>
    <s v="Excellent"/>
  </r>
  <r>
    <s v="Nikh301312"/>
    <n v="1312"/>
    <n v="18"/>
    <n v="10"/>
    <n v="2022"/>
    <d v="2022-10-18T00:00:00"/>
    <s v="October"/>
    <d v="2025-05-12T00:00:00"/>
    <x v="4"/>
    <n v="3"/>
    <n v="44547.11"/>
    <s v="Nikhil Varma"/>
    <n v="30"/>
    <s v="Teenagers"/>
    <s v="Good"/>
    <x v="18"/>
    <s v="Credit Card"/>
    <n v="5"/>
    <s v="iPhone SE"/>
    <n v="133641.33000000002"/>
    <s v="Good"/>
    <s v="Good"/>
  </r>
  <r>
    <s v="Nikh311313"/>
    <n v="1313"/>
    <n v="18"/>
    <n v="10"/>
    <n v="2022"/>
    <d v="2022-10-18T00:00:00"/>
    <s v="October"/>
    <d v="2025-05-13T00:00:00"/>
    <x v="0"/>
    <n v="6"/>
    <n v="19817.439999999999"/>
    <s v="Nikhil Kapoor"/>
    <n v="31"/>
    <s v="Adult"/>
    <s v="BAD"/>
    <x v="2"/>
    <s v="UPI"/>
    <n v="1"/>
    <s v="Mi 11"/>
    <n v="118904.63999999998"/>
    <s v="Average"/>
    <s v="Good"/>
  </r>
  <r>
    <s v="Arun191314"/>
    <n v="1314"/>
    <n v="19"/>
    <n v="10"/>
    <n v="2022"/>
    <d v="2022-10-19T00:00:00"/>
    <s v="October"/>
    <d v="2025-05-14T00:00:00"/>
    <x v="1"/>
    <n v="4"/>
    <n v="17495.189999999999"/>
    <s v="Arun Luthra"/>
    <n v="19"/>
    <s v="Teenagers"/>
    <s v="BAD"/>
    <x v="7"/>
    <s v="Credit Card"/>
    <n v="1"/>
    <s v="Vivo V20"/>
    <n v="69980.759999999995"/>
    <s v="Average"/>
    <s v="Average"/>
  </r>
  <r>
    <s v="Mano511315"/>
    <n v="1315"/>
    <n v="19"/>
    <n v="10"/>
    <n v="2022"/>
    <d v="2022-10-19T00:00:00"/>
    <s v="October"/>
    <d v="2025-05-15T00:00:00"/>
    <x v="0"/>
    <n v="3"/>
    <n v="11600.61"/>
    <s v="Manoj Kulkarni"/>
    <n v="51"/>
    <s v="Senior Citezen"/>
    <s v="BAD"/>
    <x v="1"/>
    <s v="Credit Card"/>
    <n v="1"/>
    <s v="Redmi 9"/>
    <n v="34801.83"/>
    <s v="Average"/>
    <s v="Low"/>
  </r>
  <r>
    <s v="Ayes521316"/>
    <n v="1316"/>
    <n v="19"/>
    <n v="10"/>
    <n v="2022"/>
    <d v="2022-10-19T00:00:00"/>
    <s v="October"/>
    <d v="2025-05-16T00:00:00"/>
    <x v="4"/>
    <n v="9"/>
    <n v="10745.54"/>
    <s v="Ayesha Luthra"/>
    <n v="52"/>
    <s v="Senior Citezen"/>
    <s v="AVG"/>
    <x v="12"/>
    <s v="UPI"/>
    <n v="3"/>
    <s v="iPhone 12"/>
    <n v="96709.860000000015"/>
    <s v="Average"/>
    <s v="Average"/>
  </r>
  <r>
    <s v="Ayes541317"/>
    <n v="1317"/>
    <n v="19"/>
    <n v="10"/>
    <n v="2022"/>
    <d v="2022-10-19T00:00:00"/>
    <s v="October"/>
    <d v="2025-05-17T00:00:00"/>
    <x v="3"/>
    <n v="2"/>
    <n v="62788.63"/>
    <s v="Ayesha Ghosh"/>
    <n v="54"/>
    <s v="Senior Citezen"/>
    <s v="BAD"/>
    <x v="6"/>
    <s v="UPI"/>
    <n v="1"/>
    <s v="Galaxy S21"/>
    <n v="125577.26"/>
    <s v="Average"/>
    <s v="Good"/>
  </r>
  <r>
    <s v="Nami421318"/>
    <n v="1318"/>
    <n v="20"/>
    <n v="10"/>
    <n v="2022"/>
    <d v="2022-10-20T00:00:00"/>
    <s v="October"/>
    <d v="2025-05-18T00:00:00"/>
    <x v="3"/>
    <n v="1"/>
    <n v="12705.33"/>
    <s v="Namita Nambiar"/>
    <n v="42"/>
    <s v="Adult"/>
    <s v="Good"/>
    <x v="10"/>
    <s v="Cash"/>
    <n v="4"/>
    <s v="Galaxy Note 20"/>
    <n v="12705.33"/>
    <s v="Good"/>
    <s v="Low"/>
  </r>
  <r>
    <s v="Nikh321319"/>
    <n v="1319"/>
    <n v="20"/>
    <n v="10"/>
    <n v="2022"/>
    <d v="2022-10-20T00:00:00"/>
    <s v="October"/>
    <d v="2025-05-19T00:00:00"/>
    <x v="1"/>
    <n v="2"/>
    <n v="53873.27"/>
    <s v="Nikhil Deshmukh"/>
    <n v="32"/>
    <s v="Adult"/>
    <s v="BAD"/>
    <x v="7"/>
    <s v="UPI"/>
    <n v="1"/>
    <s v="Vivo Y51"/>
    <n v="107746.54"/>
    <s v="Average"/>
    <s v="Good"/>
  </r>
  <r>
    <s v="Neet291320"/>
    <n v="1320"/>
    <n v="20"/>
    <n v="10"/>
    <n v="2022"/>
    <d v="2022-10-20T00:00:00"/>
    <s v="October"/>
    <d v="2025-05-20T00:00:00"/>
    <x v="2"/>
    <n v="7"/>
    <n v="62319.11"/>
    <s v="Neeta Solanki"/>
    <n v="29"/>
    <s v="Teenagers"/>
    <s v="AVG"/>
    <x v="2"/>
    <s v="Credit Card"/>
    <n v="3"/>
    <s v="OnePlus Nord"/>
    <n v="436233.77"/>
    <s v="Average"/>
    <s v="Excellent"/>
  </r>
  <r>
    <s v="Kira261321"/>
    <n v="1321"/>
    <n v="20"/>
    <n v="10"/>
    <n v="2022"/>
    <d v="2022-10-20T00:00:00"/>
    <s v="October"/>
    <d v="2025-05-21T00:00:00"/>
    <x v="1"/>
    <n v="1"/>
    <n v="15883.47"/>
    <s v="Kiran Goyal"/>
    <n v="26"/>
    <s v="Teenagers"/>
    <s v="Good"/>
    <x v="1"/>
    <s v="Debit Card"/>
    <n v="5"/>
    <s v="Vivo Y51"/>
    <n v="15883.47"/>
    <s v="Good"/>
    <s v="Low"/>
  </r>
  <r>
    <s v="Anit481322"/>
    <n v="1322"/>
    <n v="21"/>
    <n v="10"/>
    <n v="2022"/>
    <d v="2022-10-21T00:00:00"/>
    <s v="October"/>
    <d v="2025-05-22T00:00:00"/>
    <x v="2"/>
    <n v="6"/>
    <n v="36178.089999999997"/>
    <s v="Anita Kumar"/>
    <n v="48"/>
    <s v="Senior Citezen"/>
    <s v="BAD"/>
    <x v="1"/>
    <s v="Cash"/>
    <n v="1"/>
    <s v="OnePlus Nord"/>
    <n v="217068.53999999998"/>
    <s v="Average"/>
    <s v="Excellent"/>
  </r>
  <r>
    <s v="Deep311323"/>
    <n v="1323"/>
    <n v="21"/>
    <n v="10"/>
    <n v="2022"/>
    <d v="2022-10-21T00:00:00"/>
    <s v="October"/>
    <d v="2025-05-23T00:00:00"/>
    <x v="0"/>
    <n v="7"/>
    <n v="67738.179999999993"/>
    <s v="Deepika Prasad"/>
    <n v="31"/>
    <s v="Adult"/>
    <s v="Good"/>
    <x v="2"/>
    <s v="Credit Card"/>
    <n v="5"/>
    <s v="Redmi 9"/>
    <n v="474167.25999999995"/>
    <s v="Good"/>
    <s v="Excellent"/>
  </r>
  <r>
    <s v="Moni461324"/>
    <n v="1324"/>
    <n v="21"/>
    <n v="10"/>
    <n v="2022"/>
    <d v="2022-10-21T00:00:00"/>
    <s v="October"/>
    <d v="2025-05-24T00:00:00"/>
    <x v="0"/>
    <n v="9"/>
    <n v="60048.32"/>
    <s v="Monika Thakur"/>
    <n v="46"/>
    <s v="Senior Citezen"/>
    <s v="Good"/>
    <x v="1"/>
    <s v="Credit Card"/>
    <n v="5"/>
    <s v="Redmi 9"/>
    <n v="540434.88"/>
    <s v="Good"/>
    <s v="Excellent"/>
  </r>
  <r>
    <s v="Adit551325"/>
    <n v="1325"/>
    <n v="22"/>
    <n v="10"/>
    <n v="2022"/>
    <d v="2022-10-22T00:00:00"/>
    <s v="October"/>
    <d v="2025-05-25T00:00:00"/>
    <x v="4"/>
    <n v="8"/>
    <n v="39382.239999999998"/>
    <s v="Aditya Joshi"/>
    <n v="55"/>
    <s v="Senior Citezen"/>
    <s v="AVG"/>
    <x v="2"/>
    <s v="Debit Card"/>
    <n v="3"/>
    <s v="iPhone 12"/>
    <n v="315057.91999999998"/>
    <s v="Average"/>
    <s v="Excellent"/>
  </r>
  <r>
    <s v="Reen591326"/>
    <n v="1326"/>
    <n v="22"/>
    <n v="10"/>
    <n v="2022"/>
    <d v="2022-10-22T00:00:00"/>
    <s v="October"/>
    <d v="2025-05-26T00:00:00"/>
    <x v="2"/>
    <n v="6"/>
    <n v="55754.27"/>
    <s v="Reena Teja"/>
    <n v="59"/>
    <s v="Senior Citezen"/>
    <s v="BAD"/>
    <x v="8"/>
    <s v="UPI"/>
    <n v="1"/>
    <s v="OnePlus 9"/>
    <n v="334525.62"/>
    <s v="Average"/>
    <s v="Excellent"/>
  </r>
  <r>
    <s v="Ayes251327"/>
    <n v="1327"/>
    <n v="22"/>
    <n v="10"/>
    <n v="2022"/>
    <d v="2022-10-22T00:00:00"/>
    <s v="October"/>
    <d v="2025-05-27T00:00:00"/>
    <x v="4"/>
    <n v="3"/>
    <n v="60002.66"/>
    <s v="Ayesha Thakur"/>
    <n v="25"/>
    <s v="Teenagers"/>
    <s v="Good"/>
    <x v="2"/>
    <s v="Credit Card"/>
    <n v="5"/>
    <s v="iPhone 11"/>
    <n v="180007.98"/>
    <s v="Good"/>
    <s v="Good"/>
  </r>
  <r>
    <s v="Anit201328"/>
    <n v="1328"/>
    <n v="22"/>
    <n v="10"/>
    <n v="2022"/>
    <d v="2022-10-22T00:00:00"/>
    <s v="October"/>
    <d v="2025-05-28T00:00:00"/>
    <x v="3"/>
    <n v="8"/>
    <n v="30881.62"/>
    <s v="Anita Arora"/>
    <n v="20"/>
    <s v="Teenagers"/>
    <s v="Good"/>
    <x v="12"/>
    <s v="Debit Card"/>
    <n v="5"/>
    <s v="Galaxy Note 20"/>
    <n v="247052.96"/>
    <s v="Good"/>
    <s v="Excellent"/>
  </r>
  <r>
    <s v="Reen191329"/>
    <n v="1329"/>
    <n v="23"/>
    <n v="10"/>
    <n v="2022"/>
    <d v="2022-10-23T00:00:00"/>
    <s v="October"/>
    <d v="2025-05-29T00:00:00"/>
    <x v="2"/>
    <n v="7"/>
    <n v="63529.18"/>
    <s v="Reena Patel"/>
    <n v="19"/>
    <s v="Teenagers"/>
    <s v="Good"/>
    <x v="1"/>
    <s v="Debit Card"/>
    <n v="5"/>
    <s v="OnePlus Nord"/>
    <n v="444704.26"/>
    <s v="Good"/>
    <s v="Excellent"/>
  </r>
  <r>
    <s v="Kris331330"/>
    <n v="1330"/>
    <n v="23"/>
    <n v="10"/>
    <n v="2022"/>
    <d v="2022-10-23T00:00:00"/>
    <s v="October"/>
    <d v="2025-05-30T00:00:00"/>
    <x v="1"/>
    <n v="3"/>
    <n v="38228.400000000001"/>
    <s v="Krishna Iyer"/>
    <n v="33"/>
    <s v="Adult"/>
    <s v="Good"/>
    <x v="2"/>
    <s v="UPI"/>
    <n v="4"/>
    <s v="Vivo S1"/>
    <n v="114685.20000000001"/>
    <s v="Good"/>
    <s v="Good"/>
  </r>
  <r>
    <s v="Rame361331"/>
    <n v="1331"/>
    <n v="23"/>
    <n v="10"/>
    <n v="2022"/>
    <d v="2022-10-23T00:00:00"/>
    <s v="October"/>
    <d v="2025-05-31T00:00:00"/>
    <x v="3"/>
    <n v="9"/>
    <n v="41668.44"/>
    <s v="Ramesh Gupta"/>
    <n v="36"/>
    <s v="Adult"/>
    <s v="Good"/>
    <x v="15"/>
    <s v="Debit Card"/>
    <n v="4"/>
    <s v="Galaxy S21"/>
    <n v="375015.96"/>
    <s v="Good"/>
    <s v="Excellent"/>
  </r>
  <r>
    <s v="Anan471332"/>
    <n v="1332"/>
    <n v="24"/>
    <n v="10"/>
    <n v="2022"/>
    <d v="2022-10-24T00:00:00"/>
    <s v="October"/>
    <d v="2025-06-01T00:00:00"/>
    <x v="3"/>
    <n v="2"/>
    <n v="69982.460000000006"/>
    <s v="Anand Kaur"/>
    <n v="47"/>
    <s v="Senior Citezen"/>
    <s v="Good"/>
    <x v="2"/>
    <s v="Debit Card"/>
    <n v="4"/>
    <s v="Galaxy S21"/>
    <n v="139964.92000000001"/>
    <s v="Good"/>
    <s v="Good"/>
  </r>
  <r>
    <s v="Deep581333"/>
    <n v="1333"/>
    <n v="24"/>
    <n v="10"/>
    <n v="2022"/>
    <d v="2022-10-24T00:00:00"/>
    <s v="October"/>
    <d v="2025-06-02T00:00:00"/>
    <x v="1"/>
    <n v="3"/>
    <n v="60598.18"/>
    <s v="Deepika Kulkarni"/>
    <n v="58"/>
    <s v="Senior Citezen"/>
    <s v="Good"/>
    <x v="4"/>
    <s v="Debit Card"/>
    <n v="4"/>
    <s v="Vivo S1"/>
    <n v="181794.54"/>
    <s v="Good"/>
    <s v="Good"/>
  </r>
  <r>
    <s v="Amit331334"/>
    <n v="1334"/>
    <n v="24"/>
    <n v="10"/>
    <n v="2022"/>
    <d v="2022-10-24T00:00:00"/>
    <s v="October"/>
    <d v="2025-06-03T00:00:00"/>
    <x v="3"/>
    <n v="2"/>
    <n v="31706.2"/>
    <s v="Amit Teja"/>
    <n v="33"/>
    <s v="Adult"/>
    <s v="AVG"/>
    <x v="1"/>
    <s v="Debit Card"/>
    <n v="3"/>
    <s v="Galaxy A51"/>
    <n v="63412.4"/>
    <s v="Average"/>
    <s v="Average"/>
  </r>
  <r>
    <s v="Sneh481335"/>
    <n v="1335"/>
    <n v="24"/>
    <n v="10"/>
    <n v="2022"/>
    <d v="2022-10-24T00:00:00"/>
    <s v="October"/>
    <d v="2025-06-04T00:00:00"/>
    <x v="2"/>
    <n v="1"/>
    <n v="10620.74"/>
    <s v="Sneha Malhotra"/>
    <n v="48"/>
    <s v="Senior Citezen"/>
    <s v="BAD"/>
    <x v="2"/>
    <s v="Debit Card"/>
    <n v="1"/>
    <s v="OnePlus 8T"/>
    <n v="10620.74"/>
    <s v="Average"/>
    <s v="Low"/>
  </r>
  <r>
    <s v="Pank451336"/>
    <n v="1336"/>
    <n v="25"/>
    <n v="10"/>
    <n v="2022"/>
    <d v="2022-10-25T00:00:00"/>
    <s v="October"/>
    <d v="2025-06-05T00:00:00"/>
    <x v="4"/>
    <n v="4"/>
    <n v="47570.44"/>
    <s v="Pankaj Varma"/>
    <n v="45"/>
    <s v="Adult"/>
    <s v="BAD"/>
    <x v="9"/>
    <s v="Debit Card"/>
    <n v="1"/>
    <s v="iPhone SE"/>
    <n v="190281.76"/>
    <s v="Average"/>
    <s v="Good"/>
  </r>
  <r>
    <s v="Sneh211337"/>
    <n v="1337"/>
    <n v="25"/>
    <n v="10"/>
    <n v="2022"/>
    <d v="2022-10-25T00:00:00"/>
    <s v="October"/>
    <d v="2025-06-06T00:00:00"/>
    <x v="3"/>
    <n v="5"/>
    <n v="52234.81"/>
    <s v="Sneha Sharma"/>
    <n v="21"/>
    <s v="Teenagers"/>
    <s v="AVG"/>
    <x v="1"/>
    <s v="Credit Card"/>
    <n v="3"/>
    <s v="Galaxy A51"/>
    <n v="261174.05"/>
    <s v="Average"/>
    <s v="Excellent"/>
  </r>
  <r>
    <s v="Pras271338"/>
    <n v="1338"/>
    <n v="25"/>
    <n v="10"/>
    <n v="2022"/>
    <d v="2022-10-25T00:00:00"/>
    <s v="October"/>
    <d v="2025-06-07T00:00:00"/>
    <x v="2"/>
    <n v="6"/>
    <n v="49048.160000000003"/>
    <s v="Prashant Das"/>
    <n v="27"/>
    <s v="Teenagers"/>
    <s v="Good"/>
    <x v="17"/>
    <s v="Cash"/>
    <n v="5"/>
    <s v="OnePlus Nord"/>
    <n v="294288.96000000002"/>
    <s v="Good"/>
    <s v="Excellent"/>
  </r>
  <r>
    <s v="Ravi351339"/>
    <n v="1339"/>
    <n v="25"/>
    <n v="10"/>
    <n v="2022"/>
    <d v="2022-10-25T00:00:00"/>
    <s v="October"/>
    <d v="2025-06-08T00:00:00"/>
    <x v="0"/>
    <n v="5"/>
    <n v="68071.740000000005"/>
    <s v="Ravi Varma"/>
    <n v="35"/>
    <s v="Adult"/>
    <s v="BAD"/>
    <x v="1"/>
    <s v="UPI"/>
    <n v="1"/>
    <s v="Redmi Note 10"/>
    <n v="340358.7"/>
    <s v="Average"/>
    <s v="Excellent"/>
  </r>
  <r>
    <s v="Radh491340"/>
    <n v="1340"/>
    <n v="26"/>
    <n v="10"/>
    <n v="2022"/>
    <d v="2022-10-26T00:00:00"/>
    <s v="October"/>
    <d v="2025-06-09T00:00:00"/>
    <x v="2"/>
    <n v="1"/>
    <n v="61778.26"/>
    <s v="Radha Kapoor"/>
    <n v="49"/>
    <s v="Senior Citezen"/>
    <s v="Good"/>
    <x v="1"/>
    <s v="Cash"/>
    <n v="5"/>
    <s v="OnePlus 9"/>
    <n v="61778.26"/>
    <s v="Good"/>
    <s v="Average"/>
  </r>
  <r>
    <s v="Nami471341"/>
    <n v="1341"/>
    <n v="26"/>
    <n v="10"/>
    <n v="2022"/>
    <d v="2022-10-26T00:00:00"/>
    <s v="October"/>
    <d v="2025-06-10T00:00:00"/>
    <x v="4"/>
    <n v="3"/>
    <n v="36929.9"/>
    <s v="Namita Das"/>
    <n v="47"/>
    <s v="Senior Citezen"/>
    <s v="BAD"/>
    <x v="1"/>
    <s v="UPI"/>
    <n v="1"/>
    <s v="iPhone 11"/>
    <n v="110789.70000000001"/>
    <s v="Average"/>
    <s v="Good"/>
  </r>
  <r>
    <s v="Rame531342"/>
    <n v="1342"/>
    <n v="26"/>
    <n v="10"/>
    <n v="2022"/>
    <d v="2022-10-26T00:00:00"/>
    <s v="October"/>
    <d v="2025-06-11T00:00:00"/>
    <x v="2"/>
    <n v="1"/>
    <n v="13771.45"/>
    <s v="Ramesh Solanki"/>
    <n v="53"/>
    <s v="Senior Citezen"/>
    <s v="AVG"/>
    <x v="15"/>
    <s v="Cash"/>
    <n v="3"/>
    <s v="OnePlus 8T"/>
    <n v="13771.45"/>
    <s v="Average"/>
    <s v="Low"/>
  </r>
  <r>
    <s v="Deep261343"/>
    <n v="1343"/>
    <n v="26"/>
    <n v="10"/>
    <n v="2022"/>
    <d v="2022-10-26T00:00:00"/>
    <s v="October"/>
    <d v="2025-06-12T00:00:00"/>
    <x v="1"/>
    <n v="5"/>
    <n v="38563.53"/>
    <s v="Deepika Verma"/>
    <n v="26"/>
    <s v="Teenagers"/>
    <s v="Good"/>
    <x v="1"/>
    <s v="UPI"/>
    <n v="5"/>
    <s v="Vivo Y51"/>
    <n v="192817.65"/>
    <s v="Good"/>
    <s v="Good"/>
  </r>
  <r>
    <s v="Priy531344"/>
    <n v="1344"/>
    <n v="27"/>
    <n v="10"/>
    <n v="2022"/>
    <d v="2022-10-27T00:00:00"/>
    <s v="October"/>
    <d v="2025-06-13T00:00:00"/>
    <x v="4"/>
    <n v="5"/>
    <n v="51354.64"/>
    <s v="Priya Mathur"/>
    <n v="53"/>
    <s v="Senior Citezen"/>
    <s v="BAD"/>
    <x v="4"/>
    <s v="Debit Card"/>
    <n v="1"/>
    <s v="iPhone SE"/>
    <n v="256773.2"/>
    <s v="Average"/>
    <s v="Excellent"/>
  </r>
  <r>
    <s v="Lata461345"/>
    <n v="1345"/>
    <n v="27"/>
    <n v="10"/>
    <n v="2022"/>
    <d v="2022-10-27T00:00:00"/>
    <s v="October"/>
    <d v="2025-06-14T00:00:00"/>
    <x v="0"/>
    <n v="6"/>
    <n v="46462.59"/>
    <s v="Lata Mehta"/>
    <n v="46"/>
    <s v="Senior Citezen"/>
    <s v="AVG"/>
    <x v="13"/>
    <s v="Cash"/>
    <n v="3"/>
    <s v="Redmi 9"/>
    <n v="278775.53999999998"/>
    <s v="Average"/>
    <s v="Excellent"/>
  </r>
  <r>
    <s v="Pras331346"/>
    <n v="1346"/>
    <n v="27"/>
    <n v="10"/>
    <n v="2022"/>
    <d v="2022-10-27T00:00:00"/>
    <s v="October"/>
    <d v="2025-06-15T00:00:00"/>
    <x v="1"/>
    <n v="8"/>
    <n v="42288.22"/>
    <s v="Prashant Gupta"/>
    <n v="33"/>
    <s v="Adult"/>
    <s v="Good"/>
    <x v="15"/>
    <s v="Cash"/>
    <n v="5"/>
    <s v="Vivo V20"/>
    <n v="338305.76"/>
    <s v="Good"/>
    <s v="Excellent"/>
  </r>
  <r>
    <s v="Rame451347"/>
    <n v="1347"/>
    <n v="28"/>
    <n v="10"/>
    <n v="2022"/>
    <d v="2022-10-28T00:00:00"/>
    <s v="October"/>
    <d v="2025-06-16T00:00:00"/>
    <x v="2"/>
    <n v="1"/>
    <n v="38129.14"/>
    <s v="Ramesh Kumar"/>
    <n v="45"/>
    <s v="Adult"/>
    <s v="Good"/>
    <x v="2"/>
    <s v="UPI"/>
    <n v="4"/>
    <s v="OnePlus Nord"/>
    <n v="38129.14"/>
    <s v="Good"/>
    <s v="Low"/>
  </r>
  <r>
    <s v="Neet381348"/>
    <n v="1348"/>
    <n v="28"/>
    <n v="10"/>
    <n v="2022"/>
    <d v="2022-10-28T00:00:00"/>
    <s v="October"/>
    <d v="2025-06-17T00:00:00"/>
    <x v="4"/>
    <n v="4"/>
    <n v="27625.71"/>
    <s v="Neeta Desai"/>
    <n v="38"/>
    <s v="Adult"/>
    <s v="Good"/>
    <x v="1"/>
    <s v="UPI"/>
    <n v="5"/>
    <s v="iPhone SE"/>
    <n v="110502.84"/>
    <s v="Good"/>
    <s v="Good"/>
  </r>
  <r>
    <s v="Navi191349"/>
    <n v="1349"/>
    <n v="28"/>
    <n v="10"/>
    <n v="2022"/>
    <d v="2022-10-28T00:00:00"/>
    <s v="October"/>
    <d v="2025-06-18T00:00:00"/>
    <x v="0"/>
    <n v="1"/>
    <n v="26640.81"/>
    <s v="Navin Verma"/>
    <n v="19"/>
    <s v="Teenagers"/>
    <s v="Good"/>
    <x v="2"/>
    <s v="Credit Card"/>
    <n v="5"/>
    <s v="Redmi Note 10"/>
    <n v="26640.81"/>
    <s v="Good"/>
    <s v="Low"/>
  </r>
  <r>
    <s v="Ayes521350"/>
    <n v="1350"/>
    <n v="29"/>
    <n v="10"/>
    <n v="2022"/>
    <d v="2022-10-29T00:00:00"/>
    <s v="October"/>
    <d v="2025-06-19T00:00:00"/>
    <x v="1"/>
    <n v="9"/>
    <n v="40013.89"/>
    <s v="Ayesha Roy"/>
    <n v="52"/>
    <s v="Senior Citezen"/>
    <s v="Good"/>
    <x v="7"/>
    <s v="Debit Card"/>
    <n v="5"/>
    <s v="Vivo Y51"/>
    <n v="360125.01"/>
    <s v="Good"/>
    <s v="Excellent"/>
  </r>
  <r>
    <s v="Lali451351"/>
    <n v="1351"/>
    <n v="29"/>
    <n v="10"/>
    <n v="2022"/>
    <d v="2022-10-29T00:00:00"/>
    <s v="October"/>
    <d v="2025-06-20T00:00:00"/>
    <x v="0"/>
    <n v="7"/>
    <n v="19636.189999999999"/>
    <s v="Lalita Luthra"/>
    <n v="45"/>
    <s v="Adult"/>
    <s v="BAD"/>
    <x v="4"/>
    <s v="Debit Card"/>
    <n v="1"/>
    <s v="Redmi 9"/>
    <n v="137453.32999999999"/>
    <s v="Average"/>
    <s v="Good"/>
  </r>
  <r>
    <s v="Jyot531352"/>
    <n v="1352"/>
    <n v="29"/>
    <n v="10"/>
    <n v="2022"/>
    <d v="2022-10-29T00:00:00"/>
    <s v="October"/>
    <d v="2025-06-21T00:00:00"/>
    <x v="2"/>
    <n v="7"/>
    <n v="30441.13"/>
    <s v="Jyoti Sheth"/>
    <n v="53"/>
    <s v="Senior Citezen"/>
    <s v="Good"/>
    <x v="2"/>
    <s v="Credit Card"/>
    <n v="4"/>
    <s v="OnePlus 9"/>
    <n v="213087.91"/>
    <s v="Good"/>
    <s v="Excellent"/>
  </r>
  <r>
    <s v="Vino481353"/>
    <n v="1353"/>
    <n v="29"/>
    <n v="10"/>
    <n v="2022"/>
    <d v="2022-10-29T00:00:00"/>
    <s v="October"/>
    <d v="2025-06-22T00:00:00"/>
    <x v="0"/>
    <n v="5"/>
    <n v="29438.76"/>
    <s v="Vinod Solanki"/>
    <n v="48"/>
    <s v="Senior Citezen"/>
    <s v="AVG"/>
    <x v="12"/>
    <s v="UPI"/>
    <n v="3"/>
    <s v="Redmi Note 10"/>
    <n v="147193.79999999999"/>
    <s v="Average"/>
    <s v="Good"/>
  </r>
  <r>
    <s v="Sneh501354"/>
    <n v="1354"/>
    <n v="30"/>
    <n v="10"/>
    <n v="2022"/>
    <d v="2022-10-30T00:00:00"/>
    <s v="October"/>
    <d v="2025-06-23T00:00:00"/>
    <x v="3"/>
    <n v="7"/>
    <n v="45227.97"/>
    <s v="Sneha Prasad"/>
    <n v="50"/>
    <s v="Senior Citezen"/>
    <s v="Good"/>
    <x v="2"/>
    <s v="Debit Card"/>
    <n v="4"/>
    <s v="Galaxy Note 20"/>
    <n v="316595.79000000004"/>
    <s v="Good"/>
    <s v="Excellent"/>
  </r>
  <r>
    <s v="Raje401355"/>
    <n v="1355"/>
    <n v="30"/>
    <n v="10"/>
    <n v="2022"/>
    <d v="2022-10-30T00:00:00"/>
    <s v="October"/>
    <d v="2025-06-24T00:00:00"/>
    <x v="1"/>
    <n v="2"/>
    <n v="14000.94"/>
    <s v="Rajesh Sheth"/>
    <n v="40"/>
    <s v="Adult"/>
    <s v="BAD"/>
    <x v="17"/>
    <s v="UPI"/>
    <n v="1"/>
    <s v="Vivo V20"/>
    <n v="28001.88"/>
    <s v="Average"/>
    <s v="Low"/>
  </r>
  <r>
    <s v="Lata581356"/>
    <n v="1356"/>
    <n v="30"/>
    <n v="10"/>
    <n v="2022"/>
    <d v="2022-10-30T00:00:00"/>
    <s v="October"/>
    <d v="2025-06-25T00:00:00"/>
    <x v="0"/>
    <n v="4"/>
    <n v="59780.12"/>
    <s v="Lata Patel"/>
    <n v="58"/>
    <s v="Senior Citezen"/>
    <s v="Good"/>
    <x v="1"/>
    <s v="Debit Card"/>
    <n v="5"/>
    <s v="Mi 11"/>
    <n v="239120.48"/>
    <s v="Good"/>
    <s v="Excellent"/>
  </r>
  <r>
    <s v="Nikh341357"/>
    <n v="1357"/>
    <n v="31"/>
    <n v="10"/>
    <n v="2022"/>
    <d v="2022-10-31T00:00:00"/>
    <s v="October"/>
    <d v="2025-06-26T00:00:00"/>
    <x v="2"/>
    <n v="7"/>
    <n v="43742.7"/>
    <s v="Nikhil Kapoor"/>
    <n v="34"/>
    <s v="Adult"/>
    <s v="BAD"/>
    <x v="12"/>
    <s v="Cash"/>
    <n v="1"/>
    <s v="OnePlus 8T"/>
    <n v="306198.89999999997"/>
    <s v="Average"/>
    <s v="Excellent"/>
  </r>
  <r>
    <s v="Anit181358"/>
    <n v="1358"/>
    <n v="31"/>
    <n v="10"/>
    <n v="2022"/>
    <d v="2022-10-31T00:00:00"/>
    <s v="October"/>
    <d v="2025-06-27T00:00:00"/>
    <x v="2"/>
    <n v="3"/>
    <n v="50249.599999999999"/>
    <s v="Anita Joshi"/>
    <n v="18"/>
    <s v="Teenagers"/>
    <s v="AVG"/>
    <x v="7"/>
    <s v="Cash"/>
    <n v="3"/>
    <s v="OnePlus 8T"/>
    <n v="150748.79999999999"/>
    <s v="Average"/>
    <s v="Good"/>
  </r>
  <r>
    <s v="Vino591359"/>
    <n v="1359"/>
    <n v="31"/>
    <n v="10"/>
    <n v="2022"/>
    <d v="2022-10-31T00:00:00"/>
    <s v="October"/>
    <d v="2025-06-28T00:00:00"/>
    <x v="0"/>
    <n v="2"/>
    <n v="52185.63"/>
    <s v="Vinod Ahuja"/>
    <n v="59"/>
    <s v="Senior Citezen"/>
    <s v="Good"/>
    <x v="2"/>
    <s v="Debit Card"/>
    <n v="4"/>
    <s v="Mi 11"/>
    <n v="104371.26"/>
    <s v="Good"/>
    <s v="Good"/>
  </r>
  <r>
    <s v="Anit401360"/>
    <n v="1360"/>
    <n v="1"/>
    <n v="11"/>
    <n v="2022"/>
    <d v="2022-11-01T00:00:00"/>
    <s v="November"/>
    <d v="2025-06-29T00:00:00"/>
    <x v="2"/>
    <n v="2"/>
    <n v="27489.05"/>
    <s v="Anita Pillai"/>
    <n v="40"/>
    <s v="Adult"/>
    <s v="Good"/>
    <x v="2"/>
    <s v="Debit Card"/>
    <n v="5"/>
    <s v="OnePlus 8T"/>
    <n v="54978.1"/>
    <s v="Good"/>
    <s v="Average"/>
  </r>
  <r>
    <s v="Kira441361"/>
    <n v="1361"/>
    <n v="1"/>
    <n v="11"/>
    <n v="2022"/>
    <d v="2022-11-01T00:00:00"/>
    <s v="November"/>
    <d v="2025-06-30T00:00:00"/>
    <x v="4"/>
    <n v="1"/>
    <n v="38222.29"/>
    <s v="Kiran Chaudhary"/>
    <n v="44"/>
    <s v="Adult"/>
    <s v="BAD"/>
    <x v="2"/>
    <s v="Debit Card"/>
    <n v="1"/>
    <s v="iPhone 12"/>
    <n v="38222.29"/>
    <s v="Average"/>
    <s v="Low"/>
  </r>
  <r>
    <s v="Deep421362"/>
    <n v="1362"/>
    <n v="1"/>
    <n v="11"/>
    <n v="2022"/>
    <d v="2022-11-01T00:00:00"/>
    <s v="November"/>
    <d v="2025-07-01T00:00:00"/>
    <x v="4"/>
    <n v="5"/>
    <n v="67374.759999999995"/>
    <s v="Deepika Patel"/>
    <n v="42"/>
    <s v="Adult"/>
    <s v="Good"/>
    <x v="2"/>
    <s v="Credit Card"/>
    <n v="5"/>
    <s v="iPhone SE"/>
    <n v="336873.8"/>
    <s v="Good"/>
    <s v="Excellent"/>
  </r>
  <r>
    <s v="Umes491363"/>
    <n v="1363"/>
    <n v="2"/>
    <n v="11"/>
    <n v="2022"/>
    <d v="2022-11-02T00:00:00"/>
    <s v="November"/>
    <d v="2025-07-02T00:00:00"/>
    <x v="4"/>
    <n v="6"/>
    <n v="56002.31"/>
    <s v="Umesh Nair"/>
    <n v="49"/>
    <s v="Senior Citezen"/>
    <s v="Good"/>
    <x v="10"/>
    <s v="Debit Card"/>
    <n v="5"/>
    <s v="iPhone 11"/>
    <n v="336013.86"/>
    <s v="Good"/>
    <s v="Excellent"/>
  </r>
  <r>
    <s v="Radh361364"/>
    <n v="1364"/>
    <n v="2"/>
    <n v="11"/>
    <n v="2022"/>
    <d v="2022-11-02T00:00:00"/>
    <s v="November"/>
    <d v="2025-07-03T00:00:00"/>
    <x v="3"/>
    <n v="6"/>
    <n v="68173.41"/>
    <s v="Radha Bhatnagar"/>
    <n v="36"/>
    <s v="Adult"/>
    <s v="Good"/>
    <x v="15"/>
    <s v="Credit Card"/>
    <n v="4"/>
    <s v="Galaxy Note 20"/>
    <n v="409040.46"/>
    <s v="Good"/>
    <s v="Excellent"/>
  </r>
  <r>
    <s v="Moni411365"/>
    <n v="1365"/>
    <n v="2"/>
    <n v="11"/>
    <n v="2022"/>
    <d v="2022-11-02T00:00:00"/>
    <s v="November"/>
    <d v="2025-07-04T00:00:00"/>
    <x v="0"/>
    <n v="9"/>
    <n v="54775.26"/>
    <s v="Monika Mehta"/>
    <n v="41"/>
    <s v="Adult"/>
    <s v="Good"/>
    <x v="16"/>
    <s v="Credit Card"/>
    <n v="5"/>
    <s v="Redmi 9"/>
    <n v="492977.34"/>
    <s v="Good"/>
    <s v="Excellent"/>
  </r>
  <r>
    <s v="Pooj201366"/>
    <n v="1366"/>
    <n v="3"/>
    <n v="11"/>
    <n v="2022"/>
    <d v="2022-11-03T00:00:00"/>
    <s v="November"/>
    <d v="2025-07-05T00:00:00"/>
    <x v="3"/>
    <n v="4"/>
    <n v="20536.009999999998"/>
    <s v="Pooja Kaur"/>
    <n v="20"/>
    <s v="Teenagers"/>
    <s v="AVG"/>
    <x v="2"/>
    <s v="Cash"/>
    <n v="3"/>
    <s v="Galaxy A51"/>
    <n v="82144.039999999994"/>
    <s v="Average"/>
    <s v="Average"/>
  </r>
  <r>
    <s v="Sneh291367"/>
    <n v="1367"/>
    <n v="3"/>
    <n v="11"/>
    <n v="2022"/>
    <d v="2022-11-03T00:00:00"/>
    <s v="November"/>
    <d v="2025-07-06T00:00:00"/>
    <x v="2"/>
    <n v="1"/>
    <n v="13872.15"/>
    <s v="Sneha Ghosh"/>
    <n v="29"/>
    <s v="Teenagers"/>
    <s v="Good"/>
    <x v="11"/>
    <s v="Debit Card"/>
    <n v="5"/>
    <s v="OnePlus 8T"/>
    <n v="13872.15"/>
    <s v="Good"/>
    <s v="Low"/>
  </r>
  <r>
    <s v="Navi521368"/>
    <n v="1368"/>
    <n v="3"/>
    <n v="11"/>
    <n v="2022"/>
    <d v="2022-11-03T00:00:00"/>
    <s v="November"/>
    <d v="2025-07-07T00:00:00"/>
    <x v="3"/>
    <n v="6"/>
    <n v="44659.69"/>
    <s v="Navin Malhotra"/>
    <n v="52"/>
    <s v="Senior Citezen"/>
    <s v="Good"/>
    <x v="5"/>
    <s v="Cash"/>
    <n v="4"/>
    <s v="Galaxy A51"/>
    <n v="267958.14"/>
    <s v="Good"/>
    <s v="Excellent"/>
  </r>
  <r>
    <s v="Kavi321369"/>
    <n v="1369"/>
    <n v="4"/>
    <n v="11"/>
    <n v="2022"/>
    <d v="2022-11-04T00:00:00"/>
    <s v="November"/>
    <d v="2025-07-08T00:00:00"/>
    <x v="2"/>
    <n v="5"/>
    <n v="31468.799999999999"/>
    <s v="Kavita Siddiqui"/>
    <n v="32"/>
    <s v="Adult"/>
    <s v="Good"/>
    <x v="4"/>
    <s v="Cash"/>
    <n v="5"/>
    <s v="OnePlus 8T"/>
    <n v="157344"/>
    <s v="Good"/>
    <s v="Good"/>
  </r>
  <r>
    <s v="Ayes341370"/>
    <n v="1370"/>
    <n v="4"/>
    <n v="11"/>
    <n v="2022"/>
    <d v="2022-11-04T00:00:00"/>
    <s v="November"/>
    <d v="2025-07-09T00:00:00"/>
    <x v="2"/>
    <n v="6"/>
    <n v="26527.47"/>
    <s v="Ayesha Thakur"/>
    <n v="34"/>
    <s v="Adult"/>
    <s v="Good"/>
    <x v="4"/>
    <s v="Credit Card"/>
    <n v="4"/>
    <s v="OnePlus 9"/>
    <n v="159164.82"/>
    <s v="Good"/>
    <s v="Good"/>
  </r>
  <r>
    <s v="Tapa491371"/>
    <n v="1371"/>
    <n v="4"/>
    <n v="11"/>
    <n v="2022"/>
    <d v="2022-11-04T00:00:00"/>
    <s v="November"/>
    <d v="2025-07-10T00:00:00"/>
    <x v="1"/>
    <n v="3"/>
    <n v="58432.66"/>
    <s v="Tapan Rawat"/>
    <n v="49"/>
    <s v="Senior Citezen"/>
    <s v="Good"/>
    <x v="1"/>
    <s v="UPI"/>
    <n v="5"/>
    <s v="Vivo S1"/>
    <n v="175297.98"/>
    <s v="Good"/>
    <s v="Good"/>
  </r>
  <r>
    <s v="Moni241372"/>
    <n v="1372"/>
    <n v="5"/>
    <n v="11"/>
    <n v="2022"/>
    <d v="2022-11-05T00:00:00"/>
    <s v="November"/>
    <d v="2025-07-11T00:00:00"/>
    <x v="4"/>
    <n v="2"/>
    <n v="32019.599999999999"/>
    <s v="Monika Mathur"/>
    <n v="24"/>
    <s v="Teenagers"/>
    <s v="BAD"/>
    <x v="8"/>
    <s v="Credit Card"/>
    <n v="1"/>
    <s v="iPhone SE"/>
    <n v="64039.199999999997"/>
    <s v="Average"/>
    <s v="Average"/>
  </r>
  <r>
    <s v="Priy361373"/>
    <n v="1373"/>
    <n v="5"/>
    <n v="11"/>
    <n v="2022"/>
    <d v="2022-11-05T00:00:00"/>
    <s v="November"/>
    <d v="2025-07-12T00:00:00"/>
    <x v="2"/>
    <n v="6"/>
    <n v="29020.06"/>
    <s v="Priyanka Jain"/>
    <n v="36"/>
    <s v="Adult"/>
    <s v="Good"/>
    <x v="0"/>
    <s v="Cash"/>
    <n v="5"/>
    <s v="OnePlus 9"/>
    <n v="174120.36000000002"/>
    <s v="Good"/>
    <s v="Good"/>
  </r>
  <r>
    <s v="Mala241374"/>
    <n v="1374"/>
    <n v="5"/>
    <n v="11"/>
    <n v="2022"/>
    <d v="2022-11-05T00:00:00"/>
    <s v="November"/>
    <d v="2025-07-13T00:00:00"/>
    <x v="1"/>
    <n v="1"/>
    <n v="60999.26"/>
    <s v="Mala Rawat"/>
    <n v="24"/>
    <s v="Teenagers"/>
    <s v="Good"/>
    <x v="1"/>
    <s v="Credit Card"/>
    <n v="4"/>
    <s v="Vivo S1"/>
    <n v="60999.26"/>
    <s v="Good"/>
    <s v="Average"/>
  </r>
  <r>
    <s v="Suni221375"/>
    <n v="1375"/>
    <n v="5"/>
    <n v="11"/>
    <n v="2022"/>
    <d v="2022-11-05T00:00:00"/>
    <s v="November"/>
    <d v="2025-07-14T00:00:00"/>
    <x v="4"/>
    <n v="7"/>
    <n v="60777.24"/>
    <s v="Sunil Menon"/>
    <n v="22"/>
    <s v="Teenagers"/>
    <s v="Good"/>
    <x v="7"/>
    <s v="Credit Card"/>
    <n v="4"/>
    <s v="iPhone 12"/>
    <n v="425440.68"/>
    <s v="Good"/>
    <s v="Excellent"/>
  </r>
  <r>
    <s v="Lata571376"/>
    <n v="1376"/>
    <n v="6"/>
    <n v="11"/>
    <n v="2022"/>
    <d v="2022-11-06T00:00:00"/>
    <s v="November"/>
    <d v="2025-07-15T00:00:00"/>
    <x v="2"/>
    <n v="7"/>
    <n v="31382"/>
    <s v="Lata Rawat"/>
    <n v="57"/>
    <s v="Senior Citezen"/>
    <s v="Good"/>
    <x v="1"/>
    <s v="Credit Card"/>
    <n v="5"/>
    <s v="OnePlus 8T"/>
    <n v="219674"/>
    <s v="Good"/>
    <s v="Excellent"/>
  </r>
  <r>
    <s v="Pras381377"/>
    <n v="1377"/>
    <n v="6"/>
    <n v="11"/>
    <n v="2022"/>
    <d v="2022-11-06T00:00:00"/>
    <s v="November"/>
    <d v="2025-07-16T00:00:00"/>
    <x v="2"/>
    <n v="7"/>
    <n v="59949.919999999998"/>
    <s v="Prashant Arora"/>
    <n v="38"/>
    <s v="Adult"/>
    <s v="AVG"/>
    <x v="9"/>
    <s v="Debit Card"/>
    <n v="3"/>
    <s v="OnePlus Nord"/>
    <n v="419649.44"/>
    <s v="Average"/>
    <s v="Excellent"/>
  </r>
  <r>
    <s v="Kavi241378"/>
    <n v="1378"/>
    <n v="6"/>
    <n v="11"/>
    <n v="2022"/>
    <d v="2022-11-06T00:00:00"/>
    <s v="November"/>
    <d v="2025-07-17T00:00:00"/>
    <x v="3"/>
    <n v="1"/>
    <n v="61046.71"/>
    <s v="Kavita Dutta"/>
    <n v="24"/>
    <s v="Teenagers"/>
    <s v="Good"/>
    <x v="2"/>
    <s v="Credit Card"/>
    <n v="4"/>
    <s v="Galaxy A51"/>
    <n v="61046.71"/>
    <s v="Good"/>
    <s v="Average"/>
  </r>
  <r>
    <s v="Sneh541379"/>
    <n v="1379"/>
    <n v="6"/>
    <n v="11"/>
    <n v="2022"/>
    <d v="2022-11-06T00:00:00"/>
    <s v="November"/>
    <d v="2025-07-18T00:00:00"/>
    <x v="3"/>
    <n v="4"/>
    <n v="35435.83"/>
    <s v="Sneha Mehta"/>
    <n v="54"/>
    <s v="Senior Citezen"/>
    <s v="BAD"/>
    <x v="14"/>
    <s v="Cash"/>
    <n v="1"/>
    <s v="Galaxy S21"/>
    <n v="141743.32"/>
    <s v="Average"/>
    <s v="Good"/>
  </r>
  <r>
    <s v="Radh401380"/>
    <n v="1380"/>
    <n v="7"/>
    <n v="11"/>
    <n v="2022"/>
    <d v="2022-11-07T00:00:00"/>
    <s v="November"/>
    <d v="2025-07-19T00:00:00"/>
    <x v="4"/>
    <n v="7"/>
    <n v="13988.39"/>
    <s v="Radha Ghosh"/>
    <n v="40"/>
    <s v="Adult"/>
    <s v="Good"/>
    <x v="3"/>
    <s v="Credit Card"/>
    <n v="5"/>
    <s v="iPhone 11"/>
    <n v="97918.73"/>
    <s v="Good"/>
    <s v="Average"/>
  </r>
  <r>
    <s v="Radh281381"/>
    <n v="1381"/>
    <n v="7"/>
    <n v="11"/>
    <n v="2022"/>
    <d v="2022-11-07T00:00:00"/>
    <s v="November"/>
    <d v="2025-07-20T00:00:00"/>
    <x v="2"/>
    <n v="9"/>
    <n v="10095.08"/>
    <s v="Radha Solanki"/>
    <n v="28"/>
    <s v="Teenagers"/>
    <s v="BAD"/>
    <x v="4"/>
    <s v="Debit Card"/>
    <n v="1"/>
    <s v="OnePlus 8T"/>
    <n v="90855.72"/>
    <s v="Average"/>
    <s v="Average"/>
  </r>
  <r>
    <s v="Nikh271382"/>
    <n v="1382"/>
    <n v="7"/>
    <n v="11"/>
    <n v="2022"/>
    <d v="2022-11-07T00:00:00"/>
    <s v="November"/>
    <d v="2025-07-21T00:00:00"/>
    <x v="0"/>
    <n v="5"/>
    <n v="41397.550000000003"/>
    <s v="Nikhil Menon"/>
    <n v="27"/>
    <s v="Teenagers"/>
    <s v="Good"/>
    <x v="2"/>
    <s v="Cash"/>
    <n v="4"/>
    <s v="Redmi Note 10"/>
    <n v="206987.75"/>
    <s v="Good"/>
    <s v="Excellent"/>
  </r>
  <r>
    <s v="Sumi381383"/>
    <n v="1383"/>
    <n v="8"/>
    <n v="11"/>
    <n v="2022"/>
    <d v="2022-11-08T00:00:00"/>
    <s v="November"/>
    <d v="2025-07-22T00:00:00"/>
    <x v="3"/>
    <n v="2"/>
    <n v="30644.53"/>
    <s v="Sumit Dutta"/>
    <n v="38"/>
    <s v="Adult"/>
    <s v="AVG"/>
    <x v="15"/>
    <s v="Credit Card"/>
    <n v="3"/>
    <s v="Galaxy A51"/>
    <n v="61289.06"/>
    <s v="Average"/>
    <s v="Average"/>
  </r>
  <r>
    <s v="Priy581384"/>
    <n v="1384"/>
    <n v="8"/>
    <n v="11"/>
    <n v="2022"/>
    <d v="2022-11-08T00:00:00"/>
    <s v="November"/>
    <d v="2025-07-23T00:00:00"/>
    <x v="4"/>
    <n v="7"/>
    <n v="69827.91"/>
    <s v="Priya Varma"/>
    <n v="58"/>
    <s v="Senior Citezen"/>
    <s v="Good"/>
    <x v="6"/>
    <s v="Cash"/>
    <n v="4"/>
    <s v="iPhone SE"/>
    <n v="488795.37"/>
    <s v="Good"/>
    <s v="Excellent"/>
  </r>
  <r>
    <s v="Mano501385"/>
    <n v="1385"/>
    <n v="8"/>
    <n v="11"/>
    <n v="2022"/>
    <d v="2022-11-08T00:00:00"/>
    <s v="November"/>
    <d v="2025-07-24T00:00:00"/>
    <x v="2"/>
    <n v="1"/>
    <n v="56344.66"/>
    <s v="Manoj Mehta"/>
    <n v="50"/>
    <s v="Senior Citezen"/>
    <s v="AVG"/>
    <x v="18"/>
    <s v="Debit Card"/>
    <n v="3"/>
    <s v="OnePlus 9"/>
    <n v="56344.66"/>
    <s v="Average"/>
    <s v="Average"/>
  </r>
  <r>
    <s v="Sumi371386"/>
    <n v="1386"/>
    <n v="8"/>
    <n v="11"/>
    <n v="2022"/>
    <d v="2022-11-08T00:00:00"/>
    <s v="November"/>
    <d v="2025-07-25T00:00:00"/>
    <x v="2"/>
    <n v="7"/>
    <n v="55676.53"/>
    <s v="Sumit Alva"/>
    <n v="37"/>
    <s v="Adult"/>
    <s v="Good"/>
    <x v="16"/>
    <s v="UPI"/>
    <n v="5"/>
    <s v="OnePlus 9"/>
    <n v="389735.70999999996"/>
    <s v="Good"/>
    <s v="Excellent"/>
  </r>
  <r>
    <s v="Anan501387"/>
    <n v="1387"/>
    <n v="9"/>
    <n v="11"/>
    <n v="2022"/>
    <d v="2022-11-09T00:00:00"/>
    <s v="November"/>
    <d v="2025-07-26T00:00:00"/>
    <x v="0"/>
    <n v="6"/>
    <n v="67314.570000000007"/>
    <s v="Anand Yadav"/>
    <n v="50"/>
    <s v="Senior Citezen"/>
    <s v="Good"/>
    <x v="12"/>
    <s v="Debit Card"/>
    <n v="5"/>
    <s v="Redmi Note 10"/>
    <n v="403887.42000000004"/>
    <s v="Good"/>
    <s v="Excellent"/>
  </r>
  <r>
    <s v="Raje571388"/>
    <n v="1388"/>
    <n v="9"/>
    <n v="11"/>
    <n v="2022"/>
    <d v="2022-11-09T00:00:00"/>
    <s v="November"/>
    <d v="2025-07-27T00:00:00"/>
    <x v="4"/>
    <n v="7"/>
    <n v="63263.46"/>
    <s v="Rajesh Siddiqui"/>
    <n v="57"/>
    <s v="Senior Citezen"/>
    <s v="BAD"/>
    <x v="1"/>
    <s v="Debit Card"/>
    <n v="1"/>
    <s v="iPhone SE"/>
    <n v="442844.22"/>
    <s v="Average"/>
    <s v="Excellent"/>
  </r>
  <r>
    <s v="Ravi521389"/>
    <n v="1389"/>
    <n v="9"/>
    <n v="11"/>
    <n v="2022"/>
    <d v="2022-11-09T00:00:00"/>
    <s v="November"/>
    <d v="2025-07-28T00:00:00"/>
    <x v="2"/>
    <n v="3"/>
    <n v="29091.25"/>
    <s v="Ravi Sharma"/>
    <n v="52"/>
    <s v="Senior Citezen"/>
    <s v="AVG"/>
    <x v="8"/>
    <s v="Cash"/>
    <n v="3"/>
    <s v="OnePlus 9"/>
    <n v="87273.75"/>
    <s v="Average"/>
    <s v="Average"/>
  </r>
  <r>
    <s v="Tapa511390"/>
    <n v="1390"/>
    <n v="9"/>
    <n v="11"/>
    <n v="2022"/>
    <d v="2022-11-09T00:00:00"/>
    <s v="November"/>
    <d v="2025-07-29T00:00:00"/>
    <x v="3"/>
    <n v="3"/>
    <n v="19959.23"/>
    <s v="Tapan Siddiqui"/>
    <n v="51"/>
    <s v="Senior Citezen"/>
    <s v="BAD"/>
    <x v="1"/>
    <s v="Cash"/>
    <n v="1"/>
    <s v="Galaxy Note 20"/>
    <n v="59877.69"/>
    <s v="Average"/>
    <s v="Average"/>
  </r>
  <r>
    <s v="Umes531391"/>
    <n v="1391"/>
    <n v="10"/>
    <n v="11"/>
    <n v="2022"/>
    <d v="2022-11-10T00:00:00"/>
    <s v="November"/>
    <d v="2025-07-30T00:00:00"/>
    <x v="0"/>
    <n v="7"/>
    <n v="54753.54"/>
    <s v="Umesh Teja"/>
    <n v="53"/>
    <s v="Senior Citezen"/>
    <s v="Good"/>
    <x v="1"/>
    <s v="UPI"/>
    <n v="5"/>
    <s v="Redmi Note 10"/>
    <n v="383274.78"/>
    <s v="Good"/>
    <s v="Excellent"/>
  </r>
  <r>
    <s v="Tapa441392"/>
    <n v="1392"/>
    <n v="10"/>
    <n v="11"/>
    <n v="2022"/>
    <d v="2022-11-10T00:00:00"/>
    <s v="November"/>
    <d v="2025-07-31T00:00:00"/>
    <x v="4"/>
    <n v="2"/>
    <n v="32696.43"/>
    <s v="Tapan Siddiqui"/>
    <n v="44"/>
    <s v="Adult"/>
    <s v="Good"/>
    <x v="1"/>
    <s v="UPI"/>
    <n v="4"/>
    <s v="iPhone 11"/>
    <n v="65392.86"/>
    <s v="Good"/>
    <s v="Average"/>
  </r>
  <r>
    <s v="Pras361393"/>
    <n v="1393"/>
    <n v="10"/>
    <n v="11"/>
    <n v="2022"/>
    <d v="2022-11-10T00:00:00"/>
    <s v="November"/>
    <d v="2025-08-01T00:00:00"/>
    <x v="0"/>
    <n v="1"/>
    <n v="38390.36"/>
    <s v="Prashant Gupta"/>
    <n v="36"/>
    <s v="Adult"/>
    <s v="AVG"/>
    <x v="2"/>
    <s v="UPI"/>
    <n v="3"/>
    <s v="Mi 11"/>
    <n v="38390.36"/>
    <s v="Average"/>
    <s v="Low"/>
  </r>
  <r>
    <s v="Ravi221394"/>
    <n v="1394"/>
    <n v="10"/>
    <n v="11"/>
    <n v="2022"/>
    <d v="2022-11-10T00:00:00"/>
    <s v="November"/>
    <d v="2025-08-02T00:00:00"/>
    <x v="3"/>
    <n v="9"/>
    <n v="47823.86"/>
    <s v="Ravi Patel"/>
    <n v="22"/>
    <s v="Teenagers"/>
    <s v="Good"/>
    <x v="1"/>
    <s v="Debit Card"/>
    <n v="5"/>
    <s v="Galaxy S21"/>
    <n v="430414.74"/>
    <s v="Good"/>
    <s v="Excellent"/>
  </r>
  <r>
    <s v="Raje461395"/>
    <n v="1395"/>
    <n v="11"/>
    <n v="11"/>
    <n v="2022"/>
    <d v="2022-11-11T00:00:00"/>
    <s v="November"/>
    <d v="2025-08-03T00:00:00"/>
    <x v="4"/>
    <n v="9"/>
    <n v="64472.36"/>
    <s v="Rajesh Nambiar"/>
    <n v="46"/>
    <s v="Senior Citezen"/>
    <s v="AVG"/>
    <x v="1"/>
    <s v="Debit Card"/>
    <n v="3"/>
    <s v="iPhone 11"/>
    <n v="580251.24"/>
    <s v="Average"/>
    <s v="Excellent"/>
  </r>
  <r>
    <s v="Sneh271396"/>
    <n v="1396"/>
    <n v="11"/>
    <n v="11"/>
    <n v="2022"/>
    <d v="2022-11-11T00:00:00"/>
    <s v="November"/>
    <d v="2025-08-04T00:00:00"/>
    <x v="0"/>
    <n v="7"/>
    <n v="35145.269999999997"/>
    <s v="Sneha Patel"/>
    <n v="27"/>
    <s v="Teenagers"/>
    <s v="Good"/>
    <x v="17"/>
    <s v="UPI"/>
    <n v="4"/>
    <s v="Redmi 9"/>
    <n v="246016.88999999998"/>
    <s v="Good"/>
    <s v="Excellent"/>
  </r>
  <r>
    <s v="Ravi571397"/>
    <n v="1397"/>
    <n v="11"/>
    <n v="11"/>
    <n v="2022"/>
    <d v="2022-11-11T00:00:00"/>
    <s v="November"/>
    <d v="2025-08-05T00:00:00"/>
    <x v="1"/>
    <n v="7"/>
    <n v="56999.01"/>
    <s v="Ravi Siddiqui"/>
    <n v="57"/>
    <s v="Senior Citezen"/>
    <s v="Good"/>
    <x v="6"/>
    <s v="UPI"/>
    <n v="4"/>
    <s v="Vivo V20"/>
    <n v="398993.07"/>
    <s v="Good"/>
    <s v="Excellent"/>
  </r>
  <r>
    <s v="Kris301398"/>
    <n v="1398"/>
    <n v="11"/>
    <n v="11"/>
    <n v="2022"/>
    <d v="2022-11-11T00:00:00"/>
    <s v="November"/>
    <d v="2025-08-06T00:00:00"/>
    <x v="3"/>
    <n v="3"/>
    <n v="26100.39"/>
    <s v="Krishna Pillai"/>
    <n v="30"/>
    <s v="Teenagers"/>
    <s v="Good"/>
    <x v="1"/>
    <s v="UPI"/>
    <n v="5"/>
    <s v="Galaxy A51"/>
    <n v="78301.17"/>
    <s v="Good"/>
    <s v="Average"/>
  </r>
  <r>
    <s v="Navi461399"/>
    <n v="1399"/>
    <n v="12"/>
    <n v="11"/>
    <n v="2022"/>
    <d v="2022-11-12T00:00:00"/>
    <s v="November"/>
    <d v="2025-08-07T00:00:00"/>
    <x v="3"/>
    <n v="2"/>
    <n v="51878.31"/>
    <s v="Navin Malhotra"/>
    <n v="46"/>
    <s v="Senior Citezen"/>
    <s v="Good"/>
    <x v="11"/>
    <s v="Credit Card"/>
    <n v="5"/>
    <s v="Galaxy A51"/>
    <n v="103756.62"/>
    <s v="Good"/>
    <s v="Good"/>
  </r>
  <r>
    <s v="Neet221400"/>
    <n v="1400"/>
    <n v="12"/>
    <n v="11"/>
    <n v="2022"/>
    <d v="2022-11-12T00:00:00"/>
    <s v="November"/>
    <d v="2025-08-08T00:00:00"/>
    <x v="3"/>
    <n v="7"/>
    <n v="10094.77"/>
    <s v="Neeta Solanki"/>
    <n v="22"/>
    <s v="Teenagers"/>
    <s v="Good"/>
    <x v="0"/>
    <s v="Credit Card"/>
    <n v="5"/>
    <s v="Galaxy Note 20"/>
    <n v="70663.39"/>
    <s v="Good"/>
    <s v="Average"/>
  </r>
  <r>
    <s v="Meen291401"/>
    <n v="1401"/>
    <n v="12"/>
    <n v="11"/>
    <n v="2022"/>
    <d v="2022-11-12T00:00:00"/>
    <s v="November"/>
    <d v="2025-08-09T00:00:00"/>
    <x v="1"/>
    <n v="9"/>
    <n v="62290.43"/>
    <s v="Meena Dutta"/>
    <n v="29"/>
    <s v="Teenagers"/>
    <s v="BAD"/>
    <x v="8"/>
    <s v="UPI"/>
    <n v="1"/>
    <s v="Vivo S1"/>
    <n v="560613.87"/>
    <s v="Average"/>
    <s v="Excellent"/>
  </r>
  <r>
    <s v="Pank301402"/>
    <n v="1402"/>
    <n v="13"/>
    <n v="11"/>
    <n v="2022"/>
    <d v="2022-11-13T00:00:00"/>
    <s v="November"/>
    <d v="2025-08-10T00:00:00"/>
    <x v="1"/>
    <n v="1"/>
    <n v="11822.77"/>
    <s v="Pankaj Alva"/>
    <n v="30"/>
    <s v="Teenagers"/>
    <s v="AVG"/>
    <x v="17"/>
    <s v="Debit Card"/>
    <n v="3"/>
    <s v="Vivo S1"/>
    <n v="11822.77"/>
    <s v="Average"/>
    <s v="Low"/>
  </r>
  <r>
    <s v="Ravi391403"/>
    <n v="1403"/>
    <n v="13"/>
    <n v="11"/>
    <n v="2022"/>
    <d v="2022-11-13T00:00:00"/>
    <s v="November"/>
    <d v="2025-08-11T00:00:00"/>
    <x v="2"/>
    <n v="4"/>
    <n v="52765.23"/>
    <s v="Ravi Arora"/>
    <n v="39"/>
    <s v="Adult"/>
    <s v="Good"/>
    <x v="16"/>
    <s v="Cash"/>
    <n v="5"/>
    <s v="OnePlus 9"/>
    <n v="211060.92"/>
    <s v="Good"/>
    <s v="Excellent"/>
  </r>
  <r>
    <s v="Anja571404"/>
    <n v="1404"/>
    <n v="13"/>
    <n v="11"/>
    <n v="2022"/>
    <d v="2022-11-13T00:00:00"/>
    <s v="November"/>
    <d v="2025-08-12T00:00:00"/>
    <x v="0"/>
    <n v="6"/>
    <n v="12775.49"/>
    <s v="Anjali Desai"/>
    <n v="57"/>
    <s v="Senior Citezen"/>
    <s v="BAD"/>
    <x v="14"/>
    <s v="Debit Card"/>
    <n v="1"/>
    <s v="Redmi Note 10"/>
    <n v="76652.94"/>
    <s v="Average"/>
    <s v="Average"/>
  </r>
  <r>
    <s v="Vija321405"/>
    <n v="1405"/>
    <n v="13"/>
    <n v="11"/>
    <n v="2022"/>
    <d v="2022-11-13T00:00:00"/>
    <s v="November"/>
    <d v="2025-08-13T00:00:00"/>
    <x v="2"/>
    <n v="7"/>
    <n v="25974.74"/>
    <s v="Vijay Solanki"/>
    <n v="32"/>
    <s v="Adult"/>
    <s v="Good"/>
    <x v="11"/>
    <s v="Cash"/>
    <n v="5"/>
    <s v="OnePlus Nord"/>
    <n v="181823.18000000002"/>
    <s v="Good"/>
    <s v="Good"/>
  </r>
  <r>
    <s v="Raje301406"/>
    <n v="1406"/>
    <n v="14"/>
    <n v="11"/>
    <n v="2022"/>
    <d v="2022-11-14T00:00:00"/>
    <s v="November"/>
    <d v="2025-08-14T00:00:00"/>
    <x v="0"/>
    <n v="7"/>
    <n v="39832.14"/>
    <s v="Rajesh Nambiar"/>
    <n v="30"/>
    <s v="Teenagers"/>
    <s v="Good"/>
    <x v="1"/>
    <s v="UPI"/>
    <n v="5"/>
    <s v="Mi 11"/>
    <n v="278824.98"/>
    <s v="Good"/>
    <s v="Excellent"/>
  </r>
  <r>
    <s v="Nami181407"/>
    <n v="1407"/>
    <n v="14"/>
    <n v="11"/>
    <n v="2022"/>
    <d v="2022-11-14T00:00:00"/>
    <s v="November"/>
    <d v="2025-08-15T00:00:00"/>
    <x v="1"/>
    <n v="2"/>
    <n v="35196.32"/>
    <s v="Namita Malhotra"/>
    <n v="18"/>
    <s v="Teenagers"/>
    <s v="Good"/>
    <x v="10"/>
    <s v="Credit Card"/>
    <n v="5"/>
    <s v="Vivo Y51"/>
    <n v="70392.639999999999"/>
    <s v="Good"/>
    <s v="Average"/>
  </r>
  <r>
    <s v="Kavi551408"/>
    <n v="1408"/>
    <n v="14"/>
    <n v="11"/>
    <n v="2022"/>
    <d v="2022-11-14T00:00:00"/>
    <s v="November"/>
    <d v="2025-08-16T00:00:00"/>
    <x v="1"/>
    <n v="4"/>
    <n v="21510.17"/>
    <s v="Kavita Dutta"/>
    <n v="55"/>
    <s v="Senior Citezen"/>
    <s v="Good"/>
    <x v="16"/>
    <s v="Credit Card"/>
    <n v="4"/>
    <s v="Vivo V20"/>
    <n v="86040.68"/>
    <s v="Good"/>
    <s v="Average"/>
  </r>
  <r>
    <s v="Vija181409"/>
    <n v="1409"/>
    <n v="14"/>
    <n v="11"/>
    <n v="2022"/>
    <d v="2022-11-14T00:00:00"/>
    <s v="November"/>
    <d v="2025-08-17T00:00:00"/>
    <x v="2"/>
    <n v="5"/>
    <n v="30028.89"/>
    <s v="Vijay Das"/>
    <n v="18"/>
    <s v="Teenagers"/>
    <s v="AVG"/>
    <x v="1"/>
    <s v="Cash"/>
    <n v="3"/>
    <s v="OnePlus 9"/>
    <n v="150144.45000000001"/>
    <s v="Average"/>
    <s v="Good"/>
  </r>
  <r>
    <s v="Ravi281410"/>
    <n v="1410"/>
    <n v="15"/>
    <n v="11"/>
    <n v="2022"/>
    <d v="2022-11-15T00:00:00"/>
    <s v="November"/>
    <d v="2025-08-18T00:00:00"/>
    <x v="4"/>
    <n v="1"/>
    <n v="53662.38"/>
    <s v="Ravi Siddiqui"/>
    <n v="28"/>
    <s v="Teenagers"/>
    <s v="AVG"/>
    <x v="12"/>
    <s v="UPI"/>
    <n v="3"/>
    <s v="iPhone 12"/>
    <n v="53662.38"/>
    <s v="Average"/>
    <s v="Average"/>
  </r>
  <r>
    <s v="Priy571411"/>
    <n v="1411"/>
    <n v="15"/>
    <n v="11"/>
    <n v="2022"/>
    <d v="2022-11-15T00:00:00"/>
    <s v="November"/>
    <d v="2025-08-19T00:00:00"/>
    <x v="2"/>
    <n v="1"/>
    <n v="50155.43"/>
    <s v="Priyanka Patel"/>
    <n v="57"/>
    <s v="Senior Citezen"/>
    <s v="AVG"/>
    <x v="11"/>
    <s v="Credit Card"/>
    <n v="3"/>
    <s v="OnePlus 8T"/>
    <n v="50155.43"/>
    <s v="Average"/>
    <s v="Average"/>
  </r>
  <r>
    <s v="Suni391412"/>
    <n v="1412"/>
    <n v="15"/>
    <n v="11"/>
    <n v="2022"/>
    <d v="2022-11-15T00:00:00"/>
    <s v="November"/>
    <d v="2025-08-20T00:00:00"/>
    <x v="0"/>
    <n v="3"/>
    <n v="14308.88"/>
    <s v="Sunil Iyer"/>
    <n v="39"/>
    <s v="Adult"/>
    <s v="Good"/>
    <x v="2"/>
    <s v="UPI"/>
    <n v="5"/>
    <s v="Redmi Note 10"/>
    <n v="42926.64"/>
    <s v="Good"/>
    <s v="Low"/>
  </r>
  <r>
    <s v="Sneh521413"/>
    <n v="1413"/>
    <n v="16"/>
    <n v="11"/>
    <n v="2022"/>
    <d v="2022-11-16T00:00:00"/>
    <s v="November"/>
    <d v="2025-08-21T00:00:00"/>
    <x v="2"/>
    <n v="3"/>
    <n v="54838.95"/>
    <s v="Sneha Prasad"/>
    <n v="52"/>
    <s v="Senior Citezen"/>
    <s v="Good"/>
    <x v="1"/>
    <s v="UPI"/>
    <n v="5"/>
    <s v="OnePlus Nord"/>
    <n v="164516.84999999998"/>
    <s v="Good"/>
    <s v="Good"/>
  </r>
  <r>
    <s v="Arun231414"/>
    <n v="1414"/>
    <n v="16"/>
    <n v="11"/>
    <n v="2022"/>
    <d v="2022-11-16T00:00:00"/>
    <s v="November"/>
    <d v="2025-08-22T00:00:00"/>
    <x v="3"/>
    <n v="8"/>
    <n v="13182.75"/>
    <s v="Arun Gupta"/>
    <n v="23"/>
    <s v="Teenagers"/>
    <s v="AVG"/>
    <x v="1"/>
    <s v="Cash"/>
    <n v="3"/>
    <s v="Galaxy Note 20"/>
    <n v="105462"/>
    <s v="Average"/>
    <s v="Good"/>
  </r>
  <r>
    <s v="Priy451415"/>
    <n v="1415"/>
    <n v="16"/>
    <n v="11"/>
    <n v="2022"/>
    <d v="2022-11-16T00:00:00"/>
    <s v="November"/>
    <d v="2025-08-23T00:00:00"/>
    <x v="0"/>
    <n v="9"/>
    <n v="42575.58"/>
    <s v="Priyanka Sharma"/>
    <n v="45"/>
    <s v="Adult"/>
    <s v="Good"/>
    <x v="1"/>
    <s v="UPI"/>
    <n v="4"/>
    <s v="Redmi 9"/>
    <n v="383180.22000000003"/>
    <s v="Good"/>
    <s v="Excellent"/>
  </r>
  <r>
    <s v="Pank481416"/>
    <n v="1416"/>
    <n v="17"/>
    <n v="11"/>
    <n v="2022"/>
    <d v="2022-11-17T00:00:00"/>
    <s v="November"/>
    <d v="2025-08-24T00:00:00"/>
    <x v="0"/>
    <n v="1"/>
    <n v="25603.759999999998"/>
    <s v="Pankaj Gupta"/>
    <n v="48"/>
    <s v="Senior Citezen"/>
    <s v="BAD"/>
    <x v="18"/>
    <s v="UPI"/>
    <n v="1"/>
    <s v="Redmi Note 10"/>
    <n v="25603.759999999998"/>
    <s v="Average"/>
    <s v="Low"/>
  </r>
  <r>
    <s v="Yoge251417"/>
    <n v="1417"/>
    <n v="17"/>
    <n v="11"/>
    <n v="2022"/>
    <d v="2022-11-17T00:00:00"/>
    <s v="November"/>
    <d v="2025-08-25T00:00:00"/>
    <x v="4"/>
    <n v="2"/>
    <n v="45261.41"/>
    <s v="Yogesh Luthra"/>
    <n v="25"/>
    <s v="Teenagers"/>
    <s v="Good"/>
    <x v="1"/>
    <s v="Cash"/>
    <n v="5"/>
    <s v="iPhone 11"/>
    <n v="90522.82"/>
    <s v="Good"/>
    <s v="Average"/>
  </r>
  <r>
    <s v="Yoge221418"/>
    <n v="1418"/>
    <n v="17"/>
    <n v="11"/>
    <n v="2022"/>
    <d v="2022-11-17T00:00:00"/>
    <s v="November"/>
    <d v="2025-08-26T00:00:00"/>
    <x v="1"/>
    <n v="2"/>
    <n v="25679.7"/>
    <s v="Yogesh Mishra"/>
    <n v="22"/>
    <s v="Teenagers"/>
    <s v="AVG"/>
    <x v="3"/>
    <s v="Credit Card"/>
    <n v="3"/>
    <s v="Vivo V20"/>
    <n v="51359.4"/>
    <s v="Average"/>
    <s v="Average"/>
  </r>
  <r>
    <s v="Priy591419"/>
    <n v="1419"/>
    <n v="17"/>
    <n v="11"/>
    <n v="2022"/>
    <d v="2022-11-17T00:00:00"/>
    <s v="November"/>
    <d v="2025-08-27T00:00:00"/>
    <x v="0"/>
    <n v="4"/>
    <n v="69097.48"/>
    <s v="Priyanka Pathak"/>
    <n v="59"/>
    <s v="Senior Citezen"/>
    <s v="Good"/>
    <x v="4"/>
    <s v="Debit Card"/>
    <n v="5"/>
    <s v="Mi 11"/>
    <n v="276389.92"/>
    <s v="Good"/>
    <s v="Excellent"/>
  </r>
  <r>
    <s v="Hari341420"/>
    <n v="1420"/>
    <n v="18"/>
    <n v="11"/>
    <n v="2022"/>
    <d v="2022-11-18T00:00:00"/>
    <s v="November"/>
    <d v="2025-08-28T00:00:00"/>
    <x v="1"/>
    <n v="2"/>
    <n v="28583.69"/>
    <s v="Harish Patel"/>
    <n v="34"/>
    <s v="Adult"/>
    <s v="Good"/>
    <x v="4"/>
    <s v="UPI"/>
    <n v="5"/>
    <s v="Vivo V20"/>
    <n v="57167.38"/>
    <s v="Good"/>
    <s v="Average"/>
  </r>
  <r>
    <s v="Vija551421"/>
    <n v="1421"/>
    <n v="18"/>
    <n v="11"/>
    <n v="2022"/>
    <d v="2022-11-18T00:00:00"/>
    <s v="November"/>
    <d v="2025-08-29T00:00:00"/>
    <x v="2"/>
    <n v="7"/>
    <n v="24517.64"/>
    <s v="Vijay Patel"/>
    <n v="55"/>
    <s v="Senior Citezen"/>
    <s v="BAD"/>
    <x v="2"/>
    <s v="Cash"/>
    <n v="1"/>
    <s v="OnePlus 8T"/>
    <n v="171623.47999999998"/>
    <s v="Average"/>
    <s v="Good"/>
  </r>
  <r>
    <s v="Tapa261422"/>
    <n v="1422"/>
    <n v="18"/>
    <n v="11"/>
    <n v="2022"/>
    <d v="2022-11-18T00:00:00"/>
    <s v="November"/>
    <d v="2025-08-30T00:00:00"/>
    <x v="3"/>
    <n v="9"/>
    <n v="26707.919999999998"/>
    <s v="Tapan Kumar"/>
    <n v="26"/>
    <s v="Teenagers"/>
    <s v="Good"/>
    <x v="2"/>
    <s v="Credit Card"/>
    <n v="5"/>
    <s v="Galaxy Note 20"/>
    <n v="240371.27999999997"/>
    <s v="Good"/>
    <s v="Excellent"/>
  </r>
  <r>
    <s v="Kavi271423"/>
    <n v="1423"/>
    <n v="18"/>
    <n v="11"/>
    <n v="2022"/>
    <d v="2022-11-18T00:00:00"/>
    <s v="November"/>
    <d v="2025-08-31T00:00:00"/>
    <x v="4"/>
    <n v="7"/>
    <n v="63788.37"/>
    <s v="Kavita Teja"/>
    <n v="27"/>
    <s v="Teenagers"/>
    <s v="BAD"/>
    <x v="4"/>
    <s v="UPI"/>
    <n v="1"/>
    <s v="iPhone 11"/>
    <n v="446518.59"/>
    <s v="Average"/>
    <s v="Excellent"/>
  </r>
  <r>
    <s v="Nami371424"/>
    <n v="1424"/>
    <n v="19"/>
    <n v="11"/>
    <n v="2022"/>
    <d v="2022-11-19T00:00:00"/>
    <s v="November"/>
    <d v="2025-09-01T00:00:00"/>
    <x v="1"/>
    <n v="6"/>
    <n v="48173.13"/>
    <s v="Namita Teja"/>
    <n v="37"/>
    <s v="Adult"/>
    <s v="BAD"/>
    <x v="2"/>
    <s v="Debit Card"/>
    <n v="1"/>
    <s v="Vivo S1"/>
    <n v="289038.77999999997"/>
    <s v="Average"/>
    <s v="Excellent"/>
  </r>
  <r>
    <s v="Kavi311425"/>
    <n v="1425"/>
    <n v="19"/>
    <n v="11"/>
    <n v="2022"/>
    <d v="2022-11-19T00:00:00"/>
    <s v="November"/>
    <d v="2025-09-02T00:00:00"/>
    <x v="0"/>
    <n v="1"/>
    <n v="53841.05"/>
    <s v="Kavita Rawat"/>
    <n v="31"/>
    <s v="Adult"/>
    <s v="Good"/>
    <x v="17"/>
    <s v="Credit Card"/>
    <n v="5"/>
    <s v="Redmi Note 10"/>
    <n v="53841.05"/>
    <s v="Good"/>
    <s v="Average"/>
  </r>
  <r>
    <s v="Isha311426"/>
    <n v="1426"/>
    <n v="19"/>
    <n v="11"/>
    <n v="2022"/>
    <d v="2022-11-19T00:00:00"/>
    <s v="November"/>
    <d v="2025-09-03T00:00:00"/>
    <x v="1"/>
    <n v="9"/>
    <n v="65080.63"/>
    <s v="Isha Desai"/>
    <n v="31"/>
    <s v="Adult"/>
    <s v="BAD"/>
    <x v="9"/>
    <s v="Cash"/>
    <n v="1"/>
    <s v="Vivo V20"/>
    <n v="585725.66999999993"/>
    <s v="Average"/>
    <s v="Excellent"/>
  </r>
  <r>
    <s v="Radh431427"/>
    <n v="1427"/>
    <n v="19"/>
    <n v="11"/>
    <n v="2022"/>
    <d v="2022-11-19T00:00:00"/>
    <s v="November"/>
    <d v="2025-09-04T00:00:00"/>
    <x v="0"/>
    <n v="5"/>
    <n v="64712.35"/>
    <s v="Radha Kulkarni"/>
    <n v="43"/>
    <s v="Adult"/>
    <s v="Good"/>
    <x v="1"/>
    <s v="UPI"/>
    <n v="5"/>
    <s v="Mi 11"/>
    <n v="323561.75"/>
    <s v="Good"/>
    <s v="Excellent"/>
  </r>
  <r>
    <s v="Rame461428"/>
    <n v="1428"/>
    <n v="20"/>
    <n v="11"/>
    <n v="2022"/>
    <d v="2022-11-20T00:00:00"/>
    <s v="November"/>
    <d v="2025-09-05T00:00:00"/>
    <x v="1"/>
    <n v="5"/>
    <n v="54336.75"/>
    <s v="Ramesh Verma"/>
    <n v="46"/>
    <s v="Senior Citezen"/>
    <s v="Good"/>
    <x v="1"/>
    <s v="Cash"/>
    <n v="5"/>
    <s v="Vivo S1"/>
    <n v="271683.75"/>
    <s v="Good"/>
    <s v="Excellent"/>
  </r>
  <r>
    <s v="Neet441429"/>
    <n v="1429"/>
    <n v="20"/>
    <n v="11"/>
    <n v="2022"/>
    <d v="2022-11-20T00:00:00"/>
    <s v="November"/>
    <d v="2025-09-06T00:00:00"/>
    <x v="0"/>
    <n v="6"/>
    <n v="21869.47"/>
    <s v="Neeta Mathur"/>
    <n v="44"/>
    <s v="Adult"/>
    <s v="Good"/>
    <x v="1"/>
    <s v="Debit Card"/>
    <n v="4"/>
    <s v="Mi 11"/>
    <n v="131216.82"/>
    <s v="Good"/>
    <s v="Good"/>
  </r>
  <r>
    <s v="Pooj421430"/>
    <n v="1430"/>
    <n v="20"/>
    <n v="11"/>
    <n v="2022"/>
    <d v="2022-11-20T00:00:00"/>
    <s v="November"/>
    <d v="2025-09-07T00:00:00"/>
    <x v="2"/>
    <n v="9"/>
    <n v="60602.400000000001"/>
    <s v="Pooja Roy"/>
    <n v="42"/>
    <s v="Adult"/>
    <s v="Good"/>
    <x v="1"/>
    <s v="Debit Card"/>
    <n v="5"/>
    <s v="OnePlus 9"/>
    <n v="545421.6"/>
    <s v="Good"/>
    <s v="Excellent"/>
  </r>
  <r>
    <s v="Sneh331431"/>
    <n v="1431"/>
    <n v="20"/>
    <n v="11"/>
    <n v="2022"/>
    <d v="2022-11-20T00:00:00"/>
    <s v="November"/>
    <d v="2025-09-08T00:00:00"/>
    <x v="0"/>
    <n v="8"/>
    <n v="22226.560000000001"/>
    <s v="Sneha Mishra"/>
    <n v="33"/>
    <s v="Adult"/>
    <s v="BAD"/>
    <x v="8"/>
    <s v="Cash"/>
    <n v="1"/>
    <s v="Redmi Note 10"/>
    <n v="177812.48000000001"/>
    <s v="Average"/>
    <s v="Good"/>
  </r>
  <r>
    <s v="Priy531432"/>
    <n v="1432"/>
    <n v="21"/>
    <n v="11"/>
    <n v="2022"/>
    <d v="2022-11-21T00:00:00"/>
    <s v="November"/>
    <d v="2025-09-09T00:00:00"/>
    <x v="0"/>
    <n v="8"/>
    <n v="54573.93"/>
    <s v="Priya Mehta"/>
    <n v="53"/>
    <s v="Senior Citezen"/>
    <s v="Good"/>
    <x v="2"/>
    <s v="UPI"/>
    <n v="5"/>
    <s v="Mi 11"/>
    <n v="436591.44"/>
    <s v="Good"/>
    <s v="Excellent"/>
  </r>
  <r>
    <s v="Bhav511433"/>
    <n v="1433"/>
    <n v="21"/>
    <n v="11"/>
    <n v="2022"/>
    <d v="2022-11-21T00:00:00"/>
    <s v="November"/>
    <d v="2025-09-10T00:00:00"/>
    <x v="3"/>
    <n v="8"/>
    <n v="51136.18"/>
    <s v="Bhavana Mehta"/>
    <n v="51"/>
    <s v="Senior Citezen"/>
    <s v="BAD"/>
    <x v="18"/>
    <s v="Cash"/>
    <n v="1"/>
    <s v="Galaxy Note 20"/>
    <n v="409089.44"/>
    <s v="Average"/>
    <s v="Excellent"/>
  </r>
  <r>
    <s v="Kira331434"/>
    <n v="1434"/>
    <n v="21"/>
    <n v="11"/>
    <n v="2022"/>
    <d v="2022-11-21T00:00:00"/>
    <s v="November"/>
    <d v="2025-09-11T00:00:00"/>
    <x v="0"/>
    <n v="1"/>
    <n v="55533.33"/>
    <s v="Kiran Solanki"/>
    <n v="33"/>
    <s v="Adult"/>
    <s v="Good"/>
    <x v="1"/>
    <s v="Credit Card"/>
    <n v="5"/>
    <s v="Mi 11"/>
    <n v="55533.33"/>
    <s v="Good"/>
    <s v="Average"/>
  </r>
  <r>
    <s v="Kuna501435"/>
    <n v="1435"/>
    <n v="21"/>
    <n v="11"/>
    <n v="2022"/>
    <d v="2022-11-21T00:00:00"/>
    <s v="November"/>
    <d v="2025-09-12T00:00:00"/>
    <x v="3"/>
    <n v="1"/>
    <n v="41961.14"/>
    <s v="Kunal Chaudhary"/>
    <n v="50"/>
    <s v="Senior Citezen"/>
    <s v="Good"/>
    <x v="10"/>
    <s v="Cash"/>
    <n v="5"/>
    <s v="Galaxy S21"/>
    <n v="41961.14"/>
    <s v="Good"/>
    <s v="Low"/>
  </r>
  <r>
    <s v="Pooj201436"/>
    <n v="1436"/>
    <n v="22"/>
    <n v="11"/>
    <n v="2022"/>
    <d v="2022-11-22T00:00:00"/>
    <s v="November"/>
    <d v="2025-09-13T00:00:00"/>
    <x v="4"/>
    <n v="8"/>
    <n v="48323.57"/>
    <s v="Pooja Luthra"/>
    <n v="20"/>
    <s v="Teenagers"/>
    <s v="Good"/>
    <x v="7"/>
    <s v="Debit Card"/>
    <n v="5"/>
    <s v="iPhone 11"/>
    <n v="386588.56"/>
    <s v="Good"/>
    <s v="Excellent"/>
  </r>
  <r>
    <s v="Raje401437"/>
    <n v="1437"/>
    <n v="22"/>
    <n v="11"/>
    <n v="2022"/>
    <d v="2022-11-22T00:00:00"/>
    <s v="November"/>
    <d v="2025-09-14T00:00:00"/>
    <x v="3"/>
    <n v="5"/>
    <n v="67199.199999999997"/>
    <s v="Rajesh Kulkarni"/>
    <n v="40"/>
    <s v="Adult"/>
    <s v="Good"/>
    <x v="1"/>
    <s v="UPI"/>
    <n v="5"/>
    <s v="Galaxy Note 20"/>
    <n v="335996"/>
    <s v="Good"/>
    <s v="Excellent"/>
  </r>
  <r>
    <s v="Reen281438"/>
    <n v="1438"/>
    <n v="22"/>
    <n v="11"/>
    <n v="2022"/>
    <d v="2022-11-22T00:00:00"/>
    <s v="November"/>
    <d v="2025-09-15T00:00:00"/>
    <x v="2"/>
    <n v="9"/>
    <n v="16065.32"/>
    <s v="Reena Sharma"/>
    <n v="28"/>
    <s v="Teenagers"/>
    <s v="BAD"/>
    <x v="2"/>
    <s v="UPI"/>
    <n v="1"/>
    <s v="OnePlus 9"/>
    <n v="144587.88"/>
    <s v="Average"/>
    <s v="Good"/>
  </r>
  <r>
    <s v="Suni351439"/>
    <n v="1439"/>
    <n v="22"/>
    <n v="11"/>
    <n v="2022"/>
    <d v="2022-11-22T00:00:00"/>
    <s v="November"/>
    <d v="2025-09-16T00:00:00"/>
    <x v="3"/>
    <n v="2"/>
    <n v="28530.84"/>
    <s v="Sunil Dutta"/>
    <n v="35"/>
    <s v="Adult"/>
    <s v="Good"/>
    <x v="5"/>
    <s v="Debit Card"/>
    <n v="5"/>
    <s v="Galaxy Note 20"/>
    <n v="57061.68"/>
    <s v="Good"/>
    <s v="Average"/>
  </r>
  <r>
    <s v="Anit581440"/>
    <n v="1440"/>
    <n v="23"/>
    <n v="11"/>
    <n v="2022"/>
    <d v="2022-11-23T00:00:00"/>
    <s v="November"/>
    <d v="2025-09-17T00:00:00"/>
    <x v="4"/>
    <n v="9"/>
    <n v="46681.42"/>
    <s v="Anita Srivastava"/>
    <n v="58"/>
    <s v="Senior Citezen"/>
    <s v="Good"/>
    <x v="16"/>
    <s v="Debit Card"/>
    <n v="5"/>
    <s v="iPhone SE"/>
    <n v="420132.77999999997"/>
    <s v="Good"/>
    <s v="Excellent"/>
  </r>
  <r>
    <s v="Kavi461441"/>
    <n v="1441"/>
    <n v="23"/>
    <n v="11"/>
    <n v="2022"/>
    <d v="2022-11-23T00:00:00"/>
    <s v="November"/>
    <d v="2025-09-18T00:00:00"/>
    <x v="2"/>
    <n v="8"/>
    <n v="67843.25"/>
    <s v="Kavita Singh"/>
    <n v="46"/>
    <s v="Senior Citezen"/>
    <s v="Good"/>
    <x v="2"/>
    <s v="Credit Card"/>
    <n v="5"/>
    <s v="OnePlus 9"/>
    <n v="542746"/>
    <s v="Good"/>
    <s v="Excellent"/>
  </r>
  <r>
    <s v="Shru221442"/>
    <n v="1442"/>
    <n v="23"/>
    <n v="11"/>
    <n v="2022"/>
    <d v="2022-11-23T00:00:00"/>
    <s v="November"/>
    <d v="2025-09-19T00:00:00"/>
    <x v="1"/>
    <n v="9"/>
    <n v="15734.47"/>
    <s v="Shruti Shah"/>
    <n v="22"/>
    <s v="Teenagers"/>
    <s v="Good"/>
    <x v="8"/>
    <s v="Debit Card"/>
    <n v="5"/>
    <s v="Vivo Y51"/>
    <n v="141610.22999999998"/>
    <s v="Good"/>
    <s v="Good"/>
  </r>
  <r>
    <s v="Nami411443"/>
    <n v="1443"/>
    <n v="24"/>
    <n v="11"/>
    <n v="2022"/>
    <d v="2022-11-24T00:00:00"/>
    <s v="November"/>
    <d v="2025-09-20T00:00:00"/>
    <x v="1"/>
    <n v="4"/>
    <n v="11352.95"/>
    <s v="Namita Ghosh"/>
    <n v="41"/>
    <s v="Adult"/>
    <s v="Good"/>
    <x v="1"/>
    <s v="Debit Card"/>
    <n v="4"/>
    <s v="Vivo Y51"/>
    <n v="45411.8"/>
    <s v="Good"/>
    <s v="Low"/>
  </r>
  <r>
    <s v="Radh461444"/>
    <n v="1444"/>
    <n v="24"/>
    <n v="11"/>
    <n v="2022"/>
    <d v="2022-11-24T00:00:00"/>
    <s v="November"/>
    <d v="2025-09-21T00:00:00"/>
    <x v="3"/>
    <n v="1"/>
    <n v="13344.98"/>
    <s v="Radha Kaur"/>
    <n v="46"/>
    <s v="Senior Citezen"/>
    <s v="BAD"/>
    <x v="1"/>
    <s v="Debit Card"/>
    <n v="1"/>
    <s v="Galaxy S21"/>
    <n v="13344.98"/>
    <s v="Average"/>
    <s v="Low"/>
  </r>
  <r>
    <s v="Pras461445"/>
    <n v="1445"/>
    <n v="24"/>
    <n v="11"/>
    <n v="2022"/>
    <d v="2022-11-24T00:00:00"/>
    <s v="November"/>
    <d v="2025-09-22T00:00:00"/>
    <x v="3"/>
    <n v="1"/>
    <n v="13144.34"/>
    <s v="Prashant Teja"/>
    <n v="46"/>
    <s v="Senior Citezen"/>
    <s v="BAD"/>
    <x v="17"/>
    <s v="UPI"/>
    <n v="1"/>
    <s v="Galaxy S21"/>
    <n v="13144.34"/>
    <s v="Average"/>
    <s v="Low"/>
  </r>
  <r>
    <s v="Roha431446"/>
    <n v="1446"/>
    <n v="24"/>
    <n v="11"/>
    <n v="2022"/>
    <d v="2022-11-24T00:00:00"/>
    <s v="November"/>
    <d v="2025-09-23T00:00:00"/>
    <x v="4"/>
    <n v="5"/>
    <n v="64468.95"/>
    <s v="Rohan Singh"/>
    <n v="43"/>
    <s v="Adult"/>
    <s v="Good"/>
    <x v="13"/>
    <s v="Debit Card"/>
    <n v="5"/>
    <s v="iPhone SE"/>
    <n v="322344.75"/>
    <s v="Good"/>
    <s v="Excellent"/>
  </r>
  <r>
    <s v="Nikh571447"/>
    <n v="1447"/>
    <n v="25"/>
    <n v="11"/>
    <n v="2022"/>
    <d v="2022-11-25T00:00:00"/>
    <s v="November"/>
    <d v="2025-09-24T00:00:00"/>
    <x v="4"/>
    <n v="2"/>
    <n v="53275.47"/>
    <s v="Nikhil Patel"/>
    <n v="57"/>
    <s v="Senior Citezen"/>
    <s v="BAD"/>
    <x v="1"/>
    <s v="Cash"/>
    <n v="1"/>
    <s v="iPhone 11"/>
    <n v="106550.94"/>
    <s v="Average"/>
    <s v="Good"/>
  </r>
  <r>
    <s v="Raje201448"/>
    <n v="1448"/>
    <n v="25"/>
    <n v="11"/>
    <n v="2022"/>
    <d v="2022-11-25T00:00:00"/>
    <s v="November"/>
    <d v="2025-09-25T00:00:00"/>
    <x v="0"/>
    <n v="8"/>
    <n v="50626.38"/>
    <s v="Rajesh Verma"/>
    <n v="20"/>
    <s v="Teenagers"/>
    <s v="Good"/>
    <x v="1"/>
    <s v="Cash"/>
    <n v="5"/>
    <s v="Mi 11"/>
    <n v="405011.04"/>
    <s v="Good"/>
    <s v="Excellent"/>
  </r>
  <r>
    <s v="Suni191449"/>
    <n v="1449"/>
    <n v="25"/>
    <n v="11"/>
    <n v="2022"/>
    <d v="2022-11-25T00:00:00"/>
    <s v="November"/>
    <d v="2025-09-26T00:00:00"/>
    <x v="4"/>
    <n v="5"/>
    <n v="41354.370000000003"/>
    <s v="Sunita Das"/>
    <n v="19"/>
    <s v="Teenagers"/>
    <s v="AVG"/>
    <x v="1"/>
    <s v="UPI"/>
    <n v="3"/>
    <s v="iPhone 11"/>
    <n v="206771.85"/>
    <s v="Average"/>
    <s v="Excellent"/>
  </r>
  <r>
    <s v="Sneh421450"/>
    <n v="1450"/>
    <n v="25"/>
    <n v="11"/>
    <n v="2022"/>
    <d v="2022-11-25T00:00:00"/>
    <s v="November"/>
    <d v="2025-09-27T00:00:00"/>
    <x v="0"/>
    <n v="5"/>
    <n v="56917.16"/>
    <s v="Sneha Menon"/>
    <n v="42"/>
    <s v="Adult"/>
    <s v="BAD"/>
    <x v="17"/>
    <s v="Credit Card"/>
    <n v="1"/>
    <s v="Redmi Note 10"/>
    <n v="284585.80000000005"/>
    <s v="Average"/>
    <s v="Excellent"/>
  </r>
  <r>
    <s v="Priy361451"/>
    <n v="1451"/>
    <n v="26"/>
    <n v="11"/>
    <n v="2022"/>
    <d v="2022-11-26T00:00:00"/>
    <s v="November"/>
    <d v="2025-09-28T00:00:00"/>
    <x v="2"/>
    <n v="2"/>
    <n v="19338.88"/>
    <s v="Priyanka Sharma"/>
    <n v="36"/>
    <s v="Adult"/>
    <s v="AVG"/>
    <x v="5"/>
    <s v="Credit Card"/>
    <n v="3"/>
    <s v="OnePlus 9"/>
    <n v="38677.760000000002"/>
    <s v="Average"/>
    <s v="Low"/>
  </r>
  <r>
    <s v="Bhav571452"/>
    <n v="1452"/>
    <n v="26"/>
    <n v="11"/>
    <n v="2022"/>
    <d v="2022-11-26T00:00:00"/>
    <s v="November"/>
    <d v="2025-09-29T00:00:00"/>
    <x v="3"/>
    <n v="7"/>
    <n v="33516.47"/>
    <s v="Bhavana Teja"/>
    <n v="57"/>
    <s v="Senior Citezen"/>
    <s v="Good"/>
    <x v="2"/>
    <s v="UPI"/>
    <n v="4"/>
    <s v="Galaxy S21"/>
    <n v="234615.29"/>
    <s v="Good"/>
    <s v="Excellent"/>
  </r>
  <r>
    <s v="Deep191453"/>
    <n v="1453"/>
    <n v="26"/>
    <n v="11"/>
    <n v="2022"/>
    <d v="2022-11-26T00:00:00"/>
    <s v="November"/>
    <d v="2025-09-30T00:00:00"/>
    <x v="2"/>
    <n v="8"/>
    <n v="39400.26"/>
    <s v="Deepika Reddy"/>
    <n v="19"/>
    <s v="Teenagers"/>
    <s v="Good"/>
    <x v="1"/>
    <s v="Cash"/>
    <n v="5"/>
    <s v="OnePlus 8T"/>
    <n v="315202.08"/>
    <s v="Good"/>
    <s v="Excellent"/>
  </r>
  <r>
    <s v="Ravi361454"/>
    <n v="1454"/>
    <n v="27"/>
    <n v="11"/>
    <n v="2022"/>
    <d v="2022-11-27T00:00:00"/>
    <s v="November"/>
    <d v="2025-10-01T00:00:00"/>
    <x v="4"/>
    <n v="1"/>
    <n v="16624.57"/>
    <s v="Ravi Jain"/>
    <n v="36"/>
    <s v="Adult"/>
    <s v="Good"/>
    <x v="15"/>
    <s v="UPI"/>
    <n v="5"/>
    <s v="iPhone 11"/>
    <n v="16624.57"/>
    <s v="Good"/>
    <s v="Low"/>
  </r>
  <r>
    <s v="Kavi181455"/>
    <n v="1455"/>
    <n v="27"/>
    <n v="11"/>
    <n v="2022"/>
    <d v="2022-11-27T00:00:00"/>
    <s v="November"/>
    <d v="2025-10-02T00:00:00"/>
    <x v="2"/>
    <n v="2"/>
    <n v="35170.82"/>
    <s v="Kavita Iyer"/>
    <n v="18"/>
    <s v="Teenagers"/>
    <s v="Good"/>
    <x v="6"/>
    <s v="Debit Card"/>
    <n v="5"/>
    <s v="OnePlus 9"/>
    <n v="70341.64"/>
    <s v="Good"/>
    <s v="Average"/>
  </r>
  <r>
    <s v="Radh441456"/>
    <n v="1456"/>
    <n v="27"/>
    <n v="11"/>
    <n v="2022"/>
    <d v="2022-11-27T00:00:00"/>
    <s v="November"/>
    <d v="2025-10-03T00:00:00"/>
    <x v="2"/>
    <n v="4"/>
    <n v="28990.11"/>
    <s v="Radha Alva"/>
    <n v="44"/>
    <s v="Adult"/>
    <s v="Good"/>
    <x v="9"/>
    <s v="UPI"/>
    <n v="4"/>
    <s v="OnePlus Nord"/>
    <n v="115960.44"/>
    <s v="Good"/>
    <s v="Good"/>
  </r>
  <r>
    <s v="Deep521457"/>
    <n v="1457"/>
    <n v="28"/>
    <n v="11"/>
    <n v="2022"/>
    <d v="2022-11-28T00:00:00"/>
    <s v="November"/>
    <d v="2025-10-04T00:00:00"/>
    <x v="2"/>
    <n v="5"/>
    <n v="12134.93"/>
    <s v="Deepika Malhotra"/>
    <n v="52"/>
    <s v="Senior Citezen"/>
    <s v="Good"/>
    <x v="6"/>
    <s v="Credit Card"/>
    <n v="5"/>
    <s v="OnePlus 8T"/>
    <n v="60674.65"/>
    <s v="Good"/>
    <s v="Average"/>
  </r>
  <r>
    <s v="Ayes581458"/>
    <n v="1458"/>
    <n v="28"/>
    <n v="11"/>
    <n v="2022"/>
    <d v="2022-11-28T00:00:00"/>
    <s v="November"/>
    <d v="2025-10-05T00:00:00"/>
    <x v="4"/>
    <n v="2"/>
    <n v="18204.12"/>
    <s v="Ayesha Singh"/>
    <n v="58"/>
    <s v="Senior Citezen"/>
    <s v="AVG"/>
    <x v="17"/>
    <s v="Cash"/>
    <n v="3"/>
    <s v="iPhone SE"/>
    <n v="36408.239999999998"/>
    <s v="Average"/>
    <s v="Low"/>
  </r>
  <r>
    <s v="Lata221459"/>
    <n v="1459"/>
    <n v="28"/>
    <n v="11"/>
    <n v="2022"/>
    <d v="2022-11-28T00:00:00"/>
    <s v="November"/>
    <d v="2025-10-06T00:00:00"/>
    <x v="2"/>
    <n v="1"/>
    <n v="55842.21"/>
    <s v="Lata Shah"/>
    <n v="22"/>
    <s v="Teenagers"/>
    <s v="BAD"/>
    <x v="17"/>
    <s v="Credit Card"/>
    <n v="1"/>
    <s v="OnePlus 9"/>
    <n v="55842.21"/>
    <s v="Average"/>
    <s v="Average"/>
  </r>
  <r>
    <s v="Bina551460"/>
    <n v="1460"/>
    <n v="29"/>
    <n v="11"/>
    <n v="2022"/>
    <d v="2022-11-29T00:00:00"/>
    <s v="November"/>
    <d v="2025-10-07T00:00:00"/>
    <x v="0"/>
    <n v="9"/>
    <n v="11082.27"/>
    <s v="Bina Solanki"/>
    <n v="55"/>
    <s v="Senior Citezen"/>
    <s v="Good"/>
    <x v="3"/>
    <s v="Credit Card"/>
    <n v="5"/>
    <s v="Mi 11"/>
    <n v="99740.430000000008"/>
    <s v="Good"/>
    <s v="Average"/>
  </r>
  <r>
    <s v="Anit211461"/>
    <n v="1461"/>
    <n v="29"/>
    <n v="11"/>
    <n v="2022"/>
    <d v="2022-11-29T00:00:00"/>
    <s v="November"/>
    <d v="2025-10-08T00:00:00"/>
    <x v="4"/>
    <n v="1"/>
    <n v="66055.199999999997"/>
    <s v="Anita Varma"/>
    <n v="21"/>
    <s v="Teenagers"/>
    <s v="Good"/>
    <x v="17"/>
    <s v="Cash"/>
    <n v="5"/>
    <s v="iPhone SE"/>
    <n v="66055.199999999997"/>
    <s v="Good"/>
    <s v="Average"/>
  </r>
  <r>
    <s v="Deve341462"/>
    <n v="1462"/>
    <n v="29"/>
    <n v="11"/>
    <n v="2022"/>
    <d v="2022-11-29T00:00:00"/>
    <s v="November"/>
    <d v="2025-10-09T00:00:00"/>
    <x v="2"/>
    <n v="4"/>
    <n v="15185.48"/>
    <s v="Devendra Mathur"/>
    <n v="34"/>
    <s v="Adult"/>
    <s v="Good"/>
    <x v="3"/>
    <s v="Debit Card"/>
    <n v="5"/>
    <s v="OnePlus 8T"/>
    <n v="60741.919999999998"/>
    <s v="Good"/>
    <s v="Average"/>
  </r>
  <r>
    <s v="Isha381463"/>
    <n v="1463"/>
    <n v="30"/>
    <n v="11"/>
    <n v="2022"/>
    <d v="2022-11-30T00:00:00"/>
    <s v="November"/>
    <d v="2025-10-10T00:00:00"/>
    <x v="4"/>
    <n v="2"/>
    <n v="57954.29"/>
    <s v="Isha Nair"/>
    <n v="38"/>
    <s v="Adult"/>
    <s v="Good"/>
    <x v="0"/>
    <s v="Cash"/>
    <n v="5"/>
    <s v="iPhone SE"/>
    <n v="115908.58"/>
    <s v="Good"/>
    <s v="Good"/>
  </r>
  <r>
    <s v="Meen481464"/>
    <n v="1464"/>
    <n v="30"/>
    <n v="11"/>
    <n v="2022"/>
    <d v="2022-11-30T00:00:00"/>
    <s v="November"/>
    <d v="2025-10-11T00:00:00"/>
    <x v="1"/>
    <n v="4"/>
    <n v="63916.99"/>
    <s v="Meena Das"/>
    <n v="48"/>
    <s v="Senior Citezen"/>
    <s v="AVG"/>
    <x v="4"/>
    <s v="Cash"/>
    <n v="3"/>
    <s v="Vivo Y51"/>
    <n v="255667.96"/>
    <s v="Average"/>
    <s v="Excellent"/>
  </r>
  <r>
    <s v="Kavi391465"/>
    <n v="1465"/>
    <n v="30"/>
    <n v="11"/>
    <n v="2022"/>
    <d v="2022-11-30T00:00:00"/>
    <s v="November"/>
    <d v="2025-10-12T00:00:00"/>
    <x v="0"/>
    <n v="8"/>
    <n v="66468.14"/>
    <s v="Kavita Teja"/>
    <n v="39"/>
    <s v="Adult"/>
    <s v="Good"/>
    <x v="1"/>
    <s v="UPI"/>
    <n v="5"/>
    <s v="Redmi 9"/>
    <n v="531745.12"/>
    <s v="Good"/>
    <s v="Excellent"/>
  </r>
  <r>
    <s v="Pank281466"/>
    <n v="1466"/>
    <n v="30"/>
    <n v="11"/>
    <n v="2022"/>
    <d v="2022-11-30T00:00:00"/>
    <s v="November"/>
    <d v="2025-10-13T00:00:00"/>
    <x v="2"/>
    <n v="8"/>
    <n v="62048.62"/>
    <s v="Pankaj Singh"/>
    <n v="28"/>
    <s v="Teenagers"/>
    <s v="Good"/>
    <x v="18"/>
    <s v="Cash"/>
    <n v="4"/>
    <s v="OnePlus Nord"/>
    <n v="496388.96"/>
    <s v="Good"/>
    <s v="Excellent"/>
  </r>
  <r>
    <s v="Mala511467"/>
    <n v="1467"/>
    <n v="1"/>
    <n v="12"/>
    <n v="2022"/>
    <d v="2022-12-01T00:00:00"/>
    <s v="December"/>
    <d v="2025-10-14T00:00:00"/>
    <x v="1"/>
    <n v="9"/>
    <n v="27253"/>
    <s v="Mala Kulkarni"/>
    <n v="51"/>
    <s v="Senior Citezen"/>
    <s v="Good"/>
    <x v="1"/>
    <s v="UPI"/>
    <n v="5"/>
    <s v="Vivo V20"/>
    <n v="245277"/>
    <s v="Good"/>
    <s v="Excellent"/>
  </r>
  <r>
    <s v="Pank321468"/>
    <n v="1468"/>
    <n v="1"/>
    <n v="12"/>
    <n v="2022"/>
    <d v="2022-12-01T00:00:00"/>
    <s v="December"/>
    <d v="2025-10-15T00:00:00"/>
    <x v="1"/>
    <n v="5"/>
    <n v="29985.23"/>
    <s v="Pankaj Desai"/>
    <n v="32"/>
    <s v="Adult"/>
    <s v="AVG"/>
    <x v="2"/>
    <s v="Credit Card"/>
    <n v="3"/>
    <s v="Vivo V20"/>
    <n v="149926.15"/>
    <s v="Average"/>
    <s v="Good"/>
  </r>
  <r>
    <s v="Sneh271469"/>
    <n v="1469"/>
    <n v="1"/>
    <n v="12"/>
    <n v="2022"/>
    <d v="2022-12-01T00:00:00"/>
    <s v="December"/>
    <d v="2025-10-16T00:00:00"/>
    <x v="4"/>
    <n v="7"/>
    <n v="35592.74"/>
    <s v="Sneha Sharma"/>
    <n v="27"/>
    <s v="Teenagers"/>
    <s v="BAD"/>
    <x v="9"/>
    <s v="Cash"/>
    <n v="1"/>
    <s v="iPhone SE"/>
    <n v="249149.18"/>
    <s v="Average"/>
    <s v="Excellent"/>
  </r>
  <r>
    <s v="Sanj551470"/>
    <n v="1470"/>
    <n v="1"/>
    <n v="12"/>
    <n v="2022"/>
    <d v="2022-12-01T00:00:00"/>
    <s v="December"/>
    <d v="2025-10-17T00:00:00"/>
    <x v="1"/>
    <n v="3"/>
    <n v="18357.8"/>
    <s v="Sanjay Malhotra"/>
    <n v="55"/>
    <s v="Senior Citezen"/>
    <s v="Good"/>
    <x v="1"/>
    <s v="Debit Card"/>
    <n v="5"/>
    <s v="Vivo Y51"/>
    <n v="55073.399999999994"/>
    <s v="Good"/>
    <s v="Average"/>
  </r>
  <r>
    <s v="Umes491471"/>
    <n v="1471"/>
    <n v="2"/>
    <n v="12"/>
    <n v="2022"/>
    <d v="2022-12-02T00:00:00"/>
    <s v="December"/>
    <d v="2025-10-18T00:00:00"/>
    <x v="0"/>
    <n v="4"/>
    <n v="11336.35"/>
    <s v="Umesh Dutta"/>
    <n v="49"/>
    <s v="Senior Citezen"/>
    <s v="Good"/>
    <x v="5"/>
    <s v="UPI"/>
    <n v="5"/>
    <s v="Redmi 9"/>
    <n v="45345.4"/>
    <s v="Good"/>
    <s v="Low"/>
  </r>
  <r>
    <s v="Bina481472"/>
    <n v="1472"/>
    <n v="2"/>
    <n v="12"/>
    <n v="2022"/>
    <d v="2022-12-02T00:00:00"/>
    <s v="December"/>
    <d v="2025-10-19T00:00:00"/>
    <x v="0"/>
    <n v="9"/>
    <n v="62147.3"/>
    <s v="Bina Mathur"/>
    <n v="48"/>
    <s v="Senior Citezen"/>
    <s v="AVG"/>
    <x v="14"/>
    <s v="UPI"/>
    <n v="3"/>
    <s v="Mi 11"/>
    <n v="559325.70000000007"/>
    <s v="Average"/>
    <s v="Excellent"/>
  </r>
  <r>
    <s v="Nami541473"/>
    <n v="1473"/>
    <n v="2"/>
    <n v="12"/>
    <n v="2022"/>
    <d v="2022-12-02T00:00:00"/>
    <s v="December"/>
    <d v="2025-10-20T00:00:00"/>
    <x v="3"/>
    <n v="1"/>
    <n v="43247.72"/>
    <s v="Namita Siddiqui"/>
    <n v="54"/>
    <s v="Senior Citezen"/>
    <s v="Good"/>
    <x v="1"/>
    <s v="Debit Card"/>
    <n v="5"/>
    <s v="Galaxy Note 20"/>
    <n v="43247.72"/>
    <s v="Good"/>
    <s v="Low"/>
  </r>
  <r>
    <s v="Priy451474"/>
    <n v="1474"/>
    <n v="2"/>
    <n v="12"/>
    <n v="2022"/>
    <d v="2022-12-02T00:00:00"/>
    <s v="December"/>
    <d v="2025-10-21T00:00:00"/>
    <x v="0"/>
    <n v="2"/>
    <n v="46523.38"/>
    <s v="Priyanka Alva"/>
    <n v="45"/>
    <s v="Adult"/>
    <s v="BAD"/>
    <x v="11"/>
    <s v="UPI"/>
    <n v="1"/>
    <s v="Mi 11"/>
    <n v="93046.76"/>
    <s v="Average"/>
    <s v="Average"/>
  </r>
  <r>
    <s v="Mala481475"/>
    <n v="1475"/>
    <n v="3"/>
    <n v="12"/>
    <n v="2022"/>
    <d v="2022-12-03T00:00:00"/>
    <s v="December"/>
    <d v="2025-10-22T00:00:00"/>
    <x v="1"/>
    <n v="5"/>
    <n v="65619.31"/>
    <s v="Mala Thakur"/>
    <n v="48"/>
    <s v="Senior Citezen"/>
    <s v="BAD"/>
    <x v="1"/>
    <s v="UPI"/>
    <n v="1"/>
    <s v="Vivo Y51"/>
    <n v="328096.55"/>
    <s v="Average"/>
    <s v="Excellent"/>
  </r>
  <r>
    <s v="Moni231476"/>
    <n v="1476"/>
    <n v="3"/>
    <n v="12"/>
    <n v="2022"/>
    <d v="2022-12-03T00:00:00"/>
    <s v="December"/>
    <d v="2025-10-23T00:00:00"/>
    <x v="0"/>
    <n v="3"/>
    <n v="49907.21"/>
    <s v="Monika Goyal"/>
    <n v="23"/>
    <s v="Teenagers"/>
    <s v="Good"/>
    <x v="6"/>
    <s v="Debit Card"/>
    <n v="5"/>
    <s v="Redmi Note 10"/>
    <n v="149721.63"/>
    <s v="Good"/>
    <s v="Good"/>
  </r>
  <r>
    <s v="Adit311477"/>
    <n v="1477"/>
    <n v="3"/>
    <n v="12"/>
    <n v="2022"/>
    <d v="2022-12-03T00:00:00"/>
    <s v="December"/>
    <d v="2025-10-24T00:00:00"/>
    <x v="4"/>
    <n v="2"/>
    <n v="51451.21"/>
    <s v="Aditya Menon"/>
    <n v="31"/>
    <s v="Adult"/>
    <s v="Good"/>
    <x v="2"/>
    <s v="Credit Card"/>
    <n v="4"/>
    <s v="iPhone SE"/>
    <n v="102902.42"/>
    <s v="Good"/>
    <s v="Good"/>
  </r>
  <r>
    <s v="Tapa401478"/>
    <n v="1478"/>
    <n v="3"/>
    <n v="12"/>
    <n v="2022"/>
    <d v="2022-12-03T00:00:00"/>
    <s v="December"/>
    <d v="2025-10-25T00:00:00"/>
    <x v="3"/>
    <n v="1"/>
    <n v="57218.12"/>
    <s v="Tapan Deshmukh"/>
    <n v="40"/>
    <s v="Adult"/>
    <s v="Good"/>
    <x v="15"/>
    <s v="Cash"/>
    <n v="5"/>
    <s v="Galaxy Note 20"/>
    <n v="57218.12"/>
    <s v="Good"/>
    <s v="Average"/>
  </r>
  <r>
    <s v="Navi331479"/>
    <n v="1479"/>
    <n v="4"/>
    <n v="12"/>
    <n v="2022"/>
    <d v="2022-12-04T00:00:00"/>
    <s v="December"/>
    <d v="2025-10-26T00:00:00"/>
    <x v="1"/>
    <n v="3"/>
    <n v="16980.91"/>
    <s v="Navin Kapoor"/>
    <n v="33"/>
    <s v="Adult"/>
    <s v="AVG"/>
    <x v="1"/>
    <s v="Cash"/>
    <n v="3"/>
    <s v="Vivo V20"/>
    <n v="50942.729999999996"/>
    <s v="Average"/>
    <s v="Average"/>
  </r>
  <r>
    <s v="Sach421480"/>
    <n v="1480"/>
    <n v="4"/>
    <n v="12"/>
    <n v="2022"/>
    <d v="2022-12-04T00:00:00"/>
    <s v="December"/>
    <d v="2025-10-27T00:00:00"/>
    <x v="3"/>
    <n v="1"/>
    <n v="31609.73"/>
    <s v="Sachin Nambiar"/>
    <n v="42"/>
    <s v="Adult"/>
    <s v="Good"/>
    <x v="17"/>
    <s v="Cash"/>
    <n v="5"/>
    <s v="Galaxy Note 20"/>
    <n v="31609.73"/>
    <s v="Good"/>
    <s v="Low"/>
  </r>
  <r>
    <s v="Anja561481"/>
    <n v="1481"/>
    <n v="4"/>
    <n v="12"/>
    <n v="2022"/>
    <d v="2022-12-04T00:00:00"/>
    <s v="December"/>
    <d v="2025-10-28T00:00:00"/>
    <x v="1"/>
    <n v="1"/>
    <n v="68092.479999999996"/>
    <s v="Anjali Ahuja"/>
    <n v="56"/>
    <s v="Senior Citezen"/>
    <s v="AVG"/>
    <x v="11"/>
    <s v="Cash"/>
    <n v="3"/>
    <s v="Vivo Y51"/>
    <n v="68092.479999999996"/>
    <s v="Average"/>
    <s v="Average"/>
  </r>
  <r>
    <s v="Kira191482"/>
    <n v="1482"/>
    <n v="4"/>
    <n v="12"/>
    <n v="2022"/>
    <d v="2022-12-04T00:00:00"/>
    <s v="December"/>
    <d v="2025-10-29T00:00:00"/>
    <x v="4"/>
    <n v="1"/>
    <n v="65375.8"/>
    <s v="Kiran Singh"/>
    <n v="19"/>
    <s v="Teenagers"/>
    <s v="Good"/>
    <x v="9"/>
    <s v="Cash"/>
    <n v="4"/>
    <s v="iPhone 12"/>
    <n v="65375.8"/>
    <s v="Good"/>
    <s v="Average"/>
  </r>
  <r>
    <s v="Umes551483"/>
    <n v="1483"/>
    <n v="5"/>
    <n v="12"/>
    <n v="2022"/>
    <d v="2022-12-05T00:00:00"/>
    <s v="December"/>
    <d v="2025-10-30T00:00:00"/>
    <x v="3"/>
    <n v="8"/>
    <n v="63044.52"/>
    <s v="Umesh Dutta"/>
    <n v="55"/>
    <s v="Senior Citezen"/>
    <s v="Good"/>
    <x v="10"/>
    <s v="Cash"/>
    <n v="5"/>
    <s v="Galaxy S21"/>
    <n v="504356.16"/>
    <s v="Good"/>
    <s v="Excellent"/>
  </r>
  <r>
    <s v="Ravi581484"/>
    <n v="1484"/>
    <n v="5"/>
    <n v="12"/>
    <n v="2022"/>
    <d v="2022-12-05T00:00:00"/>
    <s v="December"/>
    <d v="2025-10-31T00:00:00"/>
    <x v="2"/>
    <n v="3"/>
    <n v="37125.31"/>
    <s v="Ravi Varma"/>
    <n v="58"/>
    <s v="Senior Citezen"/>
    <s v="BAD"/>
    <x v="2"/>
    <s v="UPI"/>
    <n v="1"/>
    <s v="OnePlus 8T"/>
    <n v="111375.93"/>
    <s v="Average"/>
    <s v="Good"/>
  </r>
  <r>
    <s v="Umes561485"/>
    <n v="1485"/>
    <n v="5"/>
    <n v="12"/>
    <n v="2022"/>
    <d v="2022-12-05T00:00:00"/>
    <s v="December"/>
    <d v="2025-11-01T00:00:00"/>
    <x v="1"/>
    <n v="1"/>
    <n v="61431.58"/>
    <s v="Umesh Varma"/>
    <n v="56"/>
    <s v="Senior Citezen"/>
    <s v="AVG"/>
    <x v="1"/>
    <s v="Cash"/>
    <n v="3"/>
    <s v="Vivo S1"/>
    <n v="61431.58"/>
    <s v="Average"/>
    <s v="Average"/>
  </r>
  <r>
    <s v="Pank511486"/>
    <n v="1486"/>
    <n v="5"/>
    <n v="12"/>
    <n v="2022"/>
    <d v="2022-12-05T00:00:00"/>
    <s v="December"/>
    <d v="2025-11-02T00:00:00"/>
    <x v="2"/>
    <n v="7"/>
    <n v="12903.75"/>
    <s v="Pankaj Shah"/>
    <n v="51"/>
    <s v="Senior Citezen"/>
    <s v="AVG"/>
    <x v="2"/>
    <s v="UPI"/>
    <n v="3"/>
    <s v="OnePlus 9"/>
    <n v="90326.25"/>
    <s v="Average"/>
    <s v="Average"/>
  </r>
  <r>
    <s v="Vija571487"/>
    <n v="1487"/>
    <n v="6"/>
    <n v="12"/>
    <n v="2022"/>
    <d v="2022-12-06T00:00:00"/>
    <s v="December"/>
    <d v="2025-11-03T00:00:00"/>
    <x v="3"/>
    <n v="3"/>
    <n v="18911.05"/>
    <s v="Vijay Singh"/>
    <n v="57"/>
    <s v="Senior Citezen"/>
    <s v="BAD"/>
    <x v="18"/>
    <s v="Debit Card"/>
    <n v="1"/>
    <s v="Galaxy A51"/>
    <n v="56733.149999999994"/>
    <s v="Average"/>
    <s v="Average"/>
  </r>
  <r>
    <s v="Jyot421488"/>
    <n v="1488"/>
    <n v="6"/>
    <n v="12"/>
    <n v="2022"/>
    <d v="2022-12-06T00:00:00"/>
    <s v="December"/>
    <d v="2025-11-04T00:00:00"/>
    <x v="2"/>
    <n v="8"/>
    <n v="34838.06"/>
    <s v="Jyoti Roy"/>
    <n v="42"/>
    <s v="Adult"/>
    <s v="Good"/>
    <x v="1"/>
    <s v="Credit Card"/>
    <n v="5"/>
    <s v="OnePlus 8T"/>
    <n v="278704.48"/>
    <s v="Good"/>
    <s v="Excellent"/>
  </r>
  <r>
    <s v="Kuna531489"/>
    <n v="1489"/>
    <n v="6"/>
    <n v="12"/>
    <n v="2022"/>
    <d v="2022-12-06T00:00:00"/>
    <s v="December"/>
    <d v="2025-11-05T00:00:00"/>
    <x v="2"/>
    <n v="4"/>
    <n v="39003.519999999997"/>
    <s v="Kunal Malhotra"/>
    <n v="53"/>
    <s v="Senior Citezen"/>
    <s v="Good"/>
    <x v="5"/>
    <s v="UPI"/>
    <n v="4"/>
    <s v="OnePlus 8T"/>
    <n v="156014.07999999999"/>
    <s v="Good"/>
    <s v="Good"/>
  </r>
  <r>
    <s v="Shru331490"/>
    <n v="1490"/>
    <n v="7"/>
    <n v="12"/>
    <n v="2022"/>
    <d v="2022-12-07T00:00:00"/>
    <s v="December"/>
    <d v="2025-11-06T00:00:00"/>
    <x v="3"/>
    <n v="4"/>
    <n v="25810.43"/>
    <s v="Shruti Bhatnagar"/>
    <n v="33"/>
    <s v="Adult"/>
    <s v="Good"/>
    <x v="2"/>
    <s v="Credit Card"/>
    <n v="5"/>
    <s v="Galaxy Note 20"/>
    <n v="103241.72"/>
    <s v="Good"/>
    <s v="Good"/>
  </r>
  <r>
    <s v="Lata351491"/>
    <n v="1491"/>
    <n v="7"/>
    <n v="12"/>
    <n v="2022"/>
    <d v="2022-12-07T00:00:00"/>
    <s v="December"/>
    <d v="2025-11-07T00:00:00"/>
    <x v="4"/>
    <n v="5"/>
    <n v="31388.6"/>
    <s v="Lata Alva"/>
    <n v="35"/>
    <s v="Adult"/>
    <s v="Good"/>
    <x v="0"/>
    <s v="Debit Card"/>
    <n v="5"/>
    <s v="iPhone 11"/>
    <n v="156943"/>
    <s v="Good"/>
    <s v="Good"/>
  </r>
  <r>
    <s v="Navi301492"/>
    <n v="1492"/>
    <n v="7"/>
    <n v="12"/>
    <n v="2022"/>
    <d v="2022-12-07T00:00:00"/>
    <s v="December"/>
    <d v="2025-11-08T00:00:00"/>
    <x v="2"/>
    <n v="6"/>
    <n v="19766.57"/>
    <s v="Navin Chaudhary"/>
    <n v="30"/>
    <s v="Teenagers"/>
    <s v="Good"/>
    <x v="2"/>
    <s v="Cash"/>
    <n v="5"/>
    <s v="OnePlus 8T"/>
    <n v="118599.42"/>
    <s v="Good"/>
    <s v="Good"/>
  </r>
  <r>
    <s v="Radh541493"/>
    <n v="1493"/>
    <n v="7"/>
    <n v="12"/>
    <n v="2022"/>
    <d v="2022-12-07T00:00:00"/>
    <s v="December"/>
    <d v="2025-11-09T00:00:00"/>
    <x v="2"/>
    <n v="7"/>
    <n v="39348.04"/>
    <s v="Radha Srivastava"/>
    <n v="54"/>
    <s v="Senior Citezen"/>
    <s v="AVG"/>
    <x v="0"/>
    <s v="Credit Card"/>
    <n v="3"/>
    <s v="OnePlus 8T"/>
    <n v="275436.28000000003"/>
    <s v="Average"/>
    <s v="Excellent"/>
  </r>
  <r>
    <s v="Arun441494"/>
    <n v="1494"/>
    <n v="8"/>
    <n v="12"/>
    <n v="2022"/>
    <d v="2022-12-08T00:00:00"/>
    <s v="December"/>
    <d v="2025-11-10T00:00:00"/>
    <x v="4"/>
    <n v="4"/>
    <n v="57630.6"/>
    <s v="Arun Nair"/>
    <n v="44"/>
    <s v="Adult"/>
    <s v="AVG"/>
    <x v="10"/>
    <s v="Credit Card"/>
    <n v="3"/>
    <s v="iPhone SE"/>
    <n v="230522.4"/>
    <s v="Average"/>
    <s v="Excellent"/>
  </r>
  <r>
    <s v="Anit511495"/>
    <n v="1495"/>
    <n v="8"/>
    <n v="12"/>
    <n v="2022"/>
    <d v="2022-12-08T00:00:00"/>
    <s v="December"/>
    <d v="2025-11-11T00:00:00"/>
    <x v="2"/>
    <n v="8"/>
    <n v="49681.62"/>
    <s v="Anita Mathur"/>
    <n v="51"/>
    <s v="Senior Citezen"/>
    <s v="Good"/>
    <x v="0"/>
    <s v="Debit Card"/>
    <n v="4"/>
    <s v="OnePlus 9"/>
    <n v="397452.96"/>
    <s v="Good"/>
    <s v="Excellent"/>
  </r>
  <r>
    <s v="Jyot281496"/>
    <n v="1496"/>
    <n v="8"/>
    <n v="12"/>
    <n v="2022"/>
    <d v="2022-12-08T00:00:00"/>
    <s v="December"/>
    <d v="2025-11-12T00:00:00"/>
    <x v="2"/>
    <n v="6"/>
    <n v="16467.53"/>
    <s v="Jyoti Rawat"/>
    <n v="28"/>
    <s v="Teenagers"/>
    <s v="Good"/>
    <x v="12"/>
    <s v="Debit Card"/>
    <n v="4"/>
    <s v="OnePlus 8T"/>
    <n v="98805.18"/>
    <s v="Good"/>
    <s v="Average"/>
  </r>
  <r>
    <s v="Radh181497"/>
    <n v="1497"/>
    <n v="9"/>
    <n v="12"/>
    <n v="2022"/>
    <d v="2022-12-09T00:00:00"/>
    <s v="December"/>
    <d v="2025-11-13T00:00:00"/>
    <x v="2"/>
    <n v="1"/>
    <n v="39254.9"/>
    <s v="Radha Varma"/>
    <n v="18"/>
    <s v="Teenagers"/>
    <s v="Good"/>
    <x v="18"/>
    <s v="Debit Card"/>
    <n v="4"/>
    <s v="OnePlus 9"/>
    <n v="39254.9"/>
    <s v="Good"/>
    <s v="Low"/>
  </r>
  <r>
    <s v="Neet301498"/>
    <n v="1498"/>
    <n v="9"/>
    <n v="12"/>
    <n v="2022"/>
    <d v="2022-12-09T00:00:00"/>
    <s v="December"/>
    <d v="2025-11-14T00:00:00"/>
    <x v="0"/>
    <n v="1"/>
    <n v="51858.78"/>
    <s v="Neeta Kumar"/>
    <n v="30"/>
    <s v="Teenagers"/>
    <s v="BAD"/>
    <x v="14"/>
    <s v="UPI"/>
    <n v="1"/>
    <s v="Redmi 9"/>
    <n v="51858.78"/>
    <s v="Average"/>
    <s v="Average"/>
  </r>
  <r>
    <s v="Kavi471499"/>
    <n v="1499"/>
    <n v="9"/>
    <n v="12"/>
    <n v="2022"/>
    <d v="2022-12-09T00:00:00"/>
    <s v="December"/>
    <d v="2025-11-15T00:00:00"/>
    <x v="4"/>
    <n v="9"/>
    <n v="41793.72"/>
    <s v="Kavita Kaur"/>
    <n v="47"/>
    <s v="Senior Citezen"/>
    <s v="Good"/>
    <x v="2"/>
    <s v="UPI"/>
    <n v="5"/>
    <s v="iPhone 11"/>
    <n v="376143.48"/>
    <s v="Good"/>
    <s v="Excellent"/>
  </r>
  <r>
    <s v="Deep221500"/>
    <n v="1500"/>
    <n v="10"/>
    <n v="12"/>
    <n v="2022"/>
    <d v="2022-12-10T00:00:00"/>
    <s v="December"/>
    <d v="2025-11-16T00:00:00"/>
    <x v="2"/>
    <n v="6"/>
    <n v="33500.54"/>
    <s v="Deepika Shah"/>
    <n v="22"/>
    <s v="Teenagers"/>
    <s v="Good"/>
    <x v="1"/>
    <s v="Credit Card"/>
    <n v="5"/>
    <s v="OnePlus 8T"/>
    <n v="201003.24"/>
    <s v="Good"/>
    <s v="Excellent"/>
  </r>
  <r>
    <s v="Sach351501"/>
    <n v="1501"/>
    <n v="10"/>
    <n v="12"/>
    <n v="2022"/>
    <d v="2022-12-10T00:00:00"/>
    <s v="December"/>
    <d v="2025-11-17T00:00:00"/>
    <x v="4"/>
    <n v="8"/>
    <n v="47314.87"/>
    <s v="Sachin Goyal"/>
    <n v="35"/>
    <s v="Adult"/>
    <s v="Good"/>
    <x v="2"/>
    <s v="Debit Card"/>
    <n v="4"/>
    <s v="iPhone 12"/>
    <n v="378518.96"/>
    <s v="Good"/>
    <s v="Excellent"/>
  </r>
  <r>
    <s v="Pooj311502"/>
    <n v="1502"/>
    <n v="10"/>
    <n v="12"/>
    <n v="2022"/>
    <d v="2022-12-10T00:00:00"/>
    <s v="December"/>
    <d v="2025-11-18T00:00:00"/>
    <x v="1"/>
    <n v="7"/>
    <n v="68118.320000000007"/>
    <s v="Pooja Deshmukh"/>
    <n v="31"/>
    <s v="Adult"/>
    <s v="AVG"/>
    <x v="2"/>
    <s v="Credit Card"/>
    <n v="3"/>
    <s v="Vivo V20"/>
    <n v="476828.24000000005"/>
    <s v="Average"/>
    <s v="Excellent"/>
  </r>
  <r>
    <s v="Reen301503"/>
    <n v="1503"/>
    <n v="10"/>
    <n v="12"/>
    <n v="2022"/>
    <d v="2022-12-10T00:00:00"/>
    <s v="December"/>
    <d v="2025-11-19T00:00:00"/>
    <x v="1"/>
    <n v="6"/>
    <n v="15694.47"/>
    <s v="Reena Das"/>
    <n v="30"/>
    <s v="Teenagers"/>
    <s v="Good"/>
    <x v="5"/>
    <s v="Cash"/>
    <n v="5"/>
    <s v="Vivo V20"/>
    <n v="94166.819999999992"/>
    <s v="Good"/>
    <s v="Average"/>
  </r>
  <r>
    <s v="Amit491504"/>
    <n v="1504"/>
    <n v="11"/>
    <n v="12"/>
    <n v="2022"/>
    <d v="2022-12-11T00:00:00"/>
    <s v="December"/>
    <d v="2025-11-20T00:00:00"/>
    <x v="2"/>
    <n v="4"/>
    <n v="33400.959999999999"/>
    <s v="Amit Ahuja"/>
    <n v="49"/>
    <s v="Senior Citezen"/>
    <s v="Good"/>
    <x v="13"/>
    <s v="Debit Card"/>
    <n v="5"/>
    <s v="OnePlus 8T"/>
    <n v="133603.84"/>
    <s v="Good"/>
    <s v="Good"/>
  </r>
  <r>
    <s v="Pank241505"/>
    <n v="1505"/>
    <n v="11"/>
    <n v="12"/>
    <n v="2022"/>
    <d v="2022-12-11T00:00:00"/>
    <s v="December"/>
    <d v="2025-11-21T00:00:00"/>
    <x v="4"/>
    <n v="7"/>
    <n v="34396.35"/>
    <s v="Pankaj Desai"/>
    <n v="24"/>
    <s v="Teenagers"/>
    <s v="BAD"/>
    <x v="2"/>
    <s v="UPI"/>
    <n v="1"/>
    <s v="iPhone 12"/>
    <n v="240774.44999999998"/>
    <s v="Average"/>
    <s v="Excellent"/>
  </r>
  <r>
    <s v="Raje251506"/>
    <n v="1506"/>
    <n v="11"/>
    <n v="12"/>
    <n v="2022"/>
    <d v="2022-12-11T00:00:00"/>
    <s v="December"/>
    <d v="2025-11-22T00:00:00"/>
    <x v="4"/>
    <n v="9"/>
    <n v="44618.04"/>
    <s v="Rajesh Roy"/>
    <n v="25"/>
    <s v="Teenagers"/>
    <s v="AVG"/>
    <x v="15"/>
    <s v="Debit Card"/>
    <n v="3"/>
    <s v="iPhone 12"/>
    <n v="401562.36"/>
    <s v="Average"/>
    <s v="Excellent"/>
  </r>
  <r>
    <s v="Shru241507"/>
    <n v="1507"/>
    <n v="12"/>
    <n v="12"/>
    <n v="2022"/>
    <d v="2022-12-12T00:00:00"/>
    <s v="December"/>
    <d v="2025-11-23T00:00:00"/>
    <x v="4"/>
    <n v="7"/>
    <n v="19130.48"/>
    <s v="Shruti Mehta"/>
    <n v="24"/>
    <s v="Teenagers"/>
    <s v="BAD"/>
    <x v="1"/>
    <s v="Credit Card"/>
    <n v="1"/>
    <s v="iPhone SE"/>
    <n v="133913.35999999999"/>
    <s v="Average"/>
    <s v="Good"/>
  </r>
  <r>
    <s v="Neet331508"/>
    <n v="1508"/>
    <n v="12"/>
    <n v="12"/>
    <n v="2022"/>
    <d v="2022-12-12T00:00:00"/>
    <s v="December"/>
    <d v="2025-11-24T00:00:00"/>
    <x v="0"/>
    <n v="1"/>
    <n v="20598.580000000002"/>
    <s v="Neeta Menon"/>
    <n v="33"/>
    <s v="Adult"/>
    <s v="Good"/>
    <x v="1"/>
    <s v="UPI"/>
    <n v="5"/>
    <s v="Mi 11"/>
    <n v="20598.580000000002"/>
    <s v="Good"/>
    <s v="Low"/>
  </r>
  <r>
    <s v="Kavi481509"/>
    <n v="1509"/>
    <n v="12"/>
    <n v="12"/>
    <n v="2022"/>
    <d v="2022-12-12T00:00:00"/>
    <s v="December"/>
    <d v="2025-11-25T00:00:00"/>
    <x v="1"/>
    <n v="9"/>
    <n v="27121.68"/>
    <s v="Kavita Bhatnagar"/>
    <n v="48"/>
    <s v="Senior Citezen"/>
    <s v="Good"/>
    <x v="1"/>
    <s v="Cash"/>
    <n v="5"/>
    <s v="Vivo Y51"/>
    <n v="244095.12"/>
    <s v="Good"/>
    <s v="Excellent"/>
  </r>
  <r>
    <s v="Pooj441510"/>
    <n v="1510"/>
    <n v="12"/>
    <n v="12"/>
    <n v="2022"/>
    <d v="2022-12-12T00:00:00"/>
    <s v="December"/>
    <d v="2025-11-26T00:00:00"/>
    <x v="4"/>
    <n v="4"/>
    <n v="67352.2"/>
    <s v="Pooja Pillai"/>
    <n v="44"/>
    <s v="Adult"/>
    <s v="BAD"/>
    <x v="3"/>
    <s v="Cash"/>
    <n v="1"/>
    <s v="iPhone 11"/>
    <n v="269408.8"/>
    <s v="Average"/>
    <s v="Excellent"/>
  </r>
  <r>
    <s v="Deve501511"/>
    <n v="1511"/>
    <n v="13"/>
    <n v="12"/>
    <n v="2022"/>
    <d v="2022-12-13T00:00:00"/>
    <s v="December"/>
    <d v="2025-11-27T00:00:00"/>
    <x v="4"/>
    <n v="3"/>
    <n v="54046.51"/>
    <s v="Devendra Jain"/>
    <n v="50"/>
    <s v="Senior Citezen"/>
    <s v="BAD"/>
    <x v="5"/>
    <s v="Credit Card"/>
    <n v="1"/>
    <s v="iPhone 12"/>
    <n v="162139.53"/>
    <s v="Average"/>
    <s v="Good"/>
  </r>
  <r>
    <s v="Bhav461512"/>
    <n v="1512"/>
    <n v="13"/>
    <n v="12"/>
    <n v="2022"/>
    <d v="2022-12-13T00:00:00"/>
    <s v="December"/>
    <d v="2025-11-28T00:00:00"/>
    <x v="0"/>
    <n v="4"/>
    <n v="49701.599999999999"/>
    <s v="Bhavana Mishra"/>
    <n v="46"/>
    <s v="Senior Citezen"/>
    <s v="BAD"/>
    <x v="10"/>
    <s v="Debit Card"/>
    <n v="1"/>
    <s v="Redmi 9"/>
    <n v="198806.39999999999"/>
    <s v="Average"/>
    <s v="Good"/>
  </r>
  <r>
    <s v="Vija251513"/>
    <n v="1513"/>
    <n v="13"/>
    <n v="12"/>
    <n v="2022"/>
    <d v="2022-12-13T00:00:00"/>
    <s v="December"/>
    <d v="2025-11-29T00:00:00"/>
    <x v="0"/>
    <n v="4"/>
    <n v="59017.46"/>
    <s v="Vijay Das"/>
    <n v="25"/>
    <s v="Teenagers"/>
    <s v="Good"/>
    <x v="1"/>
    <s v="Cash"/>
    <n v="5"/>
    <s v="Redmi Note 10"/>
    <n v="236069.84"/>
    <s v="Good"/>
    <s v="Excellent"/>
  </r>
  <r>
    <s v="Shru501514"/>
    <n v="1514"/>
    <n v="14"/>
    <n v="12"/>
    <n v="2022"/>
    <d v="2022-12-14T00:00:00"/>
    <s v="December"/>
    <d v="2025-11-30T00:00:00"/>
    <x v="4"/>
    <n v="2"/>
    <n v="17654.59"/>
    <s v="Shruti Verma"/>
    <n v="50"/>
    <s v="Senior Citezen"/>
    <s v="AVG"/>
    <x v="16"/>
    <s v="Credit Card"/>
    <n v="3"/>
    <s v="iPhone 11"/>
    <n v="35309.18"/>
    <s v="Average"/>
    <s v="Low"/>
  </r>
  <r>
    <s v="Adit581515"/>
    <n v="1515"/>
    <n v="14"/>
    <n v="12"/>
    <n v="2022"/>
    <d v="2022-12-14T00:00:00"/>
    <s v="December"/>
    <d v="2025-12-01T00:00:00"/>
    <x v="3"/>
    <n v="1"/>
    <n v="61559.97"/>
    <s v="Aditya Patel"/>
    <n v="58"/>
    <s v="Senior Citezen"/>
    <s v="AVG"/>
    <x v="5"/>
    <s v="UPI"/>
    <n v="3"/>
    <s v="Galaxy S21"/>
    <n v="61559.97"/>
    <s v="Average"/>
    <s v="Average"/>
  </r>
  <r>
    <s v="Suni361516"/>
    <n v="1516"/>
    <n v="14"/>
    <n v="12"/>
    <n v="2022"/>
    <d v="2022-12-14T00:00:00"/>
    <s v="December"/>
    <d v="2025-12-02T00:00:00"/>
    <x v="4"/>
    <n v="1"/>
    <n v="45689.96"/>
    <s v="Sunita Luthra"/>
    <n v="36"/>
    <s v="Adult"/>
    <s v="Good"/>
    <x v="9"/>
    <s v="UPI"/>
    <n v="5"/>
    <s v="iPhone 11"/>
    <n v="45689.96"/>
    <s v="Good"/>
    <s v="Low"/>
  </r>
  <r>
    <s v="Mano381517"/>
    <n v="1517"/>
    <n v="14"/>
    <n v="12"/>
    <n v="2022"/>
    <d v="2022-12-14T00:00:00"/>
    <s v="December"/>
    <d v="2025-12-03T00:00:00"/>
    <x v="4"/>
    <n v="8"/>
    <n v="30119.74"/>
    <s v="Manoj Gupta"/>
    <n v="38"/>
    <s v="Adult"/>
    <s v="BAD"/>
    <x v="2"/>
    <s v="Credit Card"/>
    <n v="1"/>
    <s v="iPhone 12"/>
    <n v="240957.92"/>
    <s v="Average"/>
    <s v="Excellent"/>
  </r>
  <r>
    <s v="Pooj581518"/>
    <n v="1518"/>
    <n v="15"/>
    <n v="12"/>
    <n v="2022"/>
    <d v="2022-12-15T00:00:00"/>
    <s v="December"/>
    <d v="2025-12-04T00:00:00"/>
    <x v="0"/>
    <n v="2"/>
    <n v="58951.32"/>
    <s v="Pooja Deshmukh"/>
    <n v="58"/>
    <s v="Senior Citezen"/>
    <s v="BAD"/>
    <x v="2"/>
    <s v="Debit Card"/>
    <n v="1"/>
    <s v="Redmi Note 10"/>
    <n v="117902.64"/>
    <s v="Average"/>
    <s v="Good"/>
  </r>
  <r>
    <s v="Ravi381519"/>
    <n v="1519"/>
    <n v="15"/>
    <n v="12"/>
    <n v="2022"/>
    <d v="2022-12-15T00:00:00"/>
    <s v="December"/>
    <d v="2025-12-05T00:00:00"/>
    <x v="0"/>
    <n v="5"/>
    <n v="58153.87"/>
    <s v="Ravi Prasad"/>
    <n v="38"/>
    <s v="Adult"/>
    <s v="Good"/>
    <x v="0"/>
    <s v="Debit Card"/>
    <n v="4"/>
    <s v="Mi 11"/>
    <n v="290769.35000000003"/>
    <s v="Good"/>
    <s v="Excellent"/>
  </r>
  <r>
    <s v="Umes421520"/>
    <n v="1520"/>
    <n v="15"/>
    <n v="12"/>
    <n v="2022"/>
    <d v="2022-12-15T00:00:00"/>
    <s v="December"/>
    <d v="2025-12-06T00:00:00"/>
    <x v="4"/>
    <n v="4"/>
    <n v="60742.51"/>
    <s v="Umesh Rawat"/>
    <n v="42"/>
    <s v="Adult"/>
    <s v="Good"/>
    <x v="10"/>
    <s v="Debit Card"/>
    <n v="5"/>
    <s v="iPhone 12"/>
    <n v="242970.04"/>
    <s v="Good"/>
    <s v="Excellent"/>
  </r>
  <r>
    <s v="Shru591521"/>
    <n v="1521"/>
    <n v="16"/>
    <n v="12"/>
    <n v="2022"/>
    <d v="2022-12-16T00:00:00"/>
    <s v="December"/>
    <d v="2025-12-07T00:00:00"/>
    <x v="4"/>
    <n v="8"/>
    <n v="16931.07"/>
    <s v="Shruti Pathak"/>
    <n v="59"/>
    <s v="Senior Citezen"/>
    <s v="Good"/>
    <x v="8"/>
    <s v="Debit Card"/>
    <n v="5"/>
    <s v="iPhone 11"/>
    <n v="135448.56"/>
    <s v="Good"/>
    <s v="Good"/>
  </r>
  <r>
    <s v="Mano401522"/>
    <n v="1522"/>
    <n v="16"/>
    <n v="12"/>
    <n v="2022"/>
    <d v="2022-12-16T00:00:00"/>
    <s v="December"/>
    <d v="2025-12-08T00:00:00"/>
    <x v="4"/>
    <n v="2"/>
    <n v="68161.67"/>
    <s v="Manoj Kapoor"/>
    <n v="40"/>
    <s v="Adult"/>
    <s v="AVG"/>
    <x v="11"/>
    <s v="Credit Card"/>
    <n v="3"/>
    <s v="iPhone 12"/>
    <n v="136323.34"/>
    <s v="Average"/>
    <s v="Good"/>
  </r>
  <r>
    <s v="Anit281523"/>
    <n v="1523"/>
    <n v="16"/>
    <n v="12"/>
    <n v="2022"/>
    <d v="2022-12-16T00:00:00"/>
    <s v="December"/>
    <d v="2025-12-09T00:00:00"/>
    <x v="0"/>
    <n v="9"/>
    <n v="67577.570000000007"/>
    <s v="Anita Dutta"/>
    <n v="28"/>
    <s v="Teenagers"/>
    <s v="Good"/>
    <x v="1"/>
    <s v="Credit Card"/>
    <n v="5"/>
    <s v="Redmi Note 10"/>
    <n v="608198.13000000012"/>
    <s v="Good"/>
    <s v="Excellent"/>
  </r>
  <r>
    <s v="Deep501524"/>
    <n v="1524"/>
    <n v="16"/>
    <n v="12"/>
    <n v="2022"/>
    <d v="2022-12-16T00:00:00"/>
    <s v="December"/>
    <d v="2025-12-10T00:00:00"/>
    <x v="4"/>
    <n v="7"/>
    <n v="31448.18"/>
    <s v="Deepika Patel"/>
    <n v="50"/>
    <s v="Senior Citezen"/>
    <s v="BAD"/>
    <x v="1"/>
    <s v="UPI"/>
    <n v="1"/>
    <s v="iPhone 12"/>
    <n v="220137.26"/>
    <s v="Average"/>
    <s v="Excellent"/>
  </r>
  <r>
    <s v="Arun371525"/>
    <n v="1525"/>
    <n v="17"/>
    <n v="12"/>
    <n v="2022"/>
    <d v="2022-12-17T00:00:00"/>
    <s v="December"/>
    <d v="2025-12-11T00:00:00"/>
    <x v="4"/>
    <n v="7"/>
    <n v="13953.64"/>
    <s v="Arun Rawat"/>
    <n v="37"/>
    <s v="Adult"/>
    <s v="Good"/>
    <x v="14"/>
    <s v="UPI"/>
    <n v="5"/>
    <s v="iPhone 11"/>
    <n v="97675.48"/>
    <s v="Good"/>
    <s v="Average"/>
  </r>
  <r>
    <s v="Kavi421526"/>
    <n v="1526"/>
    <n v="17"/>
    <n v="12"/>
    <n v="2022"/>
    <d v="2022-12-17T00:00:00"/>
    <s v="December"/>
    <d v="2025-12-12T00:00:00"/>
    <x v="2"/>
    <n v="1"/>
    <n v="20023.34"/>
    <s v="Kavita Kapoor"/>
    <n v="42"/>
    <s v="Adult"/>
    <s v="Good"/>
    <x v="2"/>
    <s v="Debit Card"/>
    <n v="5"/>
    <s v="OnePlus 9"/>
    <n v="20023.34"/>
    <s v="Good"/>
    <s v="Low"/>
  </r>
  <r>
    <s v="Sach431527"/>
    <n v="1527"/>
    <n v="17"/>
    <n v="12"/>
    <n v="2022"/>
    <d v="2022-12-17T00:00:00"/>
    <s v="December"/>
    <d v="2025-12-13T00:00:00"/>
    <x v="3"/>
    <n v="2"/>
    <n v="69569.850000000006"/>
    <s v="Sachin Ghosh"/>
    <n v="43"/>
    <s v="Adult"/>
    <s v="Good"/>
    <x v="8"/>
    <s v="Cash"/>
    <n v="5"/>
    <s v="Galaxy S21"/>
    <n v="139139.70000000001"/>
    <s v="Good"/>
    <s v="Good"/>
  </r>
  <r>
    <s v="Suni571528"/>
    <n v="1528"/>
    <n v="17"/>
    <n v="12"/>
    <n v="2022"/>
    <d v="2022-12-17T00:00:00"/>
    <s v="December"/>
    <d v="2025-12-14T00:00:00"/>
    <x v="1"/>
    <n v="4"/>
    <n v="43780.78"/>
    <s v="Sunita Verma"/>
    <n v="57"/>
    <s v="Senior Citezen"/>
    <s v="BAD"/>
    <x v="2"/>
    <s v="Cash"/>
    <n v="1"/>
    <s v="Vivo S1"/>
    <n v="175123.12"/>
    <s v="Average"/>
    <s v="Good"/>
  </r>
  <r>
    <s v="Pras291529"/>
    <n v="1529"/>
    <n v="18"/>
    <n v="12"/>
    <n v="2022"/>
    <d v="2022-12-18T00:00:00"/>
    <s v="December"/>
    <d v="2025-12-15T00:00:00"/>
    <x v="3"/>
    <n v="4"/>
    <n v="31397.31"/>
    <s v="Prashant Roy"/>
    <n v="29"/>
    <s v="Teenagers"/>
    <s v="Good"/>
    <x v="17"/>
    <s v="UPI"/>
    <n v="5"/>
    <s v="Galaxy A51"/>
    <n v="125589.24"/>
    <s v="Good"/>
    <s v="Good"/>
  </r>
  <r>
    <s v="Ravi491530"/>
    <n v="1530"/>
    <n v="18"/>
    <n v="12"/>
    <n v="2022"/>
    <d v="2022-12-18T00:00:00"/>
    <s v="December"/>
    <d v="2025-12-16T00:00:00"/>
    <x v="2"/>
    <n v="3"/>
    <n v="27292.16"/>
    <s v="Ravi Malhotra"/>
    <n v="49"/>
    <s v="Senior Citezen"/>
    <s v="Good"/>
    <x v="2"/>
    <s v="UPI"/>
    <n v="5"/>
    <s v="OnePlus 8T"/>
    <n v="81876.479999999996"/>
    <s v="Good"/>
    <s v="Average"/>
  </r>
  <r>
    <s v="Kris501531"/>
    <n v="1531"/>
    <n v="18"/>
    <n v="12"/>
    <n v="2022"/>
    <d v="2022-12-18T00:00:00"/>
    <s v="December"/>
    <d v="2025-12-17T00:00:00"/>
    <x v="1"/>
    <n v="7"/>
    <n v="25419.5"/>
    <s v="Krishna Alva"/>
    <n v="50"/>
    <s v="Senior Citezen"/>
    <s v="Good"/>
    <x v="4"/>
    <s v="Credit Card"/>
    <n v="4"/>
    <s v="Vivo Y51"/>
    <n v="177936.5"/>
    <s v="Good"/>
    <s v="Good"/>
  </r>
  <r>
    <s v="Vive271532"/>
    <n v="1532"/>
    <n v="18"/>
    <n v="12"/>
    <n v="2022"/>
    <d v="2022-12-18T00:00:00"/>
    <s v="December"/>
    <d v="2025-12-18T00:00:00"/>
    <x v="4"/>
    <n v="8"/>
    <n v="49849.17"/>
    <s v="Vivek Sheth"/>
    <n v="27"/>
    <s v="Teenagers"/>
    <s v="Good"/>
    <x v="13"/>
    <s v="UPI"/>
    <n v="5"/>
    <s v="iPhone 11"/>
    <n v="398793.36"/>
    <s v="Good"/>
    <s v="Excellent"/>
  </r>
  <r>
    <s v="Anit211533"/>
    <n v="1533"/>
    <n v="19"/>
    <n v="12"/>
    <n v="2022"/>
    <d v="2022-12-19T00:00:00"/>
    <s v="December"/>
    <d v="2025-12-19T00:00:00"/>
    <x v="2"/>
    <n v="2"/>
    <n v="35163.269999999997"/>
    <s v="Anita Malhotra"/>
    <n v="21"/>
    <s v="Teenagers"/>
    <s v="Good"/>
    <x v="13"/>
    <s v="UPI"/>
    <n v="4"/>
    <s v="OnePlus 8T"/>
    <n v="70326.539999999994"/>
    <s v="Good"/>
    <s v="Average"/>
  </r>
  <r>
    <s v="Rame321534"/>
    <n v="1534"/>
    <n v="19"/>
    <n v="12"/>
    <n v="2022"/>
    <d v="2022-12-19T00:00:00"/>
    <s v="December"/>
    <d v="2025-12-20T00:00:00"/>
    <x v="4"/>
    <n v="4"/>
    <n v="67924.639999999999"/>
    <s v="Ramesh Srivastava"/>
    <n v="32"/>
    <s v="Adult"/>
    <s v="Good"/>
    <x v="2"/>
    <s v="Debit Card"/>
    <n v="5"/>
    <s v="iPhone 12"/>
    <n v="271698.56"/>
    <s v="Good"/>
    <s v="Excellent"/>
  </r>
  <r>
    <s v="Meen231535"/>
    <n v="1535"/>
    <n v="19"/>
    <n v="12"/>
    <n v="2022"/>
    <d v="2022-12-19T00:00:00"/>
    <s v="December"/>
    <d v="2025-12-21T00:00:00"/>
    <x v="0"/>
    <n v="3"/>
    <n v="51030.58"/>
    <s v="Meena Roy"/>
    <n v="23"/>
    <s v="Teenagers"/>
    <s v="Good"/>
    <x v="2"/>
    <s v="Cash"/>
    <n v="5"/>
    <s v="Redmi Note 10"/>
    <n v="153091.74"/>
    <s v="Good"/>
    <s v="Good"/>
  </r>
  <r>
    <s v="Anit441536"/>
    <n v="1536"/>
    <n v="19"/>
    <n v="12"/>
    <n v="2022"/>
    <d v="2022-12-19T00:00:00"/>
    <s v="December"/>
    <d v="2025-12-22T00:00:00"/>
    <x v="2"/>
    <n v="2"/>
    <n v="57522.68"/>
    <s v="Anita Malhotra"/>
    <n v="44"/>
    <s v="Adult"/>
    <s v="BAD"/>
    <x v="2"/>
    <s v="Cash"/>
    <n v="1"/>
    <s v="OnePlus 8T"/>
    <n v="115045.36"/>
    <s v="Average"/>
    <s v="Good"/>
  </r>
  <r>
    <s v="Tapa221537"/>
    <n v="1537"/>
    <n v="20"/>
    <n v="12"/>
    <n v="2022"/>
    <d v="2022-12-20T00:00:00"/>
    <s v="December"/>
    <d v="2025-12-23T00:00:00"/>
    <x v="0"/>
    <n v="6"/>
    <n v="27564.49"/>
    <s v="Tapan Singh"/>
    <n v="22"/>
    <s v="Teenagers"/>
    <s v="Good"/>
    <x v="12"/>
    <s v="Credit Card"/>
    <n v="5"/>
    <s v="Mi 11"/>
    <n v="165386.94"/>
    <s v="Good"/>
    <s v="Good"/>
  </r>
  <r>
    <s v="Pras221538"/>
    <n v="1538"/>
    <n v="20"/>
    <n v="12"/>
    <n v="2022"/>
    <d v="2022-12-20T00:00:00"/>
    <s v="December"/>
    <d v="2025-12-24T00:00:00"/>
    <x v="2"/>
    <n v="4"/>
    <n v="14751.18"/>
    <s v="Prashant Deshmukh"/>
    <n v="22"/>
    <s v="Teenagers"/>
    <s v="BAD"/>
    <x v="6"/>
    <s v="Cash"/>
    <n v="1"/>
    <s v="OnePlus Nord"/>
    <n v="59004.72"/>
    <s v="Average"/>
    <s v="Average"/>
  </r>
  <r>
    <s v="Suni351539"/>
    <n v="1539"/>
    <n v="20"/>
    <n v="12"/>
    <n v="2022"/>
    <d v="2022-12-20T00:00:00"/>
    <s v="December"/>
    <d v="2025-12-25T00:00:00"/>
    <x v="2"/>
    <n v="6"/>
    <n v="39269.370000000003"/>
    <s v="Sunita Mathur"/>
    <n v="35"/>
    <s v="Adult"/>
    <s v="Good"/>
    <x v="16"/>
    <s v="Debit Card"/>
    <n v="4"/>
    <s v="OnePlus 8T"/>
    <n v="235616.22000000003"/>
    <s v="Good"/>
    <s v="Excellent"/>
  </r>
  <r>
    <s v="Meen451540"/>
    <n v="1540"/>
    <n v="20"/>
    <n v="12"/>
    <n v="2022"/>
    <d v="2022-12-20T00:00:00"/>
    <s v="December"/>
    <d v="2025-12-26T00:00:00"/>
    <x v="0"/>
    <n v="2"/>
    <n v="28874.89"/>
    <s v="Meena Srivastava"/>
    <n v="45"/>
    <s v="Adult"/>
    <s v="AVG"/>
    <x v="10"/>
    <s v="Debit Card"/>
    <n v="3"/>
    <s v="Redmi 9"/>
    <n v="57749.78"/>
    <s v="Average"/>
    <s v="Average"/>
  </r>
  <r>
    <s v="Anit521541"/>
    <n v="1541"/>
    <n v="21"/>
    <n v="12"/>
    <n v="2022"/>
    <d v="2022-12-21T00:00:00"/>
    <s v="December"/>
    <d v="2025-12-27T00:00:00"/>
    <x v="1"/>
    <n v="4"/>
    <n v="22124.99"/>
    <s v="Anita Rawat"/>
    <n v="52"/>
    <s v="Senior Citezen"/>
    <s v="AVG"/>
    <x v="1"/>
    <s v="Credit Card"/>
    <n v="3"/>
    <s v="Vivo Y51"/>
    <n v="88499.96"/>
    <s v="Average"/>
    <s v="Average"/>
  </r>
  <r>
    <s v="Mano391542"/>
    <n v="1542"/>
    <n v="21"/>
    <n v="12"/>
    <n v="2022"/>
    <d v="2022-12-21T00:00:00"/>
    <s v="December"/>
    <d v="2025-12-28T00:00:00"/>
    <x v="3"/>
    <n v="6"/>
    <n v="67158.53"/>
    <s v="Manoj Jain"/>
    <n v="39"/>
    <s v="Adult"/>
    <s v="Good"/>
    <x v="8"/>
    <s v="UPI"/>
    <n v="4"/>
    <s v="Galaxy Note 20"/>
    <n v="402951.18"/>
    <s v="Good"/>
    <s v="Excellent"/>
  </r>
  <r>
    <s v="Anja511543"/>
    <n v="1543"/>
    <n v="21"/>
    <n v="12"/>
    <n v="2022"/>
    <d v="2022-12-21T00:00:00"/>
    <s v="December"/>
    <d v="2025-12-29T00:00:00"/>
    <x v="4"/>
    <n v="5"/>
    <n v="36639.29"/>
    <s v="Anjali Srivastava"/>
    <n v="51"/>
    <s v="Senior Citezen"/>
    <s v="AVG"/>
    <x v="2"/>
    <s v="UPI"/>
    <n v="3"/>
    <s v="iPhone 12"/>
    <n v="183196.45"/>
    <s v="Average"/>
    <s v="Good"/>
  </r>
  <r>
    <s v="Anan211544"/>
    <n v="1544"/>
    <n v="22"/>
    <n v="12"/>
    <n v="2022"/>
    <d v="2022-12-22T00:00:00"/>
    <s v="December"/>
    <d v="2025-12-30T00:00:00"/>
    <x v="2"/>
    <n v="3"/>
    <n v="20482.52"/>
    <s v="Anand Kaur"/>
    <n v="21"/>
    <s v="Teenagers"/>
    <s v="Good"/>
    <x v="1"/>
    <s v="Debit Card"/>
    <n v="5"/>
    <s v="OnePlus 8T"/>
    <n v="61447.56"/>
    <s v="Good"/>
    <s v="Average"/>
  </r>
  <r>
    <s v="Suni351545"/>
    <n v="1545"/>
    <n v="22"/>
    <n v="12"/>
    <n v="2022"/>
    <d v="2022-12-22T00:00:00"/>
    <s v="December"/>
    <d v="2025-12-31T00:00:00"/>
    <x v="4"/>
    <n v="8"/>
    <n v="21919.040000000001"/>
    <s v="Sunil Varma"/>
    <n v="35"/>
    <s v="Adult"/>
    <s v="Good"/>
    <x v="1"/>
    <s v="Credit Card"/>
    <n v="5"/>
    <s v="iPhone SE"/>
    <n v="175352.32000000001"/>
    <s v="Good"/>
    <s v="Good"/>
  </r>
  <r>
    <s v="Deep581546"/>
    <n v="1546"/>
    <n v="22"/>
    <n v="12"/>
    <n v="2022"/>
    <d v="2022-12-22T00:00:00"/>
    <s v="December"/>
    <d v="2026-01-01T00:00:00"/>
    <x v="0"/>
    <n v="7"/>
    <n v="26842.58"/>
    <s v="Deepika Patel"/>
    <n v="58"/>
    <s v="Senior Citezen"/>
    <s v="Good"/>
    <x v="8"/>
    <s v="Debit Card"/>
    <n v="5"/>
    <s v="Redmi Note 10"/>
    <n v="187898.06"/>
    <s v="Good"/>
    <s v="Good"/>
  </r>
  <r>
    <s v="Suni431547"/>
    <n v="1547"/>
    <n v="23"/>
    <n v="12"/>
    <n v="2022"/>
    <d v="2022-12-23T00:00:00"/>
    <s v="December"/>
    <d v="2026-01-02T00:00:00"/>
    <x v="4"/>
    <n v="3"/>
    <n v="69958.98"/>
    <s v="Sunil Luthra"/>
    <n v="43"/>
    <s v="Adult"/>
    <s v="Good"/>
    <x v="1"/>
    <s v="Cash"/>
    <n v="5"/>
    <s v="iPhone SE"/>
    <n v="209876.94"/>
    <s v="Good"/>
    <s v="Excellent"/>
  </r>
  <r>
    <s v="Gita591548"/>
    <n v="1548"/>
    <n v="23"/>
    <n v="12"/>
    <n v="2022"/>
    <d v="2022-12-23T00:00:00"/>
    <s v="December"/>
    <d v="2026-01-03T00:00:00"/>
    <x v="0"/>
    <n v="6"/>
    <n v="26080.69"/>
    <s v="Gita Dutta"/>
    <n v="59"/>
    <s v="Senior Citezen"/>
    <s v="AVG"/>
    <x v="15"/>
    <s v="Cash"/>
    <n v="3"/>
    <s v="Mi 11"/>
    <n v="156484.13999999998"/>
    <s v="Average"/>
    <s v="Good"/>
  </r>
  <r>
    <s v="Mala391549"/>
    <n v="1549"/>
    <n v="23"/>
    <n v="12"/>
    <n v="2022"/>
    <d v="2022-12-23T00:00:00"/>
    <s v="December"/>
    <d v="2026-01-04T00:00:00"/>
    <x v="4"/>
    <n v="4"/>
    <n v="29728.11"/>
    <s v="Mala Dutta"/>
    <n v="39"/>
    <s v="Adult"/>
    <s v="BAD"/>
    <x v="17"/>
    <s v="Debit Card"/>
    <n v="1"/>
    <s v="iPhone 12"/>
    <n v="118912.44"/>
    <s v="Average"/>
    <s v="Good"/>
  </r>
  <r>
    <s v="Amit501550"/>
    <n v="1550"/>
    <n v="24"/>
    <n v="12"/>
    <n v="2022"/>
    <d v="2022-12-24T00:00:00"/>
    <s v="December"/>
    <d v="2026-01-05T00:00:00"/>
    <x v="3"/>
    <n v="5"/>
    <n v="49559.69"/>
    <s v="Amit Chatterjee"/>
    <n v="50"/>
    <s v="Senior Citezen"/>
    <s v="Good"/>
    <x v="2"/>
    <s v="UPI"/>
    <n v="5"/>
    <s v="Galaxy A51"/>
    <n v="247798.45"/>
    <s v="Good"/>
    <s v="Excellent"/>
  </r>
  <r>
    <s v="Shru311551"/>
    <n v="1551"/>
    <n v="24"/>
    <n v="12"/>
    <n v="2022"/>
    <d v="2022-12-24T00:00:00"/>
    <s v="December"/>
    <d v="2026-01-06T00:00:00"/>
    <x v="3"/>
    <n v="5"/>
    <n v="27637.68"/>
    <s v="Shruti Dutta"/>
    <n v="31"/>
    <s v="Adult"/>
    <s v="BAD"/>
    <x v="2"/>
    <s v="Cash"/>
    <n v="1"/>
    <s v="Galaxy Note 20"/>
    <n v="138188.4"/>
    <s v="Average"/>
    <s v="Good"/>
  </r>
  <r>
    <s v="Rame481552"/>
    <n v="1552"/>
    <n v="24"/>
    <n v="12"/>
    <n v="2022"/>
    <d v="2022-12-24T00:00:00"/>
    <s v="December"/>
    <d v="2026-01-07T00:00:00"/>
    <x v="3"/>
    <n v="7"/>
    <n v="22948.26"/>
    <s v="Ramesh Varma"/>
    <n v="48"/>
    <s v="Senior Citezen"/>
    <s v="AVG"/>
    <x v="3"/>
    <s v="Credit Card"/>
    <n v="3"/>
    <s v="Galaxy A51"/>
    <n v="160637.81999999998"/>
    <s v="Average"/>
    <s v="Good"/>
  </r>
  <r>
    <s v="Reen271553"/>
    <n v="1553"/>
    <n v="24"/>
    <n v="12"/>
    <n v="2022"/>
    <d v="2022-12-24T00:00:00"/>
    <s v="December"/>
    <d v="2026-01-08T00:00:00"/>
    <x v="3"/>
    <n v="5"/>
    <n v="19518.23"/>
    <s v="Reena Kulkarni"/>
    <n v="27"/>
    <s v="Teenagers"/>
    <s v="BAD"/>
    <x v="11"/>
    <s v="UPI"/>
    <n v="1"/>
    <s v="Galaxy Note 20"/>
    <n v="97591.15"/>
    <s v="Average"/>
    <s v="Average"/>
  </r>
  <r>
    <s v="Anan411554"/>
    <n v="1554"/>
    <n v="25"/>
    <n v="12"/>
    <n v="2022"/>
    <d v="2022-12-25T00:00:00"/>
    <s v="December"/>
    <d v="2026-01-09T00:00:00"/>
    <x v="3"/>
    <n v="3"/>
    <n v="28760.959999999999"/>
    <s v="Anand Kaur"/>
    <n v="41"/>
    <s v="Adult"/>
    <s v="AVG"/>
    <x v="7"/>
    <s v="Cash"/>
    <n v="3"/>
    <s v="Galaxy A51"/>
    <n v="86282.880000000005"/>
    <s v="Average"/>
    <s v="Average"/>
  </r>
  <r>
    <s v="Suni381555"/>
    <n v="1555"/>
    <n v="25"/>
    <n v="12"/>
    <n v="2022"/>
    <d v="2022-12-25T00:00:00"/>
    <s v="December"/>
    <d v="2026-01-10T00:00:00"/>
    <x v="3"/>
    <n v="5"/>
    <n v="16354.94"/>
    <s v="Sunil Siddiqui"/>
    <n v="38"/>
    <s v="Adult"/>
    <s v="Good"/>
    <x v="1"/>
    <s v="Debit Card"/>
    <n v="5"/>
    <s v="Galaxy Note 20"/>
    <n v="81774.7"/>
    <s v="Good"/>
    <s v="Average"/>
  </r>
  <r>
    <s v="Roha251556"/>
    <n v="1556"/>
    <n v="25"/>
    <n v="12"/>
    <n v="2022"/>
    <d v="2022-12-25T00:00:00"/>
    <s v="December"/>
    <d v="2026-01-11T00:00:00"/>
    <x v="0"/>
    <n v="7"/>
    <n v="11118.8"/>
    <s v="Rohan Sheth"/>
    <n v="25"/>
    <s v="Teenagers"/>
    <s v="Good"/>
    <x v="1"/>
    <s v="UPI"/>
    <n v="5"/>
    <s v="Redmi 9"/>
    <n v="77831.599999999991"/>
    <s v="Good"/>
    <s v="Average"/>
  </r>
  <r>
    <s v="Suni491557"/>
    <n v="1557"/>
    <n v="26"/>
    <n v="12"/>
    <n v="2022"/>
    <d v="2022-12-26T00:00:00"/>
    <s v="December"/>
    <d v="2026-01-12T00:00:00"/>
    <x v="2"/>
    <n v="5"/>
    <n v="58278.5"/>
    <s v="Sunita Iyer"/>
    <n v="49"/>
    <s v="Senior Citezen"/>
    <s v="Good"/>
    <x v="11"/>
    <s v="UPI"/>
    <n v="4"/>
    <s v="OnePlus 9"/>
    <n v="291392.5"/>
    <s v="Good"/>
    <s v="Excellent"/>
  </r>
  <r>
    <s v="Bhav481558"/>
    <n v="1558"/>
    <n v="26"/>
    <n v="12"/>
    <n v="2022"/>
    <d v="2022-12-26T00:00:00"/>
    <s v="December"/>
    <d v="2026-01-13T00:00:00"/>
    <x v="4"/>
    <n v="5"/>
    <n v="18273.7"/>
    <s v="Bhavana Ghosh"/>
    <n v="48"/>
    <s v="Senior Citezen"/>
    <s v="AVG"/>
    <x v="2"/>
    <s v="Cash"/>
    <n v="3"/>
    <s v="iPhone 11"/>
    <n v="91368.5"/>
    <s v="Average"/>
    <s v="Average"/>
  </r>
  <r>
    <s v="Priy511559"/>
    <n v="1559"/>
    <n v="26"/>
    <n v="12"/>
    <n v="2022"/>
    <d v="2022-12-26T00:00:00"/>
    <s v="December"/>
    <d v="2026-01-14T00:00:00"/>
    <x v="3"/>
    <n v="9"/>
    <n v="56558.61"/>
    <s v="Priya Thakur"/>
    <n v="51"/>
    <s v="Senior Citezen"/>
    <s v="Good"/>
    <x v="1"/>
    <s v="Credit Card"/>
    <n v="5"/>
    <s v="Galaxy Note 20"/>
    <n v="509027.49"/>
    <s v="Good"/>
    <s v="Excellent"/>
  </r>
  <r>
    <s v="Sanj401560"/>
    <n v="1560"/>
    <n v="26"/>
    <n v="12"/>
    <n v="2022"/>
    <d v="2022-12-26T00:00:00"/>
    <s v="December"/>
    <d v="2026-01-15T00:00:00"/>
    <x v="0"/>
    <n v="3"/>
    <n v="57852.55"/>
    <s v="Sanjay Srivastava"/>
    <n v="40"/>
    <s v="Adult"/>
    <s v="BAD"/>
    <x v="9"/>
    <s v="Cash"/>
    <n v="1"/>
    <s v="Redmi 9"/>
    <n v="173557.65000000002"/>
    <s v="Average"/>
    <s v="Good"/>
  </r>
  <r>
    <s v="Meen421561"/>
    <n v="1561"/>
    <n v="27"/>
    <n v="12"/>
    <n v="2022"/>
    <d v="2022-12-27T00:00:00"/>
    <s v="December"/>
    <d v="2026-01-16T00:00:00"/>
    <x v="0"/>
    <n v="6"/>
    <n v="42275.17"/>
    <s v="Meena Sheth"/>
    <n v="42"/>
    <s v="Adult"/>
    <s v="Good"/>
    <x v="18"/>
    <s v="Cash"/>
    <n v="5"/>
    <s v="Mi 11"/>
    <n v="253651.02"/>
    <s v="Good"/>
    <s v="Excellent"/>
  </r>
  <r>
    <s v="Meen241562"/>
    <n v="1562"/>
    <n v="27"/>
    <n v="12"/>
    <n v="2022"/>
    <d v="2022-12-27T00:00:00"/>
    <s v="December"/>
    <d v="2026-01-17T00:00:00"/>
    <x v="0"/>
    <n v="1"/>
    <n v="28580.92"/>
    <s v="Meena Joshi"/>
    <n v="24"/>
    <s v="Teenagers"/>
    <s v="BAD"/>
    <x v="2"/>
    <s v="Cash"/>
    <n v="1"/>
    <s v="Redmi Note 10"/>
    <n v="28580.92"/>
    <s v="Average"/>
    <s v="Low"/>
  </r>
  <r>
    <s v="Mano361563"/>
    <n v="1563"/>
    <n v="27"/>
    <n v="12"/>
    <n v="2022"/>
    <d v="2022-12-27T00:00:00"/>
    <s v="December"/>
    <d v="2026-01-18T00:00:00"/>
    <x v="2"/>
    <n v="5"/>
    <n v="18701.96"/>
    <s v="Manoj Gupta"/>
    <n v="36"/>
    <s v="Adult"/>
    <s v="BAD"/>
    <x v="1"/>
    <s v="Cash"/>
    <n v="1"/>
    <s v="OnePlus Nord"/>
    <n v="93509.799999999988"/>
    <s v="Average"/>
    <s v="Average"/>
  </r>
  <r>
    <s v="Anan241564"/>
    <n v="1564"/>
    <n v="27"/>
    <n v="12"/>
    <n v="2022"/>
    <d v="2022-12-27T00:00:00"/>
    <s v="December"/>
    <d v="2026-01-19T00:00:00"/>
    <x v="4"/>
    <n v="8"/>
    <n v="54208.31"/>
    <s v="Anand Kaur"/>
    <n v="24"/>
    <s v="Teenagers"/>
    <s v="BAD"/>
    <x v="1"/>
    <s v="Cash"/>
    <n v="1"/>
    <s v="iPhone SE"/>
    <n v="433666.48"/>
    <s v="Average"/>
    <s v="Excellent"/>
  </r>
  <r>
    <s v="Roha251565"/>
    <n v="1565"/>
    <n v="28"/>
    <n v="12"/>
    <n v="2022"/>
    <d v="2022-12-28T00:00:00"/>
    <s v="December"/>
    <d v="2026-01-20T00:00:00"/>
    <x v="2"/>
    <n v="5"/>
    <n v="46083.22"/>
    <s v="Rohan Dutta"/>
    <n v="25"/>
    <s v="Teenagers"/>
    <s v="BAD"/>
    <x v="10"/>
    <s v="Debit Card"/>
    <n v="1"/>
    <s v="OnePlus Nord"/>
    <n v="230416.1"/>
    <s v="Average"/>
    <s v="Excellent"/>
  </r>
  <r>
    <s v="Pras311566"/>
    <n v="1566"/>
    <n v="28"/>
    <n v="12"/>
    <n v="2022"/>
    <d v="2022-12-28T00:00:00"/>
    <s v="December"/>
    <d v="2026-01-21T00:00:00"/>
    <x v="1"/>
    <n v="9"/>
    <n v="49327.21"/>
    <s v="Prashant Deshmukh"/>
    <n v="31"/>
    <s v="Adult"/>
    <s v="Good"/>
    <x v="13"/>
    <s v="Cash"/>
    <n v="5"/>
    <s v="Vivo V20"/>
    <n v="443944.89"/>
    <s v="Good"/>
    <s v="Excellent"/>
  </r>
  <r>
    <s v="Priy181567"/>
    <n v="1567"/>
    <n v="28"/>
    <n v="12"/>
    <n v="2022"/>
    <d v="2022-12-28T00:00:00"/>
    <s v="December"/>
    <d v="2026-01-22T00:00:00"/>
    <x v="0"/>
    <n v="6"/>
    <n v="10520.15"/>
    <s v="Priya Kaur"/>
    <n v="18"/>
    <s v="Teenagers"/>
    <s v="BAD"/>
    <x v="1"/>
    <s v="Credit Card"/>
    <n v="1"/>
    <s v="Redmi Note 10"/>
    <n v="63120.899999999994"/>
    <s v="Average"/>
    <s v="Average"/>
  </r>
  <r>
    <s v="Anan301568"/>
    <n v="1568"/>
    <n v="29"/>
    <n v="12"/>
    <n v="2022"/>
    <d v="2022-12-29T00:00:00"/>
    <s v="December"/>
    <d v="2026-01-23T00:00:00"/>
    <x v="1"/>
    <n v="8"/>
    <n v="65651.02"/>
    <s v="Anand Siddiqui"/>
    <n v="30"/>
    <s v="Teenagers"/>
    <s v="Good"/>
    <x v="1"/>
    <s v="UPI"/>
    <n v="5"/>
    <s v="Vivo Y51"/>
    <n v="525208.16"/>
    <s v="Good"/>
    <s v="Excellent"/>
  </r>
  <r>
    <s v="Raje201569"/>
    <n v="1569"/>
    <n v="29"/>
    <n v="12"/>
    <n v="2022"/>
    <d v="2022-12-29T00:00:00"/>
    <s v="December"/>
    <d v="2026-01-24T00:00:00"/>
    <x v="3"/>
    <n v="8"/>
    <n v="13977.41"/>
    <s v="Rajesh Ghosh"/>
    <n v="20"/>
    <s v="Teenagers"/>
    <s v="Good"/>
    <x v="1"/>
    <s v="Debit Card"/>
    <n v="4"/>
    <s v="Galaxy A51"/>
    <n v="111819.28"/>
    <s v="Good"/>
    <s v="Good"/>
  </r>
  <r>
    <s v="Sanj451570"/>
    <n v="1570"/>
    <n v="29"/>
    <n v="12"/>
    <n v="2022"/>
    <d v="2022-12-29T00:00:00"/>
    <s v="December"/>
    <d v="2026-01-25T00:00:00"/>
    <x v="3"/>
    <n v="3"/>
    <n v="32008.35"/>
    <s v="Sanjay Roy"/>
    <n v="45"/>
    <s v="Adult"/>
    <s v="Good"/>
    <x v="2"/>
    <s v="Credit Card"/>
    <n v="5"/>
    <s v="Galaxy S21"/>
    <n v="96025.049999999988"/>
    <s v="Good"/>
    <s v="Average"/>
  </r>
  <r>
    <s v="Kavi551571"/>
    <n v="1571"/>
    <n v="30"/>
    <n v="12"/>
    <n v="2022"/>
    <d v="2022-12-30T00:00:00"/>
    <s v="December"/>
    <d v="2026-01-26T00:00:00"/>
    <x v="2"/>
    <n v="7"/>
    <n v="34162.699999999997"/>
    <s v="Kavita Kumar"/>
    <n v="55"/>
    <s v="Senior Citezen"/>
    <s v="BAD"/>
    <x v="4"/>
    <s v="Cash"/>
    <n v="1"/>
    <s v="OnePlus 8T"/>
    <n v="239138.89999999997"/>
    <s v="Average"/>
    <s v="Excellent"/>
  </r>
  <r>
    <s v="Pras321572"/>
    <n v="1572"/>
    <n v="30"/>
    <n v="12"/>
    <n v="2022"/>
    <d v="2022-12-30T00:00:00"/>
    <s v="December"/>
    <d v="2026-01-27T00:00:00"/>
    <x v="4"/>
    <n v="7"/>
    <n v="10081.33"/>
    <s v="Prashant Jain"/>
    <n v="32"/>
    <s v="Adult"/>
    <s v="Good"/>
    <x v="1"/>
    <s v="Credit Card"/>
    <n v="4"/>
    <s v="iPhone 12"/>
    <n v="70569.31"/>
    <s v="Good"/>
    <s v="Average"/>
  </r>
  <r>
    <s v="Nami531573"/>
    <n v="1573"/>
    <n v="30"/>
    <n v="12"/>
    <n v="2022"/>
    <d v="2022-12-30T00:00:00"/>
    <s v="December"/>
    <d v="2026-01-28T00:00:00"/>
    <x v="1"/>
    <n v="6"/>
    <n v="39825.360000000001"/>
    <s v="Namita Teja"/>
    <n v="53"/>
    <s v="Senior Citezen"/>
    <s v="Good"/>
    <x v="1"/>
    <s v="UPI"/>
    <n v="5"/>
    <s v="Vivo V20"/>
    <n v="238952.16"/>
    <s v="Good"/>
    <s v="Excellent"/>
  </r>
  <r>
    <s v="Yoge201574"/>
    <n v="1574"/>
    <n v="30"/>
    <n v="12"/>
    <n v="2022"/>
    <d v="2022-12-30T00:00:00"/>
    <s v="December"/>
    <d v="2026-01-29T00:00:00"/>
    <x v="4"/>
    <n v="7"/>
    <n v="55168.54"/>
    <s v="Yogesh Mishra"/>
    <n v="20"/>
    <s v="Teenagers"/>
    <s v="Good"/>
    <x v="10"/>
    <s v="Credit Card"/>
    <n v="5"/>
    <s v="iPhone 12"/>
    <n v="386179.78"/>
    <s v="Good"/>
    <s v="Excellent"/>
  </r>
  <r>
    <s v="Anit211575"/>
    <n v="1575"/>
    <n v="31"/>
    <n v="12"/>
    <n v="2022"/>
    <d v="2022-12-31T00:00:00"/>
    <s v="December"/>
    <d v="2026-01-30T00:00:00"/>
    <x v="2"/>
    <n v="2"/>
    <n v="59396.12"/>
    <s v="Anita Joshi"/>
    <n v="21"/>
    <s v="Teenagers"/>
    <s v="Good"/>
    <x v="5"/>
    <s v="Cash"/>
    <n v="5"/>
    <s v="OnePlus 8T"/>
    <n v="118792.24"/>
    <s v="Good"/>
    <s v="Good"/>
  </r>
  <r>
    <s v="Roha221576"/>
    <n v="1576"/>
    <n v="31"/>
    <n v="12"/>
    <n v="2022"/>
    <d v="2022-12-31T00:00:00"/>
    <s v="December"/>
    <d v="2026-01-31T00:00:00"/>
    <x v="3"/>
    <n v="9"/>
    <n v="62763.82"/>
    <s v="Rohan Deshmukh"/>
    <n v="22"/>
    <s v="Teenagers"/>
    <s v="Good"/>
    <x v="2"/>
    <s v="UPI"/>
    <n v="4"/>
    <s v="Galaxy S21"/>
    <n v="564874.38"/>
    <s v="Good"/>
    <s v="Excellent"/>
  </r>
  <r>
    <s v="Vive431577"/>
    <n v="1577"/>
    <n v="31"/>
    <n v="12"/>
    <n v="2022"/>
    <d v="2022-12-31T00:00:00"/>
    <s v="December"/>
    <d v="2026-02-01T00:00:00"/>
    <x v="4"/>
    <n v="1"/>
    <n v="39263.129999999997"/>
    <s v="Vivek Rawat"/>
    <n v="43"/>
    <s v="Adult"/>
    <s v="Good"/>
    <x v="2"/>
    <s v="Cash"/>
    <n v="5"/>
    <s v="iPhone 12"/>
    <n v="39263.129999999997"/>
    <s v="Good"/>
    <s v="Low"/>
  </r>
  <r>
    <s v="Priy421578"/>
    <n v="1578"/>
    <n v="1"/>
    <n v="1"/>
    <n v="2023"/>
    <d v="2023-01-01T00:00:00"/>
    <s v="January"/>
    <d v="2026-02-02T00:00:00"/>
    <x v="4"/>
    <n v="1"/>
    <n v="47838.17"/>
    <s v="Priya Bhattacharya"/>
    <n v="42"/>
    <s v="Adult"/>
    <s v="BAD"/>
    <x v="18"/>
    <s v="Cash"/>
    <n v="1"/>
    <s v="iPhone 12"/>
    <n v="47838.17"/>
    <s v="Average"/>
    <s v="Low"/>
  </r>
  <r>
    <s v="Tapa271579"/>
    <n v="1579"/>
    <n v="1"/>
    <n v="1"/>
    <n v="2023"/>
    <d v="2023-01-01T00:00:00"/>
    <s v="January"/>
    <d v="2026-02-03T00:00:00"/>
    <x v="3"/>
    <n v="3"/>
    <n v="14771.18"/>
    <s v="Tapan Singh"/>
    <n v="27"/>
    <s v="Teenagers"/>
    <s v="Good"/>
    <x v="9"/>
    <s v="Debit Card"/>
    <n v="5"/>
    <s v="Galaxy A51"/>
    <n v="44313.54"/>
    <s v="Good"/>
    <s v="Low"/>
  </r>
  <r>
    <s v="Meen251580"/>
    <n v="1580"/>
    <n v="1"/>
    <n v="1"/>
    <n v="2023"/>
    <d v="2023-01-01T00:00:00"/>
    <s v="January"/>
    <d v="2026-02-04T00:00:00"/>
    <x v="1"/>
    <n v="3"/>
    <n v="39282.29"/>
    <s v="Meena Desai"/>
    <n v="25"/>
    <s v="Teenagers"/>
    <s v="BAD"/>
    <x v="2"/>
    <s v="UPI"/>
    <n v="1"/>
    <s v="Vivo V20"/>
    <n v="117846.87"/>
    <s v="Average"/>
    <s v="Good"/>
  </r>
  <r>
    <s v="Pank291581"/>
    <n v="1581"/>
    <n v="1"/>
    <n v="1"/>
    <n v="2023"/>
    <d v="2023-01-01T00:00:00"/>
    <s v="January"/>
    <d v="2026-02-05T00:00:00"/>
    <x v="3"/>
    <n v="1"/>
    <n v="19288.95"/>
    <s v="Pankaj Pathak"/>
    <n v="29"/>
    <s v="Teenagers"/>
    <s v="AVG"/>
    <x v="1"/>
    <s v="UPI"/>
    <n v="3"/>
    <s v="Galaxy A51"/>
    <n v="19288.95"/>
    <s v="Average"/>
    <s v="Low"/>
  </r>
  <r>
    <s v="Raje201582"/>
    <n v="1582"/>
    <n v="2"/>
    <n v="1"/>
    <n v="2023"/>
    <d v="2023-01-02T00:00:00"/>
    <s v="January"/>
    <d v="2026-02-06T00:00:00"/>
    <x v="4"/>
    <n v="7"/>
    <n v="32178.59"/>
    <s v="Rajesh Chaudhary"/>
    <n v="20"/>
    <s v="Teenagers"/>
    <s v="Good"/>
    <x v="1"/>
    <s v="Cash"/>
    <n v="5"/>
    <s v="iPhone 12"/>
    <n v="225250.13"/>
    <s v="Good"/>
    <s v="Excellent"/>
  </r>
  <r>
    <s v="Lata441583"/>
    <n v="1583"/>
    <n v="2"/>
    <n v="1"/>
    <n v="2023"/>
    <d v="2023-01-02T00:00:00"/>
    <s v="January"/>
    <d v="2026-02-07T00:00:00"/>
    <x v="1"/>
    <n v="4"/>
    <n v="29758.32"/>
    <s v="Lata Shah"/>
    <n v="44"/>
    <s v="Adult"/>
    <s v="Good"/>
    <x v="7"/>
    <s v="Credit Card"/>
    <n v="5"/>
    <s v="Vivo S1"/>
    <n v="119033.28"/>
    <s v="Good"/>
    <s v="Good"/>
  </r>
  <r>
    <s v="Anan401584"/>
    <n v="1584"/>
    <n v="2"/>
    <n v="1"/>
    <n v="2023"/>
    <d v="2023-01-02T00:00:00"/>
    <s v="January"/>
    <d v="2026-02-08T00:00:00"/>
    <x v="1"/>
    <n v="2"/>
    <n v="35412.43"/>
    <s v="Anand Patel"/>
    <n v="40"/>
    <s v="Adult"/>
    <s v="Good"/>
    <x v="18"/>
    <s v="UPI"/>
    <n v="5"/>
    <s v="Vivo V20"/>
    <n v="70824.86"/>
    <s v="Good"/>
    <s v="Average"/>
  </r>
  <r>
    <s v="Meen571585"/>
    <n v="1585"/>
    <n v="2"/>
    <n v="1"/>
    <n v="2023"/>
    <d v="2023-01-02T00:00:00"/>
    <s v="January"/>
    <d v="2026-02-09T00:00:00"/>
    <x v="3"/>
    <n v="5"/>
    <n v="44298.2"/>
    <s v="Meena Rathod"/>
    <n v="57"/>
    <s v="Senior Citezen"/>
    <s v="Good"/>
    <x v="14"/>
    <s v="Credit Card"/>
    <n v="5"/>
    <s v="Galaxy A51"/>
    <n v="221491"/>
    <s v="Good"/>
    <s v="Excellent"/>
  </r>
  <r>
    <s v="Jyot501586"/>
    <n v="1586"/>
    <n v="3"/>
    <n v="1"/>
    <n v="2023"/>
    <d v="2023-01-03T00:00:00"/>
    <s v="January"/>
    <d v="2026-02-10T00:00:00"/>
    <x v="4"/>
    <n v="6"/>
    <n v="64172.6"/>
    <s v="Jyoti Iyer"/>
    <n v="50"/>
    <s v="Senior Citezen"/>
    <s v="Good"/>
    <x v="9"/>
    <s v="Credit Card"/>
    <n v="4"/>
    <s v="iPhone SE"/>
    <n v="385035.6"/>
    <s v="Good"/>
    <s v="Excellent"/>
  </r>
  <r>
    <s v="Rame311587"/>
    <n v="1587"/>
    <n v="3"/>
    <n v="1"/>
    <n v="2023"/>
    <d v="2023-01-03T00:00:00"/>
    <s v="January"/>
    <d v="2026-02-11T00:00:00"/>
    <x v="2"/>
    <n v="9"/>
    <n v="33669.08"/>
    <s v="Ramesh Gupta"/>
    <n v="31"/>
    <s v="Adult"/>
    <s v="BAD"/>
    <x v="1"/>
    <s v="UPI"/>
    <n v="1"/>
    <s v="OnePlus Nord"/>
    <n v="303021.72000000003"/>
    <s v="Average"/>
    <s v="Excellent"/>
  </r>
  <r>
    <s v="Sumi401588"/>
    <n v="1588"/>
    <n v="3"/>
    <n v="1"/>
    <n v="2023"/>
    <d v="2023-01-03T00:00:00"/>
    <s v="January"/>
    <d v="2026-02-12T00:00:00"/>
    <x v="4"/>
    <n v="4"/>
    <n v="68867.87"/>
    <s v="Sumit Chatterjee"/>
    <n v="40"/>
    <s v="Adult"/>
    <s v="Good"/>
    <x v="3"/>
    <s v="Credit Card"/>
    <n v="5"/>
    <s v="iPhone 12"/>
    <n v="275471.48"/>
    <s v="Good"/>
    <s v="Excellent"/>
  </r>
  <r>
    <s v="Reen481589"/>
    <n v="1589"/>
    <n v="3"/>
    <n v="1"/>
    <n v="2023"/>
    <d v="2023-01-03T00:00:00"/>
    <s v="January"/>
    <d v="2026-02-13T00:00:00"/>
    <x v="0"/>
    <n v="2"/>
    <n v="55541.68"/>
    <s v="Reena Patel"/>
    <n v="48"/>
    <s v="Senior Citezen"/>
    <s v="Good"/>
    <x v="2"/>
    <s v="UPI"/>
    <n v="4"/>
    <s v="Mi 11"/>
    <n v="111083.36"/>
    <s v="Good"/>
    <s v="Good"/>
  </r>
  <r>
    <s v="Mano301590"/>
    <n v="1590"/>
    <n v="4"/>
    <n v="1"/>
    <n v="2023"/>
    <d v="2023-01-04T00:00:00"/>
    <s v="January"/>
    <d v="2026-02-14T00:00:00"/>
    <x v="2"/>
    <n v="5"/>
    <n v="40688.86"/>
    <s v="Manoj Siddiqui"/>
    <n v="30"/>
    <s v="Teenagers"/>
    <s v="BAD"/>
    <x v="2"/>
    <s v="Debit Card"/>
    <n v="1"/>
    <s v="OnePlus Nord"/>
    <n v="203444.3"/>
    <s v="Average"/>
    <s v="Excellent"/>
  </r>
  <r>
    <s v="Lali291591"/>
    <n v="1591"/>
    <n v="4"/>
    <n v="1"/>
    <n v="2023"/>
    <d v="2023-01-04T00:00:00"/>
    <s v="January"/>
    <d v="2026-02-15T00:00:00"/>
    <x v="1"/>
    <n v="3"/>
    <n v="48641.59"/>
    <s v="Lalita Rathod"/>
    <n v="29"/>
    <s v="Teenagers"/>
    <s v="BAD"/>
    <x v="1"/>
    <s v="UPI"/>
    <n v="1"/>
    <s v="Vivo S1"/>
    <n v="145924.76999999999"/>
    <s v="Average"/>
    <s v="Good"/>
  </r>
  <r>
    <s v="Ravi521592"/>
    <n v="1592"/>
    <n v="4"/>
    <n v="1"/>
    <n v="2023"/>
    <d v="2023-01-04T00:00:00"/>
    <s v="January"/>
    <d v="2026-02-16T00:00:00"/>
    <x v="2"/>
    <n v="2"/>
    <n v="16133.45"/>
    <s v="Ravi Kulkarni"/>
    <n v="52"/>
    <s v="Senior Citezen"/>
    <s v="BAD"/>
    <x v="2"/>
    <s v="UPI"/>
    <n v="1"/>
    <s v="OnePlus Nord"/>
    <n v="32266.9"/>
    <s v="Average"/>
    <s v="Low"/>
  </r>
  <r>
    <s v="Arun351593"/>
    <n v="1593"/>
    <n v="4"/>
    <n v="1"/>
    <n v="2023"/>
    <d v="2023-01-04T00:00:00"/>
    <s v="January"/>
    <d v="2026-02-17T00:00:00"/>
    <x v="1"/>
    <n v="1"/>
    <n v="60671.29"/>
    <s v="Arun Kapoor"/>
    <n v="35"/>
    <s v="Adult"/>
    <s v="AVG"/>
    <x v="2"/>
    <s v="UPI"/>
    <n v="3"/>
    <s v="Vivo S1"/>
    <n v="60671.29"/>
    <s v="Average"/>
    <s v="Average"/>
  </r>
  <r>
    <s v="Isha381594"/>
    <n v="1594"/>
    <n v="5"/>
    <n v="1"/>
    <n v="2023"/>
    <d v="2023-01-05T00:00:00"/>
    <s v="January"/>
    <d v="2026-02-18T00:00:00"/>
    <x v="1"/>
    <n v="2"/>
    <n v="44941.45"/>
    <s v="Isha Dutta"/>
    <n v="38"/>
    <s v="Adult"/>
    <s v="BAD"/>
    <x v="2"/>
    <s v="Debit Card"/>
    <n v="1"/>
    <s v="Vivo S1"/>
    <n v="89882.9"/>
    <s v="Average"/>
    <s v="Average"/>
  </r>
  <r>
    <s v="Vive591595"/>
    <n v="1595"/>
    <n v="5"/>
    <n v="1"/>
    <n v="2023"/>
    <d v="2023-01-05T00:00:00"/>
    <s v="January"/>
    <d v="2026-02-19T00:00:00"/>
    <x v="2"/>
    <n v="6"/>
    <n v="69164.05"/>
    <s v="Vivek Bhattacharya"/>
    <n v="59"/>
    <s v="Senior Citezen"/>
    <s v="Good"/>
    <x v="7"/>
    <s v="Credit Card"/>
    <n v="4"/>
    <s v="OnePlus 8T"/>
    <n v="414984.30000000005"/>
    <s v="Good"/>
    <s v="Excellent"/>
  </r>
  <r>
    <s v="Deve181596"/>
    <n v="1596"/>
    <n v="5"/>
    <n v="1"/>
    <n v="2023"/>
    <d v="2023-01-05T00:00:00"/>
    <s v="January"/>
    <d v="2026-02-20T00:00:00"/>
    <x v="1"/>
    <n v="8"/>
    <n v="48185.72"/>
    <s v="Devendra Rao"/>
    <n v="18"/>
    <s v="Teenagers"/>
    <s v="BAD"/>
    <x v="16"/>
    <s v="Debit Card"/>
    <n v="1"/>
    <s v="Vivo V20"/>
    <n v="385485.76"/>
    <s v="Average"/>
    <s v="Excellent"/>
  </r>
  <r>
    <s v="Pras551597"/>
    <n v="1597"/>
    <n v="5"/>
    <n v="1"/>
    <n v="2023"/>
    <d v="2023-01-05T00:00:00"/>
    <s v="January"/>
    <d v="2026-02-21T00:00:00"/>
    <x v="1"/>
    <n v="3"/>
    <n v="60046.69"/>
    <s v="Prashant Luthra"/>
    <n v="55"/>
    <s v="Senior Citezen"/>
    <s v="BAD"/>
    <x v="2"/>
    <s v="Credit Card"/>
    <n v="1"/>
    <s v="Vivo Y51"/>
    <n v="180140.07"/>
    <s v="Average"/>
    <s v="Good"/>
  </r>
  <r>
    <s v="Shru581598"/>
    <n v="1598"/>
    <n v="6"/>
    <n v="1"/>
    <n v="2023"/>
    <d v="2023-01-06T00:00:00"/>
    <s v="January"/>
    <d v="2026-02-22T00:00:00"/>
    <x v="0"/>
    <n v="9"/>
    <n v="57985.760000000002"/>
    <s v="Shruti Kulkarni"/>
    <n v="58"/>
    <s v="Senior Citezen"/>
    <s v="Good"/>
    <x v="1"/>
    <s v="UPI"/>
    <n v="4"/>
    <s v="Redmi Note 10"/>
    <n v="521871.84"/>
    <s v="Good"/>
    <s v="Excellent"/>
  </r>
  <r>
    <s v="Moni591599"/>
    <n v="1599"/>
    <n v="6"/>
    <n v="1"/>
    <n v="2023"/>
    <d v="2023-01-06T00:00:00"/>
    <s v="January"/>
    <d v="2026-02-23T00:00:00"/>
    <x v="4"/>
    <n v="9"/>
    <n v="30727.67"/>
    <s v="Monika Goyal"/>
    <n v="59"/>
    <s v="Senior Citezen"/>
    <s v="Good"/>
    <x v="1"/>
    <s v="UPI"/>
    <n v="5"/>
    <s v="iPhone 11"/>
    <n v="276549.02999999997"/>
    <s v="Good"/>
    <s v="Excellent"/>
  </r>
  <r>
    <s v="Kira261600"/>
    <n v="1600"/>
    <n v="6"/>
    <n v="1"/>
    <n v="2023"/>
    <d v="2023-01-06T00:00:00"/>
    <s v="January"/>
    <d v="2026-02-24T00:00:00"/>
    <x v="4"/>
    <n v="2"/>
    <n v="25576.639999999999"/>
    <s v="Kiran Jain"/>
    <n v="26"/>
    <s v="Teenagers"/>
    <s v="BAD"/>
    <x v="1"/>
    <s v="Debit Card"/>
    <n v="1"/>
    <s v="iPhone 12"/>
    <n v="51153.279999999999"/>
    <s v="Average"/>
    <s v="Average"/>
  </r>
  <r>
    <s v="Arun401601"/>
    <n v="1601"/>
    <n v="7"/>
    <n v="1"/>
    <n v="2023"/>
    <d v="2023-01-07T00:00:00"/>
    <s v="January"/>
    <d v="2026-02-25T00:00:00"/>
    <x v="0"/>
    <n v="8"/>
    <n v="35829.620000000003"/>
    <s v="Arun Dutta"/>
    <n v="40"/>
    <s v="Adult"/>
    <s v="Good"/>
    <x v="3"/>
    <s v="Debit Card"/>
    <n v="4"/>
    <s v="Redmi 9"/>
    <n v="286636.96000000002"/>
    <s v="Good"/>
    <s v="Excellent"/>
  </r>
  <r>
    <s v="Tapa311602"/>
    <n v="1602"/>
    <n v="7"/>
    <n v="1"/>
    <n v="2023"/>
    <d v="2023-01-07T00:00:00"/>
    <s v="January"/>
    <d v="2026-02-26T00:00:00"/>
    <x v="2"/>
    <n v="5"/>
    <n v="38034.480000000003"/>
    <s v="Tapan Kumar"/>
    <n v="31"/>
    <s v="Adult"/>
    <s v="Good"/>
    <x v="1"/>
    <s v="Debit Card"/>
    <n v="5"/>
    <s v="OnePlus 9"/>
    <n v="190172.40000000002"/>
    <s v="Good"/>
    <s v="Good"/>
  </r>
  <r>
    <s v="Bhav281603"/>
    <n v="1603"/>
    <n v="7"/>
    <n v="1"/>
    <n v="2023"/>
    <d v="2023-01-07T00:00:00"/>
    <s v="January"/>
    <d v="2026-02-27T00:00:00"/>
    <x v="3"/>
    <n v="4"/>
    <n v="24405.08"/>
    <s v="Bhavana Mathur"/>
    <n v="28"/>
    <s v="Teenagers"/>
    <s v="Good"/>
    <x v="6"/>
    <s v="Debit Card"/>
    <n v="4"/>
    <s v="Galaxy S21"/>
    <n v="97620.32"/>
    <s v="Good"/>
    <s v="Average"/>
  </r>
  <r>
    <s v="Deve241604"/>
    <n v="1604"/>
    <n v="8"/>
    <n v="1"/>
    <n v="2023"/>
    <d v="2023-01-08T00:00:00"/>
    <s v="January"/>
    <d v="2026-02-28T00:00:00"/>
    <x v="3"/>
    <n v="5"/>
    <n v="63675.87"/>
    <s v="Devendra Menon"/>
    <n v="24"/>
    <s v="Teenagers"/>
    <s v="AVG"/>
    <x v="16"/>
    <s v="UPI"/>
    <n v="3"/>
    <s v="Galaxy A51"/>
    <n v="318379.35000000003"/>
    <s v="Average"/>
    <s v="Excellent"/>
  </r>
  <r>
    <s v="Lata481605"/>
    <n v="1605"/>
    <n v="8"/>
    <n v="1"/>
    <n v="2023"/>
    <d v="2023-01-08T00:00:00"/>
    <s v="January"/>
    <d v="2026-03-01T00:00:00"/>
    <x v="3"/>
    <n v="4"/>
    <n v="42552.87"/>
    <s v="Lata Joshi"/>
    <n v="48"/>
    <s v="Senior Citezen"/>
    <s v="Good"/>
    <x v="1"/>
    <s v="UPI"/>
    <n v="5"/>
    <s v="Galaxy A51"/>
    <n v="170211.48"/>
    <s v="Good"/>
    <s v="Good"/>
  </r>
  <r>
    <s v="Sach411606"/>
    <n v="1606"/>
    <n v="8"/>
    <n v="1"/>
    <n v="2023"/>
    <d v="2023-01-08T00:00:00"/>
    <s v="January"/>
    <d v="2026-03-02T00:00:00"/>
    <x v="0"/>
    <n v="8"/>
    <n v="68706.66"/>
    <s v="Sachin Ghosh"/>
    <n v="41"/>
    <s v="Adult"/>
    <s v="Good"/>
    <x v="6"/>
    <s v="Cash"/>
    <n v="5"/>
    <s v="Redmi Note 10"/>
    <n v="549653.28"/>
    <s v="Good"/>
    <s v="Excellent"/>
  </r>
  <r>
    <s v="Yoge431607"/>
    <n v="1607"/>
    <n v="8"/>
    <n v="1"/>
    <n v="2023"/>
    <d v="2023-01-08T00:00:00"/>
    <s v="January"/>
    <d v="2026-03-03T00:00:00"/>
    <x v="0"/>
    <n v="4"/>
    <n v="58601.07"/>
    <s v="Yogesh Roy"/>
    <n v="43"/>
    <s v="Adult"/>
    <s v="Good"/>
    <x v="4"/>
    <s v="Debit Card"/>
    <n v="5"/>
    <s v="Redmi Note 10"/>
    <n v="234404.28"/>
    <s v="Good"/>
    <s v="Excellent"/>
  </r>
  <r>
    <s v="Vive471608"/>
    <n v="1608"/>
    <n v="9"/>
    <n v="1"/>
    <n v="2023"/>
    <d v="2023-01-09T00:00:00"/>
    <s v="January"/>
    <d v="2026-03-04T00:00:00"/>
    <x v="1"/>
    <n v="6"/>
    <n v="43342.29"/>
    <s v="Vivek Srivastava"/>
    <n v="47"/>
    <s v="Senior Citezen"/>
    <s v="Good"/>
    <x v="1"/>
    <s v="Debit Card"/>
    <n v="4"/>
    <s v="Vivo S1"/>
    <n v="260053.74"/>
    <s v="Good"/>
    <s v="Excellent"/>
  </r>
  <r>
    <s v="Meen511609"/>
    <n v="1609"/>
    <n v="9"/>
    <n v="1"/>
    <n v="2023"/>
    <d v="2023-01-09T00:00:00"/>
    <s v="January"/>
    <d v="2026-03-05T00:00:00"/>
    <x v="3"/>
    <n v="2"/>
    <n v="66822.42"/>
    <s v="Meena Pillai"/>
    <n v="51"/>
    <s v="Senior Citezen"/>
    <s v="Good"/>
    <x v="12"/>
    <s v="Credit Card"/>
    <n v="4"/>
    <s v="Galaxy Note 20"/>
    <n v="133644.84"/>
    <s v="Good"/>
    <s v="Good"/>
  </r>
  <r>
    <s v="Roha551610"/>
    <n v="1610"/>
    <n v="9"/>
    <n v="1"/>
    <n v="2023"/>
    <d v="2023-01-09T00:00:00"/>
    <s v="January"/>
    <d v="2026-03-06T00:00:00"/>
    <x v="2"/>
    <n v="5"/>
    <n v="40292.49"/>
    <s v="Rohan Sheth"/>
    <n v="55"/>
    <s v="Senior Citezen"/>
    <s v="BAD"/>
    <x v="3"/>
    <s v="Credit Card"/>
    <n v="1"/>
    <s v="OnePlus Nord"/>
    <n v="201462.44999999998"/>
    <s v="Average"/>
    <s v="Excellent"/>
  </r>
  <r>
    <s v="Vive221611"/>
    <n v="1611"/>
    <n v="9"/>
    <n v="1"/>
    <n v="2023"/>
    <d v="2023-01-09T00:00:00"/>
    <s v="January"/>
    <d v="2026-03-07T00:00:00"/>
    <x v="2"/>
    <n v="6"/>
    <n v="63226.39"/>
    <s v="Vivek Shah"/>
    <n v="22"/>
    <s v="Teenagers"/>
    <s v="BAD"/>
    <x v="1"/>
    <s v="UPI"/>
    <n v="1"/>
    <s v="OnePlus 9"/>
    <n v="379358.33999999997"/>
    <s v="Average"/>
    <s v="Excellent"/>
  </r>
  <r>
    <s v="Mano221612"/>
    <n v="1612"/>
    <n v="10"/>
    <n v="1"/>
    <n v="2023"/>
    <d v="2023-01-10T00:00:00"/>
    <s v="January"/>
    <d v="2026-03-08T00:00:00"/>
    <x v="3"/>
    <n v="5"/>
    <n v="31488.69"/>
    <s v="Manoj Sharma"/>
    <n v="22"/>
    <s v="Teenagers"/>
    <s v="AVG"/>
    <x v="10"/>
    <s v="Cash"/>
    <n v="3"/>
    <s v="Galaxy S21"/>
    <n v="157443.44999999998"/>
    <s v="Average"/>
    <s v="Good"/>
  </r>
  <r>
    <s v="Vive361613"/>
    <n v="1613"/>
    <n v="10"/>
    <n v="1"/>
    <n v="2023"/>
    <d v="2023-01-10T00:00:00"/>
    <s v="January"/>
    <d v="2026-03-09T00:00:00"/>
    <x v="3"/>
    <n v="2"/>
    <n v="32718.54"/>
    <s v="Vivek Nambiar"/>
    <n v="36"/>
    <s v="Adult"/>
    <s v="BAD"/>
    <x v="2"/>
    <s v="Debit Card"/>
    <n v="1"/>
    <s v="Galaxy S21"/>
    <n v="65437.08"/>
    <s v="Average"/>
    <s v="Average"/>
  </r>
  <r>
    <s v="Amit551614"/>
    <n v="1614"/>
    <n v="10"/>
    <n v="1"/>
    <n v="2023"/>
    <d v="2023-01-10T00:00:00"/>
    <s v="January"/>
    <d v="2026-03-10T00:00:00"/>
    <x v="3"/>
    <n v="7"/>
    <n v="35087.839999999997"/>
    <s v="Amit Pillai"/>
    <n v="55"/>
    <s v="Senior Citezen"/>
    <s v="Good"/>
    <x v="15"/>
    <s v="Cash"/>
    <n v="4"/>
    <s v="Galaxy A51"/>
    <n v="245614.87999999998"/>
    <s v="Good"/>
    <s v="Excellent"/>
  </r>
  <r>
    <s v="Lali451615"/>
    <n v="1615"/>
    <n v="11"/>
    <n v="1"/>
    <n v="2023"/>
    <d v="2023-01-11T00:00:00"/>
    <s v="January"/>
    <d v="2026-03-11T00:00:00"/>
    <x v="0"/>
    <n v="4"/>
    <n v="42797.54"/>
    <s v="Lalita Verma"/>
    <n v="45"/>
    <s v="Adult"/>
    <s v="Good"/>
    <x v="1"/>
    <s v="Cash"/>
    <n v="4"/>
    <s v="Redmi 9"/>
    <n v="171190.16"/>
    <s v="Good"/>
    <s v="Good"/>
  </r>
  <r>
    <s v="Nikh431616"/>
    <n v="1616"/>
    <n v="11"/>
    <n v="1"/>
    <n v="2023"/>
    <d v="2023-01-11T00:00:00"/>
    <s v="January"/>
    <d v="2026-03-12T00:00:00"/>
    <x v="0"/>
    <n v="8"/>
    <n v="43209.42"/>
    <s v="Nikhil Patel"/>
    <n v="43"/>
    <s v="Adult"/>
    <s v="BAD"/>
    <x v="2"/>
    <s v="UPI"/>
    <n v="1"/>
    <s v="Mi 11"/>
    <n v="345675.36"/>
    <s v="Average"/>
    <s v="Excellent"/>
  </r>
  <r>
    <s v="Ayes591617"/>
    <n v="1617"/>
    <n v="11"/>
    <n v="1"/>
    <n v="2023"/>
    <d v="2023-01-11T00:00:00"/>
    <s v="January"/>
    <d v="2026-03-13T00:00:00"/>
    <x v="0"/>
    <n v="7"/>
    <n v="39783.94"/>
    <s v="Ayesha Roy"/>
    <n v="59"/>
    <s v="Senior Citezen"/>
    <s v="AVG"/>
    <x v="3"/>
    <s v="Cash"/>
    <n v="3"/>
    <s v="Redmi Note 10"/>
    <n v="278487.58"/>
    <s v="Average"/>
    <s v="Excellent"/>
  </r>
  <r>
    <s v="Yoge401618"/>
    <n v="1618"/>
    <n v="12"/>
    <n v="1"/>
    <n v="2023"/>
    <d v="2023-01-12T00:00:00"/>
    <s v="January"/>
    <d v="2026-03-14T00:00:00"/>
    <x v="4"/>
    <n v="7"/>
    <n v="28360.06"/>
    <s v="Yogesh Kulkarni"/>
    <n v="40"/>
    <s v="Adult"/>
    <s v="Good"/>
    <x v="13"/>
    <s v="Debit Card"/>
    <n v="4"/>
    <s v="iPhone 12"/>
    <n v="198520.42"/>
    <s v="Good"/>
    <s v="Good"/>
  </r>
  <r>
    <s v="Adit471619"/>
    <n v="1619"/>
    <n v="12"/>
    <n v="1"/>
    <n v="2023"/>
    <d v="2023-01-12T00:00:00"/>
    <s v="January"/>
    <d v="2026-03-15T00:00:00"/>
    <x v="2"/>
    <n v="9"/>
    <n v="65632.39"/>
    <s v="Aditya Sheth"/>
    <n v="47"/>
    <s v="Senior Citezen"/>
    <s v="AVG"/>
    <x v="1"/>
    <s v="UPI"/>
    <n v="3"/>
    <s v="OnePlus Nord"/>
    <n v="590691.51"/>
    <s v="Average"/>
    <s v="Excellent"/>
  </r>
  <r>
    <s v="Shru201620"/>
    <n v="1620"/>
    <n v="12"/>
    <n v="1"/>
    <n v="2023"/>
    <d v="2023-01-12T00:00:00"/>
    <s v="January"/>
    <d v="2026-03-16T00:00:00"/>
    <x v="2"/>
    <n v="1"/>
    <n v="45315.17"/>
    <s v="Shruti Teja"/>
    <n v="20"/>
    <s v="Teenagers"/>
    <s v="Good"/>
    <x v="7"/>
    <s v="Cash"/>
    <n v="4"/>
    <s v="OnePlus 9"/>
    <n v="45315.17"/>
    <s v="Good"/>
    <s v="Low"/>
  </r>
  <r>
    <s v="Priy451621"/>
    <n v="1621"/>
    <n v="12"/>
    <n v="1"/>
    <n v="2023"/>
    <d v="2023-01-12T00:00:00"/>
    <s v="January"/>
    <d v="2026-03-17T00:00:00"/>
    <x v="1"/>
    <n v="6"/>
    <n v="34464.35"/>
    <s v="Priya Teja"/>
    <n v="45"/>
    <s v="Adult"/>
    <s v="AVG"/>
    <x v="4"/>
    <s v="UPI"/>
    <n v="3"/>
    <s v="Vivo Y51"/>
    <n v="206786.09999999998"/>
    <s v="Average"/>
    <s v="Excellent"/>
  </r>
  <r>
    <s v="Kris501622"/>
    <n v="1622"/>
    <n v="13"/>
    <n v="1"/>
    <n v="2023"/>
    <d v="2023-01-13T00:00:00"/>
    <s v="January"/>
    <d v="2026-03-18T00:00:00"/>
    <x v="0"/>
    <n v="6"/>
    <n v="49070.62"/>
    <s v="Krishna Patel"/>
    <n v="50"/>
    <s v="Senior Citezen"/>
    <s v="AVG"/>
    <x v="2"/>
    <s v="UPI"/>
    <n v="3"/>
    <s v="Redmi 9"/>
    <n v="294423.72000000003"/>
    <s v="Average"/>
    <s v="Excellent"/>
  </r>
  <r>
    <s v="Tanu591623"/>
    <n v="1623"/>
    <n v="13"/>
    <n v="1"/>
    <n v="2023"/>
    <d v="2023-01-13T00:00:00"/>
    <s v="January"/>
    <d v="2026-03-19T00:00:00"/>
    <x v="4"/>
    <n v="6"/>
    <n v="56078.01"/>
    <s v="Tanuja Gupta"/>
    <n v="59"/>
    <s v="Senior Citezen"/>
    <s v="AVG"/>
    <x v="2"/>
    <s v="Credit Card"/>
    <n v="3"/>
    <s v="iPhone 12"/>
    <n v="336468.06"/>
    <s v="Average"/>
    <s v="Excellent"/>
  </r>
  <r>
    <s v="Radh201624"/>
    <n v="1624"/>
    <n v="13"/>
    <n v="1"/>
    <n v="2023"/>
    <d v="2023-01-13T00:00:00"/>
    <s v="January"/>
    <d v="2026-03-20T00:00:00"/>
    <x v="4"/>
    <n v="6"/>
    <n v="67643.69"/>
    <s v="Radha Nair"/>
    <n v="20"/>
    <s v="Teenagers"/>
    <s v="BAD"/>
    <x v="5"/>
    <s v="UPI"/>
    <n v="1"/>
    <s v="iPhone SE"/>
    <n v="405862.14"/>
    <s v="Average"/>
    <s v="Excellent"/>
  </r>
  <r>
    <s v="Meen221625"/>
    <n v="1625"/>
    <n v="14"/>
    <n v="1"/>
    <n v="2023"/>
    <d v="2023-01-14T00:00:00"/>
    <s v="January"/>
    <d v="2026-03-21T00:00:00"/>
    <x v="2"/>
    <n v="7"/>
    <n v="39972.949999999997"/>
    <s v="Meena Verma"/>
    <n v="22"/>
    <s v="Teenagers"/>
    <s v="Good"/>
    <x v="0"/>
    <s v="Cash"/>
    <n v="5"/>
    <s v="OnePlus Nord"/>
    <n v="279810.64999999997"/>
    <s v="Good"/>
    <s v="Excellent"/>
  </r>
  <r>
    <s v="Lata361626"/>
    <n v="1626"/>
    <n v="14"/>
    <n v="1"/>
    <n v="2023"/>
    <d v="2023-01-14T00:00:00"/>
    <s v="January"/>
    <d v="2026-03-22T00:00:00"/>
    <x v="0"/>
    <n v="6"/>
    <n v="16725.91"/>
    <s v="Lata Verma"/>
    <n v="36"/>
    <s v="Adult"/>
    <s v="AVG"/>
    <x v="1"/>
    <s v="Credit Card"/>
    <n v="3"/>
    <s v="Mi 11"/>
    <n v="100355.45999999999"/>
    <s v="Average"/>
    <s v="Good"/>
  </r>
  <r>
    <s v="Tanu591627"/>
    <n v="1627"/>
    <n v="14"/>
    <n v="1"/>
    <n v="2023"/>
    <d v="2023-01-14T00:00:00"/>
    <s v="January"/>
    <d v="2026-03-23T00:00:00"/>
    <x v="1"/>
    <n v="1"/>
    <n v="36445.949999999997"/>
    <s v="Tanuja Bhatnagar"/>
    <n v="59"/>
    <s v="Senior Citezen"/>
    <s v="AVG"/>
    <x v="16"/>
    <s v="Debit Card"/>
    <n v="3"/>
    <s v="Vivo S1"/>
    <n v="36445.949999999997"/>
    <s v="Average"/>
    <s v="Low"/>
  </r>
  <r>
    <s v="Sach181628"/>
    <n v="1628"/>
    <n v="14"/>
    <n v="1"/>
    <n v="2023"/>
    <d v="2023-01-14T00:00:00"/>
    <s v="January"/>
    <d v="2026-03-24T00:00:00"/>
    <x v="0"/>
    <n v="3"/>
    <n v="38738.230000000003"/>
    <s v="Sachin Chaudhary"/>
    <n v="18"/>
    <s v="Teenagers"/>
    <s v="Good"/>
    <x v="7"/>
    <s v="Debit Card"/>
    <n v="4"/>
    <s v="Redmi Note 10"/>
    <n v="116214.69"/>
    <s v="Good"/>
    <s v="Good"/>
  </r>
  <r>
    <s v="Nami551629"/>
    <n v="1629"/>
    <n v="15"/>
    <n v="1"/>
    <n v="2023"/>
    <d v="2023-01-15T00:00:00"/>
    <s v="January"/>
    <d v="2026-03-25T00:00:00"/>
    <x v="3"/>
    <n v="2"/>
    <n v="63819.64"/>
    <s v="Namita Goyal"/>
    <n v="55"/>
    <s v="Senior Citezen"/>
    <s v="Good"/>
    <x v="1"/>
    <s v="Debit Card"/>
    <n v="5"/>
    <s v="Galaxy Note 20"/>
    <n v="127639.28"/>
    <s v="Good"/>
    <s v="Good"/>
  </r>
  <r>
    <s v="Shru261630"/>
    <n v="1630"/>
    <n v="15"/>
    <n v="1"/>
    <n v="2023"/>
    <d v="2023-01-15T00:00:00"/>
    <s v="January"/>
    <d v="2026-03-26T00:00:00"/>
    <x v="0"/>
    <n v="6"/>
    <n v="33688.050000000003"/>
    <s v="Shruti Chaudhary"/>
    <n v="26"/>
    <s v="Teenagers"/>
    <s v="Good"/>
    <x v="1"/>
    <s v="Debit Card"/>
    <n v="4"/>
    <s v="Redmi 9"/>
    <n v="202128.30000000002"/>
    <s v="Good"/>
    <s v="Excellent"/>
  </r>
  <r>
    <s v="Shru221631"/>
    <n v="1631"/>
    <n v="15"/>
    <n v="1"/>
    <n v="2023"/>
    <d v="2023-01-15T00:00:00"/>
    <s v="January"/>
    <d v="2026-03-27T00:00:00"/>
    <x v="3"/>
    <n v="8"/>
    <n v="67199.460000000006"/>
    <s v="Shruti Ahuja"/>
    <n v="22"/>
    <s v="Teenagers"/>
    <s v="Good"/>
    <x v="2"/>
    <s v="Debit Card"/>
    <n v="4"/>
    <s v="Galaxy S21"/>
    <n v="537595.68000000005"/>
    <s v="Good"/>
    <s v="Excellent"/>
  </r>
  <r>
    <s v="Bina591632"/>
    <n v="1632"/>
    <n v="16"/>
    <n v="1"/>
    <n v="2023"/>
    <d v="2023-01-16T00:00:00"/>
    <s v="January"/>
    <d v="2026-03-28T00:00:00"/>
    <x v="3"/>
    <n v="3"/>
    <n v="39107.910000000003"/>
    <s v="Bina Das"/>
    <n v="59"/>
    <s v="Senior Citezen"/>
    <s v="AVG"/>
    <x v="1"/>
    <s v="Cash"/>
    <n v="3"/>
    <s v="Galaxy A51"/>
    <n v="117323.73000000001"/>
    <s v="Average"/>
    <s v="Good"/>
  </r>
  <r>
    <s v="Neet511633"/>
    <n v="1633"/>
    <n v="16"/>
    <n v="1"/>
    <n v="2023"/>
    <d v="2023-01-16T00:00:00"/>
    <s v="January"/>
    <d v="2026-03-29T00:00:00"/>
    <x v="1"/>
    <n v="8"/>
    <n v="68426.83"/>
    <s v="Neeta Pillai"/>
    <n v="51"/>
    <s v="Senior Citezen"/>
    <s v="Good"/>
    <x v="1"/>
    <s v="UPI"/>
    <n v="5"/>
    <s v="Vivo S1"/>
    <n v="547414.64"/>
    <s v="Good"/>
    <s v="Excellent"/>
  </r>
  <r>
    <s v="Vija541634"/>
    <n v="1634"/>
    <n v="16"/>
    <n v="1"/>
    <n v="2023"/>
    <d v="2023-01-16T00:00:00"/>
    <s v="January"/>
    <d v="2026-03-30T00:00:00"/>
    <x v="2"/>
    <n v="8"/>
    <n v="10491.9"/>
    <s v="Vijay Rao"/>
    <n v="54"/>
    <s v="Senior Citezen"/>
    <s v="Good"/>
    <x v="16"/>
    <s v="Credit Card"/>
    <n v="5"/>
    <s v="OnePlus 8T"/>
    <n v="83935.2"/>
    <s v="Good"/>
    <s v="Average"/>
  </r>
  <r>
    <s v="Roha501635"/>
    <n v="1635"/>
    <n v="16"/>
    <n v="1"/>
    <n v="2023"/>
    <d v="2023-01-16T00:00:00"/>
    <s v="January"/>
    <d v="2026-03-31T00:00:00"/>
    <x v="0"/>
    <n v="5"/>
    <n v="63928.92"/>
    <s v="Rohan Rathod"/>
    <n v="50"/>
    <s v="Senior Citezen"/>
    <s v="Good"/>
    <x v="12"/>
    <s v="UPI"/>
    <n v="4"/>
    <s v="Mi 11"/>
    <n v="319644.59999999998"/>
    <s v="Good"/>
    <s v="Excellent"/>
  </r>
  <r>
    <s v="Priy421636"/>
    <n v="1636"/>
    <n v="17"/>
    <n v="1"/>
    <n v="2023"/>
    <d v="2023-01-17T00:00:00"/>
    <s v="January"/>
    <d v="2026-04-01T00:00:00"/>
    <x v="3"/>
    <n v="8"/>
    <n v="65867.23"/>
    <s v="Priya Mathur"/>
    <n v="42"/>
    <s v="Adult"/>
    <s v="Good"/>
    <x v="1"/>
    <s v="UPI"/>
    <n v="5"/>
    <s v="Galaxy Note 20"/>
    <n v="526937.84"/>
    <s v="Good"/>
    <s v="Excellent"/>
  </r>
  <r>
    <s v="Pras591637"/>
    <n v="1637"/>
    <n v="17"/>
    <n v="1"/>
    <n v="2023"/>
    <d v="2023-01-17T00:00:00"/>
    <s v="January"/>
    <d v="2026-04-02T00:00:00"/>
    <x v="0"/>
    <n v="6"/>
    <n v="67661.259999999995"/>
    <s v="Prashant Shah"/>
    <n v="59"/>
    <s v="Senior Citezen"/>
    <s v="Good"/>
    <x v="5"/>
    <s v="Cash"/>
    <n v="5"/>
    <s v="Mi 11"/>
    <n v="405967.55999999994"/>
    <s v="Good"/>
    <s v="Excellent"/>
  </r>
  <r>
    <s v="Sach461638"/>
    <n v="1638"/>
    <n v="17"/>
    <n v="1"/>
    <n v="2023"/>
    <d v="2023-01-17T00:00:00"/>
    <s v="January"/>
    <d v="2026-04-03T00:00:00"/>
    <x v="2"/>
    <n v="5"/>
    <n v="10784.59"/>
    <s v="Sachin Singh"/>
    <n v="46"/>
    <s v="Senior Citezen"/>
    <s v="Good"/>
    <x v="14"/>
    <s v="Cash"/>
    <n v="4"/>
    <s v="OnePlus 9"/>
    <n v="53922.95"/>
    <s v="Good"/>
    <s v="Average"/>
  </r>
  <r>
    <s v="Neet421639"/>
    <n v="1639"/>
    <n v="18"/>
    <n v="1"/>
    <n v="2023"/>
    <d v="2023-01-18T00:00:00"/>
    <s v="January"/>
    <d v="2026-04-04T00:00:00"/>
    <x v="2"/>
    <n v="9"/>
    <n v="20302.05"/>
    <s v="Neeta Yadav"/>
    <n v="42"/>
    <s v="Adult"/>
    <s v="AVG"/>
    <x v="2"/>
    <s v="Cash"/>
    <n v="3"/>
    <s v="OnePlus Nord"/>
    <n v="182718.44999999998"/>
    <s v="Average"/>
    <s v="Good"/>
  </r>
  <r>
    <s v="Pank261640"/>
    <n v="1640"/>
    <n v="18"/>
    <n v="1"/>
    <n v="2023"/>
    <d v="2023-01-18T00:00:00"/>
    <s v="January"/>
    <d v="2026-04-05T00:00:00"/>
    <x v="4"/>
    <n v="7"/>
    <n v="49225.87"/>
    <s v="Pankaj Alva"/>
    <n v="26"/>
    <s v="Teenagers"/>
    <s v="BAD"/>
    <x v="2"/>
    <s v="Credit Card"/>
    <n v="1"/>
    <s v="iPhone 11"/>
    <n v="344581.09"/>
    <s v="Average"/>
    <s v="Excellent"/>
  </r>
  <r>
    <s v="Ayes201641"/>
    <n v="1641"/>
    <n v="18"/>
    <n v="1"/>
    <n v="2023"/>
    <d v="2023-01-18T00:00:00"/>
    <s v="January"/>
    <d v="2026-04-06T00:00:00"/>
    <x v="2"/>
    <n v="8"/>
    <n v="11528.36"/>
    <s v="Ayesha Siddiqui"/>
    <n v="20"/>
    <s v="Teenagers"/>
    <s v="Good"/>
    <x v="13"/>
    <s v="Cash"/>
    <n v="4"/>
    <s v="OnePlus 9"/>
    <n v="92226.880000000005"/>
    <s v="Good"/>
    <s v="Average"/>
  </r>
  <r>
    <s v="Roha321642"/>
    <n v="1642"/>
    <n v="18"/>
    <n v="1"/>
    <n v="2023"/>
    <d v="2023-01-18T00:00:00"/>
    <s v="January"/>
    <d v="2026-04-07T00:00:00"/>
    <x v="1"/>
    <n v="1"/>
    <n v="13816.54"/>
    <s v="Rohan Menon"/>
    <n v="32"/>
    <s v="Adult"/>
    <s v="AVG"/>
    <x v="1"/>
    <s v="UPI"/>
    <n v="3"/>
    <s v="Vivo Y51"/>
    <n v="13816.54"/>
    <s v="Average"/>
    <s v="Low"/>
  </r>
  <r>
    <s v="Ayes211643"/>
    <n v="1643"/>
    <n v="19"/>
    <n v="1"/>
    <n v="2023"/>
    <d v="2023-01-19T00:00:00"/>
    <s v="January"/>
    <d v="2026-04-08T00:00:00"/>
    <x v="3"/>
    <n v="2"/>
    <n v="23264.73"/>
    <s v="Ayesha Kaur"/>
    <n v="21"/>
    <s v="Teenagers"/>
    <s v="Good"/>
    <x v="17"/>
    <s v="Credit Card"/>
    <n v="5"/>
    <s v="Galaxy A51"/>
    <n v="46529.46"/>
    <s v="Good"/>
    <s v="Low"/>
  </r>
  <r>
    <s v="Ravi551644"/>
    <n v="1644"/>
    <n v="19"/>
    <n v="1"/>
    <n v="2023"/>
    <d v="2023-01-19T00:00:00"/>
    <s v="January"/>
    <d v="2026-04-09T00:00:00"/>
    <x v="4"/>
    <n v="8"/>
    <n v="40746.39"/>
    <s v="Ravi Bhattacharya"/>
    <n v="55"/>
    <s v="Senior Citezen"/>
    <s v="AVG"/>
    <x v="0"/>
    <s v="Cash"/>
    <n v="3"/>
    <s v="iPhone 11"/>
    <n v="325971.12"/>
    <s v="Average"/>
    <s v="Excellent"/>
  </r>
  <r>
    <s v="Radh371645"/>
    <n v="1645"/>
    <n v="19"/>
    <n v="1"/>
    <n v="2023"/>
    <d v="2023-01-19T00:00:00"/>
    <s v="January"/>
    <d v="2026-04-10T00:00:00"/>
    <x v="1"/>
    <n v="9"/>
    <n v="42754.15"/>
    <s v="Radha Nair"/>
    <n v="37"/>
    <s v="Adult"/>
    <s v="Good"/>
    <x v="13"/>
    <s v="Cash"/>
    <n v="5"/>
    <s v="Vivo S1"/>
    <n v="384787.35000000003"/>
    <s v="Good"/>
    <s v="Excellent"/>
  </r>
  <r>
    <s v="Hari401646"/>
    <n v="1646"/>
    <n v="20"/>
    <n v="1"/>
    <n v="2023"/>
    <d v="2023-01-20T00:00:00"/>
    <s v="January"/>
    <d v="2026-04-11T00:00:00"/>
    <x v="0"/>
    <n v="4"/>
    <n v="12055.67"/>
    <s v="Harish Mishra"/>
    <n v="40"/>
    <s v="Adult"/>
    <s v="Good"/>
    <x v="1"/>
    <s v="Cash"/>
    <n v="5"/>
    <s v="Redmi 9"/>
    <n v="48222.68"/>
    <s v="Good"/>
    <s v="Low"/>
  </r>
  <r>
    <s v="Anit541647"/>
    <n v="1647"/>
    <n v="20"/>
    <n v="1"/>
    <n v="2023"/>
    <d v="2023-01-20T00:00:00"/>
    <s v="January"/>
    <d v="2026-04-12T00:00:00"/>
    <x v="3"/>
    <n v="9"/>
    <n v="20222.04"/>
    <s v="Anita Srivastava"/>
    <n v="54"/>
    <s v="Senior Citezen"/>
    <s v="Good"/>
    <x v="4"/>
    <s v="UPI"/>
    <n v="5"/>
    <s v="Galaxy S21"/>
    <n v="181998.36000000002"/>
    <s v="Good"/>
    <s v="Good"/>
  </r>
  <r>
    <s v="Amit251648"/>
    <n v="1648"/>
    <n v="20"/>
    <n v="1"/>
    <n v="2023"/>
    <d v="2023-01-20T00:00:00"/>
    <s v="January"/>
    <d v="2026-04-13T00:00:00"/>
    <x v="2"/>
    <n v="4"/>
    <n v="39982.339999999997"/>
    <s v="Amit Ahuja"/>
    <n v="25"/>
    <s v="Teenagers"/>
    <s v="BAD"/>
    <x v="2"/>
    <s v="Cash"/>
    <n v="1"/>
    <s v="OnePlus 8T"/>
    <n v="159929.35999999999"/>
    <s v="Average"/>
    <s v="Good"/>
  </r>
  <r>
    <s v="Radh541649"/>
    <n v="1649"/>
    <n v="21"/>
    <n v="1"/>
    <n v="2023"/>
    <d v="2023-01-21T00:00:00"/>
    <s v="January"/>
    <d v="2026-04-14T00:00:00"/>
    <x v="3"/>
    <n v="9"/>
    <n v="45636.44"/>
    <s v="Radha Varma"/>
    <n v="54"/>
    <s v="Senior Citezen"/>
    <s v="BAD"/>
    <x v="8"/>
    <s v="UPI"/>
    <n v="1"/>
    <s v="Galaxy Note 20"/>
    <n v="410727.96"/>
    <s v="Average"/>
    <s v="Excellent"/>
  </r>
  <r>
    <s v="Mano501650"/>
    <n v="1650"/>
    <n v="21"/>
    <n v="1"/>
    <n v="2023"/>
    <d v="2023-01-21T00:00:00"/>
    <s v="January"/>
    <d v="2026-04-15T00:00:00"/>
    <x v="0"/>
    <n v="7"/>
    <n v="18904.099999999999"/>
    <s v="Manoj Shah"/>
    <n v="50"/>
    <s v="Senior Citezen"/>
    <s v="Good"/>
    <x v="18"/>
    <s v="Credit Card"/>
    <n v="4"/>
    <s v="Redmi 9"/>
    <n v="132328.69999999998"/>
    <s v="Good"/>
    <s v="Good"/>
  </r>
  <r>
    <s v="Lata501651"/>
    <n v="1651"/>
    <n v="21"/>
    <n v="1"/>
    <n v="2023"/>
    <d v="2023-01-21T00:00:00"/>
    <s v="January"/>
    <d v="2026-04-16T00:00:00"/>
    <x v="4"/>
    <n v="2"/>
    <n v="33930.480000000003"/>
    <s v="Lata Rathod"/>
    <n v="50"/>
    <s v="Senior Citezen"/>
    <s v="AVG"/>
    <x v="18"/>
    <s v="Cash"/>
    <n v="3"/>
    <s v="iPhone 11"/>
    <n v="67860.960000000006"/>
    <s v="Average"/>
    <s v="Average"/>
  </r>
  <r>
    <s v="Isha241652"/>
    <n v="1652"/>
    <n v="21"/>
    <n v="1"/>
    <n v="2023"/>
    <d v="2023-01-21T00:00:00"/>
    <s v="January"/>
    <d v="2026-04-17T00:00:00"/>
    <x v="4"/>
    <n v="9"/>
    <n v="64264.09"/>
    <s v="Isha Reddy"/>
    <n v="24"/>
    <s v="Teenagers"/>
    <s v="Good"/>
    <x v="17"/>
    <s v="Debit Card"/>
    <n v="4"/>
    <s v="iPhone SE"/>
    <n v="578376.80999999994"/>
    <s v="Good"/>
    <s v="Excellent"/>
  </r>
  <r>
    <s v="Kavi391653"/>
    <n v="1653"/>
    <n v="22"/>
    <n v="1"/>
    <n v="2023"/>
    <d v="2023-01-22T00:00:00"/>
    <s v="January"/>
    <d v="2026-04-18T00:00:00"/>
    <x v="4"/>
    <n v="4"/>
    <n v="69933.960000000006"/>
    <s v="Kavita Rawat"/>
    <n v="39"/>
    <s v="Adult"/>
    <s v="BAD"/>
    <x v="8"/>
    <s v="Debit Card"/>
    <n v="1"/>
    <s v="iPhone 12"/>
    <n v="279735.84000000003"/>
    <s v="Average"/>
    <s v="Excellent"/>
  </r>
  <r>
    <s v="Meen221654"/>
    <n v="1654"/>
    <n v="22"/>
    <n v="1"/>
    <n v="2023"/>
    <d v="2023-01-22T00:00:00"/>
    <s v="January"/>
    <d v="2026-04-19T00:00:00"/>
    <x v="2"/>
    <n v="8"/>
    <n v="69232.87"/>
    <s v="Meena Mathur"/>
    <n v="22"/>
    <s v="Teenagers"/>
    <s v="Good"/>
    <x v="13"/>
    <s v="UPI"/>
    <n v="5"/>
    <s v="OnePlus 8T"/>
    <n v="553862.96"/>
    <s v="Good"/>
    <s v="Excellent"/>
  </r>
  <r>
    <s v="Bhav321655"/>
    <n v="1655"/>
    <n v="22"/>
    <n v="1"/>
    <n v="2023"/>
    <d v="2023-01-22T00:00:00"/>
    <s v="January"/>
    <d v="2026-04-20T00:00:00"/>
    <x v="1"/>
    <n v="7"/>
    <n v="62900.47"/>
    <s v="Bhavana Malhotra"/>
    <n v="32"/>
    <s v="Adult"/>
    <s v="BAD"/>
    <x v="2"/>
    <s v="Cash"/>
    <n v="1"/>
    <s v="Vivo S1"/>
    <n v="440303.29000000004"/>
    <s v="Average"/>
    <s v="Excellent"/>
  </r>
  <r>
    <s v="Anit381656"/>
    <n v="1656"/>
    <n v="23"/>
    <n v="1"/>
    <n v="2023"/>
    <d v="2023-01-23T00:00:00"/>
    <s v="January"/>
    <d v="2026-04-21T00:00:00"/>
    <x v="1"/>
    <n v="7"/>
    <n v="33679.61"/>
    <s v="Anita Pillai"/>
    <n v="38"/>
    <s v="Adult"/>
    <s v="AVG"/>
    <x v="2"/>
    <s v="Cash"/>
    <n v="3"/>
    <s v="Vivo Y51"/>
    <n v="235757.27000000002"/>
    <s v="Average"/>
    <s v="Excellent"/>
  </r>
  <r>
    <s v="Pras421657"/>
    <n v="1657"/>
    <n v="23"/>
    <n v="1"/>
    <n v="2023"/>
    <d v="2023-01-23T00:00:00"/>
    <s v="January"/>
    <d v="2026-04-22T00:00:00"/>
    <x v="3"/>
    <n v="8"/>
    <n v="51194.46"/>
    <s v="Prashant Gupta"/>
    <n v="42"/>
    <s v="Adult"/>
    <s v="Good"/>
    <x v="6"/>
    <s v="Debit Card"/>
    <n v="5"/>
    <s v="Galaxy Note 20"/>
    <n v="409555.68"/>
    <s v="Good"/>
    <s v="Excellent"/>
  </r>
  <r>
    <s v="Vino341658"/>
    <n v="1658"/>
    <n v="23"/>
    <n v="1"/>
    <n v="2023"/>
    <d v="2023-01-23T00:00:00"/>
    <s v="January"/>
    <d v="2026-04-23T00:00:00"/>
    <x v="2"/>
    <n v="1"/>
    <n v="34995.53"/>
    <s v="Vinod Goyal"/>
    <n v="34"/>
    <s v="Adult"/>
    <s v="Good"/>
    <x v="1"/>
    <s v="Credit Card"/>
    <n v="4"/>
    <s v="OnePlus 9"/>
    <n v="34995.53"/>
    <s v="Good"/>
    <s v="Low"/>
  </r>
  <r>
    <s v="Sumi241659"/>
    <n v="1659"/>
    <n v="23"/>
    <n v="1"/>
    <n v="2023"/>
    <d v="2023-01-23T00:00:00"/>
    <s v="January"/>
    <d v="2026-04-24T00:00:00"/>
    <x v="4"/>
    <n v="5"/>
    <n v="48911.62"/>
    <s v="Sumit Malhotra"/>
    <n v="24"/>
    <s v="Teenagers"/>
    <s v="Good"/>
    <x v="7"/>
    <s v="Credit Card"/>
    <n v="4"/>
    <s v="iPhone SE"/>
    <n v="244558.1"/>
    <s v="Good"/>
    <s v="Excellent"/>
  </r>
  <r>
    <s v="Sach361660"/>
    <n v="1660"/>
    <n v="24"/>
    <n v="1"/>
    <n v="2023"/>
    <d v="2023-01-24T00:00:00"/>
    <s v="January"/>
    <d v="2026-04-25T00:00:00"/>
    <x v="4"/>
    <n v="2"/>
    <n v="28565.95"/>
    <s v="Sachin Goyal"/>
    <n v="36"/>
    <s v="Adult"/>
    <s v="BAD"/>
    <x v="2"/>
    <s v="UPI"/>
    <n v="1"/>
    <s v="iPhone 12"/>
    <n v="57131.9"/>
    <s v="Average"/>
    <s v="Average"/>
  </r>
  <r>
    <s v="Roha241661"/>
    <n v="1661"/>
    <n v="24"/>
    <n v="1"/>
    <n v="2023"/>
    <d v="2023-01-24T00:00:00"/>
    <s v="January"/>
    <d v="2026-04-26T00:00:00"/>
    <x v="0"/>
    <n v="2"/>
    <n v="46372.14"/>
    <s v="Rohan Menon"/>
    <n v="24"/>
    <s v="Teenagers"/>
    <s v="BAD"/>
    <x v="17"/>
    <s v="Debit Card"/>
    <n v="1"/>
    <s v="Redmi Note 10"/>
    <n v="92744.28"/>
    <s v="Average"/>
    <s v="Average"/>
  </r>
  <r>
    <s v="Ravi571662"/>
    <n v="1662"/>
    <n v="24"/>
    <n v="1"/>
    <n v="2023"/>
    <d v="2023-01-24T00:00:00"/>
    <s v="January"/>
    <d v="2026-04-27T00:00:00"/>
    <x v="0"/>
    <n v="1"/>
    <n v="41425.51"/>
    <s v="Ravi Jain"/>
    <n v="57"/>
    <s v="Senior Citezen"/>
    <s v="Good"/>
    <x v="1"/>
    <s v="UPI"/>
    <n v="4"/>
    <s v="Redmi Note 10"/>
    <n v="41425.51"/>
    <s v="Good"/>
    <s v="Low"/>
  </r>
  <r>
    <s v="Neet411663"/>
    <n v="1663"/>
    <n v="25"/>
    <n v="1"/>
    <n v="2023"/>
    <d v="2023-01-25T00:00:00"/>
    <s v="January"/>
    <d v="2026-04-28T00:00:00"/>
    <x v="4"/>
    <n v="5"/>
    <n v="11468.82"/>
    <s v="Neeta Ghosh"/>
    <n v="41"/>
    <s v="Adult"/>
    <s v="Good"/>
    <x v="5"/>
    <s v="UPI"/>
    <n v="4"/>
    <s v="iPhone SE"/>
    <n v="57344.1"/>
    <s v="Good"/>
    <s v="Average"/>
  </r>
  <r>
    <s v="Amit281664"/>
    <n v="1664"/>
    <n v="25"/>
    <n v="1"/>
    <n v="2023"/>
    <d v="2023-01-25T00:00:00"/>
    <s v="January"/>
    <d v="2026-04-29T00:00:00"/>
    <x v="4"/>
    <n v="2"/>
    <n v="57442.17"/>
    <s v="Amit Prasad"/>
    <n v="28"/>
    <s v="Teenagers"/>
    <s v="Good"/>
    <x v="1"/>
    <s v="Credit Card"/>
    <n v="5"/>
    <s v="iPhone SE"/>
    <n v="114884.34"/>
    <s v="Good"/>
    <s v="Good"/>
  </r>
  <r>
    <s v="Hari581665"/>
    <n v="1665"/>
    <n v="25"/>
    <n v="1"/>
    <n v="2023"/>
    <d v="2023-01-25T00:00:00"/>
    <s v="January"/>
    <d v="2026-04-30T00:00:00"/>
    <x v="2"/>
    <n v="4"/>
    <n v="10713.87"/>
    <s v="Harish Joshi"/>
    <n v="58"/>
    <s v="Senior Citezen"/>
    <s v="AVG"/>
    <x v="3"/>
    <s v="Debit Card"/>
    <n v="3"/>
    <s v="OnePlus 8T"/>
    <n v="42855.48"/>
    <s v="Average"/>
    <s v="Low"/>
  </r>
  <r>
    <s v="Vino181666"/>
    <n v="1666"/>
    <n v="25"/>
    <n v="1"/>
    <n v="2023"/>
    <d v="2023-01-25T00:00:00"/>
    <s v="January"/>
    <d v="2026-05-01T00:00:00"/>
    <x v="1"/>
    <n v="3"/>
    <n v="27589.360000000001"/>
    <s v="Vinod Dutta"/>
    <n v="18"/>
    <s v="Teenagers"/>
    <s v="Good"/>
    <x v="1"/>
    <s v="UPI"/>
    <n v="5"/>
    <s v="Vivo S1"/>
    <n v="82768.08"/>
    <s v="Good"/>
    <s v="Average"/>
  </r>
  <r>
    <s v="Mano491667"/>
    <n v="1667"/>
    <n v="26"/>
    <n v="1"/>
    <n v="2023"/>
    <d v="2023-01-26T00:00:00"/>
    <s v="January"/>
    <d v="2026-05-02T00:00:00"/>
    <x v="0"/>
    <n v="3"/>
    <n v="10355.44"/>
    <s v="Manoj Jain"/>
    <n v="49"/>
    <s v="Senior Citezen"/>
    <s v="Good"/>
    <x v="13"/>
    <s v="Credit Card"/>
    <n v="5"/>
    <s v="Redmi Note 10"/>
    <n v="31066.32"/>
    <s v="Good"/>
    <s v="Low"/>
  </r>
  <r>
    <s v="Roha571668"/>
    <n v="1668"/>
    <n v="26"/>
    <n v="1"/>
    <n v="2023"/>
    <d v="2023-01-26T00:00:00"/>
    <s v="January"/>
    <d v="2026-05-03T00:00:00"/>
    <x v="1"/>
    <n v="2"/>
    <n v="32572.080000000002"/>
    <s v="Rohan Shah"/>
    <n v="57"/>
    <s v="Senior Citezen"/>
    <s v="Good"/>
    <x v="3"/>
    <s v="Credit Card"/>
    <n v="4"/>
    <s v="Vivo S1"/>
    <n v="65144.160000000003"/>
    <s v="Good"/>
    <s v="Average"/>
  </r>
  <r>
    <s v="Vino191669"/>
    <n v="1669"/>
    <n v="26"/>
    <n v="1"/>
    <n v="2023"/>
    <d v="2023-01-26T00:00:00"/>
    <s v="January"/>
    <d v="2026-05-04T00:00:00"/>
    <x v="2"/>
    <n v="6"/>
    <n v="13789.63"/>
    <s v="Vinod Chatterjee"/>
    <n v="19"/>
    <s v="Teenagers"/>
    <s v="AVG"/>
    <x v="1"/>
    <s v="Cash"/>
    <n v="3"/>
    <s v="OnePlus 8T"/>
    <n v="82737.78"/>
    <s v="Average"/>
    <s v="Average"/>
  </r>
  <r>
    <s v="Moni321670"/>
    <n v="1670"/>
    <n v="27"/>
    <n v="1"/>
    <n v="2023"/>
    <d v="2023-01-27T00:00:00"/>
    <s v="January"/>
    <d v="2026-05-05T00:00:00"/>
    <x v="4"/>
    <n v="2"/>
    <n v="64810.66"/>
    <s v="Monika Thakur"/>
    <n v="32"/>
    <s v="Adult"/>
    <s v="Good"/>
    <x v="1"/>
    <s v="Debit Card"/>
    <n v="4"/>
    <s v="iPhone 12"/>
    <n v="129621.32"/>
    <s v="Good"/>
    <s v="Good"/>
  </r>
  <r>
    <s v="Anit381671"/>
    <n v="1671"/>
    <n v="27"/>
    <n v="1"/>
    <n v="2023"/>
    <d v="2023-01-27T00:00:00"/>
    <s v="January"/>
    <d v="2026-05-06T00:00:00"/>
    <x v="1"/>
    <n v="8"/>
    <n v="34940.76"/>
    <s v="Anita Joshi"/>
    <n v="38"/>
    <s v="Adult"/>
    <s v="Good"/>
    <x v="15"/>
    <s v="Debit Card"/>
    <n v="5"/>
    <s v="Vivo Y51"/>
    <n v="279526.08"/>
    <s v="Good"/>
    <s v="Excellent"/>
  </r>
  <r>
    <s v="Navi411672"/>
    <n v="1672"/>
    <n v="27"/>
    <n v="1"/>
    <n v="2023"/>
    <d v="2023-01-27T00:00:00"/>
    <s v="January"/>
    <d v="2026-05-07T00:00:00"/>
    <x v="4"/>
    <n v="8"/>
    <n v="37569.75"/>
    <s v="Navin Solanki"/>
    <n v="41"/>
    <s v="Adult"/>
    <s v="Good"/>
    <x v="16"/>
    <s v="Cash"/>
    <n v="5"/>
    <s v="iPhone SE"/>
    <n v="300558"/>
    <s v="Good"/>
    <s v="Excellent"/>
  </r>
  <r>
    <s v="Arun341673"/>
    <n v="1673"/>
    <n v="27"/>
    <n v="1"/>
    <n v="2023"/>
    <d v="2023-01-27T00:00:00"/>
    <s v="January"/>
    <d v="2026-05-08T00:00:00"/>
    <x v="4"/>
    <n v="5"/>
    <n v="30991.01"/>
    <s v="Arun Mehta"/>
    <n v="34"/>
    <s v="Adult"/>
    <s v="Good"/>
    <x v="1"/>
    <s v="UPI"/>
    <n v="4"/>
    <s v="iPhone 11"/>
    <n v="154955.04999999999"/>
    <s v="Good"/>
    <s v="Good"/>
  </r>
  <r>
    <s v="Kris261674"/>
    <n v="1674"/>
    <n v="28"/>
    <n v="1"/>
    <n v="2023"/>
    <d v="2023-01-28T00:00:00"/>
    <s v="January"/>
    <d v="2026-05-09T00:00:00"/>
    <x v="3"/>
    <n v="7"/>
    <n v="47650.37"/>
    <s v="Krishna Pillai"/>
    <n v="26"/>
    <s v="Teenagers"/>
    <s v="BAD"/>
    <x v="5"/>
    <s v="Credit Card"/>
    <n v="1"/>
    <s v="Galaxy Note 20"/>
    <n v="333552.59000000003"/>
    <s v="Average"/>
    <s v="Excellent"/>
  </r>
  <r>
    <s v="Raje521675"/>
    <n v="1675"/>
    <n v="28"/>
    <n v="1"/>
    <n v="2023"/>
    <d v="2023-01-28T00:00:00"/>
    <s v="January"/>
    <d v="2026-05-10T00:00:00"/>
    <x v="1"/>
    <n v="4"/>
    <n v="57064.49"/>
    <s v="Rajesh Ahuja"/>
    <n v="52"/>
    <s v="Senior Citezen"/>
    <s v="BAD"/>
    <x v="1"/>
    <s v="Credit Card"/>
    <n v="1"/>
    <s v="Vivo S1"/>
    <n v="228257.96"/>
    <s v="Average"/>
    <s v="Excellent"/>
  </r>
  <r>
    <s v="Sneh371676"/>
    <n v="1676"/>
    <n v="28"/>
    <n v="1"/>
    <n v="2023"/>
    <d v="2023-01-28T00:00:00"/>
    <s v="January"/>
    <d v="2026-05-11T00:00:00"/>
    <x v="1"/>
    <n v="1"/>
    <n v="48888.800000000003"/>
    <s v="Sneha Reddy"/>
    <n v="37"/>
    <s v="Adult"/>
    <s v="Good"/>
    <x v="16"/>
    <s v="Credit Card"/>
    <n v="4"/>
    <s v="Vivo Y51"/>
    <n v="48888.800000000003"/>
    <s v="Good"/>
    <s v="Low"/>
  </r>
  <r>
    <s v="Pooj361677"/>
    <n v="1677"/>
    <n v="29"/>
    <n v="1"/>
    <n v="2023"/>
    <d v="2023-01-29T00:00:00"/>
    <s v="January"/>
    <d v="2026-05-12T00:00:00"/>
    <x v="4"/>
    <n v="2"/>
    <n v="54892.43"/>
    <s v="Pooja Sharma"/>
    <n v="36"/>
    <s v="Adult"/>
    <s v="Good"/>
    <x v="3"/>
    <s v="Cash"/>
    <n v="5"/>
    <s v="iPhone SE"/>
    <n v="109784.86"/>
    <s v="Good"/>
    <s v="Good"/>
  </r>
  <r>
    <s v="Priy351678"/>
    <n v="1678"/>
    <n v="29"/>
    <n v="1"/>
    <n v="2023"/>
    <d v="2023-01-29T00:00:00"/>
    <s v="January"/>
    <d v="2026-05-13T00:00:00"/>
    <x v="2"/>
    <n v="4"/>
    <n v="64358.42"/>
    <s v="Priya Patel"/>
    <n v="35"/>
    <s v="Adult"/>
    <s v="Good"/>
    <x v="2"/>
    <s v="Credit Card"/>
    <n v="5"/>
    <s v="OnePlus 9"/>
    <n v="257433.68"/>
    <s v="Good"/>
    <s v="Excellent"/>
  </r>
  <r>
    <s v="Mala371679"/>
    <n v="1679"/>
    <n v="29"/>
    <n v="1"/>
    <n v="2023"/>
    <d v="2023-01-29T00:00:00"/>
    <s v="January"/>
    <d v="2026-05-14T00:00:00"/>
    <x v="3"/>
    <n v="1"/>
    <n v="61812.79"/>
    <s v="Mala Das"/>
    <n v="37"/>
    <s v="Adult"/>
    <s v="BAD"/>
    <x v="1"/>
    <s v="UPI"/>
    <n v="1"/>
    <s v="Galaxy Note 20"/>
    <n v="61812.79"/>
    <s v="Average"/>
    <s v="Average"/>
  </r>
  <r>
    <s v="Shru471680"/>
    <n v="1680"/>
    <n v="29"/>
    <n v="1"/>
    <n v="2023"/>
    <d v="2023-01-29T00:00:00"/>
    <s v="January"/>
    <d v="2026-05-15T00:00:00"/>
    <x v="4"/>
    <n v="8"/>
    <n v="50443.51"/>
    <s v="Shruti Joshi"/>
    <n v="47"/>
    <s v="Senior Citezen"/>
    <s v="AVG"/>
    <x v="16"/>
    <s v="UPI"/>
    <n v="3"/>
    <s v="iPhone 12"/>
    <n v="403548.08"/>
    <s v="Average"/>
    <s v="Excellent"/>
  </r>
  <r>
    <s v="Anit571681"/>
    <n v="1681"/>
    <n v="30"/>
    <n v="1"/>
    <n v="2023"/>
    <d v="2023-01-30T00:00:00"/>
    <s v="January"/>
    <d v="2026-05-16T00:00:00"/>
    <x v="0"/>
    <n v="9"/>
    <n v="22878.28"/>
    <s v="Anita Joshi"/>
    <n v="57"/>
    <s v="Senior Citezen"/>
    <s v="Good"/>
    <x v="2"/>
    <s v="Cash"/>
    <n v="5"/>
    <s v="Redmi 9"/>
    <n v="205904.52"/>
    <s v="Good"/>
    <s v="Excellent"/>
  </r>
  <r>
    <s v="Vija181682"/>
    <n v="1682"/>
    <n v="30"/>
    <n v="1"/>
    <n v="2023"/>
    <d v="2023-01-30T00:00:00"/>
    <s v="January"/>
    <d v="2026-05-17T00:00:00"/>
    <x v="0"/>
    <n v="4"/>
    <n v="48262.17"/>
    <s v="Vijay Prasad"/>
    <n v="18"/>
    <s v="Teenagers"/>
    <s v="AVG"/>
    <x v="1"/>
    <s v="UPI"/>
    <n v="3"/>
    <s v="Redmi 9"/>
    <n v="193048.68"/>
    <s v="Average"/>
    <s v="Good"/>
  </r>
  <r>
    <s v="Sanj411683"/>
    <n v="1683"/>
    <n v="30"/>
    <n v="1"/>
    <n v="2023"/>
    <d v="2023-01-30T00:00:00"/>
    <s v="January"/>
    <d v="2026-05-18T00:00:00"/>
    <x v="3"/>
    <n v="3"/>
    <n v="40364.99"/>
    <s v="Sanjay Srivastava"/>
    <n v="41"/>
    <s v="Adult"/>
    <s v="BAD"/>
    <x v="2"/>
    <s v="Debit Card"/>
    <n v="1"/>
    <s v="Galaxy Note 20"/>
    <n v="121094.97"/>
    <s v="Average"/>
    <s v="Good"/>
  </r>
  <r>
    <s v="Neet411684"/>
    <n v="1684"/>
    <n v="31"/>
    <n v="1"/>
    <n v="2023"/>
    <d v="2023-01-31T00:00:00"/>
    <s v="January"/>
    <d v="2026-05-19T00:00:00"/>
    <x v="2"/>
    <n v="2"/>
    <n v="53033.15"/>
    <s v="Neeta Yadav"/>
    <n v="41"/>
    <s v="Adult"/>
    <s v="Good"/>
    <x v="4"/>
    <s v="Debit Card"/>
    <n v="4"/>
    <s v="OnePlus 8T"/>
    <n v="106066.3"/>
    <s v="Good"/>
    <s v="Good"/>
  </r>
  <r>
    <s v="Nami361685"/>
    <n v="1685"/>
    <n v="31"/>
    <n v="1"/>
    <n v="2023"/>
    <d v="2023-01-31T00:00:00"/>
    <s v="January"/>
    <d v="2026-05-20T00:00:00"/>
    <x v="4"/>
    <n v="5"/>
    <n v="59975.9"/>
    <s v="Namita Malhotra"/>
    <n v="36"/>
    <s v="Adult"/>
    <s v="Good"/>
    <x v="9"/>
    <s v="Credit Card"/>
    <n v="5"/>
    <s v="iPhone SE"/>
    <n v="299879.5"/>
    <s v="Good"/>
    <s v="Excellent"/>
  </r>
  <r>
    <s v="Sach471686"/>
    <n v="1686"/>
    <n v="31"/>
    <n v="1"/>
    <n v="2023"/>
    <d v="2023-01-31T00:00:00"/>
    <s v="January"/>
    <d v="2026-05-21T00:00:00"/>
    <x v="1"/>
    <n v="3"/>
    <n v="54563.29"/>
    <s v="Sachin Singh"/>
    <n v="47"/>
    <s v="Senior Citezen"/>
    <s v="BAD"/>
    <x v="1"/>
    <s v="Credit Card"/>
    <n v="1"/>
    <s v="Vivo S1"/>
    <n v="163689.87"/>
    <s v="Average"/>
    <s v="Good"/>
  </r>
  <r>
    <s v="Lata431687"/>
    <n v="1687"/>
    <n v="31"/>
    <n v="1"/>
    <n v="2023"/>
    <d v="2023-01-31T00:00:00"/>
    <s v="January"/>
    <d v="2026-05-22T00:00:00"/>
    <x v="3"/>
    <n v="7"/>
    <n v="60793.67"/>
    <s v="Lata Iyer"/>
    <n v="43"/>
    <s v="Adult"/>
    <s v="AVG"/>
    <x v="1"/>
    <s v="Debit Card"/>
    <n v="3"/>
    <s v="Galaxy S21"/>
    <n v="425555.69"/>
    <s v="Average"/>
    <s v="Excellent"/>
  </r>
  <r>
    <s v="Pras591688"/>
    <n v="1688"/>
    <n v="1"/>
    <n v="2"/>
    <n v="2023"/>
    <d v="2023-02-01T00:00:00"/>
    <s v="February"/>
    <d v="2026-05-23T00:00:00"/>
    <x v="2"/>
    <n v="6"/>
    <n v="13831.98"/>
    <s v="Prashant Mathur"/>
    <n v="59"/>
    <s v="Senior Citezen"/>
    <s v="AVG"/>
    <x v="18"/>
    <s v="UPI"/>
    <n v="3"/>
    <s v="OnePlus 9"/>
    <n v="82991.88"/>
    <s v="Average"/>
    <s v="Average"/>
  </r>
  <r>
    <s v="Jyot551689"/>
    <n v="1689"/>
    <n v="1"/>
    <n v="2"/>
    <n v="2023"/>
    <d v="2023-02-01T00:00:00"/>
    <s v="February"/>
    <d v="2026-05-24T00:00:00"/>
    <x v="1"/>
    <n v="1"/>
    <n v="11897.2"/>
    <s v="Jyoti Srivastava"/>
    <n v="55"/>
    <s v="Senior Citezen"/>
    <s v="BAD"/>
    <x v="8"/>
    <s v="Cash"/>
    <n v="1"/>
    <s v="Vivo Y51"/>
    <n v="11897.2"/>
    <s v="Average"/>
    <s v="Low"/>
  </r>
  <r>
    <s v="Rame461690"/>
    <n v="1690"/>
    <n v="1"/>
    <n v="2"/>
    <n v="2023"/>
    <d v="2023-02-01T00:00:00"/>
    <s v="February"/>
    <d v="2026-05-25T00:00:00"/>
    <x v="0"/>
    <n v="8"/>
    <n v="25510.03"/>
    <s v="Ramesh Gupta"/>
    <n v="46"/>
    <s v="Senior Citezen"/>
    <s v="Good"/>
    <x v="8"/>
    <s v="Credit Card"/>
    <n v="5"/>
    <s v="Mi 11"/>
    <n v="204080.24"/>
    <s v="Good"/>
    <s v="Excellent"/>
  </r>
  <r>
    <s v="Pank301691"/>
    <n v="1691"/>
    <n v="1"/>
    <n v="2"/>
    <n v="2023"/>
    <d v="2023-02-01T00:00:00"/>
    <s v="February"/>
    <d v="2026-05-26T00:00:00"/>
    <x v="0"/>
    <n v="2"/>
    <n v="64039.97"/>
    <s v="Pankaj Prasad"/>
    <n v="30"/>
    <s v="Teenagers"/>
    <s v="AVG"/>
    <x v="1"/>
    <s v="Credit Card"/>
    <n v="3"/>
    <s v="Mi 11"/>
    <n v="128079.94"/>
    <s v="Average"/>
    <s v="Good"/>
  </r>
  <r>
    <s v="Pras211692"/>
    <n v="1692"/>
    <n v="2"/>
    <n v="2"/>
    <n v="2023"/>
    <d v="2023-02-02T00:00:00"/>
    <s v="February"/>
    <d v="2026-05-27T00:00:00"/>
    <x v="1"/>
    <n v="5"/>
    <n v="59419.56"/>
    <s v="Prashant Gupta"/>
    <n v="21"/>
    <s v="Teenagers"/>
    <s v="Good"/>
    <x v="15"/>
    <s v="Debit Card"/>
    <n v="5"/>
    <s v="Vivo Y51"/>
    <n v="297097.8"/>
    <s v="Good"/>
    <s v="Excellent"/>
  </r>
  <r>
    <s v="Nami341693"/>
    <n v="1693"/>
    <n v="2"/>
    <n v="2"/>
    <n v="2023"/>
    <d v="2023-02-02T00:00:00"/>
    <s v="February"/>
    <d v="2026-05-28T00:00:00"/>
    <x v="3"/>
    <n v="9"/>
    <n v="50963.64"/>
    <s v="Namita Mehta"/>
    <n v="34"/>
    <s v="Adult"/>
    <s v="Good"/>
    <x v="15"/>
    <s v="Debit Card"/>
    <n v="5"/>
    <s v="Galaxy Note 20"/>
    <n v="458672.76"/>
    <s v="Good"/>
    <s v="Excellent"/>
  </r>
  <r>
    <s v="Bina501694"/>
    <n v="1694"/>
    <n v="2"/>
    <n v="2"/>
    <n v="2023"/>
    <d v="2023-02-02T00:00:00"/>
    <s v="February"/>
    <d v="2026-05-29T00:00:00"/>
    <x v="0"/>
    <n v="8"/>
    <n v="52045.52"/>
    <s v="Bina Kumar"/>
    <n v="50"/>
    <s v="Senior Citezen"/>
    <s v="Good"/>
    <x v="4"/>
    <s v="Cash"/>
    <n v="4"/>
    <s v="Mi 11"/>
    <n v="416364.16"/>
    <s v="Good"/>
    <s v="Excellent"/>
  </r>
  <r>
    <s v="Shru221695"/>
    <n v="1695"/>
    <n v="2"/>
    <n v="2"/>
    <n v="2023"/>
    <d v="2023-02-02T00:00:00"/>
    <s v="February"/>
    <d v="2026-05-30T00:00:00"/>
    <x v="4"/>
    <n v="2"/>
    <n v="53600.23"/>
    <s v="Shruti Chaudhary"/>
    <n v="22"/>
    <s v="Teenagers"/>
    <s v="BAD"/>
    <x v="8"/>
    <s v="Credit Card"/>
    <n v="1"/>
    <s v="iPhone 11"/>
    <n v="107200.46"/>
    <s v="Average"/>
    <s v="Good"/>
  </r>
  <r>
    <s v="Kris451696"/>
    <n v="1696"/>
    <n v="3"/>
    <n v="2"/>
    <n v="2023"/>
    <d v="2023-02-03T00:00:00"/>
    <s v="February"/>
    <d v="2026-05-31T00:00:00"/>
    <x v="1"/>
    <n v="9"/>
    <n v="66556.160000000003"/>
    <s v="Krishna Bhattacharya"/>
    <n v="45"/>
    <s v="Adult"/>
    <s v="BAD"/>
    <x v="4"/>
    <s v="UPI"/>
    <n v="1"/>
    <s v="Vivo Y51"/>
    <n v="599005.44000000006"/>
    <s v="Average"/>
    <s v="Excellent"/>
  </r>
  <r>
    <s v="Bina411697"/>
    <n v="1697"/>
    <n v="3"/>
    <n v="2"/>
    <n v="2023"/>
    <d v="2023-02-03T00:00:00"/>
    <s v="February"/>
    <d v="2026-06-01T00:00:00"/>
    <x v="1"/>
    <n v="5"/>
    <n v="59931.47"/>
    <s v="Bina Kumar"/>
    <n v="41"/>
    <s v="Adult"/>
    <s v="Good"/>
    <x v="8"/>
    <s v="UPI"/>
    <n v="5"/>
    <s v="Vivo V20"/>
    <n v="299657.34999999998"/>
    <s v="Good"/>
    <s v="Excellent"/>
  </r>
  <r>
    <s v="Kavi341698"/>
    <n v="1698"/>
    <n v="3"/>
    <n v="2"/>
    <n v="2023"/>
    <d v="2023-02-03T00:00:00"/>
    <s v="February"/>
    <d v="2026-06-02T00:00:00"/>
    <x v="0"/>
    <n v="6"/>
    <n v="47403.42"/>
    <s v="Kavita Solanki"/>
    <n v="34"/>
    <s v="Adult"/>
    <s v="Good"/>
    <x v="12"/>
    <s v="Debit Card"/>
    <n v="4"/>
    <s v="Redmi 9"/>
    <n v="284420.52"/>
    <s v="Good"/>
    <s v="Excellent"/>
  </r>
  <r>
    <s v="Anit561699"/>
    <n v="1699"/>
    <n v="4"/>
    <n v="2"/>
    <n v="2023"/>
    <d v="2023-02-04T00:00:00"/>
    <s v="February"/>
    <d v="2026-06-03T00:00:00"/>
    <x v="3"/>
    <n v="3"/>
    <n v="49942.93"/>
    <s v="Anita Luthra"/>
    <n v="56"/>
    <s v="Senior Citezen"/>
    <s v="AVG"/>
    <x v="14"/>
    <s v="Cash"/>
    <n v="3"/>
    <s v="Galaxy A51"/>
    <n v="149828.79"/>
    <s v="Average"/>
    <s v="Good"/>
  </r>
  <r>
    <s v="Navi571700"/>
    <n v="1700"/>
    <n v="4"/>
    <n v="2"/>
    <n v="2023"/>
    <d v="2023-02-04T00:00:00"/>
    <s v="February"/>
    <d v="2026-06-04T00:00:00"/>
    <x v="4"/>
    <n v="3"/>
    <n v="22824.42"/>
    <s v="Navin Chaudhary"/>
    <n v="57"/>
    <s v="Senior Citezen"/>
    <s v="AVG"/>
    <x v="1"/>
    <s v="Debit Card"/>
    <n v="3"/>
    <s v="iPhone 11"/>
    <n v="68473.259999999995"/>
    <s v="Average"/>
    <s v="Average"/>
  </r>
  <r>
    <s v="Pras281701"/>
    <n v="1701"/>
    <n v="4"/>
    <n v="2"/>
    <n v="2023"/>
    <d v="2023-02-04T00:00:00"/>
    <s v="February"/>
    <d v="2026-06-05T00:00:00"/>
    <x v="3"/>
    <n v="8"/>
    <n v="49439.13"/>
    <s v="Prashant Luthra"/>
    <n v="28"/>
    <s v="Teenagers"/>
    <s v="BAD"/>
    <x v="8"/>
    <s v="Cash"/>
    <n v="1"/>
    <s v="Galaxy A51"/>
    <n v="395513.04"/>
    <s v="Average"/>
    <s v="Excellent"/>
  </r>
  <r>
    <s v="Kris291702"/>
    <n v="1702"/>
    <n v="4"/>
    <n v="2"/>
    <n v="2023"/>
    <d v="2023-02-04T00:00:00"/>
    <s v="February"/>
    <d v="2026-06-06T00:00:00"/>
    <x v="2"/>
    <n v="2"/>
    <n v="35480.74"/>
    <s v="Krishna Iyer"/>
    <n v="29"/>
    <s v="Teenagers"/>
    <s v="Good"/>
    <x v="10"/>
    <s v="UPI"/>
    <n v="5"/>
    <s v="OnePlus 8T"/>
    <n v="70961.48"/>
    <s v="Good"/>
    <s v="Average"/>
  </r>
  <r>
    <s v="Pank301703"/>
    <n v="1703"/>
    <n v="5"/>
    <n v="2"/>
    <n v="2023"/>
    <d v="2023-02-05T00:00:00"/>
    <s v="February"/>
    <d v="2026-06-07T00:00:00"/>
    <x v="2"/>
    <n v="2"/>
    <n v="19177.71"/>
    <s v="Pankaj Mishra"/>
    <n v="30"/>
    <s v="Teenagers"/>
    <s v="Good"/>
    <x v="1"/>
    <s v="Cash"/>
    <n v="4"/>
    <s v="OnePlus 9"/>
    <n v="38355.42"/>
    <s v="Good"/>
    <s v="Low"/>
  </r>
  <r>
    <s v="Pras251704"/>
    <n v="1704"/>
    <n v="5"/>
    <n v="2"/>
    <n v="2023"/>
    <d v="2023-02-05T00:00:00"/>
    <s v="February"/>
    <d v="2026-06-08T00:00:00"/>
    <x v="0"/>
    <n v="5"/>
    <n v="58384.17"/>
    <s v="Prashant Roy"/>
    <n v="25"/>
    <s v="Teenagers"/>
    <s v="Good"/>
    <x v="14"/>
    <s v="UPI"/>
    <n v="4"/>
    <s v="Mi 11"/>
    <n v="291920.84999999998"/>
    <s v="Good"/>
    <s v="Excellent"/>
  </r>
  <r>
    <s v="Sumi181705"/>
    <n v="1705"/>
    <n v="5"/>
    <n v="2"/>
    <n v="2023"/>
    <d v="2023-02-05T00:00:00"/>
    <s v="February"/>
    <d v="2026-06-09T00:00:00"/>
    <x v="0"/>
    <n v="6"/>
    <n v="40614.83"/>
    <s v="Sumit Rathod"/>
    <n v="18"/>
    <s v="Teenagers"/>
    <s v="AVG"/>
    <x v="8"/>
    <s v="Cash"/>
    <n v="3"/>
    <s v="Redmi Note 10"/>
    <n v="243688.98"/>
    <s v="Average"/>
    <s v="Excellent"/>
  </r>
  <r>
    <s v="Mano261706"/>
    <n v="1706"/>
    <n v="6"/>
    <n v="2"/>
    <n v="2023"/>
    <d v="2023-02-06T00:00:00"/>
    <s v="February"/>
    <d v="2026-06-10T00:00:00"/>
    <x v="0"/>
    <n v="2"/>
    <n v="68645.5"/>
    <s v="Manoj Goyal"/>
    <n v="26"/>
    <s v="Teenagers"/>
    <s v="AVG"/>
    <x v="1"/>
    <s v="Debit Card"/>
    <n v="3"/>
    <s v="Redmi Note 10"/>
    <n v="137291"/>
    <s v="Average"/>
    <s v="Good"/>
  </r>
  <r>
    <s v="Arun451707"/>
    <n v="1707"/>
    <n v="6"/>
    <n v="2"/>
    <n v="2023"/>
    <d v="2023-02-06T00:00:00"/>
    <s v="February"/>
    <d v="2026-06-11T00:00:00"/>
    <x v="2"/>
    <n v="5"/>
    <n v="26900.76"/>
    <s v="Arun Desai"/>
    <n v="45"/>
    <s v="Adult"/>
    <s v="Good"/>
    <x v="2"/>
    <s v="UPI"/>
    <n v="5"/>
    <s v="OnePlus 9"/>
    <n v="134503.79999999999"/>
    <s v="Good"/>
    <s v="Good"/>
  </r>
  <r>
    <s v="Lata191708"/>
    <n v="1708"/>
    <n v="6"/>
    <n v="2"/>
    <n v="2023"/>
    <d v="2023-02-06T00:00:00"/>
    <s v="February"/>
    <d v="2026-06-12T00:00:00"/>
    <x v="3"/>
    <n v="7"/>
    <n v="38840.21"/>
    <s v="Lata Verma"/>
    <n v="19"/>
    <s v="Teenagers"/>
    <s v="Good"/>
    <x v="15"/>
    <s v="Credit Card"/>
    <n v="5"/>
    <s v="Galaxy Note 20"/>
    <n v="271881.46999999997"/>
    <s v="Good"/>
    <s v="Excellent"/>
  </r>
  <r>
    <s v="Neet311709"/>
    <n v="1709"/>
    <n v="6"/>
    <n v="2"/>
    <n v="2023"/>
    <d v="2023-02-06T00:00:00"/>
    <s v="February"/>
    <d v="2026-06-13T00:00:00"/>
    <x v="3"/>
    <n v="8"/>
    <n v="36879.730000000003"/>
    <s v="Neeta Ghosh"/>
    <n v="31"/>
    <s v="Adult"/>
    <s v="Good"/>
    <x v="1"/>
    <s v="Credit Card"/>
    <n v="5"/>
    <s v="Galaxy S21"/>
    <n v="295037.84000000003"/>
    <s v="Good"/>
    <s v="Excellent"/>
  </r>
  <r>
    <s v="Priy301710"/>
    <n v="1710"/>
    <n v="7"/>
    <n v="2"/>
    <n v="2023"/>
    <d v="2023-02-07T00:00:00"/>
    <s v="February"/>
    <d v="2026-06-14T00:00:00"/>
    <x v="0"/>
    <n v="7"/>
    <n v="17246.77"/>
    <s v="Priya Varma"/>
    <n v="30"/>
    <s v="Teenagers"/>
    <s v="Good"/>
    <x v="8"/>
    <s v="UPI"/>
    <n v="5"/>
    <s v="Mi 11"/>
    <n v="120727.39"/>
    <s v="Good"/>
    <s v="Good"/>
  </r>
  <r>
    <s v="Tapa191711"/>
    <n v="1711"/>
    <n v="7"/>
    <n v="2"/>
    <n v="2023"/>
    <d v="2023-02-07T00:00:00"/>
    <s v="February"/>
    <d v="2026-06-15T00:00:00"/>
    <x v="4"/>
    <n v="8"/>
    <n v="35566.92"/>
    <s v="Tapan Nair"/>
    <n v="19"/>
    <s v="Teenagers"/>
    <s v="Good"/>
    <x v="2"/>
    <s v="Credit Card"/>
    <n v="4"/>
    <s v="iPhone 12"/>
    <n v="284535.36"/>
    <s v="Good"/>
    <s v="Excellent"/>
  </r>
  <r>
    <s v="Mano211712"/>
    <n v="1712"/>
    <n v="7"/>
    <n v="2"/>
    <n v="2023"/>
    <d v="2023-02-07T00:00:00"/>
    <s v="February"/>
    <d v="2026-06-16T00:00:00"/>
    <x v="3"/>
    <n v="9"/>
    <n v="27253.21"/>
    <s v="Manoj Patel"/>
    <n v="21"/>
    <s v="Teenagers"/>
    <s v="Good"/>
    <x v="9"/>
    <s v="UPI"/>
    <n v="5"/>
    <s v="Galaxy S21"/>
    <n v="245278.88999999998"/>
    <s v="Good"/>
    <s v="Excellent"/>
  </r>
  <r>
    <s v="Bhav291713"/>
    <n v="1713"/>
    <n v="8"/>
    <n v="2"/>
    <n v="2023"/>
    <d v="2023-02-08T00:00:00"/>
    <s v="February"/>
    <d v="2026-06-17T00:00:00"/>
    <x v="2"/>
    <n v="5"/>
    <n v="19619.23"/>
    <s v="Bhavana Ghosh"/>
    <n v="29"/>
    <s v="Teenagers"/>
    <s v="BAD"/>
    <x v="0"/>
    <s v="Debit Card"/>
    <n v="1"/>
    <s v="OnePlus Nord"/>
    <n v="98096.15"/>
    <s v="Average"/>
    <s v="Average"/>
  </r>
  <r>
    <s v="Priy271714"/>
    <n v="1714"/>
    <n v="8"/>
    <n v="2"/>
    <n v="2023"/>
    <d v="2023-02-08T00:00:00"/>
    <s v="February"/>
    <d v="2026-06-18T00:00:00"/>
    <x v="1"/>
    <n v="5"/>
    <n v="26929.34"/>
    <s v="Priya Teja"/>
    <n v="27"/>
    <s v="Teenagers"/>
    <s v="BAD"/>
    <x v="8"/>
    <s v="Debit Card"/>
    <n v="1"/>
    <s v="Vivo Y51"/>
    <n v="134646.70000000001"/>
    <s v="Average"/>
    <s v="Good"/>
  </r>
  <r>
    <s v="Tanu201715"/>
    <n v="1715"/>
    <n v="8"/>
    <n v="2"/>
    <n v="2023"/>
    <d v="2023-02-08T00:00:00"/>
    <s v="February"/>
    <d v="2026-06-19T00:00:00"/>
    <x v="1"/>
    <n v="4"/>
    <n v="23995.1"/>
    <s v="Tanuja Teja"/>
    <n v="20"/>
    <s v="Teenagers"/>
    <s v="AVG"/>
    <x v="1"/>
    <s v="Cash"/>
    <n v="3"/>
    <s v="Vivo S1"/>
    <n v="95980.4"/>
    <s v="Average"/>
    <s v="Average"/>
  </r>
  <r>
    <s v="Kavi211716"/>
    <n v="1716"/>
    <n v="8"/>
    <n v="2"/>
    <n v="2023"/>
    <d v="2023-02-08T00:00:00"/>
    <s v="February"/>
    <d v="2026-06-20T00:00:00"/>
    <x v="1"/>
    <n v="9"/>
    <n v="54044.41"/>
    <s v="Kavita Solanki"/>
    <n v="21"/>
    <s v="Teenagers"/>
    <s v="AVG"/>
    <x v="8"/>
    <s v="Credit Card"/>
    <n v="3"/>
    <s v="Vivo V20"/>
    <n v="486399.69000000006"/>
    <s v="Average"/>
    <s v="Excellent"/>
  </r>
  <r>
    <s v="Sneh231717"/>
    <n v="1717"/>
    <n v="9"/>
    <n v="2"/>
    <n v="2023"/>
    <d v="2023-02-09T00:00:00"/>
    <s v="February"/>
    <d v="2026-06-21T00:00:00"/>
    <x v="4"/>
    <n v="5"/>
    <n v="11846.51"/>
    <s v="Sneha Mishra"/>
    <n v="23"/>
    <s v="Teenagers"/>
    <s v="Good"/>
    <x v="6"/>
    <s v="Credit Card"/>
    <n v="5"/>
    <s v="iPhone SE"/>
    <n v="59232.55"/>
    <s v="Good"/>
    <s v="Average"/>
  </r>
  <r>
    <s v="Suni401718"/>
    <n v="1718"/>
    <n v="9"/>
    <n v="2"/>
    <n v="2023"/>
    <d v="2023-02-09T00:00:00"/>
    <s v="February"/>
    <d v="2026-06-22T00:00:00"/>
    <x v="0"/>
    <n v="2"/>
    <n v="47047.76"/>
    <s v="Sunil Iyer"/>
    <n v="40"/>
    <s v="Adult"/>
    <s v="BAD"/>
    <x v="1"/>
    <s v="Credit Card"/>
    <n v="1"/>
    <s v="Redmi Note 10"/>
    <n v="94095.52"/>
    <s v="Average"/>
    <s v="Average"/>
  </r>
  <r>
    <s v="Vija221719"/>
    <n v="1719"/>
    <n v="9"/>
    <n v="2"/>
    <n v="2023"/>
    <d v="2023-02-09T00:00:00"/>
    <s v="February"/>
    <d v="2026-06-23T00:00:00"/>
    <x v="2"/>
    <n v="8"/>
    <n v="55639.68"/>
    <s v="Vijay Varma"/>
    <n v="22"/>
    <s v="Teenagers"/>
    <s v="Good"/>
    <x v="17"/>
    <s v="UPI"/>
    <n v="5"/>
    <s v="OnePlus Nord"/>
    <n v="445117.44"/>
    <s v="Good"/>
    <s v="Excellent"/>
  </r>
  <r>
    <s v="Pras201720"/>
    <n v="1720"/>
    <n v="10"/>
    <n v="2"/>
    <n v="2023"/>
    <d v="2023-02-10T00:00:00"/>
    <s v="February"/>
    <d v="2026-06-24T00:00:00"/>
    <x v="4"/>
    <n v="7"/>
    <n v="38843.410000000003"/>
    <s v="Prashant Ghosh"/>
    <n v="20"/>
    <s v="Teenagers"/>
    <s v="Good"/>
    <x v="15"/>
    <s v="Debit Card"/>
    <n v="5"/>
    <s v="iPhone SE"/>
    <n v="271903.87"/>
    <s v="Good"/>
    <s v="Excellent"/>
  </r>
  <r>
    <s v="Adit271721"/>
    <n v="1721"/>
    <n v="10"/>
    <n v="2"/>
    <n v="2023"/>
    <d v="2023-02-10T00:00:00"/>
    <s v="February"/>
    <d v="2026-06-25T00:00:00"/>
    <x v="2"/>
    <n v="8"/>
    <n v="65893.899999999994"/>
    <s v="Aditya Arora"/>
    <n v="27"/>
    <s v="Teenagers"/>
    <s v="Good"/>
    <x v="6"/>
    <s v="Credit Card"/>
    <n v="5"/>
    <s v="OnePlus 8T"/>
    <n v="527151.19999999995"/>
    <s v="Good"/>
    <s v="Excellent"/>
  </r>
  <r>
    <s v="Bhav361722"/>
    <n v="1722"/>
    <n v="10"/>
    <n v="2"/>
    <n v="2023"/>
    <d v="2023-02-10T00:00:00"/>
    <s v="February"/>
    <d v="2026-06-26T00:00:00"/>
    <x v="2"/>
    <n v="3"/>
    <n v="52472.84"/>
    <s v="Bhavana Malhotra"/>
    <n v="36"/>
    <s v="Adult"/>
    <s v="AVG"/>
    <x v="8"/>
    <s v="Cash"/>
    <n v="3"/>
    <s v="OnePlus 8T"/>
    <n v="157418.51999999999"/>
    <s v="Average"/>
    <s v="Good"/>
  </r>
  <r>
    <s v="Nami311723"/>
    <n v="1723"/>
    <n v="11"/>
    <n v="2"/>
    <n v="2023"/>
    <d v="2023-02-11T00:00:00"/>
    <s v="February"/>
    <d v="2026-06-27T00:00:00"/>
    <x v="0"/>
    <n v="4"/>
    <n v="54875.42"/>
    <s v="Namita Desai"/>
    <n v="31"/>
    <s v="Adult"/>
    <s v="Good"/>
    <x v="17"/>
    <s v="Credit Card"/>
    <n v="5"/>
    <s v="Redmi 9"/>
    <n v="219501.68"/>
    <s v="Good"/>
    <s v="Excellent"/>
  </r>
  <r>
    <s v="Arun381724"/>
    <n v="1724"/>
    <n v="11"/>
    <n v="2"/>
    <n v="2023"/>
    <d v="2023-02-11T00:00:00"/>
    <s v="February"/>
    <d v="2026-06-28T00:00:00"/>
    <x v="1"/>
    <n v="5"/>
    <n v="21816.01"/>
    <s v="Arun Kumar"/>
    <n v="38"/>
    <s v="Adult"/>
    <s v="Good"/>
    <x v="8"/>
    <s v="Cash"/>
    <n v="5"/>
    <s v="Vivo S1"/>
    <n v="109080.04999999999"/>
    <s v="Good"/>
    <s v="Good"/>
  </r>
  <r>
    <s v="Bhav451725"/>
    <n v="1725"/>
    <n v="11"/>
    <n v="2"/>
    <n v="2023"/>
    <d v="2023-02-11T00:00:00"/>
    <s v="February"/>
    <d v="2026-06-29T00:00:00"/>
    <x v="0"/>
    <n v="6"/>
    <n v="56637.73"/>
    <s v="Bhavana Jain"/>
    <n v="45"/>
    <s v="Adult"/>
    <s v="AVG"/>
    <x v="2"/>
    <s v="Credit Card"/>
    <n v="3"/>
    <s v="Mi 11"/>
    <n v="339826.38"/>
    <s v="Average"/>
    <s v="Excellent"/>
  </r>
  <r>
    <s v="Shru381726"/>
    <n v="1726"/>
    <n v="11"/>
    <n v="2"/>
    <n v="2023"/>
    <d v="2023-02-11T00:00:00"/>
    <s v="February"/>
    <d v="2026-06-30T00:00:00"/>
    <x v="4"/>
    <n v="1"/>
    <n v="59925.68"/>
    <s v="Shruti Ahuja"/>
    <n v="38"/>
    <s v="Adult"/>
    <s v="AVG"/>
    <x v="6"/>
    <s v="Credit Card"/>
    <n v="3"/>
    <s v="iPhone 12"/>
    <n v="59925.68"/>
    <s v="Average"/>
    <s v="Average"/>
  </r>
  <r>
    <s v="Mala531727"/>
    <n v="1727"/>
    <n v="12"/>
    <n v="2"/>
    <n v="2023"/>
    <d v="2023-02-12T00:00:00"/>
    <s v="February"/>
    <d v="2026-07-01T00:00:00"/>
    <x v="4"/>
    <n v="4"/>
    <n v="31675.98"/>
    <s v="Mala Malhotra"/>
    <n v="53"/>
    <s v="Senior Citezen"/>
    <s v="BAD"/>
    <x v="1"/>
    <s v="Debit Card"/>
    <n v="1"/>
    <s v="iPhone 12"/>
    <n v="126703.92"/>
    <s v="Average"/>
    <s v="Good"/>
  </r>
  <r>
    <s v="Priy411728"/>
    <n v="1728"/>
    <n v="12"/>
    <n v="2"/>
    <n v="2023"/>
    <d v="2023-02-12T00:00:00"/>
    <s v="February"/>
    <d v="2026-07-02T00:00:00"/>
    <x v="4"/>
    <n v="5"/>
    <n v="22801.78"/>
    <s v="Priya Roy"/>
    <n v="41"/>
    <s v="Adult"/>
    <s v="AVG"/>
    <x v="2"/>
    <s v="Cash"/>
    <n v="3"/>
    <s v="iPhone 12"/>
    <n v="114008.9"/>
    <s v="Average"/>
    <s v="Good"/>
  </r>
  <r>
    <s v="Priy551729"/>
    <n v="1729"/>
    <n v="12"/>
    <n v="2"/>
    <n v="2023"/>
    <d v="2023-02-12T00:00:00"/>
    <s v="February"/>
    <d v="2026-07-03T00:00:00"/>
    <x v="0"/>
    <n v="7"/>
    <n v="33103.040000000001"/>
    <s v="Priyanka Sharma"/>
    <n v="55"/>
    <s v="Senior Citezen"/>
    <s v="Good"/>
    <x v="8"/>
    <s v="Credit Card"/>
    <n v="5"/>
    <s v="Redmi Note 10"/>
    <n v="231721.28"/>
    <s v="Good"/>
    <s v="Excellent"/>
  </r>
  <r>
    <s v="Amit341730"/>
    <n v="1730"/>
    <n v="13"/>
    <n v="2"/>
    <n v="2023"/>
    <d v="2023-02-13T00:00:00"/>
    <s v="February"/>
    <d v="2026-07-04T00:00:00"/>
    <x v="2"/>
    <n v="5"/>
    <n v="54376.480000000003"/>
    <s v="Amit Pillai"/>
    <n v="34"/>
    <s v="Adult"/>
    <s v="BAD"/>
    <x v="2"/>
    <s v="Cash"/>
    <n v="1"/>
    <s v="OnePlus Nord"/>
    <n v="271882.40000000002"/>
    <s v="Average"/>
    <s v="Excellent"/>
  </r>
  <r>
    <s v="Ayes391731"/>
    <n v="1731"/>
    <n v="13"/>
    <n v="2"/>
    <n v="2023"/>
    <d v="2023-02-13T00:00:00"/>
    <s v="February"/>
    <d v="2026-07-05T00:00:00"/>
    <x v="2"/>
    <n v="1"/>
    <n v="35058.339999999997"/>
    <s v="Ayesha Dutta"/>
    <n v="39"/>
    <s v="Adult"/>
    <s v="Good"/>
    <x v="16"/>
    <s v="Cash"/>
    <n v="5"/>
    <s v="OnePlus 9"/>
    <n v="35058.339999999997"/>
    <s v="Good"/>
    <s v="Low"/>
  </r>
  <r>
    <s v="Vive361732"/>
    <n v="1732"/>
    <n v="13"/>
    <n v="2"/>
    <n v="2023"/>
    <d v="2023-02-13T00:00:00"/>
    <s v="February"/>
    <d v="2026-07-06T00:00:00"/>
    <x v="3"/>
    <n v="7"/>
    <n v="54199.11"/>
    <s v="Vivek Siddiqui"/>
    <n v="36"/>
    <s v="Adult"/>
    <s v="Good"/>
    <x v="1"/>
    <s v="Debit Card"/>
    <n v="5"/>
    <s v="Galaxy A51"/>
    <n v="379393.77"/>
    <s v="Good"/>
    <s v="Excellent"/>
  </r>
  <r>
    <s v="Mala271733"/>
    <n v="1733"/>
    <n v="14"/>
    <n v="2"/>
    <n v="2023"/>
    <d v="2023-02-14T00:00:00"/>
    <s v="February"/>
    <d v="2026-07-07T00:00:00"/>
    <x v="4"/>
    <n v="8"/>
    <n v="16813.87"/>
    <s v="Mala Arora"/>
    <n v="27"/>
    <s v="Teenagers"/>
    <s v="Good"/>
    <x v="2"/>
    <s v="Debit Card"/>
    <n v="5"/>
    <s v="iPhone SE"/>
    <n v="134510.96"/>
    <s v="Good"/>
    <s v="Good"/>
  </r>
  <r>
    <s v="Vive281734"/>
    <n v="1734"/>
    <n v="14"/>
    <n v="2"/>
    <n v="2023"/>
    <d v="2023-02-14T00:00:00"/>
    <s v="February"/>
    <d v="2026-07-08T00:00:00"/>
    <x v="2"/>
    <n v="7"/>
    <n v="58360.7"/>
    <s v="Vivek Nair"/>
    <n v="28"/>
    <s v="Teenagers"/>
    <s v="BAD"/>
    <x v="0"/>
    <s v="Cash"/>
    <n v="1"/>
    <s v="OnePlus 9"/>
    <n v="408524.89999999997"/>
    <s v="Average"/>
    <s v="Excellent"/>
  </r>
  <r>
    <s v="Arun551735"/>
    <n v="1735"/>
    <n v="14"/>
    <n v="2"/>
    <n v="2023"/>
    <d v="2023-02-14T00:00:00"/>
    <s v="February"/>
    <d v="2026-07-09T00:00:00"/>
    <x v="3"/>
    <n v="4"/>
    <n v="25192.45"/>
    <s v="Arun Luthra"/>
    <n v="55"/>
    <s v="Senior Citezen"/>
    <s v="Good"/>
    <x v="1"/>
    <s v="Debit Card"/>
    <n v="5"/>
    <s v="Galaxy S21"/>
    <n v="100769.8"/>
    <s v="Good"/>
    <s v="Good"/>
  </r>
  <r>
    <s v="Priy191736"/>
    <n v="1736"/>
    <n v="14"/>
    <n v="2"/>
    <n v="2023"/>
    <d v="2023-02-14T00:00:00"/>
    <s v="February"/>
    <d v="2026-07-10T00:00:00"/>
    <x v="2"/>
    <n v="8"/>
    <n v="24935.74"/>
    <s v="Priyanka Roy"/>
    <n v="19"/>
    <s v="Teenagers"/>
    <s v="BAD"/>
    <x v="1"/>
    <s v="Credit Card"/>
    <n v="1"/>
    <s v="OnePlus 9"/>
    <n v="199485.92"/>
    <s v="Average"/>
    <s v="Good"/>
  </r>
  <r>
    <s v="Pank501737"/>
    <n v="1737"/>
    <n v="15"/>
    <n v="2"/>
    <n v="2023"/>
    <d v="2023-02-15T00:00:00"/>
    <s v="February"/>
    <d v="2026-07-11T00:00:00"/>
    <x v="4"/>
    <n v="5"/>
    <n v="45422.86"/>
    <s v="Pankaj Sheth"/>
    <n v="50"/>
    <s v="Senior Citezen"/>
    <s v="Good"/>
    <x v="1"/>
    <s v="Credit Card"/>
    <n v="4"/>
    <s v="iPhone 11"/>
    <n v="227114.3"/>
    <s v="Good"/>
    <s v="Excellent"/>
  </r>
  <r>
    <s v="Pras481738"/>
    <n v="1738"/>
    <n v="15"/>
    <n v="2"/>
    <n v="2023"/>
    <d v="2023-02-15T00:00:00"/>
    <s v="February"/>
    <d v="2026-07-12T00:00:00"/>
    <x v="1"/>
    <n v="9"/>
    <n v="14207.08"/>
    <s v="Prashant Arora"/>
    <n v="48"/>
    <s v="Senior Citezen"/>
    <s v="Good"/>
    <x v="2"/>
    <s v="Debit Card"/>
    <n v="4"/>
    <s v="Vivo S1"/>
    <n v="127863.72"/>
    <s v="Good"/>
    <s v="Good"/>
  </r>
  <r>
    <s v="Yoge521739"/>
    <n v="1739"/>
    <n v="15"/>
    <n v="2"/>
    <n v="2023"/>
    <d v="2023-02-15T00:00:00"/>
    <s v="February"/>
    <d v="2026-07-13T00:00:00"/>
    <x v="4"/>
    <n v="5"/>
    <n v="11577.86"/>
    <s v="Yogesh Shah"/>
    <n v="52"/>
    <s v="Senior Citezen"/>
    <s v="BAD"/>
    <x v="12"/>
    <s v="Cash"/>
    <n v="1"/>
    <s v="iPhone 12"/>
    <n v="57889.3"/>
    <s v="Average"/>
    <s v="Average"/>
  </r>
  <r>
    <s v="Tapa541740"/>
    <n v="1740"/>
    <n v="16"/>
    <n v="2"/>
    <n v="2023"/>
    <d v="2023-02-16T00:00:00"/>
    <s v="February"/>
    <d v="2026-07-14T00:00:00"/>
    <x v="0"/>
    <n v="1"/>
    <n v="25661.72"/>
    <s v="Tapan Kulkarni"/>
    <n v="54"/>
    <s v="Senior Citezen"/>
    <s v="Good"/>
    <x v="18"/>
    <s v="Credit Card"/>
    <n v="5"/>
    <s v="Mi 11"/>
    <n v="25661.72"/>
    <s v="Good"/>
    <s v="Low"/>
  </r>
  <r>
    <s v="Kavi531741"/>
    <n v="1741"/>
    <n v="16"/>
    <n v="2"/>
    <n v="2023"/>
    <d v="2023-02-16T00:00:00"/>
    <s v="February"/>
    <d v="2026-07-15T00:00:00"/>
    <x v="2"/>
    <n v="9"/>
    <n v="42284.05"/>
    <s v="Kavita Kumar"/>
    <n v="53"/>
    <s v="Senior Citezen"/>
    <s v="Good"/>
    <x v="1"/>
    <s v="UPI"/>
    <n v="5"/>
    <s v="OnePlus Nord"/>
    <n v="380556.45"/>
    <s v="Good"/>
    <s v="Excellent"/>
  </r>
  <r>
    <s v="Reen401742"/>
    <n v="1742"/>
    <n v="16"/>
    <n v="2"/>
    <n v="2023"/>
    <d v="2023-02-16T00:00:00"/>
    <s v="February"/>
    <d v="2026-07-16T00:00:00"/>
    <x v="2"/>
    <n v="5"/>
    <n v="64456.98"/>
    <s v="Reena Sheth"/>
    <n v="40"/>
    <s v="Adult"/>
    <s v="AVG"/>
    <x v="5"/>
    <s v="Cash"/>
    <n v="3"/>
    <s v="OnePlus Nord"/>
    <n v="322284.90000000002"/>
    <s v="Average"/>
    <s v="Excellent"/>
  </r>
  <r>
    <s v="Anja531743"/>
    <n v="1743"/>
    <n v="17"/>
    <n v="2"/>
    <n v="2023"/>
    <d v="2023-02-17T00:00:00"/>
    <s v="February"/>
    <d v="2026-07-17T00:00:00"/>
    <x v="0"/>
    <n v="6"/>
    <n v="60786.11"/>
    <s v="Anjali Alva"/>
    <n v="53"/>
    <s v="Senior Citezen"/>
    <s v="Good"/>
    <x v="0"/>
    <s v="Cash"/>
    <n v="5"/>
    <s v="Redmi 9"/>
    <n v="364716.66000000003"/>
    <s v="Good"/>
    <s v="Excellent"/>
  </r>
  <r>
    <s v="Anit571744"/>
    <n v="1744"/>
    <n v="17"/>
    <n v="2"/>
    <n v="2023"/>
    <d v="2023-02-17T00:00:00"/>
    <s v="February"/>
    <d v="2026-07-18T00:00:00"/>
    <x v="0"/>
    <n v="4"/>
    <n v="39426.79"/>
    <s v="Anita Shah"/>
    <n v="57"/>
    <s v="Senior Citezen"/>
    <s v="BAD"/>
    <x v="14"/>
    <s v="UPI"/>
    <n v="1"/>
    <s v="Redmi Note 10"/>
    <n v="157707.16"/>
    <s v="Average"/>
    <s v="Good"/>
  </r>
  <r>
    <s v="Yoge561745"/>
    <n v="1745"/>
    <n v="17"/>
    <n v="2"/>
    <n v="2023"/>
    <d v="2023-02-17T00:00:00"/>
    <s v="February"/>
    <d v="2026-07-19T00:00:00"/>
    <x v="1"/>
    <n v="6"/>
    <n v="12223.12"/>
    <s v="Yogesh Shah"/>
    <n v="56"/>
    <s v="Senior Citezen"/>
    <s v="Good"/>
    <x v="15"/>
    <s v="UPI"/>
    <n v="5"/>
    <s v="Vivo V20"/>
    <n v="73338.720000000001"/>
    <s v="Good"/>
    <s v="Average"/>
  </r>
  <r>
    <s v="Jyot431746"/>
    <n v="1746"/>
    <n v="18"/>
    <n v="2"/>
    <n v="2023"/>
    <d v="2023-02-18T00:00:00"/>
    <s v="February"/>
    <d v="2026-07-20T00:00:00"/>
    <x v="2"/>
    <n v="8"/>
    <n v="42115.16"/>
    <s v="Jyoti Iyer"/>
    <n v="43"/>
    <s v="Adult"/>
    <s v="Good"/>
    <x v="11"/>
    <s v="Cash"/>
    <n v="5"/>
    <s v="OnePlus Nord"/>
    <n v="336921.28"/>
    <s v="Good"/>
    <s v="Excellent"/>
  </r>
  <r>
    <s v="Bhav421747"/>
    <n v="1747"/>
    <n v="18"/>
    <n v="2"/>
    <n v="2023"/>
    <d v="2023-02-18T00:00:00"/>
    <s v="February"/>
    <d v="2026-07-21T00:00:00"/>
    <x v="2"/>
    <n v="3"/>
    <n v="52287.74"/>
    <s v="Bhavana Arora"/>
    <n v="42"/>
    <s v="Adult"/>
    <s v="Good"/>
    <x v="2"/>
    <s v="UPI"/>
    <n v="4"/>
    <s v="OnePlus Nord"/>
    <n v="156863.22"/>
    <s v="Good"/>
    <s v="Good"/>
  </r>
  <r>
    <s v="Arun341748"/>
    <n v="1748"/>
    <n v="18"/>
    <n v="2"/>
    <n v="2023"/>
    <d v="2023-02-18T00:00:00"/>
    <s v="February"/>
    <d v="2026-07-22T00:00:00"/>
    <x v="1"/>
    <n v="5"/>
    <n v="30349.87"/>
    <s v="Arun Luthra"/>
    <n v="34"/>
    <s v="Adult"/>
    <s v="Good"/>
    <x v="3"/>
    <s v="Debit Card"/>
    <n v="4"/>
    <s v="Vivo Y51"/>
    <n v="151749.35"/>
    <s v="Good"/>
    <s v="Good"/>
  </r>
  <r>
    <s v="Rame321749"/>
    <n v="1749"/>
    <n v="18"/>
    <n v="2"/>
    <n v="2023"/>
    <d v="2023-02-18T00:00:00"/>
    <s v="February"/>
    <d v="2026-07-23T00:00:00"/>
    <x v="3"/>
    <n v="2"/>
    <n v="16663.8"/>
    <s v="Ramesh Rao"/>
    <n v="32"/>
    <s v="Adult"/>
    <s v="BAD"/>
    <x v="5"/>
    <s v="Debit Card"/>
    <n v="1"/>
    <s v="Galaxy Note 20"/>
    <n v="33327.599999999999"/>
    <s v="Average"/>
    <s v="Low"/>
  </r>
  <r>
    <s v="Nami541750"/>
    <n v="1750"/>
    <n v="19"/>
    <n v="2"/>
    <n v="2023"/>
    <d v="2023-02-19T00:00:00"/>
    <s v="February"/>
    <d v="2026-07-24T00:00:00"/>
    <x v="1"/>
    <n v="2"/>
    <n v="26714.080000000002"/>
    <s v="Namita Bhatnagar"/>
    <n v="54"/>
    <s v="Senior Citezen"/>
    <s v="BAD"/>
    <x v="1"/>
    <s v="Cash"/>
    <n v="1"/>
    <s v="Vivo S1"/>
    <n v="53428.160000000003"/>
    <s v="Average"/>
    <s v="Average"/>
  </r>
  <r>
    <s v="Sach211751"/>
    <n v="1751"/>
    <n v="19"/>
    <n v="2"/>
    <n v="2023"/>
    <d v="2023-02-19T00:00:00"/>
    <s v="February"/>
    <d v="2026-07-25T00:00:00"/>
    <x v="4"/>
    <n v="7"/>
    <n v="56295.33"/>
    <s v="Sachin Desai"/>
    <n v="21"/>
    <s v="Teenagers"/>
    <s v="Good"/>
    <x v="9"/>
    <s v="Debit Card"/>
    <n v="5"/>
    <s v="iPhone 11"/>
    <n v="394067.31"/>
    <s v="Good"/>
    <s v="Excellent"/>
  </r>
  <r>
    <s v="Mala391752"/>
    <n v="1752"/>
    <n v="19"/>
    <n v="2"/>
    <n v="2023"/>
    <d v="2023-02-19T00:00:00"/>
    <s v="February"/>
    <d v="2026-07-26T00:00:00"/>
    <x v="2"/>
    <n v="6"/>
    <n v="31074.63"/>
    <s v="Mala Kulkarni"/>
    <n v="39"/>
    <s v="Adult"/>
    <s v="BAD"/>
    <x v="1"/>
    <s v="Credit Card"/>
    <n v="1"/>
    <s v="OnePlus Nord"/>
    <n v="186447.78"/>
    <s v="Average"/>
    <s v="Good"/>
  </r>
  <r>
    <s v="Hari341753"/>
    <n v="1753"/>
    <n v="20"/>
    <n v="2"/>
    <n v="2023"/>
    <d v="2023-02-20T00:00:00"/>
    <s v="February"/>
    <d v="2026-07-27T00:00:00"/>
    <x v="0"/>
    <n v="4"/>
    <n v="58718.89"/>
    <s v="Harish Goyal"/>
    <n v="34"/>
    <s v="Adult"/>
    <s v="Good"/>
    <x v="1"/>
    <s v="Debit Card"/>
    <n v="5"/>
    <s v="Mi 11"/>
    <n v="234875.56"/>
    <s v="Good"/>
    <s v="Excellent"/>
  </r>
  <r>
    <s v="Lata391754"/>
    <n v="1754"/>
    <n v="20"/>
    <n v="2"/>
    <n v="2023"/>
    <d v="2023-02-20T00:00:00"/>
    <s v="February"/>
    <d v="2026-07-28T00:00:00"/>
    <x v="4"/>
    <n v="5"/>
    <n v="29171.29"/>
    <s v="Lata Kaur"/>
    <n v="39"/>
    <s v="Adult"/>
    <s v="Good"/>
    <x v="1"/>
    <s v="Debit Card"/>
    <n v="5"/>
    <s v="iPhone SE"/>
    <n v="145856.45000000001"/>
    <s v="Good"/>
    <s v="Good"/>
  </r>
  <r>
    <s v="Rame341755"/>
    <n v="1755"/>
    <n v="20"/>
    <n v="2"/>
    <n v="2023"/>
    <d v="2023-02-20T00:00:00"/>
    <s v="February"/>
    <d v="2026-07-29T00:00:00"/>
    <x v="2"/>
    <n v="1"/>
    <n v="19813.3"/>
    <s v="Ramesh Rao"/>
    <n v="34"/>
    <s v="Adult"/>
    <s v="BAD"/>
    <x v="2"/>
    <s v="UPI"/>
    <n v="1"/>
    <s v="OnePlus 9"/>
    <n v="19813.3"/>
    <s v="Average"/>
    <s v="Low"/>
  </r>
  <r>
    <s v="Deve311756"/>
    <n v="1756"/>
    <n v="20"/>
    <n v="2"/>
    <n v="2023"/>
    <d v="2023-02-20T00:00:00"/>
    <s v="February"/>
    <d v="2026-07-30T00:00:00"/>
    <x v="1"/>
    <n v="7"/>
    <n v="36150.9"/>
    <s v="Devendra Arora"/>
    <n v="31"/>
    <s v="Adult"/>
    <s v="Good"/>
    <x v="0"/>
    <s v="Debit Card"/>
    <n v="5"/>
    <s v="Vivo S1"/>
    <n v="253056.30000000002"/>
    <s v="Good"/>
    <s v="Excellent"/>
  </r>
  <r>
    <s v="Meen311757"/>
    <n v="1757"/>
    <n v="21"/>
    <n v="2"/>
    <n v="2023"/>
    <d v="2023-02-21T00:00:00"/>
    <s v="February"/>
    <d v="2026-07-31T00:00:00"/>
    <x v="4"/>
    <n v="8"/>
    <n v="37136.47"/>
    <s v="Meena Kulkarni"/>
    <n v="31"/>
    <s v="Adult"/>
    <s v="Good"/>
    <x v="17"/>
    <s v="Cash"/>
    <n v="5"/>
    <s v="iPhone 12"/>
    <n v="297091.76"/>
    <s v="Good"/>
    <s v="Excellent"/>
  </r>
  <r>
    <s v="Roha341758"/>
    <n v="1758"/>
    <n v="21"/>
    <n v="2"/>
    <n v="2023"/>
    <d v="2023-02-21T00:00:00"/>
    <s v="February"/>
    <d v="2026-08-01T00:00:00"/>
    <x v="2"/>
    <n v="9"/>
    <n v="10966.49"/>
    <s v="Rohan Menon"/>
    <n v="34"/>
    <s v="Adult"/>
    <s v="Good"/>
    <x v="9"/>
    <s v="Debit Card"/>
    <n v="5"/>
    <s v="OnePlus Nord"/>
    <n v="98698.41"/>
    <s v="Good"/>
    <s v="Average"/>
  </r>
  <r>
    <s v="Nikh251759"/>
    <n v="1759"/>
    <n v="21"/>
    <n v="2"/>
    <n v="2023"/>
    <d v="2023-02-21T00:00:00"/>
    <s v="February"/>
    <d v="2026-08-02T00:00:00"/>
    <x v="3"/>
    <n v="8"/>
    <n v="17022.7"/>
    <s v="Nikhil Luthra"/>
    <n v="25"/>
    <s v="Teenagers"/>
    <s v="Good"/>
    <x v="15"/>
    <s v="Debit Card"/>
    <n v="5"/>
    <s v="Galaxy S21"/>
    <n v="136181.6"/>
    <s v="Good"/>
    <s v="Good"/>
  </r>
  <r>
    <s v="Kira511760"/>
    <n v="1760"/>
    <n v="22"/>
    <n v="2"/>
    <n v="2023"/>
    <d v="2023-02-22T00:00:00"/>
    <s v="February"/>
    <d v="2026-08-03T00:00:00"/>
    <x v="3"/>
    <n v="5"/>
    <n v="21095.56"/>
    <s v="Kiran Bhattacharya"/>
    <n v="51"/>
    <s v="Senior Citezen"/>
    <s v="Good"/>
    <x v="2"/>
    <s v="Cash"/>
    <n v="5"/>
    <s v="Galaxy Note 20"/>
    <n v="105477.8"/>
    <s v="Good"/>
    <s v="Good"/>
  </r>
  <r>
    <s v="Arun431761"/>
    <n v="1761"/>
    <n v="22"/>
    <n v="2"/>
    <n v="2023"/>
    <d v="2023-02-22T00:00:00"/>
    <s v="February"/>
    <d v="2026-08-04T00:00:00"/>
    <x v="0"/>
    <n v="3"/>
    <n v="16815.240000000002"/>
    <s v="Arun Kaur"/>
    <n v="43"/>
    <s v="Adult"/>
    <s v="Good"/>
    <x v="1"/>
    <s v="Cash"/>
    <n v="5"/>
    <s v="Redmi Note 10"/>
    <n v="50445.72"/>
    <s v="Good"/>
    <s v="Average"/>
  </r>
  <r>
    <s v="Moni471762"/>
    <n v="1762"/>
    <n v="22"/>
    <n v="2"/>
    <n v="2023"/>
    <d v="2023-02-22T00:00:00"/>
    <s v="February"/>
    <d v="2026-08-05T00:00:00"/>
    <x v="2"/>
    <n v="9"/>
    <n v="30491.56"/>
    <s v="Monika Mehta"/>
    <n v="47"/>
    <s v="Senior Citezen"/>
    <s v="AVG"/>
    <x v="2"/>
    <s v="UPI"/>
    <n v="3"/>
    <s v="OnePlus 8T"/>
    <n v="274424.04000000004"/>
    <s v="Average"/>
    <s v="Excellent"/>
  </r>
  <r>
    <s v="Lali391763"/>
    <n v="1763"/>
    <n v="23"/>
    <n v="2"/>
    <n v="2023"/>
    <d v="2023-02-23T00:00:00"/>
    <s v="February"/>
    <d v="2026-08-06T00:00:00"/>
    <x v="3"/>
    <n v="6"/>
    <n v="67877.37"/>
    <s v="Lalita Desai"/>
    <n v="39"/>
    <s v="Adult"/>
    <s v="AVG"/>
    <x v="5"/>
    <s v="Credit Card"/>
    <n v="3"/>
    <s v="Galaxy A51"/>
    <n v="407264.22"/>
    <s v="Average"/>
    <s v="Excellent"/>
  </r>
  <r>
    <s v="Ravi331764"/>
    <n v="1764"/>
    <n v="23"/>
    <n v="2"/>
    <n v="2023"/>
    <d v="2023-02-23T00:00:00"/>
    <s v="February"/>
    <d v="2026-08-07T00:00:00"/>
    <x v="1"/>
    <n v="5"/>
    <n v="40553.35"/>
    <s v="Ravi Reddy"/>
    <n v="33"/>
    <s v="Adult"/>
    <s v="Good"/>
    <x v="1"/>
    <s v="Debit Card"/>
    <n v="5"/>
    <s v="Vivo Y51"/>
    <n v="202766.75"/>
    <s v="Good"/>
    <s v="Excellent"/>
  </r>
  <r>
    <s v="Pooj471765"/>
    <n v="1765"/>
    <n v="23"/>
    <n v="2"/>
    <n v="2023"/>
    <d v="2023-02-23T00:00:00"/>
    <s v="February"/>
    <d v="2026-08-08T00:00:00"/>
    <x v="2"/>
    <n v="3"/>
    <n v="47653.36"/>
    <s v="Pooja Patel"/>
    <n v="47"/>
    <s v="Senior Citezen"/>
    <s v="BAD"/>
    <x v="2"/>
    <s v="Credit Card"/>
    <n v="1"/>
    <s v="OnePlus 8T"/>
    <n v="142960.08000000002"/>
    <s v="Average"/>
    <s v="Good"/>
  </r>
  <r>
    <s v="Mano331766"/>
    <n v="1766"/>
    <n v="24"/>
    <n v="2"/>
    <n v="2023"/>
    <d v="2023-02-24T00:00:00"/>
    <s v="February"/>
    <d v="2026-08-09T00:00:00"/>
    <x v="1"/>
    <n v="6"/>
    <n v="31383.19"/>
    <s v="Manoj Jain"/>
    <n v="33"/>
    <s v="Adult"/>
    <s v="Good"/>
    <x v="4"/>
    <s v="UPI"/>
    <n v="5"/>
    <s v="Vivo Y51"/>
    <n v="188299.13999999998"/>
    <s v="Good"/>
    <s v="Good"/>
  </r>
  <r>
    <s v="Pooj551767"/>
    <n v="1767"/>
    <n v="24"/>
    <n v="2"/>
    <n v="2023"/>
    <d v="2023-02-24T00:00:00"/>
    <s v="February"/>
    <d v="2026-08-10T00:00:00"/>
    <x v="1"/>
    <n v="3"/>
    <n v="29409.27"/>
    <s v="Pooja Solanki"/>
    <n v="55"/>
    <s v="Senior Citezen"/>
    <s v="AVG"/>
    <x v="2"/>
    <s v="Cash"/>
    <n v="3"/>
    <s v="Vivo S1"/>
    <n v="88227.81"/>
    <s v="Average"/>
    <s v="Average"/>
  </r>
  <r>
    <s v="Roha411768"/>
    <n v="1768"/>
    <n v="24"/>
    <n v="2"/>
    <n v="2023"/>
    <d v="2023-02-24T00:00:00"/>
    <s v="February"/>
    <d v="2026-08-11T00:00:00"/>
    <x v="3"/>
    <n v="6"/>
    <n v="11388.81"/>
    <s v="Rohan Menon"/>
    <n v="41"/>
    <s v="Adult"/>
    <s v="Good"/>
    <x v="1"/>
    <s v="Cash"/>
    <n v="4"/>
    <s v="Galaxy S21"/>
    <n v="68332.86"/>
    <s v="Good"/>
    <s v="Average"/>
  </r>
  <r>
    <s v="Anja531769"/>
    <n v="1769"/>
    <n v="24"/>
    <n v="2"/>
    <n v="2023"/>
    <d v="2023-02-24T00:00:00"/>
    <s v="February"/>
    <d v="2026-08-12T00:00:00"/>
    <x v="2"/>
    <n v="4"/>
    <n v="40020.019999999997"/>
    <s v="Anjali Patel"/>
    <n v="53"/>
    <s v="Senior Citezen"/>
    <s v="Good"/>
    <x v="1"/>
    <s v="Cash"/>
    <n v="4"/>
    <s v="OnePlus 8T"/>
    <n v="160080.07999999999"/>
    <s v="Good"/>
    <s v="Good"/>
  </r>
  <r>
    <s v="Kris521770"/>
    <n v="1770"/>
    <n v="25"/>
    <n v="2"/>
    <n v="2023"/>
    <d v="2023-02-25T00:00:00"/>
    <s v="February"/>
    <d v="2026-08-13T00:00:00"/>
    <x v="4"/>
    <n v="2"/>
    <n v="39016.54"/>
    <s v="Krishna Chatterjee"/>
    <n v="52"/>
    <s v="Senior Citezen"/>
    <s v="Good"/>
    <x v="1"/>
    <s v="UPI"/>
    <n v="5"/>
    <s v="iPhone SE"/>
    <n v="78033.08"/>
    <s v="Good"/>
    <s v="Average"/>
  </r>
  <r>
    <s v="Vive231771"/>
    <n v="1771"/>
    <n v="25"/>
    <n v="2"/>
    <n v="2023"/>
    <d v="2023-02-25T00:00:00"/>
    <s v="February"/>
    <d v="2026-08-14T00:00:00"/>
    <x v="3"/>
    <n v="8"/>
    <n v="19469.84"/>
    <s v="Vivek Alva"/>
    <n v="23"/>
    <s v="Teenagers"/>
    <s v="AVG"/>
    <x v="14"/>
    <s v="Debit Card"/>
    <n v="3"/>
    <s v="Galaxy Note 20"/>
    <n v="155758.72"/>
    <s v="Average"/>
    <s v="Good"/>
  </r>
  <r>
    <s v="Reen211772"/>
    <n v="1772"/>
    <n v="25"/>
    <n v="2"/>
    <n v="2023"/>
    <d v="2023-02-25T00:00:00"/>
    <s v="February"/>
    <d v="2026-08-15T00:00:00"/>
    <x v="3"/>
    <n v="4"/>
    <n v="55859.44"/>
    <s v="Reena Deshmukh"/>
    <n v="21"/>
    <s v="Teenagers"/>
    <s v="Good"/>
    <x v="2"/>
    <s v="UPI"/>
    <n v="5"/>
    <s v="Galaxy S21"/>
    <n v="223437.76"/>
    <s v="Good"/>
    <s v="Excellent"/>
  </r>
  <r>
    <s v="Jyot351773"/>
    <n v="1773"/>
    <n v="26"/>
    <n v="2"/>
    <n v="2023"/>
    <d v="2023-02-26T00:00:00"/>
    <s v="February"/>
    <d v="2026-08-16T00:00:00"/>
    <x v="2"/>
    <n v="9"/>
    <n v="39560.46"/>
    <s v="Jyoti Varma"/>
    <n v="35"/>
    <s v="Adult"/>
    <s v="AVG"/>
    <x v="11"/>
    <s v="Cash"/>
    <n v="3"/>
    <s v="OnePlus 8T"/>
    <n v="356044.14"/>
    <s v="Average"/>
    <s v="Excellent"/>
  </r>
  <r>
    <s v="Bina231774"/>
    <n v="1774"/>
    <n v="26"/>
    <n v="2"/>
    <n v="2023"/>
    <d v="2023-02-26T00:00:00"/>
    <s v="February"/>
    <d v="2026-08-17T00:00:00"/>
    <x v="2"/>
    <n v="7"/>
    <n v="30339.64"/>
    <s v="Bina Bhattacharya"/>
    <n v="23"/>
    <s v="Teenagers"/>
    <s v="Good"/>
    <x v="15"/>
    <s v="Debit Card"/>
    <n v="5"/>
    <s v="OnePlus 8T"/>
    <n v="212377.47999999998"/>
    <s v="Good"/>
    <s v="Excellent"/>
  </r>
  <r>
    <s v="Yoge431775"/>
    <n v="1775"/>
    <n v="26"/>
    <n v="2"/>
    <n v="2023"/>
    <d v="2023-02-26T00:00:00"/>
    <s v="February"/>
    <d v="2026-08-18T00:00:00"/>
    <x v="1"/>
    <n v="2"/>
    <n v="18814.53"/>
    <s v="Yogesh Sharma"/>
    <n v="43"/>
    <s v="Adult"/>
    <s v="AVG"/>
    <x v="0"/>
    <s v="Cash"/>
    <n v="3"/>
    <s v="Vivo Y51"/>
    <n v="37629.06"/>
    <s v="Average"/>
    <s v="Low"/>
  </r>
  <r>
    <s v="Bina541776"/>
    <n v="1776"/>
    <n v="27"/>
    <n v="2"/>
    <n v="2023"/>
    <d v="2023-02-27T00:00:00"/>
    <s v="February"/>
    <d v="2026-08-19T00:00:00"/>
    <x v="2"/>
    <n v="4"/>
    <n v="43129.65"/>
    <s v="Bina Jain"/>
    <n v="54"/>
    <s v="Senior Citezen"/>
    <s v="Good"/>
    <x v="2"/>
    <s v="Cash"/>
    <n v="4"/>
    <s v="OnePlus 9"/>
    <n v="172518.6"/>
    <s v="Good"/>
    <s v="Good"/>
  </r>
  <r>
    <s v="Sneh441777"/>
    <n v="1777"/>
    <n v="27"/>
    <n v="2"/>
    <n v="2023"/>
    <d v="2023-02-27T00:00:00"/>
    <s v="February"/>
    <d v="2026-08-20T00:00:00"/>
    <x v="1"/>
    <n v="5"/>
    <n v="55169.02"/>
    <s v="Sneha Yadav"/>
    <n v="44"/>
    <s v="Adult"/>
    <s v="Good"/>
    <x v="10"/>
    <s v="UPI"/>
    <n v="5"/>
    <s v="Vivo V20"/>
    <n v="275845.09999999998"/>
    <s v="Good"/>
    <s v="Excellent"/>
  </r>
  <r>
    <s v="Anan581778"/>
    <n v="1778"/>
    <n v="27"/>
    <n v="2"/>
    <n v="2023"/>
    <d v="2023-02-27T00:00:00"/>
    <s v="February"/>
    <d v="2026-08-21T00:00:00"/>
    <x v="3"/>
    <n v="3"/>
    <n v="26919.96"/>
    <s v="Anand Nair"/>
    <n v="58"/>
    <s v="Senior Citezen"/>
    <s v="Good"/>
    <x v="1"/>
    <s v="UPI"/>
    <n v="5"/>
    <s v="Galaxy A51"/>
    <n v="80759.88"/>
    <s v="Good"/>
    <s v="Average"/>
  </r>
  <r>
    <s v="Arun281779"/>
    <n v="1779"/>
    <n v="27"/>
    <n v="2"/>
    <n v="2023"/>
    <d v="2023-02-27T00:00:00"/>
    <s v="February"/>
    <d v="2026-08-22T00:00:00"/>
    <x v="0"/>
    <n v="9"/>
    <n v="23127.66"/>
    <s v="Arun Desai"/>
    <n v="28"/>
    <s v="Teenagers"/>
    <s v="Good"/>
    <x v="1"/>
    <s v="Credit Card"/>
    <n v="5"/>
    <s v="Mi 11"/>
    <n v="208148.94"/>
    <s v="Good"/>
    <s v="Excellent"/>
  </r>
  <r>
    <s v="Suni551780"/>
    <n v="1780"/>
    <n v="28"/>
    <n v="2"/>
    <n v="2023"/>
    <d v="2023-02-28T00:00:00"/>
    <s v="February"/>
    <d v="2026-08-23T00:00:00"/>
    <x v="4"/>
    <n v="5"/>
    <n v="41316.1"/>
    <s v="Sunil Sheth"/>
    <n v="55"/>
    <s v="Senior Citezen"/>
    <s v="BAD"/>
    <x v="13"/>
    <s v="Cash"/>
    <n v="1"/>
    <s v="iPhone 11"/>
    <n v="206580.5"/>
    <s v="Average"/>
    <s v="Excellent"/>
  </r>
  <r>
    <s v="Anan331781"/>
    <n v="1781"/>
    <n v="28"/>
    <n v="2"/>
    <n v="2023"/>
    <d v="2023-02-28T00:00:00"/>
    <s v="February"/>
    <d v="2026-08-24T00:00:00"/>
    <x v="3"/>
    <n v="2"/>
    <n v="19320.599999999999"/>
    <s v="Anand Bhattacharya"/>
    <n v="33"/>
    <s v="Adult"/>
    <s v="Good"/>
    <x v="5"/>
    <s v="Debit Card"/>
    <n v="5"/>
    <s v="Galaxy Note 20"/>
    <n v="38641.199999999997"/>
    <s v="Good"/>
    <s v="Low"/>
  </r>
  <r>
    <s v="Amit361782"/>
    <n v="1782"/>
    <n v="28"/>
    <n v="2"/>
    <n v="2023"/>
    <d v="2023-02-28T00:00:00"/>
    <s v="February"/>
    <d v="2026-08-25T00:00:00"/>
    <x v="2"/>
    <n v="3"/>
    <n v="49996.800000000003"/>
    <s v="Amit Ahuja"/>
    <n v="36"/>
    <s v="Adult"/>
    <s v="Good"/>
    <x v="14"/>
    <s v="Cash"/>
    <n v="5"/>
    <s v="OnePlus 8T"/>
    <n v="149990.40000000002"/>
    <s v="Good"/>
    <s v="Good"/>
  </r>
  <r>
    <s v="Kira321783"/>
    <n v="1783"/>
    <n v="1"/>
    <n v="3"/>
    <n v="2023"/>
    <d v="2023-03-01T00:00:00"/>
    <s v="March"/>
    <d v="2026-08-26T00:00:00"/>
    <x v="4"/>
    <n v="9"/>
    <n v="46320.62"/>
    <s v="Kiran Rawat"/>
    <n v="32"/>
    <s v="Adult"/>
    <s v="AVG"/>
    <x v="1"/>
    <s v="Debit Card"/>
    <n v="3"/>
    <s v="iPhone 12"/>
    <n v="416885.58"/>
    <s v="Average"/>
    <s v="Excellent"/>
  </r>
  <r>
    <s v="Nikh431784"/>
    <n v="1784"/>
    <n v="1"/>
    <n v="3"/>
    <n v="2023"/>
    <d v="2023-03-01T00:00:00"/>
    <s v="March"/>
    <d v="2026-08-27T00:00:00"/>
    <x v="0"/>
    <n v="7"/>
    <n v="15224.92"/>
    <s v="Nikhil Deshmukh"/>
    <n v="43"/>
    <s v="Adult"/>
    <s v="AVG"/>
    <x v="10"/>
    <s v="Credit Card"/>
    <n v="3"/>
    <s v="Redmi Note 10"/>
    <n v="106574.44"/>
    <s v="Average"/>
    <s v="Good"/>
  </r>
  <r>
    <s v="Meen581785"/>
    <n v="1785"/>
    <n v="1"/>
    <n v="3"/>
    <n v="2023"/>
    <d v="2023-03-01T00:00:00"/>
    <s v="March"/>
    <d v="2026-08-28T00:00:00"/>
    <x v="0"/>
    <n v="2"/>
    <n v="12191.22"/>
    <s v="Meena Thakur"/>
    <n v="58"/>
    <s v="Senior Citezen"/>
    <s v="AVG"/>
    <x v="2"/>
    <s v="Cash"/>
    <n v="3"/>
    <s v="Mi 11"/>
    <n v="24382.44"/>
    <s v="Average"/>
    <s v="Low"/>
  </r>
  <r>
    <s v="Pooj481786"/>
    <n v="1786"/>
    <n v="1"/>
    <n v="3"/>
    <n v="2023"/>
    <d v="2023-03-01T00:00:00"/>
    <s v="March"/>
    <d v="2026-08-29T00:00:00"/>
    <x v="1"/>
    <n v="9"/>
    <n v="47217.32"/>
    <s v="Pooja Patel"/>
    <n v="48"/>
    <s v="Senior Citezen"/>
    <s v="AVG"/>
    <x v="1"/>
    <s v="Debit Card"/>
    <n v="3"/>
    <s v="Vivo Y51"/>
    <n v="424955.88"/>
    <s v="Average"/>
    <s v="Excellent"/>
  </r>
  <r>
    <s v="Bina361787"/>
    <n v="1787"/>
    <n v="2"/>
    <n v="3"/>
    <n v="2023"/>
    <d v="2023-03-02T00:00:00"/>
    <s v="March"/>
    <d v="2026-08-30T00:00:00"/>
    <x v="4"/>
    <n v="4"/>
    <n v="27657.63"/>
    <s v="Bina Goyal"/>
    <n v="36"/>
    <s v="Adult"/>
    <s v="Good"/>
    <x v="1"/>
    <s v="Debit Card"/>
    <n v="5"/>
    <s v="iPhone 11"/>
    <n v="110630.52"/>
    <s v="Good"/>
    <s v="Good"/>
  </r>
  <r>
    <s v="Deve411788"/>
    <n v="1788"/>
    <n v="2"/>
    <n v="3"/>
    <n v="2023"/>
    <d v="2023-03-02T00:00:00"/>
    <s v="March"/>
    <d v="2026-08-31T00:00:00"/>
    <x v="1"/>
    <n v="9"/>
    <n v="15186.75"/>
    <s v="Devendra Luthra"/>
    <n v="41"/>
    <s v="Adult"/>
    <s v="Good"/>
    <x v="1"/>
    <s v="Credit Card"/>
    <n v="4"/>
    <s v="Vivo Y51"/>
    <n v="136680.75"/>
    <s v="Good"/>
    <s v="Good"/>
  </r>
  <r>
    <s v="Navi261789"/>
    <n v="1789"/>
    <n v="2"/>
    <n v="3"/>
    <n v="2023"/>
    <d v="2023-03-02T00:00:00"/>
    <s v="March"/>
    <d v="2026-09-01T00:00:00"/>
    <x v="3"/>
    <n v="2"/>
    <n v="55565.72"/>
    <s v="Navin Malhotra"/>
    <n v="26"/>
    <s v="Teenagers"/>
    <s v="Good"/>
    <x v="0"/>
    <s v="UPI"/>
    <n v="5"/>
    <s v="Galaxy A51"/>
    <n v="111131.44"/>
    <s v="Good"/>
    <s v="Good"/>
  </r>
  <r>
    <s v="Anan401790"/>
    <n v="1790"/>
    <n v="2"/>
    <n v="3"/>
    <n v="2023"/>
    <d v="2023-03-02T00:00:00"/>
    <s v="March"/>
    <d v="2026-09-02T00:00:00"/>
    <x v="4"/>
    <n v="4"/>
    <n v="28842.639999999999"/>
    <s v="Anand Chatterjee"/>
    <n v="40"/>
    <s v="Adult"/>
    <s v="AVG"/>
    <x v="1"/>
    <s v="Credit Card"/>
    <n v="3"/>
    <s v="iPhone SE"/>
    <n v="115370.56"/>
    <s v="Average"/>
    <s v="Good"/>
  </r>
  <r>
    <s v="Mala211791"/>
    <n v="1791"/>
    <n v="3"/>
    <n v="3"/>
    <n v="2023"/>
    <d v="2023-03-03T00:00:00"/>
    <s v="March"/>
    <d v="2026-09-03T00:00:00"/>
    <x v="3"/>
    <n v="5"/>
    <n v="37575.97"/>
    <s v="Mala Thakur"/>
    <n v="21"/>
    <s v="Teenagers"/>
    <s v="Good"/>
    <x v="14"/>
    <s v="Debit Card"/>
    <n v="5"/>
    <s v="Galaxy Note 20"/>
    <n v="187879.85"/>
    <s v="Good"/>
    <s v="Good"/>
  </r>
  <r>
    <s v="Anja271792"/>
    <n v="1792"/>
    <n v="3"/>
    <n v="3"/>
    <n v="2023"/>
    <d v="2023-03-03T00:00:00"/>
    <s v="March"/>
    <d v="2026-09-04T00:00:00"/>
    <x v="1"/>
    <n v="2"/>
    <n v="24208.78"/>
    <s v="Anjali Thakur"/>
    <n v="27"/>
    <s v="Teenagers"/>
    <s v="Good"/>
    <x v="14"/>
    <s v="Credit Card"/>
    <n v="5"/>
    <s v="Vivo Y51"/>
    <n v="48417.56"/>
    <s v="Good"/>
    <s v="Low"/>
  </r>
  <r>
    <s v="Hari261793"/>
    <n v="1793"/>
    <n v="3"/>
    <n v="3"/>
    <n v="2023"/>
    <d v="2023-03-03T00:00:00"/>
    <s v="March"/>
    <d v="2026-09-05T00:00:00"/>
    <x v="4"/>
    <n v="1"/>
    <n v="47639.02"/>
    <s v="Harish Kapoor"/>
    <n v="26"/>
    <s v="Teenagers"/>
    <s v="AVG"/>
    <x v="1"/>
    <s v="UPI"/>
    <n v="3"/>
    <s v="iPhone 11"/>
    <n v="47639.02"/>
    <s v="Average"/>
    <s v="Low"/>
  </r>
  <r>
    <s v="Radh361794"/>
    <n v="1794"/>
    <n v="4"/>
    <n v="3"/>
    <n v="2023"/>
    <d v="2023-03-04T00:00:00"/>
    <s v="March"/>
    <d v="2026-09-06T00:00:00"/>
    <x v="1"/>
    <n v="7"/>
    <n v="28089.3"/>
    <s v="Radha Srivastava"/>
    <n v="36"/>
    <s v="Adult"/>
    <s v="BAD"/>
    <x v="13"/>
    <s v="Cash"/>
    <n v="1"/>
    <s v="Vivo S1"/>
    <n v="196625.1"/>
    <s v="Average"/>
    <s v="Good"/>
  </r>
  <r>
    <s v="Navi321795"/>
    <n v="1795"/>
    <n v="4"/>
    <n v="3"/>
    <n v="2023"/>
    <d v="2023-03-04T00:00:00"/>
    <s v="March"/>
    <d v="2026-09-07T00:00:00"/>
    <x v="4"/>
    <n v="1"/>
    <n v="68081.259999999995"/>
    <s v="Navin Malhotra"/>
    <n v="32"/>
    <s v="Adult"/>
    <s v="Good"/>
    <x v="6"/>
    <s v="Credit Card"/>
    <n v="5"/>
    <s v="iPhone 12"/>
    <n v="68081.259999999995"/>
    <s v="Good"/>
    <s v="Average"/>
  </r>
  <r>
    <s v="Kris511796"/>
    <n v="1796"/>
    <n v="4"/>
    <n v="3"/>
    <n v="2023"/>
    <d v="2023-03-04T00:00:00"/>
    <s v="March"/>
    <d v="2026-09-08T00:00:00"/>
    <x v="1"/>
    <n v="8"/>
    <n v="52176.85"/>
    <s v="Krishna Alva"/>
    <n v="51"/>
    <s v="Senior Citezen"/>
    <s v="Good"/>
    <x v="1"/>
    <s v="Credit Card"/>
    <n v="5"/>
    <s v="Vivo S1"/>
    <n v="417414.8"/>
    <s v="Good"/>
    <s v="Excellent"/>
  </r>
  <r>
    <s v="Vive591797"/>
    <n v="1797"/>
    <n v="4"/>
    <n v="3"/>
    <n v="2023"/>
    <d v="2023-03-04T00:00:00"/>
    <s v="March"/>
    <d v="2026-09-09T00:00:00"/>
    <x v="0"/>
    <n v="3"/>
    <n v="18203.34"/>
    <s v="Vivek Rathod"/>
    <n v="59"/>
    <s v="Senior Citezen"/>
    <s v="Good"/>
    <x v="3"/>
    <s v="Cash"/>
    <n v="5"/>
    <s v="Redmi 9"/>
    <n v="54610.020000000004"/>
    <s v="Good"/>
    <s v="Average"/>
  </r>
  <r>
    <s v="Adit361798"/>
    <n v="1798"/>
    <n v="5"/>
    <n v="3"/>
    <n v="2023"/>
    <d v="2023-03-05T00:00:00"/>
    <s v="March"/>
    <d v="2026-09-10T00:00:00"/>
    <x v="1"/>
    <n v="6"/>
    <n v="35001.69"/>
    <s v="Aditya Kulkarni"/>
    <n v="36"/>
    <s v="Adult"/>
    <s v="BAD"/>
    <x v="2"/>
    <s v="Credit Card"/>
    <n v="1"/>
    <s v="Vivo Y51"/>
    <n v="210010.14"/>
    <s v="Average"/>
    <s v="Excellent"/>
  </r>
  <r>
    <s v="Sanj381799"/>
    <n v="1799"/>
    <n v="5"/>
    <n v="3"/>
    <n v="2023"/>
    <d v="2023-03-05T00:00:00"/>
    <s v="March"/>
    <d v="2026-09-11T00:00:00"/>
    <x v="0"/>
    <n v="7"/>
    <n v="33125.269999999997"/>
    <s v="Sanjay Pillai"/>
    <n v="38"/>
    <s v="Adult"/>
    <s v="Good"/>
    <x v="2"/>
    <s v="UPI"/>
    <n v="5"/>
    <s v="Mi 11"/>
    <n v="231876.88999999998"/>
    <s v="Good"/>
    <s v="Excellent"/>
  </r>
  <r>
    <s v="Kavi511800"/>
    <n v="1800"/>
    <n v="5"/>
    <n v="3"/>
    <n v="2023"/>
    <d v="2023-03-05T00:00:00"/>
    <s v="March"/>
    <d v="2026-09-12T00:00:00"/>
    <x v="1"/>
    <n v="1"/>
    <n v="42054.83"/>
    <s v="Kavita Srivastava"/>
    <n v="51"/>
    <s v="Senior Citezen"/>
    <s v="BAD"/>
    <x v="13"/>
    <s v="Debit Card"/>
    <n v="1"/>
    <s v="Vivo V20"/>
    <n v="42054.83"/>
    <s v="Average"/>
    <s v="Low"/>
  </r>
  <r>
    <s v="Priy341801"/>
    <n v="1801"/>
    <n v="6"/>
    <n v="3"/>
    <n v="2023"/>
    <d v="2023-03-06T00:00:00"/>
    <s v="March"/>
    <d v="2026-09-13T00:00:00"/>
    <x v="4"/>
    <n v="6"/>
    <n v="60515.839999999997"/>
    <s v="Priya Dutta"/>
    <n v="34"/>
    <s v="Adult"/>
    <s v="Good"/>
    <x v="1"/>
    <s v="Credit Card"/>
    <n v="5"/>
    <s v="iPhone 11"/>
    <n v="363095.03999999998"/>
    <s v="Good"/>
    <s v="Excellent"/>
  </r>
  <r>
    <s v="Reen351802"/>
    <n v="1802"/>
    <n v="6"/>
    <n v="3"/>
    <n v="2023"/>
    <d v="2023-03-06T00:00:00"/>
    <s v="March"/>
    <d v="2026-09-14T00:00:00"/>
    <x v="4"/>
    <n v="7"/>
    <n v="45005.32"/>
    <s v="Reena Chatterjee"/>
    <n v="35"/>
    <s v="Adult"/>
    <s v="Good"/>
    <x v="1"/>
    <s v="Cash"/>
    <n v="5"/>
    <s v="iPhone 11"/>
    <n v="315037.24"/>
    <s v="Good"/>
    <s v="Excellent"/>
  </r>
  <r>
    <s v="Anja341803"/>
    <n v="1803"/>
    <n v="6"/>
    <n v="3"/>
    <n v="2023"/>
    <d v="2023-03-06T00:00:00"/>
    <s v="March"/>
    <d v="2026-09-15T00:00:00"/>
    <x v="4"/>
    <n v="6"/>
    <n v="13693.4"/>
    <s v="Anjali Chaudhary"/>
    <n v="34"/>
    <s v="Adult"/>
    <s v="BAD"/>
    <x v="17"/>
    <s v="Cash"/>
    <n v="1"/>
    <s v="iPhone 12"/>
    <n v="82160.399999999994"/>
    <s v="Average"/>
    <s v="Average"/>
  </r>
  <r>
    <s v="Radh191804"/>
    <n v="1804"/>
    <n v="6"/>
    <n v="3"/>
    <n v="2023"/>
    <d v="2023-03-06T00:00:00"/>
    <s v="March"/>
    <d v="2026-09-16T00:00:00"/>
    <x v="2"/>
    <n v="4"/>
    <n v="49324.94"/>
    <s v="Radha Ghosh"/>
    <n v="19"/>
    <s v="Teenagers"/>
    <s v="Good"/>
    <x v="2"/>
    <s v="Credit Card"/>
    <n v="4"/>
    <s v="OnePlus 8T"/>
    <n v="197299.76"/>
    <s v="Good"/>
    <s v="Good"/>
  </r>
  <r>
    <s v="Neet181805"/>
    <n v="1805"/>
    <n v="7"/>
    <n v="3"/>
    <n v="2023"/>
    <d v="2023-03-07T00:00:00"/>
    <s v="March"/>
    <d v="2026-09-17T00:00:00"/>
    <x v="3"/>
    <n v="1"/>
    <n v="10495.92"/>
    <s v="Neeta Deshmukh"/>
    <n v="18"/>
    <s v="Teenagers"/>
    <s v="AVG"/>
    <x v="7"/>
    <s v="Cash"/>
    <n v="3"/>
    <s v="Galaxy Note 20"/>
    <n v="10495.92"/>
    <s v="Average"/>
    <s v="Low"/>
  </r>
  <r>
    <s v="Mano271806"/>
    <n v="1806"/>
    <n v="7"/>
    <n v="3"/>
    <n v="2023"/>
    <d v="2023-03-07T00:00:00"/>
    <s v="March"/>
    <d v="2026-09-18T00:00:00"/>
    <x v="4"/>
    <n v="9"/>
    <n v="56797.63"/>
    <s v="Manoj Nambiar"/>
    <n v="27"/>
    <s v="Teenagers"/>
    <s v="AVG"/>
    <x v="2"/>
    <s v="Debit Card"/>
    <n v="3"/>
    <s v="iPhone 11"/>
    <n v="511178.67"/>
    <s v="Average"/>
    <s v="Excellent"/>
  </r>
  <r>
    <s v="Navi541807"/>
    <n v="1807"/>
    <n v="7"/>
    <n v="3"/>
    <n v="2023"/>
    <d v="2023-03-07T00:00:00"/>
    <s v="March"/>
    <d v="2026-09-19T00:00:00"/>
    <x v="0"/>
    <n v="4"/>
    <n v="49998.16"/>
    <s v="Navin Sharma"/>
    <n v="54"/>
    <s v="Senior Citezen"/>
    <s v="AVG"/>
    <x v="1"/>
    <s v="Debit Card"/>
    <n v="3"/>
    <s v="Redmi 9"/>
    <n v="199992.64"/>
    <s v="Average"/>
    <s v="Good"/>
  </r>
  <r>
    <s v="Kira221808"/>
    <n v="1808"/>
    <n v="7"/>
    <n v="3"/>
    <n v="2023"/>
    <d v="2023-03-07T00:00:00"/>
    <s v="March"/>
    <d v="2026-09-20T00:00:00"/>
    <x v="4"/>
    <n v="7"/>
    <n v="28527.14"/>
    <s v="Kiran Rathod"/>
    <n v="22"/>
    <s v="Teenagers"/>
    <s v="BAD"/>
    <x v="4"/>
    <s v="Cash"/>
    <n v="1"/>
    <s v="iPhone 11"/>
    <n v="199689.97999999998"/>
    <s v="Average"/>
    <s v="Good"/>
  </r>
  <r>
    <s v="Pooj291809"/>
    <n v="1809"/>
    <n v="8"/>
    <n v="3"/>
    <n v="2023"/>
    <d v="2023-03-08T00:00:00"/>
    <s v="March"/>
    <d v="2026-09-21T00:00:00"/>
    <x v="2"/>
    <n v="7"/>
    <n v="27546.51"/>
    <s v="Pooja Goyal"/>
    <n v="29"/>
    <s v="Teenagers"/>
    <s v="Good"/>
    <x v="13"/>
    <s v="Credit Card"/>
    <n v="5"/>
    <s v="OnePlus Nord"/>
    <n v="192825.56999999998"/>
    <s v="Good"/>
    <s v="Good"/>
  </r>
  <r>
    <s v="Nami531810"/>
    <n v="1810"/>
    <n v="8"/>
    <n v="3"/>
    <n v="2023"/>
    <d v="2023-03-08T00:00:00"/>
    <s v="March"/>
    <d v="2026-09-22T00:00:00"/>
    <x v="0"/>
    <n v="2"/>
    <n v="57896.38"/>
    <s v="Namita Sheth"/>
    <n v="53"/>
    <s v="Senior Citezen"/>
    <s v="Good"/>
    <x v="11"/>
    <s v="Credit Card"/>
    <n v="5"/>
    <s v="Mi 11"/>
    <n v="115792.76"/>
    <s v="Good"/>
    <s v="Good"/>
  </r>
  <r>
    <s v="Pank481811"/>
    <n v="1811"/>
    <n v="8"/>
    <n v="3"/>
    <n v="2023"/>
    <d v="2023-03-08T00:00:00"/>
    <s v="March"/>
    <d v="2026-09-23T00:00:00"/>
    <x v="2"/>
    <n v="1"/>
    <n v="57000.2"/>
    <s v="Pankaj Bhattacharya"/>
    <n v="48"/>
    <s v="Senior Citezen"/>
    <s v="Good"/>
    <x v="1"/>
    <s v="Cash"/>
    <n v="5"/>
    <s v="OnePlus 8T"/>
    <n v="57000.2"/>
    <s v="Good"/>
    <s v="Average"/>
  </r>
  <r>
    <s v="Moni551812"/>
    <n v="1812"/>
    <n v="9"/>
    <n v="3"/>
    <n v="2023"/>
    <d v="2023-03-09T00:00:00"/>
    <s v="March"/>
    <d v="2026-09-24T00:00:00"/>
    <x v="0"/>
    <n v="8"/>
    <n v="31138.14"/>
    <s v="Monika Mathur"/>
    <n v="55"/>
    <s v="Senior Citezen"/>
    <s v="Good"/>
    <x v="2"/>
    <s v="Debit Card"/>
    <n v="5"/>
    <s v="Redmi 9"/>
    <n v="249105.12"/>
    <s v="Good"/>
    <s v="Excellent"/>
  </r>
  <r>
    <s v="Vino261813"/>
    <n v="1813"/>
    <n v="9"/>
    <n v="3"/>
    <n v="2023"/>
    <d v="2023-03-09T00:00:00"/>
    <s v="March"/>
    <d v="2026-09-25T00:00:00"/>
    <x v="1"/>
    <n v="8"/>
    <n v="27936.86"/>
    <s v="Vinod Ahuja"/>
    <n v="26"/>
    <s v="Teenagers"/>
    <s v="Good"/>
    <x v="1"/>
    <s v="Debit Card"/>
    <n v="4"/>
    <s v="Vivo S1"/>
    <n v="223494.88"/>
    <s v="Good"/>
    <s v="Excellent"/>
  </r>
  <r>
    <s v="Bhav431814"/>
    <n v="1814"/>
    <n v="9"/>
    <n v="3"/>
    <n v="2023"/>
    <d v="2023-03-09T00:00:00"/>
    <s v="March"/>
    <d v="2026-09-26T00:00:00"/>
    <x v="3"/>
    <n v="7"/>
    <n v="43589.49"/>
    <s v="Bhavana Arora"/>
    <n v="43"/>
    <s v="Adult"/>
    <s v="AVG"/>
    <x v="1"/>
    <s v="Credit Card"/>
    <n v="3"/>
    <s v="Galaxy Note 20"/>
    <n v="305126.43"/>
    <s v="Average"/>
    <s v="Excellent"/>
  </r>
  <r>
    <s v="Isha321815"/>
    <n v="1815"/>
    <n v="9"/>
    <n v="3"/>
    <n v="2023"/>
    <d v="2023-03-09T00:00:00"/>
    <s v="March"/>
    <d v="2026-09-27T00:00:00"/>
    <x v="3"/>
    <n v="8"/>
    <n v="10501.94"/>
    <s v="Isha Ahuja"/>
    <n v="32"/>
    <s v="Adult"/>
    <s v="Good"/>
    <x v="15"/>
    <s v="Debit Card"/>
    <n v="4"/>
    <s v="Galaxy S21"/>
    <n v="84015.52"/>
    <s v="Good"/>
    <s v="Average"/>
  </r>
  <r>
    <s v="Neet331816"/>
    <n v="1816"/>
    <n v="10"/>
    <n v="3"/>
    <n v="2023"/>
    <d v="2023-03-10T00:00:00"/>
    <s v="March"/>
    <d v="2026-09-28T00:00:00"/>
    <x v="2"/>
    <n v="3"/>
    <n v="14960.02"/>
    <s v="Neeta Desai"/>
    <n v="33"/>
    <s v="Adult"/>
    <s v="AVG"/>
    <x v="15"/>
    <s v="UPI"/>
    <n v="3"/>
    <s v="OnePlus 8T"/>
    <n v="44880.06"/>
    <s v="Average"/>
    <s v="Low"/>
  </r>
  <r>
    <s v="Kira301817"/>
    <n v="1817"/>
    <n v="10"/>
    <n v="3"/>
    <n v="2023"/>
    <d v="2023-03-10T00:00:00"/>
    <s v="March"/>
    <d v="2026-09-29T00:00:00"/>
    <x v="3"/>
    <n v="2"/>
    <n v="17570.18"/>
    <s v="Kiran Solanki"/>
    <n v="30"/>
    <s v="Teenagers"/>
    <s v="BAD"/>
    <x v="1"/>
    <s v="Debit Card"/>
    <n v="1"/>
    <s v="Galaxy A51"/>
    <n v="35140.36"/>
    <s v="Average"/>
    <s v="Low"/>
  </r>
  <r>
    <s v="Pooj421818"/>
    <n v="1818"/>
    <n v="10"/>
    <n v="3"/>
    <n v="2023"/>
    <d v="2023-03-10T00:00:00"/>
    <s v="March"/>
    <d v="2026-09-30T00:00:00"/>
    <x v="2"/>
    <n v="7"/>
    <n v="21124.71"/>
    <s v="Pooja Menon"/>
    <n v="42"/>
    <s v="Adult"/>
    <s v="Good"/>
    <x v="1"/>
    <s v="Credit Card"/>
    <n v="4"/>
    <s v="OnePlus 8T"/>
    <n v="147872.97"/>
    <s v="Good"/>
    <s v="Good"/>
  </r>
  <r>
    <s v="Sumi471819"/>
    <n v="1819"/>
    <n v="10"/>
    <n v="3"/>
    <n v="2023"/>
    <d v="2023-03-10T00:00:00"/>
    <s v="March"/>
    <d v="2026-10-01T00:00:00"/>
    <x v="2"/>
    <n v="8"/>
    <n v="40721.089999999997"/>
    <s v="Sumit Mishra"/>
    <n v="47"/>
    <s v="Senior Citezen"/>
    <s v="Good"/>
    <x v="1"/>
    <s v="Debit Card"/>
    <n v="5"/>
    <s v="OnePlus 8T"/>
    <n v="325768.71999999997"/>
    <s v="Good"/>
    <s v="Excellent"/>
  </r>
  <r>
    <s v="Pras241820"/>
    <n v="1820"/>
    <n v="11"/>
    <n v="3"/>
    <n v="2023"/>
    <d v="2023-03-11T00:00:00"/>
    <s v="March"/>
    <d v="2026-10-02T00:00:00"/>
    <x v="2"/>
    <n v="1"/>
    <n v="69534.509999999995"/>
    <s v="Prashant Jain"/>
    <n v="24"/>
    <s v="Teenagers"/>
    <s v="AVG"/>
    <x v="2"/>
    <s v="Debit Card"/>
    <n v="3"/>
    <s v="OnePlus Nord"/>
    <n v="69534.509999999995"/>
    <s v="Average"/>
    <s v="Average"/>
  </r>
  <r>
    <s v="Ravi211821"/>
    <n v="1821"/>
    <n v="11"/>
    <n v="3"/>
    <n v="2023"/>
    <d v="2023-03-11T00:00:00"/>
    <s v="March"/>
    <d v="2026-10-03T00:00:00"/>
    <x v="3"/>
    <n v="9"/>
    <n v="49156.800000000003"/>
    <s v="Ravi Thakur"/>
    <n v="21"/>
    <s v="Teenagers"/>
    <s v="Good"/>
    <x v="1"/>
    <s v="Cash"/>
    <n v="5"/>
    <s v="Galaxy S21"/>
    <n v="442411.2"/>
    <s v="Good"/>
    <s v="Excellent"/>
  </r>
  <r>
    <s v="Hari571822"/>
    <n v="1822"/>
    <n v="11"/>
    <n v="3"/>
    <n v="2023"/>
    <d v="2023-03-11T00:00:00"/>
    <s v="March"/>
    <d v="2026-10-04T00:00:00"/>
    <x v="2"/>
    <n v="4"/>
    <n v="13677.93"/>
    <s v="Harish Malhotra"/>
    <n v="57"/>
    <s v="Senior Citezen"/>
    <s v="Good"/>
    <x v="12"/>
    <s v="UPI"/>
    <n v="4"/>
    <s v="OnePlus 9"/>
    <n v="54711.72"/>
    <s v="Good"/>
    <s v="Average"/>
  </r>
  <r>
    <s v="Suni551823"/>
    <n v="1823"/>
    <n v="11"/>
    <n v="3"/>
    <n v="2023"/>
    <d v="2023-03-11T00:00:00"/>
    <s v="March"/>
    <d v="2026-10-05T00:00:00"/>
    <x v="3"/>
    <n v="4"/>
    <n v="41534.76"/>
    <s v="Sunita Roy"/>
    <n v="55"/>
    <s v="Senior Citezen"/>
    <s v="BAD"/>
    <x v="8"/>
    <s v="Cash"/>
    <n v="1"/>
    <s v="Galaxy A51"/>
    <n v="166139.04"/>
    <s v="Average"/>
    <s v="Good"/>
  </r>
  <r>
    <s v="Sumi471824"/>
    <n v="1824"/>
    <n v="12"/>
    <n v="3"/>
    <n v="2023"/>
    <d v="2023-03-12T00:00:00"/>
    <s v="March"/>
    <d v="2026-10-06T00:00:00"/>
    <x v="2"/>
    <n v="3"/>
    <n v="39798.71"/>
    <s v="Sumit Teja"/>
    <n v="47"/>
    <s v="Senior Citezen"/>
    <s v="Good"/>
    <x v="14"/>
    <s v="Debit Card"/>
    <n v="5"/>
    <s v="OnePlus Nord"/>
    <n v="119396.13"/>
    <s v="Good"/>
    <s v="Good"/>
  </r>
  <r>
    <s v="Lata271825"/>
    <n v="1825"/>
    <n v="12"/>
    <n v="3"/>
    <n v="2023"/>
    <d v="2023-03-12T00:00:00"/>
    <s v="March"/>
    <d v="2026-10-07T00:00:00"/>
    <x v="4"/>
    <n v="6"/>
    <n v="18650.07"/>
    <s v="Lata Reddy"/>
    <n v="27"/>
    <s v="Teenagers"/>
    <s v="BAD"/>
    <x v="10"/>
    <s v="Debit Card"/>
    <n v="1"/>
    <s v="iPhone 11"/>
    <n v="111900.42"/>
    <s v="Average"/>
    <s v="Good"/>
  </r>
  <r>
    <s v="Bhav471826"/>
    <n v="1826"/>
    <n v="12"/>
    <n v="3"/>
    <n v="2023"/>
    <d v="2023-03-12T00:00:00"/>
    <s v="March"/>
    <d v="2026-10-08T00:00:00"/>
    <x v="2"/>
    <n v="1"/>
    <n v="65216.34"/>
    <s v="Bhavana Ghosh"/>
    <n v="47"/>
    <s v="Senior Citezen"/>
    <s v="AVG"/>
    <x v="1"/>
    <s v="Cash"/>
    <n v="3"/>
    <s v="OnePlus Nord"/>
    <n v="65216.34"/>
    <s v="Average"/>
    <s v="Average"/>
  </r>
  <r>
    <s v="Mala561827"/>
    <n v="1827"/>
    <n v="12"/>
    <n v="3"/>
    <n v="2023"/>
    <d v="2023-03-12T00:00:00"/>
    <s v="March"/>
    <d v="2026-10-09T00:00:00"/>
    <x v="0"/>
    <n v="6"/>
    <n v="36445.910000000003"/>
    <s v="Mala Ghosh"/>
    <n v="56"/>
    <s v="Senior Citezen"/>
    <s v="Good"/>
    <x v="2"/>
    <s v="UPI"/>
    <n v="4"/>
    <s v="Redmi 9"/>
    <n v="218675.46000000002"/>
    <s v="Good"/>
    <s v="Excellent"/>
  </r>
  <r>
    <s v="Roha241828"/>
    <n v="1828"/>
    <n v="13"/>
    <n v="3"/>
    <n v="2023"/>
    <d v="2023-03-13T00:00:00"/>
    <s v="March"/>
    <d v="2026-10-10T00:00:00"/>
    <x v="2"/>
    <n v="2"/>
    <n v="69673.55"/>
    <s v="Rohan Jain"/>
    <n v="24"/>
    <s v="Teenagers"/>
    <s v="BAD"/>
    <x v="4"/>
    <s v="Credit Card"/>
    <n v="1"/>
    <s v="OnePlus 8T"/>
    <n v="139347.1"/>
    <s v="Average"/>
    <s v="Good"/>
  </r>
  <r>
    <s v="Roha531829"/>
    <n v="1829"/>
    <n v="13"/>
    <n v="3"/>
    <n v="2023"/>
    <d v="2023-03-13T00:00:00"/>
    <s v="March"/>
    <d v="2026-10-11T00:00:00"/>
    <x v="1"/>
    <n v="9"/>
    <n v="35204.339999999997"/>
    <s v="Rohan Nambiar"/>
    <n v="53"/>
    <s v="Senior Citezen"/>
    <s v="Good"/>
    <x v="4"/>
    <s v="Cash"/>
    <n v="5"/>
    <s v="Vivo Y51"/>
    <n v="316839.05999999994"/>
    <s v="Good"/>
    <s v="Excellent"/>
  </r>
  <r>
    <s v="Navi521830"/>
    <n v="1830"/>
    <n v="13"/>
    <n v="3"/>
    <n v="2023"/>
    <d v="2023-03-13T00:00:00"/>
    <s v="March"/>
    <d v="2026-10-12T00:00:00"/>
    <x v="2"/>
    <n v="2"/>
    <n v="46477.46"/>
    <s v="Navin Chaudhary"/>
    <n v="52"/>
    <s v="Senior Citezen"/>
    <s v="Good"/>
    <x v="2"/>
    <s v="Debit Card"/>
    <n v="5"/>
    <s v="OnePlus 8T"/>
    <n v="92954.92"/>
    <s v="Good"/>
    <s v="Average"/>
  </r>
  <r>
    <s v="Sanj411831"/>
    <n v="1831"/>
    <n v="13"/>
    <n v="3"/>
    <n v="2023"/>
    <d v="2023-03-13T00:00:00"/>
    <s v="March"/>
    <d v="2026-10-13T00:00:00"/>
    <x v="0"/>
    <n v="7"/>
    <n v="16285.75"/>
    <s v="Sanjay Das"/>
    <n v="41"/>
    <s v="Adult"/>
    <s v="Good"/>
    <x v="3"/>
    <s v="Debit Card"/>
    <n v="5"/>
    <s v="Redmi Note 10"/>
    <n v="114000.25"/>
    <s v="Good"/>
    <s v="Good"/>
  </r>
  <r>
    <s v="Pras561832"/>
    <n v="1832"/>
    <n v="14"/>
    <n v="3"/>
    <n v="2023"/>
    <d v="2023-03-14T00:00:00"/>
    <s v="March"/>
    <d v="2026-10-14T00:00:00"/>
    <x v="0"/>
    <n v="1"/>
    <n v="37253.67"/>
    <s v="Prashant Nair"/>
    <n v="56"/>
    <s v="Senior Citezen"/>
    <s v="BAD"/>
    <x v="14"/>
    <s v="Credit Card"/>
    <n v="1"/>
    <s v="Redmi Note 10"/>
    <n v="37253.67"/>
    <s v="Average"/>
    <s v="Low"/>
  </r>
  <r>
    <s v="Pras531833"/>
    <n v="1833"/>
    <n v="14"/>
    <n v="3"/>
    <n v="2023"/>
    <d v="2023-03-14T00:00:00"/>
    <s v="March"/>
    <d v="2026-10-15T00:00:00"/>
    <x v="3"/>
    <n v="7"/>
    <n v="24325.95"/>
    <s v="Prashant Sharma"/>
    <n v="53"/>
    <s v="Senior Citezen"/>
    <s v="Good"/>
    <x v="1"/>
    <s v="Debit Card"/>
    <n v="4"/>
    <s v="Galaxy A51"/>
    <n v="170281.65"/>
    <s v="Good"/>
    <s v="Good"/>
  </r>
  <r>
    <s v="Mano371834"/>
    <n v="1834"/>
    <n v="14"/>
    <n v="3"/>
    <n v="2023"/>
    <d v="2023-03-14T00:00:00"/>
    <s v="March"/>
    <d v="2026-10-16T00:00:00"/>
    <x v="4"/>
    <n v="5"/>
    <n v="60133.89"/>
    <s v="Manoj Kulkarni"/>
    <n v="37"/>
    <s v="Adult"/>
    <s v="Good"/>
    <x v="16"/>
    <s v="Debit Card"/>
    <n v="4"/>
    <s v="iPhone 11"/>
    <n v="300669.45"/>
    <s v="Good"/>
    <s v="Excellent"/>
  </r>
  <r>
    <s v="Jyot491835"/>
    <n v="1835"/>
    <n v="15"/>
    <n v="3"/>
    <n v="2023"/>
    <d v="2023-03-15T00:00:00"/>
    <s v="March"/>
    <d v="2026-10-17T00:00:00"/>
    <x v="2"/>
    <n v="8"/>
    <n v="57035.18"/>
    <s v="Jyoti Iyer"/>
    <n v="49"/>
    <s v="Senior Citezen"/>
    <s v="Good"/>
    <x v="1"/>
    <s v="Credit Card"/>
    <n v="5"/>
    <s v="OnePlus Nord"/>
    <n v="456281.44"/>
    <s v="Good"/>
    <s v="Excellent"/>
  </r>
  <r>
    <s v="Nami561836"/>
    <n v="1836"/>
    <n v="15"/>
    <n v="3"/>
    <n v="2023"/>
    <d v="2023-03-15T00:00:00"/>
    <s v="March"/>
    <d v="2026-10-18T00:00:00"/>
    <x v="3"/>
    <n v="4"/>
    <n v="59450.8"/>
    <s v="Namita Roy"/>
    <n v="56"/>
    <s v="Senior Citezen"/>
    <s v="Good"/>
    <x v="2"/>
    <s v="Debit Card"/>
    <n v="5"/>
    <s v="Galaxy A51"/>
    <n v="237803.2"/>
    <s v="Good"/>
    <s v="Excellent"/>
  </r>
  <r>
    <s v="Kira431837"/>
    <n v="1837"/>
    <n v="15"/>
    <n v="3"/>
    <n v="2023"/>
    <d v="2023-03-15T00:00:00"/>
    <s v="March"/>
    <d v="2026-10-19T00:00:00"/>
    <x v="4"/>
    <n v="7"/>
    <n v="53416.57"/>
    <s v="Kiran Pathak"/>
    <n v="43"/>
    <s v="Adult"/>
    <s v="BAD"/>
    <x v="2"/>
    <s v="Debit Card"/>
    <n v="1"/>
    <s v="iPhone 12"/>
    <n v="373915.99"/>
    <s v="Average"/>
    <s v="Excellent"/>
  </r>
  <r>
    <s v="Rame431838"/>
    <n v="1838"/>
    <n v="15"/>
    <n v="3"/>
    <n v="2023"/>
    <d v="2023-03-15T00:00:00"/>
    <s v="March"/>
    <d v="2026-10-20T00:00:00"/>
    <x v="2"/>
    <n v="6"/>
    <n v="59960.99"/>
    <s v="Ramesh Verma"/>
    <n v="43"/>
    <s v="Adult"/>
    <s v="Good"/>
    <x v="6"/>
    <s v="UPI"/>
    <n v="5"/>
    <s v="OnePlus 9"/>
    <n v="359765.94"/>
    <s v="Good"/>
    <s v="Excellent"/>
  </r>
  <r>
    <s v="Deep531839"/>
    <n v="1839"/>
    <n v="16"/>
    <n v="3"/>
    <n v="2023"/>
    <d v="2023-03-16T00:00:00"/>
    <s v="March"/>
    <d v="2026-10-21T00:00:00"/>
    <x v="1"/>
    <n v="5"/>
    <n v="22049.73"/>
    <s v="Deepika Prasad"/>
    <n v="53"/>
    <s v="Senior Citezen"/>
    <s v="BAD"/>
    <x v="2"/>
    <s v="Cash"/>
    <n v="1"/>
    <s v="Vivo S1"/>
    <n v="110248.65"/>
    <s v="Average"/>
    <s v="Good"/>
  </r>
  <r>
    <s v="Lali521840"/>
    <n v="1840"/>
    <n v="16"/>
    <n v="3"/>
    <n v="2023"/>
    <d v="2023-03-16T00:00:00"/>
    <s v="March"/>
    <d v="2026-10-22T00:00:00"/>
    <x v="2"/>
    <n v="4"/>
    <n v="37122.629999999997"/>
    <s v="Lalita Sheth"/>
    <n v="52"/>
    <s v="Senior Citezen"/>
    <s v="BAD"/>
    <x v="1"/>
    <s v="UPI"/>
    <n v="1"/>
    <s v="OnePlus 8T"/>
    <n v="148490.51999999999"/>
    <s v="Average"/>
    <s v="Good"/>
  </r>
  <r>
    <s v="Hari521841"/>
    <n v="1841"/>
    <n v="16"/>
    <n v="3"/>
    <n v="2023"/>
    <d v="2023-03-16T00:00:00"/>
    <s v="March"/>
    <d v="2026-10-23T00:00:00"/>
    <x v="0"/>
    <n v="7"/>
    <n v="51510.81"/>
    <s v="Harish Prasad"/>
    <n v="52"/>
    <s v="Senior Citezen"/>
    <s v="BAD"/>
    <x v="15"/>
    <s v="UPI"/>
    <n v="1"/>
    <s v="Redmi Note 10"/>
    <n v="360575.67"/>
    <s v="Average"/>
    <s v="Excellent"/>
  </r>
  <r>
    <s v="Ayes291842"/>
    <n v="1842"/>
    <n v="17"/>
    <n v="3"/>
    <n v="2023"/>
    <d v="2023-03-17T00:00:00"/>
    <s v="March"/>
    <d v="2026-10-24T00:00:00"/>
    <x v="0"/>
    <n v="5"/>
    <n v="48243.55"/>
    <s v="Ayesha Solanki"/>
    <n v="29"/>
    <s v="Teenagers"/>
    <s v="Good"/>
    <x v="5"/>
    <s v="Debit Card"/>
    <n v="5"/>
    <s v="Redmi Note 10"/>
    <n v="241217.75"/>
    <s v="Good"/>
    <s v="Excellent"/>
  </r>
  <r>
    <s v="Hari501843"/>
    <n v="1843"/>
    <n v="17"/>
    <n v="3"/>
    <n v="2023"/>
    <d v="2023-03-17T00:00:00"/>
    <s v="March"/>
    <d v="2026-10-25T00:00:00"/>
    <x v="1"/>
    <n v="5"/>
    <n v="52981.27"/>
    <s v="Harish Prasad"/>
    <n v="50"/>
    <s v="Senior Citezen"/>
    <s v="Good"/>
    <x v="1"/>
    <s v="Cash"/>
    <n v="5"/>
    <s v="Vivo V20"/>
    <n v="264906.34999999998"/>
    <s v="Good"/>
    <s v="Excellent"/>
  </r>
  <r>
    <s v="Vive531844"/>
    <n v="1844"/>
    <n v="17"/>
    <n v="3"/>
    <n v="2023"/>
    <d v="2023-03-17T00:00:00"/>
    <s v="March"/>
    <d v="2026-10-26T00:00:00"/>
    <x v="3"/>
    <n v="1"/>
    <n v="23455.5"/>
    <s v="Vivek Teja"/>
    <n v="53"/>
    <s v="Senior Citezen"/>
    <s v="Good"/>
    <x v="5"/>
    <s v="Cash"/>
    <n v="5"/>
    <s v="Galaxy A51"/>
    <n v="23455.5"/>
    <s v="Good"/>
    <s v="Low"/>
  </r>
  <r>
    <s v="Roha311845"/>
    <n v="1845"/>
    <n v="17"/>
    <n v="3"/>
    <n v="2023"/>
    <d v="2023-03-17T00:00:00"/>
    <s v="March"/>
    <d v="2026-10-27T00:00:00"/>
    <x v="4"/>
    <n v="2"/>
    <n v="15906.08"/>
    <s v="Rohan Menon"/>
    <n v="31"/>
    <s v="Adult"/>
    <s v="AVG"/>
    <x v="1"/>
    <s v="Debit Card"/>
    <n v="3"/>
    <s v="iPhone 12"/>
    <n v="31812.16"/>
    <s v="Average"/>
    <s v="Low"/>
  </r>
  <r>
    <s v="Vija501846"/>
    <n v="1846"/>
    <n v="18"/>
    <n v="3"/>
    <n v="2023"/>
    <d v="2023-03-18T00:00:00"/>
    <s v="March"/>
    <d v="2026-10-28T00:00:00"/>
    <x v="2"/>
    <n v="5"/>
    <n v="65008.39"/>
    <s v="Vijay Varma"/>
    <n v="50"/>
    <s v="Senior Citezen"/>
    <s v="Good"/>
    <x v="1"/>
    <s v="UPI"/>
    <n v="5"/>
    <s v="OnePlus 8T"/>
    <n v="325041.95"/>
    <s v="Good"/>
    <s v="Excellent"/>
  </r>
  <r>
    <s v="Raje411847"/>
    <n v="1847"/>
    <n v="18"/>
    <n v="3"/>
    <n v="2023"/>
    <d v="2023-03-18T00:00:00"/>
    <s v="March"/>
    <d v="2026-10-29T00:00:00"/>
    <x v="0"/>
    <n v="3"/>
    <n v="43610.31"/>
    <s v="Rajesh Menon"/>
    <n v="41"/>
    <s v="Adult"/>
    <s v="Good"/>
    <x v="5"/>
    <s v="UPI"/>
    <n v="5"/>
    <s v="Redmi Note 10"/>
    <n v="130830.93"/>
    <s v="Good"/>
    <s v="Good"/>
  </r>
  <r>
    <s v="Ravi321848"/>
    <n v="1848"/>
    <n v="18"/>
    <n v="3"/>
    <n v="2023"/>
    <d v="2023-03-18T00:00:00"/>
    <s v="March"/>
    <d v="2026-10-30T00:00:00"/>
    <x v="3"/>
    <n v="2"/>
    <n v="19229.560000000001"/>
    <s v="Ravi Bhattacharya"/>
    <n v="32"/>
    <s v="Adult"/>
    <s v="AVG"/>
    <x v="12"/>
    <s v="UPI"/>
    <n v="3"/>
    <s v="Galaxy A51"/>
    <n v="38459.120000000003"/>
    <s v="Average"/>
    <s v="Low"/>
  </r>
  <r>
    <s v="Sach481849"/>
    <n v="1849"/>
    <n v="19"/>
    <n v="3"/>
    <n v="2023"/>
    <d v="2023-03-19T00:00:00"/>
    <s v="March"/>
    <d v="2026-10-31T00:00:00"/>
    <x v="1"/>
    <n v="4"/>
    <n v="57606.19"/>
    <s v="Sachin Rawat"/>
    <n v="48"/>
    <s v="Senior Citezen"/>
    <s v="BAD"/>
    <x v="1"/>
    <s v="Cash"/>
    <n v="1"/>
    <s v="Vivo S1"/>
    <n v="230424.76"/>
    <s v="Average"/>
    <s v="Excellent"/>
  </r>
  <r>
    <s v="Reen341850"/>
    <n v="1850"/>
    <n v="19"/>
    <n v="3"/>
    <n v="2023"/>
    <d v="2023-03-19T00:00:00"/>
    <s v="March"/>
    <d v="2026-11-01T00:00:00"/>
    <x v="0"/>
    <n v="4"/>
    <n v="64895.8"/>
    <s v="Reena Teja"/>
    <n v="34"/>
    <s v="Adult"/>
    <s v="Good"/>
    <x v="0"/>
    <s v="Debit Card"/>
    <n v="4"/>
    <s v="Redmi 9"/>
    <n v="259583.2"/>
    <s v="Good"/>
    <s v="Excellent"/>
  </r>
  <r>
    <s v="Anit291851"/>
    <n v="1851"/>
    <n v="19"/>
    <n v="3"/>
    <n v="2023"/>
    <d v="2023-03-19T00:00:00"/>
    <s v="March"/>
    <d v="2026-11-02T00:00:00"/>
    <x v="1"/>
    <n v="4"/>
    <n v="20173.810000000001"/>
    <s v="Anita Rawat"/>
    <n v="29"/>
    <s v="Teenagers"/>
    <s v="AVG"/>
    <x v="6"/>
    <s v="Cash"/>
    <n v="3"/>
    <s v="Vivo S1"/>
    <n v="80695.240000000005"/>
    <s v="Average"/>
    <s v="Average"/>
  </r>
  <r>
    <s v="Pank391852"/>
    <n v="1852"/>
    <n v="20"/>
    <n v="3"/>
    <n v="2023"/>
    <d v="2023-03-20T00:00:00"/>
    <s v="March"/>
    <d v="2026-11-03T00:00:00"/>
    <x v="2"/>
    <n v="4"/>
    <n v="59044.75"/>
    <s v="Pankaj Alva"/>
    <n v="39"/>
    <s v="Adult"/>
    <s v="AVG"/>
    <x v="1"/>
    <s v="UPI"/>
    <n v="3"/>
    <s v="OnePlus 8T"/>
    <n v="236179"/>
    <s v="Average"/>
    <s v="Excellent"/>
  </r>
  <r>
    <s v="Meen401853"/>
    <n v="1853"/>
    <n v="20"/>
    <n v="3"/>
    <n v="2023"/>
    <d v="2023-03-20T00:00:00"/>
    <s v="March"/>
    <d v="2026-11-04T00:00:00"/>
    <x v="4"/>
    <n v="3"/>
    <n v="65993.5"/>
    <s v="Meena Mathur"/>
    <n v="40"/>
    <s v="Adult"/>
    <s v="BAD"/>
    <x v="17"/>
    <s v="Cash"/>
    <n v="1"/>
    <s v="iPhone SE"/>
    <n v="197980.5"/>
    <s v="Average"/>
    <s v="Good"/>
  </r>
  <r>
    <s v="Vino431854"/>
    <n v="1854"/>
    <n v="20"/>
    <n v="3"/>
    <n v="2023"/>
    <d v="2023-03-20T00:00:00"/>
    <s v="March"/>
    <d v="2026-11-05T00:00:00"/>
    <x v="0"/>
    <n v="7"/>
    <n v="66301.7"/>
    <s v="Vinod Prasad"/>
    <n v="43"/>
    <s v="Adult"/>
    <s v="Good"/>
    <x v="1"/>
    <s v="Cash"/>
    <n v="5"/>
    <s v="Redmi Note 10"/>
    <n v="464111.89999999997"/>
    <s v="Good"/>
    <s v="Excellent"/>
  </r>
  <r>
    <s v="Sanj311855"/>
    <n v="1855"/>
    <n v="20"/>
    <n v="3"/>
    <n v="2023"/>
    <d v="2023-03-20T00:00:00"/>
    <s v="March"/>
    <d v="2026-11-06T00:00:00"/>
    <x v="0"/>
    <n v="9"/>
    <n v="64849.39"/>
    <s v="Sanjay Menon"/>
    <n v="31"/>
    <s v="Adult"/>
    <s v="Good"/>
    <x v="4"/>
    <s v="Debit Card"/>
    <n v="5"/>
    <s v="Mi 11"/>
    <n v="583644.51"/>
    <s v="Good"/>
    <s v="Excellent"/>
  </r>
  <r>
    <s v="Raje291856"/>
    <n v="1856"/>
    <n v="21"/>
    <n v="3"/>
    <n v="2023"/>
    <d v="2023-03-21T00:00:00"/>
    <s v="March"/>
    <d v="2026-11-07T00:00:00"/>
    <x v="2"/>
    <n v="5"/>
    <n v="42785.26"/>
    <s v="Rajesh Shah"/>
    <n v="29"/>
    <s v="Teenagers"/>
    <s v="AVG"/>
    <x v="2"/>
    <s v="Debit Card"/>
    <n v="3"/>
    <s v="OnePlus Nord"/>
    <n v="213926.30000000002"/>
    <s v="Average"/>
    <s v="Excellent"/>
  </r>
  <r>
    <s v="Kris211857"/>
    <n v="1857"/>
    <n v="21"/>
    <n v="3"/>
    <n v="2023"/>
    <d v="2023-03-21T00:00:00"/>
    <s v="March"/>
    <d v="2026-11-08T00:00:00"/>
    <x v="3"/>
    <n v="4"/>
    <n v="31372.68"/>
    <s v="Krishna Bhattacharya"/>
    <n v="21"/>
    <s v="Teenagers"/>
    <s v="Good"/>
    <x v="17"/>
    <s v="Cash"/>
    <n v="5"/>
    <s v="Galaxy A51"/>
    <n v="125490.72"/>
    <s v="Good"/>
    <s v="Good"/>
  </r>
  <r>
    <s v="Umes301858"/>
    <n v="1858"/>
    <n v="21"/>
    <n v="3"/>
    <n v="2023"/>
    <d v="2023-03-21T00:00:00"/>
    <s v="March"/>
    <d v="2026-11-09T00:00:00"/>
    <x v="4"/>
    <n v="2"/>
    <n v="10436.370000000001"/>
    <s v="Umesh Ghosh"/>
    <n v="30"/>
    <s v="Teenagers"/>
    <s v="AVG"/>
    <x v="2"/>
    <s v="Credit Card"/>
    <n v="3"/>
    <s v="iPhone 11"/>
    <n v="20872.740000000002"/>
    <s v="Average"/>
    <s v="Low"/>
  </r>
  <r>
    <s v="Kira351859"/>
    <n v="1859"/>
    <n v="21"/>
    <n v="3"/>
    <n v="2023"/>
    <d v="2023-03-21T00:00:00"/>
    <s v="March"/>
    <d v="2026-11-10T00:00:00"/>
    <x v="0"/>
    <n v="2"/>
    <n v="13654.73"/>
    <s v="Kiran Bhattacharya"/>
    <n v="35"/>
    <s v="Adult"/>
    <s v="Good"/>
    <x v="12"/>
    <s v="Debit Card"/>
    <n v="4"/>
    <s v="Redmi Note 10"/>
    <n v="27309.46"/>
    <s v="Good"/>
    <s v="Low"/>
  </r>
  <r>
    <s v="Mano451860"/>
    <n v="1860"/>
    <n v="22"/>
    <n v="3"/>
    <n v="2023"/>
    <d v="2023-03-22T00:00:00"/>
    <s v="March"/>
    <d v="2026-11-11T00:00:00"/>
    <x v="4"/>
    <n v="5"/>
    <n v="35730.339999999997"/>
    <s v="Manoj Goyal"/>
    <n v="45"/>
    <s v="Adult"/>
    <s v="Good"/>
    <x v="1"/>
    <s v="Credit Card"/>
    <n v="4"/>
    <s v="iPhone 11"/>
    <n v="178651.69999999998"/>
    <s v="Good"/>
    <s v="Good"/>
  </r>
  <r>
    <s v="Sach551861"/>
    <n v="1861"/>
    <n v="22"/>
    <n v="3"/>
    <n v="2023"/>
    <d v="2023-03-22T00:00:00"/>
    <s v="March"/>
    <d v="2026-11-12T00:00:00"/>
    <x v="0"/>
    <n v="7"/>
    <n v="33959.57"/>
    <s v="Sachin Jain"/>
    <n v="55"/>
    <s v="Senior Citezen"/>
    <s v="BAD"/>
    <x v="2"/>
    <s v="Debit Card"/>
    <n v="1"/>
    <s v="Redmi Note 10"/>
    <n v="237716.99"/>
    <s v="Average"/>
    <s v="Excellent"/>
  </r>
  <r>
    <s v="Bhav581862"/>
    <n v="1862"/>
    <n v="22"/>
    <n v="3"/>
    <n v="2023"/>
    <d v="2023-03-22T00:00:00"/>
    <s v="March"/>
    <d v="2026-11-13T00:00:00"/>
    <x v="4"/>
    <n v="9"/>
    <n v="21082.83"/>
    <s v="Bhavana Reddy"/>
    <n v="58"/>
    <s v="Senior Citezen"/>
    <s v="Good"/>
    <x v="6"/>
    <s v="UPI"/>
    <n v="5"/>
    <s v="iPhone 12"/>
    <n v="189745.47000000003"/>
    <s v="Good"/>
    <s v="Good"/>
  </r>
  <r>
    <s v="Sumi361863"/>
    <n v="1863"/>
    <n v="22"/>
    <n v="3"/>
    <n v="2023"/>
    <d v="2023-03-22T00:00:00"/>
    <s v="March"/>
    <d v="2026-11-14T00:00:00"/>
    <x v="1"/>
    <n v="7"/>
    <n v="33728.800000000003"/>
    <s v="Sumit Mishra"/>
    <n v="36"/>
    <s v="Adult"/>
    <s v="Good"/>
    <x v="1"/>
    <s v="Credit Card"/>
    <n v="5"/>
    <s v="Vivo S1"/>
    <n v="236101.60000000003"/>
    <s v="Good"/>
    <s v="Excellent"/>
  </r>
  <r>
    <s v="Gita551864"/>
    <n v="1864"/>
    <n v="23"/>
    <n v="3"/>
    <n v="2023"/>
    <d v="2023-03-23T00:00:00"/>
    <s v="March"/>
    <d v="2026-11-15T00:00:00"/>
    <x v="0"/>
    <n v="5"/>
    <n v="20479"/>
    <s v="Gita Rao"/>
    <n v="55"/>
    <s v="Senior Citezen"/>
    <s v="Good"/>
    <x v="4"/>
    <s v="UPI"/>
    <n v="5"/>
    <s v="Mi 11"/>
    <n v="102395"/>
    <s v="Good"/>
    <s v="Good"/>
  </r>
  <r>
    <s v="Ravi201865"/>
    <n v="1865"/>
    <n v="23"/>
    <n v="3"/>
    <n v="2023"/>
    <d v="2023-03-23T00:00:00"/>
    <s v="March"/>
    <d v="2026-11-16T00:00:00"/>
    <x v="4"/>
    <n v="6"/>
    <n v="60927.48"/>
    <s v="Ravi Teja"/>
    <n v="20"/>
    <s v="Teenagers"/>
    <s v="Good"/>
    <x v="7"/>
    <s v="UPI"/>
    <n v="5"/>
    <s v="iPhone 11"/>
    <n v="365564.88"/>
    <s v="Good"/>
    <s v="Excellent"/>
  </r>
  <r>
    <s v="Nikh361866"/>
    <n v="1866"/>
    <n v="23"/>
    <n v="3"/>
    <n v="2023"/>
    <d v="2023-03-23T00:00:00"/>
    <s v="March"/>
    <d v="2026-11-17T00:00:00"/>
    <x v="3"/>
    <n v="3"/>
    <n v="27891.69"/>
    <s v="Nikhil Patel"/>
    <n v="36"/>
    <s v="Adult"/>
    <s v="Good"/>
    <x v="15"/>
    <s v="Cash"/>
    <n v="4"/>
    <s v="Galaxy A51"/>
    <n v="83675.069999999992"/>
    <s v="Good"/>
    <s v="Average"/>
  </r>
  <r>
    <s v="Deep371867"/>
    <n v="1867"/>
    <n v="24"/>
    <n v="3"/>
    <n v="2023"/>
    <d v="2023-03-24T00:00:00"/>
    <s v="March"/>
    <d v="2026-11-18T00:00:00"/>
    <x v="1"/>
    <n v="5"/>
    <n v="45913.86"/>
    <s v="Deepika Dutta"/>
    <n v="37"/>
    <s v="Adult"/>
    <s v="BAD"/>
    <x v="14"/>
    <s v="UPI"/>
    <n v="1"/>
    <s v="Vivo S1"/>
    <n v="229569.3"/>
    <s v="Average"/>
    <s v="Excellent"/>
  </r>
  <r>
    <s v="Mano421868"/>
    <n v="1868"/>
    <n v="24"/>
    <n v="3"/>
    <n v="2023"/>
    <d v="2023-03-24T00:00:00"/>
    <s v="March"/>
    <d v="2026-11-19T00:00:00"/>
    <x v="1"/>
    <n v="8"/>
    <n v="40170.58"/>
    <s v="Manoj Goyal"/>
    <n v="42"/>
    <s v="Adult"/>
    <s v="Good"/>
    <x v="1"/>
    <s v="UPI"/>
    <n v="4"/>
    <s v="Vivo V20"/>
    <n v="321364.64"/>
    <s v="Good"/>
    <s v="Excellent"/>
  </r>
  <r>
    <s v="Shru281869"/>
    <n v="1869"/>
    <n v="24"/>
    <n v="3"/>
    <n v="2023"/>
    <d v="2023-03-24T00:00:00"/>
    <s v="March"/>
    <d v="2026-11-20T00:00:00"/>
    <x v="3"/>
    <n v="1"/>
    <n v="13112.92"/>
    <s v="Shruti Verma"/>
    <n v="28"/>
    <s v="Teenagers"/>
    <s v="AVG"/>
    <x v="1"/>
    <s v="UPI"/>
    <n v="3"/>
    <s v="Galaxy A51"/>
    <n v="13112.92"/>
    <s v="Average"/>
    <s v="Low"/>
  </r>
  <r>
    <s v="Meen341870"/>
    <n v="1870"/>
    <n v="24"/>
    <n v="3"/>
    <n v="2023"/>
    <d v="2023-03-24T00:00:00"/>
    <s v="March"/>
    <d v="2026-11-21T00:00:00"/>
    <x v="4"/>
    <n v="1"/>
    <n v="66534.02"/>
    <s v="Meena Desai"/>
    <n v="34"/>
    <s v="Adult"/>
    <s v="Good"/>
    <x v="17"/>
    <s v="UPI"/>
    <n v="5"/>
    <s v="iPhone 11"/>
    <n v="66534.02"/>
    <s v="Good"/>
    <s v="Average"/>
  </r>
  <r>
    <s v="Vive521871"/>
    <n v="1871"/>
    <n v="25"/>
    <n v="3"/>
    <n v="2023"/>
    <d v="2023-03-25T00:00:00"/>
    <s v="March"/>
    <d v="2026-11-22T00:00:00"/>
    <x v="2"/>
    <n v="7"/>
    <n v="41633.56"/>
    <s v="Vivek Pathak"/>
    <n v="52"/>
    <s v="Senior Citezen"/>
    <s v="Good"/>
    <x v="18"/>
    <s v="Cash"/>
    <n v="5"/>
    <s v="OnePlus Nord"/>
    <n v="291434.92"/>
    <s v="Good"/>
    <s v="Excellent"/>
  </r>
  <r>
    <s v="Vino311872"/>
    <n v="1872"/>
    <n v="25"/>
    <n v="3"/>
    <n v="2023"/>
    <d v="2023-03-25T00:00:00"/>
    <s v="March"/>
    <d v="2026-11-23T00:00:00"/>
    <x v="3"/>
    <n v="5"/>
    <n v="29503.46"/>
    <s v="Vinod Kumar"/>
    <n v="31"/>
    <s v="Adult"/>
    <s v="Good"/>
    <x v="2"/>
    <s v="Cash"/>
    <n v="5"/>
    <s v="Galaxy A51"/>
    <n v="147517.29999999999"/>
    <s v="Good"/>
    <s v="Good"/>
  </r>
  <r>
    <s v="Priy561873"/>
    <n v="1873"/>
    <n v="25"/>
    <n v="3"/>
    <n v="2023"/>
    <d v="2023-03-25T00:00:00"/>
    <s v="March"/>
    <d v="2026-11-24T00:00:00"/>
    <x v="4"/>
    <n v="5"/>
    <n v="19487.59"/>
    <s v="Priya Dutta"/>
    <n v="56"/>
    <s v="Senior Citezen"/>
    <s v="AVG"/>
    <x v="0"/>
    <s v="UPI"/>
    <n v="3"/>
    <s v="iPhone SE"/>
    <n v="97437.95"/>
    <s v="Average"/>
    <s v="Average"/>
  </r>
  <r>
    <s v="Kira361874"/>
    <n v="1874"/>
    <n v="26"/>
    <n v="3"/>
    <n v="2023"/>
    <d v="2023-03-26T00:00:00"/>
    <s v="March"/>
    <d v="2026-11-25T00:00:00"/>
    <x v="3"/>
    <n v="1"/>
    <n v="30311.599999999999"/>
    <s v="Kiran Gupta"/>
    <n v="36"/>
    <s v="Adult"/>
    <s v="Good"/>
    <x v="1"/>
    <s v="Credit Card"/>
    <n v="5"/>
    <s v="Galaxy A51"/>
    <n v="30311.599999999999"/>
    <s v="Good"/>
    <s v="Low"/>
  </r>
  <r>
    <s v="Nami201875"/>
    <n v="1875"/>
    <n v="26"/>
    <n v="3"/>
    <n v="2023"/>
    <d v="2023-03-26T00:00:00"/>
    <s v="March"/>
    <d v="2026-11-26T00:00:00"/>
    <x v="3"/>
    <n v="9"/>
    <n v="11230.7"/>
    <s v="Namita Kumar"/>
    <n v="20"/>
    <s v="Teenagers"/>
    <s v="Good"/>
    <x v="1"/>
    <s v="Debit Card"/>
    <n v="5"/>
    <s v="Galaxy A51"/>
    <n v="101076.3"/>
    <s v="Good"/>
    <s v="Good"/>
  </r>
  <r>
    <s v="Kris511876"/>
    <n v="1876"/>
    <n v="26"/>
    <n v="3"/>
    <n v="2023"/>
    <d v="2023-03-26T00:00:00"/>
    <s v="March"/>
    <d v="2026-11-27T00:00:00"/>
    <x v="0"/>
    <n v="1"/>
    <n v="31813.49"/>
    <s v="Krishna Patel"/>
    <n v="51"/>
    <s v="Senior Citezen"/>
    <s v="Good"/>
    <x v="5"/>
    <s v="Credit Card"/>
    <n v="5"/>
    <s v="Redmi Note 10"/>
    <n v="31813.49"/>
    <s v="Good"/>
    <s v="Low"/>
  </r>
  <r>
    <s v="Tapa581877"/>
    <n v="1877"/>
    <n v="27"/>
    <n v="3"/>
    <n v="2023"/>
    <d v="2023-03-27T00:00:00"/>
    <s v="March"/>
    <d v="2026-11-28T00:00:00"/>
    <x v="4"/>
    <n v="5"/>
    <n v="41889.160000000003"/>
    <s v="Tapan Chatterjee"/>
    <n v="58"/>
    <s v="Senior Citezen"/>
    <s v="AVG"/>
    <x v="10"/>
    <s v="UPI"/>
    <n v="3"/>
    <s v="iPhone SE"/>
    <n v="209445.80000000002"/>
    <s v="Average"/>
    <s v="Excellent"/>
  </r>
  <r>
    <s v="Kira391878"/>
    <n v="1878"/>
    <n v="27"/>
    <n v="3"/>
    <n v="2023"/>
    <d v="2023-03-27T00:00:00"/>
    <s v="March"/>
    <d v="2026-11-29T00:00:00"/>
    <x v="2"/>
    <n v="9"/>
    <n v="62311.97"/>
    <s v="Kiran Malhotra"/>
    <n v="39"/>
    <s v="Adult"/>
    <s v="Good"/>
    <x v="2"/>
    <s v="Cash"/>
    <n v="5"/>
    <s v="OnePlus Nord"/>
    <n v="560807.73"/>
    <s v="Good"/>
    <s v="Excellent"/>
  </r>
  <r>
    <s v="Adit551879"/>
    <n v="1879"/>
    <n v="27"/>
    <n v="3"/>
    <n v="2023"/>
    <d v="2023-03-27T00:00:00"/>
    <s v="March"/>
    <d v="2026-11-30T00:00:00"/>
    <x v="0"/>
    <n v="4"/>
    <n v="51242.47"/>
    <s v="Aditya Mishra"/>
    <n v="55"/>
    <s v="Senior Citezen"/>
    <s v="Good"/>
    <x v="4"/>
    <s v="UPI"/>
    <n v="5"/>
    <s v="Mi 11"/>
    <n v="204969.88"/>
    <s v="Good"/>
    <s v="Excellent"/>
  </r>
  <r>
    <s v="Anan441880"/>
    <n v="1880"/>
    <n v="28"/>
    <n v="3"/>
    <n v="2023"/>
    <d v="2023-03-28T00:00:00"/>
    <s v="March"/>
    <d v="2026-12-01T00:00:00"/>
    <x v="3"/>
    <n v="8"/>
    <n v="16694.939999999999"/>
    <s v="Anand Kapoor"/>
    <n v="44"/>
    <s v="Adult"/>
    <s v="Good"/>
    <x v="6"/>
    <s v="UPI"/>
    <n v="5"/>
    <s v="Galaxy A51"/>
    <n v="133559.51999999999"/>
    <s v="Good"/>
    <s v="Good"/>
  </r>
  <r>
    <s v="Anit381881"/>
    <n v="1881"/>
    <n v="28"/>
    <n v="3"/>
    <n v="2023"/>
    <d v="2023-03-28T00:00:00"/>
    <s v="March"/>
    <d v="2026-12-02T00:00:00"/>
    <x v="3"/>
    <n v="6"/>
    <n v="18864.78"/>
    <s v="Anita Dutta"/>
    <n v="38"/>
    <s v="Adult"/>
    <s v="AVG"/>
    <x v="3"/>
    <s v="Cash"/>
    <n v="3"/>
    <s v="Galaxy Note 20"/>
    <n v="113188.68"/>
    <s v="Average"/>
    <s v="Good"/>
  </r>
  <r>
    <s v="Radh581882"/>
    <n v="1882"/>
    <n v="28"/>
    <n v="3"/>
    <n v="2023"/>
    <d v="2023-03-28T00:00:00"/>
    <s v="March"/>
    <d v="2026-12-03T00:00:00"/>
    <x v="3"/>
    <n v="3"/>
    <n v="35687.4"/>
    <s v="Radha Gupta"/>
    <n v="58"/>
    <s v="Senior Citezen"/>
    <s v="AVG"/>
    <x v="2"/>
    <s v="Credit Card"/>
    <n v="3"/>
    <s v="Galaxy Note 20"/>
    <n v="107062.20000000001"/>
    <s v="Average"/>
    <s v="Good"/>
  </r>
  <r>
    <s v="Kira481883"/>
    <n v="1883"/>
    <n v="28"/>
    <n v="3"/>
    <n v="2023"/>
    <d v="2023-03-28T00:00:00"/>
    <s v="March"/>
    <d v="2026-12-04T00:00:00"/>
    <x v="4"/>
    <n v="4"/>
    <n v="21742.47"/>
    <s v="Kiran Solanki"/>
    <n v="48"/>
    <s v="Senior Citezen"/>
    <s v="Good"/>
    <x v="18"/>
    <s v="Debit Card"/>
    <n v="4"/>
    <s v="iPhone 11"/>
    <n v="86969.88"/>
    <s v="Good"/>
    <s v="Average"/>
  </r>
  <r>
    <s v="Meen441884"/>
    <n v="1884"/>
    <n v="29"/>
    <n v="3"/>
    <n v="2023"/>
    <d v="2023-03-29T00:00:00"/>
    <s v="March"/>
    <d v="2026-12-05T00:00:00"/>
    <x v="4"/>
    <n v="2"/>
    <n v="11670.99"/>
    <s v="Meena Patel"/>
    <n v="44"/>
    <s v="Adult"/>
    <s v="Good"/>
    <x v="14"/>
    <s v="UPI"/>
    <n v="5"/>
    <s v="iPhone 11"/>
    <n v="23341.98"/>
    <s v="Good"/>
    <s v="Low"/>
  </r>
  <r>
    <s v="Vive541885"/>
    <n v="1885"/>
    <n v="29"/>
    <n v="3"/>
    <n v="2023"/>
    <d v="2023-03-29T00:00:00"/>
    <s v="March"/>
    <d v="2026-12-06T00:00:00"/>
    <x v="0"/>
    <n v="1"/>
    <n v="58300.89"/>
    <s v="Vivek Yadav"/>
    <n v="54"/>
    <s v="Senior Citezen"/>
    <s v="AVG"/>
    <x v="14"/>
    <s v="Cash"/>
    <n v="3"/>
    <s v="Redmi Note 10"/>
    <n v="58300.89"/>
    <s v="Average"/>
    <s v="Average"/>
  </r>
  <r>
    <s v="Kuna191886"/>
    <n v="1886"/>
    <n v="29"/>
    <n v="3"/>
    <n v="2023"/>
    <d v="2023-03-29T00:00:00"/>
    <s v="March"/>
    <d v="2026-12-07T00:00:00"/>
    <x v="2"/>
    <n v="8"/>
    <n v="11171.35"/>
    <s v="Kunal Yadav"/>
    <n v="19"/>
    <s v="Teenagers"/>
    <s v="Good"/>
    <x v="2"/>
    <s v="Debit Card"/>
    <n v="5"/>
    <s v="OnePlus 9"/>
    <n v="89370.8"/>
    <s v="Good"/>
    <s v="Average"/>
  </r>
  <r>
    <s v="Vive261887"/>
    <n v="1887"/>
    <n v="29"/>
    <n v="3"/>
    <n v="2023"/>
    <d v="2023-03-29T00:00:00"/>
    <s v="March"/>
    <d v="2026-12-08T00:00:00"/>
    <x v="0"/>
    <n v="1"/>
    <n v="59841.38"/>
    <s v="Vivek Rathod"/>
    <n v="26"/>
    <s v="Teenagers"/>
    <s v="BAD"/>
    <x v="6"/>
    <s v="Debit Card"/>
    <n v="1"/>
    <s v="Mi 11"/>
    <n v="59841.38"/>
    <s v="Average"/>
    <s v="Average"/>
  </r>
  <r>
    <s v="Vija361888"/>
    <n v="1888"/>
    <n v="30"/>
    <n v="3"/>
    <n v="2023"/>
    <d v="2023-03-30T00:00:00"/>
    <s v="March"/>
    <d v="2026-12-09T00:00:00"/>
    <x v="1"/>
    <n v="1"/>
    <n v="18646.240000000002"/>
    <s v="Vijay Rao"/>
    <n v="36"/>
    <s v="Adult"/>
    <s v="Good"/>
    <x v="8"/>
    <s v="Debit Card"/>
    <n v="5"/>
    <s v="Vivo V20"/>
    <n v="18646.240000000002"/>
    <s v="Good"/>
    <s v="Low"/>
  </r>
  <r>
    <s v="Sach591889"/>
    <n v="1889"/>
    <n v="30"/>
    <n v="3"/>
    <n v="2023"/>
    <d v="2023-03-30T00:00:00"/>
    <s v="March"/>
    <d v="2026-12-10T00:00:00"/>
    <x v="3"/>
    <n v="4"/>
    <n v="68480.7"/>
    <s v="Sachin Ghosh"/>
    <n v="59"/>
    <s v="Senior Citezen"/>
    <s v="Good"/>
    <x v="1"/>
    <s v="Cash"/>
    <n v="5"/>
    <s v="Galaxy S21"/>
    <n v="273922.8"/>
    <s v="Good"/>
    <s v="Excellent"/>
  </r>
  <r>
    <s v="Vino531890"/>
    <n v="1890"/>
    <n v="30"/>
    <n v="3"/>
    <n v="2023"/>
    <d v="2023-03-30T00:00:00"/>
    <s v="March"/>
    <d v="2026-12-11T00:00:00"/>
    <x v="3"/>
    <n v="6"/>
    <n v="46232.43"/>
    <s v="Vinod Verma"/>
    <n v="53"/>
    <s v="Senior Citezen"/>
    <s v="Good"/>
    <x v="2"/>
    <s v="UPI"/>
    <n v="5"/>
    <s v="Galaxy A51"/>
    <n v="277394.58"/>
    <s v="Good"/>
    <s v="Excellent"/>
  </r>
  <r>
    <s v="Tanu271891"/>
    <n v="1891"/>
    <n v="31"/>
    <n v="3"/>
    <n v="2023"/>
    <d v="2023-03-31T00:00:00"/>
    <s v="March"/>
    <d v="2026-12-12T00:00:00"/>
    <x v="3"/>
    <n v="9"/>
    <n v="54098.98"/>
    <s v="Tanuja Rao"/>
    <n v="27"/>
    <s v="Teenagers"/>
    <s v="Good"/>
    <x v="2"/>
    <s v="Cash"/>
    <n v="5"/>
    <s v="Galaxy S21"/>
    <n v="486890.82"/>
    <s v="Good"/>
    <s v="Excellent"/>
  </r>
  <r>
    <s v="Raje571892"/>
    <n v="1892"/>
    <n v="31"/>
    <n v="3"/>
    <n v="2023"/>
    <d v="2023-03-31T00:00:00"/>
    <s v="March"/>
    <d v="2026-12-13T00:00:00"/>
    <x v="0"/>
    <n v="1"/>
    <n v="16629.02"/>
    <s v="Rajesh Chatterjee"/>
    <n v="57"/>
    <s v="Senior Citezen"/>
    <s v="Good"/>
    <x v="2"/>
    <s v="UPI"/>
    <n v="5"/>
    <s v="Mi 11"/>
    <n v="16629.02"/>
    <s v="Good"/>
    <s v="Low"/>
  </r>
  <r>
    <s v="Vive561893"/>
    <n v="1893"/>
    <n v="31"/>
    <n v="3"/>
    <n v="2023"/>
    <d v="2023-03-31T00:00:00"/>
    <s v="March"/>
    <d v="2026-12-14T00:00:00"/>
    <x v="0"/>
    <n v="7"/>
    <n v="61726.239999999998"/>
    <s v="Vivek Nambiar"/>
    <n v="56"/>
    <s v="Senior Citezen"/>
    <s v="BAD"/>
    <x v="14"/>
    <s v="Credit Card"/>
    <n v="1"/>
    <s v="Mi 11"/>
    <n v="432083.68"/>
    <s v="Average"/>
    <s v="Excellent"/>
  </r>
  <r>
    <s v="Lata241894"/>
    <n v="1894"/>
    <n v="1"/>
    <n v="4"/>
    <n v="2023"/>
    <d v="2023-04-01T00:00:00"/>
    <s v="April"/>
    <d v="2026-12-15T00:00:00"/>
    <x v="3"/>
    <n v="5"/>
    <n v="60351.54"/>
    <s v="Lata Dutta"/>
    <n v="24"/>
    <s v="Teenagers"/>
    <s v="Good"/>
    <x v="14"/>
    <s v="Debit Card"/>
    <n v="5"/>
    <s v="Galaxy Note 20"/>
    <n v="301757.7"/>
    <s v="Good"/>
    <s v="Excellent"/>
  </r>
  <r>
    <s v="Yoge211895"/>
    <n v="1895"/>
    <n v="1"/>
    <n v="4"/>
    <n v="2023"/>
    <d v="2023-04-01T00:00:00"/>
    <s v="April"/>
    <d v="2026-12-16T00:00:00"/>
    <x v="0"/>
    <n v="8"/>
    <n v="49179.56"/>
    <s v="Yogesh Siddiqui"/>
    <n v="21"/>
    <s v="Teenagers"/>
    <s v="Good"/>
    <x v="12"/>
    <s v="UPI"/>
    <n v="5"/>
    <s v="Mi 11"/>
    <n v="393436.48"/>
    <s v="Good"/>
    <s v="Excellent"/>
  </r>
  <r>
    <s v="Anit321896"/>
    <n v="1896"/>
    <n v="1"/>
    <n v="4"/>
    <n v="2023"/>
    <d v="2023-04-01T00:00:00"/>
    <s v="April"/>
    <d v="2026-12-17T00:00:00"/>
    <x v="4"/>
    <n v="7"/>
    <n v="40136.49"/>
    <s v="Anita Deshmukh"/>
    <n v="32"/>
    <s v="Adult"/>
    <s v="AVG"/>
    <x v="5"/>
    <s v="Credit Card"/>
    <n v="3"/>
    <s v="iPhone SE"/>
    <n v="280955.43"/>
    <s v="Average"/>
    <s v="Excellent"/>
  </r>
  <r>
    <s v="Shru291897"/>
    <n v="1897"/>
    <n v="1"/>
    <n v="4"/>
    <n v="2023"/>
    <d v="2023-04-01T00:00:00"/>
    <s v="April"/>
    <d v="2026-12-18T00:00:00"/>
    <x v="4"/>
    <n v="4"/>
    <n v="53289.35"/>
    <s v="Shruti Sheth"/>
    <n v="29"/>
    <s v="Teenagers"/>
    <s v="Good"/>
    <x v="15"/>
    <s v="Cash"/>
    <n v="5"/>
    <s v="iPhone 12"/>
    <n v="213157.4"/>
    <s v="Good"/>
    <s v="Excellent"/>
  </r>
  <r>
    <s v="Shru231898"/>
    <n v="1898"/>
    <n v="2"/>
    <n v="4"/>
    <n v="2023"/>
    <d v="2023-04-02T00:00:00"/>
    <s v="April"/>
    <d v="2026-12-19T00:00:00"/>
    <x v="0"/>
    <n v="4"/>
    <n v="10355.69"/>
    <s v="Shruti Chaudhary"/>
    <n v="23"/>
    <s v="Teenagers"/>
    <s v="Good"/>
    <x v="1"/>
    <s v="Debit Card"/>
    <n v="5"/>
    <s v="Mi 11"/>
    <n v="41422.76"/>
    <s v="Good"/>
    <s v="Low"/>
  </r>
  <r>
    <s v="Lali261899"/>
    <n v="1899"/>
    <n v="2"/>
    <n v="4"/>
    <n v="2023"/>
    <d v="2023-04-02T00:00:00"/>
    <s v="April"/>
    <d v="2026-12-20T00:00:00"/>
    <x v="3"/>
    <n v="6"/>
    <n v="45546.45"/>
    <s v="Lalita Patel"/>
    <n v="26"/>
    <s v="Teenagers"/>
    <s v="Good"/>
    <x v="4"/>
    <s v="UPI"/>
    <n v="5"/>
    <s v="Galaxy A51"/>
    <n v="273278.69999999995"/>
    <s v="Good"/>
    <s v="Excellent"/>
  </r>
  <r>
    <s v="Isha521900"/>
    <n v="1900"/>
    <n v="2"/>
    <n v="4"/>
    <n v="2023"/>
    <d v="2023-04-02T00:00:00"/>
    <s v="April"/>
    <d v="2026-12-21T00:00:00"/>
    <x v="0"/>
    <n v="6"/>
    <n v="60844.37"/>
    <s v="Isha Thakur"/>
    <n v="52"/>
    <s v="Senior Citezen"/>
    <s v="Good"/>
    <x v="1"/>
    <s v="Debit Card"/>
    <n v="5"/>
    <s v="Mi 11"/>
    <n v="365066.22000000003"/>
    <s v="Good"/>
    <s v="Excellent"/>
  </r>
  <r>
    <s v="Hari251901"/>
    <n v="1901"/>
    <n v="3"/>
    <n v="4"/>
    <n v="2023"/>
    <d v="2023-04-03T00:00:00"/>
    <s v="April"/>
    <d v="2026-12-22T00:00:00"/>
    <x v="0"/>
    <n v="9"/>
    <n v="31413.99"/>
    <s v="Harish Pillai"/>
    <n v="25"/>
    <s v="Teenagers"/>
    <s v="Good"/>
    <x v="1"/>
    <s v="Debit Card"/>
    <n v="5"/>
    <s v="Redmi Note 10"/>
    <n v="282725.91000000003"/>
    <s v="Good"/>
    <s v="Excellent"/>
  </r>
  <r>
    <s v="Nikh241902"/>
    <n v="1902"/>
    <n v="3"/>
    <n v="4"/>
    <n v="2023"/>
    <d v="2023-04-03T00:00:00"/>
    <s v="April"/>
    <d v="2026-12-23T00:00:00"/>
    <x v="0"/>
    <n v="5"/>
    <n v="16497.36"/>
    <s v="Nikhil Solanki"/>
    <n v="24"/>
    <s v="Teenagers"/>
    <s v="Good"/>
    <x v="2"/>
    <s v="Debit Card"/>
    <n v="5"/>
    <s v="Redmi 9"/>
    <n v="82486.8"/>
    <s v="Good"/>
    <s v="Average"/>
  </r>
  <r>
    <s v="Radh211903"/>
    <n v="1903"/>
    <n v="3"/>
    <n v="4"/>
    <n v="2023"/>
    <d v="2023-04-03T00:00:00"/>
    <s v="April"/>
    <d v="2026-12-24T00:00:00"/>
    <x v="1"/>
    <n v="8"/>
    <n v="35252.629999999997"/>
    <s v="Radha Sheth"/>
    <n v="21"/>
    <s v="Teenagers"/>
    <s v="Good"/>
    <x v="12"/>
    <s v="Cash"/>
    <n v="5"/>
    <s v="Vivo V20"/>
    <n v="282021.03999999998"/>
    <s v="Good"/>
    <s v="Excellent"/>
  </r>
  <r>
    <s v="Priy301904"/>
    <n v="1904"/>
    <n v="3"/>
    <n v="4"/>
    <n v="2023"/>
    <d v="2023-04-03T00:00:00"/>
    <s v="April"/>
    <d v="2026-12-25T00:00:00"/>
    <x v="4"/>
    <n v="5"/>
    <n v="53626.27"/>
    <s v="Priya Reddy"/>
    <n v="30"/>
    <s v="Teenagers"/>
    <s v="Good"/>
    <x v="1"/>
    <s v="Debit Card"/>
    <n v="5"/>
    <s v="iPhone SE"/>
    <n v="268131.34999999998"/>
    <s v="Good"/>
    <s v="Excellent"/>
  </r>
  <r>
    <s v="Suni361905"/>
    <n v="1905"/>
    <n v="4"/>
    <n v="4"/>
    <n v="2023"/>
    <d v="2023-04-04T00:00:00"/>
    <s v="April"/>
    <d v="2026-12-26T00:00:00"/>
    <x v="2"/>
    <n v="2"/>
    <n v="16438.07"/>
    <s v="Sunita Mathur"/>
    <n v="36"/>
    <s v="Adult"/>
    <s v="Good"/>
    <x v="6"/>
    <s v="UPI"/>
    <n v="5"/>
    <s v="OnePlus 8T"/>
    <n v="32876.14"/>
    <s v="Good"/>
    <s v="Low"/>
  </r>
  <r>
    <s v="Bhav241906"/>
    <n v="1906"/>
    <n v="4"/>
    <n v="4"/>
    <n v="2023"/>
    <d v="2023-04-04T00:00:00"/>
    <s v="April"/>
    <d v="2026-12-27T00:00:00"/>
    <x v="2"/>
    <n v="6"/>
    <n v="22362.91"/>
    <s v="Bhavana Jain"/>
    <n v="24"/>
    <s v="Teenagers"/>
    <s v="BAD"/>
    <x v="1"/>
    <s v="Cash"/>
    <n v="1"/>
    <s v="OnePlus 8T"/>
    <n v="134177.46"/>
    <s v="Average"/>
    <s v="Good"/>
  </r>
  <r>
    <s v="Nami271907"/>
    <n v="1907"/>
    <n v="4"/>
    <n v="4"/>
    <n v="2023"/>
    <d v="2023-04-04T00:00:00"/>
    <s v="April"/>
    <d v="2026-12-28T00:00:00"/>
    <x v="1"/>
    <n v="9"/>
    <n v="18853.11"/>
    <s v="Namita Ghosh"/>
    <n v="27"/>
    <s v="Teenagers"/>
    <s v="Good"/>
    <x v="2"/>
    <s v="Credit Card"/>
    <n v="4"/>
    <s v="Vivo V20"/>
    <n v="169677.99"/>
    <s v="Good"/>
    <s v="Good"/>
  </r>
  <r>
    <s v="Hari421908"/>
    <n v="1908"/>
    <n v="5"/>
    <n v="4"/>
    <n v="2023"/>
    <d v="2023-04-05T00:00:00"/>
    <s v="April"/>
    <d v="2026-12-29T00:00:00"/>
    <x v="0"/>
    <n v="3"/>
    <n v="57816.87"/>
    <s v="Harish Sharma"/>
    <n v="42"/>
    <s v="Adult"/>
    <s v="Good"/>
    <x v="2"/>
    <s v="UPI"/>
    <n v="4"/>
    <s v="Redmi Note 10"/>
    <n v="173450.61000000002"/>
    <s v="Good"/>
    <s v="Good"/>
  </r>
  <r>
    <s v="Bina521909"/>
    <n v="1909"/>
    <n v="5"/>
    <n v="4"/>
    <n v="2023"/>
    <d v="2023-04-05T00:00:00"/>
    <s v="April"/>
    <d v="2026-12-30T00:00:00"/>
    <x v="1"/>
    <n v="1"/>
    <n v="13773.56"/>
    <s v="Bina Singh"/>
    <n v="52"/>
    <s v="Senior Citezen"/>
    <s v="Good"/>
    <x v="1"/>
    <s v="Cash"/>
    <n v="4"/>
    <s v="Vivo S1"/>
    <n v="13773.56"/>
    <s v="Good"/>
    <s v="Low"/>
  </r>
  <r>
    <s v="Bhav421910"/>
    <n v="1910"/>
    <n v="5"/>
    <n v="4"/>
    <n v="2023"/>
    <d v="2023-04-05T00:00:00"/>
    <s v="April"/>
    <d v="2026-12-31T00:00:00"/>
    <x v="1"/>
    <n v="1"/>
    <n v="51195.19"/>
    <s v="Bhavana Dutta"/>
    <n v="42"/>
    <s v="Adult"/>
    <s v="Good"/>
    <x v="1"/>
    <s v="UPI"/>
    <n v="4"/>
    <s v="Vivo V20"/>
    <n v="51195.19"/>
    <s v="Good"/>
    <s v="Average"/>
  </r>
  <r>
    <s v="Neet461911"/>
    <n v="1911"/>
    <n v="5"/>
    <n v="4"/>
    <n v="2023"/>
    <d v="2023-04-05T00:00:00"/>
    <s v="April"/>
    <d v="2027-01-01T00:00:00"/>
    <x v="3"/>
    <n v="3"/>
    <n v="31987.42"/>
    <s v="Neeta Desai"/>
    <n v="46"/>
    <s v="Senior Citezen"/>
    <s v="BAD"/>
    <x v="2"/>
    <s v="UPI"/>
    <n v="1"/>
    <s v="Galaxy S21"/>
    <n v="95962.26"/>
    <s v="Average"/>
    <s v="Average"/>
  </r>
  <r>
    <s v="Pank291912"/>
    <n v="1912"/>
    <n v="6"/>
    <n v="4"/>
    <n v="2023"/>
    <d v="2023-04-06T00:00:00"/>
    <s v="April"/>
    <d v="2027-01-02T00:00:00"/>
    <x v="4"/>
    <n v="5"/>
    <n v="55347.47"/>
    <s v="Pankaj Varma"/>
    <n v="29"/>
    <s v="Teenagers"/>
    <s v="BAD"/>
    <x v="3"/>
    <s v="Credit Card"/>
    <n v="1"/>
    <s v="iPhone 11"/>
    <n v="276737.34999999998"/>
    <s v="Average"/>
    <s v="Excellent"/>
  </r>
  <r>
    <s v="Tanu571913"/>
    <n v="1913"/>
    <n v="6"/>
    <n v="4"/>
    <n v="2023"/>
    <d v="2023-04-06T00:00:00"/>
    <s v="April"/>
    <d v="2027-01-03T00:00:00"/>
    <x v="2"/>
    <n v="3"/>
    <n v="67863.009999999995"/>
    <s v="Tanuja Teja"/>
    <n v="57"/>
    <s v="Senior Citezen"/>
    <s v="Good"/>
    <x v="2"/>
    <s v="Cash"/>
    <n v="5"/>
    <s v="OnePlus 8T"/>
    <n v="203589.02999999997"/>
    <s v="Good"/>
    <s v="Excellent"/>
  </r>
  <r>
    <s v="Vija291914"/>
    <n v="1914"/>
    <n v="6"/>
    <n v="4"/>
    <n v="2023"/>
    <d v="2023-04-06T00:00:00"/>
    <s v="April"/>
    <d v="2027-01-04T00:00:00"/>
    <x v="0"/>
    <n v="9"/>
    <n v="16872.72"/>
    <s v="Vijay Das"/>
    <n v="29"/>
    <s v="Teenagers"/>
    <s v="BAD"/>
    <x v="9"/>
    <s v="Debit Card"/>
    <n v="1"/>
    <s v="Mi 11"/>
    <n v="151854.48000000001"/>
    <s v="Average"/>
    <s v="Good"/>
  </r>
  <r>
    <s v="Pank231915"/>
    <n v="1915"/>
    <n v="7"/>
    <n v="4"/>
    <n v="2023"/>
    <d v="2023-04-07T00:00:00"/>
    <s v="April"/>
    <d v="2027-01-05T00:00:00"/>
    <x v="2"/>
    <n v="8"/>
    <n v="28863.1"/>
    <s v="Pankaj Srivastava"/>
    <n v="23"/>
    <s v="Teenagers"/>
    <s v="Good"/>
    <x v="3"/>
    <s v="UPI"/>
    <n v="4"/>
    <s v="OnePlus 8T"/>
    <n v="230904.8"/>
    <s v="Good"/>
    <s v="Excellent"/>
  </r>
  <r>
    <s v="Nikh271916"/>
    <n v="1916"/>
    <n v="7"/>
    <n v="4"/>
    <n v="2023"/>
    <d v="2023-04-07T00:00:00"/>
    <s v="April"/>
    <d v="2027-01-06T00:00:00"/>
    <x v="2"/>
    <n v="3"/>
    <n v="58607.53"/>
    <s v="Nikhil Solanki"/>
    <n v="27"/>
    <s v="Teenagers"/>
    <s v="Good"/>
    <x v="1"/>
    <s v="UPI"/>
    <n v="4"/>
    <s v="OnePlus 8T"/>
    <n v="175822.59"/>
    <s v="Good"/>
    <s v="Good"/>
  </r>
  <r>
    <s v="Nikh191917"/>
    <n v="1917"/>
    <n v="7"/>
    <n v="4"/>
    <n v="2023"/>
    <d v="2023-04-07T00:00:00"/>
    <s v="April"/>
    <d v="2027-01-07T00:00:00"/>
    <x v="4"/>
    <n v="9"/>
    <n v="25969.5"/>
    <s v="Nikhil Reddy"/>
    <n v="19"/>
    <s v="Teenagers"/>
    <s v="Good"/>
    <x v="0"/>
    <s v="UPI"/>
    <n v="5"/>
    <s v="iPhone 11"/>
    <n v="233725.5"/>
    <s v="Good"/>
    <s v="Excellent"/>
  </r>
  <r>
    <s v="Moni421918"/>
    <n v="1918"/>
    <n v="7"/>
    <n v="4"/>
    <n v="2023"/>
    <d v="2023-04-07T00:00:00"/>
    <s v="April"/>
    <d v="2027-01-08T00:00:00"/>
    <x v="2"/>
    <n v="6"/>
    <n v="22907.24"/>
    <s v="Monika Solanki"/>
    <n v="42"/>
    <s v="Adult"/>
    <s v="Good"/>
    <x v="0"/>
    <s v="UPI"/>
    <n v="5"/>
    <s v="OnePlus 8T"/>
    <n v="137443.44"/>
    <s v="Good"/>
    <s v="Good"/>
  </r>
  <r>
    <s v="Priy241919"/>
    <n v="1919"/>
    <n v="8"/>
    <n v="4"/>
    <n v="2023"/>
    <d v="2023-04-08T00:00:00"/>
    <s v="April"/>
    <d v="2027-01-09T00:00:00"/>
    <x v="2"/>
    <n v="7"/>
    <n v="59522.68"/>
    <s v="Priyanka Menon"/>
    <n v="24"/>
    <s v="Teenagers"/>
    <s v="Good"/>
    <x v="16"/>
    <s v="UPI"/>
    <n v="4"/>
    <s v="OnePlus Nord"/>
    <n v="416658.76"/>
    <s v="Good"/>
    <s v="Excellent"/>
  </r>
  <r>
    <s v="Neet571920"/>
    <n v="1920"/>
    <n v="8"/>
    <n v="4"/>
    <n v="2023"/>
    <d v="2023-04-08T00:00:00"/>
    <s v="April"/>
    <d v="2027-01-10T00:00:00"/>
    <x v="1"/>
    <n v="4"/>
    <n v="69224.94"/>
    <s v="Neeta Mathur"/>
    <n v="57"/>
    <s v="Senior Citezen"/>
    <s v="Good"/>
    <x v="11"/>
    <s v="Cash"/>
    <n v="4"/>
    <s v="Vivo Y51"/>
    <n v="276899.76"/>
    <s v="Good"/>
    <s v="Excellent"/>
  </r>
  <r>
    <s v="Adit401921"/>
    <n v="1921"/>
    <n v="8"/>
    <n v="4"/>
    <n v="2023"/>
    <d v="2023-04-08T00:00:00"/>
    <s v="April"/>
    <d v="2027-01-11T00:00:00"/>
    <x v="4"/>
    <n v="4"/>
    <n v="43412.84"/>
    <s v="Aditya Luthra"/>
    <n v="40"/>
    <s v="Adult"/>
    <s v="Good"/>
    <x v="0"/>
    <s v="UPI"/>
    <n v="4"/>
    <s v="iPhone 11"/>
    <n v="173651.36"/>
    <s v="Good"/>
    <s v="Good"/>
  </r>
  <r>
    <s v="Rame281922"/>
    <n v="1922"/>
    <n v="9"/>
    <n v="4"/>
    <n v="2023"/>
    <d v="2023-04-09T00:00:00"/>
    <s v="April"/>
    <d v="2027-01-12T00:00:00"/>
    <x v="3"/>
    <n v="2"/>
    <n v="26682.92"/>
    <s v="Ramesh Gupta"/>
    <n v="28"/>
    <s v="Teenagers"/>
    <s v="BAD"/>
    <x v="17"/>
    <s v="UPI"/>
    <n v="1"/>
    <s v="Galaxy Note 20"/>
    <n v="53365.84"/>
    <s v="Average"/>
    <s v="Average"/>
  </r>
  <r>
    <s v="Sanj531923"/>
    <n v="1923"/>
    <n v="9"/>
    <n v="4"/>
    <n v="2023"/>
    <d v="2023-04-09T00:00:00"/>
    <s v="April"/>
    <d v="2027-01-13T00:00:00"/>
    <x v="0"/>
    <n v="5"/>
    <n v="33913.96"/>
    <s v="Sanjay Ghosh"/>
    <n v="53"/>
    <s v="Senior Citezen"/>
    <s v="Good"/>
    <x v="1"/>
    <s v="UPI"/>
    <n v="5"/>
    <s v="Mi 11"/>
    <n v="169569.8"/>
    <s v="Good"/>
    <s v="Good"/>
  </r>
  <r>
    <s v="Vija401924"/>
    <n v="1924"/>
    <n v="9"/>
    <n v="4"/>
    <n v="2023"/>
    <d v="2023-04-09T00:00:00"/>
    <s v="April"/>
    <d v="2027-01-14T00:00:00"/>
    <x v="2"/>
    <n v="8"/>
    <n v="20207.82"/>
    <s v="Vijay Prasad"/>
    <n v="40"/>
    <s v="Adult"/>
    <s v="Good"/>
    <x v="1"/>
    <s v="Debit Card"/>
    <n v="5"/>
    <s v="OnePlus 8T"/>
    <n v="161662.56"/>
    <s v="Good"/>
    <s v="Good"/>
  </r>
  <r>
    <s v="Pooj241925"/>
    <n v="1925"/>
    <n v="9"/>
    <n v="4"/>
    <n v="2023"/>
    <d v="2023-04-09T00:00:00"/>
    <s v="April"/>
    <d v="2027-01-15T00:00:00"/>
    <x v="0"/>
    <n v="7"/>
    <n v="55713.24"/>
    <s v="Pooja Thakur"/>
    <n v="24"/>
    <s v="Teenagers"/>
    <s v="Good"/>
    <x v="11"/>
    <s v="Debit Card"/>
    <n v="4"/>
    <s v="Redmi Note 10"/>
    <n v="389992.68"/>
    <s v="Good"/>
    <s v="Excellent"/>
  </r>
  <r>
    <s v="Pank441926"/>
    <n v="1926"/>
    <n v="10"/>
    <n v="4"/>
    <n v="2023"/>
    <d v="2023-04-10T00:00:00"/>
    <s v="April"/>
    <d v="2027-01-16T00:00:00"/>
    <x v="3"/>
    <n v="7"/>
    <n v="56408.44"/>
    <s v="Pankaj Desai"/>
    <n v="44"/>
    <s v="Adult"/>
    <s v="Good"/>
    <x v="2"/>
    <s v="Cash"/>
    <n v="5"/>
    <s v="Galaxy S21"/>
    <n v="394859.08"/>
    <s v="Good"/>
    <s v="Excellent"/>
  </r>
  <r>
    <s v="Sumi301927"/>
    <n v="1927"/>
    <n v="10"/>
    <n v="4"/>
    <n v="2023"/>
    <d v="2023-04-10T00:00:00"/>
    <s v="April"/>
    <d v="2027-01-17T00:00:00"/>
    <x v="0"/>
    <n v="6"/>
    <n v="62507.26"/>
    <s v="Sumit Teja"/>
    <n v="30"/>
    <s v="Teenagers"/>
    <s v="Good"/>
    <x v="9"/>
    <s v="UPI"/>
    <n v="4"/>
    <s v="Mi 11"/>
    <n v="375043.56"/>
    <s v="Good"/>
    <s v="Excellent"/>
  </r>
  <r>
    <s v="Priy341928"/>
    <n v="1928"/>
    <n v="10"/>
    <n v="4"/>
    <n v="2023"/>
    <d v="2023-04-10T00:00:00"/>
    <s v="April"/>
    <d v="2027-01-18T00:00:00"/>
    <x v="3"/>
    <n v="3"/>
    <n v="11596.15"/>
    <s v="Priyanka Yadav"/>
    <n v="34"/>
    <s v="Adult"/>
    <s v="BAD"/>
    <x v="6"/>
    <s v="UPI"/>
    <n v="1"/>
    <s v="Galaxy Note 20"/>
    <n v="34788.449999999997"/>
    <s v="Average"/>
    <s v="Low"/>
  </r>
  <r>
    <s v="Isha491929"/>
    <n v="1929"/>
    <n v="10"/>
    <n v="4"/>
    <n v="2023"/>
    <d v="2023-04-10T00:00:00"/>
    <s v="April"/>
    <d v="2027-01-19T00:00:00"/>
    <x v="1"/>
    <n v="5"/>
    <n v="43718.879999999997"/>
    <s v="Isha Arora"/>
    <n v="49"/>
    <s v="Senior Citezen"/>
    <s v="Good"/>
    <x v="18"/>
    <s v="Credit Card"/>
    <n v="4"/>
    <s v="Vivo Y51"/>
    <n v="218594.4"/>
    <s v="Good"/>
    <s v="Excellent"/>
  </r>
  <r>
    <s v="Isha431930"/>
    <n v="1930"/>
    <n v="11"/>
    <n v="4"/>
    <n v="2023"/>
    <d v="2023-04-11T00:00:00"/>
    <s v="April"/>
    <d v="2027-01-20T00:00:00"/>
    <x v="2"/>
    <n v="1"/>
    <n v="22855.33"/>
    <s v="Isha Gupta"/>
    <n v="43"/>
    <s v="Adult"/>
    <s v="BAD"/>
    <x v="7"/>
    <s v="Debit Card"/>
    <n v="2"/>
    <s v="OnePlus Nord"/>
    <n v="22855.33"/>
    <s v="Average"/>
    <s v="Low"/>
  </r>
  <r>
    <s v="Meen391931"/>
    <n v="1931"/>
    <n v="11"/>
    <n v="4"/>
    <n v="2023"/>
    <d v="2023-04-11T00:00:00"/>
    <s v="April"/>
    <d v="2027-01-21T00:00:00"/>
    <x v="3"/>
    <n v="7"/>
    <n v="30452.98"/>
    <s v="Meena Roy"/>
    <n v="39"/>
    <s v="Adult"/>
    <s v="BAD"/>
    <x v="14"/>
    <s v="Credit Card"/>
    <n v="2"/>
    <s v="Galaxy Note 20"/>
    <n v="213170.86"/>
    <s v="Average"/>
    <s v="Excellent"/>
  </r>
  <r>
    <s v="Priy301932"/>
    <n v="1932"/>
    <n v="11"/>
    <n v="4"/>
    <n v="2023"/>
    <d v="2023-04-11T00:00:00"/>
    <s v="April"/>
    <d v="2027-01-22T00:00:00"/>
    <x v="0"/>
    <n v="9"/>
    <n v="57097.34"/>
    <s v="Priya Bhattacharya"/>
    <n v="30"/>
    <s v="Teenagers"/>
    <s v="Good"/>
    <x v="3"/>
    <s v="UPI"/>
    <n v="4"/>
    <s v="Redmi 9"/>
    <n v="513876.05999999994"/>
    <s v="Good"/>
    <s v="Excellent"/>
  </r>
  <r>
    <s v="Sach291933"/>
    <n v="1933"/>
    <n v="12"/>
    <n v="4"/>
    <n v="2023"/>
    <d v="2023-04-12T00:00:00"/>
    <s v="April"/>
    <d v="2027-01-23T00:00:00"/>
    <x v="2"/>
    <n v="1"/>
    <n v="21522.02"/>
    <s v="Sachin Jain"/>
    <n v="29"/>
    <s v="Teenagers"/>
    <s v="BAD"/>
    <x v="1"/>
    <s v="UPI"/>
    <n v="2"/>
    <s v="OnePlus Nord"/>
    <n v="21522.02"/>
    <s v="Average"/>
    <s v="Low"/>
  </r>
  <r>
    <s v="Meen241934"/>
    <n v="1934"/>
    <n v="12"/>
    <n v="4"/>
    <n v="2023"/>
    <d v="2023-04-12T00:00:00"/>
    <s v="April"/>
    <d v="2027-01-24T00:00:00"/>
    <x v="1"/>
    <n v="2"/>
    <n v="48300.51"/>
    <s v="Meena Menon"/>
    <n v="24"/>
    <s v="Teenagers"/>
    <s v="BAD"/>
    <x v="5"/>
    <s v="Credit Card"/>
    <n v="2"/>
    <s v="Vivo Y51"/>
    <n v="96601.02"/>
    <s v="Average"/>
    <s v="Average"/>
  </r>
  <r>
    <s v="Moni181935"/>
    <n v="1935"/>
    <n v="12"/>
    <n v="4"/>
    <n v="2023"/>
    <d v="2023-04-12T00:00:00"/>
    <s v="April"/>
    <d v="2027-01-25T00:00:00"/>
    <x v="2"/>
    <n v="3"/>
    <n v="49273.97"/>
    <s v="Monika Bhatnagar"/>
    <n v="18"/>
    <s v="Teenagers"/>
    <s v="Good"/>
    <x v="5"/>
    <s v="Cash"/>
    <n v="5"/>
    <s v="OnePlus 9"/>
    <n v="147821.91"/>
    <s v="Good"/>
    <s v="Good"/>
  </r>
  <r>
    <s v="Mano501936"/>
    <n v="1936"/>
    <n v="13"/>
    <n v="4"/>
    <n v="2023"/>
    <d v="2023-04-13T00:00:00"/>
    <s v="April"/>
    <d v="2027-01-26T00:00:00"/>
    <x v="3"/>
    <n v="3"/>
    <n v="67245.63"/>
    <s v="Manoj Kaur"/>
    <n v="50"/>
    <s v="Senior Citezen"/>
    <s v="BAD"/>
    <x v="1"/>
    <s v="Cash"/>
    <n v="1"/>
    <s v="Galaxy Note 20"/>
    <n v="201736.89"/>
    <s v="Average"/>
    <s v="Excellent"/>
  </r>
  <r>
    <s v="Mano311937"/>
    <n v="1937"/>
    <n v="13"/>
    <n v="4"/>
    <n v="2023"/>
    <d v="2023-04-13T00:00:00"/>
    <s v="April"/>
    <d v="2027-01-27T00:00:00"/>
    <x v="1"/>
    <n v="8"/>
    <n v="56509.66"/>
    <s v="Manoj Thakur"/>
    <n v="31"/>
    <s v="Adult"/>
    <s v="Good"/>
    <x v="12"/>
    <s v="Credit Card"/>
    <n v="5"/>
    <s v="Vivo Y51"/>
    <n v="452077.28"/>
    <s v="Good"/>
    <s v="Excellent"/>
  </r>
  <r>
    <s v="Priy581938"/>
    <n v="1938"/>
    <n v="13"/>
    <n v="4"/>
    <n v="2023"/>
    <d v="2023-04-13T00:00:00"/>
    <s v="April"/>
    <d v="2027-01-28T00:00:00"/>
    <x v="0"/>
    <n v="7"/>
    <n v="58218.11"/>
    <s v="Priya Patel"/>
    <n v="58"/>
    <s v="Senior Citezen"/>
    <s v="BAD"/>
    <x v="15"/>
    <s v="UPI"/>
    <n v="1"/>
    <s v="Redmi Note 10"/>
    <n v="407526.77"/>
    <s v="Average"/>
    <s v="Excellent"/>
  </r>
  <r>
    <s v="Deep341939"/>
    <n v="1939"/>
    <n v="13"/>
    <n v="4"/>
    <n v="2023"/>
    <d v="2023-04-13T00:00:00"/>
    <s v="April"/>
    <d v="2027-01-29T00:00:00"/>
    <x v="1"/>
    <n v="6"/>
    <n v="41896.04"/>
    <s v="Deepika Desai"/>
    <n v="34"/>
    <s v="Adult"/>
    <s v="BAD"/>
    <x v="1"/>
    <s v="Credit Card"/>
    <n v="1"/>
    <s v="Vivo V20"/>
    <n v="251376.24"/>
    <s v="Average"/>
    <s v="Excellent"/>
  </r>
  <r>
    <s v="Anja211940"/>
    <n v="1940"/>
    <n v="14"/>
    <n v="4"/>
    <n v="2023"/>
    <d v="2023-04-14T00:00:00"/>
    <s v="April"/>
    <d v="2027-01-30T00:00:00"/>
    <x v="1"/>
    <n v="4"/>
    <n v="21206.85"/>
    <s v="Anjali Ahuja"/>
    <n v="21"/>
    <s v="Teenagers"/>
    <s v="Good"/>
    <x v="7"/>
    <s v="Debit Card"/>
    <n v="5"/>
    <s v="Vivo Y51"/>
    <n v="84827.4"/>
    <s v="Good"/>
    <s v="Average"/>
  </r>
  <r>
    <s v="Suni561941"/>
    <n v="1941"/>
    <n v="14"/>
    <n v="4"/>
    <n v="2023"/>
    <d v="2023-04-14T00:00:00"/>
    <s v="April"/>
    <d v="2027-01-31T00:00:00"/>
    <x v="4"/>
    <n v="9"/>
    <n v="35533.800000000003"/>
    <s v="Sunil Das"/>
    <n v="56"/>
    <s v="Senior Citezen"/>
    <s v="Good"/>
    <x v="1"/>
    <s v="Cash"/>
    <n v="4"/>
    <s v="iPhone 11"/>
    <n v="319804.2"/>
    <s v="Good"/>
    <s v="Excellent"/>
  </r>
  <r>
    <s v="Suni181942"/>
    <n v="1942"/>
    <n v="14"/>
    <n v="4"/>
    <n v="2023"/>
    <d v="2023-04-14T00:00:00"/>
    <s v="April"/>
    <d v="2027-02-01T00:00:00"/>
    <x v="1"/>
    <n v="1"/>
    <n v="42969.37"/>
    <s v="Sunil Arora"/>
    <n v="18"/>
    <s v="Teenagers"/>
    <s v="BAD"/>
    <x v="10"/>
    <s v="Credit Card"/>
    <n v="2"/>
    <s v="Vivo S1"/>
    <n v="42969.37"/>
    <s v="Average"/>
    <s v="Low"/>
  </r>
  <r>
    <s v="Priy581943"/>
    <n v="1943"/>
    <n v="15"/>
    <n v="4"/>
    <n v="2023"/>
    <d v="2023-04-15T00:00:00"/>
    <s v="April"/>
    <d v="2027-02-02T00:00:00"/>
    <x v="1"/>
    <n v="2"/>
    <n v="50705.16"/>
    <s v="Priyanka Nambiar"/>
    <n v="58"/>
    <s v="Senior Citezen"/>
    <s v="Good"/>
    <x v="10"/>
    <s v="Cash"/>
    <n v="4"/>
    <s v="Vivo V20"/>
    <n v="101410.32"/>
    <s v="Good"/>
    <s v="Good"/>
  </r>
  <r>
    <s v="Reen411944"/>
    <n v="1944"/>
    <n v="15"/>
    <n v="4"/>
    <n v="2023"/>
    <d v="2023-04-15T00:00:00"/>
    <s v="April"/>
    <d v="2027-02-03T00:00:00"/>
    <x v="2"/>
    <n v="4"/>
    <n v="46462.55"/>
    <s v="Reena Chatterjee"/>
    <n v="41"/>
    <s v="Adult"/>
    <s v="Good"/>
    <x v="16"/>
    <s v="Debit Card"/>
    <n v="5"/>
    <s v="OnePlus Nord"/>
    <n v="185850.2"/>
    <s v="Good"/>
    <s v="Good"/>
  </r>
  <r>
    <s v="Adit511945"/>
    <n v="1945"/>
    <n v="15"/>
    <n v="4"/>
    <n v="2023"/>
    <d v="2023-04-15T00:00:00"/>
    <s v="April"/>
    <d v="2027-02-04T00:00:00"/>
    <x v="0"/>
    <n v="3"/>
    <n v="33638.67"/>
    <s v="Aditya Luthra"/>
    <n v="51"/>
    <s v="Senior Citezen"/>
    <s v="Good"/>
    <x v="6"/>
    <s v="UPI"/>
    <n v="5"/>
    <s v="Redmi 9"/>
    <n v="100916.01"/>
    <s v="Good"/>
    <s v="Good"/>
  </r>
  <r>
    <s v="Isha511946"/>
    <n v="1946"/>
    <n v="15"/>
    <n v="4"/>
    <n v="2023"/>
    <d v="2023-04-15T00:00:00"/>
    <s v="April"/>
    <d v="2027-02-05T00:00:00"/>
    <x v="2"/>
    <n v="1"/>
    <n v="25918.79"/>
    <s v="Isha Reddy"/>
    <n v="51"/>
    <s v="Senior Citezen"/>
    <s v="Good"/>
    <x v="11"/>
    <s v="UPI"/>
    <n v="4"/>
    <s v="OnePlus Nord"/>
    <n v="25918.79"/>
    <s v="Good"/>
    <s v="Low"/>
  </r>
  <r>
    <s v="Raje411947"/>
    <n v="1947"/>
    <n v="16"/>
    <n v="4"/>
    <n v="2023"/>
    <d v="2023-04-16T00:00:00"/>
    <s v="April"/>
    <d v="2027-02-06T00:00:00"/>
    <x v="2"/>
    <n v="5"/>
    <n v="20093.849999999999"/>
    <s v="Rajesh Verma"/>
    <n v="41"/>
    <s v="Adult"/>
    <s v="BAD"/>
    <x v="1"/>
    <s v="UPI"/>
    <n v="2"/>
    <s v="OnePlus Nord"/>
    <n v="100469.25"/>
    <s v="Average"/>
    <s v="Good"/>
  </r>
  <r>
    <s v="Mano321948"/>
    <n v="1948"/>
    <n v="16"/>
    <n v="4"/>
    <n v="2023"/>
    <d v="2023-04-16T00:00:00"/>
    <s v="April"/>
    <d v="2027-02-07T00:00:00"/>
    <x v="3"/>
    <n v="7"/>
    <n v="51630.720000000001"/>
    <s v="Manoj Kaur"/>
    <n v="32"/>
    <s v="Adult"/>
    <s v="Good"/>
    <x v="0"/>
    <s v="Cash"/>
    <n v="5"/>
    <s v="Galaxy S21"/>
    <n v="361415.04000000004"/>
    <s v="Good"/>
    <s v="Excellent"/>
  </r>
  <r>
    <s v="Jyot341949"/>
    <n v="1949"/>
    <n v="16"/>
    <n v="4"/>
    <n v="2023"/>
    <d v="2023-04-16T00:00:00"/>
    <s v="April"/>
    <d v="2027-02-08T00:00:00"/>
    <x v="2"/>
    <n v="2"/>
    <n v="48723.92"/>
    <s v="Jyoti Jain"/>
    <n v="34"/>
    <s v="Adult"/>
    <s v="Good"/>
    <x v="3"/>
    <s v="Debit Card"/>
    <n v="4"/>
    <s v="OnePlus 9"/>
    <n v="97447.84"/>
    <s v="Good"/>
    <s v="Average"/>
  </r>
  <r>
    <s v="Pank301950"/>
    <n v="1950"/>
    <n v="17"/>
    <n v="4"/>
    <n v="2023"/>
    <d v="2023-04-17T00:00:00"/>
    <s v="April"/>
    <d v="2027-02-09T00:00:00"/>
    <x v="4"/>
    <n v="5"/>
    <n v="51242.35"/>
    <s v="Pankaj Shah"/>
    <n v="30"/>
    <s v="Teenagers"/>
    <s v="BAD"/>
    <x v="2"/>
    <s v="Credit Card"/>
    <n v="2"/>
    <s v="iPhone 12"/>
    <n v="256211.75"/>
    <s v="Average"/>
    <s v="Excellent"/>
  </r>
  <r>
    <s v="Priy241951"/>
    <n v="1951"/>
    <n v="17"/>
    <n v="4"/>
    <n v="2023"/>
    <d v="2023-04-17T00:00:00"/>
    <s v="April"/>
    <d v="2027-02-10T00:00:00"/>
    <x v="4"/>
    <n v="6"/>
    <n v="32351.65"/>
    <s v="Priyanka Pillai"/>
    <n v="24"/>
    <s v="Teenagers"/>
    <s v="Good"/>
    <x v="9"/>
    <s v="UPI"/>
    <n v="5"/>
    <s v="iPhone 11"/>
    <n v="194109.90000000002"/>
    <s v="Good"/>
    <s v="Good"/>
  </r>
  <r>
    <s v="Tapa261952"/>
    <n v="1952"/>
    <n v="17"/>
    <n v="4"/>
    <n v="2023"/>
    <d v="2023-04-17T00:00:00"/>
    <s v="April"/>
    <d v="2027-02-11T00:00:00"/>
    <x v="3"/>
    <n v="7"/>
    <n v="25744.47"/>
    <s v="Tapan Bhattacharya"/>
    <n v="26"/>
    <s v="Teenagers"/>
    <s v="Good"/>
    <x v="12"/>
    <s v="Cash"/>
    <n v="5"/>
    <s v="Galaxy A51"/>
    <n v="180211.29"/>
    <s v="Good"/>
    <s v="Good"/>
  </r>
  <r>
    <s v="Kira521953"/>
    <n v="1953"/>
    <n v="17"/>
    <n v="4"/>
    <n v="2023"/>
    <d v="2023-04-17T00:00:00"/>
    <s v="April"/>
    <d v="2027-02-12T00:00:00"/>
    <x v="0"/>
    <n v="1"/>
    <n v="55583.28"/>
    <s v="Kiran Nair"/>
    <n v="52"/>
    <s v="Senior Citezen"/>
    <s v="BAD"/>
    <x v="1"/>
    <s v="UPI"/>
    <n v="1"/>
    <s v="Mi 11"/>
    <n v="55583.28"/>
    <s v="Average"/>
    <s v="Average"/>
  </r>
  <r>
    <s v="Suni401954"/>
    <n v="1954"/>
    <n v="18"/>
    <n v="4"/>
    <n v="2023"/>
    <d v="2023-04-18T00:00:00"/>
    <s v="April"/>
    <d v="2027-02-13T00:00:00"/>
    <x v="0"/>
    <n v="7"/>
    <n v="56418.84"/>
    <s v="Sunil Kapoor"/>
    <n v="40"/>
    <s v="Adult"/>
    <s v="BAD"/>
    <x v="9"/>
    <s v="Debit Card"/>
    <n v="1"/>
    <s v="Redmi Note 10"/>
    <n v="394931.88"/>
    <s v="Average"/>
    <s v="Excellent"/>
  </r>
  <r>
    <s v="Lali561955"/>
    <n v="1955"/>
    <n v="18"/>
    <n v="4"/>
    <n v="2023"/>
    <d v="2023-04-18T00:00:00"/>
    <s v="April"/>
    <d v="2027-02-14T00:00:00"/>
    <x v="2"/>
    <n v="4"/>
    <n v="37336.980000000003"/>
    <s v="Lalita Bhatnagar"/>
    <n v="56"/>
    <s v="Senior Citezen"/>
    <s v="Good"/>
    <x v="13"/>
    <s v="Credit Card"/>
    <n v="5"/>
    <s v="OnePlus 9"/>
    <n v="149347.92000000001"/>
    <s v="Good"/>
    <s v="Good"/>
  </r>
  <r>
    <s v="Anit401956"/>
    <n v="1956"/>
    <n v="18"/>
    <n v="4"/>
    <n v="2023"/>
    <d v="2023-04-18T00:00:00"/>
    <s v="April"/>
    <d v="2027-02-15T00:00:00"/>
    <x v="2"/>
    <n v="8"/>
    <n v="46714.25"/>
    <s v="Anita Deshmukh"/>
    <n v="40"/>
    <s v="Adult"/>
    <s v="Good"/>
    <x v="5"/>
    <s v="UPI"/>
    <n v="4"/>
    <s v="OnePlus 8T"/>
    <n v="373714"/>
    <s v="Good"/>
    <s v="Excellent"/>
  </r>
  <r>
    <s v="Tapa431957"/>
    <n v="1957"/>
    <n v="18"/>
    <n v="4"/>
    <n v="2023"/>
    <d v="2023-04-18T00:00:00"/>
    <s v="April"/>
    <d v="2027-02-16T00:00:00"/>
    <x v="2"/>
    <n v="4"/>
    <n v="32411.18"/>
    <s v="Tapan Rawat"/>
    <n v="43"/>
    <s v="Adult"/>
    <s v="BAD"/>
    <x v="17"/>
    <s v="Debit Card"/>
    <n v="1"/>
    <s v="OnePlus Nord"/>
    <n v="129644.72"/>
    <s v="Average"/>
    <s v="Good"/>
  </r>
  <r>
    <s v="Tapa181958"/>
    <n v="1958"/>
    <n v="19"/>
    <n v="4"/>
    <n v="2023"/>
    <d v="2023-04-19T00:00:00"/>
    <s v="April"/>
    <d v="2027-02-17T00:00:00"/>
    <x v="0"/>
    <n v="6"/>
    <n v="52116.83"/>
    <s v="Tapan Gupta"/>
    <n v="18"/>
    <s v="Teenagers"/>
    <s v="Good"/>
    <x v="2"/>
    <s v="Cash"/>
    <n v="5"/>
    <s v="Redmi Note 10"/>
    <n v="312700.98"/>
    <s v="Good"/>
    <s v="Excellent"/>
  </r>
  <r>
    <s v="Anit311959"/>
    <n v="1959"/>
    <n v="19"/>
    <n v="4"/>
    <n v="2023"/>
    <d v="2023-04-19T00:00:00"/>
    <s v="April"/>
    <d v="2027-02-18T00:00:00"/>
    <x v="1"/>
    <n v="9"/>
    <n v="60143.3"/>
    <s v="Anita Mishra"/>
    <n v="31"/>
    <s v="Adult"/>
    <s v="BAD"/>
    <x v="4"/>
    <s v="Debit Card"/>
    <n v="2"/>
    <s v="Vivo S1"/>
    <n v="541289.70000000007"/>
    <s v="Average"/>
    <s v="Excellent"/>
  </r>
  <r>
    <s v="Tapa491960"/>
    <n v="1960"/>
    <n v="19"/>
    <n v="4"/>
    <n v="2023"/>
    <d v="2023-04-19T00:00:00"/>
    <s v="April"/>
    <d v="2027-02-19T00:00:00"/>
    <x v="4"/>
    <n v="5"/>
    <n v="51294"/>
    <s v="Tapan Rawat"/>
    <n v="49"/>
    <s v="Senior Citezen"/>
    <s v="Good"/>
    <x v="18"/>
    <s v="Cash"/>
    <n v="4"/>
    <s v="iPhone SE"/>
    <n v="256470"/>
    <s v="Good"/>
    <s v="Excellent"/>
  </r>
  <r>
    <s v="Pooj271961"/>
    <n v="1961"/>
    <n v="19"/>
    <n v="4"/>
    <n v="2023"/>
    <d v="2023-04-19T00:00:00"/>
    <s v="April"/>
    <d v="2027-02-20T00:00:00"/>
    <x v="1"/>
    <n v="4"/>
    <n v="40754.959999999999"/>
    <s v="Pooja Srivastava"/>
    <n v="27"/>
    <s v="Teenagers"/>
    <s v="BAD"/>
    <x v="2"/>
    <s v="UPI"/>
    <n v="1"/>
    <s v="Vivo V20"/>
    <n v="163019.84"/>
    <s v="Average"/>
    <s v="Good"/>
  </r>
  <r>
    <s v="Vive181962"/>
    <n v="1962"/>
    <n v="20"/>
    <n v="4"/>
    <n v="2023"/>
    <d v="2023-04-20T00:00:00"/>
    <s v="April"/>
    <d v="2027-02-21T00:00:00"/>
    <x v="1"/>
    <n v="8"/>
    <n v="37519.480000000003"/>
    <s v="Vivek Srivastava"/>
    <n v="18"/>
    <s v="Teenagers"/>
    <s v="Good"/>
    <x v="3"/>
    <s v="UPI"/>
    <n v="5"/>
    <s v="Vivo Y51"/>
    <n v="300155.84000000003"/>
    <s v="Good"/>
    <s v="Excellent"/>
  </r>
  <r>
    <s v="Arun221963"/>
    <n v="1963"/>
    <n v="20"/>
    <n v="4"/>
    <n v="2023"/>
    <d v="2023-04-20T00:00:00"/>
    <s v="April"/>
    <d v="2027-02-22T00:00:00"/>
    <x v="0"/>
    <n v="9"/>
    <n v="48539.18"/>
    <s v="Arun Iyer"/>
    <n v="22"/>
    <s v="Teenagers"/>
    <s v="BAD"/>
    <x v="4"/>
    <s v="Debit Card"/>
    <n v="1"/>
    <s v="Redmi 9"/>
    <n v="436852.62"/>
    <s v="Average"/>
    <s v="Excellent"/>
  </r>
  <r>
    <s v="Deve201964"/>
    <n v="1964"/>
    <n v="20"/>
    <n v="4"/>
    <n v="2023"/>
    <d v="2023-04-20T00:00:00"/>
    <s v="April"/>
    <d v="2027-02-23T00:00:00"/>
    <x v="1"/>
    <n v="4"/>
    <n v="50788.65"/>
    <s v="Devendra Srivastava"/>
    <n v="20"/>
    <s v="Teenagers"/>
    <s v="BAD"/>
    <x v="0"/>
    <s v="Cash"/>
    <n v="2"/>
    <s v="Vivo Y51"/>
    <n v="203154.6"/>
    <s v="Average"/>
    <s v="Excellent"/>
  </r>
  <r>
    <s v="Jyot441965"/>
    <n v="1965"/>
    <n v="20"/>
    <n v="4"/>
    <n v="2023"/>
    <d v="2023-04-20T00:00:00"/>
    <s v="April"/>
    <d v="2027-02-24T00:00:00"/>
    <x v="3"/>
    <n v="3"/>
    <n v="43523.77"/>
    <s v="Jyoti Pillai"/>
    <n v="44"/>
    <s v="Adult"/>
    <s v="Good"/>
    <x v="2"/>
    <s v="Debit Card"/>
    <n v="4"/>
    <s v="Galaxy A51"/>
    <n v="130571.31"/>
    <s v="Good"/>
    <s v="Good"/>
  </r>
  <r>
    <s v="Pank391966"/>
    <n v="1966"/>
    <n v="21"/>
    <n v="4"/>
    <n v="2023"/>
    <d v="2023-04-21T00:00:00"/>
    <s v="April"/>
    <d v="2027-02-25T00:00:00"/>
    <x v="2"/>
    <n v="8"/>
    <n v="47496.54"/>
    <s v="Pankaj Luthra"/>
    <n v="39"/>
    <s v="Adult"/>
    <s v="Good"/>
    <x v="4"/>
    <s v="Debit Card"/>
    <n v="5"/>
    <s v="OnePlus Nord"/>
    <n v="379972.32"/>
    <s v="Good"/>
    <s v="Excellent"/>
  </r>
  <r>
    <s v="Bina351967"/>
    <n v="1967"/>
    <n v="21"/>
    <n v="4"/>
    <n v="2023"/>
    <d v="2023-04-21T00:00:00"/>
    <s v="April"/>
    <d v="2027-02-26T00:00:00"/>
    <x v="3"/>
    <n v="5"/>
    <n v="15795.32"/>
    <s v="Bina Nair"/>
    <n v="35"/>
    <s v="Adult"/>
    <s v="BAD"/>
    <x v="3"/>
    <s v="UPI"/>
    <n v="2"/>
    <s v="Galaxy S21"/>
    <n v="78976.600000000006"/>
    <s v="Average"/>
    <s v="Average"/>
  </r>
  <r>
    <s v="Kira331968"/>
    <n v="1968"/>
    <n v="21"/>
    <n v="4"/>
    <n v="2023"/>
    <d v="2023-04-21T00:00:00"/>
    <s v="April"/>
    <d v="2027-02-27T00:00:00"/>
    <x v="4"/>
    <n v="2"/>
    <n v="67105.929999999993"/>
    <s v="Kiran Malhotra"/>
    <n v="33"/>
    <s v="Adult"/>
    <s v="Good"/>
    <x v="2"/>
    <s v="UPI"/>
    <n v="4"/>
    <s v="iPhone 11"/>
    <n v="134211.85999999999"/>
    <s v="Good"/>
    <s v="Good"/>
  </r>
  <r>
    <s v="Tanu191969"/>
    <n v="1969"/>
    <n v="21"/>
    <n v="4"/>
    <n v="2023"/>
    <d v="2023-04-21T00:00:00"/>
    <s v="April"/>
    <d v="2027-02-28T00:00:00"/>
    <x v="2"/>
    <n v="9"/>
    <n v="57446.38"/>
    <s v="Tanuja Dutta"/>
    <n v="19"/>
    <s v="Teenagers"/>
    <s v="Good"/>
    <x v="2"/>
    <s v="UPI"/>
    <n v="5"/>
    <s v="OnePlus Nord"/>
    <n v="517017.42"/>
    <s v="Good"/>
    <s v="Excellent"/>
  </r>
  <r>
    <s v="Deve301970"/>
    <n v="1970"/>
    <n v="22"/>
    <n v="4"/>
    <n v="2023"/>
    <d v="2023-04-22T00:00:00"/>
    <s v="April"/>
    <d v="2027-03-01T00:00:00"/>
    <x v="1"/>
    <n v="3"/>
    <n v="32435.67"/>
    <s v="Devendra Singh"/>
    <n v="30"/>
    <s v="Teenagers"/>
    <s v="Good"/>
    <x v="9"/>
    <s v="Debit Card"/>
    <n v="4"/>
    <s v="Vivo Y51"/>
    <n v="97307.01"/>
    <s v="Good"/>
    <s v="Average"/>
  </r>
  <r>
    <s v="Kavi331971"/>
    <n v="1971"/>
    <n v="22"/>
    <n v="4"/>
    <n v="2023"/>
    <d v="2023-04-22T00:00:00"/>
    <s v="April"/>
    <d v="2027-03-02T00:00:00"/>
    <x v="4"/>
    <n v="2"/>
    <n v="43768.76"/>
    <s v="Kavita Srivastava"/>
    <n v="33"/>
    <s v="Adult"/>
    <s v="Good"/>
    <x v="14"/>
    <s v="Debit Card"/>
    <n v="4"/>
    <s v="iPhone SE"/>
    <n v="87537.52"/>
    <s v="Good"/>
    <s v="Average"/>
  </r>
  <r>
    <s v="Anja251972"/>
    <n v="1972"/>
    <n v="22"/>
    <n v="4"/>
    <n v="2023"/>
    <d v="2023-04-22T00:00:00"/>
    <s v="April"/>
    <d v="2027-03-03T00:00:00"/>
    <x v="2"/>
    <n v="1"/>
    <n v="12839.47"/>
    <s v="Anjali Nambiar"/>
    <n v="25"/>
    <s v="Teenagers"/>
    <s v="Good"/>
    <x v="7"/>
    <s v="Credit Card"/>
    <n v="5"/>
    <s v="OnePlus 8T"/>
    <n v="12839.47"/>
    <s v="Good"/>
    <s v="Low"/>
  </r>
  <r>
    <s v="Lata251973"/>
    <n v="1973"/>
    <n v="22"/>
    <n v="4"/>
    <n v="2023"/>
    <d v="2023-04-22T00:00:00"/>
    <s v="April"/>
    <d v="2027-03-04T00:00:00"/>
    <x v="1"/>
    <n v="8"/>
    <n v="12473.67"/>
    <s v="Lata Mathur"/>
    <n v="25"/>
    <s v="Teenagers"/>
    <s v="Good"/>
    <x v="16"/>
    <s v="Credit Card"/>
    <n v="5"/>
    <s v="Vivo Y51"/>
    <n v="99789.36"/>
    <s v="Good"/>
    <s v="Average"/>
  </r>
  <r>
    <s v="Deep271974"/>
    <n v="1974"/>
    <n v="23"/>
    <n v="4"/>
    <n v="2023"/>
    <d v="2023-04-23T00:00:00"/>
    <s v="April"/>
    <d v="2027-03-05T00:00:00"/>
    <x v="3"/>
    <n v="3"/>
    <n v="25047.9"/>
    <s v="Deepika Menon"/>
    <n v="27"/>
    <s v="Teenagers"/>
    <s v="BAD"/>
    <x v="7"/>
    <s v="Debit Card"/>
    <n v="2"/>
    <s v="Galaxy S21"/>
    <n v="75143.700000000012"/>
    <s v="Average"/>
    <s v="Average"/>
  </r>
  <r>
    <s v="Vive501975"/>
    <n v="1975"/>
    <n v="23"/>
    <n v="4"/>
    <n v="2023"/>
    <d v="2023-04-23T00:00:00"/>
    <s v="April"/>
    <d v="2027-03-06T00:00:00"/>
    <x v="2"/>
    <n v="7"/>
    <n v="51382.1"/>
    <s v="Vivek Teja"/>
    <n v="50"/>
    <s v="Senior Citezen"/>
    <s v="BAD"/>
    <x v="18"/>
    <s v="Credit Card"/>
    <n v="1"/>
    <s v="OnePlus Nord"/>
    <n v="359674.7"/>
    <s v="Average"/>
    <s v="Excellent"/>
  </r>
  <r>
    <s v="Reen481976"/>
    <n v="1976"/>
    <n v="23"/>
    <n v="4"/>
    <n v="2023"/>
    <d v="2023-04-23T00:00:00"/>
    <s v="April"/>
    <d v="2027-03-07T00:00:00"/>
    <x v="1"/>
    <n v="1"/>
    <n v="61128.86"/>
    <s v="Reena Sheth"/>
    <n v="48"/>
    <s v="Senior Citezen"/>
    <s v="Good"/>
    <x v="7"/>
    <s v="Debit Card"/>
    <n v="5"/>
    <s v="Vivo S1"/>
    <n v="61128.86"/>
    <s v="Good"/>
    <s v="Average"/>
  </r>
  <r>
    <s v="Pras291977"/>
    <n v="1977"/>
    <n v="24"/>
    <n v="4"/>
    <n v="2023"/>
    <d v="2023-04-24T00:00:00"/>
    <s v="April"/>
    <d v="2027-03-08T00:00:00"/>
    <x v="3"/>
    <n v="1"/>
    <n v="43551.15"/>
    <s v="Prashant Mathur"/>
    <n v="29"/>
    <s v="Teenagers"/>
    <s v="Good"/>
    <x v="1"/>
    <s v="UPI"/>
    <n v="4"/>
    <s v="Galaxy A51"/>
    <n v="43551.15"/>
    <s v="Good"/>
    <s v="Low"/>
  </r>
  <r>
    <s v="Pank261978"/>
    <n v="1978"/>
    <n v="24"/>
    <n v="4"/>
    <n v="2023"/>
    <d v="2023-04-24T00:00:00"/>
    <s v="April"/>
    <d v="2027-03-09T00:00:00"/>
    <x v="4"/>
    <n v="9"/>
    <n v="41927.96"/>
    <s v="Pankaj Teja"/>
    <n v="26"/>
    <s v="Teenagers"/>
    <s v="Good"/>
    <x v="1"/>
    <s v="Cash"/>
    <n v="5"/>
    <s v="iPhone SE"/>
    <n v="377351.64"/>
    <s v="Good"/>
    <s v="Excellent"/>
  </r>
  <r>
    <s v="Pank541979"/>
    <n v="1979"/>
    <n v="24"/>
    <n v="4"/>
    <n v="2023"/>
    <d v="2023-04-24T00:00:00"/>
    <s v="April"/>
    <d v="2027-03-10T00:00:00"/>
    <x v="4"/>
    <n v="8"/>
    <n v="34138.57"/>
    <s v="Pankaj Kapoor"/>
    <n v="54"/>
    <s v="Senior Citezen"/>
    <s v="Good"/>
    <x v="0"/>
    <s v="UPI"/>
    <n v="5"/>
    <s v="iPhone 12"/>
    <n v="273108.56"/>
    <s v="Good"/>
    <s v="Excellent"/>
  </r>
  <r>
    <s v="Hari261980"/>
    <n v="1980"/>
    <n v="25"/>
    <n v="4"/>
    <n v="2023"/>
    <d v="2023-04-25T00:00:00"/>
    <s v="April"/>
    <d v="2027-03-11T00:00:00"/>
    <x v="4"/>
    <n v="3"/>
    <n v="19695.88"/>
    <s v="Harish Joshi"/>
    <n v="26"/>
    <s v="Teenagers"/>
    <s v="Good"/>
    <x v="11"/>
    <s v="Debit Card"/>
    <n v="5"/>
    <s v="iPhone 12"/>
    <n v="59087.64"/>
    <s v="Good"/>
    <s v="Average"/>
  </r>
  <r>
    <s v="Rame351981"/>
    <n v="1981"/>
    <n v="25"/>
    <n v="4"/>
    <n v="2023"/>
    <d v="2023-04-25T00:00:00"/>
    <s v="April"/>
    <d v="2027-03-12T00:00:00"/>
    <x v="4"/>
    <n v="6"/>
    <n v="17101.25"/>
    <s v="Ramesh Rao"/>
    <n v="35"/>
    <s v="Adult"/>
    <s v="Good"/>
    <x v="1"/>
    <s v="UPI"/>
    <n v="5"/>
    <s v="iPhone SE"/>
    <n v="102607.5"/>
    <s v="Good"/>
    <s v="Good"/>
  </r>
  <r>
    <s v="Vino471982"/>
    <n v="1982"/>
    <n v="25"/>
    <n v="4"/>
    <n v="2023"/>
    <d v="2023-04-25T00:00:00"/>
    <s v="April"/>
    <d v="2027-03-13T00:00:00"/>
    <x v="0"/>
    <n v="3"/>
    <n v="55640.79"/>
    <s v="Vinod Joshi"/>
    <n v="47"/>
    <s v="Senior Citezen"/>
    <s v="Good"/>
    <x v="1"/>
    <s v="Debit Card"/>
    <n v="4"/>
    <s v="Mi 11"/>
    <n v="166922.37"/>
    <s v="Good"/>
    <s v="Good"/>
  </r>
  <r>
    <s v="Navi491983"/>
    <n v="1983"/>
    <n v="26"/>
    <n v="4"/>
    <n v="2023"/>
    <d v="2023-04-26T00:00:00"/>
    <s v="April"/>
    <d v="2027-03-14T00:00:00"/>
    <x v="2"/>
    <n v="4"/>
    <n v="65650.210000000006"/>
    <s v="Navin Solanki"/>
    <n v="49"/>
    <s v="Senior Citezen"/>
    <s v="BAD"/>
    <x v="13"/>
    <s v="Debit Card"/>
    <n v="2"/>
    <s v="OnePlus 9"/>
    <n v="262600.84000000003"/>
    <s v="Average"/>
    <s v="Excellent"/>
  </r>
  <r>
    <s v="Gita571984"/>
    <n v="1984"/>
    <n v="26"/>
    <n v="4"/>
    <n v="2023"/>
    <d v="2023-04-26T00:00:00"/>
    <s v="April"/>
    <d v="2027-03-15T00:00:00"/>
    <x v="2"/>
    <n v="1"/>
    <n v="37496.99"/>
    <s v="Gita Teja"/>
    <n v="57"/>
    <s v="Senior Citezen"/>
    <s v="BAD"/>
    <x v="1"/>
    <s v="Credit Card"/>
    <n v="1"/>
    <s v="OnePlus 8T"/>
    <n v="37496.99"/>
    <s v="Average"/>
    <s v="Low"/>
  </r>
  <r>
    <s v="Hari401985"/>
    <n v="1985"/>
    <n v="26"/>
    <n v="4"/>
    <n v="2023"/>
    <d v="2023-04-26T00:00:00"/>
    <s v="April"/>
    <d v="2027-03-16T00:00:00"/>
    <x v="0"/>
    <n v="5"/>
    <n v="49566.74"/>
    <s v="Harish Malhotra"/>
    <n v="40"/>
    <s v="Adult"/>
    <s v="Good"/>
    <x v="10"/>
    <s v="Debit Card"/>
    <n v="4"/>
    <s v="Mi 11"/>
    <n v="247833.69999999998"/>
    <s v="Good"/>
    <s v="Excellent"/>
  </r>
  <r>
    <s v="Tapa281986"/>
    <n v="1986"/>
    <n v="26"/>
    <n v="4"/>
    <n v="2023"/>
    <d v="2023-04-26T00:00:00"/>
    <s v="April"/>
    <d v="2027-03-17T00:00:00"/>
    <x v="1"/>
    <n v="1"/>
    <n v="64867.46"/>
    <s v="Tapan Ahuja"/>
    <n v="28"/>
    <s v="Teenagers"/>
    <s v="Good"/>
    <x v="16"/>
    <s v="Cash"/>
    <n v="4"/>
    <s v="Vivo Y51"/>
    <n v="64867.46"/>
    <s v="Good"/>
    <s v="Average"/>
  </r>
  <r>
    <s v="Neet371987"/>
    <n v="1987"/>
    <n v="27"/>
    <n v="4"/>
    <n v="2023"/>
    <d v="2023-04-27T00:00:00"/>
    <s v="April"/>
    <d v="2027-03-18T00:00:00"/>
    <x v="1"/>
    <n v="1"/>
    <n v="15406.82"/>
    <s v="Neeta Kumar"/>
    <n v="37"/>
    <s v="Adult"/>
    <s v="Good"/>
    <x v="1"/>
    <s v="Credit Card"/>
    <n v="4"/>
    <s v="Vivo S1"/>
    <n v="15406.82"/>
    <s v="Good"/>
    <s v="Low"/>
  </r>
  <r>
    <s v="Kira361988"/>
    <n v="1988"/>
    <n v="27"/>
    <n v="4"/>
    <n v="2023"/>
    <d v="2023-04-27T00:00:00"/>
    <s v="April"/>
    <d v="2027-03-19T00:00:00"/>
    <x v="4"/>
    <n v="7"/>
    <n v="56228.89"/>
    <s v="Kiran Jain"/>
    <n v="36"/>
    <s v="Adult"/>
    <s v="BAD"/>
    <x v="2"/>
    <s v="Cash"/>
    <n v="1"/>
    <s v="iPhone 12"/>
    <n v="393602.23"/>
    <s v="Average"/>
    <s v="Excellent"/>
  </r>
  <r>
    <s v="Vija531989"/>
    <n v="1989"/>
    <n v="27"/>
    <n v="4"/>
    <n v="2023"/>
    <d v="2023-04-27T00:00:00"/>
    <s v="April"/>
    <d v="2027-03-20T00:00:00"/>
    <x v="3"/>
    <n v="6"/>
    <n v="47009.01"/>
    <s v="Vijay Das"/>
    <n v="53"/>
    <s v="Senior Citezen"/>
    <s v="BAD"/>
    <x v="12"/>
    <s v="Debit Card"/>
    <n v="2"/>
    <s v="Galaxy A51"/>
    <n v="282054.06"/>
    <s v="Average"/>
    <s v="Excellent"/>
  </r>
  <r>
    <s v="Meen431990"/>
    <n v="1990"/>
    <n v="27"/>
    <n v="4"/>
    <n v="2023"/>
    <d v="2023-04-27T00:00:00"/>
    <s v="April"/>
    <d v="2027-03-21T00:00:00"/>
    <x v="1"/>
    <n v="2"/>
    <n v="45918.23"/>
    <s v="Meena Chatterjee"/>
    <n v="43"/>
    <s v="Adult"/>
    <s v="BAD"/>
    <x v="1"/>
    <s v="UPI"/>
    <n v="2"/>
    <s v="Vivo Y51"/>
    <n v="91836.46"/>
    <s v="Average"/>
    <s v="Average"/>
  </r>
  <r>
    <s v="Deve271991"/>
    <n v="1991"/>
    <n v="28"/>
    <n v="4"/>
    <n v="2023"/>
    <d v="2023-04-28T00:00:00"/>
    <s v="April"/>
    <d v="2027-03-22T00:00:00"/>
    <x v="3"/>
    <n v="2"/>
    <n v="27552.43"/>
    <s v="Devendra Rao"/>
    <n v="27"/>
    <s v="Teenagers"/>
    <s v="Good"/>
    <x v="1"/>
    <s v="Debit Card"/>
    <n v="4"/>
    <s v="Galaxy A51"/>
    <n v="55104.86"/>
    <s v="Good"/>
    <s v="Average"/>
  </r>
  <r>
    <s v="Moni411992"/>
    <n v="1992"/>
    <n v="28"/>
    <n v="4"/>
    <n v="2023"/>
    <d v="2023-04-28T00:00:00"/>
    <s v="April"/>
    <d v="2027-03-23T00:00:00"/>
    <x v="2"/>
    <n v="7"/>
    <n v="51033.599999999999"/>
    <s v="Monika Goyal"/>
    <n v="41"/>
    <s v="Adult"/>
    <s v="Good"/>
    <x v="1"/>
    <s v="Debit Card"/>
    <n v="4"/>
    <s v="OnePlus 8T"/>
    <n v="357235.20000000001"/>
    <s v="Good"/>
    <s v="Excellent"/>
  </r>
  <r>
    <s v="Anan301993"/>
    <n v="1993"/>
    <n v="28"/>
    <n v="4"/>
    <n v="2023"/>
    <d v="2023-04-28T00:00:00"/>
    <s v="April"/>
    <d v="2027-03-24T00:00:00"/>
    <x v="3"/>
    <n v="1"/>
    <n v="57687.87"/>
    <s v="Anand Joshi"/>
    <n v="30"/>
    <s v="Teenagers"/>
    <s v="Good"/>
    <x v="8"/>
    <s v="UPI"/>
    <n v="4"/>
    <s v="Galaxy A51"/>
    <n v="57687.87"/>
    <s v="Good"/>
    <s v="Average"/>
  </r>
  <r>
    <s v="Anja511994"/>
    <n v="1994"/>
    <n v="28"/>
    <n v="4"/>
    <n v="2023"/>
    <d v="2023-04-28T00:00:00"/>
    <s v="April"/>
    <d v="2027-03-25T00:00:00"/>
    <x v="2"/>
    <n v="2"/>
    <n v="16771.490000000002"/>
    <s v="Anjali Kulkarni"/>
    <n v="51"/>
    <s v="Senior Citezen"/>
    <s v="BAD"/>
    <x v="1"/>
    <s v="UPI"/>
    <n v="2"/>
    <s v="OnePlus Nord"/>
    <n v="33542.980000000003"/>
    <s v="Average"/>
    <s v="Low"/>
  </r>
  <r>
    <s v="Reen461995"/>
    <n v="1995"/>
    <n v="29"/>
    <n v="4"/>
    <n v="2023"/>
    <d v="2023-04-29T00:00:00"/>
    <s v="April"/>
    <d v="2027-03-26T00:00:00"/>
    <x v="0"/>
    <n v="8"/>
    <n v="42011.29"/>
    <s v="Reena Sharma"/>
    <n v="46"/>
    <s v="Senior Citezen"/>
    <s v="BAD"/>
    <x v="9"/>
    <s v="Cash"/>
    <n v="2"/>
    <s v="Redmi Note 10"/>
    <n v="336090.32"/>
    <s v="Average"/>
    <s v="Excellent"/>
  </r>
  <r>
    <s v="Nikh531996"/>
    <n v="1996"/>
    <n v="29"/>
    <n v="4"/>
    <n v="2023"/>
    <d v="2023-04-29T00:00:00"/>
    <s v="April"/>
    <d v="2027-03-27T00:00:00"/>
    <x v="0"/>
    <n v="6"/>
    <n v="16075.91"/>
    <s v="Nikhil Solanki"/>
    <n v="53"/>
    <s v="Senior Citezen"/>
    <s v="BAD"/>
    <x v="9"/>
    <s v="Credit Card"/>
    <n v="2"/>
    <s v="Redmi Note 10"/>
    <n v="96455.459999999992"/>
    <s v="Average"/>
    <s v="Average"/>
  </r>
  <r>
    <s v="Kira241997"/>
    <n v="1997"/>
    <n v="29"/>
    <n v="4"/>
    <n v="2023"/>
    <d v="2023-04-29T00:00:00"/>
    <s v="April"/>
    <d v="2027-03-28T00:00:00"/>
    <x v="4"/>
    <n v="2"/>
    <n v="62354.44"/>
    <s v="Kiran Siddiqui"/>
    <n v="24"/>
    <s v="Teenagers"/>
    <s v="Good"/>
    <x v="2"/>
    <s v="Credit Card"/>
    <n v="4"/>
    <s v="iPhone 11"/>
    <n v="124708.88"/>
    <s v="Good"/>
    <s v="Good"/>
  </r>
  <r>
    <s v="Priy471998"/>
    <n v="1998"/>
    <n v="29"/>
    <n v="4"/>
    <n v="2023"/>
    <d v="2023-04-29T00:00:00"/>
    <s v="April"/>
    <d v="2027-03-29T00:00:00"/>
    <x v="1"/>
    <n v="7"/>
    <n v="40458.199999999997"/>
    <s v="Priya Bhattacharya"/>
    <n v="47"/>
    <s v="Senior Citezen"/>
    <s v="BAD"/>
    <x v="18"/>
    <s v="Credit Card"/>
    <n v="2"/>
    <s v="Vivo Y51"/>
    <n v="283207.39999999997"/>
    <s v="Average"/>
    <s v="Excellent"/>
  </r>
  <r>
    <s v="Adit341999"/>
    <n v="1999"/>
    <n v="30"/>
    <n v="4"/>
    <n v="2023"/>
    <d v="2023-04-30T00:00:00"/>
    <s v="April"/>
    <d v="2027-03-30T00:00:00"/>
    <x v="4"/>
    <n v="4"/>
    <n v="58477.94"/>
    <s v="Aditya Rao"/>
    <n v="34"/>
    <s v="Adult"/>
    <s v="Good"/>
    <x v="2"/>
    <s v="Cash"/>
    <n v="5"/>
    <s v="iPhone 11"/>
    <n v="233911.76"/>
    <s v="Good"/>
    <s v="Excellent"/>
  </r>
  <r>
    <s v="Moni302000"/>
    <n v="2000"/>
    <n v="30"/>
    <n v="4"/>
    <n v="2023"/>
    <d v="2023-04-30T00:00:00"/>
    <s v="April"/>
    <d v="2027-03-31T00:00:00"/>
    <x v="2"/>
    <n v="2"/>
    <n v="32085.14"/>
    <s v="Monika Patel"/>
    <n v="30"/>
    <s v="Teenagers"/>
    <s v="Good"/>
    <x v="12"/>
    <s v="Cash"/>
    <n v="4"/>
    <s v="OnePlus Nord"/>
    <n v="64170.28"/>
    <s v="Good"/>
    <s v="Average"/>
  </r>
  <r>
    <s v="Deep412001"/>
    <n v="2001"/>
    <n v="30"/>
    <n v="4"/>
    <n v="2023"/>
    <d v="2023-04-30T00:00:00"/>
    <s v="April"/>
    <d v="2027-04-01T00:00:00"/>
    <x v="4"/>
    <n v="6"/>
    <n v="17504.689999999999"/>
    <s v="Deepika Prasad"/>
    <n v="41"/>
    <s v="Adult"/>
    <s v="Good"/>
    <x v="2"/>
    <s v="UPI"/>
    <n v="4"/>
    <s v="iPhone 11"/>
    <n v="105028.13999999998"/>
    <s v="Good"/>
    <s v="Good"/>
  </r>
  <r>
    <s v="Umes482002"/>
    <n v="2002"/>
    <n v="1"/>
    <n v="5"/>
    <n v="2023"/>
    <d v="2023-05-01T00:00:00"/>
    <s v="May"/>
    <d v="2027-04-02T00:00:00"/>
    <x v="3"/>
    <n v="9"/>
    <n v="12489.96"/>
    <s v="Umesh Bhattacharya"/>
    <n v="48"/>
    <s v="Senior Citezen"/>
    <s v="Good"/>
    <x v="16"/>
    <s v="Credit Card"/>
    <n v="4"/>
    <s v="Galaxy S21"/>
    <n v="112409.63999999998"/>
    <s v="Good"/>
    <s v="Good"/>
  </r>
  <r>
    <s v="Arun442003"/>
    <n v="2003"/>
    <n v="1"/>
    <n v="5"/>
    <n v="2023"/>
    <d v="2023-05-01T00:00:00"/>
    <s v="May"/>
    <d v="2027-04-03T00:00:00"/>
    <x v="2"/>
    <n v="9"/>
    <n v="26890.58"/>
    <s v="Arun Kumar"/>
    <n v="44"/>
    <s v="Adult"/>
    <s v="Good"/>
    <x v="14"/>
    <s v="Debit Card"/>
    <n v="4"/>
    <s v="OnePlus 8T"/>
    <n v="242015.22000000003"/>
    <s v="Good"/>
    <s v="Excellent"/>
  </r>
  <r>
    <s v="Arun382004"/>
    <n v="2004"/>
    <n v="1"/>
    <n v="5"/>
    <n v="2023"/>
    <d v="2023-05-01T00:00:00"/>
    <s v="May"/>
    <d v="2027-04-04T00:00:00"/>
    <x v="0"/>
    <n v="8"/>
    <n v="24654.02"/>
    <s v="Arun Goyal"/>
    <n v="38"/>
    <s v="Adult"/>
    <s v="Good"/>
    <x v="1"/>
    <s v="Cash"/>
    <n v="5"/>
    <s v="Mi 11"/>
    <n v="197232.16"/>
    <s v="Good"/>
    <s v="Good"/>
  </r>
  <r>
    <s v="Lali182005"/>
    <n v="2005"/>
    <n v="2"/>
    <n v="5"/>
    <n v="2023"/>
    <d v="2023-05-02T00:00:00"/>
    <s v="May"/>
    <d v="2027-04-05T00:00:00"/>
    <x v="1"/>
    <n v="3"/>
    <n v="43621.120000000003"/>
    <s v="Lalita Bhatnagar"/>
    <n v="18"/>
    <s v="Teenagers"/>
    <s v="BAD"/>
    <x v="13"/>
    <s v="Debit Card"/>
    <n v="1"/>
    <s v="Vivo S1"/>
    <n v="130863.36000000002"/>
    <s v="Average"/>
    <s v="Good"/>
  </r>
  <r>
    <s v="Rame322006"/>
    <n v="2006"/>
    <n v="2"/>
    <n v="5"/>
    <n v="2023"/>
    <d v="2023-05-02T00:00:00"/>
    <s v="May"/>
    <d v="2027-04-06T00:00:00"/>
    <x v="2"/>
    <n v="3"/>
    <n v="11304.33"/>
    <s v="Ramesh Srivastava"/>
    <n v="32"/>
    <s v="Adult"/>
    <s v="BAD"/>
    <x v="2"/>
    <s v="Credit Card"/>
    <n v="2"/>
    <s v="OnePlus 9"/>
    <n v="33912.99"/>
    <s v="Average"/>
    <s v="Low"/>
  </r>
  <r>
    <s v="Priy202007"/>
    <n v="2007"/>
    <n v="2"/>
    <n v="5"/>
    <n v="2023"/>
    <d v="2023-05-02T00:00:00"/>
    <s v="May"/>
    <d v="2027-04-07T00:00:00"/>
    <x v="2"/>
    <n v="2"/>
    <n v="41234.230000000003"/>
    <s v="Priya Roy"/>
    <n v="20"/>
    <s v="Teenagers"/>
    <s v="Good"/>
    <x v="10"/>
    <s v="Credit Card"/>
    <n v="4"/>
    <s v="OnePlus 8T"/>
    <n v="82468.460000000006"/>
    <s v="Good"/>
    <s v="Average"/>
  </r>
  <r>
    <s v="Bhav232008"/>
    <n v="2008"/>
    <n v="2"/>
    <n v="5"/>
    <n v="2023"/>
    <d v="2023-05-02T00:00:00"/>
    <s v="May"/>
    <d v="2027-04-08T00:00:00"/>
    <x v="3"/>
    <n v="5"/>
    <n v="33506.300000000003"/>
    <s v="Bhavana Rawat"/>
    <n v="23"/>
    <s v="Teenagers"/>
    <s v="BAD"/>
    <x v="18"/>
    <s v="Cash"/>
    <n v="2"/>
    <s v="Galaxy S21"/>
    <n v="167531.5"/>
    <s v="Average"/>
    <s v="Good"/>
  </r>
  <r>
    <s v="Deve312009"/>
    <n v="2009"/>
    <n v="3"/>
    <n v="5"/>
    <n v="2023"/>
    <d v="2023-05-03T00:00:00"/>
    <s v="May"/>
    <d v="2027-04-09T00:00:00"/>
    <x v="1"/>
    <n v="4"/>
    <n v="44627.34"/>
    <s v="Devendra Arora"/>
    <n v="31"/>
    <s v="Adult"/>
    <s v="BAD"/>
    <x v="13"/>
    <s v="Cash"/>
    <n v="2"/>
    <s v="Vivo Y51"/>
    <n v="178509.36"/>
    <s v="Average"/>
    <s v="Good"/>
  </r>
  <r>
    <s v="Pras552010"/>
    <n v="2010"/>
    <n v="3"/>
    <n v="5"/>
    <n v="2023"/>
    <d v="2023-05-03T00:00:00"/>
    <s v="May"/>
    <d v="2027-04-10T00:00:00"/>
    <x v="0"/>
    <n v="7"/>
    <n v="52145.05"/>
    <s v="Prashant Gupta"/>
    <n v="55"/>
    <s v="Senior Citezen"/>
    <s v="Good"/>
    <x v="18"/>
    <s v="UPI"/>
    <n v="5"/>
    <s v="Redmi Note 10"/>
    <n v="365015.35000000003"/>
    <s v="Good"/>
    <s v="Excellent"/>
  </r>
  <r>
    <s v="Nami502011"/>
    <n v="2011"/>
    <n v="3"/>
    <n v="5"/>
    <n v="2023"/>
    <d v="2023-05-03T00:00:00"/>
    <s v="May"/>
    <d v="2027-04-11T00:00:00"/>
    <x v="2"/>
    <n v="4"/>
    <n v="48045.52"/>
    <s v="Namita Sheth"/>
    <n v="50"/>
    <s v="Senior Citezen"/>
    <s v="BAD"/>
    <x v="4"/>
    <s v="Debit Card"/>
    <n v="2"/>
    <s v="OnePlus 8T"/>
    <n v="192182.08"/>
    <s v="Average"/>
    <s v="Good"/>
  </r>
  <r>
    <s v="Kira552012"/>
    <n v="2012"/>
    <n v="4"/>
    <n v="5"/>
    <n v="2023"/>
    <d v="2023-05-04T00:00:00"/>
    <s v="May"/>
    <d v="2027-04-12T00:00:00"/>
    <x v="2"/>
    <n v="9"/>
    <n v="69078.66"/>
    <s v="Kiran Prasad"/>
    <n v="55"/>
    <s v="Senior Citezen"/>
    <s v="Good"/>
    <x v="17"/>
    <s v="UPI"/>
    <n v="4"/>
    <s v="OnePlus 8T"/>
    <n v="621707.94000000006"/>
    <s v="Good"/>
    <s v="Excellent"/>
  </r>
  <r>
    <s v="Reen252013"/>
    <n v="2013"/>
    <n v="4"/>
    <n v="5"/>
    <n v="2023"/>
    <d v="2023-05-04T00:00:00"/>
    <s v="May"/>
    <d v="2027-04-13T00:00:00"/>
    <x v="3"/>
    <n v="2"/>
    <n v="18295.919999999998"/>
    <s v="Reena Srivastava"/>
    <n v="25"/>
    <s v="Teenagers"/>
    <s v="BAD"/>
    <x v="11"/>
    <s v="UPI"/>
    <n v="2"/>
    <s v="Galaxy A51"/>
    <n v="36591.839999999997"/>
    <s v="Average"/>
    <s v="Low"/>
  </r>
  <r>
    <s v="Roha432014"/>
    <n v="2014"/>
    <n v="4"/>
    <n v="5"/>
    <n v="2023"/>
    <d v="2023-05-04T00:00:00"/>
    <s v="May"/>
    <d v="2027-04-14T00:00:00"/>
    <x v="4"/>
    <n v="6"/>
    <n v="35784.22"/>
    <s v="Rohan Goyal"/>
    <n v="43"/>
    <s v="Adult"/>
    <s v="Good"/>
    <x v="3"/>
    <s v="Debit Card"/>
    <n v="5"/>
    <s v="iPhone SE"/>
    <n v="214705.32"/>
    <s v="Good"/>
    <s v="Excellent"/>
  </r>
  <r>
    <s v="Sneh322015"/>
    <n v="2015"/>
    <n v="5"/>
    <n v="5"/>
    <n v="2023"/>
    <d v="2023-05-05T00:00:00"/>
    <s v="May"/>
    <d v="2027-04-15T00:00:00"/>
    <x v="0"/>
    <n v="7"/>
    <n v="35489.839999999997"/>
    <s v="Sneha Deshmukh"/>
    <n v="32"/>
    <s v="Adult"/>
    <s v="Good"/>
    <x v="18"/>
    <s v="Credit Card"/>
    <n v="4"/>
    <s v="Redmi Note 10"/>
    <n v="248428.87999999998"/>
    <s v="Good"/>
    <s v="Excellent"/>
  </r>
  <r>
    <s v="Radh312016"/>
    <n v="2016"/>
    <n v="5"/>
    <n v="5"/>
    <n v="2023"/>
    <d v="2023-05-05T00:00:00"/>
    <s v="May"/>
    <d v="2027-04-16T00:00:00"/>
    <x v="1"/>
    <n v="4"/>
    <n v="35023.19"/>
    <s v="Radha Rao"/>
    <n v="31"/>
    <s v="Adult"/>
    <s v="Good"/>
    <x v="14"/>
    <s v="Debit Card"/>
    <n v="5"/>
    <s v="Vivo V20"/>
    <n v="140092.76"/>
    <s v="Good"/>
    <s v="Good"/>
  </r>
  <r>
    <s v="Vive372017"/>
    <n v="2017"/>
    <n v="5"/>
    <n v="5"/>
    <n v="2023"/>
    <d v="2023-05-05T00:00:00"/>
    <s v="May"/>
    <d v="2027-04-17T00:00:00"/>
    <x v="2"/>
    <n v="6"/>
    <n v="49827.9"/>
    <s v="Vivek Luthra"/>
    <n v="37"/>
    <s v="Adult"/>
    <s v="Good"/>
    <x v="1"/>
    <s v="Credit Card"/>
    <n v="4"/>
    <s v="OnePlus 9"/>
    <n v="298967.40000000002"/>
    <s v="Good"/>
    <s v="Excellent"/>
  </r>
  <r>
    <s v="Shru362018"/>
    <n v="2018"/>
    <n v="5"/>
    <n v="5"/>
    <n v="2023"/>
    <d v="2023-05-05T00:00:00"/>
    <s v="May"/>
    <d v="2027-04-18T00:00:00"/>
    <x v="2"/>
    <n v="7"/>
    <n v="39389.68"/>
    <s v="Shruti Chaudhary"/>
    <n v="36"/>
    <s v="Adult"/>
    <s v="BAD"/>
    <x v="1"/>
    <s v="UPI"/>
    <n v="1"/>
    <s v="OnePlus 9"/>
    <n v="275727.76"/>
    <s v="Average"/>
    <s v="Excellent"/>
  </r>
  <r>
    <s v="Meen502019"/>
    <n v="2019"/>
    <n v="6"/>
    <n v="5"/>
    <n v="2023"/>
    <d v="2023-05-06T00:00:00"/>
    <s v="May"/>
    <d v="2027-04-19T00:00:00"/>
    <x v="0"/>
    <n v="4"/>
    <n v="41045.949999999997"/>
    <s v="Meena Kumar"/>
    <n v="50"/>
    <s v="Senior Citezen"/>
    <s v="BAD"/>
    <x v="9"/>
    <s v="Credit Card"/>
    <n v="2"/>
    <s v="Redmi 9"/>
    <n v="164183.79999999999"/>
    <s v="Average"/>
    <s v="Good"/>
  </r>
  <r>
    <s v="Amit532020"/>
    <n v="2020"/>
    <n v="6"/>
    <n v="5"/>
    <n v="2023"/>
    <d v="2023-05-06T00:00:00"/>
    <s v="May"/>
    <d v="2027-04-20T00:00:00"/>
    <x v="4"/>
    <n v="8"/>
    <n v="35941.360000000001"/>
    <s v="Amit Srivastava"/>
    <n v="53"/>
    <s v="Senior Citezen"/>
    <s v="BAD"/>
    <x v="11"/>
    <s v="Credit Card"/>
    <n v="2"/>
    <s v="iPhone 12"/>
    <n v="287530.88"/>
    <s v="Average"/>
    <s v="Excellent"/>
  </r>
  <r>
    <s v="Anja412021"/>
    <n v="2021"/>
    <n v="6"/>
    <n v="5"/>
    <n v="2023"/>
    <d v="2023-05-06T00:00:00"/>
    <s v="May"/>
    <d v="2027-04-21T00:00:00"/>
    <x v="2"/>
    <n v="9"/>
    <n v="69501.97"/>
    <s v="Anjali Jain"/>
    <n v="41"/>
    <s v="Adult"/>
    <s v="BAD"/>
    <x v="13"/>
    <s v="Credit Card"/>
    <n v="2"/>
    <s v="OnePlus 8T"/>
    <n v="625517.73"/>
    <s v="Average"/>
    <s v="Excellent"/>
  </r>
  <r>
    <s v="Pooj272022"/>
    <n v="2022"/>
    <n v="7"/>
    <n v="5"/>
    <n v="2023"/>
    <d v="2023-05-07T00:00:00"/>
    <s v="May"/>
    <d v="2027-04-22T00:00:00"/>
    <x v="0"/>
    <n v="1"/>
    <n v="65653.679999999993"/>
    <s v="Pooja Sharma"/>
    <n v="27"/>
    <s v="Teenagers"/>
    <s v="Good"/>
    <x v="5"/>
    <s v="Debit Card"/>
    <n v="4"/>
    <s v="Mi 11"/>
    <n v="65653.679999999993"/>
    <s v="Good"/>
    <s v="Average"/>
  </r>
  <r>
    <s v="Adit512023"/>
    <n v="2023"/>
    <n v="7"/>
    <n v="5"/>
    <n v="2023"/>
    <d v="2023-05-07T00:00:00"/>
    <s v="May"/>
    <d v="2027-04-23T00:00:00"/>
    <x v="3"/>
    <n v="7"/>
    <n v="28463.45"/>
    <s v="Aditya Rao"/>
    <n v="51"/>
    <s v="Senior Citezen"/>
    <s v="BAD"/>
    <x v="8"/>
    <s v="Credit Card"/>
    <n v="1"/>
    <s v="Galaxy Note 20"/>
    <n v="199244.15"/>
    <s v="Average"/>
    <s v="Good"/>
  </r>
  <r>
    <s v="Isha532024"/>
    <n v="2024"/>
    <n v="7"/>
    <n v="5"/>
    <n v="2023"/>
    <d v="2023-05-07T00:00:00"/>
    <s v="May"/>
    <d v="2027-04-24T00:00:00"/>
    <x v="4"/>
    <n v="9"/>
    <n v="16695.64"/>
    <s v="Isha Desai"/>
    <n v="53"/>
    <s v="Senior Citezen"/>
    <s v="Good"/>
    <x v="2"/>
    <s v="Debit Card"/>
    <n v="5"/>
    <s v="iPhone SE"/>
    <n v="150260.76"/>
    <s v="Good"/>
    <s v="Good"/>
  </r>
  <r>
    <s v="Shru532025"/>
    <n v="2025"/>
    <n v="7"/>
    <n v="5"/>
    <n v="2023"/>
    <d v="2023-05-07T00:00:00"/>
    <s v="May"/>
    <d v="2027-04-25T00:00:00"/>
    <x v="1"/>
    <n v="5"/>
    <n v="60385.88"/>
    <s v="Shruti Alva"/>
    <n v="53"/>
    <s v="Senior Citezen"/>
    <s v="Good"/>
    <x v="11"/>
    <s v="Cash"/>
    <n v="4"/>
    <s v="Vivo V20"/>
    <n v="301929.39999999997"/>
    <s v="Good"/>
    <s v="Excellent"/>
  </r>
  <r>
    <s v="Kris332026"/>
    <n v="2026"/>
    <n v="8"/>
    <n v="5"/>
    <n v="2023"/>
    <d v="2023-05-08T00:00:00"/>
    <s v="May"/>
    <d v="2027-04-26T00:00:00"/>
    <x v="2"/>
    <n v="2"/>
    <n v="69830.22"/>
    <s v="Krishna Goyal"/>
    <n v="33"/>
    <s v="Adult"/>
    <s v="Good"/>
    <x v="3"/>
    <s v="Cash"/>
    <n v="4"/>
    <s v="OnePlus 8T"/>
    <n v="139660.44"/>
    <s v="Good"/>
    <s v="Good"/>
  </r>
  <r>
    <s v="Lali322027"/>
    <n v="2027"/>
    <n v="8"/>
    <n v="5"/>
    <n v="2023"/>
    <d v="2023-05-08T00:00:00"/>
    <s v="May"/>
    <d v="2027-04-27T00:00:00"/>
    <x v="0"/>
    <n v="6"/>
    <n v="27556.53"/>
    <s v="Lalita Bhatnagar"/>
    <n v="32"/>
    <s v="Adult"/>
    <s v="Good"/>
    <x v="8"/>
    <s v="UPI"/>
    <n v="4"/>
    <s v="Mi 11"/>
    <n v="165339.18"/>
    <s v="Good"/>
    <s v="Good"/>
  </r>
  <r>
    <s v="Mano352028"/>
    <n v="2028"/>
    <n v="8"/>
    <n v="5"/>
    <n v="2023"/>
    <d v="2023-05-08T00:00:00"/>
    <s v="May"/>
    <d v="2027-04-28T00:00:00"/>
    <x v="3"/>
    <n v="7"/>
    <n v="31467.1"/>
    <s v="Manoj Jain"/>
    <n v="35"/>
    <s v="Adult"/>
    <s v="Good"/>
    <x v="2"/>
    <s v="UPI"/>
    <n v="4"/>
    <s v="Galaxy A51"/>
    <n v="220269.69999999998"/>
    <s v="Good"/>
    <s v="Excellent"/>
  </r>
  <r>
    <s v="Pooj242029"/>
    <n v="2029"/>
    <n v="9"/>
    <n v="5"/>
    <n v="2023"/>
    <d v="2023-05-09T00:00:00"/>
    <s v="May"/>
    <d v="2027-04-29T00:00:00"/>
    <x v="1"/>
    <n v="2"/>
    <n v="66497.990000000005"/>
    <s v="Pooja Ahuja"/>
    <n v="24"/>
    <s v="Teenagers"/>
    <s v="Good"/>
    <x v="1"/>
    <s v="Debit Card"/>
    <n v="4"/>
    <s v="Vivo S1"/>
    <n v="132995.98000000001"/>
    <s v="Good"/>
    <s v="Good"/>
  </r>
  <r>
    <s v="Sumi392030"/>
    <n v="2030"/>
    <n v="9"/>
    <n v="5"/>
    <n v="2023"/>
    <d v="2023-05-09T00:00:00"/>
    <s v="May"/>
    <d v="2027-04-30T00:00:00"/>
    <x v="0"/>
    <n v="2"/>
    <n v="52667.77"/>
    <s v="Sumit Roy"/>
    <n v="39"/>
    <s v="Adult"/>
    <s v="BAD"/>
    <x v="15"/>
    <s v="Credit Card"/>
    <n v="2"/>
    <s v="Redmi 9"/>
    <n v="105335.54"/>
    <s v="Average"/>
    <s v="Good"/>
  </r>
  <r>
    <s v="Pras492031"/>
    <n v="2031"/>
    <n v="9"/>
    <n v="5"/>
    <n v="2023"/>
    <d v="2023-05-09T00:00:00"/>
    <s v="May"/>
    <d v="2027-05-01T00:00:00"/>
    <x v="0"/>
    <n v="1"/>
    <n v="27738.3"/>
    <s v="Prashant Gupta"/>
    <n v="49"/>
    <s v="Senior Citezen"/>
    <s v="Good"/>
    <x v="1"/>
    <s v="Credit Card"/>
    <n v="4"/>
    <s v="Mi 11"/>
    <n v="27738.3"/>
    <s v="Good"/>
    <s v="Low"/>
  </r>
  <r>
    <s v="Gita362032"/>
    <n v="2032"/>
    <n v="9"/>
    <n v="5"/>
    <n v="2023"/>
    <d v="2023-05-09T00:00:00"/>
    <s v="May"/>
    <d v="2027-05-02T00:00:00"/>
    <x v="1"/>
    <n v="4"/>
    <n v="44862.79"/>
    <s v="Gita Rathod"/>
    <n v="36"/>
    <s v="Adult"/>
    <s v="Good"/>
    <x v="8"/>
    <s v="Cash"/>
    <n v="5"/>
    <s v="Vivo S1"/>
    <n v="179451.16"/>
    <s v="Good"/>
    <s v="Good"/>
  </r>
  <r>
    <s v="Arun572033"/>
    <n v="2033"/>
    <n v="10"/>
    <n v="5"/>
    <n v="2023"/>
    <d v="2023-05-10T00:00:00"/>
    <s v="May"/>
    <d v="2027-05-03T00:00:00"/>
    <x v="3"/>
    <n v="7"/>
    <n v="66653.77"/>
    <s v="Arun Prasad"/>
    <n v="57"/>
    <s v="Senior Citezen"/>
    <s v="BAD"/>
    <x v="9"/>
    <s v="Debit Card"/>
    <n v="1"/>
    <s v="Galaxy Note 20"/>
    <n v="466576.39"/>
    <s v="Average"/>
    <s v="Excellent"/>
  </r>
  <r>
    <s v="Mano182034"/>
    <n v="2034"/>
    <n v="10"/>
    <n v="5"/>
    <n v="2023"/>
    <d v="2023-05-10T00:00:00"/>
    <s v="May"/>
    <d v="2027-05-04T00:00:00"/>
    <x v="3"/>
    <n v="9"/>
    <n v="58708.79"/>
    <s v="Manoj Chatterjee"/>
    <n v="18"/>
    <s v="Teenagers"/>
    <s v="Good"/>
    <x v="9"/>
    <s v="Credit Card"/>
    <n v="5"/>
    <s v="Galaxy S21"/>
    <n v="528379.11"/>
    <s v="Good"/>
    <s v="Excellent"/>
  </r>
  <r>
    <s v="Roha522035"/>
    <n v="2035"/>
    <n v="10"/>
    <n v="5"/>
    <n v="2023"/>
    <d v="2023-05-10T00:00:00"/>
    <s v="May"/>
    <d v="2027-05-05T00:00:00"/>
    <x v="4"/>
    <n v="3"/>
    <n v="54509.96"/>
    <s v="Rohan Gupta"/>
    <n v="52"/>
    <s v="Senior Citezen"/>
    <s v="Good"/>
    <x v="17"/>
    <s v="Credit Card"/>
    <n v="4"/>
    <s v="iPhone 11"/>
    <n v="163529.88"/>
    <s v="Good"/>
    <s v="Good"/>
  </r>
  <r>
    <s v="Kira222036"/>
    <n v="2036"/>
    <n v="10"/>
    <n v="5"/>
    <n v="2023"/>
    <d v="2023-05-10T00:00:00"/>
    <s v="May"/>
    <d v="2027-05-06T00:00:00"/>
    <x v="2"/>
    <n v="7"/>
    <n v="54219.78"/>
    <s v="Kiran Chaudhary"/>
    <n v="22"/>
    <s v="Teenagers"/>
    <s v="BAD"/>
    <x v="2"/>
    <s v="Debit Card"/>
    <n v="2"/>
    <s v="OnePlus 9"/>
    <n v="379538.45999999996"/>
    <s v="Average"/>
    <s v="Excellent"/>
  </r>
  <r>
    <s v="Kavi292037"/>
    <n v="2037"/>
    <n v="11"/>
    <n v="5"/>
    <n v="2023"/>
    <d v="2023-05-11T00:00:00"/>
    <s v="May"/>
    <d v="2027-05-07T00:00:00"/>
    <x v="1"/>
    <n v="7"/>
    <n v="20681.22"/>
    <s v="Kavita Siddiqui"/>
    <n v="29"/>
    <s v="Teenagers"/>
    <s v="BAD"/>
    <x v="2"/>
    <s v="UPI"/>
    <n v="1"/>
    <s v="Vivo Y51"/>
    <n v="144768.54"/>
    <s v="Average"/>
    <s v="Good"/>
  </r>
  <r>
    <s v="Deep292038"/>
    <n v="2038"/>
    <n v="11"/>
    <n v="5"/>
    <n v="2023"/>
    <d v="2023-05-11T00:00:00"/>
    <s v="May"/>
    <d v="2027-05-08T00:00:00"/>
    <x v="1"/>
    <n v="7"/>
    <n v="59480.87"/>
    <s v="Deepika Dutta"/>
    <n v="29"/>
    <s v="Teenagers"/>
    <s v="Good"/>
    <x v="5"/>
    <s v="Debit Card"/>
    <n v="5"/>
    <s v="Vivo V20"/>
    <n v="416366.09"/>
    <s v="Good"/>
    <s v="Excellent"/>
  </r>
  <r>
    <s v="Radh382039"/>
    <n v="2039"/>
    <n v="11"/>
    <n v="5"/>
    <n v="2023"/>
    <d v="2023-05-11T00:00:00"/>
    <s v="May"/>
    <d v="2027-05-09T00:00:00"/>
    <x v="1"/>
    <n v="2"/>
    <n v="26567.119999999999"/>
    <s v="Radha Kulkarni"/>
    <n v="38"/>
    <s v="Adult"/>
    <s v="BAD"/>
    <x v="1"/>
    <s v="Debit Card"/>
    <n v="1"/>
    <s v="Vivo Y51"/>
    <n v="53134.239999999998"/>
    <s v="Average"/>
    <s v="Average"/>
  </r>
  <r>
    <s v="Meen362040"/>
    <n v="2040"/>
    <n v="11"/>
    <n v="5"/>
    <n v="2023"/>
    <d v="2023-05-11T00:00:00"/>
    <s v="May"/>
    <d v="2027-05-10T00:00:00"/>
    <x v="3"/>
    <n v="6"/>
    <n v="65822"/>
    <s v="Meena Mathur"/>
    <n v="36"/>
    <s v="Adult"/>
    <s v="BAD"/>
    <x v="17"/>
    <s v="Credit Card"/>
    <n v="1"/>
    <s v="Galaxy Note 20"/>
    <n v="394932"/>
    <s v="Average"/>
    <s v="Excellent"/>
  </r>
  <r>
    <s v="Roha262041"/>
    <n v="2041"/>
    <n v="12"/>
    <n v="5"/>
    <n v="2023"/>
    <d v="2023-05-12T00:00:00"/>
    <s v="May"/>
    <d v="2027-05-11T00:00:00"/>
    <x v="2"/>
    <n v="2"/>
    <n v="31878.400000000001"/>
    <s v="Rohan Menon"/>
    <n v="26"/>
    <s v="Teenagers"/>
    <s v="BAD"/>
    <x v="2"/>
    <s v="Cash"/>
    <n v="1"/>
    <s v="OnePlus 8T"/>
    <n v="63756.800000000003"/>
    <s v="Average"/>
    <s v="Average"/>
  </r>
  <r>
    <s v="Sneh532042"/>
    <n v="2042"/>
    <n v="12"/>
    <n v="5"/>
    <n v="2023"/>
    <d v="2023-05-12T00:00:00"/>
    <s v="May"/>
    <d v="2027-05-12T00:00:00"/>
    <x v="4"/>
    <n v="6"/>
    <n v="61459.62"/>
    <s v="Sneha Thakur"/>
    <n v="53"/>
    <s v="Senior Citezen"/>
    <s v="Good"/>
    <x v="3"/>
    <s v="Credit Card"/>
    <n v="4"/>
    <s v="iPhone 11"/>
    <n v="368757.72000000003"/>
    <s v="Good"/>
    <s v="Excellent"/>
  </r>
  <r>
    <s v="Mano592043"/>
    <n v="2043"/>
    <n v="12"/>
    <n v="5"/>
    <n v="2023"/>
    <d v="2023-05-12T00:00:00"/>
    <s v="May"/>
    <d v="2027-05-13T00:00:00"/>
    <x v="0"/>
    <n v="3"/>
    <n v="25974.01"/>
    <s v="Manoj Pathak"/>
    <n v="59"/>
    <s v="Senior Citezen"/>
    <s v="Good"/>
    <x v="1"/>
    <s v="Credit Card"/>
    <n v="4"/>
    <s v="Redmi 9"/>
    <n v="77922.03"/>
    <s v="Good"/>
    <s v="Average"/>
  </r>
  <r>
    <s v="Priy492044"/>
    <n v="2044"/>
    <n v="12"/>
    <n v="5"/>
    <n v="2023"/>
    <d v="2023-05-12T00:00:00"/>
    <s v="May"/>
    <d v="2027-05-14T00:00:00"/>
    <x v="0"/>
    <n v="2"/>
    <n v="40871.620000000003"/>
    <s v="Priyanka Teja"/>
    <n v="49"/>
    <s v="Senior Citezen"/>
    <s v="Good"/>
    <x v="17"/>
    <s v="Credit Card"/>
    <n v="4"/>
    <s v="Mi 11"/>
    <n v="81743.240000000005"/>
    <s v="Good"/>
    <s v="Average"/>
  </r>
  <r>
    <s v="Kira522045"/>
    <n v="2045"/>
    <n v="13"/>
    <n v="5"/>
    <n v="2023"/>
    <d v="2023-05-13T00:00:00"/>
    <s v="May"/>
    <d v="2027-05-15T00:00:00"/>
    <x v="1"/>
    <n v="6"/>
    <n v="16413.12"/>
    <s v="Kiran Nair"/>
    <n v="52"/>
    <s v="Senior Citezen"/>
    <s v="BAD"/>
    <x v="1"/>
    <s v="Debit Card"/>
    <n v="2"/>
    <s v="Vivo Y51"/>
    <n v="98478.720000000001"/>
    <s v="Average"/>
    <s v="Average"/>
  </r>
  <r>
    <s v="Roha482046"/>
    <n v="2046"/>
    <n v="13"/>
    <n v="5"/>
    <n v="2023"/>
    <d v="2023-05-13T00:00:00"/>
    <s v="May"/>
    <d v="2027-05-16T00:00:00"/>
    <x v="2"/>
    <n v="2"/>
    <n v="49607.13"/>
    <s v="Rohan Kapoor"/>
    <n v="48"/>
    <s v="Senior Citezen"/>
    <s v="Good"/>
    <x v="9"/>
    <s v="Debit Card"/>
    <n v="5"/>
    <s v="OnePlus Nord"/>
    <n v="99214.26"/>
    <s v="Good"/>
    <s v="Average"/>
  </r>
  <r>
    <s v="Bina492047"/>
    <n v="2047"/>
    <n v="13"/>
    <n v="5"/>
    <n v="2023"/>
    <d v="2023-05-13T00:00:00"/>
    <s v="May"/>
    <d v="2027-05-17T00:00:00"/>
    <x v="3"/>
    <n v="5"/>
    <n v="60164.76"/>
    <s v="Bina Das"/>
    <n v="49"/>
    <s v="Senior Citezen"/>
    <s v="BAD"/>
    <x v="1"/>
    <s v="Credit Card"/>
    <n v="2"/>
    <s v="Galaxy A51"/>
    <n v="300823.8"/>
    <s v="Average"/>
    <s v="Excellent"/>
  </r>
  <r>
    <s v="Yoge542048"/>
    <n v="2048"/>
    <n v="14"/>
    <n v="5"/>
    <n v="2023"/>
    <d v="2023-05-14T00:00:00"/>
    <s v="May"/>
    <d v="2027-05-18T00:00:00"/>
    <x v="2"/>
    <n v="2"/>
    <n v="53106.84"/>
    <s v="Yogesh Luthra"/>
    <n v="54"/>
    <s v="Senior Citezen"/>
    <s v="Good"/>
    <x v="1"/>
    <s v="Credit Card"/>
    <n v="5"/>
    <s v="OnePlus Nord"/>
    <n v="106213.68"/>
    <s v="Good"/>
    <s v="Good"/>
  </r>
  <r>
    <s v="Mala492049"/>
    <n v="2049"/>
    <n v="14"/>
    <n v="5"/>
    <n v="2023"/>
    <d v="2023-05-14T00:00:00"/>
    <s v="May"/>
    <d v="2027-05-19T00:00:00"/>
    <x v="2"/>
    <n v="3"/>
    <n v="41395.51"/>
    <s v="Mala Goyal"/>
    <n v="49"/>
    <s v="Senior Citezen"/>
    <s v="BAD"/>
    <x v="6"/>
    <s v="Cash"/>
    <n v="1"/>
    <s v="OnePlus Nord"/>
    <n v="124186.53"/>
    <s v="Average"/>
    <s v="Good"/>
  </r>
  <r>
    <s v="Sach542050"/>
    <n v="2050"/>
    <n v="14"/>
    <n v="5"/>
    <n v="2023"/>
    <d v="2023-05-14T00:00:00"/>
    <s v="May"/>
    <d v="2027-05-20T00:00:00"/>
    <x v="3"/>
    <n v="3"/>
    <n v="12706.95"/>
    <s v="Sachin Shah"/>
    <n v="54"/>
    <s v="Senior Citezen"/>
    <s v="Good"/>
    <x v="2"/>
    <s v="UPI"/>
    <n v="5"/>
    <s v="Galaxy A51"/>
    <n v="38120.850000000006"/>
    <s v="Good"/>
    <s v="Low"/>
  </r>
  <r>
    <s v="Adit562051"/>
    <n v="2051"/>
    <n v="14"/>
    <n v="5"/>
    <n v="2023"/>
    <d v="2023-05-14T00:00:00"/>
    <s v="May"/>
    <d v="2027-05-21T00:00:00"/>
    <x v="1"/>
    <n v="6"/>
    <n v="66006.460000000006"/>
    <s v="Aditya Nair"/>
    <n v="56"/>
    <s v="Senior Citezen"/>
    <s v="Good"/>
    <x v="1"/>
    <s v="Credit Card"/>
    <n v="5"/>
    <s v="Vivo S1"/>
    <n v="396038.76"/>
    <s v="Good"/>
    <s v="Excellent"/>
  </r>
  <r>
    <s v="Neet552052"/>
    <n v="2052"/>
    <n v="15"/>
    <n v="5"/>
    <n v="2023"/>
    <d v="2023-05-15T00:00:00"/>
    <s v="May"/>
    <d v="2027-05-22T00:00:00"/>
    <x v="2"/>
    <n v="6"/>
    <n v="52329.37"/>
    <s v="Neeta Sharma"/>
    <n v="55"/>
    <s v="Senior Citezen"/>
    <s v="BAD"/>
    <x v="10"/>
    <s v="Debit Card"/>
    <n v="1"/>
    <s v="OnePlus Nord"/>
    <n v="313976.22000000003"/>
    <s v="Average"/>
    <s v="Excellent"/>
  </r>
  <r>
    <s v="Rame472053"/>
    <n v="2053"/>
    <n v="15"/>
    <n v="5"/>
    <n v="2023"/>
    <d v="2023-05-15T00:00:00"/>
    <s v="May"/>
    <d v="2027-05-23T00:00:00"/>
    <x v="0"/>
    <n v="3"/>
    <n v="54751.85"/>
    <s v="Ramesh Kumar"/>
    <n v="47"/>
    <s v="Senior Citezen"/>
    <s v="BAD"/>
    <x v="18"/>
    <s v="UPI"/>
    <n v="2"/>
    <s v="Redmi 9"/>
    <n v="164255.54999999999"/>
    <s v="Average"/>
    <s v="Good"/>
  </r>
  <r>
    <s v="Shru492054"/>
    <n v="2054"/>
    <n v="15"/>
    <n v="5"/>
    <n v="2023"/>
    <d v="2023-05-15T00:00:00"/>
    <s v="May"/>
    <d v="2027-05-24T00:00:00"/>
    <x v="3"/>
    <n v="3"/>
    <n v="57680.83"/>
    <s v="Shruti Roy"/>
    <n v="49"/>
    <s v="Senior Citezen"/>
    <s v="Good"/>
    <x v="2"/>
    <s v="UPI"/>
    <n v="5"/>
    <s v="Galaxy A51"/>
    <n v="173042.49"/>
    <s v="Good"/>
    <s v="Good"/>
  </r>
  <r>
    <s v="Neet192055"/>
    <n v="2055"/>
    <n v="15"/>
    <n v="5"/>
    <n v="2023"/>
    <d v="2023-05-15T00:00:00"/>
    <s v="May"/>
    <d v="2027-05-25T00:00:00"/>
    <x v="4"/>
    <n v="1"/>
    <n v="54864.61"/>
    <s v="Neeta Mathur"/>
    <n v="19"/>
    <s v="Teenagers"/>
    <s v="BAD"/>
    <x v="2"/>
    <s v="Cash"/>
    <n v="2"/>
    <s v="iPhone SE"/>
    <n v="54864.61"/>
    <s v="Average"/>
    <s v="Average"/>
  </r>
  <r>
    <s v="Yoge282056"/>
    <n v="2056"/>
    <n v="16"/>
    <n v="5"/>
    <n v="2023"/>
    <d v="2023-05-16T00:00:00"/>
    <s v="May"/>
    <d v="2027-05-26T00:00:00"/>
    <x v="1"/>
    <n v="7"/>
    <n v="36466.97"/>
    <s v="Yogesh Luthra"/>
    <n v="28"/>
    <s v="Teenagers"/>
    <s v="BAD"/>
    <x v="17"/>
    <s v="UPI"/>
    <n v="2"/>
    <s v="Vivo S1"/>
    <n v="255268.79"/>
    <s v="Average"/>
    <s v="Excellent"/>
  </r>
  <r>
    <s v="Adit372057"/>
    <n v="2057"/>
    <n v="16"/>
    <n v="5"/>
    <n v="2023"/>
    <d v="2023-05-16T00:00:00"/>
    <s v="May"/>
    <d v="2027-05-27T00:00:00"/>
    <x v="3"/>
    <n v="8"/>
    <n v="54017.31"/>
    <s v="Aditya Iyer"/>
    <n v="37"/>
    <s v="Adult"/>
    <s v="Good"/>
    <x v="11"/>
    <s v="Credit Card"/>
    <n v="4"/>
    <s v="Galaxy S21"/>
    <n v="432138.48"/>
    <s v="Good"/>
    <s v="Excellent"/>
  </r>
  <r>
    <s v="Meen542058"/>
    <n v="2058"/>
    <n v="16"/>
    <n v="5"/>
    <n v="2023"/>
    <d v="2023-05-16T00:00:00"/>
    <s v="May"/>
    <d v="2027-05-28T00:00:00"/>
    <x v="4"/>
    <n v="2"/>
    <n v="47501.61"/>
    <s v="Meena Thakur"/>
    <n v="54"/>
    <s v="Senior Citezen"/>
    <s v="BAD"/>
    <x v="2"/>
    <s v="Credit Card"/>
    <n v="1"/>
    <s v="iPhone 11"/>
    <n v="95003.22"/>
    <s v="Average"/>
    <s v="Average"/>
  </r>
  <r>
    <s v="Tapa262059"/>
    <n v="2059"/>
    <n v="16"/>
    <n v="5"/>
    <n v="2023"/>
    <d v="2023-05-16T00:00:00"/>
    <s v="May"/>
    <d v="2027-05-29T00:00:00"/>
    <x v="4"/>
    <n v="4"/>
    <n v="61240.98"/>
    <s v="Tapan Joshi"/>
    <n v="26"/>
    <s v="Teenagers"/>
    <s v="BAD"/>
    <x v="13"/>
    <s v="Debit Card"/>
    <n v="1"/>
    <s v="iPhone 11"/>
    <n v="244963.92"/>
    <s v="Average"/>
    <s v="Excellent"/>
  </r>
  <r>
    <s v="Jyot552060"/>
    <n v="2060"/>
    <n v="17"/>
    <n v="5"/>
    <n v="2023"/>
    <d v="2023-05-17T00:00:00"/>
    <s v="May"/>
    <d v="2027-05-30T00:00:00"/>
    <x v="2"/>
    <n v="7"/>
    <n v="58147.59"/>
    <s v="Jyoti Ghosh"/>
    <n v="55"/>
    <s v="Senior Citezen"/>
    <s v="Good"/>
    <x v="1"/>
    <s v="Credit Card"/>
    <n v="4"/>
    <s v="OnePlus Nord"/>
    <n v="407033.13"/>
    <s v="Good"/>
    <s v="Excellent"/>
  </r>
  <r>
    <s v="Anja362061"/>
    <n v="2061"/>
    <n v="17"/>
    <n v="5"/>
    <n v="2023"/>
    <d v="2023-05-17T00:00:00"/>
    <s v="May"/>
    <d v="2027-05-31T00:00:00"/>
    <x v="2"/>
    <n v="8"/>
    <n v="12482.46"/>
    <s v="Anjali Varma"/>
    <n v="36"/>
    <s v="Adult"/>
    <s v="BAD"/>
    <x v="13"/>
    <s v="Credit Card"/>
    <n v="2"/>
    <s v="OnePlus Nord"/>
    <n v="99859.68"/>
    <s v="Average"/>
    <s v="Average"/>
  </r>
  <r>
    <s v="Nami572062"/>
    <n v="2062"/>
    <n v="17"/>
    <n v="5"/>
    <n v="2023"/>
    <d v="2023-05-17T00:00:00"/>
    <s v="May"/>
    <d v="2027-06-01T00:00:00"/>
    <x v="2"/>
    <n v="1"/>
    <n v="32733.23"/>
    <s v="Namita Kumar"/>
    <n v="57"/>
    <s v="Senior Citezen"/>
    <s v="Good"/>
    <x v="10"/>
    <s v="Cash"/>
    <n v="4"/>
    <s v="OnePlus 9"/>
    <n v="32733.23"/>
    <s v="Good"/>
    <s v="Low"/>
  </r>
  <r>
    <s v="Kris242063"/>
    <n v="2063"/>
    <n v="18"/>
    <n v="5"/>
    <n v="2023"/>
    <d v="2023-05-18T00:00:00"/>
    <s v="May"/>
    <d v="2027-06-02T00:00:00"/>
    <x v="3"/>
    <n v="4"/>
    <n v="12082.97"/>
    <s v="Krishna Pillai"/>
    <n v="24"/>
    <s v="Teenagers"/>
    <s v="BAD"/>
    <x v="1"/>
    <s v="UPI"/>
    <n v="1"/>
    <s v="Galaxy A51"/>
    <n v="48331.88"/>
    <s v="Average"/>
    <s v="Low"/>
  </r>
  <r>
    <s v="Shru222064"/>
    <n v="2064"/>
    <n v="18"/>
    <n v="5"/>
    <n v="2023"/>
    <d v="2023-05-18T00:00:00"/>
    <s v="May"/>
    <d v="2027-06-03T00:00:00"/>
    <x v="3"/>
    <n v="6"/>
    <n v="16124.5"/>
    <s v="Shruti Alva"/>
    <n v="22"/>
    <s v="Teenagers"/>
    <s v="BAD"/>
    <x v="16"/>
    <s v="Cash"/>
    <n v="1"/>
    <s v="Galaxy S21"/>
    <n v="96747"/>
    <s v="Average"/>
    <s v="Average"/>
  </r>
  <r>
    <s v="Kris592065"/>
    <n v="2065"/>
    <n v="18"/>
    <n v="5"/>
    <n v="2023"/>
    <d v="2023-05-18T00:00:00"/>
    <s v="May"/>
    <d v="2027-06-04T00:00:00"/>
    <x v="1"/>
    <n v="3"/>
    <n v="46084.639999999999"/>
    <s v="Krishna Patel"/>
    <n v="59"/>
    <s v="Senior Citezen"/>
    <s v="Good"/>
    <x v="13"/>
    <s v="UPI"/>
    <n v="4"/>
    <s v="Vivo Y51"/>
    <n v="138253.91999999998"/>
    <s v="Good"/>
    <s v="Good"/>
  </r>
  <r>
    <s v="Anja412066"/>
    <n v="2066"/>
    <n v="18"/>
    <n v="5"/>
    <n v="2023"/>
    <d v="2023-05-18T00:00:00"/>
    <s v="May"/>
    <d v="2027-06-05T00:00:00"/>
    <x v="2"/>
    <n v="5"/>
    <n v="62429.31"/>
    <s v="Anjali Sharma"/>
    <n v="41"/>
    <s v="Adult"/>
    <s v="BAD"/>
    <x v="18"/>
    <s v="Cash"/>
    <n v="1"/>
    <s v="OnePlus 8T"/>
    <n v="312146.55"/>
    <s v="Average"/>
    <s v="Excellent"/>
  </r>
  <r>
    <s v="Meen582067"/>
    <n v="2067"/>
    <n v="19"/>
    <n v="5"/>
    <n v="2023"/>
    <d v="2023-05-19T00:00:00"/>
    <s v="May"/>
    <d v="2027-06-06T00:00:00"/>
    <x v="4"/>
    <n v="9"/>
    <n v="17189.490000000002"/>
    <s v="Meena Chatterjee"/>
    <n v="58"/>
    <s v="Senior Citezen"/>
    <s v="BAD"/>
    <x v="17"/>
    <s v="Debit Card"/>
    <n v="1"/>
    <s v="iPhone SE"/>
    <n v="154705.41"/>
    <s v="Average"/>
    <s v="Good"/>
  </r>
  <r>
    <s v="Sach242068"/>
    <n v="2068"/>
    <n v="19"/>
    <n v="5"/>
    <n v="2023"/>
    <d v="2023-05-19T00:00:00"/>
    <s v="May"/>
    <d v="2027-06-07T00:00:00"/>
    <x v="0"/>
    <n v="3"/>
    <n v="37065.360000000001"/>
    <s v="Sachin Desai"/>
    <n v="24"/>
    <s v="Teenagers"/>
    <s v="Good"/>
    <x v="7"/>
    <s v="Cash"/>
    <n v="4"/>
    <s v="Redmi Note 10"/>
    <n v="111196.08"/>
    <s v="Good"/>
    <s v="Good"/>
  </r>
  <r>
    <s v="Meen282069"/>
    <n v="2069"/>
    <n v="19"/>
    <n v="5"/>
    <n v="2023"/>
    <d v="2023-05-19T00:00:00"/>
    <s v="May"/>
    <d v="2027-06-08T00:00:00"/>
    <x v="1"/>
    <n v="5"/>
    <n v="64652.73"/>
    <s v="Meena Sheth"/>
    <n v="28"/>
    <s v="Teenagers"/>
    <s v="Good"/>
    <x v="17"/>
    <s v="Cash"/>
    <n v="5"/>
    <s v="Vivo V20"/>
    <n v="323263.65000000002"/>
    <s v="Good"/>
    <s v="Excellent"/>
  </r>
  <r>
    <s v="Radh262070"/>
    <n v="2070"/>
    <n v="20"/>
    <n v="5"/>
    <n v="2023"/>
    <d v="2023-05-20T00:00:00"/>
    <s v="May"/>
    <d v="2027-06-09T00:00:00"/>
    <x v="3"/>
    <n v="8"/>
    <n v="58858.06"/>
    <s v="Radha Solanki"/>
    <n v="26"/>
    <s v="Teenagers"/>
    <s v="Good"/>
    <x v="1"/>
    <s v="Debit Card"/>
    <n v="4"/>
    <s v="Galaxy Note 20"/>
    <n v="470864.48"/>
    <s v="Good"/>
    <s v="Excellent"/>
  </r>
  <r>
    <s v="Kira472071"/>
    <n v="2071"/>
    <n v="20"/>
    <n v="5"/>
    <n v="2023"/>
    <d v="2023-05-20T00:00:00"/>
    <s v="May"/>
    <d v="2027-06-10T00:00:00"/>
    <x v="1"/>
    <n v="6"/>
    <n v="41180.07"/>
    <s v="Kiran Chaudhary"/>
    <n v="47"/>
    <s v="Senior Citezen"/>
    <s v="Good"/>
    <x v="18"/>
    <s v="Credit Card"/>
    <n v="5"/>
    <s v="Vivo Y51"/>
    <n v="247080.41999999998"/>
    <s v="Good"/>
    <s v="Excellent"/>
  </r>
  <r>
    <s v="Anit582072"/>
    <n v="2072"/>
    <n v="20"/>
    <n v="5"/>
    <n v="2023"/>
    <d v="2023-05-20T00:00:00"/>
    <s v="May"/>
    <d v="2027-06-11T00:00:00"/>
    <x v="1"/>
    <n v="4"/>
    <n v="56294.29"/>
    <s v="Anita Varma"/>
    <n v="58"/>
    <s v="Senior Citezen"/>
    <s v="Good"/>
    <x v="16"/>
    <s v="Credit Card"/>
    <n v="4"/>
    <s v="Vivo V20"/>
    <n v="225177.16"/>
    <s v="Good"/>
    <s v="Excellent"/>
  </r>
  <r>
    <s v="Kavi202073"/>
    <n v="2073"/>
    <n v="20"/>
    <n v="5"/>
    <n v="2023"/>
    <d v="2023-05-20T00:00:00"/>
    <s v="May"/>
    <d v="2027-06-12T00:00:00"/>
    <x v="1"/>
    <n v="8"/>
    <n v="41361.629999999997"/>
    <s v="Kavita Goyal"/>
    <n v="20"/>
    <s v="Teenagers"/>
    <s v="Good"/>
    <x v="2"/>
    <s v="Debit Card"/>
    <n v="4"/>
    <s v="Vivo V20"/>
    <n v="330893.03999999998"/>
    <s v="Good"/>
    <s v="Excellent"/>
  </r>
  <r>
    <s v="Nikh392074"/>
    <n v="2074"/>
    <n v="21"/>
    <n v="5"/>
    <n v="2023"/>
    <d v="2023-05-21T00:00:00"/>
    <s v="May"/>
    <d v="2027-06-13T00:00:00"/>
    <x v="1"/>
    <n v="3"/>
    <n v="19485.54"/>
    <s v="Nikhil Solanki"/>
    <n v="39"/>
    <s v="Adult"/>
    <s v="BAD"/>
    <x v="1"/>
    <s v="Debit Card"/>
    <n v="2"/>
    <s v="Vivo Y51"/>
    <n v="58456.62"/>
    <s v="Average"/>
    <s v="Average"/>
  </r>
  <r>
    <s v="Amit572075"/>
    <n v="2075"/>
    <n v="21"/>
    <n v="5"/>
    <n v="2023"/>
    <d v="2023-05-21T00:00:00"/>
    <s v="May"/>
    <d v="2027-06-14T00:00:00"/>
    <x v="0"/>
    <n v="3"/>
    <n v="17484.169999999998"/>
    <s v="Amit Srivastava"/>
    <n v="57"/>
    <s v="Senior Citezen"/>
    <s v="Good"/>
    <x v="1"/>
    <s v="Cash"/>
    <n v="4"/>
    <s v="Redmi Note 10"/>
    <n v="52452.509999999995"/>
    <s v="Good"/>
    <s v="Average"/>
  </r>
  <r>
    <s v="Anit372076"/>
    <n v="2076"/>
    <n v="21"/>
    <n v="5"/>
    <n v="2023"/>
    <d v="2023-05-21T00:00:00"/>
    <s v="May"/>
    <d v="2027-06-15T00:00:00"/>
    <x v="2"/>
    <n v="4"/>
    <n v="21302.09"/>
    <s v="Anita Kumar"/>
    <n v="37"/>
    <s v="Adult"/>
    <s v="Good"/>
    <x v="1"/>
    <s v="Debit Card"/>
    <n v="4"/>
    <s v="OnePlus 8T"/>
    <n v="85208.36"/>
    <s v="Good"/>
    <s v="Average"/>
  </r>
  <r>
    <s v="Umes492077"/>
    <n v="2077"/>
    <n v="22"/>
    <n v="5"/>
    <n v="2023"/>
    <d v="2023-05-22T00:00:00"/>
    <s v="May"/>
    <d v="2027-06-16T00:00:00"/>
    <x v="4"/>
    <n v="9"/>
    <n v="31055.33"/>
    <s v="Umesh Chaudhary"/>
    <n v="49"/>
    <s v="Senior Citezen"/>
    <s v="BAD"/>
    <x v="15"/>
    <s v="Debit Card"/>
    <n v="2"/>
    <s v="iPhone 12"/>
    <n v="279497.97000000003"/>
    <s v="Average"/>
    <s v="Excellent"/>
  </r>
  <r>
    <s v="Mano242078"/>
    <n v="2078"/>
    <n v="22"/>
    <n v="5"/>
    <n v="2023"/>
    <d v="2023-05-22T00:00:00"/>
    <s v="May"/>
    <d v="2027-06-17T00:00:00"/>
    <x v="1"/>
    <n v="5"/>
    <n v="65831.759999999995"/>
    <s v="Manoj Kapoor"/>
    <n v="24"/>
    <s v="Teenagers"/>
    <s v="Good"/>
    <x v="0"/>
    <s v="UPI"/>
    <n v="4"/>
    <s v="Vivo S1"/>
    <n v="329158.8"/>
    <s v="Good"/>
    <s v="Excellent"/>
  </r>
  <r>
    <s v="Neet242079"/>
    <n v="2079"/>
    <n v="22"/>
    <n v="5"/>
    <n v="2023"/>
    <d v="2023-05-22T00:00:00"/>
    <s v="May"/>
    <d v="2027-06-18T00:00:00"/>
    <x v="1"/>
    <n v="8"/>
    <n v="57980.7"/>
    <s v="Neeta Nair"/>
    <n v="24"/>
    <s v="Teenagers"/>
    <s v="Good"/>
    <x v="7"/>
    <s v="UPI"/>
    <n v="4"/>
    <s v="Vivo Y51"/>
    <n v="463845.6"/>
    <s v="Good"/>
    <s v="Excellent"/>
  </r>
  <r>
    <s v="Mala372080"/>
    <n v="2080"/>
    <n v="23"/>
    <n v="5"/>
    <n v="2023"/>
    <d v="2023-05-23T00:00:00"/>
    <s v="May"/>
    <d v="2027-06-19T00:00:00"/>
    <x v="1"/>
    <n v="6"/>
    <n v="35968.089999999997"/>
    <s v="Mala Ghosh"/>
    <n v="37"/>
    <s v="Adult"/>
    <s v="BAD"/>
    <x v="9"/>
    <s v="Credit Card"/>
    <n v="2"/>
    <s v="Vivo V20"/>
    <n v="215808.53999999998"/>
    <s v="Average"/>
    <s v="Excellent"/>
  </r>
  <r>
    <s v="Anja422081"/>
    <n v="2081"/>
    <n v="23"/>
    <n v="5"/>
    <n v="2023"/>
    <d v="2023-05-23T00:00:00"/>
    <s v="May"/>
    <d v="2027-06-20T00:00:00"/>
    <x v="2"/>
    <n v="3"/>
    <n v="39584.6"/>
    <s v="Anjali Das"/>
    <n v="42"/>
    <s v="Adult"/>
    <s v="Good"/>
    <x v="12"/>
    <s v="Debit Card"/>
    <n v="5"/>
    <s v="OnePlus 8T"/>
    <n v="118753.79999999999"/>
    <s v="Good"/>
    <s v="Good"/>
  </r>
  <r>
    <s v="Reen522082"/>
    <n v="2082"/>
    <n v="23"/>
    <n v="5"/>
    <n v="2023"/>
    <d v="2023-05-23T00:00:00"/>
    <s v="May"/>
    <d v="2027-06-21T00:00:00"/>
    <x v="3"/>
    <n v="8"/>
    <n v="25936.57"/>
    <s v="Reena Goyal"/>
    <n v="52"/>
    <s v="Senior Citezen"/>
    <s v="Good"/>
    <x v="0"/>
    <s v="Cash"/>
    <n v="4"/>
    <s v="Galaxy S21"/>
    <n v="207492.56"/>
    <s v="Good"/>
    <s v="Excellent"/>
  </r>
  <r>
    <s v="Pras412083"/>
    <n v="2083"/>
    <n v="23"/>
    <n v="5"/>
    <n v="2023"/>
    <d v="2023-05-23T00:00:00"/>
    <s v="May"/>
    <d v="2027-06-22T00:00:00"/>
    <x v="3"/>
    <n v="9"/>
    <n v="52261.18"/>
    <s v="Prashant Mathur"/>
    <n v="41"/>
    <s v="Adult"/>
    <s v="BAD"/>
    <x v="1"/>
    <s v="Credit Card"/>
    <n v="1"/>
    <s v="Galaxy A51"/>
    <n v="470350.62"/>
    <s v="Average"/>
    <s v="Excellent"/>
  </r>
  <r>
    <s v="Tapa572084"/>
    <n v="2084"/>
    <n v="24"/>
    <n v="5"/>
    <n v="2023"/>
    <d v="2023-05-24T00:00:00"/>
    <s v="May"/>
    <d v="2027-06-23T00:00:00"/>
    <x v="0"/>
    <n v="8"/>
    <n v="58165.94"/>
    <s v="Tapan Patel"/>
    <n v="57"/>
    <s v="Senior Citezen"/>
    <s v="BAD"/>
    <x v="15"/>
    <s v="Credit Card"/>
    <n v="2"/>
    <s v="Redmi 9"/>
    <n v="465327.52"/>
    <s v="Average"/>
    <s v="Excellent"/>
  </r>
  <r>
    <s v="Vino302085"/>
    <n v="2085"/>
    <n v="24"/>
    <n v="5"/>
    <n v="2023"/>
    <d v="2023-05-24T00:00:00"/>
    <s v="May"/>
    <d v="2027-06-24T00:00:00"/>
    <x v="3"/>
    <n v="4"/>
    <n v="24334.28"/>
    <s v="Vinod Kaur"/>
    <n v="30"/>
    <s v="Teenagers"/>
    <s v="BAD"/>
    <x v="0"/>
    <s v="Credit Card"/>
    <n v="1"/>
    <s v="Galaxy A51"/>
    <n v="97337.12"/>
    <s v="Average"/>
    <s v="Average"/>
  </r>
  <r>
    <s v="Meen562086"/>
    <n v="2086"/>
    <n v="24"/>
    <n v="5"/>
    <n v="2023"/>
    <d v="2023-05-24T00:00:00"/>
    <s v="May"/>
    <d v="2027-06-25T00:00:00"/>
    <x v="1"/>
    <n v="6"/>
    <n v="12509.3"/>
    <s v="Meena Das"/>
    <n v="56"/>
    <s v="Senior Citezen"/>
    <s v="BAD"/>
    <x v="16"/>
    <s v="Debit Card"/>
    <n v="2"/>
    <s v="Vivo Y51"/>
    <n v="75055.799999999988"/>
    <s v="Average"/>
    <s v="Average"/>
  </r>
  <r>
    <s v="Deve212087"/>
    <n v="2087"/>
    <n v="25"/>
    <n v="5"/>
    <n v="2023"/>
    <d v="2023-05-25T00:00:00"/>
    <s v="May"/>
    <d v="2027-06-26T00:00:00"/>
    <x v="1"/>
    <n v="1"/>
    <n v="47433.34"/>
    <s v="Devendra Arora"/>
    <n v="21"/>
    <s v="Teenagers"/>
    <s v="Good"/>
    <x v="8"/>
    <s v="Debit Card"/>
    <n v="5"/>
    <s v="Vivo S1"/>
    <n v="47433.34"/>
    <s v="Good"/>
    <s v="Low"/>
  </r>
  <r>
    <s v="Sach292088"/>
    <n v="2088"/>
    <n v="25"/>
    <n v="5"/>
    <n v="2023"/>
    <d v="2023-05-25T00:00:00"/>
    <s v="May"/>
    <d v="2027-06-27T00:00:00"/>
    <x v="1"/>
    <n v="4"/>
    <n v="43750.73"/>
    <s v="Sachin Nambiar"/>
    <n v="29"/>
    <s v="Teenagers"/>
    <s v="BAD"/>
    <x v="6"/>
    <s v="Cash"/>
    <n v="2"/>
    <s v="Vivo Y51"/>
    <n v="175002.92"/>
    <s v="Average"/>
    <s v="Good"/>
  </r>
  <r>
    <s v="Adit342089"/>
    <n v="2089"/>
    <n v="25"/>
    <n v="5"/>
    <n v="2023"/>
    <d v="2023-05-25T00:00:00"/>
    <s v="May"/>
    <d v="2027-06-28T00:00:00"/>
    <x v="0"/>
    <n v="8"/>
    <n v="34127.870000000003"/>
    <s v="Aditya Joshi"/>
    <n v="34"/>
    <s v="Adult"/>
    <s v="Good"/>
    <x v="2"/>
    <s v="Cash"/>
    <n v="4"/>
    <s v="Redmi 9"/>
    <n v="273022.96000000002"/>
    <s v="Good"/>
    <s v="Excellent"/>
  </r>
  <r>
    <s v="Tapa182090"/>
    <n v="2090"/>
    <n v="25"/>
    <n v="5"/>
    <n v="2023"/>
    <d v="2023-05-25T00:00:00"/>
    <s v="May"/>
    <d v="2027-06-29T00:00:00"/>
    <x v="1"/>
    <n v="1"/>
    <n v="48633.64"/>
    <s v="Tapan Varma"/>
    <n v="18"/>
    <s v="Teenagers"/>
    <s v="BAD"/>
    <x v="4"/>
    <s v="Credit Card"/>
    <n v="1"/>
    <s v="Vivo Y51"/>
    <n v="48633.64"/>
    <s v="Average"/>
    <s v="Low"/>
  </r>
  <r>
    <s v="Suni342091"/>
    <n v="2091"/>
    <n v="26"/>
    <n v="5"/>
    <n v="2023"/>
    <d v="2023-05-26T00:00:00"/>
    <s v="May"/>
    <d v="2027-06-30T00:00:00"/>
    <x v="3"/>
    <n v="3"/>
    <n v="43036.800000000003"/>
    <s v="Sunita Arora"/>
    <n v="34"/>
    <s v="Adult"/>
    <s v="BAD"/>
    <x v="1"/>
    <s v="Debit Card"/>
    <n v="1"/>
    <s v="Galaxy A51"/>
    <n v="129110.40000000001"/>
    <s v="Average"/>
    <s v="Good"/>
  </r>
  <r>
    <s v="Lata192092"/>
    <n v="2092"/>
    <n v="26"/>
    <n v="5"/>
    <n v="2023"/>
    <d v="2023-05-26T00:00:00"/>
    <s v="May"/>
    <d v="2027-07-01T00:00:00"/>
    <x v="2"/>
    <n v="1"/>
    <n v="25034.89"/>
    <s v="Lata Dutta"/>
    <n v="19"/>
    <s v="Teenagers"/>
    <s v="BAD"/>
    <x v="1"/>
    <s v="Cash"/>
    <n v="2"/>
    <s v="OnePlus 9"/>
    <n v="25034.89"/>
    <s v="Average"/>
    <s v="Low"/>
  </r>
  <r>
    <s v="Adit232093"/>
    <n v="2093"/>
    <n v="26"/>
    <n v="5"/>
    <n v="2023"/>
    <d v="2023-05-26T00:00:00"/>
    <s v="May"/>
    <d v="2027-07-02T00:00:00"/>
    <x v="2"/>
    <n v="9"/>
    <n v="33863.74"/>
    <s v="Aditya Patel"/>
    <n v="23"/>
    <s v="Teenagers"/>
    <s v="Good"/>
    <x v="8"/>
    <s v="UPI"/>
    <n v="4"/>
    <s v="OnePlus 9"/>
    <n v="304773.65999999997"/>
    <s v="Good"/>
    <s v="Excellent"/>
  </r>
  <r>
    <s v="Isha282094"/>
    <n v="2094"/>
    <n v="26"/>
    <n v="5"/>
    <n v="2023"/>
    <d v="2023-05-26T00:00:00"/>
    <s v="May"/>
    <d v="2027-07-03T00:00:00"/>
    <x v="4"/>
    <n v="2"/>
    <n v="35686.81"/>
    <s v="Isha Thakur"/>
    <n v="28"/>
    <s v="Teenagers"/>
    <s v="Good"/>
    <x v="2"/>
    <s v="UPI"/>
    <n v="4"/>
    <s v="iPhone 11"/>
    <n v="71373.62"/>
    <s v="Good"/>
    <s v="Average"/>
  </r>
  <r>
    <s v="Mano352095"/>
    <n v="2095"/>
    <n v="27"/>
    <n v="5"/>
    <n v="2023"/>
    <d v="2023-05-27T00:00:00"/>
    <s v="May"/>
    <d v="2027-07-04T00:00:00"/>
    <x v="3"/>
    <n v="9"/>
    <n v="62814.879999999997"/>
    <s v="Manoj Shah"/>
    <n v="35"/>
    <s v="Adult"/>
    <s v="BAD"/>
    <x v="0"/>
    <s v="Credit Card"/>
    <n v="2"/>
    <s v="Galaxy A51"/>
    <n v="565333.91999999993"/>
    <s v="Average"/>
    <s v="Excellent"/>
  </r>
  <r>
    <s v="Pooj572096"/>
    <n v="2096"/>
    <n v="27"/>
    <n v="5"/>
    <n v="2023"/>
    <d v="2023-05-27T00:00:00"/>
    <s v="May"/>
    <d v="2027-07-05T00:00:00"/>
    <x v="1"/>
    <n v="4"/>
    <n v="67654.25"/>
    <s v="Pooja Deshmukh"/>
    <n v="57"/>
    <s v="Senior Citezen"/>
    <s v="Good"/>
    <x v="1"/>
    <s v="UPI"/>
    <n v="4"/>
    <s v="Vivo S1"/>
    <n v="270617"/>
    <s v="Good"/>
    <s v="Excellent"/>
  </r>
  <r>
    <s v="Tanu422097"/>
    <n v="2097"/>
    <n v="27"/>
    <n v="5"/>
    <n v="2023"/>
    <d v="2023-05-27T00:00:00"/>
    <s v="May"/>
    <d v="2027-07-06T00:00:00"/>
    <x v="2"/>
    <n v="2"/>
    <n v="63580.08"/>
    <s v="Tanuja Roy"/>
    <n v="42"/>
    <s v="Adult"/>
    <s v="Good"/>
    <x v="1"/>
    <s v="Credit Card"/>
    <n v="5"/>
    <s v="OnePlus 9"/>
    <n v="127160.16"/>
    <s v="Good"/>
    <s v="Good"/>
  </r>
  <r>
    <s v="Lata562098"/>
    <n v="2098"/>
    <n v="27"/>
    <n v="5"/>
    <n v="2023"/>
    <d v="2023-05-27T00:00:00"/>
    <s v="May"/>
    <d v="2027-07-07T00:00:00"/>
    <x v="3"/>
    <n v="4"/>
    <n v="53150.68"/>
    <s v="Lata Kaur"/>
    <n v="56"/>
    <s v="Senior Citezen"/>
    <s v="BAD"/>
    <x v="12"/>
    <s v="Debit Card"/>
    <n v="2"/>
    <s v="Galaxy A51"/>
    <n v="212602.72"/>
    <s v="Average"/>
    <s v="Excellent"/>
  </r>
  <r>
    <s v="Mala452099"/>
    <n v="2099"/>
    <n v="28"/>
    <n v="5"/>
    <n v="2023"/>
    <d v="2023-05-28T00:00:00"/>
    <s v="May"/>
    <d v="2027-07-08T00:00:00"/>
    <x v="2"/>
    <n v="6"/>
    <n v="45099.56"/>
    <s v="Mala Malhotra"/>
    <n v="45"/>
    <s v="Adult"/>
    <s v="Good"/>
    <x v="1"/>
    <s v="Credit Card"/>
    <n v="4"/>
    <s v="OnePlus Nord"/>
    <n v="270597.36"/>
    <s v="Good"/>
    <s v="Excellent"/>
  </r>
  <r>
    <s v="Priy332100"/>
    <n v="2100"/>
    <n v="28"/>
    <n v="5"/>
    <n v="2023"/>
    <d v="2023-05-28T00:00:00"/>
    <s v="May"/>
    <d v="2027-07-09T00:00:00"/>
    <x v="1"/>
    <n v="7"/>
    <n v="51355.7"/>
    <s v="Priyanka Nambiar"/>
    <n v="33"/>
    <s v="Adult"/>
    <s v="Good"/>
    <x v="10"/>
    <s v="Credit Card"/>
    <n v="5"/>
    <s v="Vivo Y51"/>
    <n v="359489.89999999997"/>
    <s v="Good"/>
    <s v="Excellent"/>
  </r>
  <r>
    <s v="Sneh292101"/>
    <n v="2101"/>
    <n v="28"/>
    <n v="5"/>
    <n v="2023"/>
    <d v="2023-05-28T00:00:00"/>
    <s v="May"/>
    <d v="2027-07-10T00:00:00"/>
    <x v="2"/>
    <n v="3"/>
    <n v="66346.55"/>
    <s v="Sneha Menon"/>
    <n v="29"/>
    <s v="Teenagers"/>
    <s v="BAD"/>
    <x v="5"/>
    <s v="Debit Card"/>
    <n v="2"/>
    <s v="OnePlus 9"/>
    <n v="199039.65000000002"/>
    <s v="Average"/>
    <s v="Good"/>
  </r>
  <r>
    <s v="Raje582102"/>
    <n v="2102"/>
    <n v="29"/>
    <n v="5"/>
    <n v="2023"/>
    <d v="2023-05-29T00:00:00"/>
    <s v="May"/>
    <d v="2027-07-11T00:00:00"/>
    <x v="4"/>
    <n v="3"/>
    <n v="24999.919999999998"/>
    <s v="Rajesh Shah"/>
    <n v="58"/>
    <s v="Senior Citezen"/>
    <s v="Good"/>
    <x v="1"/>
    <s v="Cash"/>
    <n v="5"/>
    <s v="iPhone SE"/>
    <n v="74999.759999999995"/>
    <s v="Good"/>
    <s v="Average"/>
  </r>
  <r>
    <s v="Navi462103"/>
    <n v="2103"/>
    <n v="29"/>
    <n v="5"/>
    <n v="2023"/>
    <d v="2023-05-29T00:00:00"/>
    <s v="May"/>
    <d v="2027-07-12T00:00:00"/>
    <x v="4"/>
    <n v="8"/>
    <n v="42107.23"/>
    <s v="Navin Nair"/>
    <n v="46"/>
    <s v="Senior Citezen"/>
    <s v="Good"/>
    <x v="1"/>
    <s v="Cash"/>
    <n v="4"/>
    <s v="iPhone SE"/>
    <n v="336857.84"/>
    <s v="Good"/>
    <s v="Excellent"/>
  </r>
  <r>
    <s v="Shru402104"/>
    <n v="2104"/>
    <n v="29"/>
    <n v="5"/>
    <n v="2023"/>
    <d v="2023-05-29T00:00:00"/>
    <s v="May"/>
    <d v="2027-07-13T00:00:00"/>
    <x v="2"/>
    <n v="5"/>
    <n v="51376.480000000003"/>
    <s v="Shruti Mehta"/>
    <n v="40"/>
    <s v="Adult"/>
    <s v="Good"/>
    <x v="18"/>
    <s v="Cash"/>
    <n v="4"/>
    <s v="OnePlus 8T"/>
    <n v="256882.40000000002"/>
    <s v="Good"/>
    <s v="Excellent"/>
  </r>
  <r>
    <s v="Sach382105"/>
    <n v="2105"/>
    <n v="30"/>
    <n v="5"/>
    <n v="2023"/>
    <d v="2023-05-30T00:00:00"/>
    <s v="May"/>
    <d v="2027-07-14T00:00:00"/>
    <x v="3"/>
    <n v="4"/>
    <n v="50754.82"/>
    <s v="Sachin Arora"/>
    <n v="38"/>
    <s v="Adult"/>
    <s v="Good"/>
    <x v="14"/>
    <s v="Cash"/>
    <n v="4"/>
    <s v="Galaxy Note 20"/>
    <n v="203019.28"/>
    <s v="Good"/>
    <s v="Excellent"/>
  </r>
  <r>
    <s v="Lata332106"/>
    <n v="2106"/>
    <n v="30"/>
    <n v="5"/>
    <n v="2023"/>
    <d v="2023-05-30T00:00:00"/>
    <s v="May"/>
    <d v="2027-07-15T00:00:00"/>
    <x v="3"/>
    <n v="7"/>
    <n v="25136.74"/>
    <s v="Lata Alva"/>
    <n v="33"/>
    <s v="Adult"/>
    <s v="Good"/>
    <x v="4"/>
    <s v="Credit Card"/>
    <n v="4"/>
    <s v="Galaxy Note 20"/>
    <n v="175957.18000000002"/>
    <s v="Good"/>
    <s v="Good"/>
  </r>
  <r>
    <s v="Nami582107"/>
    <n v="2107"/>
    <n v="30"/>
    <n v="5"/>
    <n v="2023"/>
    <d v="2023-05-30T00:00:00"/>
    <s v="May"/>
    <d v="2027-07-16T00:00:00"/>
    <x v="3"/>
    <n v="7"/>
    <n v="45203.89"/>
    <s v="Namita Roy"/>
    <n v="58"/>
    <s v="Senior Citezen"/>
    <s v="Good"/>
    <x v="14"/>
    <s v="Cash"/>
    <n v="4"/>
    <s v="Galaxy Note 20"/>
    <n v="316427.23"/>
    <s v="Good"/>
    <s v="Excellent"/>
  </r>
  <r>
    <s v="Vino432108"/>
    <n v="2108"/>
    <n v="30"/>
    <n v="5"/>
    <n v="2023"/>
    <d v="2023-05-30T00:00:00"/>
    <s v="May"/>
    <d v="2027-07-17T00:00:00"/>
    <x v="2"/>
    <n v="9"/>
    <n v="57754.79"/>
    <s v="Vinod Chatterjee"/>
    <n v="43"/>
    <s v="Adult"/>
    <s v="Good"/>
    <x v="1"/>
    <s v="UPI"/>
    <n v="4"/>
    <s v="OnePlus Nord"/>
    <n v="519793.11"/>
    <s v="Good"/>
    <s v="Excellent"/>
  </r>
  <r>
    <s v="Shru542109"/>
    <n v="2109"/>
    <n v="31"/>
    <n v="5"/>
    <n v="2023"/>
    <d v="2023-05-31T00:00:00"/>
    <s v="May"/>
    <d v="2027-07-18T00:00:00"/>
    <x v="3"/>
    <n v="9"/>
    <n v="38504.74"/>
    <s v="Shruti Roy"/>
    <n v="54"/>
    <s v="Senior Citezen"/>
    <s v="BAD"/>
    <x v="2"/>
    <s v="UPI"/>
    <n v="2"/>
    <s v="Galaxy A51"/>
    <n v="346542.66"/>
    <s v="Average"/>
    <s v="Excellent"/>
  </r>
  <r>
    <s v="Neet392110"/>
    <n v="2110"/>
    <n v="31"/>
    <n v="5"/>
    <n v="2023"/>
    <d v="2023-05-31T00:00:00"/>
    <s v="May"/>
    <d v="2027-07-19T00:00:00"/>
    <x v="1"/>
    <n v="5"/>
    <n v="57597.88"/>
    <s v="Neeta Nair"/>
    <n v="39"/>
    <s v="Adult"/>
    <s v="BAD"/>
    <x v="2"/>
    <s v="Cash"/>
    <n v="2"/>
    <s v="Vivo S1"/>
    <n v="287989.39999999997"/>
    <s v="Average"/>
    <s v="Excellent"/>
  </r>
  <r>
    <s v="Bhav272111"/>
    <n v="2111"/>
    <n v="31"/>
    <n v="5"/>
    <n v="2023"/>
    <d v="2023-05-31T00:00:00"/>
    <s v="May"/>
    <d v="2027-07-20T00:00:00"/>
    <x v="4"/>
    <n v="8"/>
    <n v="31592.959999999999"/>
    <s v="Bhavana Teja"/>
    <n v="27"/>
    <s v="Teenagers"/>
    <s v="Good"/>
    <x v="3"/>
    <s v="UPI"/>
    <n v="5"/>
    <s v="iPhone 11"/>
    <n v="252743.67999999999"/>
    <s v="Good"/>
    <s v="Excellent"/>
  </r>
  <r>
    <s v="Suni242112"/>
    <n v="2112"/>
    <n v="31"/>
    <n v="5"/>
    <n v="2023"/>
    <d v="2023-05-31T00:00:00"/>
    <s v="May"/>
    <d v="2027-07-21T00:00:00"/>
    <x v="1"/>
    <n v="1"/>
    <n v="66325.61"/>
    <s v="Sunil Varma"/>
    <n v="24"/>
    <s v="Teenagers"/>
    <s v="BAD"/>
    <x v="1"/>
    <s v="UPI"/>
    <n v="2"/>
    <s v="Vivo S1"/>
    <n v="66325.61"/>
    <s v="Average"/>
    <s v="Average"/>
  </r>
  <r>
    <s v="Adit262113"/>
    <n v="2113"/>
    <n v="1"/>
    <n v="6"/>
    <n v="2023"/>
    <d v="2023-06-01T00:00:00"/>
    <s v="June"/>
    <d v="2027-07-22T00:00:00"/>
    <x v="3"/>
    <n v="9"/>
    <n v="42035.71"/>
    <s v="Aditya Rao"/>
    <n v="26"/>
    <s v="Teenagers"/>
    <s v="BAD"/>
    <x v="7"/>
    <s v="Debit Card"/>
    <n v="2"/>
    <s v="Galaxy S21"/>
    <n v="378321.39"/>
    <s v="Average"/>
    <s v="Excellent"/>
  </r>
  <r>
    <s v="Pooj422114"/>
    <n v="2114"/>
    <n v="1"/>
    <n v="6"/>
    <n v="2023"/>
    <d v="2023-06-01T00:00:00"/>
    <s v="June"/>
    <d v="2027-07-23T00:00:00"/>
    <x v="1"/>
    <n v="8"/>
    <n v="45756.88"/>
    <s v="Pooja Rao"/>
    <n v="42"/>
    <s v="Adult"/>
    <s v="Good"/>
    <x v="1"/>
    <s v="Debit Card"/>
    <n v="5"/>
    <s v="Vivo V20"/>
    <n v="366055.04"/>
    <s v="Good"/>
    <s v="Excellent"/>
  </r>
  <r>
    <s v="Neet322115"/>
    <n v="2115"/>
    <n v="1"/>
    <n v="6"/>
    <n v="2023"/>
    <d v="2023-06-01T00:00:00"/>
    <s v="June"/>
    <d v="2027-07-24T00:00:00"/>
    <x v="3"/>
    <n v="6"/>
    <n v="11881.69"/>
    <s v="Neeta Desai"/>
    <n v="32"/>
    <s v="Adult"/>
    <s v="BAD"/>
    <x v="13"/>
    <s v="Cash"/>
    <n v="1"/>
    <s v="Galaxy A51"/>
    <n v="71290.14"/>
    <s v="Average"/>
    <s v="Average"/>
  </r>
  <r>
    <s v="Deep302116"/>
    <n v="2116"/>
    <n v="2"/>
    <n v="6"/>
    <n v="2023"/>
    <d v="2023-06-02T00:00:00"/>
    <s v="June"/>
    <d v="2027-07-25T00:00:00"/>
    <x v="2"/>
    <n v="3"/>
    <n v="20216.150000000001"/>
    <s v="Deepika Deshmukh"/>
    <n v="30"/>
    <s v="Teenagers"/>
    <s v="Good"/>
    <x v="8"/>
    <s v="Credit Card"/>
    <n v="4"/>
    <s v="OnePlus 8T"/>
    <n v="60648.450000000004"/>
    <s v="Good"/>
    <s v="Average"/>
  </r>
  <r>
    <s v="Tanu592117"/>
    <n v="2117"/>
    <n v="2"/>
    <n v="6"/>
    <n v="2023"/>
    <d v="2023-06-02T00:00:00"/>
    <s v="June"/>
    <d v="2027-07-26T00:00:00"/>
    <x v="1"/>
    <n v="3"/>
    <n v="47976.03"/>
    <s v="Tanuja Mathur"/>
    <n v="59"/>
    <s v="Senior Citezen"/>
    <s v="BAD"/>
    <x v="15"/>
    <s v="Credit Card"/>
    <n v="2"/>
    <s v="Vivo V20"/>
    <n v="143928.09"/>
    <s v="Average"/>
    <s v="Good"/>
  </r>
  <r>
    <s v="Tanu432118"/>
    <n v="2118"/>
    <n v="2"/>
    <n v="6"/>
    <n v="2023"/>
    <d v="2023-06-02T00:00:00"/>
    <s v="June"/>
    <d v="2027-07-27T00:00:00"/>
    <x v="2"/>
    <n v="8"/>
    <n v="35192.22"/>
    <s v="Tanuja Mathur"/>
    <n v="43"/>
    <s v="Adult"/>
    <s v="Good"/>
    <x v="11"/>
    <s v="Debit Card"/>
    <n v="5"/>
    <s v="OnePlus Nord"/>
    <n v="281537.76"/>
    <s v="Good"/>
    <s v="Excellent"/>
  </r>
  <r>
    <s v="Lata382119"/>
    <n v="2119"/>
    <n v="2"/>
    <n v="6"/>
    <n v="2023"/>
    <d v="2023-06-02T00:00:00"/>
    <s v="June"/>
    <d v="2027-07-28T00:00:00"/>
    <x v="2"/>
    <n v="5"/>
    <n v="40489.83"/>
    <s v="Lata Mehta"/>
    <n v="38"/>
    <s v="Adult"/>
    <s v="Good"/>
    <x v="3"/>
    <s v="Debit Card"/>
    <n v="4"/>
    <s v="OnePlus 9"/>
    <n v="202449.15000000002"/>
    <s v="Good"/>
    <s v="Excellent"/>
  </r>
  <r>
    <s v="Nikh402120"/>
    <n v="2120"/>
    <n v="3"/>
    <n v="6"/>
    <n v="2023"/>
    <d v="2023-06-03T00:00:00"/>
    <s v="June"/>
    <d v="2027-07-29T00:00:00"/>
    <x v="0"/>
    <n v="7"/>
    <n v="13778.28"/>
    <s v="Nikhil Jain"/>
    <n v="40"/>
    <s v="Adult"/>
    <s v="Good"/>
    <x v="6"/>
    <s v="Credit Card"/>
    <n v="4"/>
    <s v="Redmi Note 10"/>
    <n v="96447.96"/>
    <s v="Good"/>
    <s v="Average"/>
  </r>
  <r>
    <s v="Priy452121"/>
    <n v="2121"/>
    <n v="3"/>
    <n v="6"/>
    <n v="2023"/>
    <d v="2023-06-03T00:00:00"/>
    <s v="June"/>
    <d v="2027-07-30T00:00:00"/>
    <x v="3"/>
    <n v="5"/>
    <n v="60048.11"/>
    <s v="Priyanka Ghosh"/>
    <n v="45"/>
    <s v="Adult"/>
    <s v="BAD"/>
    <x v="7"/>
    <s v="Cash"/>
    <n v="2"/>
    <s v="Galaxy S21"/>
    <n v="300240.55"/>
    <s v="Average"/>
    <s v="Excellent"/>
  </r>
  <r>
    <s v="Anit552122"/>
    <n v="2122"/>
    <n v="3"/>
    <n v="6"/>
    <n v="2023"/>
    <d v="2023-06-03T00:00:00"/>
    <s v="June"/>
    <d v="2027-07-31T00:00:00"/>
    <x v="4"/>
    <n v="8"/>
    <n v="57070.34"/>
    <s v="Anita Joshi"/>
    <n v="55"/>
    <s v="Senior Citezen"/>
    <s v="Good"/>
    <x v="2"/>
    <s v="Credit Card"/>
    <n v="4"/>
    <s v="iPhone 12"/>
    <n v="456562.72"/>
    <s v="Good"/>
    <s v="Excellent"/>
  </r>
  <r>
    <s v="Navi292123"/>
    <n v="2123"/>
    <n v="3"/>
    <n v="6"/>
    <n v="2023"/>
    <d v="2023-06-03T00:00:00"/>
    <s v="June"/>
    <d v="2027-08-01T00:00:00"/>
    <x v="3"/>
    <n v="4"/>
    <n v="21121.24"/>
    <s v="Navin Gupta"/>
    <n v="29"/>
    <s v="Teenagers"/>
    <s v="Good"/>
    <x v="2"/>
    <s v="Credit Card"/>
    <n v="5"/>
    <s v="Galaxy A51"/>
    <n v="84484.96"/>
    <s v="Good"/>
    <s v="Average"/>
  </r>
  <r>
    <s v="Tapa412124"/>
    <n v="2124"/>
    <n v="4"/>
    <n v="6"/>
    <n v="2023"/>
    <d v="2023-06-04T00:00:00"/>
    <s v="June"/>
    <d v="2027-08-02T00:00:00"/>
    <x v="4"/>
    <n v="2"/>
    <n v="48059.76"/>
    <s v="Tapan Rathod"/>
    <n v="41"/>
    <s v="Adult"/>
    <s v="Good"/>
    <x v="0"/>
    <s v="UPI"/>
    <n v="5"/>
    <s v="iPhone 12"/>
    <n v="96119.52"/>
    <s v="Good"/>
    <s v="Average"/>
  </r>
  <r>
    <s v="Sach302125"/>
    <n v="2125"/>
    <n v="4"/>
    <n v="6"/>
    <n v="2023"/>
    <d v="2023-06-04T00:00:00"/>
    <s v="June"/>
    <d v="2027-08-03T00:00:00"/>
    <x v="3"/>
    <n v="3"/>
    <n v="59098.91"/>
    <s v="Sachin Goyal"/>
    <n v="30"/>
    <s v="Teenagers"/>
    <s v="Good"/>
    <x v="1"/>
    <s v="Credit Card"/>
    <n v="5"/>
    <s v="Galaxy A51"/>
    <n v="177296.73"/>
    <s v="Good"/>
    <s v="Good"/>
  </r>
  <r>
    <s v="Gita572126"/>
    <n v="2126"/>
    <n v="4"/>
    <n v="6"/>
    <n v="2023"/>
    <d v="2023-06-04T00:00:00"/>
    <s v="June"/>
    <d v="2027-08-04T00:00:00"/>
    <x v="2"/>
    <n v="8"/>
    <n v="48451.25"/>
    <s v="Gita Teja"/>
    <n v="57"/>
    <s v="Senior Citezen"/>
    <s v="Good"/>
    <x v="1"/>
    <s v="Debit Card"/>
    <n v="5"/>
    <s v="OnePlus 9"/>
    <n v="387610"/>
    <s v="Good"/>
    <s v="Excellent"/>
  </r>
  <r>
    <s v="Anja192127"/>
    <n v="2127"/>
    <n v="4"/>
    <n v="6"/>
    <n v="2023"/>
    <d v="2023-06-04T00:00:00"/>
    <s v="June"/>
    <d v="2027-08-05T00:00:00"/>
    <x v="1"/>
    <n v="7"/>
    <n v="28623.89"/>
    <s v="Anjali Pathak"/>
    <n v="19"/>
    <s v="Teenagers"/>
    <s v="Good"/>
    <x v="1"/>
    <s v="Cash"/>
    <n v="5"/>
    <s v="Vivo V20"/>
    <n v="200367.22999999998"/>
    <s v="Good"/>
    <s v="Excellent"/>
  </r>
  <r>
    <s v="Deve562128"/>
    <n v="2128"/>
    <n v="5"/>
    <n v="6"/>
    <n v="2023"/>
    <d v="2023-06-05T00:00:00"/>
    <s v="June"/>
    <d v="2027-08-06T00:00:00"/>
    <x v="1"/>
    <n v="2"/>
    <n v="49366.67"/>
    <s v="Devendra Pathak"/>
    <n v="56"/>
    <s v="Senior Citezen"/>
    <s v="Good"/>
    <x v="10"/>
    <s v="Credit Card"/>
    <n v="4"/>
    <s v="Vivo V20"/>
    <n v="98733.34"/>
    <s v="Good"/>
    <s v="Average"/>
  </r>
  <r>
    <s v="Anan292129"/>
    <n v="2129"/>
    <n v="5"/>
    <n v="6"/>
    <n v="2023"/>
    <d v="2023-06-05T00:00:00"/>
    <s v="June"/>
    <d v="2027-08-07T00:00:00"/>
    <x v="0"/>
    <n v="6"/>
    <n v="22627.7"/>
    <s v="Anand Joshi"/>
    <n v="29"/>
    <s v="Teenagers"/>
    <s v="Good"/>
    <x v="3"/>
    <s v="UPI"/>
    <n v="5"/>
    <s v="Redmi 9"/>
    <n v="135766.20000000001"/>
    <s v="Good"/>
    <s v="Good"/>
  </r>
  <r>
    <s v="Pank562130"/>
    <n v="2130"/>
    <n v="5"/>
    <n v="6"/>
    <n v="2023"/>
    <d v="2023-06-05T00:00:00"/>
    <s v="June"/>
    <d v="2027-08-08T00:00:00"/>
    <x v="4"/>
    <n v="9"/>
    <n v="29095.3"/>
    <s v="Pankaj Mathur"/>
    <n v="56"/>
    <s v="Senior Citezen"/>
    <s v="Good"/>
    <x v="15"/>
    <s v="Debit Card"/>
    <n v="4"/>
    <s v="iPhone 12"/>
    <n v="261857.69999999998"/>
    <s v="Good"/>
    <s v="Excellent"/>
  </r>
  <r>
    <s v="Moni312131"/>
    <n v="2131"/>
    <n v="6"/>
    <n v="6"/>
    <n v="2023"/>
    <d v="2023-06-06T00:00:00"/>
    <s v="June"/>
    <d v="2027-08-09T00:00:00"/>
    <x v="4"/>
    <n v="4"/>
    <n v="24404.18"/>
    <s v="Monika Thakur"/>
    <n v="31"/>
    <s v="Adult"/>
    <s v="Good"/>
    <x v="0"/>
    <s v="Debit Card"/>
    <n v="4"/>
    <s v="iPhone 12"/>
    <n v="97616.72"/>
    <s v="Good"/>
    <s v="Average"/>
  </r>
  <r>
    <s v="Bina472132"/>
    <n v="2132"/>
    <n v="6"/>
    <n v="6"/>
    <n v="2023"/>
    <d v="2023-06-06T00:00:00"/>
    <s v="June"/>
    <d v="2027-08-10T00:00:00"/>
    <x v="4"/>
    <n v="9"/>
    <n v="43415.51"/>
    <s v="Bina Goyal"/>
    <n v="47"/>
    <s v="Senior Citezen"/>
    <s v="Good"/>
    <x v="13"/>
    <s v="UPI"/>
    <n v="4"/>
    <s v="iPhone 11"/>
    <n v="390739.59"/>
    <s v="Good"/>
    <s v="Excellent"/>
  </r>
  <r>
    <s v="Vive582133"/>
    <n v="2133"/>
    <n v="6"/>
    <n v="6"/>
    <n v="2023"/>
    <d v="2023-06-06T00:00:00"/>
    <s v="June"/>
    <d v="2027-08-11T00:00:00"/>
    <x v="2"/>
    <n v="2"/>
    <n v="16493.599999999999"/>
    <s v="Vivek Bhattacharya"/>
    <n v="58"/>
    <s v="Senior Citezen"/>
    <s v="Good"/>
    <x v="2"/>
    <s v="Debit Card"/>
    <n v="4"/>
    <s v="OnePlus 9"/>
    <n v="32987.199999999997"/>
    <s v="Good"/>
    <s v="Low"/>
  </r>
  <r>
    <s v="Priy362134"/>
    <n v="2134"/>
    <n v="7"/>
    <n v="6"/>
    <n v="2023"/>
    <d v="2023-06-07T00:00:00"/>
    <s v="June"/>
    <d v="2027-08-12T00:00:00"/>
    <x v="4"/>
    <n v="2"/>
    <n v="65998.62"/>
    <s v="Priya Sharma"/>
    <n v="36"/>
    <s v="Adult"/>
    <s v="BAD"/>
    <x v="18"/>
    <s v="UPI"/>
    <n v="1"/>
    <s v="iPhone 11"/>
    <n v="131997.24"/>
    <s v="Average"/>
    <s v="Good"/>
  </r>
  <r>
    <s v="Nami482135"/>
    <n v="2135"/>
    <n v="7"/>
    <n v="6"/>
    <n v="2023"/>
    <d v="2023-06-07T00:00:00"/>
    <s v="June"/>
    <d v="2027-08-13T00:00:00"/>
    <x v="1"/>
    <n v="9"/>
    <n v="30010.74"/>
    <s v="Namita Mehta"/>
    <n v="48"/>
    <s v="Senior Citezen"/>
    <s v="BAD"/>
    <x v="15"/>
    <s v="Debit Card"/>
    <n v="2"/>
    <s v="Vivo S1"/>
    <n v="270096.66000000003"/>
    <s v="Average"/>
    <s v="Excellent"/>
  </r>
  <r>
    <s v="Kira422136"/>
    <n v="2136"/>
    <n v="7"/>
    <n v="6"/>
    <n v="2023"/>
    <d v="2023-06-07T00:00:00"/>
    <s v="June"/>
    <d v="2027-08-14T00:00:00"/>
    <x v="2"/>
    <n v="7"/>
    <n v="23138.21"/>
    <s v="Kiran Srivastava"/>
    <n v="42"/>
    <s v="Adult"/>
    <s v="Good"/>
    <x v="9"/>
    <s v="Debit Card"/>
    <n v="4"/>
    <s v="OnePlus 9"/>
    <n v="161967.47"/>
    <s v="Good"/>
    <s v="Good"/>
  </r>
  <r>
    <s v="Suni212137"/>
    <n v="2137"/>
    <n v="8"/>
    <n v="6"/>
    <n v="2023"/>
    <d v="2023-06-08T00:00:00"/>
    <s v="June"/>
    <d v="2027-08-15T00:00:00"/>
    <x v="3"/>
    <n v="7"/>
    <n v="39792.99"/>
    <s v="Sunita Iyer"/>
    <n v="21"/>
    <s v="Teenagers"/>
    <s v="BAD"/>
    <x v="7"/>
    <s v="Debit Card"/>
    <n v="1"/>
    <s v="Galaxy S21"/>
    <n v="278550.93"/>
    <s v="Average"/>
    <s v="Excellent"/>
  </r>
  <r>
    <s v="Anit302138"/>
    <n v="2138"/>
    <n v="8"/>
    <n v="6"/>
    <n v="2023"/>
    <d v="2023-06-08T00:00:00"/>
    <s v="June"/>
    <d v="2027-08-16T00:00:00"/>
    <x v="4"/>
    <n v="1"/>
    <n v="26619.87"/>
    <s v="Anita Srivastava"/>
    <n v="30"/>
    <s v="Teenagers"/>
    <s v="Good"/>
    <x v="3"/>
    <s v="Debit Card"/>
    <n v="4"/>
    <s v="iPhone 11"/>
    <n v="26619.87"/>
    <s v="Good"/>
    <s v="Low"/>
  </r>
  <r>
    <s v="Isha532139"/>
    <n v="2139"/>
    <n v="8"/>
    <n v="6"/>
    <n v="2023"/>
    <d v="2023-06-08T00:00:00"/>
    <s v="June"/>
    <d v="2027-08-17T00:00:00"/>
    <x v="4"/>
    <n v="6"/>
    <n v="42094.25"/>
    <s v="Isha Luthra"/>
    <n v="53"/>
    <s v="Senior Citezen"/>
    <s v="Good"/>
    <x v="0"/>
    <s v="UPI"/>
    <n v="4"/>
    <s v="iPhone 11"/>
    <n v="252565.5"/>
    <s v="Good"/>
    <s v="Excellent"/>
  </r>
  <r>
    <s v="Hari592140"/>
    <n v="2140"/>
    <n v="8"/>
    <n v="6"/>
    <n v="2023"/>
    <d v="2023-06-08T00:00:00"/>
    <s v="June"/>
    <d v="2027-08-18T00:00:00"/>
    <x v="3"/>
    <n v="7"/>
    <n v="30910.55"/>
    <s v="Harish Thakur"/>
    <n v="59"/>
    <s v="Senior Citezen"/>
    <s v="Good"/>
    <x v="16"/>
    <s v="Credit Card"/>
    <n v="4"/>
    <s v="Galaxy S21"/>
    <n v="216373.85"/>
    <s v="Good"/>
    <s v="Excellent"/>
  </r>
  <r>
    <s v="Arun542141"/>
    <n v="2141"/>
    <n v="9"/>
    <n v="6"/>
    <n v="2023"/>
    <d v="2023-06-09T00:00:00"/>
    <s v="June"/>
    <d v="2027-08-19T00:00:00"/>
    <x v="4"/>
    <n v="6"/>
    <n v="17924.009999999998"/>
    <s v="Arun Desai"/>
    <n v="54"/>
    <s v="Senior Citezen"/>
    <s v="Good"/>
    <x v="2"/>
    <s v="Debit Card"/>
    <n v="5"/>
    <s v="iPhone SE"/>
    <n v="107544.06"/>
    <s v="Good"/>
    <s v="Good"/>
  </r>
  <r>
    <s v="Priy202142"/>
    <n v="2142"/>
    <n v="9"/>
    <n v="6"/>
    <n v="2023"/>
    <d v="2023-06-09T00:00:00"/>
    <s v="June"/>
    <d v="2027-08-20T00:00:00"/>
    <x v="3"/>
    <n v="6"/>
    <n v="25953.71"/>
    <s v="Priyanka Mishra"/>
    <n v="20"/>
    <s v="Teenagers"/>
    <s v="Good"/>
    <x v="8"/>
    <s v="UPI"/>
    <n v="4"/>
    <s v="Galaxy Note 20"/>
    <n v="155722.26"/>
    <s v="Good"/>
    <s v="Good"/>
  </r>
  <r>
    <s v="Raje332143"/>
    <n v="2143"/>
    <n v="9"/>
    <n v="6"/>
    <n v="2023"/>
    <d v="2023-06-09T00:00:00"/>
    <s v="June"/>
    <d v="2027-08-21T00:00:00"/>
    <x v="2"/>
    <n v="2"/>
    <n v="36306.39"/>
    <s v="Rajesh Verma"/>
    <n v="33"/>
    <s v="Adult"/>
    <s v="Good"/>
    <x v="2"/>
    <s v="UPI"/>
    <n v="4"/>
    <s v="OnePlus 9"/>
    <n v="72612.78"/>
    <s v="Good"/>
    <s v="Average"/>
  </r>
  <r>
    <s v="Sach432144"/>
    <n v="2144"/>
    <n v="9"/>
    <n v="6"/>
    <n v="2023"/>
    <d v="2023-06-09T00:00:00"/>
    <s v="June"/>
    <d v="2027-08-22T00:00:00"/>
    <x v="1"/>
    <n v="6"/>
    <n v="11817.59"/>
    <s v="Sachin Goyal"/>
    <n v="43"/>
    <s v="Adult"/>
    <s v="BAD"/>
    <x v="15"/>
    <s v="UPI"/>
    <n v="2"/>
    <s v="Vivo Y51"/>
    <n v="70905.540000000008"/>
    <s v="Average"/>
    <s v="Average"/>
  </r>
  <r>
    <s v="Moni572145"/>
    <n v="2145"/>
    <n v="10"/>
    <n v="6"/>
    <n v="2023"/>
    <d v="2023-06-10T00:00:00"/>
    <s v="June"/>
    <d v="2027-08-23T00:00:00"/>
    <x v="3"/>
    <n v="4"/>
    <n v="56238.55"/>
    <s v="Monika Mehta"/>
    <n v="57"/>
    <s v="Senior Citezen"/>
    <s v="Good"/>
    <x v="2"/>
    <s v="Credit Card"/>
    <n v="4"/>
    <s v="Galaxy A51"/>
    <n v="224954.2"/>
    <s v="Good"/>
    <s v="Excellent"/>
  </r>
  <r>
    <s v="Raje562146"/>
    <n v="2146"/>
    <n v="10"/>
    <n v="6"/>
    <n v="2023"/>
    <d v="2023-06-10T00:00:00"/>
    <s v="June"/>
    <d v="2027-08-24T00:00:00"/>
    <x v="0"/>
    <n v="9"/>
    <n v="47309.47"/>
    <s v="Rajesh Menon"/>
    <n v="56"/>
    <s v="Senior Citezen"/>
    <s v="BAD"/>
    <x v="1"/>
    <s v="Cash"/>
    <n v="1"/>
    <s v="Mi 11"/>
    <n v="425785.23"/>
    <s v="Average"/>
    <s v="Excellent"/>
  </r>
  <r>
    <s v="Mala362147"/>
    <n v="2147"/>
    <n v="10"/>
    <n v="6"/>
    <n v="2023"/>
    <d v="2023-06-10T00:00:00"/>
    <s v="June"/>
    <d v="2027-08-25T00:00:00"/>
    <x v="3"/>
    <n v="1"/>
    <n v="46081.58"/>
    <s v="Mala Thakur"/>
    <n v="36"/>
    <s v="Adult"/>
    <s v="Good"/>
    <x v="9"/>
    <s v="UPI"/>
    <n v="4"/>
    <s v="Galaxy S21"/>
    <n v="46081.58"/>
    <s v="Good"/>
    <s v="Low"/>
  </r>
  <r>
    <s v="Roha322148"/>
    <n v="2148"/>
    <n v="10"/>
    <n v="6"/>
    <n v="2023"/>
    <d v="2023-06-10T00:00:00"/>
    <s v="June"/>
    <d v="2027-08-26T00:00:00"/>
    <x v="4"/>
    <n v="8"/>
    <n v="42763"/>
    <s v="Rohan Singh"/>
    <n v="32"/>
    <s v="Adult"/>
    <s v="BAD"/>
    <x v="1"/>
    <s v="UPI"/>
    <n v="1"/>
    <s v="iPhone 11"/>
    <n v="342104"/>
    <s v="Average"/>
    <s v="Excellent"/>
  </r>
  <r>
    <s v="Tapa492149"/>
    <n v="2149"/>
    <n v="11"/>
    <n v="6"/>
    <n v="2023"/>
    <d v="2023-06-11T00:00:00"/>
    <s v="June"/>
    <d v="2027-08-27T00:00:00"/>
    <x v="2"/>
    <n v="5"/>
    <n v="45418.79"/>
    <s v="Tapan Varma"/>
    <n v="49"/>
    <s v="Senior Citezen"/>
    <s v="Good"/>
    <x v="7"/>
    <s v="UPI"/>
    <n v="5"/>
    <s v="OnePlus Nord"/>
    <n v="227093.95"/>
    <s v="Good"/>
    <s v="Excellent"/>
  </r>
  <r>
    <s v="Vive382150"/>
    <n v="2150"/>
    <n v="11"/>
    <n v="6"/>
    <n v="2023"/>
    <d v="2023-06-11T00:00:00"/>
    <s v="June"/>
    <d v="2027-08-28T00:00:00"/>
    <x v="2"/>
    <n v="1"/>
    <n v="66079.12"/>
    <s v="Vivek Jain"/>
    <n v="38"/>
    <s v="Adult"/>
    <s v="Good"/>
    <x v="1"/>
    <s v="Credit Card"/>
    <n v="5"/>
    <s v="OnePlus 9"/>
    <n v="66079.12"/>
    <s v="Good"/>
    <s v="Average"/>
  </r>
  <r>
    <s v="Pank182151"/>
    <n v="2151"/>
    <n v="11"/>
    <n v="6"/>
    <n v="2023"/>
    <d v="2023-06-11T00:00:00"/>
    <s v="June"/>
    <d v="2027-08-29T00:00:00"/>
    <x v="3"/>
    <n v="4"/>
    <n v="10514.15"/>
    <s v="Pankaj Kapoor"/>
    <n v="18"/>
    <s v="Teenagers"/>
    <s v="BAD"/>
    <x v="9"/>
    <s v="Debit Card"/>
    <n v="2"/>
    <s v="Galaxy S21"/>
    <n v="42056.6"/>
    <s v="Average"/>
    <s v="Low"/>
  </r>
  <r>
    <s v="Adit232152"/>
    <n v="2152"/>
    <n v="12"/>
    <n v="6"/>
    <n v="2023"/>
    <d v="2023-06-12T00:00:00"/>
    <s v="June"/>
    <d v="2027-08-30T00:00:00"/>
    <x v="1"/>
    <n v="1"/>
    <n v="12867.98"/>
    <s v="Aditya Luthra"/>
    <n v="23"/>
    <s v="Teenagers"/>
    <s v="Good"/>
    <x v="10"/>
    <s v="Credit Card"/>
    <n v="4"/>
    <s v="Vivo V20"/>
    <n v="12867.98"/>
    <s v="Good"/>
    <s v="Low"/>
  </r>
  <r>
    <s v="Anit442153"/>
    <n v="2153"/>
    <n v="12"/>
    <n v="6"/>
    <n v="2023"/>
    <d v="2023-06-12T00:00:00"/>
    <s v="June"/>
    <d v="2027-08-31T00:00:00"/>
    <x v="0"/>
    <n v="6"/>
    <n v="21489.599999999999"/>
    <s v="Anita Bhattacharya"/>
    <n v="44"/>
    <s v="Adult"/>
    <s v="BAD"/>
    <x v="1"/>
    <s v="UPI"/>
    <n v="2"/>
    <s v="Redmi Note 10"/>
    <n v="128937.59999999999"/>
    <s v="Average"/>
    <s v="Good"/>
  </r>
  <r>
    <s v="Anan402154"/>
    <n v="2154"/>
    <n v="12"/>
    <n v="6"/>
    <n v="2023"/>
    <d v="2023-06-12T00:00:00"/>
    <s v="June"/>
    <d v="2027-09-01T00:00:00"/>
    <x v="2"/>
    <n v="2"/>
    <n v="20038.080000000002"/>
    <s v="Anand Joshi"/>
    <n v="40"/>
    <s v="Adult"/>
    <s v="BAD"/>
    <x v="1"/>
    <s v="Cash"/>
    <n v="1"/>
    <s v="OnePlus Nord"/>
    <n v="40076.160000000003"/>
    <s v="Average"/>
    <s v="Low"/>
  </r>
  <r>
    <s v="Raje482155"/>
    <n v="2155"/>
    <n v="12"/>
    <n v="6"/>
    <n v="2023"/>
    <d v="2023-06-12T00:00:00"/>
    <s v="June"/>
    <d v="2027-09-02T00:00:00"/>
    <x v="4"/>
    <n v="5"/>
    <n v="20871.669999999998"/>
    <s v="Rajesh Prasad"/>
    <n v="48"/>
    <s v="Senior Citezen"/>
    <s v="BAD"/>
    <x v="7"/>
    <s v="UPI"/>
    <n v="2"/>
    <s v="iPhone 12"/>
    <n v="104358.34999999999"/>
    <s v="Average"/>
    <s v="Good"/>
  </r>
  <r>
    <s v="Rame292156"/>
    <n v="2156"/>
    <n v="13"/>
    <n v="6"/>
    <n v="2023"/>
    <d v="2023-06-13T00:00:00"/>
    <s v="June"/>
    <d v="2027-09-03T00:00:00"/>
    <x v="4"/>
    <n v="7"/>
    <n v="50316.63"/>
    <s v="Ramesh Sharma"/>
    <n v="29"/>
    <s v="Teenagers"/>
    <s v="BAD"/>
    <x v="5"/>
    <s v="Debit Card"/>
    <n v="1"/>
    <s v="iPhone SE"/>
    <n v="352216.41"/>
    <s v="Average"/>
    <s v="Excellent"/>
  </r>
  <r>
    <s v="Bina382157"/>
    <n v="2157"/>
    <n v="13"/>
    <n v="6"/>
    <n v="2023"/>
    <d v="2023-06-13T00:00:00"/>
    <s v="June"/>
    <d v="2027-09-04T00:00:00"/>
    <x v="1"/>
    <n v="2"/>
    <n v="37569"/>
    <s v="Bina Patel"/>
    <n v="38"/>
    <s v="Adult"/>
    <s v="BAD"/>
    <x v="1"/>
    <s v="Cash"/>
    <n v="2"/>
    <s v="Vivo S1"/>
    <n v="75138"/>
    <s v="Average"/>
    <s v="Average"/>
  </r>
  <r>
    <s v="Arun192158"/>
    <n v="2158"/>
    <n v="13"/>
    <n v="6"/>
    <n v="2023"/>
    <d v="2023-06-13T00:00:00"/>
    <s v="June"/>
    <d v="2027-09-05T00:00:00"/>
    <x v="2"/>
    <n v="6"/>
    <n v="69506.73"/>
    <s v="Arun Iyer"/>
    <n v="19"/>
    <s v="Teenagers"/>
    <s v="Good"/>
    <x v="1"/>
    <s v="Cash"/>
    <n v="5"/>
    <s v="OnePlus 8T"/>
    <n v="417040.38"/>
    <s v="Good"/>
    <s v="Excellent"/>
  </r>
  <r>
    <s v="Adit222159"/>
    <n v="2159"/>
    <n v="13"/>
    <n v="6"/>
    <n v="2023"/>
    <d v="2023-06-13T00:00:00"/>
    <s v="June"/>
    <d v="2027-09-06T00:00:00"/>
    <x v="3"/>
    <n v="6"/>
    <n v="23613.15"/>
    <s v="Aditya Jain"/>
    <n v="22"/>
    <s v="Teenagers"/>
    <s v="Good"/>
    <x v="14"/>
    <s v="Credit Card"/>
    <n v="4"/>
    <s v="Galaxy Note 20"/>
    <n v="141678.90000000002"/>
    <s v="Good"/>
    <s v="Good"/>
  </r>
  <r>
    <s v="Deep262160"/>
    <n v="2160"/>
    <n v="14"/>
    <n v="6"/>
    <n v="2023"/>
    <d v="2023-06-14T00:00:00"/>
    <s v="June"/>
    <d v="2027-09-07T00:00:00"/>
    <x v="4"/>
    <n v="5"/>
    <n v="28649.81"/>
    <s v="Deepika Prasad"/>
    <n v="26"/>
    <s v="Teenagers"/>
    <s v="BAD"/>
    <x v="2"/>
    <s v="Credit Card"/>
    <n v="2"/>
    <s v="iPhone 12"/>
    <n v="143249.05000000002"/>
    <s v="Average"/>
    <s v="Good"/>
  </r>
  <r>
    <s v="Priy372161"/>
    <n v="2161"/>
    <n v="14"/>
    <n v="6"/>
    <n v="2023"/>
    <d v="2023-06-14T00:00:00"/>
    <s v="June"/>
    <d v="2027-09-08T00:00:00"/>
    <x v="1"/>
    <n v="5"/>
    <n v="69054.44"/>
    <s v="Priya Varma"/>
    <n v="37"/>
    <s v="Adult"/>
    <s v="BAD"/>
    <x v="12"/>
    <s v="Debit Card"/>
    <n v="1"/>
    <s v="Vivo V20"/>
    <n v="345272.2"/>
    <s v="Average"/>
    <s v="Excellent"/>
  </r>
  <r>
    <s v="Ravi352162"/>
    <n v="2162"/>
    <n v="14"/>
    <n v="6"/>
    <n v="2023"/>
    <d v="2023-06-14T00:00:00"/>
    <s v="June"/>
    <d v="2027-09-09T00:00:00"/>
    <x v="2"/>
    <n v="3"/>
    <n v="59905.49"/>
    <s v="Ravi Kaur"/>
    <n v="35"/>
    <s v="Adult"/>
    <s v="Good"/>
    <x v="2"/>
    <s v="Credit Card"/>
    <n v="4"/>
    <s v="OnePlus Nord"/>
    <n v="179716.47"/>
    <s v="Good"/>
    <s v="Good"/>
  </r>
  <r>
    <s v="Amit392163"/>
    <n v="2163"/>
    <n v="14"/>
    <n v="6"/>
    <n v="2023"/>
    <d v="2023-06-14T00:00:00"/>
    <s v="June"/>
    <d v="2027-09-10T00:00:00"/>
    <x v="2"/>
    <n v="2"/>
    <n v="38187.949999999997"/>
    <s v="Amit Ghosh"/>
    <n v="39"/>
    <s v="Adult"/>
    <s v="Good"/>
    <x v="17"/>
    <s v="Debit Card"/>
    <n v="5"/>
    <s v="OnePlus 8T"/>
    <n v="76375.899999999994"/>
    <s v="Good"/>
    <s v="Average"/>
  </r>
  <r>
    <s v="Vija252164"/>
    <n v="2164"/>
    <n v="15"/>
    <n v="6"/>
    <n v="2023"/>
    <d v="2023-06-15T00:00:00"/>
    <s v="June"/>
    <d v="2027-09-11T00:00:00"/>
    <x v="2"/>
    <n v="7"/>
    <n v="43275.81"/>
    <s v="Vijay Malhotra"/>
    <n v="25"/>
    <s v="Teenagers"/>
    <s v="Good"/>
    <x v="1"/>
    <s v="Cash"/>
    <n v="5"/>
    <s v="OnePlus 9"/>
    <n v="302930.67"/>
    <s v="Good"/>
    <s v="Excellent"/>
  </r>
  <r>
    <s v="Pank512165"/>
    <n v="2165"/>
    <n v="15"/>
    <n v="6"/>
    <n v="2023"/>
    <d v="2023-06-15T00:00:00"/>
    <s v="June"/>
    <d v="2027-09-12T00:00:00"/>
    <x v="2"/>
    <n v="1"/>
    <n v="60590.68"/>
    <s v="Pankaj Desai"/>
    <n v="51"/>
    <s v="Senior Citezen"/>
    <s v="Good"/>
    <x v="7"/>
    <s v="Cash"/>
    <n v="4"/>
    <s v="OnePlus 9"/>
    <n v="60590.68"/>
    <s v="Good"/>
    <s v="Average"/>
  </r>
  <r>
    <s v="Isha262166"/>
    <n v="2166"/>
    <n v="15"/>
    <n v="6"/>
    <n v="2023"/>
    <d v="2023-06-15T00:00:00"/>
    <s v="June"/>
    <d v="2027-09-13T00:00:00"/>
    <x v="2"/>
    <n v="6"/>
    <n v="38858.81"/>
    <s v="Isha Thakur"/>
    <n v="26"/>
    <s v="Teenagers"/>
    <s v="Good"/>
    <x v="1"/>
    <s v="Cash"/>
    <n v="4"/>
    <s v="OnePlus Nord"/>
    <n v="233152.86"/>
    <s v="Good"/>
    <s v="Excellent"/>
  </r>
  <r>
    <s v="Tapa242167"/>
    <n v="2167"/>
    <n v="15"/>
    <n v="6"/>
    <n v="2023"/>
    <d v="2023-06-15T00:00:00"/>
    <s v="June"/>
    <d v="2027-09-14T00:00:00"/>
    <x v="4"/>
    <n v="6"/>
    <n v="22361.42"/>
    <s v="Tapan Nair"/>
    <n v="24"/>
    <s v="Teenagers"/>
    <s v="BAD"/>
    <x v="2"/>
    <s v="Debit Card"/>
    <n v="2"/>
    <s v="iPhone 11"/>
    <n v="134168.51999999999"/>
    <s v="Average"/>
    <s v="Good"/>
  </r>
  <r>
    <s v="Tapa472168"/>
    <n v="2168"/>
    <n v="16"/>
    <n v="6"/>
    <n v="2023"/>
    <d v="2023-06-16T00:00:00"/>
    <s v="June"/>
    <d v="2027-09-15T00:00:00"/>
    <x v="1"/>
    <n v="3"/>
    <n v="59706.67"/>
    <s v="Tapan Rathod"/>
    <n v="47"/>
    <s v="Senior Citezen"/>
    <s v="Good"/>
    <x v="12"/>
    <s v="Credit Card"/>
    <n v="5"/>
    <s v="Vivo V20"/>
    <n v="179120.01"/>
    <s v="Good"/>
    <s v="Good"/>
  </r>
  <r>
    <s v="Vija352169"/>
    <n v="2169"/>
    <n v="16"/>
    <n v="6"/>
    <n v="2023"/>
    <d v="2023-06-16T00:00:00"/>
    <s v="June"/>
    <d v="2027-09-16T00:00:00"/>
    <x v="2"/>
    <n v="2"/>
    <n v="42266.35"/>
    <s v="Vijay Varma"/>
    <n v="35"/>
    <s v="Adult"/>
    <s v="BAD"/>
    <x v="16"/>
    <s v="Credit Card"/>
    <n v="2"/>
    <s v="OnePlus 9"/>
    <n v="84532.7"/>
    <s v="Average"/>
    <s v="Average"/>
  </r>
  <r>
    <s v="Raje442170"/>
    <n v="2170"/>
    <n v="16"/>
    <n v="6"/>
    <n v="2023"/>
    <d v="2023-06-16T00:00:00"/>
    <s v="June"/>
    <d v="2027-09-17T00:00:00"/>
    <x v="0"/>
    <n v="2"/>
    <n v="19182.560000000001"/>
    <s v="Rajesh Sheth"/>
    <n v="44"/>
    <s v="Adult"/>
    <s v="BAD"/>
    <x v="15"/>
    <s v="Credit Card"/>
    <n v="2"/>
    <s v="Redmi Note 10"/>
    <n v="38365.120000000003"/>
    <s v="Average"/>
    <s v="Low"/>
  </r>
  <r>
    <s v="Arun332171"/>
    <n v="2171"/>
    <n v="17"/>
    <n v="6"/>
    <n v="2023"/>
    <d v="2023-06-17T00:00:00"/>
    <s v="June"/>
    <d v="2027-09-18T00:00:00"/>
    <x v="0"/>
    <n v="9"/>
    <n v="40335.15"/>
    <s v="Arun Verma"/>
    <n v="33"/>
    <s v="Adult"/>
    <s v="BAD"/>
    <x v="8"/>
    <s v="UPI"/>
    <n v="1"/>
    <s v="Redmi Note 10"/>
    <n v="363016.35000000003"/>
    <s v="Average"/>
    <s v="Excellent"/>
  </r>
  <r>
    <s v="Kris382172"/>
    <n v="2172"/>
    <n v="17"/>
    <n v="6"/>
    <n v="2023"/>
    <d v="2023-06-17T00:00:00"/>
    <s v="June"/>
    <d v="2027-09-19T00:00:00"/>
    <x v="1"/>
    <n v="5"/>
    <n v="34792.199999999997"/>
    <s v="Krishna Sharma"/>
    <n v="38"/>
    <s v="Adult"/>
    <s v="BAD"/>
    <x v="2"/>
    <s v="Cash"/>
    <n v="2"/>
    <s v="Vivo V20"/>
    <n v="173961"/>
    <s v="Average"/>
    <s v="Good"/>
  </r>
  <r>
    <s v="Deve222173"/>
    <n v="2173"/>
    <n v="17"/>
    <n v="6"/>
    <n v="2023"/>
    <d v="2023-06-17T00:00:00"/>
    <s v="June"/>
    <d v="2027-09-20T00:00:00"/>
    <x v="3"/>
    <n v="7"/>
    <n v="62610.55"/>
    <s v="Devendra Luthra"/>
    <n v="22"/>
    <s v="Teenagers"/>
    <s v="Good"/>
    <x v="2"/>
    <s v="Cash"/>
    <n v="4"/>
    <s v="Galaxy S21"/>
    <n v="438273.85000000003"/>
    <s v="Good"/>
    <s v="Excellent"/>
  </r>
  <r>
    <s v="Priy462174"/>
    <n v="2174"/>
    <n v="18"/>
    <n v="6"/>
    <n v="2023"/>
    <d v="2023-06-18T00:00:00"/>
    <s v="June"/>
    <d v="2027-09-21T00:00:00"/>
    <x v="3"/>
    <n v="5"/>
    <n v="17563.330000000002"/>
    <s v="Priya Varma"/>
    <n v="46"/>
    <s v="Senior Citezen"/>
    <s v="Good"/>
    <x v="13"/>
    <s v="UPI"/>
    <n v="4"/>
    <s v="Galaxy Note 20"/>
    <n v="87816.650000000009"/>
    <s v="Good"/>
    <s v="Average"/>
  </r>
  <r>
    <s v="Bina542175"/>
    <n v="2175"/>
    <n v="18"/>
    <n v="6"/>
    <n v="2023"/>
    <d v="2023-06-18T00:00:00"/>
    <s v="June"/>
    <d v="2027-09-22T00:00:00"/>
    <x v="3"/>
    <n v="7"/>
    <n v="62512.59"/>
    <s v="Bina Jain"/>
    <n v="54"/>
    <s v="Senior Citezen"/>
    <s v="Good"/>
    <x v="13"/>
    <s v="Cash"/>
    <n v="4"/>
    <s v="Galaxy A51"/>
    <n v="437588.13"/>
    <s v="Good"/>
    <s v="Excellent"/>
  </r>
  <r>
    <s v="Kris392176"/>
    <n v="2176"/>
    <n v="18"/>
    <n v="6"/>
    <n v="2023"/>
    <d v="2023-06-18T00:00:00"/>
    <s v="June"/>
    <d v="2027-09-23T00:00:00"/>
    <x v="0"/>
    <n v="4"/>
    <n v="40732.660000000003"/>
    <s v="Krishna Joshi"/>
    <n v="39"/>
    <s v="Adult"/>
    <s v="BAD"/>
    <x v="4"/>
    <s v="Cash"/>
    <n v="1"/>
    <s v="Redmi 9"/>
    <n v="162930.64000000001"/>
    <s v="Average"/>
    <s v="Good"/>
  </r>
  <r>
    <s v="Deep312177"/>
    <n v="2177"/>
    <n v="18"/>
    <n v="6"/>
    <n v="2023"/>
    <d v="2023-06-18T00:00:00"/>
    <s v="June"/>
    <d v="2027-09-24T00:00:00"/>
    <x v="3"/>
    <n v="8"/>
    <n v="34261.870000000003"/>
    <s v="Deepika Prasad"/>
    <n v="31"/>
    <s v="Adult"/>
    <s v="Good"/>
    <x v="2"/>
    <s v="UPI"/>
    <n v="4"/>
    <s v="Galaxy A51"/>
    <n v="274094.96000000002"/>
    <s v="Good"/>
    <s v="Excellent"/>
  </r>
  <r>
    <s v="Deep362178"/>
    <n v="2178"/>
    <n v="19"/>
    <n v="6"/>
    <n v="2023"/>
    <d v="2023-06-19T00:00:00"/>
    <s v="June"/>
    <d v="2027-09-25T00:00:00"/>
    <x v="4"/>
    <n v="7"/>
    <n v="19718.03"/>
    <s v="Deepika Alva"/>
    <n v="36"/>
    <s v="Adult"/>
    <s v="Good"/>
    <x v="1"/>
    <s v="Cash"/>
    <n v="4"/>
    <s v="iPhone 12"/>
    <n v="138026.21"/>
    <s v="Good"/>
    <s v="Good"/>
  </r>
  <r>
    <s v="Meen522179"/>
    <n v="2179"/>
    <n v="19"/>
    <n v="6"/>
    <n v="2023"/>
    <d v="2023-06-19T00:00:00"/>
    <s v="June"/>
    <d v="2027-09-26T00:00:00"/>
    <x v="2"/>
    <n v="5"/>
    <n v="52049.08"/>
    <s v="Meena Pillai"/>
    <n v="52"/>
    <s v="Senior Citezen"/>
    <s v="Good"/>
    <x v="1"/>
    <s v="Credit Card"/>
    <n v="4"/>
    <s v="OnePlus Nord"/>
    <n v="260245.40000000002"/>
    <s v="Good"/>
    <s v="Excellent"/>
  </r>
  <r>
    <s v="Vino412180"/>
    <n v="2180"/>
    <n v="19"/>
    <n v="6"/>
    <n v="2023"/>
    <d v="2023-06-19T00:00:00"/>
    <s v="June"/>
    <d v="2027-09-27T00:00:00"/>
    <x v="0"/>
    <n v="6"/>
    <n v="65608.399999999994"/>
    <s v="Vinod Prasad"/>
    <n v="41"/>
    <s v="Adult"/>
    <s v="Good"/>
    <x v="9"/>
    <s v="UPI"/>
    <n v="4"/>
    <s v="Mi 11"/>
    <n v="393650.39999999997"/>
    <s v="Good"/>
    <s v="Excellent"/>
  </r>
  <r>
    <s v="Pooj592181"/>
    <n v="2181"/>
    <n v="20"/>
    <n v="6"/>
    <n v="2023"/>
    <d v="2023-06-20T00:00:00"/>
    <s v="June"/>
    <d v="2027-09-28T00:00:00"/>
    <x v="1"/>
    <n v="5"/>
    <n v="32522.639999999999"/>
    <s v="Pooja Goyal"/>
    <n v="59"/>
    <s v="Senior Citezen"/>
    <s v="Good"/>
    <x v="4"/>
    <s v="Cash"/>
    <n v="5"/>
    <s v="Vivo V20"/>
    <n v="162613.20000000001"/>
    <s v="Good"/>
    <s v="Good"/>
  </r>
  <r>
    <s v="Pooj232182"/>
    <n v="2182"/>
    <n v="20"/>
    <n v="6"/>
    <n v="2023"/>
    <d v="2023-06-20T00:00:00"/>
    <s v="June"/>
    <d v="2027-09-29T00:00:00"/>
    <x v="1"/>
    <n v="7"/>
    <n v="24495.1"/>
    <s v="Pooja Joshi"/>
    <n v="23"/>
    <s v="Teenagers"/>
    <s v="BAD"/>
    <x v="1"/>
    <s v="Credit Card"/>
    <n v="2"/>
    <s v="Vivo Y51"/>
    <n v="171465.69999999998"/>
    <s v="Average"/>
    <s v="Good"/>
  </r>
  <r>
    <s v="Yoge202183"/>
    <n v="2183"/>
    <n v="20"/>
    <n v="6"/>
    <n v="2023"/>
    <d v="2023-06-20T00:00:00"/>
    <s v="June"/>
    <d v="2027-09-30T00:00:00"/>
    <x v="2"/>
    <n v="2"/>
    <n v="43292.02"/>
    <s v="Yogesh Menon"/>
    <n v="20"/>
    <s v="Teenagers"/>
    <s v="BAD"/>
    <x v="5"/>
    <s v="Debit Card"/>
    <n v="2"/>
    <s v="OnePlus 9"/>
    <n v="86584.04"/>
    <s v="Average"/>
    <s v="Average"/>
  </r>
  <r>
    <s v="Amit512184"/>
    <n v="2184"/>
    <n v="21"/>
    <n v="6"/>
    <n v="2023"/>
    <d v="2023-06-21T00:00:00"/>
    <s v="June"/>
    <d v="2027-10-01T00:00:00"/>
    <x v="0"/>
    <n v="5"/>
    <n v="57771.16"/>
    <s v="Amit Ahuja"/>
    <n v="51"/>
    <s v="Senior Citezen"/>
    <s v="Good"/>
    <x v="17"/>
    <s v="Cash"/>
    <n v="4"/>
    <s v="Redmi Note 10"/>
    <n v="288855.80000000005"/>
    <s v="Good"/>
    <s v="Excellent"/>
  </r>
  <r>
    <s v="Raje192185"/>
    <n v="2185"/>
    <n v="21"/>
    <n v="6"/>
    <n v="2023"/>
    <d v="2023-06-21T00:00:00"/>
    <s v="June"/>
    <d v="2027-10-02T00:00:00"/>
    <x v="3"/>
    <n v="3"/>
    <n v="10226.06"/>
    <s v="Rajesh Chaudhary"/>
    <n v="19"/>
    <s v="Teenagers"/>
    <s v="Good"/>
    <x v="18"/>
    <s v="UPI"/>
    <n v="4"/>
    <s v="Galaxy A51"/>
    <n v="30678.18"/>
    <s v="Good"/>
    <s v="Low"/>
  </r>
  <r>
    <s v="Bhav322186"/>
    <n v="2186"/>
    <n v="21"/>
    <n v="6"/>
    <n v="2023"/>
    <d v="2023-06-21T00:00:00"/>
    <s v="June"/>
    <d v="2027-10-03T00:00:00"/>
    <x v="3"/>
    <n v="9"/>
    <n v="47882.65"/>
    <s v="Bhavana Rawat"/>
    <n v="32"/>
    <s v="Adult"/>
    <s v="Good"/>
    <x v="1"/>
    <s v="Credit Card"/>
    <n v="4"/>
    <s v="Galaxy Note 20"/>
    <n v="430943.85000000003"/>
    <s v="Good"/>
    <s v="Excellent"/>
  </r>
  <r>
    <s v="Anit542187"/>
    <n v="2187"/>
    <n v="21"/>
    <n v="6"/>
    <n v="2023"/>
    <d v="2023-06-21T00:00:00"/>
    <s v="June"/>
    <d v="2027-10-04T00:00:00"/>
    <x v="4"/>
    <n v="6"/>
    <n v="45790.96"/>
    <s v="Anita Joshi"/>
    <n v="54"/>
    <s v="Senior Citezen"/>
    <s v="BAD"/>
    <x v="10"/>
    <s v="Debit Card"/>
    <n v="1"/>
    <s v="iPhone SE"/>
    <n v="274745.76"/>
    <s v="Average"/>
    <s v="Excellent"/>
  </r>
  <r>
    <s v="Pras322188"/>
    <n v="2188"/>
    <n v="22"/>
    <n v="6"/>
    <n v="2023"/>
    <d v="2023-06-22T00:00:00"/>
    <s v="June"/>
    <d v="2027-10-05T00:00:00"/>
    <x v="4"/>
    <n v="3"/>
    <n v="29089.13"/>
    <s v="Prashant Dutta"/>
    <n v="32"/>
    <s v="Adult"/>
    <s v="Good"/>
    <x v="6"/>
    <s v="Debit Card"/>
    <n v="4"/>
    <s v="iPhone 12"/>
    <n v="87267.39"/>
    <s v="Good"/>
    <s v="Average"/>
  </r>
  <r>
    <s v="Vive492189"/>
    <n v="2189"/>
    <n v="22"/>
    <n v="6"/>
    <n v="2023"/>
    <d v="2023-06-22T00:00:00"/>
    <s v="June"/>
    <d v="2027-10-06T00:00:00"/>
    <x v="3"/>
    <n v="7"/>
    <n v="37085.379999999997"/>
    <s v="Vivek Pathak"/>
    <n v="49"/>
    <s v="Senior Citezen"/>
    <s v="Good"/>
    <x v="1"/>
    <s v="Cash"/>
    <n v="4"/>
    <s v="Galaxy Note 20"/>
    <n v="259597.65999999997"/>
    <s v="Good"/>
    <s v="Excellent"/>
  </r>
  <r>
    <s v="Kira382190"/>
    <n v="2190"/>
    <n v="22"/>
    <n v="6"/>
    <n v="2023"/>
    <d v="2023-06-22T00:00:00"/>
    <s v="June"/>
    <d v="2027-10-07T00:00:00"/>
    <x v="1"/>
    <n v="4"/>
    <n v="24817.79"/>
    <s v="Kiran Patel"/>
    <n v="38"/>
    <s v="Adult"/>
    <s v="Good"/>
    <x v="0"/>
    <s v="Debit Card"/>
    <n v="4"/>
    <s v="Vivo Y51"/>
    <n v="99271.16"/>
    <s v="Good"/>
    <s v="Average"/>
  </r>
  <r>
    <s v="Sumi342191"/>
    <n v="2191"/>
    <n v="22"/>
    <n v="6"/>
    <n v="2023"/>
    <d v="2023-06-22T00:00:00"/>
    <s v="June"/>
    <d v="2027-10-08T00:00:00"/>
    <x v="1"/>
    <n v="3"/>
    <n v="57393.14"/>
    <s v="Sumit Chatterjee"/>
    <n v="34"/>
    <s v="Adult"/>
    <s v="Good"/>
    <x v="2"/>
    <s v="UPI"/>
    <n v="4"/>
    <s v="Vivo V20"/>
    <n v="172179.41999999998"/>
    <s v="Good"/>
    <s v="Good"/>
  </r>
  <r>
    <s v="Pooj512192"/>
    <n v="2192"/>
    <n v="23"/>
    <n v="6"/>
    <n v="2023"/>
    <d v="2023-06-23T00:00:00"/>
    <s v="June"/>
    <d v="2027-10-09T00:00:00"/>
    <x v="4"/>
    <n v="8"/>
    <n v="48072.1"/>
    <s v="Pooja Arora"/>
    <n v="51"/>
    <s v="Senior Citezen"/>
    <s v="Good"/>
    <x v="1"/>
    <s v="Debit Card"/>
    <n v="5"/>
    <s v="iPhone SE"/>
    <n v="384576.8"/>
    <s v="Good"/>
    <s v="Excellent"/>
  </r>
  <r>
    <s v="Arun492193"/>
    <n v="2193"/>
    <n v="23"/>
    <n v="6"/>
    <n v="2023"/>
    <d v="2023-06-23T00:00:00"/>
    <s v="June"/>
    <d v="2027-10-10T00:00:00"/>
    <x v="2"/>
    <n v="4"/>
    <n v="41962.7"/>
    <s v="Arun Ghosh"/>
    <n v="49"/>
    <s v="Senior Citezen"/>
    <s v="Good"/>
    <x v="16"/>
    <s v="Cash"/>
    <n v="4"/>
    <s v="OnePlus 9"/>
    <n v="167850.8"/>
    <s v="Good"/>
    <s v="Good"/>
  </r>
  <r>
    <s v="Deep402194"/>
    <n v="2194"/>
    <n v="23"/>
    <n v="6"/>
    <n v="2023"/>
    <d v="2023-06-23T00:00:00"/>
    <s v="June"/>
    <d v="2027-10-11T00:00:00"/>
    <x v="3"/>
    <n v="1"/>
    <n v="33551.57"/>
    <s v="Deepika Prasad"/>
    <n v="40"/>
    <s v="Adult"/>
    <s v="Good"/>
    <x v="17"/>
    <s v="Debit Card"/>
    <n v="5"/>
    <s v="Galaxy Note 20"/>
    <n v="33551.57"/>
    <s v="Good"/>
    <s v="Low"/>
  </r>
  <r>
    <s v="Deve522195"/>
    <n v="2195"/>
    <n v="24"/>
    <n v="6"/>
    <n v="2023"/>
    <d v="2023-06-24T00:00:00"/>
    <s v="June"/>
    <d v="2027-10-12T00:00:00"/>
    <x v="4"/>
    <n v="6"/>
    <n v="27483.06"/>
    <s v="Devendra Thakur"/>
    <n v="52"/>
    <s v="Senior Citezen"/>
    <s v="Good"/>
    <x v="2"/>
    <s v="Cash"/>
    <n v="4"/>
    <s v="iPhone 11"/>
    <n v="164898.36000000002"/>
    <s v="Good"/>
    <s v="Good"/>
  </r>
  <r>
    <s v="Pank542196"/>
    <n v="2196"/>
    <n v="24"/>
    <n v="6"/>
    <n v="2023"/>
    <d v="2023-06-24T00:00:00"/>
    <s v="June"/>
    <d v="2027-10-13T00:00:00"/>
    <x v="4"/>
    <n v="1"/>
    <n v="59364.19"/>
    <s v="Pankaj Shah"/>
    <n v="54"/>
    <s v="Senior Citezen"/>
    <s v="BAD"/>
    <x v="17"/>
    <s v="Debit Card"/>
    <n v="1"/>
    <s v="iPhone 11"/>
    <n v="59364.19"/>
    <s v="Average"/>
    <s v="Average"/>
  </r>
  <r>
    <s v="Mala582197"/>
    <n v="2197"/>
    <n v="24"/>
    <n v="6"/>
    <n v="2023"/>
    <d v="2023-06-24T00:00:00"/>
    <s v="June"/>
    <d v="2027-10-14T00:00:00"/>
    <x v="3"/>
    <n v="5"/>
    <n v="37084.46"/>
    <s v="Mala Goyal"/>
    <n v="58"/>
    <s v="Senior Citezen"/>
    <s v="BAD"/>
    <x v="1"/>
    <s v="Credit Card"/>
    <n v="2"/>
    <s v="Galaxy S21"/>
    <n v="185422.3"/>
    <s v="Average"/>
    <s v="Good"/>
  </r>
  <r>
    <s v="Mano542198"/>
    <n v="2198"/>
    <n v="24"/>
    <n v="6"/>
    <n v="2023"/>
    <d v="2023-06-24T00:00:00"/>
    <s v="June"/>
    <d v="2027-10-15T00:00:00"/>
    <x v="3"/>
    <n v="7"/>
    <n v="40086.85"/>
    <s v="Manoj Luthra"/>
    <n v="54"/>
    <s v="Senior Citezen"/>
    <s v="BAD"/>
    <x v="15"/>
    <s v="Cash"/>
    <n v="2"/>
    <s v="Galaxy Note 20"/>
    <n v="280607.95"/>
    <s v="Average"/>
    <s v="Excellent"/>
  </r>
  <r>
    <s v="Pooj502199"/>
    <n v="2199"/>
    <n v="25"/>
    <n v="6"/>
    <n v="2023"/>
    <d v="2023-06-25T00:00:00"/>
    <s v="June"/>
    <d v="2027-10-16T00:00:00"/>
    <x v="1"/>
    <n v="6"/>
    <n v="41249.72"/>
    <s v="Pooja Sharma"/>
    <n v="50"/>
    <s v="Senior Citezen"/>
    <s v="BAD"/>
    <x v="13"/>
    <s v="UPI"/>
    <n v="2"/>
    <s v="Vivo Y51"/>
    <n v="247498.32"/>
    <s v="Average"/>
    <s v="Excellent"/>
  </r>
  <r>
    <s v="Ravi422200"/>
    <n v="2200"/>
    <n v="25"/>
    <n v="6"/>
    <n v="2023"/>
    <d v="2023-06-25T00:00:00"/>
    <s v="June"/>
    <d v="2027-10-17T00:00:00"/>
    <x v="2"/>
    <n v="2"/>
    <n v="36902.019999999997"/>
    <s v="Ravi Solanki"/>
    <n v="42"/>
    <s v="Adult"/>
    <s v="BAD"/>
    <x v="1"/>
    <s v="UPI"/>
    <n v="2"/>
    <s v="OnePlus Nord"/>
    <n v="73804.039999999994"/>
    <s v="Average"/>
    <s v="Average"/>
  </r>
  <r>
    <s v="Raje542201"/>
    <n v="2201"/>
    <n v="25"/>
    <n v="6"/>
    <n v="2023"/>
    <d v="2023-06-25T00:00:00"/>
    <s v="June"/>
    <d v="2027-10-18T00:00:00"/>
    <x v="2"/>
    <n v="4"/>
    <n v="25365.31"/>
    <s v="Rajesh Mishra"/>
    <n v="54"/>
    <s v="Senior Citezen"/>
    <s v="Good"/>
    <x v="14"/>
    <s v="Debit Card"/>
    <n v="4"/>
    <s v="OnePlus Nord"/>
    <n v="101461.24"/>
    <s v="Good"/>
    <s v="Good"/>
  </r>
  <r>
    <s v="Amit572202"/>
    <n v="2202"/>
    <n v="26"/>
    <n v="6"/>
    <n v="2023"/>
    <d v="2023-06-26T00:00:00"/>
    <s v="June"/>
    <d v="2027-10-19T00:00:00"/>
    <x v="3"/>
    <n v="2"/>
    <n v="17220.43"/>
    <s v="Amit Das"/>
    <n v="57"/>
    <s v="Senior Citezen"/>
    <s v="BAD"/>
    <x v="2"/>
    <s v="Credit Card"/>
    <n v="2"/>
    <s v="Galaxy Note 20"/>
    <n v="34440.86"/>
    <s v="Average"/>
    <s v="Low"/>
  </r>
  <r>
    <s v="Anan382203"/>
    <n v="2203"/>
    <n v="26"/>
    <n v="6"/>
    <n v="2023"/>
    <d v="2023-06-26T00:00:00"/>
    <s v="June"/>
    <d v="2027-10-20T00:00:00"/>
    <x v="0"/>
    <n v="1"/>
    <n v="15912.24"/>
    <s v="Anand Siddiqui"/>
    <n v="38"/>
    <s v="Adult"/>
    <s v="Good"/>
    <x v="2"/>
    <s v="Debit Card"/>
    <n v="4"/>
    <s v="Redmi 9"/>
    <n v="15912.24"/>
    <s v="Good"/>
    <s v="Low"/>
  </r>
  <r>
    <s v="Bina552204"/>
    <n v="2204"/>
    <n v="26"/>
    <n v="6"/>
    <n v="2023"/>
    <d v="2023-06-26T00:00:00"/>
    <s v="June"/>
    <d v="2027-10-21T00:00:00"/>
    <x v="4"/>
    <n v="3"/>
    <n v="55447.75"/>
    <s v="Bina Solanki"/>
    <n v="55"/>
    <s v="Senior Citezen"/>
    <s v="BAD"/>
    <x v="17"/>
    <s v="Debit Card"/>
    <n v="1"/>
    <s v="iPhone 12"/>
    <n v="166343.25"/>
    <s v="Average"/>
    <s v="Good"/>
  </r>
  <r>
    <s v="Kavi572205"/>
    <n v="2205"/>
    <n v="26"/>
    <n v="6"/>
    <n v="2023"/>
    <d v="2023-06-26T00:00:00"/>
    <s v="June"/>
    <d v="2027-10-22T00:00:00"/>
    <x v="4"/>
    <n v="3"/>
    <n v="23411.67"/>
    <s v="Kavita Nair"/>
    <n v="57"/>
    <s v="Senior Citezen"/>
    <s v="Good"/>
    <x v="5"/>
    <s v="Credit Card"/>
    <n v="4"/>
    <s v="iPhone SE"/>
    <n v="70235.009999999995"/>
    <s v="Good"/>
    <s v="Average"/>
  </r>
  <r>
    <s v="Isha512206"/>
    <n v="2206"/>
    <n v="27"/>
    <n v="6"/>
    <n v="2023"/>
    <d v="2023-06-27T00:00:00"/>
    <s v="June"/>
    <d v="2027-10-23T00:00:00"/>
    <x v="3"/>
    <n v="7"/>
    <n v="13340.37"/>
    <s v="Isha Desai"/>
    <n v="51"/>
    <s v="Senior Citezen"/>
    <s v="Good"/>
    <x v="11"/>
    <s v="Cash"/>
    <n v="4"/>
    <s v="Galaxy A51"/>
    <n v="93382.590000000011"/>
    <s v="Good"/>
    <s v="Average"/>
  </r>
  <r>
    <s v="Anja362207"/>
    <n v="2207"/>
    <n v="27"/>
    <n v="6"/>
    <n v="2023"/>
    <d v="2023-06-27T00:00:00"/>
    <s v="June"/>
    <d v="2027-10-24T00:00:00"/>
    <x v="0"/>
    <n v="1"/>
    <n v="57851.040000000001"/>
    <s v="Anjali Alva"/>
    <n v="36"/>
    <s v="Adult"/>
    <s v="Good"/>
    <x v="2"/>
    <s v="UPI"/>
    <n v="4"/>
    <s v="Redmi 9"/>
    <n v="57851.040000000001"/>
    <s v="Good"/>
    <s v="Average"/>
  </r>
  <r>
    <s v="Vive442208"/>
    <n v="2208"/>
    <n v="27"/>
    <n v="6"/>
    <n v="2023"/>
    <d v="2023-06-27T00:00:00"/>
    <s v="June"/>
    <d v="2027-10-25T00:00:00"/>
    <x v="1"/>
    <n v="9"/>
    <n v="19243.7"/>
    <s v="Vivek Patel"/>
    <n v="44"/>
    <s v="Adult"/>
    <s v="Good"/>
    <x v="2"/>
    <s v="Credit Card"/>
    <n v="4"/>
    <s v="Vivo S1"/>
    <n v="173193.30000000002"/>
    <s v="Good"/>
    <s v="Good"/>
  </r>
  <r>
    <s v="Mala262209"/>
    <n v="2209"/>
    <n v="28"/>
    <n v="6"/>
    <n v="2023"/>
    <d v="2023-06-28T00:00:00"/>
    <s v="June"/>
    <d v="2027-10-26T00:00:00"/>
    <x v="3"/>
    <n v="6"/>
    <n v="47508.77"/>
    <s v="Mala Siddiqui"/>
    <n v="26"/>
    <s v="Teenagers"/>
    <s v="Good"/>
    <x v="2"/>
    <s v="Debit Card"/>
    <n v="4"/>
    <s v="Galaxy S21"/>
    <n v="285052.62"/>
    <s v="Good"/>
    <s v="Excellent"/>
  </r>
  <r>
    <s v="Priy222210"/>
    <n v="2210"/>
    <n v="28"/>
    <n v="6"/>
    <n v="2023"/>
    <d v="2023-06-28T00:00:00"/>
    <s v="June"/>
    <d v="2027-10-27T00:00:00"/>
    <x v="3"/>
    <n v="4"/>
    <n v="30318.6"/>
    <s v="Priyanka Pillai"/>
    <n v="22"/>
    <s v="Teenagers"/>
    <s v="Good"/>
    <x v="1"/>
    <s v="Cash"/>
    <n v="4"/>
    <s v="Galaxy A51"/>
    <n v="121274.4"/>
    <s v="Good"/>
    <s v="Good"/>
  </r>
  <r>
    <s v="Mala222211"/>
    <n v="2211"/>
    <n v="28"/>
    <n v="6"/>
    <n v="2023"/>
    <d v="2023-06-28T00:00:00"/>
    <s v="June"/>
    <d v="2027-10-28T00:00:00"/>
    <x v="4"/>
    <n v="3"/>
    <n v="17588.82"/>
    <s v="Mala Chatterjee"/>
    <n v="22"/>
    <s v="Teenagers"/>
    <s v="BAD"/>
    <x v="1"/>
    <s v="Debit Card"/>
    <n v="1"/>
    <s v="iPhone 11"/>
    <n v="52766.46"/>
    <s v="Average"/>
    <s v="Average"/>
  </r>
  <r>
    <s v="Bhav422212"/>
    <n v="2212"/>
    <n v="28"/>
    <n v="6"/>
    <n v="2023"/>
    <d v="2023-06-28T00:00:00"/>
    <s v="June"/>
    <d v="2027-10-29T00:00:00"/>
    <x v="3"/>
    <n v="3"/>
    <n v="34868.86"/>
    <s v="Bhavana Mishra"/>
    <n v="42"/>
    <s v="Adult"/>
    <s v="Good"/>
    <x v="0"/>
    <s v="Cash"/>
    <n v="5"/>
    <s v="Galaxy A51"/>
    <n v="104606.58"/>
    <s v="Good"/>
    <s v="Good"/>
  </r>
  <r>
    <s v="Suni432213"/>
    <n v="2213"/>
    <n v="29"/>
    <n v="6"/>
    <n v="2023"/>
    <d v="2023-06-29T00:00:00"/>
    <s v="June"/>
    <d v="2027-10-30T00:00:00"/>
    <x v="3"/>
    <n v="2"/>
    <n v="10888.53"/>
    <s v="Sunil Kumar"/>
    <n v="43"/>
    <s v="Adult"/>
    <s v="Good"/>
    <x v="15"/>
    <s v="UPI"/>
    <n v="4"/>
    <s v="Galaxy A51"/>
    <n v="21777.06"/>
    <s v="Good"/>
    <s v="Low"/>
  </r>
  <r>
    <s v="Anja362214"/>
    <n v="2214"/>
    <n v="29"/>
    <n v="6"/>
    <n v="2023"/>
    <d v="2023-06-29T00:00:00"/>
    <s v="June"/>
    <d v="2027-10-31T00:00:00"/>
    <x v="3"/>
    <n v="2"/>
    <n v="60462.7"/>
    <s v="Anjali Rao"/>
    <n v="36"/>
    <s v="Adult"/>
    <s v="Good"/>
    <x v="17"/>
    <s v="UPI"/>
    <n v="4"/>
    <s v="Galaxy Note 20"/>
    <n v="120925.4"/>
    <s v="Good"/>
    <s v="Good"/>
  </r>
  <r>
    <s v="Sumi472215"/>
    <n v="2215"/>
    <n v="29"/>
    <n v="6"/>
    <n v="2023"/>
    <d v="2023-06-29T00:00:00"/>
    <s v="June"/>
    <d v="2027-11-01T00:00:00"/>
    <x v="4"/>
    <n v="5"/>
    <n v="40809.879999999997"/>
    <s v="Sumit Teja"/>
    <n v="47"/>
    <s v="Senior Citezen"/>
    <s v="Good"/>
    <x v="1"/>
    <s v="Cash"/>
    <n v="4"/>
    <s v="iPhone 12"/>
    <n v="204049.4"/>
    <s v="Good"/>
    <s v="Excellent"/>
  </r>
  <r>
    <s v="Shru532216"/>
    <n v="2216"/>
    <n v="30"/>
    <n v="6"/>
    <n v="2023"/>
    <d v="2023-06-30T00:00:00"/>
    <s v="June"/>
    <d v="2027-11-02T00:00:00"/>
    <x v="1"/>
    <n v="9"/>
    <n v="18349.599999999999"/>
    <s v="Shruti Mehta"/>
    <n v="53"/>
    <s v="Senior Citezen"/>
    <s v="BAD"/>
    <x v="0"/>
    <s v="UPI"/>
    <n v="2"/>
    <s v="Vivo Y51"/>
    <n v="165146.4"/>
    <s v="Average"/>
    <s v="Good"/>
  </r>
  <r>
    <s v="Sach332217"/>
    <n v="2217"/>
    <n v="30"/>
    <n v="6"/>
    <n v="2023"/>
    <d v="2023-06-30T00:00:00"/>
    <s v="June"/>
    <d v="2027-11-03T00:00:00"/>
    <x v="1"/>
    <n v="2"/>
    <n v="24218.82"/>
    <s v="Sachin Iyer"/>
    <n v="33"/>
    <s v="Adult"/>
    <s v="BAD"/>
    <x v="7"/>
    <s v="Debit Card"/>
    <n v="2"/>
    <s v="Vivo Y51"/>
    <n v="48437.64"/>
    <s v="Average"/>
    <s v="Low"/>
  </r>
  <r>
    <s v="Pooj242218"/>
    <n v="2218"/>
    <n v="30"/>
    <n v="6"/>
    <n v="2023"/>
    <d v="2023-06-30T00:00:00"/>
    <s v="June"/>
    <d v="2027-11-04T00:00:00"/>
    <x v="3"/>
    <n v="2"/>
    <n v="36878.51"/>
    <s v="Pooja Thakur"/>
    <n v="24"/>
    <s v="Teenagers"/>
    <s v="BAD"/>
    <x v="1"/>
    <s v="Cash"/>
    <n v="1"/>
    <s v="Galaxy Note 20"/>
    <n v="73757.02"/>
    <s v="Average"/>
    <s v="Average"/>
  </r>
  <r>
    <s v="Ravi352219"/>
    <n v="2219"/>
    <n v="1"/>
    <n v="7"/>
    <n v="2023"/>
    <d v="2023-07-01T00:00:00"/>
    <s v="July"/>
    <d v="2027-11-05T00:00:00"/>
    <x v="4"/>
    <n v="6"/>
    <n v="21332.16"/>
    <s v="Ravi Gupta"/>
    <n v="35"/>
    <s v="Adult"/>
    <s v="BAD"/>
    <x v="0"/>
    <s v="Debit Card"/>
    <n v="2"/>
    <s v="iPhone 11"/>
    <n v="127992.95999999999"/>
    <s v="Average"/>
    <s v="Good"/>
  </r>
  <r>
    <s v="Sumi382220"/>
    <n v="2220"/>
    <n v="1"/>
    <n v="7"/>
    <n v="2023"/>
    <d v="2023-07-01T00:00:00"/>
    <s v="July"/>
    <d v="2027-11-06T00:00:00"/>
    <x v="1"/>
    <n v="2"/>
    <n v="26115.95"/>
    <s v="Sumit Malhotra"/>
    <n v="38"/>
    <s v="Adult"/>
    <s v="Good"/>
    <x v="7"/>
    <s v="Cash"/>
    <n v="5"/>
    <s v="Vivo S1"/>
    <n v="52231.9"/>
    <s v="Good"/>
    <s v="Average"/>
  </r>
  <r>
    <s v="Priy482221"/>
    <n v="2221"/>
    <n v="1"/>
    <n v="7"/>
    <n v="2023"/>
    <d v="2023-07-01T00:00:00"/>
    <s v="July"/>
    <d v="2027-11-07T00:00:00"/>
    <x v="1"/>
    <n v="4"/>
    <n v="42063.13"/>
    <s v="Priyanka Dutta"/>
    <n v="48"/>
    <s v="Senior Citezen"/>
    <s v="Good"/>
    <x v="1"/>
    <s v="Debit Card"/>
    <n v="4"/>
    <s v="Vivo S1"/>
    <n v="168252.52"/>
    <s v="Good"/>
    <s v="Good"/>
  </r>
  <r>
    <s v="Amit182222"/>
    <n v="2222"/>
    <n v="2"/>
    <n v="7"/>
    <n v="2023"/>
    <d v="2023-07-02T00:00:00"/>
    <s v="July"/>
    <d v="2027-11-08T00:00:00"/>
    <x v="1"/>
    <n v="6"/>
    <n v="59956.54"/>
    <s v="Amit Sheth"/>
    <n v="18"/>
    <s v="Teenagers"/>
    <s v="BAD"/>
    <x v="1"/>
    <s v="UPI"/>
    <n v="1"/>
    <s v="Vivo S1"/>
    <n v="359739.24"/>
    <s v="Average"/>
    <s v="Excellent"/>
  </r>
  <r>
    <s v="Anit202223"/>
    <n v="2223"/>
    <n v="2"/>
    <n v="7"/>
    <n v="2023"/>
    <d v="2023-07-02T00:00:00"/>
    <s v="July"/>
    <d v="2027-11-09T00:00:00"/>
    <x v="4"/>
    <n v="5"/>
    <n v="34110.379999999997"/>
    <s v="Anita Mathur"/>
    <n v="20"/>
    <s v="Teenagers"/>
    <s v="BAD"/>
    <x v="5"/>
    <s v="Credit Card"/>
    <n v="2"/>
    <s v="iPhone SE"/>
    <n v="170551.9"/>
    <s v="Average"/>
    <s v="Good"/>
  </r>
  <r>
    <s v="Isha482224"/>
    <n v="2224"/>
    <n v="2"/>
    <n v="7"/>
    <n v="2023"/>
    <d v="2023-07-02T00:00:00"/>
    <s v="July"/>
    <d v="2027-11-10T00:00:00"/>
    <x v="4"/>
    <n v="1"/>
    <n v="53018.52"/>
    <s v="Isha Menon"/>
    <n v="48"/>
    <s v="Senior Citezen"/>
    <s v="BAD"/>
    <x v="13"/>
    <s v="Debit Card"/>
    <n v="2"/>
    <s v="iPhone 12"/>
    <n v="53018.52"/>
    <s v="Average"/>
    <s v="Average"/>
  </r>
  <r>
    <s v="Neet422225"/>
    <n v="2225"/>
    <n v="2"/>
    <n v="7"/>
    <n v="2023"/>
    <d v="2023-07-02T00:00:00"/>
    <s v="July"/>
    <d v="2027-11-11T00:00:00"/>
    <x v="3"/>
    <n v="6"/>
    <n v="62601.05"/>
    <s v="Neeta Mathur"/>
    <n v="42"/>
    <s v="Adult"/>
    <s v="Good"/>
    <x v="18"/>
    <s v="Cash"/>
    <n v="4"/>
    <s v="Galaxy A51"/>
    <n v="375606.30000000005"/>
    <s v="Good"/>
    <s v="Excellent"/>
  </r>
  <r>
    <s v="Lata252226"/>
    <n v="2226"/>
    <n v="3"/>
    <n v="7"/>
    <n v="2023"/>
    <d v="2023-07-03T00:00:00"/>
    <s v="July"/>
    <d v="2027-11-12T00:00:00"/>
    <x v="2"/>
    <n v="1"/>
    <n v="22978.06"/>
    <s v="Lata Verma"/>
    <n v="25"/>
    <s v="Teenagers"/>
    <s v="BAD"/>
    <x v="7"/>
    <s v="UPI"/>
    <n v="1"/>
    <s v="OnePlus Nord"/>
    <n v="22978.06"/>
    <s v="Average"/>
    <s v="Low"/>
  </r>
  <r>
    <s v="Raje182227"/>
    <n v="2227"/>
    <n v="3"/>
    <n v="7"/>
    <n v="2023"/>
    <d v="2023-07-03T00:00:00"/>
    <s v="July"/>
    <d v="2027-11-13T00:00:00"/>
    <x v="1"/>
    <n v="3"/>
    <n v="58431.519999999997"/>
    <s v="Rajesh Yadav"/>
    <n v="18"/>
    <s v="Teenagers"/>
    <s v="Good"/>
    <x v="12"/>
    <s v="Cash"/>
    <n v="4"/>
    <s v="Vivo V20"/>
    <n v="175294.56"/>
    <s v="Good"/>
    <s v="Good"/>
  </r>
  <r>
    <s v="Kira242228"/>
    <n v="2228"/>
    <n v="3"/>
    <n v="7"/>
    <n v="2023"/>
    <d v="2023-07-03T00:00:00"/>
    <s v="July"/>
    <d v="2027-11-14T00:00:00"/>
    <x v="2"/>
    <n v="5"/>
    <n v="55444.13"/>
    <s v="Kiran Gupta"/>
    <n v="24"/>
    <s v="Teenagers"/>
    <s v="BAD"/>
    <x v="10"/>
    <s v="Debit Card"/>
    <n v="1"/>
    <s v="OnePlus 8T"/>
    <n v="277220.64999999997"/>
    <s v="Average"/>
    <s v="Excellent"/>
  </r>
  <r>
    <s v="Vija242229"/>
    <n v="2229"/>
    <n v="4"/>
    <n v="7"/>
    <n v="2023"/>
    <d v="2023-07-04T00:00:00"/>
    <s v="July"/>
    <d v="2027-11-15T00:00:00"/>
    <x v="4"/>
    <n v="5"/>
    <n v="31416.240000000002"/>
    <s v="Vijay Siddiqui"/>
    <n v="24"/>
    <s v="Teenagers"/>
    <s v="BAD"/>
    <x v="4"/>
    <s v="Cash"/>
    <n v="2"/>
    <s v="iPhone SE"/>
    <n v="157081.20000000001"/>
    <s v="Average"/>
    <s v="Good"/>
  </r>
  <r>
    <s v="Reen252230"/>
    <n v="2230"/>
    <n v="4"/>
    <n v="7"/>
    <n v="2023"/>
    <d v="2023-07-04T00:00:00"/>
    <s v="July"/>
    <d v="2027-11-16T00:00:00"/>
    <x v="4"/>
    <n v="6"/>
    <n v="69371.199999999997"/>
    <s v="Reena Dutta"/>
    <n v="25"/>
    <s v="Teenagers"/>
    <s v="Good"/>
    <x v="1"/>
    <s v="Cash"/>
    <n v="4"/>
    <s v="iPhone SE"/>
    <n v="416227.19999999995"/>
    <s v="Good"/>
    <s v="Excellent"/>
  </r>
  <r>
    <s v="Pooj362231"/>
    <n v="2231"/>
    <n v="4"/>
    <n v="7"/>
    <n v="2023"/>
    <d v="2023-07-04T00:00:00"/>
    <s v="July"/>
    <d v="2027-11-17T00:00:00"/>
    <x v="4"/>
    <n v="8"/>
    <n v="25754.34"/>
    <s v="Pooja Ahuja"/>
    <n v="36"/>
    <s v="Adult"/>
    <s v="Good"/>
    <x v="15"/>
    <s v="Debit Card"/>
    <n v="4"/>
    <s v="iPhone 11"/>
    <n v="206034.72"/>
    <s v="Good"/>
    <s v="Excellent"/>
  </r>
  <r>
    <s v="Neet342232"/>
    <n v="2232"/>
    <n v="5"/>
    <n v="7"/>
    <n v="2023"/>
    <d v="2023-07-05T00:00:00"/>
    <s v="July"/>
    <d v="2027-11-18T00:00:00"/>
    <x v="2"/>
    <n v="5"/>
    <n v="25288.2"/>
    <s v="Neeta Desai"/>
    <n v="34"/>
    <s v="Adult"/>
    <s v="Good"/>
    <x v="15"/>
    <s v="UPI"/>
    <n v="5"/>
    <s v="OnePlus Nord"/>
    <n v="126441"/>
    <s v="Good"/>
    <s v="Good"/>
  </r>
  <r>
    <s v="Roha282233"/>
    <n v="2233"/>
    <n v="5"/>
    <n v="7"/>
    <n v="2023"/>
    <d v="2023-07-05T00:00:00"/>
    <s v="July"/>
    <d v="2027-11-19T00:00:00"/>
    <x v="4"/>
    <n v="1"/>
    <n v="56335.55"/>
    <s v="Rohan Pathak"/>
    <n v="28"/>
    <s v="Teenagers"/>
    <s v="Good"/>
    <x v="2"/>
    <s v="UPI"/>
    <n v="4"/>
    <s v="iPhone 11"/>
    <n v="56335.55"/>
    <s v="Good"/>
    <s v="Average"/>
  </r>
  <r>
    <s v="Deep582234"/>
    <n v="2234"/>
    <n v="5"/>
    <n v="7"/>
    <n v="2023"/>
    <d v="2023-07-05T00:00:00"/>
    <s v="July"/>
    <d v="2027-11-20T00:00:00"/>
    <x v="3"/>
    <n v="5"/>
    <n v="36079.440000000002"/>
    <s v="Deepika Das"/>
    <n v="58"/>
    <s v="Senior Citezen"/>
    <s v="BAD"/>
    <x v="4"/>
    <s v="Debit Card"/>
    <n v="1"/>
    <s v="Galaxy Note 20"/>
    <n v="180397.2"/>
    <s v="Average"/>
    <s v="Good"/>
  </r>
  <r>
    <s v="Sanj282235"/>
    <n v="2235"/>
    <n v="5"/>
    <n v="7"/>
    <n v="2023"/>
    <d v="2023-07-05T00:00:00"/>
    <s v="July"/>
    <d v="2027-11-21T00:00:00"/>
    <x v="4"/>
    <n v="3"/>
    <n v="29847.7"/>
    <s v="Sanjay Das"/>
    <n v="28"/>
    <s v="Teenagers"/>
    <s v="Good"/>
    <x v="1"/>
    <s v="UPI"/>
    <n v="5"/>
    <s v="iPhone 11"/>
    <n v="89543.1"/>
    <s v="Good"/>
    <s v="Average"/>
  </r>
  <r>
    <s v="Mano552236"/>
    <n v="2236"/>
    <n v="6"/>
    <n v="7"/>
    <n v="2023"/>
    <d v="2023-07-06T00:00:00"/>
    <s v="July"/>
    <d v="2027-11-22T00:00:00"/>
    <x v="0"/>
    <n v="4"/>
    <n v="20719.77"/>
    <s v="Manoj Siddiqui"/>
    <n v="55"/>
    <s v="Senior Citezen"/>
    <s v="Good"/>
    <x v="7"/>
    <s v="Credit Card"/>
    <n v="4"/>
    <s v="Redmi 9"/>
    <n v="82879.08"/>
    <s v="Good"/>
    <s v="Average"/>
  </r>
  <r>
    <s v="Pooj582237"/>
    <n v="2237"/>
    <n v="6"/>
    <n v="7"/>
    <n v="2023"/>
    <d v="2023-07-06T00:00:00"/>
    <s v="July"/>
    <d v="2027-11-23T00:00:00"/>
    <x v="2"/>
    <n v="8"/>
    <n v="55919.95"/>
    <s v="Pooja Patel"/>
    <n v="58"/>
    <s v="Senior Citezen"/>
    <s v="Good"/>
    <x v="11"/>
    <s v="Cash"/>
    <n v="4"/>
    <s v="OnePlus 8T"/>
    <n v="447359.6"/>
    <s v="Good"/>
    <s v="Excellent"/>
  </r>
  <r>
    <s v="Nami192238"/>
    <n v="2238"/>
    <n v="6"/>
    <n v="7"/>
    <n v="2023"/>
    <d v="2023-07-06T00:00:00"/>
    <s v="July"/>
    <d v="2027-11-24T00:00:00"/>
    <x v="0"/>
    <n v="7"/>
    <n v="57179.31"/>
    <s v="Namita Malhotra"/>
    <n v="19"/>
    <s v="Teenagers"/>
    <s v="Good"/>
    <x v="1"/>
    <s v="Debit Card"/>
    <n v="5"/>
    <s v="Redmi 9"/>
    <n v="400255.17"/>
    <s v="Good"/>
    <s v="Excellent"/>
  </r>
  <r>
    <s v="Pank212239"/>
    <n v="2239"/>
    <n v="6"/>
    <n v="7"/>
    <n v="2023"/>
    <d v="2023-07-06T00:00:00"/>
    <s v="July"/>
    <d v="2027-11-25T00:00:00"/>
    <x v="4"/>
    <n v="5"/>
    <n v="43993.84"/>
    <s v="Pankaj Patel"/>
    <n v="21"/>
    <s v="Teenagers"/>
    <s v="BAD"/>
    <x v="18"/>
    <s v="Credit Card"/>
    <n v="2"/>
    <s v="iPhone 12"/>
    <n v="219969.19999999998"/>
    <s v="Average"/>
    <s v="Excellent"/>
  </r>
  <r>
    <s v="Pras452240"/>
    <n v="2240"/>
    <n v="7"/>
    <n v="7"/>
    <n v="2023"/>
    <d v="2023-07-07T00:00:00"/>
    <s v="July"/>
    <d v="2027-11-26T00:00:00"/>
    <x v="3"/>
    <n v="2"/>
    <n v="67438.820000000007"/>
    <s v="Prashant Roy"/>
    <n v="45"/>
    <s v="Adult"/>
    <s v="Good"/>
    <x v="2"/>
    <s v="Cash"/>
    <n v="4"/>
    <s v="Galaxy Note 20"/>
    <n v="134877.64000000001"/>
    <s v="Good"/>
    <s v="Good"/>
  </r>
  <r>
    <s v="Radh502241"/>
    <n v="2241"/>
    <n v="7"/>
    <n v="7"/>
    <n v="2023"/>
    <d v="2023-07-07T00:00:00"/>
    <s v="July"/>
    <d v="2027-11-27T00:00:00"/>
    <x v="1"/>
    <n v="6"/>
    <n v="29089.8"/>
    <s v="Radha Alva"/>
    <n v="50"/>
    <s v="Senior Citezen"/>
    <s v="Good"/>
    <x v="6"/>
    <s v="Debit Card"/>
    <n v="4"/>
    <s v="Vivo S1"/>
    <n v="174538.8"/>
    <s v="Good"/>
    <s v="Good"/>
  </r>
  <r>
    <s v="Suni282242"/>
    <n v="2242"/>
    <n v="7"/>
    <n v="7"/>
    <n v="2023"/>
    <d v="2023-07-07T00:00:00"/>
    <s v="July"/>
    <d v="2027-11-28T00:00:00"/>
    <x v="4"/>
    <n v="6"/>
    <n v="23177.14"/>
    <s v="Sunil Reddy"/>
    <n v="28"/>
    <s v="Teenagers"/>
    <s v="BAD"/>
    <x v="8"/>
    <s v="UPI"/>
    <n v="2"/>
    <s v="iPhone 11"/>
    <n v="139062.84"/>
    <s v="Average"/>
    <s v="Good"/>
  </r>
  <r>
    <s v="Umes202243"/>
    <n v="2243"/>
    <n v="8"/>
    <n v="7"/>
    <n v="2023"/>
    <d v="2023-07-08T00:00:00"/>
    <s v="July"/>
    <d v="2027-11-29T00:00:00"/>
    <x v="3"/>
    <n v="6"/>
    <n v="50648.01"/>
    <s v="Umesh Kulkarni"/>
    <n v="20"/>
    <s v="Teenagers"/>
    <s v="Good"/>
    <x v="9"/>
    <s v="Debit Card"/>
    <n v="4"/>
    <s v="Galaxy A51"/>
    <n v="303888.06"/>
    <s v="Good"/>
    <s v="Excellent"/>
  </r>
  <r>
    <s v="Suni572244"/>
    <n v="2244"/>
    <n v="8"/>
    <n v="7"/>
    <n v="2023"/>
    <d v="2023-07-08T00:00:00"/>
    <s v="July"/>
    <d v="2027-11-30T00:00:00"/>
    <x v="2"/>
    <n v="9"/>
    <n v="55504.52"/>
    <s v="Sunita Mehta"/>
    <n v="57"/>
    <s v="Senior Citezen"/>
    <s v="BAD"/>
    <x v="9"/>
    <s v="Debit Card"/>
    <n v="2"/>
    <s v="OnePlus Nord"/>
    <n v="499540.68"/>
    <s v="Average"/>
    <s v="Excellent"/>
  </r>
  <r>
    <s v="Pooj222245"/>
    <n v="2245"/>
    <n v="8"/>
    <n v="7"/>
    <n v="2023"/>
    <d v="2023-07-08T00:00:00"/>
    <s v="July"/>
    <d v="2027-12-01T00:00:00"/>
    <x v="0"/>
    <n v="8"/>
    <n v="23494.36"/>
    <s v="Pooja Thakur"/>
    <n v="22"/>
    <s v="Teenagers"/>
    <s v="BAD"/>
    <x v="2"/>
    <s v="Cash"/>
    <n v="2"/>
    <s v="Redmi Note 10"/>
    <n v="187954.88"/>
    <s v="Average"/>
    <s v="Good"/>
  </r>
  <r>
    <s v="Amit382246"/>
    <n v="2246"/>
    <n v="9"/>
    <n v="7"/>
    <n v="2023"/>
    <d v="2023-07-09T00:00:00"/>
    <s v="July"/>
    <d v="2027-12-02T00:00:00"/>
    <x v="0"/>
    <n v="8"/>
    <n v="14596.65"/>
    <s v="Amit Joshi"/>
    <n v="38"/>
    <s v="Adult"/>
    <s v="BAD"/>
    <x v="2"/>
    <s v="Cash"/>
    <n v="2"/>
    <s v="Mi 11"/>
    <n v="116773.2"/>
    <s v="Average"/>
    <s v="Good"/>
  </r>
  <r>
    <s v="Sneh392247"/>
    <n v="2247"/>
    <n v="9"/>
    <n v="7"/>
    <n v="2023"/>
    <d v="2023-07-09T00:00:00"/>
    <s v="July"/>
    <d v="2027-12-03T00:00:00"/>
    <x v="0"/>
    <n v="1"/>
    <n v="58630.99"/>
    <s v="Sneha Ghosh"/>
    <n v="39"/>
    <s v="Adult"/>
    <s v="Good"/>
    <x v="13"/>
    <s v="Cash"/>
    <n v="5"/>
    <s v="Redmi 9"/>
    <n v="58630.99"/>
    <s v="Good"/>
    <s v="Average"/>
  </r>
  <r>
    <s v="Ravi542248"/>
    <n v="2248"/>
    <n v="9"/>
    <n v="7"/>
    <n v="2023"/>
    <d v="2023-07-09T00:00:00"/>
    <s v="July"/>
    <d v="2027-12-04T00:00:00"/>
    <x v="2"/>
    <n v="5"/>
    <n v="68590.12"/>
    <s v="Ravi Siddiqui"/>
    <n v="54"/>
    <s v="Senior Citezen"/>
    <s v="Good"/>
    <x v="11"/>
    <s v="Credit Card"/>
    <n v="4"/>
    <s v="OnePlus 9"/>
    <n v="342950.6"/>
    <s v="Good"/>
    <s v="Excellent"/>
  </r>
  <r>
    <s v="Amit282249"/>
    <n v="2249"/>
    <n v="9"/>
    <n v="7"/>
    <n v="2023"/>
    <d v="2023-07-09T00:00:00"/>
    <s v="July"/>
    <d v="2027-12-05T00:00:00"/>
    <x v="3"/>
    <n v="7"/>
    <n v="48680.34"/>
    <s v="Amit Ghosh"/>
    <n v="28"/>
    <s v="Teenagers"/>
    <s v="BAD"/>
    <x v="7"/>
    <s v="UPI"/>
    <n v="2"/>
    <s v="Galaxy A51"/>
    <n v="340762.38"/>
    <s v="Average"/>
    <s v="Excellent"/>
  </r>
  <r>
    <s v="Bhav392250"/>
    <n v="2250"/>
    <n v="10"/>
    <n v="7"/>
    <n v="2023"/>
    <d v="2023-07-10T00:00:00"/>
    <s v="July"/>
    <d v="2027-12-06T00:00:00"/>
    <x v="2"/>
    <n v="6"/>
    <n v="26672.01"/>
    <s v="Bhavana Srivastava"/>
    <n v="39"/>
    <s v="Adult"/>
    <s v="Good"/>
    <x v="16"/>
    <s v="Debit Card"/>
    <n v="4"/>
    <s v="OnePlus Nord"/>
    <n v="160032.06"/>
    <s v="Good"/>
    <s v="Good"/>
  </r>
  <r>
    <s v="Hari582251"/>
    <n v="2251"/>
    <n v="10"/>
    <n v="7"/>
    <n v="2023"/>
    <d v="2023-07-10T00:00:00"/>
    <s v="July"/>
    <d v="2027-12-07T00:00:00"/>
    <x v="0"/>
    <n v="5"/>
    <n v="69800.36"/>
    <s v="Harish Solanki"/>
    <n v="58"/>
    <s v="Senior Citezen"/>
    <s v="BAD"/>
    <x v="8"/>
    <s v="Debit Card"/>
    <n v="2"/>
    <s v="Redmi Note 10"/>
    <n v="349001.8"/>
    <s v="Average"/>
    <s v="Excellent"/>
  </r>
  <r>
    <s v="Umes302252"/>
    <n v="2252"/>
    <n v="10"/>
    <n v="7"/>
    <n v="2023"/>
    <d v="2023-07-10T00:00:00"/>
    <s v="July"/>
    <d v="2027-12-08T00:00:00"/>
    <x v="4"/>
    <n v="8"/>
    <n v="63596"/>
    <s v="Umesh Ghosh"/>
    <n v="30"/>
    <s v="Teenagers"/>
    <s v="BAD"/>
    <x v="11"/>
    <s v="UPI"/>
    <n v="2"/>
    <s v="iPhone 11"/>
    <n v="508768"/>
    <s v="Average"/>
    <s v="Excellent"/>
  </r>
  <r>
    <s v="Mala202253"/>
    <n v="2253"/>
    <n v="10"/>
    <n v="7"/>
    <n v="2023"/>
    <d v="2023-07-10T00:00:00"/>
    <s v="July"/>
    <d v="2027-12-09T00:00:00"/>
    <x v="1"/>
    <n v="3"/>
    <n v="40802.839999999997"/>
    <s v="Mala Chatterjee"/>
    <n v="20"/>
    <s v="Teenagers"/>
    <s v="BAD"/>
    <x v="15"/>
    <s v="Debit Card"/>
    <n v="2"/>
    <s v="Vivo V20"/>
    <n v="122408.51999999999"/>
    <s v="Average"/>
    <s v="Good"/>
  </r>
  <r>
    <s v="Anja302254"/>
    <n v="2254"/>
    <n v="11"/>
    <n v="7"/>
    <n v="2023"/>
    <d v="2023-07-11T00:00:00"/>
    <s v="July"/>
    <d v="2027-12-10T00:00:00"/>
    <x v="2"/>
    <n v="6"/>
    <n v="59519.28"/>
    <s v="Anjali Varma"/>
    <n v="30"/>
    <s v="Teenagers"/>
    <s v="Good"/>
    <x v="1"/>
    <s v="Cash"/>
    <n v="5"/>
    <s v="OnePlus 8T"/>
    <n v="357115.68"/>
    <s v="Good"/>
    <s v="Excellent"/>
  </r>
  <r>
    <s v="Navi452255"/>
    <n v="2255"/>
    <n v="11"/>
    <n v="7"/>
    <n v="2023"/>
    <d v="2023-07-11T00:00:00"/>
    <s v="July"/>
    <d v="2027-12-11T00:00:00"/>
    <x v="2"/>
    <n v="5"/>
    <n v="58949.23"/>
    <s v="Navin Verma"/>
    <n v="45"/>
    <s v="Adult"/>
    <s v="BAD"/>
    <x v="1"/>
    <s v="Debit Card"/>
    <n v="2"/>
    <s v="OnePlus Nord"/>
    <n v="294746.15000000002"/>
    <s v="Average"/>
    <s v="Excellent"/>
  </r>
  <r>
    <s v="Amit282256"/>
    <n v="2256"/>
    <n v="11"/>
    <n v="7"/>
    <n v="2023"/>
    <d v="2023-07-11T00:00:00"/>
    <s v="July"/>
    <d v="2027-12-12T00:00:00"/>
    <x v="3"/>
    <n v="8"/>
    <n v="66087.94"/>
    <s v="Amit Srivastava"/>
    <n v="28"/>
    <s v="Teenagers"/>
    <s v="BAD"/>
    <x v="2"/>
    <s v="UPI"/>
    <n v="2"/>
    <s v="Galaxy A51"/>
    <n v="528703.52"/>
    <s v="Average"/>
    <s v="Excellent"/>
  </r>
  <r>
    <s v="Neet282257"/>
    <n v="2257"/>
    <n v="11"/>
    <n v="7"/>
    <n v="2023"/>
    <d v="2023-07-11T00:00:00"/>
    <s v="July"/>
    <d v="2027-12-13T00:00:00"/>
    <x v="3"/>
    <n v="4"/>
    <n v="60455.43"/>
    <s v="Neeta Sharma"/>
    <n v="28"/>
    <s v="Teenagers"/>
    <s v="BAD"/>
    <x v="7"/>
    <s v="Credit Card"/>
    <n v="2"/>
    <s v="Galaxy S21"/>
    <n v="241821.72"/>
    <s v="Average"/>
    <s v="Excellent"/>
  </r>
  <r>
    <s v="Pank382258"/>
    <n v="2258"/>
    <n v="12"/>
    <n v="7"/>
    <n v="2023"/>
    <d v="2023-07-12T00:00:00"/>
    <s v="July"/>
    <d v="2027-12-14T00:00:00"/>
    <x v="2"/>
    <n v="8"/>
    <n v="48620.75"/>
    <s v="Pankaj Sheth"/>
    <n v="38"/>
    <s v="Adult"/>
    <s v="BAD"/>
    <x v="18"/>
    <s v="Credit Card"/>
    <n v="2"/>
    <s v="OnePlus 9"/>
    <n v="388966"/>
    <s v="Average"/>
    <s v="Excellent"/>
  </r>
  <r>
    <s v="Kira382259"/>
    <n v="2259"/>
    <n v="12"/>
    <n v="7"/>
    <n v="2023"/>
    <d v="2023-07-12T00:00:00"/>
    <s v="July"/>
    <d v="2027-12-15T00:00:00"/>
    <x v="0"/>
    <n v="2"/>
    <n v="46558.22"/>
    <s v="Kiran Deshmukh"/>
    <n v="38"/>
    <s v="Adult"/>
    <s v="BAD"/>
    <x v="2"/>
    <s v="UPI"/>
    <n v="2"/>
    <s v="Redmi Note 10"/>
    <n v="93116.44"/>
    <s v="Average"/>
    <s v="Average"/>
  </r>
  <r>
    <s v="Kavi242260"/>
    <n v="2260"/>
    <n v="12"/>
    <n v="7"/>
    <n v="2023"/>
    <d v="2023-07-12T00:00:00"/>
    <s v="July"/>
    <d v="2027-12-16T00:00:00"/>
    <x v="1"/>
    <n v="9"/>
    <n v="38041.440000000002"/>
    <s v="Kavita Gupta"/>
    <n v="24"/>
    <s v="Teenagers"/>
    <s v="BAD"/>
    <x v="2"/>
    <s v="Debit Card"/>
    <n v="2"/>
    <s v="Vivo S1"/>
    <n v="342372.96"/>
    <s v="Average"/>
    <s v="Excellent"/>
  </r>
  <r>
    <s v="Jyot342261"/>
    <n v="2261"/>
    <n v="12"/>
    <n v="7"/>
    <n v="2023"/>
    <d v="2023-07-12T00:00:00"/>
    <s v="July"/>
    <d v="2027-12-17T00:00:00"/>
    <x v="3"/>
    <n v="9"/>
    <n v="47589.14"/>
    <s v="Jyoti Mehta"/>
    <n v="34"/>
    <s v="Adult"/>
    <s v="Good"/>
    <x v="13"/>
    <s v="Debit Card"/>
    <n v="4"/>
    <s v="Galaxy Note 20"/>
    <n v="428302.26"/>
    <s v="Good"/>
    <s v="Excellent"/>
  </r>
  <r>
    <s v="Sumi312262"/>
    <n v="2262"/>
    <n v="13"/>
    <n v="7"/>
    <n v="2023"/>
    <d v="2023-07-13T00:00:00"/>
    <s v="July"/>
    <d v="2027-12-18T00:00:00"/>
    <x v="0"/>
    <n v="6"/>
    <n v="57713"/>
    <s v="Sumit Roy"/>
    <n v="31"/>
    <s v="Adult"/>
    <s v="BAD"/>
    <x v="14"/>
    <s v="Credit Card"/>
    <n v="2"/>
    <s v="Redmi Note 10"/>
    <n v="346278"/>
    <s v="Average"/>
    <s v="Excellent"/>
  </r>
  <r>
    <s v="Kira502263"/>
    <n v="2263"/>
    <n v="13"/>
    <n v="7"/>
    <n v="2023"/>
    <d v="2023-07-13T00:00:00"/>
    <s v="July"/>
    <d v="2027-12-19T00:00:00"/>
    <x v="4"/>
    <n v="4"/>
    <n v="68142.259999999995"/>
    <s v="Kiran Singh"/>
    <n v="50"/>
    <s v="Senior Citezen"/>
    <s v="BAD"/>
    <x v="2"/>
    <s v="Debit Card"/>
    <n v="2"/>
    <s v="iPhone 11"/>
    <n v="272569.03999999998"/>
    <s v="Average"/>
    <s v="Excellent"/>
  </r>
  <r>
    <s v="Bhav282264"/>
    <n v="2264"/>
    <n v="13"/>
    <n v="7"/>
    <n v="2023"/>
    <d v="2023-07-13T00:00:00"/>
    <s v="July"/>
    <d v="2027-12-20T00:00:00"/>
    <x v="3"/>
    <n v="4"/>
    <n v="38037.24"/>
    <s v="Bhavana Sheth"/>
    <n v="28"/>
    <s v="Teenagers"/>
    <s v="Good"/>
    <x v="6"/>
    <s v="Credit Card"/>
    <n v="5"/>
    <s v="Galaxy S21"/>
    <n v="152148.96"/>
    <s v="Good"/>
    <s v="Good"/>
  </r>
  <r>
    <s v="Meen302265"/>
    <n v="2265"/>
    <n v="13"/>
    <n v="7"/>
    <n v="2023"/>
    <d v="2023-07-13T00:00:00"/>
    <s v="July"/>
    <d v="2027-12-21T00:00:00"/>
    <x v="0"/>
    <n v="6"/>
    <n v="44419.19"/>
    <s v="Meena Dutta"/>
    <n v="30"/>
    <s v="Teenagers"/>
    <s v="BAD"/>
    <x v="8"/>
    <s v="UPI"/>
    <n v="2"/>
    <s v="Redmi Note 10"/>
    <n v="266515.14"/>
    <s v="Average"/>
    <s v="Excellent"/>
  </r>
  <r>
    <s v="Adit182266"/>
    <n v="2266"/>
    <n v="14"/>
    <n v="7"/>
    <n v="2023"/>
    <d v="2023-07-14T00:00:00"/>
    <s v="July"/>
    <d v="2027-12-22T00:00:00"/>
    <x v="0"/>
    <n v="5"/>
    <n v="36688.33"/>
    <s v="Aditya Nair"/>
    <n v="18"/>
    <s v="Teenagers"/>
    <s v="Good"/>
    <x v="16"/>
    <s v="UPI"/>
    <n v="5"/>
    <s v="Redmi Note 10"/>
    <n v="183441.65000000002"/>
    <s v="Good"/>
    <s v="Good"/>
  </r>
  <r>
    <s v="Nikh512267"/>
    <n v="2267"/>
    <n v="14"/>
    <n v="7"/>
    <n v="2023"/>
    <d v="2023-07-14T00:00:00"/>
    <s v="July"/>
    <d v="2027-12-23T00:00:00"/>
    <x v="1"/>
    <n v="6"/>
    <n v="50109.32"/>
    <s v="Nikhil Ahuja"/>
    <n v="51"/>
    <s v="Senior Citezen"/>
    <s v="AVG"/>
    <x v="1"/>
    <s v="Debit Card"/>
    <n v="3"/>
    <s v="Vivo V20"/>
    <n v="300655.92"/>
    <s v="Average"/>
    <s v="Excellent"/>
  </r>
  <r>
    <s v="Moni262268"/>
    <n v="2268"/>
    <n v="14"/>
    <n v="7"/>
    <n v="2023"/>
    <d v="2023-07-14T00:00:00"/>
    <s v="July"/>
    <d v="2027-12-24T00:00:00"/>
    <x v="1"/>
    <n v="7"/>
    <n v="47795.23"/>
    <s v="Monika Kumar"/>
    <n v="26"/>
    <s v="Teenagers"/>
    <s v="Good"/>
    <x v="2"/>
    <s v="Cash"/>
    <n v="5"/>
    <s v="Vivo S1"/>
    <n v="334566.61000000004"/>
    <s v="Good"/>
    <s v="Excellent"/>
  </r>
  <r>
    <s v="Isha302269"/>
    <n v="2269"/>
    <n v="15"/>
    <n v="7"/>
    <n v="2023"/>
    <d v="2023-07-15T00:00:00"/>
    <s v="July"/>
    <d v="2027-12-25T00:00:00"/>
    <x v="4"/>
    <n v="7"/>
    <n v="11070.03"/>
    <s v="Isha Kaur"/>
    <n v="30"/>
    <s v="Teenagers"/>
    <s v="AVG"/>
    <x v="5"/>
    <s v="Cash"/>
    <n v="3"/>
    <s v="iPhone SE"/>
    <n v="77490.210000000006"/>
    <s v="Average"/>
    <s v="Average"/>
  </r>
  <r>
    <s v="Priy542270"/>
    <n v="2270"/>
    <n v="15"/>
    <n v="7"/>
    <n v="2023"/>
    <d v="2023-07-15T00:00:00"/>
    <s v="July"/>
    <d v="2027-12-26T00:00:00"/>
    <x v="0"/>
    <n v="9"/>
    <n v="42469.69"/>
    <s v="Priyanka Mishra"/>
    <n v="54"/>
    <s v="Senior Citezen"/>
    <s v="AVG"/>
    <x v="1"/>
    <s v="Credit Card"/>
    <n v="3"/>
    <s v="Redmi Note 10"/>
    <n v="382227.21"/>
    <s v="Average"/>
    <s v="Excellent"/>
  </r>
  <r>
    <s v="Suni472271"/>
    <n v="2271"/>
    <n v="15"/>
    <n v="7"/>
    <n v="2023"/>
    <d v="2023-07-15T00:00:00"/>
    <s v="July"/>
    <d v="2027-12-27T00:00:00"/>
    <x v="0"/>
    <n v="8"/>
    <n v="15309.21"/>
    <s v="Sunil Jain"/>
    <n v="47"/>
    <s v="Senior Citezen"/>
    <s v="Good"/>
    <x v="1"/>
    <s v="UPI"/>
    <n v="5"/>
    <s v="Redmi 9"/>
    <n v="122473.68"/>
    <s v="Good"/>
    <s v="Good"/>
  </r>
  <r>
    <s v="Arun582272"/>
    <n v="2272"/>
    <n v="15"/>
    <n v="7"/>
    <n v="2023"/>
    <d v="2023-07-15T00:00:00"/>
    <s v="July"/>
    <d v="2027-12-28T00:00:00"/>
    <x v="1"/>
    <n v="6"/>
    <n v="11583.02"/>
    <s v="Arun Iyer"/>
    <n v="58"/>
    <s v="Senior Citezen"/>
    <s v="Good"/>
    <x v="1"/>
    <s v="Credit Card"/>
    <n v="4"/>
    <s v="Vivo S1"/>
    <n v="69498.12"/>
    <s v="Good"/>
    <s v="Average"/>
  </r>
  <r>
    <s v="Mano542273"/>
    <n v="2273"/>
    <n v="16"/>
    <n v="7"/>
    <n v="2023"/>
    <d v="2023-07-16T00:00:00"/>
    <s v="July"/>
    <d v="2027-12-29T00:00:00"/>
    <x v="3"/>
    <n v="6"/>
    <n v="57471.83"/>
    <s v="Manoj Kapoor"/>
    <n v="54"/>
    <s v="Senior Citezen"/>
    <s v="Good"/>
    <x v="0"/>
    <s v="UPI"/>
    <n v="5"/>
    <s v="Galaxy A51"/>
    <n v="344830.98"/>
    <s v="Good"/>
    <s v="Excellent"/>
  </r>
  <r>
    <s v="Anit242274"/>
    <n v="2274"/>
    <n v="16"/>
    <n v="7"/>
    <n v="2023"/>
    <d v="2023-07-16T00:00:00"/>
    <s v="July"/>
    <d v="2027-12-30T00:00:00"/>
    <x v="3"/>
    <n v="5"/>
    <n v="25518.99"/>
    <s v="Anita Shah"/>
    <n v="24"/>
    <s v="Teenagers"/>
    <s v="BAD"/>
    <x v="2"/>
    <s v="Credit Card"/>
    <n v="2"/>
    <s v="Galaxy A51"/>
    <n v="127594.95000000001"/>
    <s v="Average"/>
    <s v="Good"/>
  </r>
  <r>
    <s v="Arun312275"/>
    <n v="2275"/>
    <n v="16"/>
    <n v="7"/>
    <n v="2023"/>
    <d v="2023-07-16T00:00:00"/>
    <s v="July"/>
    <d v="2027-12-31T00:00:00"/>
    <x v="2"/>
    <n v="1"/>
    <n v="30439.3"/>
    <s v="Arun Siddiqui"/>
    <n v="31"/>
    <s v="Adult"/>
    <s v="Good"/>
    <x v="14"/>
    <s v="Credit Card"/>
    <n v="5"/>
    <s v="OnePlus 8T"/>
    <n v="30439.3"/>
    <s v="Good"/>
    <s v="Low"/>
  </r>
  <r>
    <s v="Arun232276"/>
    <n v="2276"/>
    <n v="17"/>
    <n v="7"/>
    <n v="2023"/>
    <d v="2023-07-17T00:00:00"/>
    <s v="July"/>
    <d v="2028-01-01T00:00:00"/>
    <x v="1"/>
    <n v="9"/>
    <n v="13845.08"/>
    <s v="Arun Yadav"/>
    <n v="23"/>
    <s v="Teenagers"/>
    <s v="Good"/>
    <x v="14"/>
    <s v="Credit Card"/>
    <n v="4"/>
    <s v="Vivo Y51"/>
    <n v="124605.72"/>
    <s v="Good"/>
    <s v="Good"/>
  </r>
  <r>
    <s v="Pras512277"/>
    <n v="2277"/>
    <n v="17"/>
    <n v="7"/>
    <n v="2023"/>
    <d v="2023-07-17T00:00:00"/>
    <s v="July"/>
    <d v="2028-01-02T00:00:00"/>
    <x v="2"/>
    <n v="9"/>
    <n v="20770.02"/>
    <s v="Prashant Arora"/>
    <n v="51"/>
    <s v="Senior Citezen"/>
    <s v="Good"/>
    <x v="18"/>
    <s v="Debit Card"/>
    <n v="5"/>
    <s v="OnePlus Nord"/>
    <n v="186930.18"/>
    <s v="Good"/>
    <s v="Good"/>
  </r>
  <r>
    <s v="Sanj332278"/>
    <n v="2278"/>
    <n v="17"/>
    <n v="7"/>
    <n v="2023"/>
    <d v="2023-07-17T00:00:00"/>
    <s v="July"/>
    <d v="2028-01-03T00:00:00"/>
    <x v="1"/>
    <n v="9"/>
    <n v="55936.29"/>
    <s v="Sanjay Das"/>
    <n v="33"/>
    <s v="Adult"/>
    <s v="Good"/>
    <x v="1"/>
    <s v="Cash"/>
    <n v="4"/>
    <s v="Vivo Y51"/>
    <n v="503426.61"/>
    <s v="Good"/>
    <s v="Excellent"/>
  </r>
  <r>
    <s v="Pank542279"/>
    <n v="2279"/>
    <n v="18"/>
    <n v="7"/>
    <n v="2023"/>
    <d v="2023-07-18T00:00:00"/>
    <s v="July"/>
    <d v="2028-01-04T00:00:00"/>
    <x v="4"/>
    <n v="8"/>
    <n v="39611.85"/>
    <s v="Pankaj Nambiar"/>
    <n v="54"/>
    <s v="Senior Citezen"/>
    <s v="BAD"/>
    <x v="2"/>
    <s v="UPI"/>
    <n v="2"/>
    <s v="iPhone 12"/>
    <n v="316894.8"/>
    <s v="Average"/>
    <s v="Excellent"/>
  </r>
  <r>
    <s v="Jyot532280"/>
    <n v="2280"/>
    <n v="18"/>
    <n v="7"/>
    <n v="2023"/>
    <d v="2023-07-18T00:00:00"/>
    <s v="July"/>
    <d v="2028-01-05T00:00:00"/>
    <x v="0"/>
    <n v="3"/>
    <n v="62840.11"/>
    <s v="Jyoti Ahuja"/>
    <n v="53"/>
    <s v="Senior Citezen"/>
    <s v="BAD"/>
    <x v="1"/>
    <s v="Credit Card"/>
    <n v="2"/>
    <s v="Mi 11"/>
    <n v="188520.33000000002"/>
    <s v="Average"/>
    <s v="Good"/>
  </r>
  <r>
    <s v="Moni232281"/>
    <n v="2281"/>
    <n v="18"/>
    <n v="7"/>
    <n v="2023"/>
    <d v="2023-07-18T00:00:00"/>
    <s v="July"/>
    <d v="2028-01-06T00:00:00"/>
    <x v="4"/>
    <n v="1"/>
    <n v="33834.53"/>
    <s v="Monika Bhatnagar"/>
    <n v="23"/>
    <s v="Teenagers"/>
    <s v="Good"/>
    <x v="2"/>
    <s v="Cash"/>
    <n v="4"/>
    <s v="iPhone 12"/>
    <n v="33834.53"/>
    <s v="Good"/>
    <s v="Low"/>
  </r>
  <r>
    <s v="Tanu252282"/>
    <n v="2282"/>
    <n v="19"/>
    <n v="7"/>
    <n v="2023"/>
    <d v="2023-07-19T00:00:00"/>
    <s v="July"/>
    <d v="2028-01-07T00:00:00"/>
    <x v="1"/>
    <n v="8"/>
    <n v="26122.04"/>
    <s v="Tanuja Rao"/>
    <n v="25"/>
    <s v="Teenagers"/>
    <s v="Good"/>
    <x v="1"/>
    <s v="Credit Card"/>
    <n v="4"/>
    <s v="Vivo Y51"/>
    <n v="208976.32"/>
    <s v="Good"/>
    <s v="Excellent"/>
  </r>
  <r>
    <s v="Kuna412283"/>
    <n v="2283"/>
    <n v="19"/>
    <n v="7"/>
    <n v="2023"/>
    <d v="2023-07-19T00:00:00"/>
    <s v="July"/>
    <d v="2028-01-08T00:00:00"/>
    <x v="0"/>
    <n v="7"/>
    <n v="30855.99"/>
    <s v="Kunal Malhotra"/>
    <n v="41"/>
    <s v="Adult"/>
    <s v="Good"/>
    <x v="1"/>
    <s v="Credit Card"/>
    <n v="4"/>
    <s v="Mi 11"/>
    <n v="215991.93000000002"/>
    <s v="Good"/>
    <s v="Excellent"/>
  </r>
  <r>
    <s v="Roha202284"/>
    <n v="2284"/>
    <n v="19"/>
    <n v="7"/>
    <n v="2023"/>
    <d v="2023-07-19T00:00:00"/>
    <s v="July"/>
    <d v="2028-01-09T00:00:00"/>
    <x v="3"/>
    <n v="5"/>
    <n v="52766.31"/>
    <s v="Rohan Jain"/>
    <n v="20"/>
    <s v="Teenagers"/>
    <s v="BAD"/>
    <x v="3"/>
    <s v="UPI"/>
    <n v="2"/>
    <s v="Galaxy S21"/>
    <n v="263831.55"/>
    <s v="Average"/>
    <s v="Excellent"/>
  </r>
  <r>
    <s v="Mala212285"/>
    <n v="2285"/>
    <n v="19"/>
    <n v="7"/>
    <n v="2023"/>
    <d v="2023-07-19T00:00:00"/>
    <s v="July"/>
    <d v="2028-01-10T00:00:00"/>
    <x v="3"/>
    <n v="7"/>
    <n v="43300.34"/>
    <s v="Mala Verma"/>
    <n v="21"/>
    <s v="Teenagers"/>
    <s v="AVG"/>
    <x v="9"/>
    <s v="Debit Card"/>
    <n v="3"/>
    <s v="Galaxy S21"/>
    <n v="303102.38"/>
    <s v="Average"/>
    <s v="Excellent"/>
  </r>
  <r>
    <s v="Pras492286"/>
    <n v="2286"/>
    <n v="20"/>
    <n v="7"/>
    <n v="2023"/>
    <d v="2023-07-20T00:00:00"/>
    <s v="July"/>
    <d v="2028-01-11T00:00:00"/>
    <x v="2"/>
    <n v="4"/>
    <n v="64251.47"/>
    <s v="Prashant Mathur"/>
    <n v="49"/>
    <s v="Senior Citezen"/>
    <s v="Good"/>
    <x v="12"/>
    <s v="Credit Card"/>
    <n v="4"/>
    <s v="OnePlus Nord"/>
    <n v="257005.88"/>
    <s v="Good"/>
    <s v="Excellent"/>
  </r>
  <r>
    <s v="Pank182287"/>
    <n v="2287"/>
    <n v="20"/>
    <n v="7"/>
    <n v="2023"/>
    <d v="2023-07-20T00:00:00"/>
    <s v="July"/>
    <d v="2028-01-12T00:00:00"/>
    <x v="1"/>
    <n v="9"/>
    <n v="46130.13"/>
    <s v="Pankaj Kapoor"/>
    <n v="18"/>
    <s v="Teenagers"/>
    <s v="BAD"/>
    <x v="9"/>
    <s v="UPI"/>
    <n v="2"/>
    <s v="Vivo Y51"/>
    <n v="415171.17"/>
    <s v="Average"/>
    <s v="Excellent"/>
  </r>
  <r>
    <s v="Isha512288"/>
    <n v="2288"/>
    <n v="20"/>
    <n v="7"/>
    <n v="2023"/>
    <d v="2023-07-20T00:00:00"/>
    <s v="July"/>
    <d v="2028-01-13T00:00:00"/>
    <x v="1"/>
    <n v="2"/>
    <n v="39581.089999999997"/>
    <s v="Isha Singh"/>
    <n v="51"/>
    <s v="Senior Citezen"/>
    <s v="BAD"/>
    <x v="1"/>
    <s v="Debit Card"/>
    <n v="2"/>
    <s v="Vivo V20"/>
    <n v="79162.179999999993"/>
    <s v="Average"/>
    <s v="Average"/>
  </r>
  <r>
    <s v="Pooj262289"/>
    <n v="2289"/>
    <n v="21"/>
    <n v="7"/>
    <n v="2023"/>
    <d v="2023-07-21T00:00:00"/>
    <s v="July"/>
    <d v="2028-01-14T00:00:00"/>
    <x v="3"/>
    <n v="9"/>
    <n v="57145.16"/>
    <s v="Pooja Pathak"/>
    <n v="26"/>
    <s v="Teenagers"/>
    <s v="Good"/>
    <x v="17"/>
    <s v="Debit Card"/>
    <n v="4"/>
    <s v="Galaxy A51"/>
    <n v="514306.44000000006"/>
    <s v="Good"/>
    <s v="Excellent"/>
  </r>
  <r>
    <s v="Nami292290"/>
    <n v="2290"/>
    <n v="21"/>
    <n v="7"/>
    <n v="2023"/>
    <d v="2023-07-21T00:00:00"/>
    <s v="July"/>
    <d v="2028-01-15T00:00:00"/>
    <x v="4"/>
    <n v="9"/>
    <n v="66852.03"/>
    <s v="Namita Deshmukh"/>
    <n v="29"/>
    <s v="Teenagers"/>
    <s v="AVG"/>
    <x v="8"/>
    <s v="Cash"/>
    <n v="3"/>
    <s v="iPhone 12"/>
    <n v="601668.27"/>
    <s v="Average"/>
    <s v="Excellent"/>
  </r>
  <r>
    <s v="Deep272291"/>
    <n v="2291"/>
    <n v="21"/>
    <n v="7"/>
    <n v="2023"/>
    <d v="2023-07-21T00:00:00"/>
    <s v="July"/>
    <d v="2028-01-16T00:00:00"/>
    <x v="0"/>
    <n v="5"/>
    <n v="31350.75"/>
    <s v="Deepika Solanki"/>
    <n v="27"/>
    <s v="Teenagers"/>
    <s v="BAD"/>
    <x v="2"/>
    <s v="Cash"/>
    <n v="2"/>
    <s v="Redmi 9"/>
    <n v="156753.75"/>
    <s v="Average"/>
    <s v="Good"/>
  </r>
  <r>
    <s v="Sneh272292"/>
    <n v="2292"/>
    <n v="22"/>
    <n v="7"/>
    <n v="2023"/>
    <d v="2023-07-22T00:00:00"/>
    <s v="July"/>
    <d v="2028-01-17T00:00:00"/>
    <x v="4"/>
    <n v="1"/>
    <n v="24992.57"/>
    <s v="Sneha Patel"/>
    <n v="27"/>
    <s v="Teenagers"/>
    <s v="BAD"/>
    <x v="6"/>
    <s v="Credit Card"/>
    <n v="2"/>
    <s v="iPhone SE"/>
    <n v="24992.57"/>
    <s v="Average"/>
    <s v="Low"/>
  </r>
  <r>
    <s v="Vive402293"/>
    <n v="2293"/>
    <n v="22"/>
    <n v="7"/>
    <n v="2023"/>
    <d v="2023-07-22T00:00:00"/>
    <s v="July"/>
    <d v="2028-01-18T00:00:00"/>
    <x v="4"/>
    <n v="7"/>
    <n v="46973.04"/>
    <s v="Vivek Mehta"/>
    <n v="40"/>
    <s v="Adult"/>
    <s v="AVG"/>
    <x v="5"/>
    <s v="Cash"/>
    <n v="3"/>
    <s v="iPhone 12"/>
    <n v="328811.28000000003"/>
    <s v="Average"/>
    <s v="Excellent"/>
  </r>
  <r>
    <s v="Kira232294"/>
    <n v="2294"/>
    <n v="22"/>
    <n v="7"/>
    <n v="2023"/>
    <d v="2023-07-22T00:00:00"/>
    <s v="July"/>
    <d v="2028-01-19T00:00:00"/>
    <x v="3"/>
    <n v="4"/>
    <n v="39932.370000000003"/>
    <s v="Kiran Alva"/>
    <n v="23"/>
    <s v="Teenagers"/>
    <s v="BAD"/>
    <x v="18"/>
    <s v="UPI"/>
    <n v="2"/>
    <s v="Galaxy S21"/>
    <n v="159729.48000000001"/>
    <s v="Average"/>
    <s v="Good"/>
  </r>
  <r>
    <s v="Anit412295"/>
    <n v="2295"/>
    <n v="22"/>
    <n v="7"/>
    <n v="2023"/>
    <d v="2023-07-22T00:00:00"/>
    <s v="July"/>
    <d v="2028-01-20T00:00:00"/>
    <x v="3"/>
    <n v="9"/>
    <n v="69351.13"/>
    <s v="Anita Pillai"/>
    <n v="41"/>
    <s v="Adult"/>
    <s v="AVG"/>
    <x v="14"/>
    <s v="UPI"/>
    <n v="3"/>
    <s v="Galaxy Note 20"/>
    <n v="624160.17000000004"/>
    <s v="Average"/>
    <s v="Excellent"/>
  </r>
  <r>
    <s v="Kris412296"/>
    <n v="2296"/>
    <n v="23"/>
    <n v="7"/>
    <n v="2023"/>
    <d v="2023-07-23T00:00:00"/>
    <s v="July"/>
    <d v="2028-01-21T00:00:00"/>
    <x v="3"/>
    <n v="6"/>
    <n v="37741.71"/>
    <s v="Krishna Menon"/>
    <n v="41"/>
    <s v="Adult"/>
    <s v="Good"/>
    <x v="1"/>
    <s v="Cash"/>
    <n v="5"/>
    <s v="Galaxy Note 20"/>
    <n v="226450.26"/>
    <s v="Good"/>
    <s v="Excellent"/>
  </r>
  <r>
    <s v="Mano382297"/>
    <n v="2297"/>
    <n v="23"/>
    <n v="7"/>
    <n v="2023"/>
    <d v="2023-07-23T00:00:00"/>
    <s v="July"/>
    <d v="2028-01-22T00:00:00"/>
    <x v="2"/>
    <n v="3"/>
    <n v="14459.89"/>
    <s v="Manoj Nambiar"/>
    <n v="38"/>
    <s v="Adult"/>
    <s v="Good"/>
    <x v="2"/>
    <s v="UPI"/>
    <n v="5"/>
    <s v="OnePlus Nord"/>
    <n v="43379.67"/>
    <s v="Good"/>
    <s v="Low"/>
  </r>
  <r>
    <s v="Shru592298"/>
    <n v="2298"/>
    <n v="23"/>
    <n v="7"/>
    <n v="2023"/>
    <d v="2023-07-23T00:00:00"/>
    <s v="July"/>
    <d v="2028-01-23T00:00:00"/>
    <x v="4"/>
    <n v="6"/>
    <n v="68642.14"/>
    <s v="Shruti Sharma"/>
    <n v="59"/>
    <s v="Senior Citezen"/>
    <s v="Good"/>
    <x v="1"/>
    <s v="UPI"/>
    <n v="5"/>
    <s v="iPhone 12"/>
    <n v="411852.83999999997"/>
    <s v="Good"/>
    <s v="Excellent"/>
  </r>
  <r>
    <s v="Kris482299"/>
    <n v="2299"/>
    <n v="24"/>
    <n v="7"/>
    <n v="2023"/>
    <d v="2023-07-24T00:00:00"/>
    <s v="July"/>
    <d v="2028-01-24T00:00:00"/>
    <x v="1"/>
    <n v="6"/>
    <n v="60615.22"/>
    <s v="Krishna Rao"/>
    <n v="48"/>
    <s v="Senior Citezen"/>
    <s v="BAD"/>
    <x v="1"/>
    <s v="Credit Card"/>
    <n v="2"/>
    <s v="Vivo Y51"/>
    <n v="363691.32"/>
    <s v="Average"/>
    <s v="Excellent"/>
  </r>
  <r>
    <s v="Anja582300"/>
    <n v="2300"/>
    <n v="24"/>
    <n v="7"/>
    <n v="2023"/>
    <d v="2023-07-24T00:00:00"/>
    <s v="July"/>
    <d v="2028-01-25T00:00:00"/>
    <x v="0"/>
    <n v="5"/>
    <n v="20695.009999999998"/>
    <s v="Anjali Jain"/>
    <n v="58"/>
    <s v="Senior Citezen"/>
    <s v="Good"/>
    <x v="1"/>
    <s v="Credit Card"/>
    <n v="5"/>
    <s v="Redmi 9"/>
    <n v="103475.04999999999"/>
    <s v="Good"/>
    <s v="Good"/>
  </r>
  <r>
    <s v="Lata472301"/>
    <n v="2301"/>
    <n v="24"/>
    <n v="7"/>
    <n v="2023"/>
    <d v="2023-07-24T00:00:00"/>
    <s v="July"/>
    <d v="2028-01-26T00:00:00"/>
    <x v="2"/>
    <n v="2"/>
    <n v="64276.32"/>
    <s v="Lata Kumar"/>
    <n v="47"/>
    <s v="Senior Citezen"/>
    <s v="BAD"/>
    <x v="2"/>
    <s v="UPI"/>
    <n v="2"/>
    <s v="OnePlus 8T"/>
    <n v="128552.64"/>
    <s v="Average"/>
    <s v="Good"/>
  </r>
  <r>
    <s v="Kavi512302"/>
    <n v="2302"/>
    <n v="25"/>
    <n v="7"/>
    <n v="2023"/>
    <d v="2023-07-25T00:00:00"/>
    <s v="July"/>
    <d v="2028-01-27T00:00:00"/>
    <x v="1"/>
    <n v="2"/>
    <n v="30440.01"/>
    <s v="Kavita Teja"/>
    <n v="51"/>
    <s v="Senior Citezen"/>
    <s v="BAD"/>
    <x v="12"/>
    <s v="Cash"/>
    <n v="2"/>
    <s v="Vivo S1"/>
    <n v="60880.02"/>
    <s v="Average"/>
    <s v="Average"/>
  </r>
  <r>
    <s v="Kira352303"/>
    <n v="2303"/>
    <n v="25"/>
    <n v="7"/>
    <n v="2023"/>
    <d v="2023-07-25T00:00:00"/>
    <s v="July"/>
    <d v="2028-01-28T00:00:00"/>
    <x v="4"/>
    <n v="7"/>
    <n v="32626.720000000001"/>
    <s v="Kiran Solanki"/>
    <n v="35"/>
    <s v="Adult"/>
    <s v="Good"/>
    <x v="18"/>
    <s v="UPI"/>
    <n v="5"/>
    <s v="iPhone 11"/>
    <n v="228387.04"/>
    <s v="Good"/>
    <s v="Excellent"/>
  </r>
  <r>
    <s v="Isha292304"/>
    <n v="2304"/>
    <n v="25"/>
    <n v="7"/>
    <n v="2023"/>
    <d v="2023-07-25T00:00:00"/>
    <s v="July"/>
    <d v="2028-01-29T00:00:00"/>
    <x v="3"/>
    <n v="2"/>
    <n v="64383.49"/>
    <s v="Isha Ghosh"/>
    <n v="29"/>
    <s v="Teenagers"/>
    <s v="AVG"/>
    <x v="17"/>
    <s v="Debit Card"/>
    <n v="3"/>
    <s v="Galaxy S21"/>
    <n v="128766.98"/>
    <s v="Average"/>
    <s v="Good"/>
  </r>
  <r>
    <s v="Nikh522305"/>
    <n v="2305"/>
    <n v="25"/>
    <n v="7"/>
    <n v="2023"/>
    <d v="2023-07-25T00:00:00"/>
    <s v="July"/>
    <d v="2028-01-30T00:00:00"/>
    <x v="4"/>
    <n v="6"/>
    <n v="41806.93"/>
    <s v="Nikhil Luthra"/>
    <n v="52"/>
    <s v="Senior Citezen"/>
    <s v="AVG"/>
    <x v="1"/>
    <s v="Debit Card"/>
    <n v="3"/>
    <s v="iPhone SE"/>
    <n v="250841.58000000002"/>
    <s v="Average"/>
    <s v="Excellent"/>
  </r>
  <r>
    <s v="Lata242306"/>
    <n v="2306"/>
    <n v="26"/>
    <n v="7"/>
    <n v="2023"/>
    <d v="2023-07-26T00:00:00"/>
    <s v="July"/>
    <d v="2028-01-31T00:00:00"/>
    <x v="0"/>
    <n v="5"/>
    <n v="18265.78"/>
    <s v="Lata Verma"/>
    <n v="24"/>
    <s v="Teenagers"/>
    <s v="BAD"/>
    <x v="1"/>
    <s v="Debit Card"/>
    <n v="2"/>
    <s v="Redmi 9"/>
    <n v="91328.9"/>
    <s v="Average"/>
    <s v="Average"/>
  </r>
  <r>
    <s v="Kira582307"/>
    <n v="2307"/>
    <n v="26"/>
    <n v="7"/>
    <n v="2023"/>
    <d v="2023-07-26T00:00:00"/>
    <s v="July"/>
    <d v="2028-02-01T00:00:00"/>
    <x v="2"/>
    <n v="4"/>
    <n v="32143.37"/>
    <s v="Kiran Ghosh"/>
    <n v="58"/>
    <s v="Senior Citezen"/>
    <s v="AVG"/>
    <x v="1"/>
    <s v="Credit Card"/>
    <n v="3"/>
    <s v="OnePlus 8T"/>
    <n v="128573.48"/>
    <s v="Average"/>
    <s v="Good"/>
  </r>
  <r>
    <s v="Umes572308"/>
    <n v="2308"/>
    <n v="26"/>
    <n v="7"/>
    <n v="2023"/>
    <d v="2023-07-26T00:00:00"/>
    <s v="July"/>
    <d v="2028-02-02T00:00:00"/>
    <x v="2"/>
    <n v="7"/>
    <n v="53325.85"/>
    <s v="Umesh Patel"/>
    <n v="57"/>
    <s v="Senior Citezen"/>
    <s v="Good"/>
    <x v="1"/>
    <s v="Cash"/>
    <n v="4"/>
    <s v="OnePlus 8T"/>
    <n v="373280.95"/>
    <s v="Good"/>
    <s v="Excellent"/>
  </r>
  <r>
    <s v="Arun422309"/>
    <n v="2309"/>
    <n v="27"/>
    <n v="7"/>
    <n v="2023"/>
    <d v="2023-07-27T00:00:00"/>
    <s v="July"/>
    <d v="2028-02-03T00:00:00"/>
    <x v="0"/>
    <n v="8"/>
    <n v="20451.05"/>
    <s v="Arun Deshmukh"/>
    <n v="42"/>
    <s v="Adult"/>
    <s v="AVG"/>
    <x v="13"/>
    <s v="UPI"/>
    <n v="3"/>
    <s v="Mi 11"/>
    <n v="163608.4"/>
    <s v="Average"/>
    <s v="Good"/>
  </r>
  <r>
    <s v="Lali232310"/>
    <n v="2310"/>
    <n v="27"/>
    <n v="7"/>
    <n v="2023"/>
    <d v="2023-07-27T00:00:00"/>
    <s v="July"/>
    <d v="2028-02-04T00:00:00"/>
    <x v="1"/>
    <n v="4"/>
    <n v="45413.87"/>
    <s v="Lalita Rao"/>
    <n v="23"/>
    <s v="Teenagers"/>
    <s v="BAD"/>
    <x v="2"/>
    <s v="Cash"/>
    <n v="2"/>
    <s v="Vivo V20"/>
    <n v="181655.48"/>
    <s v="Average"/>
    <s v="Good"/>
  </r>
  <r>
    <s v="Shru182311"/>
    <n v="2311"/>
    <n v="27"/>
    <n v="7"/>
    <n v="2023"/>
    <d v="2023-07-27T00:00:00"/>
    <s v="July"/>
    <d v="2028-02-05T00:00:00"/>
    <x v="1"/>
    <n v="1"/>
    <n v="51716.45"/>
    <s v="Shruti Roy"/>
    <n v="18"/>
    <s v="Teenagers"/>
    <s v="AVG"/>
    <x v="8"/>
    <s v="Cash"/>
    <n v="3"/>
    <s v="Vivo Y51"/>
    <n v="51716.45"/>
    <s v="Average"/>
    <s v="Average"/>
  </r>
  <r>
    <s v="Bhav332312"/>
    <n v="2312"/>
    <n v="28"/>
    <n v="7"/>
    <n v="2023"/>
    <d v="2023-07-28T00:00:00"/>
    <s v="July"/>
    <d v="2028-02-06T00:00:00"/>
    <x v="2"/>
    <n v="1"/>
    <n v="30631.21"/>
    <s v="Bhavana Reddy"/>
    <n v="33"/>
    <s v="Adult"/>
    <s v="BAD"/>
    <x v="2"/>
    <s v="Cash"/>
    <n v="2"/>
    <s v="OnePlus 8T"/>
    <n v="30631.21"/>
    <s v="Average"/>
    <s v="Low"/>
  </r>
  <r>
    <s v="Deep212313"/>
    <n v="2313"/>
    <n v="28"/>
    <n v="7"/>
    <n v="2023"/>
    <d v="2023-07-28T00:00:00"/>
    <s v="July"/>
    <d v="2028-02-07T00:00:00"/>
    <x v="2"/>
    <n v="1"/>
    <n v="51632.84"/>
    <s v="Deepika Dutta"/>
    <n v="21"/>
    <s v="Teenagers"/>
    <s v="AVG"/>
    <x v="8"/>
    <s v="Debit Card"/>
    <n v="3"/>
    <s v="OnePlus 9"/>
    <n v="51632.84"/>
    <s v="Average"/>
    <s v="Average"/>
  </r>
  <r>
    <s v="Vija462314"/>
    <n v="2314"/>
    <n v="28"/>
    <n v="7"/>
    <n v="2023"/>
    <d v="2023-07-28T00:00:00"/>
    <s v="July"/>
    <d v="2028-02-08T00:00:00"/>
    <x v="3"/>
    <n v="1"/>
    <n v="63052.44"/>
    <s v="Vijay Das"/>
    <n v="46"/>
    <s v="Senior Citezen"/>
    <s v="BAD"/>
    <x v="15"/>
    <s v="UPI"/>
    <n v="2"/>
    <s v="Galaxy Note 20"/>
    <n v="63052.44"/>
    <s v="Average"/>
    <s v="Average"/>
  </r>
  <r>
    <s v="Ravi552315"/>
    <n v="2315"/>
    <n v="29"/>
    <n v="7"/>
    <n v="2023"/>
    <d v="2023-07-29T00:00:00"/>
    <s v="July"/>
    <d v="2028-02-09T00:00:00"/>
    <x v="1"/>
    <n v="5"/>
    <n v="38327"/>
    <s v="Ravi Prasad"/>
    <n v="55"/>
    <s v="Senior Citezen"/>
    <s v="Good"/>
    <x v="12"/>
    <s v="Credit Card"/>
    <n v="4"/>
    <s v="Vivo V20"/>
    <n v="191635"/>
    <s v="Good"/>
    <s v="Good"/>
  </r>
  <r>
    <s v="Nami452316"/>
    <n v="2316"/>
    <n v="29"/>
    <n v="7"/>
    <n v="2023"/>
    <d v="2023-07-29T00:00:00"/>
    <s v="July"/>
    <d v="2028-02-10T00:00:00"/>
    <x v="0"/>
    <n v="4"/>
    <n v="32974.559999999998"/>
    <s v="Namita Rao"/>
    <n v="45"/>
    <s v="Adult"/>
    <s v="Good"/>
    <x v="10"/>
    <s v="Cash"/>
    <n v="5"/>
    <s v="Redmi Note 10"/>
    <n v="131898.23999999999"/>
    <s v="Good"/>
    <s v="Good"/>
  </r>
  <r>
    <s v="Ayes392317"/>
    <n v="2317"/>
    <n v="29"/>
    <n v="7"/>
    <n v="2023"/>
    <d v="2023-07-29T00:00:00"/>
    <s v="July"/>
    <d v="2028-02-11T00:00:00"/>
    <x v="1"/>
    <n v="9"/>
    <n v="25069.5"/>
    <s v="Ayesha Menon"/>
    <n v="39"/>
    <s v="Adult"/>
    <s v="Good"/>
    <x v="6"/>
    <s v="Cash"/>
    <n v="4"/>
    <s v="Vivo Y51"/>
    <n v="225625.5"/>
    <s v="Good"/>
    <s v="Excellent"/>
  </r>
  <r>
    <s v="Umes252318"/>
    <n v="2318"/>
    <n v="29"/>
    <n v="7"/>
    <n v="2023"/>
    <d v="2023-07-29T00:00:00"/>
    <s v="July"/>
    <d v="2028-02-12T00:00:00"/>
    <x v="3"/>
    <n v="3"/>
    <n v="46252.33"/>
    <s v="Umesh Srivastava"/>
    <n v="25"/>
    <s v="Teenagers"/>
    <s v="BAD"/>
    <x v="1"/>
    <s v="Debit Card"/>
    <n v="2"/>
    <s v="Galaxy S21"/>
    <n v="138756.99"/>
    <s v="Average"/>
    <s v="Good"/>
  </r>
  <r>
    <s v="Ravi492319"/>
    <n v="2319"/>
    <n v="30"/>
    <n v="7"/>
    <n v="2023"/>
    <d v="2023-07-30T00:00:00"/>
    <s v="July"/>
    <d v="2028-02-13T00:00:00"/>
    <x v="2"/>
    <n v="7"/>
    <n v="62791.12"/>
    <s v="Ravi Kumar"/>
    <n v="49"/>
    <s v="Senior Citezen"/>
    <s v="Good"/>
    <x v="1"/>
    <s v="Debit Card"/>
    <n v="4"/>
    <s v="OnePlus 8T"/>
    <n v="439537.84"/>
    <s v="Good"/>
    <s v="Excellent"/>
  </r>
  <r>
    <s v="Kris502320"/>
    <n v="2320"/>
    <n v="30"/>
    <n v="7"/>
    <n v="2023"/>
    <d v="2023-07-30T00:00:00"/>
    <s v="July"/>
    <d v="2028-02-14T00:00:00"/>
    <x v="2"/>
    <n v="8"/>
    <n v="29479.68"/>
    <s v="Krishna Nambiar"/>
    <n v="50"/>
    <s v="Senior Citezen"/>
    <s v="Good"/>
    <x v="16"/>
    <s v="UPI"/>
    <n v="4"/>
    <s v="OnePlus 9"/>
    <n v="235837.44"/>
    <s v="Good"/>
    <s v="Excellent"/>
  </r>
  <r>
    <s v="Moni302321"/>
    <n v="2321"/>
    <n v="30"/>
    <n v="7"/>
    <n v="2023"/>
    <d v="2023-07-30T00:00:00"/>
    <s v="July"/>
    <d v="2028-02-15T00:00:00"/>
    <x v="3"/>
    <n v="6"/>
    <n v="33774.129999999997"/>
    <s v="Monika Rawat"/>
    <n v="30"/>
    <s v="Teenagers"/>
    <s v="BAD"/>
    <x v="1"/>
    <s v="Credit Card"/>
    <n v="2"/>
    <s v="Galaxy A51"/>
    <n v="202644.77999999997"/>
    <s v="Average"/>
    <s v="Excellent"/>
  </r>
  <r>
    <s v="Anan442322"/>
    <n v="2322"/>
    <n v="30"/>
    <n v="7"/>
    <n v="2023"/>
    <d v="2023-07-30T00:00:00"/>
    <s v="July"/>
    <d v="2028-02-16T00:00:00"/>
    <x v="0"/>
    <n v="1"/>
    <n v="34397.53"/>
    <s v="Anand Kapoor"/>
    <n v="44"/>
    <s v="Adult"/>
    <s v="BAD"/>
    <x v="2"/>
    <s v="Credit Card"/>
    <n v="2"/>
    <s v="Mi 11"/>
    <n v="34397.53"/>
    <s v="Average"/>
    <s v="Low"/>
  </r>
  <r>
    <s v="Anit352323"/>
    <n v="2323"/>
    <n v="31"/>
    <n v="7"/>
    <n v="2023"/>
    <d v="2023-07-31T00:00:00"/>
    <s v="July"/>
    <d v="2028-02-17T00:00:00"/>
    <x v="2"/>
    <n v="8"/>
    <n v="43648.74"/>
    <s v="Anita Dutta"/>
    <n v="35"/>
    <s v="Adult"/>
    <s v="Good"/>
    <x v="1"/>
    <s v="Debit Card"/>
    <n v="5"/>
    <s v="OnePlus Nord"/>
    <n v="349189.92"/>
    <s v="Good"/>
    <s v="Excellent"/>
  </r>
  <r>
    <s v="Mala352324"/>
    <n v="2324"/>
    <n v="31"/>
    <n v="7"/>
    <n v="2023"/>
    <d v="2023-07-31T00:00:00"/>
    <s v="July"/>
    <d v="2028-02-18T00:00:00"/>
    <x v="4"/>
    <n v="3"/>
    <n v="23704.54"/>
    <s v="Mala Mathur"/>
    <n v="35"/>
    <s v="Adult"/>
    <s v="Good"/>
    <x v="6"/>
    <s v="UPI"/>
    <n v="5"/>
    <s v="iPhone SE"/>
    <n v="71113.62"/>
    <s v="Good"/>
    <s v="Average"/>
  </r>
  <r>
    <s v="Raje302325"/>
    <n v="2325"/>
    <n v="31"/>
    <n v="7"/>
    <n v="2023"/>
    <d v="2023-07-31T00:00:00"/>
    <s v="July"/>
    <d v="2028-02-19T00:00:00"/>
    <x v="2"/>
    <n v="8"/>
    <n v="59332.67"/>
    <s v="Rajesh Shah"/>
    <n v="30"/>
    <s v="Teenagers"/>
    <s v="AVG"/>
    <x v="15"/>
    <s v="Cash"/>
    <n v="3"/>
    <s v="OnePlus Nord"/>
    <n v="474661.36"/>
    <s v="Average"/>
    <s v="Excellent"/>
  </r>
  <r>
    <s v="Raje392326"/>
    <n v="2326"/>
    <n v="31"/>
    <n v="7"/>
    <n v="2023"/>
    <d v="2023-07-31T00:00:00"/>
    <s v="July"/>
    <d v="2028-02-20T00:00:00"/>
    <x v="4"/>
    <n v="4"/>
    <n v="27736.14"/>
    <s v="Rajesh Yadav"/>
    <n v="39"/>
    <s v="Adult"/>
    <s v="BAD"/>
    <x v="4"/>
    <s v="UPI"/>
    <n v="2"/>
    <s v="iPhone SE"/>
    <n v="110944.56"/>
    <s v="Average"/>
    <s v="Good"/>
  </r>
  <r>
    <s v="Kavi312327"/>
    <n v="2327"/>
    <n v="1"/>
    <n v="8"/>
    <n v="2023"/>
    <d v="2023-08-01T00:00:00"/>
    <s v="August"/>
    <d v="2028-02-21T00:00:00"/>
    <x v="3"/>
    <n v="8"/>
    <n v="52321.760000000002"/>
    <s v="Kavita Goyal"/>
    <n v="31"/>
    <s v="Adult"/>
    <s v="BAD"/>
    <x v="14"/>
    <s v="Credit Card"/>
    <n v="2"/>
    <s v="Galaxy Note 20"/>
    <n v="418574.08000000002"/>
    <s v="Average"/>
    <s v="Excellent"/>
  </r>
  <r>
    <s v="Priy282328"/>
    <n v="2328"/>
    <n v="1"/>
    <n v="8"/>
    <n v="2023"/>
    <d v="2023-08-01T00:00:00"/>
    <s v="August"/>
    <d v="2028-02-22T00:00:00"/>
    <x v="3"/>
    <n v="1"/>
    <n v="40792.94"/>
    <s v="Priya Reddy"/>
    <n v="28"/>
    <s v="Teenagers"/>
    <s v="Good"/>
    <x v="2"/>
    <s v="Debit Card"/>
    <n v="4"/>
    <s v="Galaxy S21"/>
    <n v="40792.94"/>
    <s v="Good"/>
    <s v="Low"/>
  </r>
  <r>
    <s v="Ravi562329"/>
    <n v="2329"/>
    <n v="1"/>
    <n v="8"/>
    <n v="2023"/>
    <d v="2023-08-01T00:00:00"/>
    <s v="August"/>
    <d v="2028-02-23T00:00:00"/>
    <x v="2"/>
    <n v="3"/>
    <n v="45153.86"/>
    <s v="Ravi Gupta"/>
    <n v="56"/>
    <s v="Senior Citezen"/>
    <s v="Good"/>
    <x v="2"/>
    <s v="Cash"/>
    <n v="4"/>
    <s v="OnePlus 8T"/>
    <n v="135461.58000000002"/>
    <s v="Good"/>
    <s v="Good"/>
  </r>
  <r>
    <s v="Suni392330"/>
    <n v="2330"/>
    <n v="2"/>
    <n v="8"/>
    <n v="2023"/>
    <d v="2023-08-02T00:00:00"/>
    <s v="August"/>
    <d v="2028-02-24T00:00:00"/>
    <x v="1"/>
    <n v="6"/>
    <n v="20776.52"/>
    <s v="Sunil Gupta"/>
    <n v="39"/>
    <s v="Adult"/>
    <s v="Good"/>
    <x v="1"/>
    <s v="Cash"/>
    <n v="5"/>
    <s v="Vivo Y51"/>
    <n v="124659.12"/>
    <s v="Good"/>
    <s v="Good"/>
  </r>
  <r>
    <s v="Pras532331"/>
    <n v="2331"/>
    <n v="2"/>
    <n v="8"/>
    <n v="2023"/>
    <d v="2023-08-02T00:00:00"/>
    <s v="August"/>
    <d v="2028-02-25T00:00:00"/>
    <x v="4"/>
    <n v="9"/>
    <n v="54101.39"/>
    <s v="Prashant Das"/>
    <n v="53"/>
    <s v="Senior Citezen"/>
    <s v="BAD"/>
    <x v="14"/>
    <s v="Credit Card"/>
    <n v="2"/>
    <s v="iPhone 12"/>
    <n v="486912.51"/>
    <s v="Average"/>
    <s v="Excellent"/>
  </r>
  <r>
    <s v="Nikh342332"/>
    <n v="2332"/>
    <n v="2"/>
    <n v="8"/>
    <n v="2023"/>
    <d v="2023-08-02T00:00:00"/>
    <s v="August"/>
    <d v="2028-02-26T00:00:00"/>
    <x v="0"/>
    <n v="2"/>
    <n v="21317.23"/>
    <s v="Nikhil Patel"/>
    <n v="34"/>
    <s v="Adult"/>
    <s v="BAD"/>
    <x v="14"/>
    <s v="Cash"/>
    <n v="2"/>
    <s v="Redmi 9"/>
    <n v="42634.46"/>
    <s v="Average"/>
    <s v="Low"/>
  </r>
  <r>
    <s v="Priy492333"/>
    <n v="2333"/>
    <n v="3"/>
    <n v="8"/>
    <n v="2023"/>
    <d v="2023-08-03T00:00:00"/>
    <s v="August"/>
    <d v="2028-02-27T00:00:00"/>
    <x v="2"/>
    <n v="1"/>
    <n v="16808.419999999998"/>
    <s v="Priya Prasad"/>
    <n v="49"/>
    <s v="Senior Citezen"/>
    <s v="Good"/>
    <x v="16"/>
    <s v="UPI"/>
    <n v="5"/>
    <s v="OnePlus 9"/>
    <n v="16808.419999999998"/>
    <s v="Good"/>
    <s v="Low"/>
  </r>
  <r>
    <s v="Sach312334"/>
    <n v="2334"/>
    <n v="3"/>
    <n v="8"/>
    <n v="2023"/>
    <d v="2023-08-03T00:00:00"/>
    <s v="August"/>
    <d v="2028-02-28T00:00:00"/>
    <x v="0"/>
    <n v="3"/>
    <n v="42800.77"/>
    <s v="Sachin Joshi"/>
    <n v="31"/>
    <s v="Adult"/>
    <s v="BAD"/>
    <x v="1"/>
    <s v="Credit Card"/>
    <n v="2"/>
    <s v="Redmi 9"/>
    <n v="128402.31"/>
    <s v="Average"/>
    <s v="Good"/>
  </r>
  <r>
    <s v="Priy592335"/>
    <n v="2335"/>
    <n v="3"/>
    <n v="8"/>
    <n v="2023"/>
    <d v="2023-08-03T00:00:00"/>
    <s v="August"/>
    <d v="2028-02-29T00:00:00"/>
    <x v="2"/>
    <n v="4"/>
    <n v="52557.83"/>
    <s v="Priya Dutta"/>
    <n v="59"/>
    <s v="Senior Citezen"/>
    <s v="BAD"/>
    <x v="3"/>
    <s v="Credit Card"/>
    <n v="2"/>
    <s v="OnePlus 8T"/>
    <n v="210231.32"/>
    <s v="Average"/>
    <s v="Excellent"/>
  </r>
  <r>
    <s v="Moni462336"/>
    <n v="2336"/>
    <n v="3"/>
    <n v="8"/>
    <n v="2023"/>
    <d v="2023-08-03T00:00:00"/>
    <s v="August"/>
    <d v="2028-03-01T00:00:00"/>
    <x v="1"/>
    <n v="5"/>
    <n v="13002.15"/>
    <s v="Monika Bhatnagar"/>
    <n v="46"/>
    <s v="Senior Citezen"/>
    <s v="Good"/>
    <x v="14"/>
    <s v="Cash"/>
    <n v="4"/>
    <s v="Vivo V20"/>
    <n v="65010.75"/>
    <s v="Good"/>
    <s v="Average"/>
  </r>
  <r>
    <s v="Ravi232337"/>
    <n v="2337"/>
    <n v="4"/>
    <n v="8"/>
    <n v="2023"/>
    <d v="2023-08-04T00:00:00"/>
    <s v="August"/>
    <d v="2028-03-02T00:00:00"/>
    <x v="1"/>
    <n v="3"/>
    <n v="14163.72"/>
    <s v="Ravi Thakur"/>
    <n v="23"/>
    <s v="Teenagers"/>
    <s v="Good"/>
    <x v="15"/>
    <s v="Credit Card"/>
    <n v="4"/>
    <s v="Vivo V20"/>
    <n v="42491.159999999996"/>
    <s v="Good"/>
    <s v="Low"/>
  </r>
  <r>
    <s v="Kris212338"/>
    <n v="2338"/>
    <n v="4"/>
    <n v="8"/>
    <n v="2023"/>
    <d v="2023-08-04T00:00:00"/>
    <s v="August"/>
    <d v="2028-03-03T00:00:00"/>
    <x v="1"/>
    <n v="2"/>
    <n v="58160.75"/>
    <s v="Krishna Rao"/>
    <n v="21"/>
    <s v="Teenagers"/>
    <s v="Good"/>
    <x v="1"/>
    <s v="Debit Card"/>
    <n v="5"/>
    <s v="Vivo S1"/>
    <n v="116321.5"/>
    <s v="Good"/>
    <s v="Good"/>
  </r>
  <r>
    <s v="Rame282339"/>
    <n v="2339"/>
    <n v="4"/>
    <n v="8"/>
    <n v="2023"/>
    <d v="2023-08-04T00:00:00"/>
    <s v="August"/>
    <d v="2028-03-04T00:00:00"/>
    <x v="1"/>
    <n v="2"/>
    <n v="58541.96"/>
    <s v="Ramesh Jain"/>
    <n v="28"/>
    <s v="Teenagers"/>
    <s v="BAD"/>
    <x v="1"/>
    <s v="UPI"/>
    <n v="2"/>
    <s v="Vivo V20"/>
    <n v="117083.92"/>
    <s v="Average"/>
    <s v="Good"/>
  </r>
  <r>
    <s v="Kira572340"/>
    <n v="2340"/>
    <n v="5"/>
    <n v="8"/>
    <n v="2023"/>
    <d v="2023-08-05T00:00:00"/>
    <s v="August"/>
    <d v="2028-03-05T00:00:00"/>
    <x v="3"/>
    <n v="7"/>
    <n v="24718.28"/>
    <s v="Kiran Siddiqui"/>
    <n v="57"/>
    <s v="Senior Citezen"/>
    <s v="Good"/>
    <x v="1"/>
    <s v="Credit Card"/>
    <n v="4"/>
    <s v="Galaxy Note 20"/>
    <n v="173027.96"/>
    <s v="Good"/>
    <s v="Good"/>
  </r>
  <r>
    <s v="Tapa272341"/>
    <n v="2341"/>
    <n v="5"/>
    <n v="8"/>
    <n v="2023"/>
    <d v="2023-08-05T00:00:00"/>
    <s v="August"/>
    <d v="2028-03-06T00:00:00"/>
    <x v="3"/>
    <n v="9"/>
    <n v="46913.69"/>
    <s v="Tapan Chatterjee"/>
    <n v="27"/>
    <s v="Teenagers"/>
    <s v="BAD"/>
    <x v="7"/>
    <s v="Debit Card"/>
    <n v="2"/>
    <s v="Galaxy S21"/>
    <n v="422223.21"/>
    <s v="Average"/>
    <s v="Excellent"/>
  </r>
  <r>
    <s v="Amit452342"/>
    <n v="2342"/>
    <n v="5"/>
    <n v="8"/>
    <n v="2023"/>
    <d v="2023-08-05T00:00:00"/>
    <s v="August"/>
    <d v="2028-03-07T00:00:00"/>
    <x v="4"/>
    <n v="2"/>
    <n v="36590.800000000003"/>
    <s v="Amit Joshi"/>
    <n v="45"/>
    <s v="Adult"/>
    <s v="Good"/>
    <x v="18"/>
    <s v="Cash"/>
    <n v="5"/>
    <s v="iPhone 12"/>
    <n v="73181.600000000006"/>
    <s v="Good"/>
    <s v="Average"/>
  </r>
  <r>
    <s v="Tapa282343"/>
    <n v="2343"/>
    <n v="6"/>
    <n v="8"/>
    <n v="2023"/>
    <d v="2023-08-06T00:00:00"/>
    <s v="August"/>
    <d v="2028-03-08T00:00:00"/>
    <x v="0"/>
    <n v="7"/>
    <n v="47961.760000000002"/>
    <s v="Tapan Mishra"/>
    <n v="28"/>
    <s v="Teenagers"/>
    <s v="AVG"/>
    <x v="16"/>
    <s v="Credit Card"/>
    <n v="3"/>
    <s v="Mi 11"/>
    <n v="335732.32"/>
    <s v="Average"/>
    <s v="Excellent"/>
  </r>
  <r>
    <s v="Reen522344"/>
    <n v="2344"/>
    <n v="6"/>
    <n v="8"/>
    <n v="2023"/>
    <d v="2023-08-06T00:00:00"/>
    <s v="August"/>
    <d v="2028-03-09T00:00:00"/>
    <x v="2"/>
    <n v="7"/>
    <n v="61772.76"/>
    <s v="Reena Goyal"/>
    <n v="52"/>
    <s v="Senior Citezen"/>
    <s v="BAD"/>
    <x v="1"/>
    <s v="Debit Card"/>
    <n v="2"/>
    <s v="OnePlus Nord"/>
    <n v="432409.32"/>
    <s v="Average"/>
    <s v="Excellent"/>
  </r>
  <r>
    <s v="Kuna322345"/>
    <n v="2345"/>
    <n v="6"/>
    <n v="8"/>
    <n v="2023"/>
    <d v="2023-08-06T00:00:00"/>
    <s v="August"/>
    <d v="2028-03-10T00:00:00"/>
    <x v="2"/>
    <n v="7"/>
    <n v="14791.39"/>
    <s v="Kunal Shah"/>
    <n v="32"/>
    <s v="Adult"/>
    <s v="BAD"/>
    <x v="3"/>
    <s v="Cash"/>
    <n v="2"/>
    <s v="OnePlus 9"/>
    <n v="103539.73"/>
    <s v="Average"/>
    <s v="Good"/>
  </r>
  <r>
    <s v="Kris252346"/>
    <n v="2346"/>
    <n v="6"/>
    <n v="8"/>
    <n v="2023"/>
    <d v="2023-08-06T00:00:00"/>
    <s v="August"/>
    <d v="2028-03-11T00:00:00"/>
    <x v="3"/>
    <n v="3"/>
    <n v="56679.07"/>
    <s v="Krishna Goyal"/>
    <n v="25"/>
    <s v="Teenagers"/>
    <s v="Good"/>
    <x v="4"/>
    <s v="Debit Card"/>
    <n v="5"/>
    <s v="Galaxy A51"/>
    <n v="170037.21"/>
    <s v="Good"/>
    <s v="Good"/>
  </r>
  <r>
    <s v="Anan372347"/>
    <n v="2347"/>
    <n v="7"/>
    <n v="8"/>
    <n v="2023"/>
    <d v="2023-08-07T00:00:00"/>
    <s v="August"/>
    <d v="2028-03-12T00:00:00"/>
    <x v="2"/>
    <n v="7"/>
    <n v="39581.75"/>
    <s v="Anand Joshi"/>
    <n v="37"/>
    <s v="Adult"/>
    <s v="AVG"/>
    <x v="0"/>
    <s v="Cash"/>
    <n v="3"/>
    <s v="OnePlus 9"/>
    <n v="277072.25"/>
    <s v="Average"/>
    <s v="Excellent"/>
  </r>
  <r>
    <s v="Amit382348"/>
    <n v="2348"/>
    <n v="7"/>
    <n v="8"/>
    <n v="2023"/>
    <d v="2023-08-07T00:00:00"/>
    <s v="August"/>
    <d v="2028-03-13T00:00:00"/>
    <x v="3"/>
    <n v="1"/>
    <n v="43847.62"/>
    <s v="Amit Ghosh"/>
    <n v="38"/>
    <s v="Adult"/>
    <s v="Good"/>
    <x v="14"/>
    <s v="UPI"/>
    <n v="4"/>
    <s v="Galaxy Note 20"/>
    <n v="43847.62"/>
    <s v="Good"/>
    <s v="Low"/>
  </r>
  <r>
    <s v="Bhav182349"/>
    <n v="2349"/>
    <n v="7"/>
    <n v="8"/>
    <n v="2023"/>
    <d v="2023-08-07T00:00:00"/>
    <s v="August"/>
    <d v="2028-03-14T00:00:00"/>
    <x v="4"/>
    <n v="1"/>
    <n v="49235.88"/>
    <s v="Bhavana Bhatnagar"/>
    <n v="18"/>
    <s v="Teenagers"/>
    <s v="BAD"/>
    <x v="1"/>
    <s v="Credit Card"/>
    <n v="2"/>
    <s v="iPhone SE"/>
    <n v="49235.88"/>
    <s v="Average"/>
    <s v="Low"/>
  </r>
  <r>
    <s v="Kris462350"/>
    <n v="2350"/>
    <n v="7"/>
    <n v="8"/>
    <n v="2023"/>
    <d v="2023-08-07T00:00:00"/>
    <s v="August"/>
    <d v="2028-03-15T00:00:00"/>
    <x v="0"/>
    <n v="5"/>
    <n v="65357.39"/>
    <s v="Krishna Rawat"/>
    <n v="46"/>
    <s v="Senior Citezen"/>
    <s v="Good"/>
    <x v="1"/>
    <s v="UPI"/>
    <n v="5"/>
    <s v="Redmi Note 10"/>
    <n v="326786.95"/>
    <s v="Good"/>
    <s v="Excellent"/>
  </r>
  <r>
    <s v="Nikh412351"/>
    <n v="2351"/>
    <n v="8"/>
    <n v="8"/>
    <n v="2023"/>
    <d v="2023-08-08T00:00:00"/>
    <s v="August"/>
    <d v="2028-03-16T00:00:00"/>
    <x v="4"/>
    <n v="2"/>
    <n v="13403.2"/>
    <s v="Nikhil Yadav"/>
    <n v="41"/>
    <s v="Adult"/>
    <s v="BAD"/>
    <x v="1"/>
    <s v="UPI"/>
    <n v="2"/>
    <s v="iPhone SE"/>
    <n v="26806.400000000001"/>
    <s v="Average"/>
    <s v="Low"/>
  </r>
  <r>
    <s v="Ravi472352"/>
    <n v="2352"/>
    <n v="8"/>
    <n v="8"/>
    <n v="2023"/>
    <d v="2023-08-08T00:00:00"/>
    <s v="August"/>
    <d v="2028-03-17T00:00:00"/>
    <x v="1"/>
    <n v="9"/>
    <n v="11768.58"/>
    <s v="Ravi Prasad"/>
    <n v="47"/>
    <s v="Senior Citezen"/>
    <s v="AVG"/>
    <x v="9"/>
    <s v="Credit Card"/>
    <n v="3"/>
    <s v="Vivo V20"/>
    <n v="105917.22"/>
    <s v="Average"/>
    <s v="Good"/>
  </r>
  <r>
    <s v="Anit572353"/>
    <n v="2353"/>
    <n v="8"/>
    <n v="8"/>
    <n v="2023"/>
    <d v="2023-08-08T00:00:00"/>
    <s v="August"/>
    <d v="2028-03-18T00:00:00"/>
    <x v="1"/>
    <n v="7"/>
    <n v="20695.71"/>
    <s v="Anita Srivastava"/>
    <n v="57"/>
    <s v="Senior Citezen"/>
    <s v="AVG"/>
    <x v="1"/>
    <s v="UPI"/>
    <n v="3"/>
    <s v="Vivo Y51"/>
    <n v="144869.97"/>
    <s v="Average"/>
    <s v="Good"/>
  </r>
  <r>
    <s v="Moni522354"/>
    <n v="2354"/>
    <n v="9"/>
    <n v="8"/>
    <n v="2023"/>
    <d v="2023-08-09T00:00:00"/>
    <s v="August"/>
    <d v="2028-03-19T00:00:00"/>
    <x v="1"/>
    <n v="4"/>
    <n v="69186.86"/>
    <s v="Monika Nambiar"/>
    <n v="52"/>
    <s v="Senior Citezen"/>
    <s v="BAD"/>
    <x v="11"/>
    <s v="UPI"/>
    <n v="2"/>
    <s v="Vivo Y51"/>
    <n v="276747.44"/>
    <s v="Average"/>
    <s v="Excellent"/>
  </r>
  <r>
    <s v="Moni502355"/>
    <n v="2355"/>
    <n v="9"/>
    <n v="8"/>
    <n v="2023"/>
    <d v="2023-08-09T00:00:00"/>
    <s v="August"/>
    <d v="2028-03-20T00:00:00"/>
    <x v="4"/>
    <n v="4"/>
    <n v="52904.58"/>
    <s v="Monika Solanki"/>
    <n v="50"/>
    <s v="Senior Citezen"/>
    <s v="BAD"/>
    <x v="2"/>
    <s v="Debit Card"/>
    <n v="2"/>
    <s v="iPhone 12"/>
    <n v="211618.32"/>
    <s v="Average"/>
    <s v="Excellent"/>
  </r>
  <r>
    <s v="Suni372356"/>
    <n v="2356"/>
    <n v="9"/>
    <n v="8"/>
    <n v="2023"/>
    <d v="2023-08-09T00:00:00"/>
    <s v="August"/>
    <d v="2028-03-21T00:00:00"/>
    <x v="2"/>
    <n v="2"/>
    <n v="46878.47"/>
    <s v="Sunita Sharma"/>
    <n v="37"/>
    <s v="Adult"/>
    <s v="BAD"/>
    <x v="17"/>
    <s v="Cash"/>
    <n v="2"/>
    <s v="OnePlus 9"/>
    <n v="93756.94"/>
    <s v="Average"/>
    <s v="Average"/>
  </r>
  <r>
    <s v="Anja332357"/>
    <n v="2357"/>
    <n v="10"/>
    <n v="8"/>
    <n v="2023"/>
    <d v="2023-08-10T00:00:00"/>
    <s v="August"/>
    <d v="2028-03-22T00:00:00"/>
    <x v="0"/>
    <n v="5"/>
    <n v="12822.34"/>
    <s v="Anjali Desai"/>
    <n v="33"/>
    <s v="Adult"/>
    <s v="AVG"/>
    <x v="4"/>
    <s v="UPI"/>
    <n v="3"/>
    <s v="Redmi 9"/>
    <n v="64111.7"/>
    <s v="Average"/>
    <s v="Average"/>
  </r>
  <r>
    <s v="Ayes262358"/>
    <n v="2358"/>
    <n v="10"/>
    <n v="8"/>
    <n v="2023"/>
    <d v="2023-08-10T00:00:00"/>
    <s v="August"/>
    <d v="2028-03-23T00:00:00"/>
    <x v="1"/>
    <n v="4"/>
    <n v="62746.61"/>
    <s v="Ayesha Dutta"/>
    <n v="26"/>
    <s v="Teenagers"/>
    <s v="BAD"/>
    <x v="12"/>
    <s v="Credit Card"/>
    <n v="2"/>
    <s v="Vivo V20"/>
    <n v="250986.44"/>
    <s v="Average"/>
    <s v="Excellent"/>
  </r>
  <r>
    <s v="Mano482359"/>
    <n v="2359"/>
    <n v="10"/>
    <n v="8"/>
    <n v="2023"/>
    <d v="2023-08-10T00:00:00"/>
    <s v="August"/>
    <d v="2028-03-24T00:00:00"/>
    <x v="1"/>
    <n v="1"/>
    <n v="58765.41"/>
    <s v="Manoj Thakur"/>
    <n v="48"/>
    <s v="Senior Citezen"/>
    <s v="Good"/>
    <x v="18"/>
    <s v="Debit Card"/>
    <n v="4"/>
    <s v="Vivo S1"/>
    <n v="58765.41"/>
    <s v="Good"/>
    <s v="Average"/>
  </r>
  <r>
    <s v="Moni342360"/>
    <n v="2360"/>
    <n v="11"/>
    <n v="8"/>
    <n v="2023"/>
    <d v="2023-08-11T00:00:00"/>
    <s v="August"/>
    <d v="2028-03-25T00:00:00"/>
    <x v="1"/>
    <n v="8"/>
    <n v="49888"/>
    <s v="Monika Goyal"/>
    <n v="34"/>
    <s v="Adult"/>
    <s v="AVG"/>
    <x v="1"/>
    <s v="Cash"/>
    <n v="3"/>
    <s v="Vivo V20"/>
    <n v="399104"/>
    <s v="Average"/>
    <s v="Excellent"/>
  </r>
  <r>
    <s v="Priy482361"/>
    <n v="2361"/>
    <n v="11"/>
    <n v="8"/>
    <n v="2023"/>
    <d v="2023-08-11T00:00:00"/>
    <s v="August"/>
    <d v="2028-03-26T00:00:00"/>
    <x v="0"/>
    <n v="3"/>
    <n v="30347.85"/>
    <s v="Priyanka Ghosh"/>
    <n v="48"/>
    <s v="Senior Citezen"/>
    <s v="BAD"/>
    <x v="2"/>
    <s v="UPI"/>
    <n v="2"/>
    <s v="Mi 11"/>
    <n v="91043.549999999988"/>
    <s v="Average"/>
    <s v="Average"/>
  </r>
  <r>
    <s v="Pank402362"/>
    <n v="2362"/>
    <n v="11"/>
    <n v="8"/>
    <n v="2023"/>
    <d v="2023-08-11T00:00:00"/>
    <s v="August"/>
    <d v="2028-03-27T00:00:00"/>
    <x v="1"/>
    <n v="6"/>
    <n v="14230.3"/>
    <s v="Pankaj Mehta"/>
    <n v="40"/>
    <s v="Adult"/>
    <s v="BAD"/>
    <x v="5"/>
    <s v="UPI"/>
    <n v="2"/>
    <s v="Vivo S1"/>
    <n v="85381.799999999988"/>
    <s v="Average"/>
    <s v="Average"/>
  </r>
  <r>
    <s v="Tanu232363"/>
    <n v="2363"/>
    <n v="11"/>
    <n v="8"/>
    <n v="2023"/>
    <d v="2023-08-11T00:00:00"/>
    <s v="August"/>
    <d v="2028-03-28T00:00:00"/>
    <x v="0"/>
    <n v="4"/>
    <n v="44802.31"/>
    <s v="Tanuja Dutta"/>
    <n v="23"/>
    <s v="Teenagers"/>
    <s v="BAD"/>
    <x v="12"/>
    <s v="Credit Card"/>
    <n v="2"/>
    <s v="Redmi 9"/>
    <n v="179209.24"/>
    <s v="Average"/>
    <s v="Good"/>
  </r>
  <r>
    <s v="Kira472364"/>
    <n v="2364"/>
    <n v="12"/>
    <n v="8"/>
    <n v="2023"/>
    <d v="2023-08-12T00:00:00"/>
    <s v="August"/>
    <d v="2028-03-29T00:00:00"/>
    <x v="1"/>
    <n v="9"/>
    <n v="53181.67"/>
    <s v="Kiran Pathak"/>
    <n v="47"/>
    <s v="Senior Citezen"/>
    <s v="BAD"/>
    <x v="4"/>
    <s v="UPI"/>
    <n v="2"/>
    <s v="Vivo Y51"/>
    <n v="478635.02999999997"/>
    <s v="Average"/>
    <s v="Excellent"/>
  </r>
  <r>
    <s v="Priy242365"/>
    <n v="2365"/>
    <n v="12"/>
    <n v="8"/>
    <n v="2023"/>
    <d v="2023-08-12T00:00:00"/>
    <s v="August"/>
    <d v="2028-03-30T00:00:00"/>
    <x v="4"/>
    <n v="7"/>
    <n v="15654.42"/>
    <s v="Priya Varma"/>
    <n v="24"/>
    <s v="Teenagers"/>
    <s v="AVG"/>
    <x v="10"/>
    <s v="Credit Card"/>
    <n v="3"/>
    <s v="iPhone SE"/>
    <n v="109580.94"/>
    <s v="Average"/>
    <s v="Good"/>
  </r>
  <r>
    <s v="Arun572366"/>
    <n v="2366"/>
    <n v="12"/>
    <n v="8"/>
    <n v="2023"/>
    <d v="2023-08-12T00:00:00"/>
    <s v="August"/>
    <d v="2028-03-31T00:00:00"/>
    <x v="4"/>
    <n v="9"/>
    <n v="48026.06"/>
    <s v="Arun Sheth"/>
    <n v="57"/>
    <s v="Senior Citezen"/>
    <s v="BAD"/>
    <x v="6"/>
    <s v="UPI"/>
    <n v="2"/>
    <s v="iPhone 11"/>
    <n v="432234.54"/>
    <s v="Average"/>
    <s v="Excellent"/>
  </r>
  <r>
    <s v="Vino592367"/>
    <n v="2367"/>
    <n v="12"/>
    <n v="8"/>
    <n v="2023"/>
    <d v="2023-08-12T00:00:00"/>
    <s v="August"/>
    <d v="2028-04-01T00:00:00"/>
    <x v="0"/>
    <n v="3"/>
    <n v="27181.96"/>
    <s v="Vinod Joshi"/>
    <n v="59"/>
    <s v="Senior Citezen"/>
    <s v="AVG"/>
    <x v="2"/>
    <s v="UPI"/>
    <n v="3"/>
    <s v="Mi 11"/>
    <n v="81545.88"/>
    <s v="Average"/>
    <s v="Average"/>
  </r>
  <r>
    <s v="Vive282368"/>
    <n v="2368"/>
    <n v="13"/>
    <n v="8"/>
    <n v="2023"/>
    <d v="2023-08-13T00:00:00"/>
    <s v="August"/>
    <d v="2028-04-02T00:00:00"/>
    <x v="4"/>
    <n v="1"/>
    <n v="55854.65"/>
    <s v="Vivek Mehta"/>
    <n v="28"/>
    <s v="Teenagers"/>
    <s v="BAD"/>
    <x v="7"/>
    <s v="Credit Card"/>
    <n v="2"/>
    <s v="iPhone 11"/>
    <n v="55854.65"/>
    <s v="Average"/>
    <s v="Average"/>
  </r>
  <r>
    <s v="Sanj512369"/>
    <n v="2369"/>
    <n v="13"/>
    <n v="8"/>
    <n v="2023"/>
    <d v="2023-08-13T00:00:00"/>
    <s v="August"/>
    <d v="2028-04-03T00:00:00"/>
    <x v="0"/>
    <n v="5"/>
    <n v="42376.95"/>
    <s v="Sanjay Jain"/>
    <n v="51"/>
    <s v="Senior Citezen"/>
    <s v="Good"/>
    <x v="2"/>
    <s v="Cash"/>
    <n v="4"/>
    <s v="Redmi Note 10"/>
    <n v="211884.75"/>
    <s v="Good"/>
    <s v="Excellent"/>
  </r>
  <r>
    <s v="Kira292370"/>
    <n v="2370"/>
    <n v="13"/>
    <n v="8"/>
    <n v="2023"/>
    <d v="2023-08-13T00:00:00"/>
    <s v="August"/>
    <d v="2028-04-04T00:00:00"/>
    <x v="4"/>
    <n v="3"/>
    <n v="17742.21"/>
    <s v="Kiran Chaudhary"/>
    <n v="29"/>
    <s v="Teenagers"/>
    <s v="Good"/>
    <x v="4"/>
    <s v="Debit Card"/>
    <n v="4"/>
    <s v="iPhone 11"/>
    <n v="53226.63"/>
    <s v="Good"/>
    <s v="Average"/>
  </r>
  <r>
    <s v="Jyot442371"/>
    <n v="2371"/>
    <n v="13"/>
    <n v="8"/>
    <n v="2023"/>
    <d v="2023-08-13T00:00:00"/>
    <s v="August"/>
    <d v="2028-04-05T00:00:00"/>
    <x v="4"/>
    <n v="6"/>
    <n v="41591.17"/>
    <s v="Jyoti Rawat"/>
    <n v="44"/>
    <s v="Adult"/>
    <s v="Good"/>
    <x v="15"/>
    <s v="Credit Card"/>
    <n v="4"/>
    <s v="iPhone SE"/>
    <n v="249547.02"/>
    <s v="Good"/>
    <s v="Excellent"/>
  </r>
  <r>
    <s v="Moni292372"/>
    <n v="2372"/>
    <n v="14"/>
    <n v="8"/>
    <n v="2023"/>
    <d v="2023-08-14T00:00:00"/>
    <s v="August"/>
    <d v="2028-04-06T00:00:00"/>
    <x v="0"/>
    <n v="8"/>
    <n v="33744.21"/>
    <s v="Monika Rawat"/>
    <n v="29"/>
    <s v="Teenagers"/>
    <s v="BAD"/>
    <x v="14"/>
    <s v="Cash"/>
    <n v="2"/>
    <s v="Redmi Note 10"/>
    <n v="269953.68"/>
    <s v="Average"/>
    <s v="Excellent"/>
  </r>
  <r>
    <s v="Bina302373"/>
    <n v="2373"/>
    <n v="14"/>
    <n v="8"/>
    <n v="2023"/>
    <d v="2023-08-14T00:00:00"/>
    <s v="August"/>
    <d v="2028-04-07T00:00:00"/>
    <x v="2"/>
    <n v="4"/>
    <n v="20821.36"/>
    <s v="Bina Solanki"/>
    <n v="30"/>
    <s v="Teenagers"/>
    <s v="BAD"/>
    <x v="1"/>
    <s v="Cash"/>
    <n v="2"/>
    <s v="OnePlus 8T"/>
    <n v="83285.440000000002"/>
    <s v="Average"/>
    <s v="Average"/>
  </r>
  <r>
    <s v="Lali252374"/>
    <n v="2374"/>
    <n v="14"/>
    <n v="8"/>
    <n v="2023"/>
    <d v="2023-08-14T00:00:00"/>
    <s v="August"/>
    <d v="2028-04-08T00:00:00"/>
    <x v="4"/>
    <n v="5"/>
    <n v="60490.94"/>
    <s v="Lalita Patel"/>
    <n v="25"/>
    <s v="Teenagers"/>
    <s v="BAD"/>
    <x v="2"/>
    <s v="Credit Card"/>
    <n v="2"/>
    <s v="iPhone 11"/>
    <n v="302454.7"/>
    <s v="Average"/>
    <s v="Excellent"/>
  </r>
  <r>
    <s v="Kris332375"/>
    <n v="2375"/>
    <n v="14"/>
    <n v="8"/>
    <n v="2023"/>
    <d v="2023-08-14T00:00:00"/>
    <s v="August"/>
    <d v="2028-04-09T00:00:00"/>
    <x v="1"/>
    <n v="5"/>
    <n v="10661.71"/>
    <s v="Krishna Nambiar"/>
    <n v="33"/>
    <s v="Adult"/>
    <s v="AVG"/>
    <x v="4"/>
    <s v="Debit Card"/>
    <n v="3"/>
    <s v="Vivo Y51"/>
    <n v="53308.549999999996"/>
    <s v="Average"/>
    <s v="Average"/>
  </r>
  <r>
    <s v="Nikh462376"/>
    <n v="2376"/>
    <n v="15"/>
    <n v="8"/>
    <n v="2023"/>
    <d v="2023-08-15T00:00:00"/>
    <s v="August"/>
    <d v="2028-04-10T00:00:00"/>
    <x v="2"/>
    <n v="4"/>
    <n v="28727.7"/>
    <s v="Nikhil Reddy"/>
    <n v="46"/>
    <s v="Senior Citezen"/>
    <s v="Good"/>
    <x v="2"/>
    <s v="Credit Card"/>
    <n v="4"/>
    <s v="OnePlus Nord"/>
    <n v="114910.8"/>
    <s v="Good"/>
    <s v="Good"/>
  </r>
  <r>
    <s v="Hari522377"/>
    <n v="2377"/>
    <n v="15"/>
    <n v="8"/>
    <n v="2023"/>
    <d v="2023-08-15T00:00:00"/>
    <s v="August"/>
    <d v="2028-04-11T00:00:00"/>
    <x v="0"/>
    <n v="4"/>
    <n v="10755.7"/>
    <s v="Harish Kaur"/>
    <n v="52"/>
    <s v="Senior Citezen"/>
    <s v="AVG"/>
    <x v="12"/>
    <s v="UPI"/>
    <n v="3"/>
    <s v="Redmi Note 10"/>
    <n v="43022.8"/>
    <s v="Average"/>
    <s v="Low"/>
  </r>
  <r>
    <s v="Meen462378"/>
    <n v="2378"/>
    <n v="15"/>
    <n v="8"/>
    <n v="2023"/>
    <d v="2023-08-15T00:00:00"/>
    <s v="August"/>
    <d v="2028-04-12T00:00:00"/>
    <x v="2"/>
    <n v="4"/>
    <n v="15760.42"/>
    <s v="Meena Desai"/>
    <n v="46"/>
    <s v="Senior Citezen"/>
    <s v="BAD"/>
    <x v="2"/>
    <s v="UPI"/>
    <n v="2"/>
    <s v="OnePlus 9"/>
    <n v="63041.68"/>
    <s v="Average"/>
    <s v="Average"/>
  </r>
  <r>
    <s v="Adit482379"/>
    <n v="2379"/>
    <n v="16"/>
    <n v="8"/>
    <n v="2023"/>
    <d v="2023-08-16T00:00:00"/>
    <s v="August"/>
    <d v="2028-04-13T00:00:00"/>
    <x v="3"/>
    <n v="4"/>
    <n v="27825.77"/>
    <s v="Aditya Prasad"/>
    <n v="48"/>
    <s v="Senior Citezen"/>
    <s v="Good"/>
    <x v="2"/>
    <s v="Cash"/>
    <n v="5"/>
    <s v="Galaxy S21"/>
    <n v="111303.08"/>
    <s v="Good"/>
    <s v="Good"/>
  </r>
  <r>
    <s v="Pooj302380"/>
    <n v="2380"/>
    <n v="16"/>
    <n v="8"/>
    <n v="2023"/>
    <d v="2023-08-16T00:00:00"/>
    <s v="August"/>
    <d v="2028-04-14T00:00:00"/>
    <x v="3"/>
    <n v="4"/>
    <n v="13256.27"/>
    <s v="Pooja Srivastava"/>
    <n v="30"/>
    <s v="Teenagers"/>
    <s v="Good"/>
    <x v="16"/>
    <s v="UPI"/>
    <n v="5"/>
    <s v="Galaxy A51"/>
    <n v="53025.08"/>
    <s v="Good"/>
    <s v="Average"/>
  </r>
  <r>
    <s v="Amit292381"/>
    <n v="2381"/>
    <n v="16"/>
    <n v="8"/>
    <n v="2023"/>
    <d v="2023-08-16T00:00:00"/>
    <s v="August"/>
    <d v="2028-04-15T00:00:00"/>
    <x v="4"/>
    <n v="5"/>
    <n v="45797.83"/>
    <s v="Amit Srivastava"/>
    <n v="29"/>
    <s v="Teenagers"/>
    <s v="BAD"/>
    <x v="2"/>
    <s v="Debit Card"/>
    <n v="2"/>
    <s v="iPhone 11"/>
    <n v="228989.15000000002"/>
    <s v="Average"/>
    <s v="Excellent"/>
  </r>
  <r>
    <s v="Meen192382"/>
    <n v="2382"/>
    <n v="16"/>
    <n v="8"/>
    <n v="2023"/>
    <d v="2023-08-16T00:00:00"/>
    <s v="August"/>
    <d v="2028-04-16T00:00:00"/>
    <x v="4"/>
    <n v="2"/>
    <n v="15211.77"/>
    <s v="Meena Roy"/>
    <n v="19"/>
    <s v="Teenagers"/>
    <s v="BAD"/>
    <x v="6"/>
    <s v="Credit Card"/>
    <n v="2"/>
    <s v="iPhone 12"/>
    <n v="30423.54"/>
    <s v="Average"/>
    <s v="Low"/>
  </r>
  <r>
    <s v="Amit502383"/>
    <n v="2383"/>
    <n v="17"/>
    <n v="8"/>
    <n v="2023"/>
    <d v="2023-08-17T00:00:00"/>
    <s v="August"/>
    <d v="2028-04-17T00:00:00"/>
    <x v="1"/>
    <n v="2"/>
    <n v="52102.82"/>
    <s v="Amit Rathod"/>
    <n v="50"/>
    <s v="Senior Citezen"/>
    <s v="AVG"/>
    <x v="0"/>
    <s v="Debit Card"/>
    <n v="3"/>
    <s v="Vivo Y51"/>
    <n v="104205.64"/>
    <s v="Average"/>
    <s v="Good"/>
  </r>
  <r>
    <s v="Deve252384"/>
    <n v="2384"/>
    <n v="17"/>
    <n v="8"/>
    <n v="2023"/>
    <d v="2023-08-17T00:00:00"/>
    <s v="August"/>
    <d v="2028-04-18T00:00:00"/>
    <x v="2"/>
    <n v="9"/>
    <n v="13158.53"/>
    <s v="Devendra Menon"/>
    <n v="25"/>
    <s v="Teenagers"/>
    <s v="BAD"/>
    <x v="1"/>
    <s v="Cash"/>
    <n v="2"/>
    <s v="OnePlus Nord"/>
    <n v="118426.77"/>
    <s v="Average"/>
    <s v="Good"/>
  </r>
  <r>
    <s v="Suni582385"/>
    <n v="2385"/>
    <n v="17"/>
    <n v="8"/>
    <n v="2023"/>
    <d v="2023-08-17T00:00:00"/>
    <s v="August"/>
    <d v="2028-04-19T00:00:00"/>
    <x v="3"/>
    <n v="2"/>
    <n v="13558.53"/>
    <s v="Sunita Thakur"/>
    <n v="58"/>
    <s v="Senior Citezen"/>
    <s v="BAD"/>
    <x v="2"/>
    <s v="UPI"/>
    <n v="2"/>
    <s v="Galaxy S21"/>
    <n v="27117.06"/>
    <s v="Average"/>
    <s v="Low"/>
  </r>
  <r>
    <s v="Sneh572386"/>
    <n v="2386"/>
    <n v="17"/>
    <n v="8"/>
    <n v="2023"/>
    <d v="2023-08-17T00:00:00"/>
    <s v="August"/>
    <d v="2028-04-20T00:00:00"/>
    <x v="4"/>
    <n v="6"/>
    <n v="28319.55"/>
    <s v="Sneha Prasad"/>
    <n v="57"/>
    <s v="Senior Citezen"/>
    <s v="Good"/>
    <x v="2"/>
    <s v="UPI"/>
    <n v="5"/>
    <s v="iPhone SE"/>
    <n v="169917.3"/>
    <s v="Good"/>
    <s v="Good"/>
  </r>
  <r>
    <s v="Rame582387"/>
    <n v="2387"/>
    <n v="18"/>
    <n v="8"/>
    <n v="2023"/>
    <d v="2023-08-18T00:00:00"/>
    <s v="August"/>
    <d v="2028-04-21T00:00:00"/>
    <x v="2"/>
    <n v="2"/>
    <n v="63794.29"/>
    <s v="Ramesh Solanki"/>
    <n v="58"/>
    <s v="Senior Citezen"/>
    <s v="Good"/>
    <x v="14"/>
    <s v="Credit Card"/>
    <n v="4"/>
    <s v="OnePlus 9"/>
    <n v="127588.58"/>
    <s v="Good"/>
    <s v="Good"/>
  </r>
  <r>
    <s v="Anja492388"/>
    <n v="2388"/>
    <n v="18"/>
    <n v="8"/>
    <n v="2023"/>
    <d v="2023-08-18T00:00:00"/>
    <s v="August"/>
    <d v="2028-04-22T00:00:00"/>
    <x v="4"/>
    <n v="5"/>
    <n v="48483.59"/>
    <s v="Anjali Desai"/>
    <n v="49"/>
    <s v="Senior Citezen"/>
    <s v="Good"/>
    <x v="10"/>
    <s v="Debit Card"/>
    <n v="4"/>
    <s v="iPhone 12"/>
    <n v="242417.94999999998"/>
    <s v="Good"/>
    <s v="Excellent"/>
  </r>
  <r>
    <s v="Nami552389"/>
    <n v="2389"/>
    <n v="18"/>
    <n v="8"/>
    <n v="2023"/>
    <d v="2023-08-18T00:00:00"/>
    <s v="August"/>
    <d v="2028-04-23T00:00:00"/>
    <x v="4"/>
    <n v="4"/>
    <n v="56207.88"/>
    <s v="Namita Siddiqui"/>
    <n v="55"/>
    <s v="Senior Citezen"/>
    <s v="BAD"/>
    <x v="1"/>
    <s v="Debit Card"/>
    <n v="2"/>
    <s v="iPhone 11"/>
    <n v="224831.52"/>
    <s v="Average"/>
    <s v="Excellent"/>
  </r>
  <r>
    <s v="Ravi452390"/>
    <n v="2390"/>
    <n v="18"/>
    <n v="8"/>
    <n v="2023"/>
    <d v="2023-08-18T00:00:00"/>
    <s v="August"/>
    <d v="2028-04-24T00:00:00"/>
    <x v="3"/>
    <n v="7"/>
    <n v="18493.13"/>
    <s v="Ravi Kumar"/>
    <n v="45"/>
    <s v="Adult"/>
    <s v="BAD"/>
    <x v="13"/>
    <s v="Credit Card"/>
    <n v="2"/>
    <s v="Galaxy A51"/>
    <n v="129451.91"/>
    <s v="Average"/>
    <s v="Good"/>
  </r>
  <r>
    <s v="Kavi322391"/>
    <n v="2391"/>
    <n v="19"/>
    <n v="8"/>
    <n v="2023"/>
    <d v="2023-08-19T00:00:00"/>
    <s v="August"/>
    <d v="2028-04-25T00:00:00"/>
    <x v="3"/>
    <n v="7"/>
    <n v="60047.53"/>
    <s v="Kavita Kumar"/>
    <n v="32"/>
    <s v="Adult"/>
    <s v="BAD"/>
    <x v="11"/>
    <s v="UPI"/>
    <n v="2"/>
    <s v="Galaxy S21"/>
    <n v="420332.70999999996"/>
    <s v="Average"/>
    <s v="Excellent"/>
  </r>
  <r>
    <s v="Vino402392"/>
    <n v="2392"/>
    <n v="19"/>
    <n v="8"/>
    <n v="2023"/>
    <d v="2023-08-19T00:00:00"/>
    <s v="August"/>
    <d v="2028-04-26T00:00:00"/>
    <x v="4"/>
    <n v="6"/>
    <n v="10488.77"/>
    <s v="Vinod Dutta"/>
    <n v="40"/>
    <s v="Adult"/>
    <s v="Good"/>
    <x v="1"/>
    <s v="Cash"/>
    <n v="5"/>
    <s v="iPhone 12"/>
    <n v="62932.62"/>
    <s v="Good"/>
    <s v="Average"/>
  </r>
  <r>
    <s v="Nami412393"/>
    <n v="2393"/>
    <n v="19"/>
    <n v="8"/>
    <n v="2023"/>
    <d v="2023-08-19T00:00:00"/>
    <s v="August"/>
    <d v="2028-04-27T00:00:00"/>
    <x v="0"/>
    <n v="5"/>
    <n v="22783.439999999999"/>
    <s v="Namita Goyal"/>
    <n v="41"/>
    <s v="Adult"/>
    <s v="BAD"/>
    <x v="1"/>
    <s v="Cash"/>
    <n v="2"/>
    <s v="Redmi 9"/>
    <n v="113917.2"/>
    <s v="Average"/>
    <s v="Good"/>
  </r>
  <r>
    <s v="Kira302394"/>
    <n v="2394"/>
    <n v="19"/>
    <n v="8"/>
    <n v="2023"/>
    <d v="2023-08-19T00:00:00"/>
    <s v="August"/>
    <d v="2028-04-28T00:00:00"/>
    <x v="4"/>
    <n v="1"/>
    <n v="46965.54"/>
    <s v="Kiran Rathod"/>
    <n v="30"/>
    <s v="Teenagers"/>
    <s v="BAD"/>
    <x v="11"/>
    <s v="Credit Card"/>
    <n v="2"/>
    <s v="iPhone 11"/>
    <n v="46965.54"/>
    <s v="Average"/>
    <s v="Low"/>
  </r>
  <r>
    <s v="Priy382395"/>
    <n v="2395"/>
    <n v="20"/>
    <n v="8"/>
    <n v="2023"/>
    <d v="2023-08-20T00:00:00"/>
    <s v="August"/>
    <d v="2028-04-29T00:00:00"/>
    <x v="4"/>
    <n v="3"/>
    <n v="32514.78"/>
    <s v="Priyanka Teja"/>
    <n v="38"/>
    <s v="Adult"/>
    <s v="Good"/>
    <x v="9"/>
    <s v="Credit Card"/>
    <n v="5"/>
    <s v="iPhone SE"/>
    <n v="97544.34"/>
    <s v="Good"/>
    <s v="Average"/>
  </r>
  <r>
    <s v="Suni292396"/>
    <n v="2396"/>
    <n v="20"/>
    <n v="8"/>
    <n v="2023"/>
    <d v="2023-08-20T00:00:00"/>
    <s v="August"/>
    <d v="2028-04-30T00:00:00"/>
    <x v="1"/>
    <n v="9"/>
    <n v="69051.600000000006"/>
    <s v="Sunil Menon"/>
    <n v="29"/>
    <s v="Teenagers"/>
    <s v="AVG"/>
    <x v="14"/>
    <s v="Credit Card"/>
    <n v="3"/>
    <s v="Vivo V20"/>
    <n v="621464.4"/>
    <s v="Average"/>
    <s v="Excellent"/>
  </r>
  <r>
    <s v="Neet302397"/>
    <n v="2397"/>
    <n v="20"/>
    <n v="8"/>
    <n v="2023"/>
    <d v="2023-08-20T00:00:00"/>
    <s v="August"/>
    <d v="2028-05-01T00:00:00"/>
    <x v="1"/>
    <n v="1"/>
    <n v="11820.35"/>
    <s v="Neeta Deshmukh"/>
    <n v="30"/>
    <s v="Teenagers"/>
    <s v="BAD"/>
    <x v="1"/>
    <s v="Debit Card"/>
    <n v="2"/>
    <s v="Vivo S1"/>
    <n v="11820.35"/>
    <s v="Average"/>
    <s v="Low"/>
  </r>
  <r>
    <s v="Kris562398"/>
    <n v="2398"/>
    <n v="20"/>
    <n v="8"/>
    <n v="2023"/>
    <d v="2023-08-20T00:00:00"/>
    <s v="August"/>
    <d v="2028-05-02T00:00:00"/>
    <x v="1"/>
    <n v="5"/>
    <n v="69915.89"/>
    <s v="Krishna Goyal"/>
    <n v="56"/>
    <s v="Senior Citezen"/>
    <s v="AVG"/>
    <x v="1"/>
    <s v="UPI"/>
    <n v="3"/>
    <s v="Vivo Y51"/>
    <n v="349579.45"/>
    <s v="Average"/>
    <s v="Excellent"/>
  </r>
  <r>
    <s v="Anja402399"/>
    <n v="2399"/>
    <n v="21"/>
    <n v="8"/>
    <n v="2023"/>
    <d v="2023-08-21T00:00:00"/>
    <s v="August"/>
    <d v="2028-05-03T00:00:00"/>
    <x v="0"/>
    <n v="2"/>
    <n v="47417.67"/>
    <s v="Anjali Roy"/>
    <n v="40"/>
    <s v="Adult"/>
    <s v="Good"/>
    <x v="18"/>
    <s v="UPI"/>
    <n v="4"/>
    <s v="Mi 11"/>
    <n v="94835.34"/>
    <s v="Good"/>
    <s v="Average"/>
  </r>
  <r>
    <s v="Lata452400"/>
    <n v="2400"/>
    <n v="21"/>
    <n v="8"/>
    <n v="2023"/>
    <d v="2023-08-21T00:00:00"/>
    <s v="August"/>
    <d v="2028-05-04T00:00:00"/>
    <x v="0"/>
    <n v="4"/>
    <n v="43522.42"/>
    <s v="Lata Reddy"/>
    <n v="45"/>
    <s v="Adult"/>
    <s v="Good"/>
    <x v="1"/>
    <s v="Credit Card"/>
    <n v="4"/>
    <s v="Mi 11"/>
    <n v="174089.68"/>
    <s v="Good"/>
    <s v="Good"/>
  </r>
  <r>
    <s v="Lata312401"/>
    <n v="2401"/>
    <n v="21"/>
    <n v="8"/>
    <n v="2023"/>
    <d v="2023-08-21T00:00:00"/>
    <s v="August"/>
    <d v="2028-05-05T00:00:00"/>
    <x v="4"/>
    <n v="1"/>
    <n v="13570.75"/>
    <s v="Lata Chatterjee"/>
    <n v="31"/>
    <s v="Adult"/>
    <s v="Good"/>
    <x v="14"/>
    <s v="Cash"/>
    <n v="5"/>
    <s v="iPhone 11"/>
    <n v="13570.75"/>
    <s v="Good"/>
    <s v="Low"/>
  </r>
  <r>
    <s v="Shru342402"/>
    <n v="2402"/>
    <n v="22"/>
    <n v="8"/>
    <n v="2023"/>
    <d v="2023-08-22T00:00:00"/>
    <s v="August"/>
    <d v="2028-05-06T00:00:00"/>
    <x v="1"/>
    <n v="3"/>
    <n v="26399.73"/>
    <s v="Shruti Shah"/>
    <n v="34"/>
    <s v="Adult"/>
    <s v="BAD"/>
    <x v="1"/>
    <s v="Debit Card"/>
    <n v="2"/>
    <s v="Vivo Y51"/>
    <n v="79199.19"/>
    <s v="Average"/>
    <s v="Average"/>
  </r>
  <r>
    <s v="Kira412403"/>
    <n v="2403"/>
    <n v="22"/>
    <n v="8"/>
    <n v="2023"/>
    <d v="2023-08-22T00:00:00"/>
    <s v="August"/>
    <d v="2028-05-07T00:00:00"/>
    <x v="0"/>
    <n v="7"/>
    <n v="65479.76"/>
    <s v="Kiran Joshi"/>
    <n v="41"/>
    <s v="Adult"/>
    <s v="Good"/>
    <x v="8"/>
    <s v="Credit Card"/>
    <n v="5"/>
    <s v="Mi 11"/>
    <n v="458358.32"/>
    <s v="Good"/>
    <s v="Excellent"/>
  </r>
  <r>
    <s v="Priy512404"/>
    <n v="2404"/>
    <n v="22"/>
    <n v="8"/>
    <n v="2023"/>
    <d v="2023-08-22T00:00:00"/>
    <s v="August"/>
    <d v="2028-05-08T00:00:00"/>
    <x v="3"/>
    <n v="3"/>
    <n v="31254.76"/>
    <s v="Priya Prasad"/>
    <n v="51"/>
    <s v="Senior Citezen"/>
    <s v="BAD"/>
    <x v="3"/>
    <s v="Debit Card"/>
    <n v="2"/>
    <s v="Galaxy Note 20"/>
    <n v="93764.28"/>
    <s v="Average"/>
    <s v="Average"/>
  </r>
  <r>
    <s v="Bina392405"/>
    <n v="2405"/>
    <n v="23"/>
    <n v="8"/>
    <n v="2023"/>
    <d v="2023-08-23T00:00:00"/>
    <s v="August"/>
    <d v="2028-05-09T00:00:00"/>
    <x v="4"/>
    <n v="4"/>
    <n v="49699.19"/>
    <s v="Bina Joshi"/>
    <n v="39"/>
    <s v="Adult"/>
    <s v="Good"/>
    <x v="10"/>
    <s v="Credit Card"/>
    <n v="4"/>
    <s v="iPhone 12"/>
    <n v="198796.76"/>
    <s v="Good"/>
    <s v="Good"/>
  </r>
  <r>
    <s v="Raje272406"/>
    <n v="2406"/>
    <n v="23"/>
    <n v="8"/>
    <n v="2023"/>
    <d v="2023-08-23T00:00:00"/>
    <s v="August"/>
    <d v="2028-05-10T00:00:00"/>
    <x v="2"/>
    <n v="2"/>
    <n v="69969.78"/>
    <s v="Rajesh Mishra"/>
    <n v="27"/>
    <s v="Teenagers"/>
    <s v="Good"/>
    <x v="6"/>
    <s v="Debit Card"/>
    <n v="5"/>
    <s v="OnePlus Nord"/>
    <n v="139939.56"/>
    <s v="Good"/>
    <s v="Good"/>
  </r>
  <r>
    <s v="Nami252407"/>
    <n v="2407"/>
    <n v="23"/>
    <n v="8"/>
    <n v="2023"/>
    <d v="2023-08-23T00:00:00"/>
    <s v="August"/>
    <d v="2028-05-11T00:00:00"/>
    <x v="4"/>
    <n v="3"/>
    <n v="25784.18"/>
    <s v="Namita Das"/>
    <n v="25"/>
    <s v="Teenagers"/>
    <s v="Good"/>
    <x v="9"/>
    <s v="Cash"/>
    <n v="5"/>
    <s v="iPhone 11"/>
    <n v="77352.540000000008"/>
    <s v="Good"/>
    <s v="Average"/>
  </r>
  <r>
    <s v="Sach382408"/>
    <n v="2408"/>
    <n v="23"/>
    <n v="8"/>
    <n v="2023"/>
    <d v="2023-08-23T00:00:00"/>
    <s v="August"/>
    <d v="2028-05-12T00:00:00"/>
    <x v="2"/>
    <n v="9"/>
    <n v="44564.85"/>
    <s v="Sachin Kaur"/>
    <n v="38"/>
    <s v="Adult"/>
    <s v="BAD"/>
    <x v="7"/>
    <s v="Cash"/>
    <n v="2"/>
    <s v="OnePlus Nord"/>
    <n v="401083.64999999997"/>
    <s v="Average"/>
    <s v="Excellent"/>
  </r>
  <r>
    <s v="Deve542409"/>
    <n v="2409"/>
    <n v="24"/>
    <n v="8"/>
    <n v="2023"/>
    <d v="2023-08-24T00:00:00"/>
    <s v="August"/>
    <d v="2028-05-13T00:00:00"/>
    <x v="1"/>
    <n v="3"/>
    <n v="51786.27"/>
    <s v="Devendra Singh"/>
    <n v="54"/>
    <s v="Senior Citezen"/>
    <s v="Good"/>
    <x v="1"/>
    <s v="Cash"/>
    <n v="4"/>
    <s v="Vivo S1"/>
    <n v="155358.81"/>
    <s v="Good"/>
    <s v="Good"/>
  </r>
  <r>
    <s v="Deep242410"/>
    <n v="2410"/>
    <n v="24"/>
    <n v="8"/>
    <n v="2023"/>
    <d v="2023-08-24T00:00:00"/>
    <s v="August"/>
    <d v="2028-05-14T00:00:00"/>
    <x v="2"/>
    <n v="5"/>
    <n v="19877.63"/>
    <s v="Deepika Iyer"/>
    <n v="24"/>
    <s v="Teenagers"/>
    <s v="Good"/>
    <x v="1"/>
    <s v="Cash"/>
    <n v="4"/>
    <s v="OnePlus 9"/>
    <n v="99388.150000000009"/>
    <s v="Good"/>
    <s v="Average"/>
  </r>
  <r>
    <s v="Pank432411"/>
    <n v="2411"/>
    <n v="24"/>
    <n v="8"/>
    <n v="2023"/>
    <d v="2023-08-24T00:00:00"/>
    <s v="August"/>
    <d v="2028-05-15T00:00:00"/>
    <x v="1"/>
    <n v="2"/>
    <n v="18920.349999999999"/>
    <s v="Pankaj Pathak"/>
    <n v="43"/>
    <s v="Adult"/>
    <s v="BAD"/>
    <x v="2"/>
    <s v="UPI"/>
    <n v="2"/>
    <s v="Vivo S1"/>
    <n v="37840.699999999997"/>
    <s v="Average"/>
    <s v="Low"/>
  </r>
  <r>
    <s v="Suni302412"/>
    <n v="2412"/>
    <n v="25"/>
    <n v="8"/>
    <n v="2023"/>
    <d v="2023-08-25T00:00:00"/>
    <s v="August"/>
    <d v="2028-05-16T00:00:00"/>
    <x v="3"/>
    <n v="4"/>
    <n v="37378.47"/>
    <s v="Sunil Siddiqui"/>
    <n v="30"/>
    <s v="Teenagers"/>
    <s v="BAD"/>
    <x v="13"/>
    <s v="UPI"/>
    <n v="2"/>
    <s v="Galaxy A51"/>
    <n v="149513.88"/>
    <s v="Average"/>
    <s v="Good"/>
  </r>
  <r>
    <s v="Nami332413"/>
    <n v="2413"/>
    <n v="25"/>
    <n v="8"/>
    <n v="2023"/>
    <d v="2023-08-25T00:00:00"/>
    <s v="August"/>
    <d v="2028-05-17T00:00:00"/>
    <x v="2"/>
    <n v="7"/>
    <n v="33148.75"/>
    <s v="Namita Roy"/>
    <n v="33"/>
    <s v="Adult"/>
    <s v="BAD"/>
    <x v="15"/>
    <s v="Debit Card"/>
    <n v="2"/>
    <s v="OnePlus 8T"/>
    <n v="232041.25"/>
    <s v="Average"/>
    <s v="Excellent"/>
  </r>
  <r>
    <s v="Navi472414"/>
    <n v="2414"/>
    <n v="25"/>
    <n v="8"/>
    <n v="2023"/>
    <d v="2023-08-25T00:00:00"/>
    <s v="August"/>
    <d v="2028-05-18T00:00:00"/>
    <x v="4"/>
    <n v="7"/>
    <n v="52852.93"/>
    <s v="Navin Chaudhary"/>
    <n v="47"/>
    <s v="Senior Citezen"/>
    <s v="Good"/>
    <x v="16"/>
    <s v="Credit Card"/>
    <n v="4"/>
    <s v="iPhone 11"/>
    <n v="369970.51"/>
    <s v="Good"/>
    <s v="Excellent"/>
  </r>
  <r>
    <s v="Suni482415"/>
    <n v="2415"/>
    <n v="25"/>
    <n v="8"/>
    <n v="2023"/>
    <d v="2023-08-25T00:00:00"/>
    <s v="August"/>
    <d v="2028-05-19T00:00:00"/>
    <x v="1"/>
    <n v="3"/>
    <n v="14170.53"/>
    <s v="Sunita Iyer"/>
    <n v="48"/>
    <s v="Senior Citezen"/>
    <s v="Good"/>
    <x v="1"/>
    <s v="UPI"/>
    <n v="4"/>
    <s v="Vivo S1"/>
    <n v="42511.590000000004"/>
    <s v="Good"/>
    <s v="Low"/>
  </r>
  <r>
    <s v="Kavi222416"/>
    <n v="2416"/>
    <n v="26"/>
    <n v="8"/>
    <n v="2023"/>
    <d v="2023-08-26T00:00:00"/>
    <s v="August"/>
    <d v="2028-05-20T00:00:00"/>
    <x v="4"/>
    <n v="5"/>
    <n v="68330"/>
    <s v="Kavita Mehta"/>
    <n v="22"/>
    <s v="Teenagers"/>
    <s v="Good"/>
    <x v="2"/>
    <s v="Credit Card"/>
    <n v="5"/>
    <s v="iPhone 11"/>
    <n v="341650"/>
    <s v="Good"/>
    <s v="Excellent"/>
  </r>
  <r>
    <s v="Hari492417"/>
    <n v="2417"/>
    <n v="26"/>
    <n v="8"/>
    <n v="2023"/>
    <d v="2023-08-26T00:00:00"/>
    <s v="August"/>
    <d v="2028-05-21T00:00:00"/>
    <x v="0"/>
    <n v="1"/>
    <n v="10856.62"/>
    <s v="Harish Goyal"/>
    <n v="49"/>
    <s v="Senior Citezen"/>
    <s v="Good"/>
    <x v="13"/>
    <s v="Debit Card"/>
    <n v="4"/>
    <s v="Redmi Note 10"/>
    <n v="10856.62"/>
    <s v="Good"/>
    <s v="Low"/>
  </r>
  <r>
    <s v="Sach332418"/>
    <n v="2418"/>
    <n v="26"/>
    <n v="8"/>
    <n v="2023"/>
    <d v="2023-08-26T00:00:00"/>
    <s v="August"/>
    <d v="2028-05-22T00:00:00"/>
    <x v="1"/>
    <n v="1"/>
    <n v="46079.01"/>
    <s v="Sachin Shah"/>
    <n v="33"/>
    <s v="Adult"/>
    <s v="AVG"/>
    <x v="7"/>
    <s v="Credit Card"/>
    <n v="3"/>
    <s v="Vivo S1"/>
    <n v="46079.01"/>
    <s v="Average"/>
    <s v="Low"/>
  </r>
  <r>
    <s v="Sumi262419"/>
    <n v="2419"/>
    <n v="26"/>
    <n v="8"/>
    <n v="2023"/>
    <d v="2023-08-26T00:00:00"/>
    <s v="August"/>
    <d v="2028-05-23T00:00:00"/>
    <x v="2"/>
    <n v="5"/>
    <n v="43757.96"/>
    <s v="Sumit Nambiar"/>
    <n v="26"/>
    <s v="Teenagers"/>
    <s v="AVG"/>
    <x v="12"/>
    <s v="Cash"/>
    <n v="3"/>
    <s v="OnePlus Nord"/>
    <n v="218789.8"/>
    <s v="Average"/>
    <s v="Excellent"/>
  </r>
  <r>
    <s v="Amit392420"/>
    <n v="2420"/>
    <n v="27"/>
    <n v="8"/>
    <n v="2023"/>
    <d v="2023-08-27T00:00:00"/>
    <s v="August"/>
    <d v="2028-05-24T00:00:00"/>
    <x v="1"/>
    <n v="9"/>
    <n v="18082.939999999999"/>
    <s v="Amit Patel"/>
    <n v="39"/>
    <s v="Adult"/>
    <s v="BAD"/>
    <x v="7"/>
    <s v="Cash"/>
    <n v="2"/>
    <s v="Vivo V20"/>
    <n v="162746.46"/>
    <s v="Average"/>
    <s v="Good"/>
  </r>
  <r>
    <s v="Vija572421"/>
    <n v="2421"/>
    <n v="27"/>
    <n v="8"/>
    <n v="2023"/>
    <d v="2023-08-27T00:00:00"/>
    <s v="August"/>
    <d v="2028-05-25T00:00:00"/>
    <x v="4"/>
    <n v="1"/>
    <n v="19054.96"/>
    <s v="Vijay Bhattacharya"/>
    <n v="57"/>
    <s v="Senior Citezen"/>
    <s v="BAD"/>
    <x v="8"/>
    <s v="UPI"/>
    <n v="2"/>
    <s v="iPhone 12"/>
    <n v="19054.96"/>
    <s v="Average"/>
    <s v="Low"/>
  </r>
  <r>
    <s v="Moni542422"/>
    <n v="2422"/>
    <n v="27"/>
    <n v="8"/>
    <n v="2023"/>
    <d v="2023-08-27T00:00:00"/>
    <s v="August"/>
    <d v="2028-05-26T00:00:00"/>
    <x v="3"/>
    <n v="1"/>
    <n v="57560.65"/>
    <s v="Monika Deshmukh"/>
    <n v="54"/>
    <s v="Senior Citezen"/>
    <s v="BAD"/>
    <x v="16"/>
    <s v="Debit Card"/>
    <n v="2"/>
    <s v="Galaxy S21"/>
    <n v="57560.65"/>
    <s v="Average"/>
    <s v="Average"/>
  </r>
  <r>
    <s v="Vino312423"/>
    <n v="2423"/>
    <n v="28"/>
    <n v="8"/>
    <n v="2023"/>
    <d v="2023-08-28T00:00:00"/>
    <s v="August"/>
    <d v="2028-05-27T00:00:00"/>
    <x v="1"/>
    <n v="4"/>
    <n v="63253.75"/>
    <s v="Vinod Kaur"/>
    <n v="31"/>
    <s v="Adult"/>
    <s v="Good"/>
    <x v="17"/>
    <s v="UPI"/>
    <n v="5"/>
    <s v="Vivo V20"/>
    <n v="253015"/>
    <s v="Good"/>
    <s v="Excellent"/>
  </r>
  <r>
    <s v="Nami332424"/>
    <n v="2424"/>
    <n v="28"/>
    <n v="8"/>
    <n v="2023"/>
    <d v="2023-08-28T00:00:00"/>
    <s v="August"/>
    <d v="2028-05-28T00:00:00"/>
    <x v="2"/>
    <n v="4"/>
    <n v="26981.02"/>
    <s v="Namita Varma"/>
    <n v="33"/>
    <s v="Adult"/>
    <s v="AVG"/>
    <x v="14"/>
    <s v="UPI"/>
    <n v="3"/>
    <s v="OnePlus Nord"/>
    <n v="107924.08"/>
    <s v="Average"/>
    <s v="Good"/>
  </r>
  <r>
    <s v="Pank372425"/>
    <n v="2425"/>
    <n v="28"/>
    <n v="8"/>
    <n v="2023"/>
    <d v="2023-08-28T00:00:00"/>
    <s v="August"/>
    <d v="2028-05-29T00:00:00"/>
    <x v="0"/>
    <n v="2"/>
    <n v="36277.839999999997"/>
    <s v="Pankaj Shah"/>
    <n v="37"/>
    <s v="Adult"/>
    <s v="AVG"/>
    <x v="1"/>
    <s v="UPI"/>
    <n v="3"/>
    <s v="Mi 11"/>
    <n v="72555.679999999993"/>
    <s v="Average"/>
    <s v="Average"/>
  </r>
  <r>
    <s v="Lali322426"/>
    <n v="2426"/>
    <n v="29"/>
    <n v="8"/>
    <n v="2023"/>
    <d v="2023-08-29T00:00:00"/>
    <s v="August"/>
    <d v="2028-05-30T00:00:00"/>
    <x v="3"/>
    <n v="9"/>
    <n v="31299.7"/>
    <s v="Lalita Rao"/>
    <n v="32"/>
    <s v="Adult"/>
    <s v="Good"/>
    <x v="1"/>
    <s v="Debit Card"/>
    <n v="4"/>
    <s v="Galaxy Note 20"/>
    <n v="281697.3"/>
    <s v="Good"/>
    <s v="Excellent"/>
  </r>
  <r>
    <s v="Jyot432427"/>
    <n v="2427"/>
    <n v="29"/>
    <n v="8"/>
    <n v="2023"/>
    <d v="2023-08-29T00:00:00"/>
    <s v="August"/>
    <d v="2028-05-31T00:00:00"/>
    <x v="0"/>
    <n v="9"/>
    <n v="14352.82"/>
    <s v="Jyoti Alva"/>
    <n v="43"/>
    <s v="Adult"/>
    <s v="AVG"/>
    <x v="2"/>
    <s v="Cash"/>
    <n v="3"/>
    <s v="Mi 11"/>
    <n v="129175.38"/>
    <s v="Average"/>
    <s v="Good"/>
  </r>
  <r>
    <s v="Jyot262428"/>
    <n v="2428"/>
    <n v="29"/>
    <n v="8"/>
    <n v="2023"/>
    <d v="2023-08-29T00:00:00"/>
    <s v="August"/>
    <d v="2028-06-01T00:00:00"/>
    <x v="1"/>
    <n v="2"/>
    <n v="50392.25"/>
    <s v="Jyoti Pillai"/>
    <n v="26"/>
    <s v="Teenagers"/>
    <s v="Good"/>
    <x v="2"/>
    <s v="Cash"/>
    <n v="4"/>
    <s v="Vivo Y51"/>
    <n v="100784.5"/>
    <s v="Good"/>
    <s v="Good"/>
  </r>
  <r>
    <s v="Sneh182429"/>
    <n v="2429"/>
    <n v="29"/>
    <n v="8"/>
    <n v="2023"/>
    <d v="2023-08-29T00:00:00"/>
    <s v="August"/>
    <d v="2028-06-02T00:00:00"/>
    <x v="4"/>
    <n v="9"/>
    <n v="59511.58"/>
    <s v="Sneha Ghosh"/>
    <n v="18"/>
    <s v="Teenagers"/>
    <s v="Good"/>
    <x v="14"/>
    <s v="UPI"/>
    <n v="5"/>
    <s v="iPhone 12"/>
    <n v="535604.22"/>
    <s v="Good"/>
    <s v="Excellent"/>
  </r>
  <r>
    <s v="Ayes522430"/>
    <n v="2430"/>
    <n v="30"/>
    <n v="8"/>
    <n v="2023"/>
    <d v="2023-08-30T00:00:00"/>
    <s v="August"/>
    <d v="2028-06-03T00:00:00"/>
    <x v="4"/>
    <n v="6"/>
    <n v="28292.76"/>
    <s v="Ayesha Bhattacharya"/>
    <n v="52"/>
    <s v="Senior Citezen"/>
    <s v="BAD"/>
    <x v="12"/>
    <s v="Credit Card"/>
    <n v="2"/>
    <s v="iPhone 11"/>
    <n v="169756.56"/>
    <s v="Average"/>
    <s v="Good"/>
  </r>
  <r>
    <s v="Pank372431"/>
    <n v="2431"/>
    <n v="30"/>
    <n v="8"/>
    <n v="2023"/>
    <d v="2023-08-30T00:00:00"/>
    <s v="August"/>
    <d v="2028-06-04T00:00:00"/>
    <x v="2"/>
    <n v="8"/>
    <n v="69410.55"/>
    <s v="Pankaj Bhattacharya"/>
    <n v="37"/>
    <s v="Adult"/>
    <s v="BAD"/>
    <x v="2"/>
    <s v="Cash"/>
    <n v="2"/>
    <s v="OnePlus 8T"/>
    <n v="555284.4"/>
    <s v="Average"/>
    <s v="Excellent"/>
  </r>
  <r>
    <s v="Sanj232432"/>
    <n v="2432"/>
    <n v="30"/>
    <n v="8"/>
    <n v="2023"/>
    <d v="2023-08-30T00:00:00"/>
    <s v="August"/>
    <d v="2028-06-05T00:00:00"/>
    <x v="4"/>
    <n v="4"/>
    <n v="14551.09"/>
    <s v="Sanjay Mehta"/>
    <n v="23"/>
    <s v="Teenagers"/>
    <s v="Good"/>
    <x v="4"/>
    <s v="Cash"/>
    <n v="4"/>
    <s v="iPhone SE"/>
    <n v="58204.36"/>
    <s v="Good"/>
    <s v="Average"/>
  </r>
  <r>
    <s v="Lali592433"/>
    <n v="2433"/>
    <n v="30"/>
    <n v="8"/>
    <n v="2023"/>
    <d v="2023-08-30T00:00:00"/>
    <s v="August"/>
    <d v="2028-06-06T00:00:00"/>
    <x v="3"/>
    <n v="2"/>
    <n v="49707.44"/>
    <s v="Lalita Rao"/>
    <n v="59"/>
    <s v="Senior Citezen"/>
    <s v="Good"/>
    <x v="9"/>
    <s v="Debit Card"/>
    <n v="5"/>
    <s v="Galaxy A51"/>
    <n v="99414.88"/>
    <s v="Good"/>
    <s v="Average"/>
  </r>
  <r>
    <s v="Deve272434"/>
    <n v="2434"/>
    <n v="31"/>
    <n v="8"/>
    <n v="2023"/>
    <d v="2023-08-31T00:00:00"/>
    <s v="August"/>
    <d v="2028-06-07T00:00:00"/>
    <x v="4"/>
    <n v="2"/>
    <n v="36893.68"/>
    <s v="Devendra Varma"/>
    <n v="27"/>
    <s v="Teenagers"/>
    <s v="Good"/>
    <x v="12"/>
    <s v="Cash"/>
    <n v="4"/>
    <s v="iPhone 11"/>
    <n v="73787.360000000001"/>
    <s v="Good"/>
    <s v="Average"/>
  </r>
  <r>
    <s v="Shru502435"/>
    <n v="2435"/>
    <n v="31"/>
    <n v="8"/>
    <n v="2023"/>
    <d v="2023-08-31T00:00:00"/>
    <s v="August"/>
    <d v="2028-06-08T00:00:00"/>
    <x v="2"/>
    <n v="9"/>
    <n v="36796.11"/>
    <s v="Shruti Shah"/>
    <n v="50"/>
    <s v="Senior Citezen"/>
    <s v="Good"/>
    <x v="5"/>
    <s v="Cash"/>
    <n v="5"/>
    <s v="OnePlus 9"/>
    <n v="331164.99"/>
    <s v="Good"/>
    <s v="Excellent"/>
  </r>
  <r>
    <s v="Tapa332436"/>
    <n v="2436"/>
    <n v="31"/>
    <n v="8"/>
    <n v="2023"/>
    <d v="2023-08-31T00:00:00"/>
    <s v="August"/>
    <d v="2028-06-09T00:00:00"/>
    <x v="1"/>
    <n v="1"/>
    <n v="37458.74"/>
    <s v="Tapan Varma"/>
    <n v="33"/>
    <s v="Adult"/>
    <s v="AVG"/>
    <x v="1"/>
    <s v="UPI"/>
    <n v="3"/>
    <s v="Vivo Y51"/>
    <n v="37458.74"/>
    <s v="Average"/>
    <s v="Low"/>
  </r>
  <r>
    <s v="Mano532437"/>
    <n v="2437"/>
    <n v="31"/>
    <n v="8"/>
    <n v="2023"/>
    <d v="2023-08-31T00:00:00"/>
    <s v="August"/>
    <d v="2028-06-10T00:00:00"/>
    <x v="1"/>
    <n v="7"/>
    <n v="25520.91"/>
    <s v="Manoj Iyer"/>
    <n v="53"/>
    <s v="Senior Citezen"/>
    <s v="Good"/>
    <x v="6"/>
    <s v="UPI"/>
    <n v="4"/>
    <s v="Vivo V20"/>
    <n v="178646.37"/>
    <s v="Good"/>
    <s v="Good"/>
  </r>
  <r>
    <s v="Kavi232438"/>
    <n v="2438"/>
    <n v="1"/>
    <n v="9"/>
    <n v="2023"/>
    <d v="2023-09-01T00:00:00"/>
    <s v="September"/>
    <d v="2028-06-11T00:00:00"/>
    <x v="4"/>
    <n v="3"/>
    <n v="52933.77"/>
    <s v="Kavita Desai"/>
    <n v="23"/>
    <s v="Teenagers"/>
    <s v="Good"/>
    <x v="2"/>
    <s v="Debit Card"/>
    <n v="5"/>
    <s v="iPhone SE"/>
    <n v="158801.31"/>
    <s v="Good"/>
    <s v="Good"/>
  </r>
  <r>
    <s v="Meen362439"/>
    <n v="2439"/>
    <n v="1"/>
    <n v="9"/>
    <n v="2023"/>
    <d v="2023-09-01T00:00:00"/>
    <s v="September"/>
    <d v="2028-06-12T00:00:00"/>
    <x v="0"/>
    <n v="3"/>
    <n v="53294.59"/>
    <s v="Meena Srivastava"/>
    <n v="36"/>
    <s v="Adult"/>
    <s v="BAD"/>
    <x v="1"/>
    <s v="Debit Card"/>
    <n v="2"/>
    <s v="Redmi Note 10"/>
    <n v="159883.76999999999"/>
    <s v="Average"/>
    <s v="Good"/>
  </r>
  <r>
    <s v="Jyot482440"/>
    <n v="2440"/>
    <n v="1"/>
    <n v="9"/>
    <n v="2023"/>
    <d v="2023-09-01T00:00:00"/>
    <s v="September"/>
    <d v="2028-06-13T00:00:00"/>
    <x v="1"/>
    <n v="2"/>
    <n v="26943.83"/>
    <s v="Jyoti Bhattacharya"/>
    <n v="48"/>
    <s v="Senior Citezen"/>
    <s v="Good"/>
    <x v="1"/>
    <s v="Credit Card"/>
    <n v="5"/>
    <s v="Vivo Y51"/>
    <n v="53887.66"/>
    <s v="Good"/>
    <s v="Average"/>
  </r>
  <r>
    <s v="Amit192441"/>
    <n v="2441"/>
    <n v="2"/>
    <n v="9"/>
    <n v="2023"/>
    <d v="2023-09-02T00:00:00"/>
    <s v="September"/>
    <d v="2028-06-14T00:00:00"/>
    <x v="4"/>
    <n v="6"/>
    <n v="60118.39"/>
    <s v="Amit Sheth"/>
    <n v="19"/>
    <s v="Teenagers"/>
    <s v="Good"/>
    <x v="16"/>
    <s v="Cash"/>
    <n v="5"/>
    <s v="iPhone SE"/>
    <n v="360710.33999999997"/>
    <s v="Good"/>
    <s v="Excellent"/>
  </r>
  <r>
    <s v="Pras352442"/>
    <n v="2442"/>
    <n v="2"/>
    <n v="9"/>
    <n v="2023"/>
    <d v="2023-09-02T00:00:00"/>
    <s v="September"/>
    <d v="2028-06-15T00:00:00"/>
    <x v="2"/>
    <n v="2"/>
    <n v="29010.7"/>
    <s v="Prashant Rathod"/>
    <n v="35"/>
    <s v="Adult"/>
    <s v="Good"/>
    <x v="2"/>
    <s v="UPI"/>
    <n v="4"/>
    <s v="OnePlus 8T"/>
    <n v="58021.4"/>
    <s v="Good"/>
    <s v="Average"/>
  </r>
  <r>
    <s v="Anja592443"/>
    <n v="2443"/>
    <n v="2"/>
    <n v="9"/>
    <n v="2023"/>
    <d v="2023-09-02T00:00:00"/>
    <s v="September"/>
    <d v="2028-06-16T00:00:00"/>
    <x v="4"/>
    <n v="4"/>
    <n v="53505.59"/>
    <s v="Anjali Rao"/>
    <n v="59"/>
    <s v="Senior Citezen"/>
    <s v="AVG"/>
    <x v="8"/>
    <s v="UPI"/>
    <n v="3"/>
    <s v="iPhone 11"/>
    <n v="214022.36"/>
    <s v="Average"/>
    <s v="Excellent"/>
  </r>
  <r>
    <s v="Pras452444"/>
    <n v="2444"/>
    <n v="2"/>
    <n v="9"/>
    <n v="2023"/>
    <d v="2023-09-02T00:00:00"/>
    <s v="September"/>
    <d v="2028-06-17T00:00:00"/>
    <x v="1"/>
    <n v="9"/>
    <n v="17259.990000000002"/>
    <s v="Prashant Rathod"/>
    <n v="45"/>
    <s v="Adult"/>
    <s v="Good"/>
    <x v="1"/>
    <s v="Cash"/>
    <n v="4"/>
    <s v="Vivo V20"/>
    <n v="155339.91"/>
    <s v="Good"/>
    <s v="Good"/>
  </r>
  <r>
    <s v="Lata212445"/>
    <n v="2445"/>
    <n v="3"/>
    <n v="9"/>
    <n v="2023"/>
    <d v="2023-09-03T00:00:00"/>
    <s v="September"/>
    <d v="2028-06-18T00:00:00"/>
    <x v="2"/>
    <n v="9"/>
    <n v="20122.099999999999"/>
    <s v="Lata Rawat"/>
    <n v="21"/>
    <s v="Teenagers"/>
    <s v="Good"/>
    <x v="4"/>
    <s v="Debit Card"/>
    <n v="5"/>
    <s v="OnePlus 8T"/>
    <n v="181098.9"/>
    <s v="Good"/>
    <s v="Good"/>
  </r>
  <r>
    <s v="Lata182446"/>
    <n v="2446"/>
    <n v="3"/>
    <n v="9"/>
    <n v="2023"/>
    <d v="2023-09-03T00:00:00"/>
    <s v="September"/>
    <d v="2028-06-19T00:00:00"/>
    <x v="4"/>
    <n v="6"/>
    <n v="28947.74"/>
    <s v="Lata Dutta"/>
    <n v="18"/>
    <s v="Teenagers"/>
    <s v="Good"/>
    <x v="14"/>
    <s v="UPI"/>
    <n v="5"/>
    <s v="iPhone 11"/>
    <n v="173686.44"/>
    <s v="Good"/>
    <s v="Good"/>
  </r>
  <r>
    <s v="Arun592447"/>
    <n v="2447"/>
    <n v="3"/>
    <n v="9"/>
    <n v="2023"/>
    <d v="2023-09-03T00:00:00"/>
    <s v="September"/>
    <d v="2028-06-20T00:00:00"/>
    <x v="3"/>
    <n v="4"/>
    <n v="45632.43"/>
    <s v="Arun Kumar"/>
    <n v="59"/>
    <s v="Senior Citezen"/>
    <s v="BAD"/>
    <x v="6"/>
    <s v="Debit Card"/>
    <n v="2"/>
    <s v="Galaxy A51"/>
    <n v="182529.72"/>
    <s v="Average"/>
    <s v="Good"/>
  </r>
  <r>
    <s v="Sumi332448"/>
    <n v="2448"/>
    <n v="3"/>
    <n v="9"/>
    <n v="2023"/>
    <d v="2023-09-03T00:00:00"/>
    <s v="September"/>
    <d v="2028-06-21T00:00:00"/>
    <x v="2"/>
    <n v="7"/>
    <n v="48730.69"/>
    <s v="Sumit Joshi"/>
    <n v="33"/>
    <s v="Adult"/>
    <s v="AVG"/>
    <x v="16"/>
    <s v="UPI"/>
    <n v="3"/>
    <s v="OnePlus 9"/>
    <n v="341114.83"/>
    <s v="Average"/>
    <s v="Excellent"/>
  </r>
  <r>
    <s v="Nami192449"/>
    <n v="2449"/>
    <n v="4"/>
    <n v="9"/>
    <n v="2023"/>
    <d v="2023-09-04T00:00:00"/>
    <s v="September"/>
    <d v="2028-06-22T00:00:00"/>
    <x v="3"/>
    <n v="1"/>
    <n v="33781.370000000003"/>
    <s v="Namita Sheth"/>
    <n v="19"/>
    <s v="Teenagers"/>
    <s v="AVG"/>
    <x v="18"/>
    <s v="UPI"/>
    <n v="3"/>
    <s v="Galaxy S21"/>
    <n v="33781.370000000003"/>
    <s v="Average"/>
    <s v="Low"/>
  </r>
  <r>
    <s v="Isha532450"/>
    <n v="2450"/>
    <n v="4"/>
    <n v="9"/>
    <n v="2023"/>
    <d v="2023-09-04T00:00:00"/>
    <s v="September"/>
    <d v="2028-06-23T00:00:00"/>
    <x v="0"/>
    <n v="4"/>
    <n v="14670.35"/>
    <s v="Isha Dutta"/>
    <n v="53"/>
    <s v="Senior Citezen"/>
    <s v="Good"/>
    <x v="8"/>
    <s v="Credit Card"/>
    <n v="5"/>
    <s v="Redmi 9"/>
    <n v="58681.4"/>
    <s v="Good"/>
    <s v="Average"/>
  </r>
  <r>
    <s v="Vino182451"/>
    <n v="2451"/>
    <n v="4"/>
    <n v="9"/>
    <n v="2023"/>
    <d v="2023-09-04T00:00:00"/>
    <s v="September"/>
    <d v="2028-06-24T00:00:00"/>
    <x v="2"/>
    <n v="5"/>
    <n v="32418.080000000002"/>
    <s v="Vinod Nair"/>
    <n v="18"/>
    <s v="Teenagers"/>
    <s v="Good"/>
    <x v="14"/>
    <s v="UPI"/>
    <n v="5"/>
    <s v="OnePlus Nord"/>
    <n v="162090.40000000002"/>
    <s v="Good"/>
    <s v="Good"/>
  </r>
  <r>
    <s v="Nami562452"/>
    <n v="2452"/>
    <n v="4"/>
    <n v="9"/>
    <n v="2023"/>
    <d v="2023-09-04T00:00:00"/>
    <s v="September"/>
    <d v="2028-06-25T00:00:00"/>
    <x v="3"/>
    <n v="8"/>
    <n v="51326.05"/>
    <s v="Namita Kapoor"/>
    <n v="56"/>
    <s v="Senior Citezen"/>
    <s v="Good"/>
    <x v="2"/>
    <s v="Cash"/>
    <n v="4"/>
    <s v="Galaxy S21"/>
    <n v="410608.4"/>
    <s v="Good"/>
    <s v="Excellent"/>
  </r>
  <r>
    <s v="Kavi402453"/>
    <n v="2453"/>
    <n v="5"/>
    <n v="9"/>
    <n v="2023"/>
    <d v="2023-09-05T00:00:00"/>
    <s v="September"/>
    <d v="2028-06-26T00:00:00"/>
    <x v="1"/>
    <n v="2"/>
    <n v="50259.73"/>
    <s v="Kavita Kaur"/>
    <n v="40"/>
    <s v="Adult"/>
    <s v="Good"/>
    <x v="8"/>
    <s v="Cash"/>
    <n v="4"/>
    <s v="Vivo S1"/>
    <n v="100519.46"/>
    <s v="Good"/>
    <s v="Good"/>
  </r>
  <r>
    <s v="Rame432454"/>
    <n v="2454"/>
    <n v="5"/>
    <n v="9"/>
    <n v="2023"/>
    <d v="2023-09-05T00:00:00"/>
    <s v="September"/>
    <d v="2028-06-27T00:00:00"/>
    <x v="1"/>
    <n v="5"/>
    <n v="19611.78"/>
    <s v="Ramesh Joshi"/>
    <n v="43"/>
    <s v="Adult"/>
    <s v="BAD"/>
    <x v="16"/>
    <s v="Cash"/>
    <n v="2"/>
    <s v="Vivo V20"/>
    <n v="98058.9"/>
    <s v="Average"/>
    <s v="Average"/>
  </r>
  <r>
    <s v="Reen282455"/>
    <n v="2455"/>
    <n v="5"/>
    <n v="9"/>
    <n v="2023"/>
    <d v="2023-09-05T00:00:00"/>
    <s v="September"/>
    <d v="2028-06-28T00:00:00"/>
    <x v="0"/>
    <n v="6"/>
    <n v="10467.040000000001"/>
    <s v="Reena Bhattacharya"/>
    <n v="28"/>
    <s v="Teenagers"/>
    <s v="Good"/>
    <x v="0"/>
    <s v="Debit Card"/>
    <n v="5"/>
    <s v="Redmi 9"/>
    <n v="62802.240000000005"/>
    <s v="Good"/>
    <s v="Average"/>
  </r>
  <r>
    <s v="Shru592456"/>
    <n v="2456"/>
    <n v="6"/>
    <n v="9"/>
    <n v="2023"/>
    <d v="2023-09-06T00:00:00"/>
    <s v="September"/>
    <d v="2028-06-29T00:00:00"/>
    <x v="2"/>
    <n v="5"/>
    <n v="55178.9"/>
    <s v="Shruti Shah"/>
    <n v="59"/>
    <s v="Senior Citezen"/>
    <s v="Good"/>
    <x v="1"/>
    <s v="UPI"/>
    <n v="4"/>
    <s v="OnePlus 9"/>
    <n v="275894.5"/>
    <s v="Good"/>
    <s v="Excellent"/>
  </r>
  <r>
    <s v="Lali182457"/>
    <n v="2457"/>
    <n v="6"/>
    <n v="9"/>
    <n v="2023"/>
    <d v="2023-09-06T00:00:00"/>
    <s v="September"/>
    <d v="2028-06-30T00:00:00"/>
    <x v="2"/>
    <n v="9"/>
    <n v="16382.09"/>
    <s v="Lalita Thakur"/>
    <n v="18"/>
    <s v="Teenagers"/>
    <s v="BAD"/>
    <x v="1"/>
    <s v="Debit Card"/>
    <n v="2"/>
    <s v="OnePlus 9"/>
    <n v="147438.81"/>
    <s v="Average"/>
    <s v="Good"/>
  </r>
  <r>
    <s v="Sach282458"/>
    <n v="2458"/>
    <n v="6"/>
    <n v="9"/>
    <n v="2023"/>
    <d v="2023-09-06T00:00:00"/>
    <s v="September"/>
    <d v="2028-07-01T00:00:00"/>
    <x v="2"/>
    <n v="1"/>
    <n v="14940.95"/>
    <s v="Sachin Shah"/>
    <n v="28"/>
    <s v="Teenagers"/>
    <s v="AVG"/>
    <x v="14"/>
    <s v="Credit Card"/>
    <n v="3"/>
    <s v="OnePlus Nord"/>
    <n v="14940.95"/>
    <s v="Average"/>
    <s v="Low"/>
  </r>
  <r>
    <s v="Pooj412459"/>
    <n v="2459"/>
    <n v="6"/>
    <n v="9"/>
    <n v="2023"/>
    <d v="2023-09-06T00:00:00"/>
    <s v="September"/>
    <d v="2028-07-02T00:00:00"/>
    <x v="0"/>
    <n v="3"/>
    <n v="10162.07"/>
    <s v="Pooja Kaur"/>
    <n v="41"/>
    <s v="Adult"/>
    <s v="Good"/>
    <x v="1"/>
    <s v="UPI"/>
    <n v="5"/>
    <s v="Mi 11"/>
    <n v="30486.21"/>
    <s v="Good"/>
    <s v="Low"/>
  </r>
  <r>
    <s v="Bhav272460"/>
    <n v="2460"/>
    <n v="7"/>
    <n v="9"/>
    <n v="2023"/>
    <d v="2023-09-07T00:00:00"/>
    <s v="September"/>
    <d v="2028-07-03T00:00:00"/>
    <x v="2"/>
    <n v="2"/>
    <n v="35956.080000000002"/>
    <s v="Bhavana Yadav"/>
    <n v="27"/>
    <s v="Teenagers"/>
    <s v="Good"/>
    <x v="1"/>
    <s v="Cash"/>
    <n v="5"/>
    <s v="OnePlus 8T"/>
    <n v="71912.160000000003"/>
    <s v="Good"/>
    <s v="Average"/>
  </r>
  <r>
    <s v="Gita312461"/>
    <n v="2461"/>
    <n v="7"/>
    <n v="9"/>
    <n v="2023"/>
    <d v="2023-09-07T00:00:00"/>
    <s v="September"/>
    <d v="2028-07-04T00:00:00"/>
    <x v="1"/>
    <n v="3"/>
    <n v="40195.83"/>
    <s v="Gita Rathod"/>
    <n v="31"/>
    <s v="Adult"/>
    <s v="Good"/>
    <x v="7"/>
    <s v="Credit Card"/>
    <n v="5"/>
    <s v="Vivo S1"/>
    <n v="120587.49"/>
    <s v="Good"/>
    <s v="Good"/>
  </r>
  <r>
    <s v="Kira312462"/>
    <n v="2462"/>
    <n v="7"/>
    <n v="9"/>
    <n v="2023"/>
    <d v="2023-09-07T00:00:00"/>
    <s v="September"/>
    <d v="2028-07-05T00:00:00"/>
    <x v="3"/>
    <n v="9"/>
    <n v="48259.839999999997"/>
    <s v="Kiran Pathak"/>
    <n v="31"/>
    <s v="Adult"/>
    <s v="Good"/>
    <x v="6"/>
    <s v="Credit Card"/>
    <n v="4"/>
    <s v="Galaxy S21"/>
    <n v="434338.55999999994"/>
    <s v="Good"/>
    <s v="Excellent"/>
  </r>
  <r>
    <s v="Sanj242463"/>
    <n v="2463"/>
    <n v="7"/>
    <n v="9"/>
    <n v="2023"/>
    <d v="2023-09-07T00:00:00"/>
    <s v="September"/>
    <d v="2028-07-06T00:00:00"/>
    <x v="1"/>
    <n v="9"/>
    <n v="27763.83"/>
    <s v="Sanjay Malhotra"/>
    <n v="24"/>
    <s v="Teenagers"/>
    <s v="Good"/>
    <x v="2"/>
    <s v="UPI"/>
    <n v="5"/>
    <s v="Vivo S1"/>
    <n v="249874.47000000003"/>
    <s v="Good"/>
    <s v="Excellent"/>
  </r>
  <r>
    <s v="Sach402464"/>
    <n v="2464"/>
    <n v="8"/>
    <n v="9"/>
    <n v="2023"/>
    <d v="2023-09-08T00:00:00"/>
    <s v="September"/>
    <d v="2028-07-07T00:00:00"/>
    <x v="1"/>
    <n v="2"/>
    <n v="52625.48"/>
    <s v="Sachin Goyal"/>
    <n v="40"/>
    <s v="Adult"/>
    <s v="Good"/>
    <x v="7"/>
    <s v="Cash"/>
    <n v="5"/>
    <s v="Vivo Y51"/>
    <n v="105250.96"/>
    <s v="Good"/>
    <s v="Good"/>
  </r>
  <r>
    <s v="Deep392465"/>
    <n v="2465"/>
    <n v="8"/>
    <n v="9"/>
    <n v="2023"/>
    <d v="2023-09-08T00:00:00"/>
    <s v="September"/>
    <d v="2028-07-08T00:00:00"/>
    <x v="3"/>
    <n v="3"/>
    <n v="20159.91"/>
    <s v="Deepika Malhotra"/>
    <n v="39"/>
    <s v="Adult"/>
    <s v="Good"/>
    <x v="17"/>
    <s v="Debit Card"/>
    <n v="5"/>
    <s v="Galaxy S21"/>
    <n v="60479.729999999996"/>
    <s v="Good"/>
    <s v="Average"/>
  </r>
  <r>
    <s v="Suni532466"/>
    <n v="2466"/>
    <n v="8"/>
    <n v="9"/>
    <n v="2023"/>
    <d v="2023-09-08T00:00:00"/>
    <s v="September"/>
    <d v="2028-07-09T00:00:00"/>
    <x v="1"/>
    <n v="4"/>
    <n v="59919.4"/>
    <s v="Sunil Rao"/>
    <n v="53"/>
    <s v="Senior Citezen"/>
    <s v="Good"/>
    <x v="1"/>
    <s v="UPI"/>
    <n v="4"/>
    <s v="Vivo V20"/>
    <n v="239677.6"/>
    <s v="Good"/>
    <s v="Excellent"/>
  </r>
  <r>
    <s v="Isha442467"/>
    <n v="2467"/>
    <n v="9"/>
    <n v="9"/>
    <n v="2023"/>
    <d v="2023-09-09T00:00:00"/>
    <s v="September"/>
    <d v="2028-07-10T00:00:00"/>
    <x v="0"/>
    <n v="9"/>
    <n v="44310.9"/>
    <s v="Isha Luthra"/>
    <n v="44"/>
    <s v="Adult"/>
    <s v="AVG"/>
    <x v="1"/>
    <s v="Cash"/>
    <n v="3"/>
    <s v="Redmi Note 10"/>
    <n v="398798.10000000003"/>
    <s v="Average"/>
    <s v="Excellent"/>
  </r>
  <r>
    <s v="Umes192468"/>
    <n v="2468"/>
    <n v="9"/>
    <n v="9"/>
    <n v="2023"/>
    <d v="2023-09-09T00:00:00"/>
    <s v="September"/>
    <d v="2028-07-11T00:00:00"/>
    <x v="3"/>
    <n v="3"/>
    <n v="45033.39"/>
    <s v="Umesh Chaudhary"/>
    <n v="19"/>
    <s v="Teenagers"/>
    <s v="Good"/>
    <x v="2"/>
    <s v="Credit Card"/>
    <n v="4"/>
    <s v="Galaxy Note 20"/>
    <n v="135100.16999999998"/>
    <s v="Good"/>
    <s v="Good"/>
  </r>
  <r>
    <s v="Vino562469"/>
    <n v="2469"/>
    <n v="9"/>
    <n v="9"/>
    <n v="2023"/>
    <d v="2023-09-09T00:00:00"/>
    <s v="September"/>
    <d v="2028-07-12T00:00:00"/>
    <x v="1"/>
    <n v="7"/>
    <n v="22586.52"/>
    <s v="Vinod Kaur"/>
    <n v="56"/>
    <s v="Senior Citezen"/>
    <s v="BAD"/>
    <x v="16"/>
    <s v="UPI"/>
    <n v="2"/>
    <s v="Vivo Y51"/>
    <n v="158105.64000000001"/>
    <s v="Average"/>
    <s v="Good"/>
  </r>
  <r>
    <s v="Sumi362470"/>
    <n v="2470"/>
    <n v="9"/>
    <n v="9"/>
    <n v="2023"/>
    <d v="2023-09-09T00:00:00"/>
    <s v="September"/>
    <d v="2028-07-13T00:00:00"/>
    <x v="4"/>
    <n v="3"/>
    <n v="14446.52"/>
    <s v="Sumit Solanki"/>
    <n v="36"/>
    <s v="Adult"/>
    <s v="Good"/>
    <x v="1"/>
    <s v="Credit Card"/>
    <n v="4"/>
    <s v="iPhone 12"/>
    <n v="43339.56"/>
    <s v="Good"/>
    <s v="Low"/>
  </r>
  <r>
    <s v="Radh242471"/>
    <n v="2471"/>
    <n v="10"/>
    <n v="9"/>
    <n v="2023"/>
    <d v="2023-09-10T00:00:00"/>
    <s v="September"/>
    <d v="2028-07-14T00:00:00"/>
    <x v="1"/>
    <n v="7"/>
    <n v="37883.49"/>
    <s v="Radha Kumar"/>
    <n v="24"/>
    <s v="Teenagers"/>
    <s v="BAD"/>
    <x v="6"/>
    <s v="Cash"/>
    <n v="2"/>
    <s v="Vivo V20"/>
    <n v="265184.43"/>
    <s v="Average"/>
    <s v="Excellent"/>
  </r>
  <r>
    <s v="Nikh292472"/>
    <n v="2472"/>
    <n v="10"/>
    <n v="9"/>
    <n v="2023"/>
    <d v="2023-09-10T00:00:00"/>
    <s v="September"/>
    <d v="2028-07-15T00:00:00"/>
    <x v="0"/>
    <n v="7"/>
    <n v="46936.72"/>
    <s v="Nikhil Deshmukh"/>
    <n v="29"/>
    <s v="Teenagers"/>
    <s v="Good"/>
    <x v="2"/>
    <s v="Debit Card"/>
    <n v="5"/>
    <s v="Mi 11"/>
    <n v="328557.04000000004"/>
    <s v="Good"/>
    <s v="Excellent"/>
  </r>
  <r>
    <s v="Gita202473"/>
    <n v="2473"/>
    <n v="10"/>
    <n v="9"/>
    <n v="2023"/>
    <d v="2023-09-10T00:00:00"/>
    <s v="September"/>
    <d v="2028-07-16T00:00:00"/>
    <x v="2"/>
    <n v="9"/>
    <n v="15702.79"/>
    <s v="Gita Mehta"/>
    <n v="20"/>
    <s v="Teenagers"/>
    <s v="BAD"/>
    <x v="12"/>
    <s v="Debit Card"/>
    <n v="2"/>
    <s v="OnePlus 8T"/>
    <n v="141325.11000000002"/>
    <s v="Average"/>
    <s v="Good"/>
  </r>
  <r>
    <s v="Jyot222474"/>
    <n v="2474"/>
    <n v="10"/>
    <n v="9"/>
    <n v="2023"/>
    <d v="2023-09-10T00:00:00"/>
    <s v="September"/>
    <d v="2028-07-17T00:00:00"/>
    <x v="1"/>
    <n v="2"/>
    <n v="67032.070000000007"/>
    <s v="Jyoti Kumar"/>
    <n v="22"/>
    <s v="Teenagers"/>
    <s v="Good"/>
    <x v="2"/>
    <s v="Credit Card"/>
    <n v="5"/>
    <s v="Vivo V20"/>
    <n v="134064.14000000001"/>
    <s v="Good"/>
    <s v="Good"/>
  </r>
  <r>
    <s v="Lata252475"/>
    <n v="2475"/>
    <n v="11"/>
    <n v="9"/>
    <n v="2023"/>
    <d v="2023-09-11T00:00:00"/>
    <s v="September"/>
    <d v="2028-07-18T00:00:00"/>
    <x v="2"/>
    <n v="6"/>
    <n v="68824.86"/>
    <s v="Lata Kaur"/>
    <n v="25"/>
    <s v="Teenagers"/>
    <s v="BAD"/>
    <x v="1"/>
    <s v="Credit Card"/>
    <n v="2"/>
    <s v="OnePlus Nord"/>
    <n v="412949.16000000003"/>
    <s v="Average"/>
    <s v="Excellent"/>
  </r>
  <r>
    <s v="Isha312476"/>
    <n v="2476"/>
    <n v="11"/>
    <n v="9"/>
    <n v="2023"/>
    <d v="2023-09-11T00:00:00"/>
    <s v="September"/>
    <d v="2028-07-19T00:00:00"/>
    <x v="4"/>
    <n v="9"/>
    <n v="42727.4"/>
    <s v="Isha Yadav"/>
    <n v="31"/>
    <s v="Adult"/>
    <s v="Good"/>
    <x v="7"/>
    <s v="Credit Card"/>
    <n v="4"/>
    <s v="iPhone SE"/>
    <n v="384546.60000000003"/>
    <s v="Good"/>
    <s v="Excellent"/>
  </r>
  <r>
    <s v="Nami532477"/>
    <n v="2477"/>
    <n v="11"/>
    <n v="9"/>
    <n v="2023"/>
    <d v="2023-09-11T00:00:00"/>
    <s v="September"/>
    <d v="2028-07-20T00:00:00"/>
    <x v="1"/>
    <n v="2"/>
    <n v="67004.149999999994"/>
    <s v="Namita Srivastava"/>
    <n v="53"/>
    <s v="Senior Citezen"/>
    <s v="Good"/>
    <x v="1"/>
    <s v="UPI"/>
    <n v="5"/>
    <s v="Vivo S1"/>
    <n v="134008.29999999999"/>
    <s v="Good"/>
    <s v="Good"/>
  </r>
  <r>
    <s v="Isha242478"/>
    <n v="2478"/>
    <n v="12"/>
    <n v="9"/>
    <n v="2023"/>
    <d v="2023-09-12T00:00:00"/>
    <s v="September"/>
    <d v="2028-07-21T00:00:00"/>
    <x v="3"/>
    <n v="2"/>
    <n v="20766.71"/>
    <s v="Isha Menon"/>
    <n v="24"/>
    <s v="Teenagers"/>
    <s v="Good"/>
    <x v="1"/>
    <s v="Cash"/>
    <n v="5"/>
    <s v="Galaxy Note 20"/>
    <n v="41533.42"/>
    <s v="Good"/>
    <s v="Low"/>
  </r>
  <r>
    <s v="Sumi242479"/>
    <n v="2479"/>
    <n v="12"/>
    <n v="9"/>
    <n v="2023"/>
    <d v="2023-09-12T00:00:00"/>
    <s v="September"/>
    <d v="2028-07-22T00:00:00"/>
    <x v="2"/>
    <n v="5"/>
    <n v="11525.24"/>
    <s v="Sumit Alva"/>
    <n v="24"/>
    <s v="Teenagers"/>
    <s v="BAD"/>
    <x v="11"/>
    <s v="Credit Card"/>
    <n v="2"/>
    <s v="OnePlus Nord"/>
    <n v="57626.2"/>
    <s v="Average"/>
    <s v="Average"/>
  </r>
  <r>
    <s v="Lata492480"/>
    <n v="2480"/>
    <n v="12"/>
    <n v="9"/>
    <n v="2023"/>
    <d v="2023-09-12T00:00:00"/>
    <s v="September"/>
    <d v="2028-07-23T00:00:00"/>
    <x v="4"/>
    <n v="8"/>
    <n v="12364.57"/>
    <s v="Lata Bhattacharya"/>
    <n v="49"/>
    <s v="Senior Citezen"/>
    <s v="Good"/>
    <x v="4"/>
    <s v="Credit Card"/>
    <n v="5"/>
    <s v="iPhone SE"/>
    <n v="98916.56"/>
    <s v="Good"/>
    <s v="Average"/>
  </r>
  <r>
    <s v="Shru252481"/>
    <n v="2481"/>
    <n v="12"/>
    <n v="9"/>
    <n v="2023"/>
    <d v="2023-09-12T00:00:00"/>
    <s v="September"/>
    <d v="2028-07-24T00:00:00"/>
    <x v="3"/>
    <n v="9"/>
    <n v="45250.75"/>
    <s v="Shruti Chaudhary"/>
    <n v="25"/>
    <s v="Teenagers"/>
    <s v="BAD"/>
    <x v="2"/>
    <s v="Credit Card"/>
    <n v="2"/>
    <s v="Galaxy Note 20"/>
    <n v="407256.75"/>
    <s v="Average"/>
    <s v="Excellent"/>
  </r>
  <r>
    <s v="Roha292482"/>
    <n v="2482"/>
    <n v="13"/>
    <n v="9"/>
    <n v="2023"/>
    <d v="2023-09-13T00:00:00"/>
    <s v="September"/>
    <d v="2028-07-25T00:00:00"/>
    <x v="3"/>
    <n v="2"/>
    <n v="13698.51"/>
    <s v="Rohan Mishra"/>
    <n v="29"/>
    <s v="Teenagers"/>
    <s v="BAD"/>
    <x v="10"/>
    <s v="Debit Card"/>
    <n v="2"/>
    <s v="Galaxy A51"/>
    <n v="27397.02"/>
    <s v="Average"/>
    <s v="Low"/>
  </r>
  <r>
    <s v="Radh272483"/>
    <n v="2483"/>
    <n v="13"/>
    <n v="9"/>
    <n v="2023"/>
    <d v="2023-09-13T00:00:00"/>
    <s v="September"/>
    <d v="2028-07-26T00:00:00"/>
    <x v="3"/>
    <n v="5"/>
    <n v="67512.740000000005"/>
    <s v="Radha Kulkarni"/>
    <n v="27"/>
    <s v="Teenagers"/>
    <s v="BAD"/>
    <x v="14"/>
    <s v="Credit Card"/>
    <n v="2"/>
    <s v="Galaxy S21"/>
    <n v="337563.7"/>
    <s v="Average"/>
    <s v="Excellent"/>
  </r>
  <r>
    <s v="Amit312484"/>
    <n v="2484"/>
    <n v="13"/>
    <n v="9"/>
    <n v="2023"/>
    <d v="2023-09-13T00:00:00"/>
    <s v="September"/>
    <d v="2028-07-27T00:00:00"/>
    <x v="3"/>
    <n v="7"/>
    <n v="18515.990000000002"/>
    <s v="Amit Sheth"/>
    <n v="31"/>
    <s v="Adult"/>
    <s v="Good"/>
    <x v="2"/>
    <s v="Cash"/>
    <n v="4"/>
    <s v="Galaxy Note 20"/>
    <n v="129611.93000000001"/>
    <s v="Good"/>
    <s v="Good"/>
  </r>
  <r>
    <s v="Vija262485"/>
    <n v="2485"/>
    <n v="14"/>
    <n v="9"/>
    <n v="2023"/>
    <d v="2023-09-14T00:00:00"/>
    <s v="September"/>
    <d v="2028-07-28T00:00:00"/>
    <x v="1"/>
    <n v="6"/>
    <n v="28283.37"/>
    <s v="Vijay Mishra"/>
    <n v="26"/>
    <s v="Teenagers"/>
    <s v="BAD"/>
    <x v="2"/>
    <s v="Debit Card"/>
    <n v="2"/>
    <s v="Vivo V20"/>
    <n v="169700.22"/>
    <s v="Average"/>
    <s v="Good"/>
  </r>
  <r>
    <s v="Pank552486"/>
    <n v="2486"/>
    <n v="14"/>
    <n v="9"/>
    <n v="2023"/>
    <d v="2023-09-14T00:00:00"/>
    <s v="September"/>
    <d v="2028-07-29T00:00:00"/>
    <x v="1"/>
    <n v="6"/>
    <n v="59351.07"/>
    <s v="Pankaj Nambiar"/>
    <n v="55"/>
    <s v="Senior Citezen"/>
    <s v="Good"/>
    <x v="3"/>
    <s v="Cash"/>
    <n v="5"/>
    <s v="Vivo S1"/>
    <n v="356106.42"/>
    <s v="Good"/>
    <s v="Excellent"/>
  </r>
  <r>
    <s v="Jyot472487"/>
    <n v="2487"/>
    <n v="14"/>
    <n v="9"/>
    <n v="2023"/>
    <d v="2023-09-14T00:00:00"/>
    <s v="September"/>
    <d v="2028-07-30T00:00:00"/>
    <x v="1"/>
    <n v="7"/>
    <n v="23124.42"/>
    <s v="Jyoti Jain"/>
    <n v="47"/>
    <s v="Senior Citezen"/>
    <s v="BAD"/>
    <x v="18"/>
    <s v="Debit Card"/>
    <n v="2"/>
    <s v="Vivo V20"/>
    <n v="161870.94"/>
    <s v="Average"/>
    <s v="Good"/>
  </r>
  <r>
    <s v="Kris222488"/>
    <n v="2488"/>
    <n v="15"/>
    <n v="9"/>
    <n v="2023"/>
    <d v="2023-09-15T00:00:00"/>
    <s v="September"/>
    <d v="2028-07-31T00:00:00"/>
    <x v="4"/>
    <n v="3"/>
    <n v="24578.11"/>
    <s v="Krishna Mehta"/>
    <n v="22"/>
    <s v="Teenagers"/>
    <s v="AVG"/>
    <x v="3"/>
    <s v="Debit Card"/>
    <n v="3"/>
    <s v="iPhone 11"/>
    <n v="73734.33"/>
    <s v="Average"/>
    <s v="Average"/>
  </r>
  <r>
    <s v="Lali182489"/>
    <n v="2489"/>
    <n v="15"/>
    <n v="9"/>
    <n v="2023"/>
    <d v="2023-09-15T00:00:00"/>
    <s v="September"/>
    <d v="2028-08-01T00:00:00"/>
    <x v="4"/>
    <n v="3"/>
    <n v="48538.54"/>
    <s v="Lalita Thakur"/>
    <n v="18"/>
    <s v="Teenagers"/>
    <s v="Good"/>
    <x v="11"/>
    <s v="UPI"/>
    <n v="5"/>
    <s v="iPhone SE"/>
    <n v="145615.62"/>
    <s v="Good"/>
    <s v="Good"/>
  </r>
  <r>
    <s v="Anit182490"/>
    <n v="2490"/>
    <n v="15"/>
    <n v="9"/>
    <n v="2023"/>
    <d v="2023-09-15T00:00:00"/>
    <s v="September"/>
    <d v="2028-08-02T00:00:00"/>
    <x v="4"/>
    <n v="9"/>
    <n v="26565.17"/>
    <s v="Anita Shah"/>
    <n v="18"/>
    <s v="Teenagers"/>
    <s v="Good"/>
    <x v="3"/>
    <s v="Debit Card"/>
    <n v="4"/>
    <s v="iPhone 11"/>
    <n v="239086.52999999997"/>
    <s v="Good"/>
    <s v="Excellent"/>
  </r>
  <r>
    <s v="Anja372491"/>
    <n v="2491"/>
    <n v="15"/>
    <n v="9"/>
    <n v="2023"/>
    <d v="2023-09-15T00:00:00"/>
    <s v="September"/>
    <d v="2028-08-03T00:00:00"/>
    <x v="0"/>
    <n v="8"/>
    <n v="23046.86"/>
    <s v="Anjali Roy"/>
    <n v="37"/>
    <s v="Adult"/>
    <s v="AVG"/>
    <x v="2"/>
    <s v="Debit Card"/>
    <n v="3"/>
    <s v="Redmi 9"/>
    <n v="184374.88"/>
    <s v="Average"/>
    <s v="Good"/>
  </r>
  <r>
    <s v="Jyot282492"/>
    <n v="2492"/>
    <n v="16"/>
    <n v="9"/>
    <n v="2023"/>
    <d v="2023-09-16T00:00:00"/>
    <s v="September"/>
    <d v="2028-08-04T00:00:00"/>
    <x v="4"/>
    <n v="5"/>
    <n v="25250.66"/>
    <s v="Jyoti Reddy"/>
    <n v="28"/>
    <s v="Teenagers"/>
    <s v="AVG"/>
    <x v="2"/>
    <s v="Cash"/>
    <n v="3"/>
    <s v="iPhone 11"/>
    <n v="126253.3"/>
    <s v="Average"/>
    <s v="Good"/>
  </r>
  <r>
    <s v="Tanu432493"/>
    <n v="2493"/>
    <n v="16"/>
    <n v="9"/>
    <n v="2023"/>
    <d v="2023-09-16T00:00:00"/>
    <s v="September"/>
    <d v="2028-08-05T00:00:00"/>
    <x v="1"/>
    <n v="6"/>
    <n v="39438.85"/>
    <s v="Tanuja Goyal"/>
    <n v="43"/>
    <s v="Adult"/>
    <s v="Good"/>
    <x v="12"/>
    <s v="Cash"/>
    <n v="5"/>
    <s v="Vivo Y51"/>
    <n v="236633.09999999998"/>
    <s v="Good"/>
    <s v="Excellent"/>
  </r>
  <r>
    <s v="Anan202494"/>
    <n v="2494"/>
    <n v="16"/>
    <n v="9"/>
    <n v="2023"/>
    <d v="2023-09-16T00:00:00"/>
    <s v="September"/>
    <d v="2028-08-06T00:00:00"/>
    <x v="1"/>
    <n v="1"/>
    <n v="67965.990000000005"/>
    <s v="Anand Kapoor"/>
    <n v="20"/>
    <s v="Teenagers"/>
    <s v="Good"/>
    <x v="10"/>
    <s v="Credit Card"/>
    <n v="5"/>
    <s v="Vivo V20"/>
    <n v="67965.990000000005"/>
    <s v="Good"/>
    <s v="Average"/>
  </r>
  <r>
    <s v="Umes232495"/>
    <n v="2495"/>
    <n v="16"/>
    <n v="9"/>
    <n v="2023"/>
    <d v="2023-09-16T00:00:00"/>
    <s v="September"/>
    <d v="2028-08-07T00:00:00"/>
    <x v="0"/>
    <n v="1"/>
    <n v="59934.28"/>
    <s v="Umesh Ghosh"/>
    <n v="23"/>
    <s v="Teenagers"/>
    <s v="Good"/>
    <x v="3"/>
    <s v="UPI"/>
    <n v="4"/>
    <s v="Mi 11"/>
    <n v="59934.28"/>
    <s v="Good"/>
    <s v="Average"/>
  </r>
  <r>
    <s v="Meen282496"/>
    <n v="2496"/>
    <n v="17"/>
    <n v="9"/>
    <n v="2023"/>
    <d v="2023-09-17T00:00:00"/>
    <s v="September"/>
    <d v="2028-08-08T00:00:00"/>
    <x v="0"/>
    <n v="4"/>
    <n v="27076.62"/>
    <s v="Meena Menon"/>
    <n v="28"/>
    <s v="Teenagers"/>
    <s v="Good"/>
    <x v="1"/>
    <s v="Debit Card"/>
    <n v="4"/>
    <s v="Mi 11"/>
    <n v="108306.48"/>
    <s v="Good"/>
    <s v="Good"/>
  </r>
  <r>
    <s v="Ayes252497"/>
    <n v="2497"/>
    <n v="17"/>
    <n v="9"/>
    <n v="2023"/>
    <d v="2023-09-17T00:00:00"/>
    <s v="September"/>
    <d v="2028-08-09T00:00:00"/>
    <x v="4"/>
    <n v="2"/>
    <n v="31802.39"/>
    <s v="Ayesha Solanki"/>
    <n v="25"/>
    <s v="Teenagers"/>
    <s v="Good"/>
    <x v="10"/>
    <s v="UPI"/>
    <n v="5"/>
    <s v="iPhone 12"/>
    <n v="63604.78"/>
    <s v="Good"/>
    <s v="Average"/>
  </r>
  <r>
    <s v="Sach462498"/>
    <n v="2498"/>
    <n v="17"/>
    <n v="9"/>
    <n v="2023"/>
    <d v="2023-09-17T00:00:00"/>
    <s v="September"/>
    <d v="2028-08-10T00:00:00"/>
    <x v="2"/>
    <n v="7"/>
    <n v="37870.74"/>
    <s v="Sachin Kulkarni"/>
    <n v="46"/>
    <s v="Senior Citezen"/>
    <s v="BAD"/>
    <x v="10"/>
    <s v="Credit Card"/>
    <n v="2"/>
    <s v="OnePlus Nord"/>
    <n v="265095.18"/>
    <s v="Average"/>
    <s v="Excellent"/>
  </r>
  <r>
    <s v="Vive272499"/>
    <n v="2499"/>
    <n v="17"/>
    <n v="9"/>
    <n v="2023"/>
    <d v="2023-09-17T00:00:00"/>
    <s v="September"/>
    <d v="2028-08-11T00:00:00"/>
    <x v="0"/>
    <n v="2"/>
    <n v="68735.78"/>
    <s v="Vivek Srivastava"/>
    <n v="27"/>
    <s v="Teenagers"/>
    <s v="Good"/>
    <x v="5"/>
    <s v="UPI"/>
    <n v="4"/>
    <s v="Redmi 9"/>
    <n v="137471.56"/>
    <s v="Good"/>
    <s v="Good"/>
  </r>
  <r>
    <s v="Sanj512500"/>
    <n v="2500"/>
    <n v="18"/>
    <n v="9"/>
    <n v="2023"/>
    <d v="2023-09-18T00:00:00"/>
    <s v="September"/>
    <d v="2028-08-12T00:00:00"/>
    <x v="3"/>
    <n v="2"/>
    <n v="20343.43"/>
    <s v="Sanjay Jain"/>
    <n v="51"/>
    <s v="Senior Citezen"/>
    <s v="Good"/>
    <x v="8"/>
    <s v="Debit Card"/>
    <n v="4"/>
    <s v="Galaxy Note 20"/>
    <n v="40686.86"/>
    <s v="Good"/>
    <s v="Low"/>
  </r>
  <r>
    <s v="Anja412501"/>
    <n v="2501"/>
    <n v="18"/>
    <n v="9"/>
    <n v="2023"/>
    <d v="2023-09-18T00:00:00"/>
    <s v="September"/>
    <d v="2028-08-13T00:00:00"/>
    <x v="1"/>
    <n v="5"/>
    <n v="31448.99"/>
    <s v="Anjali Thakur"/>
    <n v="41"/>
    <s v="Adult"/>
    <s v="BAD"/>
    <x v="1"/>
    <s v="Cash"/>
    <n v="2"/>
    <s v="Vivo V20"/>
    <n v="157244.95000000001"/>
    <s v="Average"/>
    <s v="Good"/>
  </r>
  <r>
    <s v="Bina342502"/>
    <n v="2502"/>
    <n v="18"/>
    <n v="9"/>
    <n v="2023"/>
    <d v="2023-09-18T00:00:00"/>
    <s v="September"/>
    <d v="2028-08-14T00:00:00"/>
    <x v="3"/>
    <n v="4"/>
    <n v="53765.57"/>
    <s v="Bina Roy"/>
    <n v="34"/>
    <s v="Adult"/>
    <s v="Good"/>
    <x v="1"/>
    <s v="UPI"/>
    <n v="5"/>
    <s v="Galaxy A51"/>
    <n v="215062.28"/>
    <s v="Good"/>
    <s v="Excellent"/>
  </r>
  <r>
    <s v="Sach492503"/>
    <n v="2503"/>
    <n v="18"/>
    <n v="9"/>
    <n v="2023"/>
    <d v="2023-09-18T00:00:00"/>
    <s v="September"/>
    <d v="2028-08-15T00:00:00"/>
    <x v="1"/>
    <n v="8"/>
    <n v="67836.62"/>
    <s v="Sachin Malhotra"/>
    <n v="49"/>
    <s v="Senior Citezen"/>
    <s v="Good"/>
    <x v="4"/>
    <s v="Debit Card"/>
    <n v="5"/>
    <s v="Vivo V20"/>
    <n v="542692.96"/>
    <s v="Good"/>
    <s v="Excellent"/>
  </r>
  <r>
    <s v="Pras282504"/>
    <n v="2504"/>
    <n v="19"/>
    <n v="9"/>
    <n v="2023"/>
    <d v="2023-09-19T00:00:00"/>
    <s v="September"/>
    <d v="2028-08-16T00:00:00"/>
    <x v="1"/>
    <n v="4"/>
    <n v="19340.509999999998"/>
    <s v="Prashant Deshmukh"/>
    <n v="28"/>
    <s v="Teenagers"/>
    <s v="Good"/>
    <x v="12"/>
    <s v="Credit Card"/>
    <n v="5"/>
    <s v="Vivo Y51"/>
    <n v="77362.039999999994"/>
    <s v="Good"/>
    <s v="Average"/>
  </r>
  <r>
    <s v="Deep512505"/>
    <n v="2505"/>
    <n v="19"/>
    <n v="9"/>
    <n v="2023"/>
    <d v="2023-09-19T00:00:00"/>
    <s v="September"/>
    <d v="2028-08-17T00:00:00"/>
    <x v="0"/>
    <n v="6"/>
    <n v="23642.799999999999"/>
    <s v="Deepika Deshmukh"/>
    <n v="51"/>
    <s v="Senior Citezen"/>
    <s v="BAD"/>
    <x v="2"/>
    <s v="Debit Card"/>
    <n v="2"/>
    <s v="Redmi Note 10"/>
    <n v="141856.79999999999"/>
    <s v="Average"/>
    <s v="Good"/>
  </r>
  <r>
    <s v="Ravi412506"/>
    <n v="2506"/>
    <n v="19"/>
    <n v="9"/>
    <n v="2023"/>
    <d v="2023-09-19T00:00:00"/>
    <s v="September"/>
    <d v="2028-08-18T00:00:00"/>
    <x v="0"/>
    <n v="5"/>
    <n v="23541.68"/>
    <s v="Ravi Prasad"/>
    <n v="41"/>
    <s v="Adult"/>
    <s v="Good"/>
    <x v="1"/>
    <s v="UPI"/>
    <n v="5"/>
    <s v="Mi 11"/>
    <n v="117708.4"/>
    <s v="Good"/>
    <s v="Good"/>
  </r>
  <r>
    <s v="Sach222507"/>
    <n v="2507"/>
    <n v="20"/>
    <n v="9"/>
    <n v="2023"/>
    <d v="2023-09-20T00:00:00"/>
    <s v="September"/>
    <d v="2028-08-19T00:00:00"/>
    <x v="3"/>
    <n v="2"/>
    <n v="11255.92"/>
    <s v="Sachin Malhotra"/>
    <n v="22"/>
    <s v="Teenagers"/>
    <s v="Good"/>
    <x v="3"/>
    <s v="Debit Card"/>
    <n v="5"/>
    <s v="Galaxy A51"/>
    <n v="22511.84"/>
    <s v="Good"/>
    <s v="Low"/>
  </r>
  <r>
    <s v="Vino462508"/>
    <n v="2508"/>
    <n v="20"/>
    <n v="9"/>
    <n v="2023"/>
    <d v="2023-09-20T00:00:00"/>
    <s v="September"/>
    <d v="2028-08-20T00:00:00"/>
    <x v="1"/>
    <n v="8"/>
    <n v="46246.94"/>
    <s v="Vinod Goyal"/>
    <n v="46"/>
    <s v="Senior Citezen"/>
    <s v="Good"/>
    <x v="11"/>
    <s v="Debit Card"/>
    <n v="5"/>
    <s v="Vivo S1"/>
    <n v="369975.52"/>
    <s v="Good"/>
    <s v="Excellent"/>
  </r>
  <r>
    <s v="Arun512509"/>
    <n v="2509"/>
    <n v="20"/>
    <n v="9"/>
    <n v="2023"/>
    <d v="2023-09-20T00:00:00"/>
    <s v="September"/>
    <d v="2028-08-21T00:00:00"/>
    <x v="3"/>
    <n v="2"/>
    <n v="50242.18"/>
    <s v="Arun Kaur"/>
    <n v="51"/>
    <s v="Senior Citezen"/>
    <s v="Good"/>
    <x v="0"/>
    <s v="UPI"/>
    <n v="5"/>
    <s v="Galaxy A51"/>
    <n v="100484.36"/>
    <s v="Good"/>
    <s v="Good"/>
  </r>
  <r>
    <s v="Priy332510"/>
    <n v="2510"/>
    <n v="20"/>
    <n v="9"/>
    <n v="2023"/>
    <d v="2023-09-20T00:00:00"/>
    <s v="September"/>
    <d v="2028-08-22T00:00:00"/>
    <x v="2"/>
    <n v="9"/>
    <n v="46151.55"/>
    <s v="Priya Siddiqui"/>
    <n v="33"/>
    <s v="Adult"/>
    <s v="BAD"/>
    <x v="15"/>
    <s v="UPI"/>
    <n v="2"/>
    <s v="OnePlus Nord"/>
    <n v="415363.95"/>
    <s v="Average"/>
    <s v="Excellent"/>
  </r>
  <r>
    <s v="Neet422511"/>
    <n v="2511"/>
    <n v="21"/>
    <n v="9"/>
    <n v="2023"/>
    <d v="2023-09-21T00:00:00"/>
    <s v="September"/>
    <d v="2028-08-23T00:00:00"/>
    <x v="3"/>
    <n v="9"/>
    <n v="14279.38"/>
    <s v="Neeta Singh"/>
    <n v="42"/>
    <s v="Adult"/>
    <s v="Good"/>
    <x v="2"/>
    <s v="Credit Card"/>
    <n v="5"/>
    <s v="Galaxy S21"/>
    <n v="128514.42"/>
    <s v="Good"/>
    <s v="Good"/>
  </r>
  <r>
    <s v="Isha542512"/>
    <n v="2512"/>
    <n v="21"/>
    <n v="9"/>
    <n v="2023"/>
    <d v="2023-09-21T00:00:00"/>
    <s v="September"/>
    <d v="2028-08-24T00:00:00"/>
    <x v="4"/>
    <n v="3"/>
    <n v="14153.81"/>
    <s v="Isha Menon"/>
    <n v="54"/>
    <s v="Senior Citezen"/>
    <s v="Good"/>
    <x v="1"/>
    <s v="Debit Card"/>
    <n v="5"/>
    <s v="iPhone 12"/>
    <n v="42461.43"/>
    <s v="Good"/>
    <s v="Low"/>
  </r>
  <r>
    <s v="Sach252513"/>
    <n v="2513"/>
    <n v="21"/>
    <n v="9"/>
    <n v="2023"/>
    <d v="2023-09-21T00:00:00"/>
    <s v="September"/>
    <d v="2028-08-25T00:00:00"/>
    <x v="3"/>
    <n v="4"/>
    <n v="22623.19"/>
    <s v="Sachin Ghosh"/>
    <n v="25"/>
    <s v="Teenagers"/>
    <s v="AVG"/>
    <x v="3"/>
    <s v="Cash"/>
    <n v="3"/>
    <s v="Galaxy S21"/>
    <n v="90492.76"/>
    <s v="Average"/>
    <s v="Average"/>
  </r>
  <r>
    <s v="Roha462514"/>
    <n v="2514"/>
    <n v="22"/>
    <n v="9"/>
    <n v="2023"/>
    <d v="2023-09-22T00:00:00"/>
    <s v="September"/>
    <d v="2028-08-26T00:00:00"/>
    <x v="4"/>
    <n v="8"/>
    <n v="27417.67"/>
    <s v="Rohan Mishra"/>
    <n v="46"/>
    <s v="Senior Citezen"/>
    <s v="Good"/>
    <x v="2"/>
    <s v="UPI"/>
    <n v="4"/>
    <s v="iPhone 11"/>
    <n v="219341.36"/>
    <s v="Good"/>
    <s v="Excellent"/>
  </r>
  <r>
    <s v="Ravi422515"/>
    <n v="2515"/>
    <n v="22"/>
    <n v="9"/>
    <n v="2023"/>
    <d v="2023-09-22T00:00:00"/>
    <s v="September"/>
    <d v="2028-08-27T00:00:00"/>
    <x v="4"/>
    <n v="9"/>
    <n v="57192.62"/>
    <s v="Ravi Patel"/>
    <n v="42"/>
    <s v="Adult"/>
    <s v="Good"/>
    <x v="14"/>
    <s v="Debit Card"/>
    <n v="5"/>
    <s v="iPhone SE"/>
    <n v="514733.58"/>
    <s v="Good"/>
    <s v="Excellent"/>
  </r>
  <r>
    <s v="Ayes592516"/>
    <n v="2516"/>
    <n v="22"/>
    <n v="9"/>
    <n v="2023"/>
    <d v="2023-09-22T00:00:00"/>
    <s v="September"/>
    <d v="2028-08-28T00:00:00"/>
    <x v="4"/>
    <n v="3"/>
    <n v="19563.419999999998"/>
    <s v="Ayesha Ghosh"/>
    <n v="59"/>
    <s v="Senior Citezen"/>
    <s v="AVG"/>
    <x v="14"/>
    <s v="Cash"/>
    <n v="3"/>
    <s v="iPhone SE"/>
    <n v="58690.259999999995"/>
    <s v="Average"/>
    <s v="Average"/>
  </r>
  <r>
    <s v="Isha402517"/>
    <n v="2517"/>
    <n v="22"/>
    <n v="9"/>
    <n v="2023"/>
    <d v="2023-09-22T00:00:00"/>
    <s v="September"/>
    <d v="2028-08-29T00:00:00"/>
    <x v="2"/>
    <n v="5"/>
    <n v="12645.53"/>
    <s v="Isha Nair"/>
    <n v="40"/>
    <s v="Adult"/>
    <s v="BAD"/>
    <x v="2"/>
    <s v="Cash"/>
    <n v="2"/>
    <s v="OnePlus Nord"/>
    <n v="63227.65"/>
    <s v="Average"/>
    <s v="Average"/>
  </r>
  <r>
    <s v="Lali512518"/>
    <n v="2518"/>
    <n v="23"/>
    <n v="9"/>
    <n v="2023"/>
    <d v="2023-09-23T00:00:00"/>
    <s v="September"/>
    <d v="2028-08-30T00:00:00"/>
    <x v="3"/>
    <n v="8"/>
    <n v="33639.25"/>
    <s v="Lalita Ahuja"/>
    <n v="51"/>
    <s v="Senior Citezen"/>
    <s v="AVG"/>
    <x v="1"/>
    <s v="Debit Card"/>
    <n v="3"/>
    <s v="Galaxy S21"/>
    <n v="269114"/>
    <s v="Average"/>
    <s v="Excellent"/>
  </r>
  <r>
    <s v="Anit202519"/>
    <n v="2519"/>
    <n v="23"/>
    <n v="9"/>
    <n v="2023"/>
    <d v="2023-09-23T00:00:00"/>
    <s v="September"/>
    <d v="2028-08-31T00:00:00"/>
    <x v="3"/>
    <n v="3"/>
    <n v="34983.53"/>
    <s v="Anita Dutta"/>
    <n v="20"/>
    <s v="Teenagers"/>
    <s v="Good"/>
    <x v="7"/>
    <s v="Debit Card"/>
    <n v="5"/>
    <s v="Galaxy S21"/>
    <n v="104950.59"/>
    <s v="Good"/>
    <s v="Good"/>
  </r>
  <r>
    <s v="Deep472520"/>
    <n v="2520"/>
    <n v="23"/>
    <n v="9"/>
    <n v="2023"/>
    <d v="2023-09-23T00:00:00"/>
    <s v="September"/>
    <d v="2028-09-01T00:00:00"/>
    <x v="2"/>
    <n v="7"/>
    <n v="37054.44"/>
    <s v="Deepika Reddy"/>
    <n v="47"/>
    <s v="Senior Citezen"/>
    <s v="BAD"/>
    <x v="1"/>
    <s v="Debit Card"/>
    <n v="2"/>
    <s v="OnePlus Nord"/>
    <n v="259381.08000000002"/>
    <s v="Average"/>
    <s v="Excellent"/>
  </r>
  <r>
    <s v="Rame512521"/>
    <n v="2521"/>
    <n v="23"/>
    <n v="9"/>
    <n v="2023"/>
    <d v="2023-09-23T00:00:00"/>
    <s v="September"/>
    <d v="2028-09-02T00:00:00"/>
    <x v="1"/>
    <n v="8"/>
    <n v="59614.21"/>
    <s v="Ramesh Das"/>
    <n v="51"/>
    <s v="Senior Citezen"/>
    <s v="AVG"/>
    <x v="2"/>
    <s v="Cash"/>
    <n v="3"/>
    <s v="Vivo Y51"/>
    <n v="476913.68"/>
    <s v="Average"/>
    <s v="Excellent"/>
  </r>
  <r>
    <s v="Rame492522"/>
    <n v="2522"/>
    <n v="24"/>
    <n v="9"/>
    <n v="2023"/>
    <d v="2023-09-24T00:00:00"/>
    <s v="September"/>
    <d v="2028-09-03T00:00:00"/>
    <x v="0"/>
    <n v="3"/>
    <n v="15880.32"/>
    <s v="Ramesh Mishra"/>
    <n v="49"/>
    <s v="Senior Citezen"/>
    <s v="Good"/>
    <x v="1"/>
    <s v="Debit Card"/>
    <n v="5"/>
    <s v="Redmi Note 10"/>
    <n v="47640.959999999999"/>
    <s v="Good"/>
    <s v="Low"/>
  </r>
  <r>
    <s v="Nikh462523"/>
    <n v="2523"/>
    <n v="24"/>
    <n v="9"/>
    <n v="2023"/>
    <d v="2023-09-24T00:00:00"/>
    <s v="September"/>
    <d v="2028-09-04T00:00:00"/>
    <x v="3"/>
    <n v="2"/>
    <n v="52236.52"/>
    <s v="Nikhil Yadav"/>
    <n v="46"/>
    <s v="Senior Citezen"/>
    <s v="BAD"/>
    <x v="13"/>
    <s v="UPI"/>
    <n v="2"/>
    <s v="Galaxy A51"/>
    <n v="104473.04"/>
    <s v="Average"/>
    <s v="Good"/>
  </r>
  <r>
    <s v="Lali262524"/>
    <n v="2524"/>
    <n v="24"/>
    <n v="9"/>
    <n v="2023"/>
    <d v="2023-09-24T00:00:00"/>
    <s v="September"/>
    <d v="2028-09-05T00:00:00"/>
    <x v="0"/>
    <n v="7"/>
    <n v="30276.73"/>
    <s v="Lalita Luthra"/>
    <n v="26"/>
    <s v="Teenagers"/>
    <s v="BAD"/>
    <x v="14"/>
    <s v="Cash"/>
    <n v="2"/>
    <s v="Redmi 9"/>
    <n v="211937.11"/>
    <s v="Average"/>
    <s v="Excellent"/>
  </r>
  <r>
    <s v="Mala192525"/>
    <n v="2525"/>
    <n v="24"/>
    <n v="9"/>
    <n v="2023"/>
    <d v="2023-09-24T00:00:00"/>
    <s v="September"/>
    <d v="2028-09-06T00:00:00"/>
    <x v="2"/>
    <n v="9"/>
    <n v="28598.81"/>
    <s v="Mala Pillai"/>
    <n v="19"/>
    <s v="Teenagers"/>
    <s v="Good"/>
    <x v="2"/>
    <s v="UPI"/>
    <n v="4"/>
    <s v="OnePlus Nord"/>
    <n v="257389.29"/>
    <s v="Good"/>
    <s v="Excellent"/>
  </r>
  <r>
    <s v="Jyot562526"/>
    <n v="2526"/>
    <n v="25"/>
    <n v="9"/>
    <n v="2023"/>
    <d v="2023-09-25T00:00:00"/>
    <s v="September"/>
    <d v="2028-09-07T00:00:00"/>
    <x v="1"/>
    <n v="1"/>
    <n v="65952.59"/>
    <s v="Jyoti Ahuja"/>
    <n v="56"/>
    <s v="Senior Citezen"/>
    <s v="Good"/>
    <x v="2"/>
    <s v="UPI"/>
    <n v="5"/>
    <s v="Vivo Y51"/>
    <n v="65952.59"/>
    <s v="Good"/>
    <s v="Average"/>
  </r>
  <r>
    <s v="Ravi242527"/>
    <n v="2527"/>
    <n v="25"/>
    <n v="9"/>
    <n v="2023"/>
    <d v="2023-09-25T00:00:00"/>
    <s v="September"/>
    <d v="2028-09-08T00:00:00"/>
    <x v="1"/>
    <n v="3"/>
    <n v="24908.11"/>
    <s v="Ravi Malhotra"/>
    <n v="24"/>
    <s v="Teenagers"/>
    <s v="Good"/>
    <x v="1"/>
    <s v="Debit Card"/>
    <n v="4"/>
    <s v="Vivo S1"/>
    <n v="74724.33"/>
    <s v="Good"/>
    <s v="Average"/>
  </r>
  <r>
    <s v="Pank222528"/>
    <n v="2528"/>
    <n v="25"/>
    <n v="9"/>
    <n v="2023"/>
    <d v="2023-09-25T00:00:00"/>
    <s v="September"/>
    <d v="2028-09-09T00:00:00"/>
    <x v="1"/>
    <n v="5"/>
    <n v="48551.91"/>
    <s v="Pankaj Teja"/>
    <n v="22"/>
    <s v="Teenagers"/>
    <s v="BAD"/>
    <x v="13"/>
    <s v="UPI"/>
    <n v="2"/>
    <s v="Vivo V20"/>
    <n v="242759.55000000002"/>
    <s v="Average"/>
    <s v="Excellent"/>
  </r>
  <r>
    <s v="Nikh252529"/>
    <n v="2529"/>
    <n v="26"/>
    <n v="9"/>
    <n v="2023"/>
    <d v="2023-09-26T00:00:00"/>
    <s v="September"/>
    <d v="2028-09-10T00:00:00"/>
    <x v="2"/>
    <n v="3"/>
    <n v="26507.67"/>
    <s v="Nikhil Rathod"/>
    <n v="25"/>
    <s v="Teenagers"/>
    <s v="BAD"/>
    <x v="3"/>
    <s v="Debit Card"/>
    <n v="2"/>
    <s v="OnePlus 8T"/>
    <n v="79523.009999999995"/>
    <s v="Average"/>
    <s v="Average"/>
  </r>
  <r>
    <s v="Neet492530"/>
    <n v="2530"/>
    <n v="26"/>
    <n v="9"/>
    <n v="2023"/>
    <d v="2023-09-26T00:00:00"/>
    <s v="September"/>
    <d v="2028-09-11T00:00:00"/>
    <x v="4"/>
    <n v="1"/>
    <n v="40428.629999999997"/>
    <s v="Neeta Singh"/>
    <n v="49"/>
    <s v="Senior Citezen"/>
    <s v="AVG"/>
    <x v="14"/>
    <s v="Cash"/>
    <n v="3"/>
    <s v="iPhone 11"/>
    <n v="40428.629999999997"/>
    <s v="Average"/>
    <s v="Low"/>
  </r>
  <r>
    <s v="Yoge352531"/>
    <n v="2531"/>
    <n v="26"/>
    <n v="9"/>
    <n v="2023"/>
    <d v="2023-09-26T00:00:00"/>
    <s v="September"/>
    <d v="2028-09-12T00:00:00"/>
    <x v="4"/>
    <n v="7"/>
    <n v="57177.57"/>
    <s v="Yogesh Ahuja"/>
    <n v="35"/>
    <s v="Adult"/>
    <s v="Good"/>
    <x v="18"/>
    <s v="UPI"/>
    <n v="4"/>
    <s v="iPhone SE"/>
    <n v="400242.99"/>
    <s v="Good"/>
    <s v="Excellent"/>
  </r>
  <r>
    <s v="Pooj552532"/>
    <n v="2532"/>
    <n v="26"/>
    <n v="9"/>
    <n v="2023"/>
    <d v="2023-09-26T00:00:00"/>
    <s v="September"/>
    <d v="2028-09-13T00:00:00"/>
    <x v="0"/>
    <n v="7"/>
    <n v="62903.35"/>
    <s v="Pooja Menon"/>
    <n v="55"/>
    <s v="Senior Citezen"/>
    <s v="Good"/>
    <x v="18"/>
    <s v="Debit Card"/>
    <n v="5"/>
    <s v="Redmi Note 10"/>
    <n v="440323.45"/>
    <s v="Good"/>
    <s v="Excellent"/>
  </r>
  <r>
    <s v="Radh352533"/>
    <n v="2533"/>
    <n v="27"/>
    <n v="9"/>
    <n v="2023"/>
    <d v="2023-09-27T00:00:00"/>
    <s v="September"/>
    <d v="2028-09-14T00:00:00"/>
    <x v="4"/>
    <n v="8"/>
    <n v="60321.83"/>
    <s v="Radha Sheth"/>
    <n v="35"/>
    <s v="Adult"/>
    <s v="Good"/>
    <x v="1"/>
    <s v="Credit Card"/>
    <n v="5"/>
    <s v="iPhone 12"/>
    <n v="482574.64"/>
    <s v="Good"/>
    <s v="Excellent"/>
  </r>
  <r>
    <s v="Tapa582534"/>
    <n v="2534"/>
    <n v="27"/>
    <n v="9"/>
    <n v="2023"/>
    <d v="2023-09-27T00:00:00"/>
    <s v="September"/>
    <d v="2028-09-15T00:00:00"/>
    <x v="4"/>
    <n v="5"/>
    <n v="44930.84"/>
    <s v="Tapan Bhattacharya"/>
    <n v="58"/>
    <s v="Senior Citezen"/>
    <s v="Good"/>
    <x v="1"/>
    <s v="Debit Card"/>
    <n v="4"/>
    <s v="iPhone SE"/>
    <n v="224654.19999999998"/>
    <s v="Good"/>
    <s v="Excellent"/>
  </r>
  <r>
    <s v="Pooj332535"/>
    <n v="2535"/>
    <n v="27"/>
    <n v="9"/>
    <n v="2023"/>
    <d v="2023-09-27T00:00:00"/>
    <s v="September"/>
    <d v="2028-09-16T00:00:00"/>
    <x v="1"/>
    <n v="5"/>
    <n v="24928.98"/>
    <s v="Pooja Deshmukh"/>
    <n v="33"/>
    <s v="Adult"/>
    <s v="BAD"/>
    <x v="11"/>
    <s v="Credit Card"/>
    <n v="2"/>
    <s v="Vivo S1"/>
    <n v="124644.9"/>
    <s v="Average"/>
    <s v="Good"/>
  </r>
  <r>
    <s v="Nami382536"/>
    <n v="2536"/>
    <n v="27"/>
    <n v="9"/>
    <n v="2023"/>
    <d v="2023-09-27T00:00:00"/>
    <s v="September"/>
    <d v="2028-09-17T00:00:00"/>
    <x v="1"/>
    <n v="5"/>
    <n v="49674"/>
    <s v="Namita Rao"/>
    <n v="38"/>
    <s v="Adult"/>
    <s v="AVG"/>
    <x v="11"/>
    <s v="Debit Card"/>
    <n v="3"/>
    <s v="Vivo V20"/>
    <n v="248370"/>
    <s v="Average"/>
    <s v="Excellent"/>
  </r>
  <r>
    <s v="Kavi272537"/>
    <n v="2537"/>
    <n v="28"/>
    <n v="9"/>
    <n v="2023"/>
    <d v="2023-09-28T00:00:00"/>
    <s v="September"/>
    <d v="2028-09-18T00:00:00"/>
    <x v="0"/>
    <n v="1"/>
    <n v="52594.3"/>
    <s v="Kavita Kaur"/>
    <n v="27"/>
    <s v="Teenagers"/>
    <s v="Good"/>
    <x v="1"/>
    <s v="Credit Card"/>
    <n v="5"/>
    <s v="Mi 11"/>
    <n v="52594.3"/>
    <s v="Good"/>
    <s v="Average"/>
  </r>
  <r>
    <s v="Neet592538"/>
    <n v="2538"/>
    <n v="28"/>
    <n v="9"/>
    <n v="2023"/>
    <d v="2023-09-28T00:00:00"/>
    <s v="September"/>
    <d v="2028-09-19T00:00:00"/>
    <x v="3"/>
    <n v="5"/>
    <n v="10641.52"/>
    <s v="Neeta Pillai"/>
    <n v="59"/>
    <s v="Senior Citezen"/>
    <s v="Good"/>
    <x v="2"/>
    <s v="UPI"/>
    <n v="5"/>
    <s v="Galaxy Note 20"/>
    <n v="53207.600000000006"/>
    <s v="Good"/>
    <s v="Average"/>
  </r>
  <r>
    <s v="Nami212539"/>
    <n v="2539"/>
    <n v="28"/>
    <n v="9"/>
    <n v="2023"/>
    <d v="2023-09-28T00:00:00"/>
    <s v="September"/>
    <d v="2028-09-20T00:00:00"/>
    <x v="0"/>
    <n v="6"/>
    <n v="36352.629999999997"/>
    <s v="Namita Rao"/>
    <n v="21"/>
    <s v="Teenagers"/>
    <s v="AVG"/>
    <x v="7"/>
    <s v="Credit Card"/>
    <n v="3"/>
    <s v="Redmi 9"/>
    <n v="218115.77999999997"/>
    <s v="Average"/>
    <s v="Excellent"/>
  </r>
  <r>
    <s v="Yoge252540"/>
    <n v="2540"/>
    <n v="28"/>
    <n v="9"/>
    <n v="2023"/>
    <d v="2023-09-28T00:00:00"/>
    <s v="September"/>
    <d v="2028-09-21T00:00:00"/>
    <x v="0"/>
    <n v="1"/>
    <n v="60595.72"/>
    <s v="Yogesh Dutta"/>
    <n v="25"/>
    <s v="Teenagers"/>
    <s v="BAD"/>
    <x v="1"/>
    <s v="UPI"/>
    <n v="2"/>
    <s v="Redmi 9"/>
    <n v="60595.72"/>
    <s v="Average"/>
    <s v="Average"/>
  </r>
  <r>
    <s v="Adit362541"/>
    <n v="2541"/>
    <n v="29"/>
    <n v="9"/>
    <n v="2023"/>
    <d v="2023-09-29T00:00:00"/>
    <s v="September"/>
    <d v="2028-09-22T00:00:00"/>
    <x v="2"/>
    <n v="7"/>
    <n v="39375.26"/>
    <s v="Aditya Siddiqui"/>
    <n v="36"/>
    <s v="Adult"/>
    <s v="Good"/>
    <x v="18"/>
    <s v="UPI"/>
    <n v="5"/>
    <s v="OnePlus 9"/>
    <n v="275626.82"/>
    <s v="Good"/>
    <s v="Excellent"/>
  </r>
  <r>
    <s v="Isha572542"/>
    <n v="2542"/>
    <n v="29"/>
    <n v="9"/>
    <n v="2023"/>
    <d v="2023-09-29T00:00:00"/>
    <s v="September"/>
    <d v="2028-09-23T00:00:00"/>
    <x v="2"/>
    <n v="1"/>
    <n v="28682.53"/>
    <s v="Isha Thakur"/>
    <n v="57"/>
    <s v="Senior Citezen"/>
    <s v="AVG"/>
    <x v="18"/>
    <s v="Debit Card"/>
    <n v="3"/>
    <s v="OnePlus 9"/>
    <n v="28682.53"/>
    <s v="Average"/>
    <s v="Low"/>
  </r>
  <r>
    <s v="Ravi572543"/>
    <n v="2543"/>
    <n v="29"/>
    <n v="9"/>
    <n v="2023"/>
    <d v="2023-09-29T00:00:00"/>
    <s v="September"/>
    <d v="2028-09-24T00:00:00"/>
    <x v="0"/>
    <n v="2"/>
    <n v="62307.87"/>
    <s v="Ravi Kumar"/>
    <n v="57"/>
    <s v="Senior Citezen"/>
    <s v="Good"/>
    <x v="7"/>
    <s v="UPI"/>
    <n v="5"/>
    <s v="Redmi Note 10"/>
    <n v="124615.74"/>
    <s v="Good"/>
    <s v="Good"/>
  </r>
  <r>
    <s v="Shru262544"/>
    <n v="2544"/>
    <n v="29"/>
    <n v="9"/>
    <n v="2023"/>
    <d v="2023-09-29T00:00:00"/>
    <s v="September"/>
    <d v="2028-09-25T00:00:00"/>
    <x v="0"/>
    <n v="2"/>
    <n v="19352.84"/>
    <s v="Shruti Menon"/>
    <n v="26"/>
    <s v="Teenagers"/>
    <s v="Good"/>
    <x v="16"/>
    <s v="Cash"/>
    <n v="4"/>
    <s v="Redmi Note 10"/>
    <n v="38705.68"/>
    <s v="Good"/>
    <s v="Low"/>
  </r>
  <r>
    <s v="Hari472545"/>
    <n v="2545"/>
    <n v="30"/>
    <n v="9"/>
    <n v="2023"/>
    <d v="2023-09-30T00:00:00"/>
    <s v="September"/>
    <d v="2028-09-26T00:00:00"/>
    <x v="0"/>
    <n v="5"/>
    <n v="22386.71"/>
    <s v="Harish Sharma"/>
    <n v="47"/>
    <s v="Senior Citezen"/>
    <s v="Good"/>
    <x v="1"/>
    <s v="Credit Card"/>
    <n v="5"/>
    <s v="Redmi 9"/>
    <n v="111933.54999999999"/>
    <s v="Good"/>
    <s v="Good"/>
  </r>
  <r>
    <s v="Isha342546"/>
    <n v="2546"/>
    <n v="30"/>
    <n v="9"/>
    <n v="2023"/>
    <d v="2023-09-30T00:00:00"/>
    <s v="September"/>
    <d v="2028-09-27T00:00:00"/>
    <x v="4"/>
    <n v="7"/>
    <n v="51242.34"/>
    <s v="Isha Reddy"/>
    <n v="34"/>
    <s v="Adult"/>
    <s v="BAD"/>
    <x v="1"/>
    <s v="Debit Card"/>
    <n v="2"/>
    <s v="iPhone SE"/>
    <n v="358696.38"/>
    <s v="Average"/>
    <s v="Excellent"/>
  </r>
  <r>
    <s v="Mala572547"/>
    <n v="2547"/>
    <n v="30"/>
    <n v="9"/>
    <n v="2023"/>
    <d v="2023-09-30T00:00:00"/>
    <s v="September"/>
    <d v="2028-09-28T00:00:00"/>
    <x v="2"/>
    <n v="1"/>
    <n v="31146.16"/>
    <s v="Mala Srivastava"/>
    <n v="57"/>
    <s v="Senior Citezen"/>
    <s v="Good"/>
    <x v="1"/>
    <s v="UPI"/>
    <n v="5"/>
    <s v="OnePlus 9"/>
    <n v="31146.16"/>
    <s v="Good"/>
    <s v="Low"/>
  </r>
  <r>
    <s v="Arun322548"/>
    <n v="2548"/>
    <n v="1"/>
    <n v="10"/>
    <n v="2023"/>
    <d v="2023-10-01T00:00:00"/>
    <s v="October"/>
    <d v="2028-09-29T00:00:00"/>
    <x v="0"/>
    <n v="1"/>
    <n v="52781.01"/>
    <s v="Arun Shah"/>
    <n v="32"/>
    <s v="Adult"/>
    <s v="BAD"/>
    <x v="1"/>
    <s v="Credit Card"/>
    <n v="2"/>
    <s v="Redmi 9"/>
    <n v="52781.01"/>
    <s v="Average"/>
    <s v="Average"/>
  </r>
  <r>
    <s v="Navi212549"/>
    <n v="2549"/>
    <n v="1"/>
    <n v="10"/>
    <n v="2023"/>
    <d v="2023-10-01T00:00:00"/>
    <s v="October"/>
    <d v="2028-09-30T00:00:00"/>
    <x v="1"/>
    <n v="1"/>
    <n v="19462.22"/>
    <s v="Navin Malhotra"/>
    <n v="21"/>
    <s v="Teenagers"/>
    <s v="Good"/>
    <x v="2"/>
    <s v="Credit Card"/>
    <n v="4"/>
    <s v="Vivo S1"/>
    <n v="19462.22"/>
    <s v="Good"/>
    <s v="Low"/>
  </r>
  <r>
    <s v="Meen232550"/>
    <n v="2550"/>
    <n v="1"/>
    <n v="10"/>
    <n v="2023"/>
    <d v="2023-10-01T00:00:00"/>
    <s v="October"/>
    <d v="2028-10-01T00:00:00"/>
    <x v="1"/>
    <n v="6"/>
    <n v="25136.15"/>
    <s v="Meena Patel"/>
    <n v="23"/>
    <s v="Teenagers"/>
    <s v="Good"/>
    <x v="15"/>
    <s v="Cash"/>
    <n v="5"/>
    <s v="Vivo V20"/>
    <n v="150816.90000000002"/>
    <s v="Good"/>
    <s v="Good"/>
  </r>
  <r>
    <s v="Vija332551"/>
    <n v="2551"/>
    <n v="1"/>
    <n v="10"/>
    <n v="2023"/>
    <d v="2023-10-01T00:00:00"/>
    <s v="October"/>
    <d v="2028-10-02T00:00:00"/>
    <x v="4"/>
    <n v="2"/>
    <n v="19398.84"/>
    <s v="Vijay Solanki"/>
    <n v="33"/>
    <s v="Adult"/>
    <s v="BAD"/>
    <x v="17"/>
    <s v="Credit Card"/>
    <n v="2"/>
    <s v="iPhone 11"/>
    <n v="38797.68"/>
    <s v="Average"/>
    <s v="Low"/>
  </r>
  <r>
    <s v="Sanj432552"/>
    <n v="2552"/>
    <n v="2"/>
    <n v="10"/>
    <n v="2023"/>
    <d v="2023-10-02T00:00:00"/>
    <s v="October"/>
    <d v="2028-10-03T00:00:00"/>
    <x v="4"/>
    <n v="1"/>
    <n v="67174.62"/>
    <s v="Sanjay Malhotra"/>
    <n v="43"/>
    <s v="Adult"/>
    <s v="BAD"/>
    <x v="14"/>
    <s v="Debit Card"/>
    <n v="2"/>
    <s v="iPhone 11"/>
    <n v="67174.62"/>
    <s v="Average"/>
    <s v="Average"/>
  </r>
  <r>
    <s v="Pooj542553"/>
    <n v="2553"/>
    <n v="2"/>
    <n v="10"/>
    <n v="2023"/>
    <d v="2023-10-02T00:00:00"/>
    <s v="October"/>
    <d v="2028-10-04T00:00:00"/>
    <x v="3"/>
    <n v="6"/>
    <n v="34324.239999999998"/>
    <s v="Pooja Dutta"/>
    <n v="54"/>
    <s v="Senior Citezen"/>
    <s v="Good"/>
    <x v="5"/>
    <s v="Debit Card"/>
    <n v="4"/>
    <s v="Galaxy S21"/>
    <n v="205945.44"/>
    <s v="Good"/>
    <s v="Excellent"/>
  </r>
  <r>
    <s v="Anan402554"/>
    <n v="2554"/>
    <n v="2"/>
    <n v="10"/>
    <n v="2023"/>
    <d v="2023-10-02T00:00:00"/>
    <s v="October"/>
    <d v="2028-10-05T00:00:00"/>
    <x v="3"/>
    <n v="2"/>
    <n v="30233.19"/>
    <s v="Anand Arora"/>
    <n v="40"/>
    <s v="Adult"/>
    <s v="AVG"/>
    <x v="6"/>
    <s v="UPI"/>
    <n v="3"/>
    <s v="Galaxy Note 20"/>
    <n v="60466.38"/>
    <s v="Average"/>
    <s v="Average"/>
  </r>
  <r>
    <s v="Priy302555"/>
    <n v="2555"/>
    <n v="3"/>
    <n v="10"/>
    <n v="2023"/>
    <d v="2023-10-03T00:00:00"/>
    <s v="October"/>
    <d v="2028-10-06T00:00:00"/>
    <x v="3"/>
    <n v="6"/>
    <n v="10852.13"/>
    <s v="Priyanka Alva"/>
    <n v="30"/>
    <s v="Teenagers"/>
    <s v="Good"/>
    <x v="1"/>
    <s v="UPI"/>
    <n v="4"/>
    <s v="Galaxy A51"/>
    <n v="65112.78"/>
    <s v="Good"/>
    <s v="Average"/>
  </r>
  <r>
    <s v="Sumi342556"/>
    <n v="2556"/>
    <n v="3"/>
    <n v="10"/>
    <n v="2023"/>
    <d v="2023-10-03T00:00:00"/>
    <s v="October"/>
    <d v="2028-10-07T00:00:00"/>
    <x v="4"/>
    <n v="8"/>
    <n v="19205.05"/>
    <s v="Sumit Rathod"/>
    <n v="34"/>
    <s v="Adult"/>
    <s v="Good"/>
    <x v="2"/>
    <s v="Debit Card"/>
    <n v="5"/>
    <s v="iPhone 11"/>
    <n v="153640.4"/>
    <s v="Good"/>
    <s v="Good"/>
  </r>
  <r>
    <s v="Raje442557"/>
    <n v="2557"/>
    <n v="3"/>
    <n v="10"/>
    <n v="2023"/>
    <d v="2023-10-03T00:00:00"/>
    <s v="October"/>
    <d v="2028-10-08T00:00:00"/>
    <x v="4"/>
    <n v="2"/>
    <n v="35268.15"/>
    <s v="Rajesh Kulkarni"/>
    <n v="44"/>
    <s v="Adult"/>
    <s v="Good"/>
    <x v="1"/>
    <s v="Credit Card"/>
    <n v="5"/>
    <s v="iPhone 12"/>
    <n v="70536.3"/>
    <s v="Good"/>
    <s v="Average"/>
  </r>
  <r>
    <s v="Hari392558"/>
    <n v="2558"/>
    <n v="4"/>
    <n v="10"/>
    <n v="2023"/>
    <d v="2023-10-04T00:00:00"/>
    <s v="October"/>
    <d v="2028-10-09T00:00:00"/>
    <x v="4"/>
    <n v="9"/>
    <n v="14110.17"/>
    <s v="Harish Solanki"/>
    <n v="39"/>
    <s v="Adult"/>
    <s v="Good"/>
    <x v="5"/>
    <s v="Credit Card"/>
    <n v="5"/>
    <s v="iPhone 12"/>
    <n v="126991.53"/>
    <s v="Good"/>
    <s v="Good"/>
  </r>
  <r>
    <s v="Sach542559"/>
    <n v="2559"/>
    <n v="4"/>
    <n v="10"/>
    <n v="2023"/>
    <d v="2023-10-04T00:00:00"/>
    <s v="October"/>
    <d v="2028-10-10T00:00:00"/>
    <x v="1"/>
    <n v="8"/>
    <n v="40644.36"/>
    <s v="Sachin Prasad"/>
    <n v="54"/>
    <s v="Senior Citezen"/>
    <s v="BAD"/>
    <x v="9"/>
    <s v="Cash"/>
    <n v="2"/>
    <s v="Vivo Y51"/>
    <n v="325154.88"/>
    <s v="Average"/>
    <s v="Excellent"/>
  </r>
  <r>
    <s v="Sneh362560"/>
    <n v="2560"/>
    <n v="4"/>
    <n v="10"/>
    <n v="2023"/>
    <d v="2023-10-04T00:00:00"/>
    <s v="October"/>
    <d v="2028-10-11T00:00:00"/>
    <x v="4"/>
    <n v="1"/>
    <n v="37300.93"/>
    <s v="Sneha Ghosh"/>
    <n v="36"/>
    <s v="Adult"/>
    <s v="Good"/>
    <x v="18"/>
    <s v="UPI"/>
    <n v="5"/>
    <s v="iPhone 11"/>
    <n v="37300.93"/>
    <s v="Good"/>
    <s v="Low"/>
  </r>
  <r>
    <s v="Raje562561"/>
    <n v="2561"/>
    <n v="5"/>
    <n v="10"/>
    <n v="2023"/>
    <d v="2023-10-05T00:00:00"/>
    <s v="October"/>
    <d v="2028-10-12T00:00:00"/>
    <x v="1"/>
    <n v="7"/>
    <n v="56030.09"/>
    <s v="Rajesh Kaur"/>
    <n v="56"/>
    <s v="Senior Citezen"/>
    <s v="AVG"/>
    <x v="6"/>
    <s v="Credit Card"/>
    <n v="3"/>
    <s v="Vivo S1"/>
    <n v="392210.63"/>
    <s v="Average"/>
    <s v="Excellent"/>
  </r>
  <r>
    <s v="Ravi522562"/>
    <n v="2562"/>
    <n v="5"/>
    <n v="10"/>
    <n v="2023"/>
    <d v="2023-10-05T00:00:00"/>
    <s v="October"/>
    <d v="2028-10-13T00:00:00"/>
    <x v="3"/>
    <n v="6"/>
    <n v="49588.160000000003"/>
    <s v="Ravi Reddy"/>
    <n v="52"/>
    <s v="Senior Citezen"/>
    <s v="AVG"/>
    <x v="2"/>
    <s v="Credit Card"/>
    <n v="3"/>
    <s v="Galaxy Note 20"/>
    <n v="297528.96000000002"/>
    <s v="Average"/>
    <s v="Excellent"/>
  </r>
  <r>
    <s v="Mano302563"/>
    <n v="2563"/>
    <n v="5"/>
    <n v="10"/>
    <n v="2023"/>
    <d v="2023-10-05T00:00:00"/>
    <s v="October"/>
    <d v="2028-10-14T00:00:00"/>
    <x v="3"/>
    <n v="6"/>
    <n v="36756.839999999997"/>
    <s v="Manoj Patel"/>
    <n v="30"/>
    <s v="Teenagers"/>
    <s v="Good"/>
    <x v="1"/>
    <s v="UPI"/>
    <n v="4"/>
    <s v="Galaxy Note 20"/>
    <n v="220541.03999999998"/>
    <s v="Good"/>
    <s v="Excellent"/>
  </r>
  <r>
    <s v="Deep312564"/>
    <n v="2564"/>
    <n v="6"/>
    <n v="10"/>
    <n v="2023"/>
    <d v="2023-10-06T00:00:00"/>
    <s v="October"/>
    <d v="2028-10-15T00:00:00"/>
    <x v="3"/>
    <n v="6"/>
    <n v="23479.64"/>
    <s v="Deepika Kulkarni"/>
    <n v="31"/>
    <s v="Adult"/>
    <s v="Good"/>
    <x v="8"/>
    <s v="Debit Card"/>
    <n v="5"/>
    <s v="Galaxy Note 20"/>
    <n v="140877.84"/>
    <s v="Good"/>
    <s v="Good"/>
  </r>
  <r>
    <s v="Ravi482565"/>
    <n v="2565"/>
    <n v="6"/>
    <n v="10"/>
    <n v="2023"/>
    <d v="2023-10-06T00:00:00"/>
    <s v="October"/>
    <d v="2028-10-16T00:00:00"/>
    <x v="0"/>
    <n v="6"/>
    <n v="53611.81"/>
    <s v="Ravi Prasad"/>
    <n v="48"/>
    <s v="Senior Citezen"/>
    <s v="Good"/>
    <x v="1"/>
    <s v="Credit Card"/>
    <n v="5"/>
    <s v="Redmi 9"/>
    <n v="321670.86"/>
    <s v="Good"/>
    <s v="Excellent"/>
  </r>
  <r>
    <s v="Reen192566"/>
    <n v="2566"/>
    <n v="6"/>
    <n v="10"/>
    <n v="2023"/>
    <d v="2023-10-06T00:00:00"/>
    <s v="October"/>
    <d v="2028-10-17T00:00:00"/>
    <x v="0"/>
    <n v="7"/>
    <n v="52471.73"/>
    <s v="Reena Dutta"/>
    <n v="19"/>
    <s v="Teenagers"/>
    <s v="Good"/>
    <x v="1"/>
    <s v="Cash"/>
    <n v="5"/>
    <s v="Mi 11"/>
    <n v="367302.11000000004"/>
    <s v="Good"/>
    <s v="Excellent"/>
  </r>
  <r>
    <s v="Vino562567"/>
    <n v="2567"/>
    <n v="7"/>
    <n v="10"/>
    <n v="2023"/>
    <d v="2023-10-07T00:00:00"/>
    <s v="October"/>
    <d v="2028-10-18T00:00:00"/>
    <x v="2"/>
    <n v="3"/>
    <n v="19197.77"/>
    <s v="Vinod Prasad"/>
    <n v="56"/>
    <s v="Senior Citezen"/>
    <s v="Good"/>
    <x v="3"/>
    <s v="Credit Card"/>
    <n v="5"/>
    <s v="OnePlus Nord"/>
    <n v="57593.31"/>
    <s v="Good"/>
    <s v="Average"/>
  </r>
  <r>
    <s v="Pank542568"/>
    <n v="2568"/>
    <n v="7"/>
    <n v="10"/>
    <n v="2023"/>
    <d v="2023-10-07T00:00:00"/>
    <s v="October"/>
    <d v="2028-10-19T00:00:00"/>
    <x v="2"/>
    <n v="6"/>
    <n v="64885.11"/>
    <s v="Pankaj Nambiar"/>
    <n v="54"/>
    <s v="Senior Citezen"/>
    <s v="Good"/>
    <x v="14"/>
    <s v="Credit Card"/>
    <n v="5"/>
    <s v="OnePlus Nord"/>
    <n v="389310.66000000003"/>
    <s v="Good"/>
    <s v="Excellent"/>
  </r>
  <r>
    <s v="Vive312569"/>
    <n v="2569"/>
    <n v="7"/>
    <n v="10"/>
    <n v="2023"/>
    <d v="2023-10-07T00:00:00"/>
    <s v="October"/>
    <d v="2028-10-20T00:00:00"/>
    <x v="2"/>
    <n v="3"/>
    <n v="13864.31"/>
    <s v="Vivek Siddiqui"/>
    <n v="31"/>
    <s v="Adult"/>
    <s v="Good"/>
    <x v="12"/>
    <s v="Cash"/>
    <n v="5"/>
    <s v="OnePlus 9"/>
    <n v="41592.93"/>
    <s v="Good"/>
    <s v="Low"/>
  </r>
  <r>
    <s v="Neet262570"/>
    <n v="2570"/>
    <n v="8"/>
    <n v="10"/>
    <n v="2023"/>
    <d v="2023-10-08T00:00:00"/>
    <s v="October"/>
    <d v="2028-10-21T00:00:00"/>
    <x v="0"/>
    <n v="7"/>
    <n v="13302.26"/>
    <s v="Neeta Ahuja"/>
    <n v="26"/>
    <s v="Teenagers"/>
    <s v="Good"/>
    <x v="1"/>
    <s v="Debit Card"/>
    <n v="4"/>
    <s v="Redmi Note 10"/>
    <n v="93115.82"/>
    <s v="Good"/>
    <s v="Average"/>
  </r>
  <r>
    <s v="Gita272571"/>
    <n v="2571"/>
    <n v="8"/>
    <n v="10"/>
    <n v="2023"/>
    <d v="2023-10-08T00:00:00"/>
    <s v="October"/>
    <d v="2028-10-22T00:00:00"/>
    <x v="0"/>
    <n v="7"/>
    <n v="21241.03"/>
    <s v="Gita Dutta"/>
    <n v="27"/>
    <s v="Teenagers"/>
    <s v="Good"/>
    <x v="8"/>
    <s v="Cash"/>
    <n v="4"/>
    <s v="Redmi 9"/>
    <n v="148687.21"/>
    <s v="Good"/>
    <s v="Good"/>
  </r>
  <r>
    <s v="Bhav242572"/>
    <n v="2572"/>
    <n v="8"/>
    <n v="10"/>
    <n v="2023"/>
    <d v="2023-10-08T00:00:00"/>
    <s v="October"/>
    <d v="2028-10-23T00:00:00"/>
    <x v="2"/>
    <n v="8"/>
    <n v="64567.65"/>
    <s v="Bhavana Ghosh"/>
    <n v="24"/>
    <s v="Teenagers"/>
    <s v="Good"/>
    <x v="17"/>
    <s v="Cash"/>
    <n v="4"/>
    <s v="OnePlus Nord"/>
    <n v="516541.2"/>
    <s v="Good"/>
    <s v="Excellent"/>
  </r>
  <r>
    <s v="Moni452573"/>
    <n v="2573"/>
    <n v="8"/>
    <n v="10"/>
    <n v="2023"/>
    <d v="2023-10-08T00:00:00"/>
    <s v="October"/>
    <d v="2028-10-24T00:00:00"/>
    <x v="2"/>
    <n v="2"/>
    <n v="41199.89"/>
    <s v="Monika Goyal"/>
    <n v="45"/>
    <s v="Adult"/>
    <s v="Good"/>
    <x v="1"/>
    <s v="UPI"/>
    <n v="4"/>
    <s v="OnePlus Nord"/>
    <n v="82399.78"/>
    <s v="Good"/>
    <s v="Average"/>
  </r>
  <r>
    <s v="Anan422574"/>
    <n v="2574"/>
    <n v="9"/>
    <n v="10"/>
    <n v="2023"/>
    <d v="2023-10-09T00:00:00"/>
    <s v="October"/>
    <d v="2028-10-25T00:00:00"/>
    <x v="4"/>
    <n v="9"/>
    <n v="57276.46"/>
    <s v="Anand Kapoor"/>
    <n v="42"/>
    <s v="Adult"/>
    <s v="AVG"/>
    <x v="17"/>
    <s v="Credit Card"/>
    <n v="3"/>
    <s v="iPhone 12"/>
    <n v="515488.14"/>
    <s v="Average"/>
    <s v="Excellent"/>
  </r>
  <r>
    <s v="Suni452575"/>
    <n v="2575"/>
    <n v="9"/>
    <n v="10"/>
    <n v="2023"/>
    <d v="2023-10-09T00:00:00"/>
    <s v="October"/>
    <d v="2028-10-26T00:00:00"/>
    <x v="2"/>
    <n v="5"/>
    <n v="23670.59"/>
    <s v="Sunil Rawat"/>
    <n v="45"/>
    <s v="Adult"/>
    <s v="Good"/>
    <x v="5"/>
    <s v="Debit Card"/>
    <n v="5"/>
    <s v="OnePlus Nord"/>
    <n v="118352.95"/>
    <s v="Good"/>
    <s v="Good"/>
  </r>
  <r>
    <s v="Suni192576"/>
    <n v="2576"/>
    <n v="9"/>
    <n v="10"/>
    <n v="2023"/>
    <d v="2023-10-09T00:00:00"/>
    <s v="October"/>
    <d v="2028-10-27T00:00:00"/>
    <x v="4"/>
    <n v="9"/>
    <n v="39413.32"/>
    <s v="Sunil Arora"/>
    <n v="19"/>
    <s v="Teenagers"/>
    <s v="BAD"/>
    <x v="2"/>
    <s v="Credit Card"/>
    <n v="2"/>
    <s v="iPhone 12"/>
    <n v="354719.88"/>
    <s v="Average"/>
    <s v="Excellent"/>
  </r>
  <r>
    <s v="Sanj342577"/>
    <n v="2577"/>
    <n v="10"/>
    <n v="10"/>
    <n v="2023"/>
    <d v="2023-10-10T00:00:00"/>
    <s v="October"/>
    <d v="2028-10-28T00:00:00"/>
    <x v="1"/>
    <n v="5"/>
    <n v="31497.37"/>
    <s v="Sanjay Sheth"/>
    <n v="34"/>
    <s v="Adult"/>
    <s v="Good"/>
    <x v="1"/>
    <s v="Debit Card"/>
    <n v="5"/>
    <s v="Vivo V20"/>
    <n v="157486.85"/>
    <s v="Good"/>
    <s v="Good"/>
  </r>
  <r>
    <s v="Pooj212578"/>
    <n v="2578"/>
    <n v="10"/>
    <n v="10"/>
    <n v="2023"/>
    <d v="2023-10-10T00:00:00"/>
    <s v="October"/>
    <d v="2028-10-29T00:00:00"/>
    <x v="0"/>
    <n v="7"/>
    <n v="59669.72"/>
    <s v="Pooja Goyal"/>
    <n v="21"/>
    <s v="Teenagers"/>
    <s v="Good"/>
    <x v="6"/>
    <s v="Cash"/>
    <n v="4"/>
    <s v="Redmi 9"/>
    <n v="417688.04000000004"/>
    <s v="Good"/>
    <s v="Excellent"/>
  </r>
  <r>
    <s v="Roha302579"/>
    <n v="2579"/>
    <n v="10"/>
    <n v="10"/>
    <n v="2023"/>
    <d v="2023-10-10T00:00:00"/>
    <s v="October"/>
    <d v="2028-10-30T00:00:00"/>
    <x v="2"/>
    <n v="9"/>
    <n v="11356.27"/>
    <s v="Rohan Goyal"/>
    <n v="30"/>
    <s v="Teenagers"/>
    <s v="AVG"/>
    <x v="12"/>
    <s v="UPI"/>
    <n v="3"/>
    <s v="OnePlus Nord"/>
    <n v="102206.43000000001"/>
    <s v="Average"/>
    <s v="Good"/>
  </r>
  <r>
    <s v="Anan352580"/>
    <n v="2580"/>
    <n v="11"/>
    <n v="10"/>
    <n v="2023"/>
    <d v="2023-10-11T00:00:00"/>
    <s v="October"/>
    <d v="2028-10-31T00:00:00"/>
    <x v="0"/>
    <n v="4"/>
    <n v="24630.560000000001"/>
    <s v="Anand Mishra"/>
    <n v="35"/>
    <s v="Adult"/>
    <s v="AVG"/>
    <x v="1"/>
    <s v="Cash"/>
    <n v="3"/>
    <s v="Redmi 9"/>
    <n v="98522.240000000005"/>
    <s v="Average"/>
    <s v="Average"/>
  </r>
  <r>
    <s v="Bina202581"/>
    <n v="2581"/>
    <n v="11"/>
    <n v="10"/>
    <n v="2023"/>
    <d v="2023-10-11T00:00:00"/>
    <s v="October"/>
    <d v="2028-11-01T00:00:00"/>
    <x v="0"/>
    <n v="2"/>
    <n v="19154.45"/>
    <s v="Bina Deshmukh"/>
    <n v="20"/>
    <s v="Teenagers"/>
    <s v="Good"/>
    <x v="13"/>
    <s v="Credit Card"/>
    <n v="5"/>
    <s v="Redmi Note 10"/>
    <n v="38308.9"/>
    <s v="Good"/>
    <s v="Low"/>
  </r>
  <r>
    <s v="Radh542582"/>
    <n v="2582"/>
    <n v="11"/>
    <n v="10"/>
    <n v="2023"/>
    <d v="2023-10-11T00:00:00"/>
    <s v="October"/>
    <d v="2028-11-02T00:00:00"/>
    <x v="0"/>
    <n v="9"/>
    <n v="61551.34"/>
    <s v="Radha Sheth"/>
    <n v="54"/>
    <s v="Senior Citezen"/>
    <s v="BAD"/>
    <x v="4"/>
    <s v="UPI"/>
    <n v="2"/>
    <s v="Mi 11"/>
    <n v="553962.05999999994"/>
    <s v="Average"/>
    <s v="Excellent"/>
  </r>
  <r>
    <s v="Bhav502583"/>
    <n v="2583"/>
    <n v="12"/>
    <n v="10"/>
    <n v="2023"/>
    <d v="2023-10-12T00:00:00"/>
    <s v="October"/>
    <d v="2028-11-03T00:00:00"/>
    <x v="1"/>
    <n v="2"/>
    <n v="38052.629999999997"/>
    <s v="Bhavana Malhotra"/>
    <n v="50"/>
    <s v="Senior Citezen"/>
    <s v="Good"/>
    <x v="2"/>
    <s v="UPI"/>
    <n v="4"/>
    <s v="Vivo S1"/>
    <n v="76105.259999999995"/>
    <s v="Good"/>
    <s v="Average"/>
  </r>
  <r>
    <s v="Vija582584"/>
    <n v="2584"/>
    <n v="12"/>
    <n v="10"/>
    <n v="2023"/>
    <d v="2023-10-12T00:00:00"/>
    <s v="October"/>
    <d v="2028-11-04T00:00:00"/>
    <x v="3"/>
    <n v="3"/>
    <n v="34253.199999999997"/>
    <s v="Vijay Singh"/>
    <n v="58"/>
    <s v="Senior Citezen"/>
    <s v="AVG"/>
    <x v="3"/>
    <s v="Credit Card"/>
    <n v="3"/>
    <s v="Galaxy Note 20"/>
    <n v="102759.59999999999"/>
    <s v="Average"/>
    <s v="Good"/>
  </r>
  <r>
    <s v="Radh412585"/>
    <n v="2585"/>
    <n v="12"/>
    <n v="10"/>
    <n v="2023"/>
    <d v="2023-10-12T00:00:00"/>
    <s v="October"/>
    <d v="2028-11-05T00:00:00"/>
    <x v="2"/>
    <n v="2"/>
    <n v="36968.97"/>
    <s v="Radha Sharma"/>
    <n v="41"/>
    <s v="Adult"/>
    <s v="Good"/>
    <x v="12"/>
    <s v="Debit Card"/>
    <n v="4"/>
    <s v="OnePlus 8T"/>
    <n v="73937.94"/>
    <s v="Good"/>
    <s v="Average"/>
  </r>
  <r>
    <s v="Priy252586"/>
    <n v="2586"/>
    <n v="12"/>
    <n v="10"/>
    <n v="2023"/>
    <d v="2023-10-12T00:00:00"/>
    <s v="October"/>
    <d v="2028-11-06T00:00:00"/>
    <x v="3"/>
    <n v="3"/>
    <n v="68315.47"/>
    <s v="Priyanka Yadav"/>
    <n v="25"/>
    <s v="Teenagers"/>
    <s v="Good"/>
    <x v="18"/>
    <s v="UPI"/>
    <n v="4"/>
    <s v="Galaxy Note 20"/>
    <n v="204946.41"/>
    <s v="Good"/>
    <s v="Excellent"/>
  </r>
  <r>
    <s v="Shru522587"/>
    <n v="2587"/>
    <n v="13"/>
    <n v="10"/>
    <n v="2023"/>
    <d v="2023-10-13T00:00:00"/>
    <s v="October"/>
    <d v="2028-11-07T00:00:00"/>
    <x v="3"/>
    <n v="6"/>
    <n v="61016.04"/>
    <s v="Shruti Joshi"/>
    <n v="52"/>
    <s v="Senior Citezen"/>
    <s v="Good"/>
    <x v="15"/>
    <s v="Debit Card"/>
    <n v="4"/>
    <s v="Galaxy Note 20"/>
    <n v="366096.24"/>
    <s v="Good"/>
    <s v="Excellent"/>
  </r>
  <r>
    <s v="Mano192588"/>
    <n v="2588"/>
    <n v="13"/>
    <n v="10"/>
    <n v="2023"/>
    <d v="2023-10-13T00:00:00"/>
    <s v="October"/>
    <d v="2028-11-08T00:00:00"/>
    <x v="3"/>
    <n v="3"/>
    <n v="52382.13"/>
    <s v="Manoj Chatterjee"/>
    <n v="19"/>
    <s v="Teenagers"/>
    <s v="Good"/>
    <x v="2"/>
    <s v="Debit Card"/>
    <n v="5"/>
    <s v="Galaxy Note 20"/>
    <n v="157146.38999999998"/>
    <s v="Good"/>
    <s v="Good"/>
  </r>
  <r>
    <s v="Arun502589"/>
    <n v="2589"/>
    <n v="13"/>
    <n v="10"/>
    <n v="2023"/>
    <d v="2023-10-13T00:00:00"/>
    <s v="October"/>
    <d v="2028-11-09T00:00:00"/>
    <x v="0"/>
    <n v="8"/>
    <n v="27428.74"/>
    <s v="Arun Shah"/>
    <n v="50"/>
    <s v="Senior Citezen"/>
    <s v="Good"/>
    <x v="14"/>
    <s v="Debit Card"/>
    <n v="4"/>
    <s v="Redmi Note 10"/>
    <n v="219429.92"/>
    <s v="Good"/>
    <s v="Excellent"/>
  </r>
  <r>
    <s v="Radh292590"/>
    <n v="2590"/>
    <n v="13"/>
    <n v="10"/>
    <n v="2023"/>
    <d v="2023-10-13T00:00:00"/>
    <s v="October"/>
    <d v="2028-11-10T00:00:00"/>
    <x v="4"/>
    <n v="6"/>
    <n v="19910.38"/>
    <s v="Radha Kumar"/>
    <n v="29"/>
    <s v="Teenagers"/>
    <s v="Good"/>
    <x v="1"/>
    <s v="UPI"/>
    <n v="4"/>
    <s v="iPhone 12"/>
    <n v="119462.28"/>
    <s v="Good"/>
    <s v="Good"/>
  </r>
  <r>
    <s v="Yoge392591"/>
    <n v="2591"/>
    <n v="14"/>
    <n v="10"/>
    <n v="2023"/>
    <d v="2023-10-14T00:00:00"/>
    <s v="October"/>
    <d v="2028-11-11T00:00:00"/>
    <x v="0"/>
    <n v="7"/>
    <n v="65286.02"/>
    <s v="Yogesh Malhotra"/>
    <n v="39"/>
    <s v="Adult"/>
    <s v="BAD"/>
    <x v="1"/>
    <s v="Cash"/>
    <n v="2"/>
    <s v="Redmi Note 10"/>
    <n v="457002.13999999996"/>
    <s v="Average"/>
    <s v="Excellent"/>
  </r>
  <r>
    <s v="Mala302592"/>
    <n v="2592"/>
    <n v="14"/>
    <n v="10"/>
    <n v="2023"/>
    <d v="2023-10-14T00:00:00"/>
    <s v="October"/>
    <d v="2028-11-12T00:00:00"/>
    <x v="0"/>
    <n v="1"/>
    <n v="35384.53"/>
    <s v="Mala Malhotra"/>
    <n v="30"/>
    <s v="Teenagers"/>
    <s v="BAD"/>
    <x v="12"/>
    <s v="UPI"/>
    <n v="2"/>
    <s v="Mi 11"/>
    <n v="35384.53"/>
    <s v="Average"/>
    <s v="Low"/>
  </r>
  <r>
    <s v="Priy272593"/>
    <n v="2593"/>
    <n v="14"/>
    <n v="10"/>
    <n v="2023"/>
    <d v="2023-10-14T00:00:00"/>
    <s v="October"/>
    <d v="2028-11-13T00:00:00"/>
    <x v="3"/>
    <n v="3"/>
    <n v="26725.35"/>
    <s v="Priya Roy"/>
    <n v="27"/>
    <s v="Teenagers"/>
    <s v="Good"/>
    <x v="16"/>
    <s v="Cash"/>
    <n v="5"/>
    <s v="Galaxy S21"/>
    <n v="80176.049999999988"/>
    <s v="Good"/>
    <s v="Average"/>
  </r>
  <r>
    <s v="Pooj342594"/>
    <n v="2594"/>
    <n v="15"/>
    <n v="10"/>
    <n v="2023"/>
    <d v="2023-10-15T00:00:00"/>
    <s v="October"/>
    <d v="2028-11-14T00:00:00"/>
    <x v="0"/>
    <n v="3"/>
    <n v="38255.25"/>
    <s v="Pooja Roy"/>
    <n v="34"/>
    <s v="Adult"/>
    <s v="Good"/>
    <x v="6"/>
    <s v="UPI"/>
    <n v="5"/>
    <s v="Redmi 9"/>
    <n v="114765.75"/>
    <s v="Good"/>
    <s v="Good"/>
  </r>
  <r>
    <s v="Meen222595"/>
    <n v="2595"/>
    <n v="15"/>
    <n v="10"/>
    <n v="2023"/>
    <d v="2023-10-15T00:00:00"/>
    <s v="October"/>
    <d v="2028-11-15T00:00:00"/>
    <x v="3"/>
    <n v="2"/>
    <n v="65070.85"/>
    <s v="Meena Srivastava"/>
    <n v="22"/>
    <s v="Teenagers"/>
    <s v="Good"/>
    <x v="1"/>
    <s v="Cash"/>
    <n v="4"/>
    <s v="Galaxy Note 20"/>
    <n v="130141.7"/>
    <s v="Good"/>
    <s v="Good"/>
  </r>
  <r>
    <s v="Umes262596"/>
    <n v="2596"/>
    <n v="15"/>
    <n v="10"/>
    <n v="2023"/>
    <d v="2023-10-15T00:00:00"/>
    <s v="October"/>
    <d v="2028-11-16T00:00:00"/>
    <x v="4"/>
    <n v="7"/>
    <n v="33224.04"/>
    <s v="Umesh Teja"/>
    <n v="26"/>
    <s v="Teenagers"/>
    <s v="AVG"/>
    <x v="1"/>
    <s v="Cash"/>
    <n v="3"/>
    <s v="iPhone SE"/>
    <n v="232568.28"/>
    <s v="Average"/>
    <s v="Excellent"/>
  </r>
  <r>
    <s v="Amit302597"/>
    <n v="2597"/>
    <n v="15"/>
    <n v="10"/>
    <n v="2023"/>
    <d v="2023-10-15T00:00:00"/>
    <s v="October"/>
    <d v="2028-11-17T00:00:00"/>
    <x v="2"/>
    <n v="9"/>
    <n v="43758.46"/>
    <s v="Amit Patel"/>
    <n v="30"/>
    <s v="Teenagers"/>
    <s v="AVG"/>
    <x v="1"/>
    <s v="UPI"/>
    <n v="3"/>
    <s v="OnePlus 8T"/>
    <n v="393826.14"/>
    <s v="Average"/>
    <s v="Excellent"/>
  </r>
  <r>
    <s v="Lali402598"/>
    <n v="2598"/>
    <n v="16"/>
    <n v="10"/>
    <n v="2023"/>
    <d v="2023-10-16T00:00:00"/>
    <s v="October"/>
    <d v="2028-11-18T00:00:00"/>
    <x v="3"/>
    <n v="4"/>
    <n v="58177.98"/>
    <s v="Lalita Nambiar"/>
    <n v="40"/>
    <s v="Adult"/>
    <s v="Good"/>
    <x v="10"/>
    <s v="Debit Card"/>
    <n v="5"/>
    <s v="Galaxy Note 20"/>
    <n v="232711.92"/>
    <s v="Good"/>
    <s v="Excellent"/>
  </r>
  <r>
    <s v="Kira472599"/>
    <n v="2599"/>
    <n v="16"/>
    <n v="10"/>
    <n v="2023"/>
    <d v="2023-10-16T00:00:00"/>
    <s v="October"/>
    <d v="2028-11-19T00:00:00"/>
    <x v="4"/>
    <n v="5"/>
    <n v="35627.949999999997"/>
    <s v="Kiran Siddiqui"/>
    <n v="47"/>
    <s v="Senior Citezen"/>
    <s v="AVG"/>
    <x v="7"/>
    <s v="Debit Card"/>
    <n v="3"/>
    <s v="iPhone 11"/>
    <n v="178139.75"/>
    <s v="Average"/>
    <s v="Good"/>
  </r>
  <r>
    <s v="Kris212600"/>
    <n v="2600"/>
    <n v="16"/>
    <n v="10"/>
    <n v="2023"/>
    <d v="2023-10-16T00:00:00"/>
    <s v="October"/>
    <d v="2028-11-20T00:00:00"/>
    <x v="2"/>
    <n v="3"/>
    <n v="24012.51"/>
    <s v="Krishna Jain"/>
    <n v="21"/>
    <s v="Teenagers"/>
    <s v="AVG"/>
    <x v="2"/>
    <s v="Cash"/>
    <n v="3"/>
    <s v="OnePlus 8T"/>
    <n v="72037.53"/>
    <s v="Average"/>
    <s v="Average"/>
  </r>
  <r>
    <s v="Kuna382601"/>
    <n v="2601"/>
    <n v="17"/>
    <n v="10"/>
    <n v="2023"/>
    <d v="2023-10-17T00:00:00"/>
    <s v="October"/>
    <d v="2028-11-21T00:00:00"/>
    <x v="1"/>
    <n v="9"/>
    <n v="69671.539999999994"/>
    <s v="Kunal Singh"/>
    <n v="38"/>
    <s v="Adult"/>
    <s v="BAD"/>
    <x v="8"/>
    <s v="Credit Card"/>
    <n v="2"/>
    <s v="Vivo S1"/>
    <n v="627043.86"/>
    <s v="Average"/>
    <s v="Excellent"/>
  </r>
  <r>
    <s v="Priy262602"/>
    <n v="2602"/>
    <n v="17"/>
    <n v="10"/>
    <n v="2023"/>
    <d v="2023-10-17T00:00:00"/>
    <s v="October"/>
    <d v="2028-11-22T00:00:00"/>
    <x v="3"/>
    <n v="4"/>
    <n v="67394.25"/>
    <s v="Priyanka Roy"/>
    <n v="26"/>
    <s v="Teenagers"/>
    <s v="Good"/>
    <x v="1"/>
    <s v="Credit Card"/>
    <n v="5"/>
    <s v="Galaxy Note 20"/>
    <n v="269577"/>
    <s v="Good"/>
    <s v="Excellent"/>
  </r>
  <r>
    <s v="Meen242603"/>
    <n v="2603"/>
    <n v="17"/>
    <n v="10"/>
    <n v="2023"/>
    <d v="2023-10-17T00:00:00"/>
    <s v="October"/>
    <d v="2028-11-23T00:00:00"/>
    <x v="3"/>
    <n v="5"/>
    <n v="60608.75"/>
    <s v="Meena Mathur"/>
    <n v="24"/>
    <s v="Teenagers"/>
    <s v="Good"/>
    <x v="10"/>
    <s v="UPI"/>
    <n v="5"/>
    <s v="Galaxy Note 20"/>
    <n v="303043.75"/>
    <s v="Good"/>
    <s v="Excellent"/>
  </r>
  <r>
    <s v="Kira332604"/>
    <n v="2604"/>
    <n v="18"/>
    <n v="10"/>
    <n v="2023"/>
    <d v="2023-10-18T00:00:00"/>
    <s v="October"/>
    <d v="2028-11-24T00:00:00"/>
    <x v="1"/>
    <n v="1"/>
    <n v="51302.43"/>
    <s v="Kiran Siddiqui"/>
    <n v="33"/>
    <s v="Adult"/>
    <s v="BAD"/>
    <x v="8"/>
    <s v="UPI"/>
    <n v="2"/>
    <s v="Vivo V20"/>
    <n v="51302.43"/>
    <s v="Average"/>
    <s v="Average"/>
  </r>
  <r>
    <s v="Meen402605"/>
    <n v="2605"/>
    <n v="18"/>
    <n v="10"/>
    <n v="2023"/>
    <d v="2023-10-18T00:00:00"/>
    <s v="October"/>
    <d v="2028-11-25T00:00:00"/>
    <x v="1"/>
    <n v="2"/>
    <n v="27691.94"/>
    <s v="Meena Malhotra"/>
    <n v="40"/>
    <s v="Adult"/>
    <s v="AVG"/>
    <x v="9"/>
    <s v="UPI"/>
    <n v="3"/>
    <s v="Vivo Y51"/>
    <n v="55383.88"/>
    <s v="Average"/>
    <s v="Average"/>
  </r>
  <r>
    <s v="Kris402606"/>
    <n v="2606"/>
    <n v="18"/>
    <n v="10"/>
    <n v="2023"/>
    <d v="2023-10-18T00:00:00"/>
    <s v="October"/>
    <d v="2028-11-26T00:00:00"/>
    <x v="3"/>
    <n v="9"/>
    <n v="64804.78"/>
    <s v="Krishna Bhatnagar"/>
    <n v="40"/>
    <s v="Adult"/>
    <s v="AVG"/>
    <x v="9"/>
    <s v="Credit Card"/>
    <n v="3"/>
    <s v="Galaxy Note 20"/>
    <n v="583243.02"/>
    <s v="Average"/>
    <s v="Excellent"/>
  </r>
  <r>
    <s v="Pras482607"/>
    <n v="2607"/>
    <n v="18"/>
    <n v="10"/>
    <n v="2023"/>
    <d v="2023-10-18T00:00:00"/>
    <s v="October"/>
    <d v="2028-11-27T00:00:00"/>
    <x v="1"/>
    <n v="2"/>
    <n v="26533.4"/>
    <s v="Prashant Sharma"/>
    <n v="48"/>
    <s v="Senior Citezen"/>
    <s v="Good"/>
    <x v="1"/>
    <s v="Debit Card"/>
    <n v="5"/>
    <s v="Vivo Y51"/>
    <n v="53066.8"/>
    <s v="Good"/>
    <s v="Average"/>
  </r>
  <r>
    <s v="Mano222608"/>
    <n v="2608"/>
    <n v="19"/>
    <n v="10"/>
    <n v="2023"/>
    <d v="2023-10-19T00:00:00"/>
    <s v="October"/>
    <d v="2028-11-28T00:00:00"/>
    <x v="0"/>
    <n v="5"/>
    <n v="58048.57"/>
    <s v="Manoj Nambiar"/>
    <n v="22"/>
    <s v="Teenagers"/>
    <s v="AVG"/>
    <x v="5"/>
    <s v="UPI"/>
    <n v="3"/>
    <s v="Mi 11"/>
    <n v="290242.84999999998"/>
    <s v="Average"/>
    <s v="Excellent"/>
  </r>
  <r>
    <s v="Sumi232609"/>
    <n v="2609"/>
    <n v="19"/>
    <n v="10"/>
    <n v="2023"/>
    <d v="2023-10-19T00:00:00"/>
    <s v="October"/>
    <d v="2028-11-29T00:00:00"/>
    <x v="2"/>
    <n v="8"/>
    <n v="65095.49"/>
    <s v="Sumit Alva"/>
    <n v="23"/>
    <s v="Teenagers"/>
    <s v="Good"/>
    <x v="1"/>
    <s v="UPI"/>
    <n v="5"/>
    <s v="OnePlus 8T"/>
    <n v="520763.92"/>
    <s v="Good"/>
    <s v="Excellent"/>
  </r>
  <r>
    <s v="Suni182610"/>
    <n v="2610"/>
    <n v="19"/>
    <n v="10"/>
    <n v="2023"/>
    <d v="2023-10-19T00:00:00"/>
    <s v="October"/>
    <d v="2028-11-30T00:00:00"/>
    <x v="2"/>
    <n v="3"/>
    <n v="46180.23"/>
    <s v="Sunita Nair"/>
    <n v="18"/>
    <s v="Teenagers"/>
    <s v="AVG"/>
    <x v="1"/>
    <s v="Debit Card"/>
    <n v="3"/>
    <s v="OnePlus 8T"/>
    <n v="138540.69"/>
    <s v="Average"/>
    <s v="Good"/>
  </r>
  <r>
    <s v="Bhav452611"/>
    <n v="2611"/>
    <n v="20"/>
    <n v="10"/>
    <n v="2023"/>
    <d v="2023-10-20T00:00:00"/>
    <s v="October"/>
    <d v="2028-12-01T00:00:00"/>
    <x v="2"/>
    <n v="6"/>
    <n v="58183.37"/>
    <s v="Bhavana Dutta"/>
    <n v="45"/>
    <s v="Adult"/>
    <s v="Good"/>
    <x v="4"/>
    <s v="Cash"/>
    <n v="4"/>
    <s v="OnePlus Nord"/>
    <n v="349100.22000000003"/>
    <s v="Good"/>
    <s v="Excellent"/>
  </r>
  <r>
    <s v="Bhav352612"/>
    <n v="2612"/>
    <n v="20"/>
    <n v="10"/>
    <n v="2023"/>
    <d v="2023-10-20T00:00:00"/>
    <s v="October"/>
    <d v="2028-12-02T00:00:00"/>
    <x v="0"/>
    <n v="4"/>
    <n v="57501.71"/>
    <s v="Bhavana Reddy"/>
    <n v="35"/>
    <s v="Adult"/>
    <s v="BAD"/>
    <x v="1"/>
    <s v="UPI"/>
    <n v="2"/>
    <s v="Redmi 9"/>
    <n v="230006.84"/>
    <s v="Average"/>
    <s v="Excellent"/>
  </r>
  <r>
    <s v="Umes412613"/>
    <n v="2613"/>
    <n v="20"/>
    <n v="10"/>
    <n v="2023"/>
    <d v="2023-10-20T00:00:00"/>
    <s v="October"/>
    <d v="2028-12-03T00:00:00"/>
    <x v="1"/>
    <n v="7"/>
    <n v="21589.47"/>
    <s v="Umesh Bhattacharya"/>
    <n v="41"/>
    <s v="Adult"/>
    <s v="Good"/>
    <x v="2"/>
    <s v="Credit Card"/>
    <n v="5"/>
    <s v="Vivo Y51"/>
    <n v="151126.29"/>
    <s v="Good"/>
    <s v="Good"/>
  </r>
  <r>
    <s v="Mano302614"/>
    <n v="2614"/>
    <n v="20"/>
    <n v="10"/>
    <n v="2023"/>
    <d v="2023-10-20T00:00:00"/>
    <s v="October"/>
    <d v="2028-12-04T00:00:00"/>
    <x v="4"/>
    <n v="3"/>
    <n v="50075.47"/>
    <s v="Manoj Dutta"/>
    <n v="30"/>
    <s v="Teenagers"/>
    <s v="Good"/>
    <x v="2"/>
    <s v="Credit Card"/>
    <n v="4"/>
    <s v="iPhone SE"/>
    <n v="150226.41"/>
    <s v="Good"/>
    <s v="Good"/>
  </r>
  <r>
    <s v="Yoge502615"/>
    <n v="2615"/>
    <n v="21"/>
    <n v="10"/>
    <n v="2023"/>
    <d v="2023-10-21T00:00:00"/>
    <s v="October"/>
    <d v="2028-12-05T00:00:00"/>
    <x v="1"/>
    <n v="6"/>
    <n v="15608.08"/>
    <s v="Yogesh Dutta"/>
    <n v="50"/>
    <s v="Senior Citezen"/>
    <s v="AVG"/>
    <x v="2"/>
    <s v="UPI"/>
    <n v="3"/>
    <s v="Vivo V20"/>
    <n v="93648.48"/>
    <s v="Average"/>
    <s v="Average"/>
  </r>
  <r>
    <s v="Vive272616"/>
    <n v="2616"/>
    <n v="21"/>
    <n v="10"/>
    <n v="2023"/>
    <d v="2023-10-21T00:00:00"/>
    <s v="October"/>
    <d v="2028-12-06T00:00:00"/>
    <x v="3"/>
    <n v="9"/>
    <n v="40471.01"/>
    <s v="Vivek Rathod"/>
    <n v="27"/>
    <s v="Teenagers"/>
    <s v="Good"/>
    <x v="1"/>
    <s v="Credit Card"/>
    <n v="5"/>
    <s v="Galaxy S21"/>
    <n v="364239.09"/>
    <s v="Good"/>
    <s v="Excellent"/>
  </r>
  <r>
    <s v="Sach242617"/>
    <n v="2617"/>
    <n v="21"/>
    <n v="10"/>
    <n v="2023"/>
    <d v="2023-10-21T00:00:00"/>
    <s v="October"/>
    <d v="2028-12-07T00:00:00"/>
    <x v="2"/>
    <n v="1"/>
    <n v="19734.13"/>
    <s v="Sachin Malhotra"/>
    <n v="24"/>
    <s v="Teenagers"/>
    <s v="Good"/>
    <x v="3"/>
    <s v="Debit Card"/>
    <n v="4"/>
    <s v="OnePlus 8T"/>
    <n v="19734.13"/>
    <s v="Good"/>
    <s v="Low"/>
  </r>
  <r>
    <s v="Tapa542618"/>
    <n v="2618"/>
    <n v="21"/>
    <n v="10"/>
    <n v="2023"/>
    <d v="2023-10-21T00:00:00"/>
    <s v="October"/>
    <d v="2028-12-08T00:00:00"/>
    <x v="1"/>
    <n v="3"/>
    <n v="34980.97"/>
    <s v="Tapan Kumar"/>
    <n v="54"/>
    <s v="Senior Citezen"/>
    <s v="BAD"/>
    <x v="1"/>
    <s v="Cash"/>
    <n v="2"/>
    <s v="Vivo Y51"/>
    <n v="104942.91"/>
    <s v="Average"/>
    <s v="Good"/>
  </r>
  <r>
    <s v="Yoge492619"/>
    <n v="2619"/>
    <n v="22"/>
    <n v="10"/>
    <n v="2023"/>
    <d v="2023-10-22T00:00:00"/>
    <s v="October"/>
    <d v="2028-12-09T00:00:00"/>
    <x v="4"/>
    <n v="2"/>
    <n v="59978.92"/>
    <s v="Yogesh Menon"/>
    <n v="49"/>
    <s v="Senior Citezen"/>
    <s v="Good"/>
    <x v="13"/>
    <s v="Cash"/>
    <n v="5"/>
    <s v="iPhone SE"/>
    <n v="119957.84"/>
    <s v="Good"/>
    <s v="Good"/>
  </r>
  <r>
    <s v="Bina392620"/>
    <n v="2620"/>
    <n v="22"/>
    <n v="10"/>
    <n v="2023"/>
    <d v="2023-10-22T00:00:00"/>
    <s v="October"/>
    <d v="2028-12-10T00:00:00"/>
    <x v="3"/>
    <n v="8"/>
    <n v="69230.070000000007"/>
    <s v="Bina Teja"/>
    <n v="39"/>
    <s v="Adult"/>
    <s v="Good"/>
    <x v="17"/>
    <s v="UPI"/>
    <n v="5"/>
    <s v="Galaxy S21"/>
    <n v="553840.56000000006"/>
    <s v="Good"/>
    <s v="Excellent"/>
  </r>
  <r>
    <s v="Reen332621"/>
    <n v="2621"/>
    <n v="22"/>
    <n v="10"/>
    <n v="2023"/>
    <d v="2023-10-22T00:00:00"/>
    <s v="October"/>
    <d v="2028-12-11T00:00:00"/>
    <x v="0"/>
    <n v="7"/>
    <n v="29077.59"/>
    <s v="Reena Menon"/>
    <n v="33"/>
    <s v="Adult"/>
    <s v="BAD"/>
    <x v="1"/>
    <s v="UPI"/>
    <n v="2"/>
    <s v="Mi 11"/>
    <n v="203543.13"/>
    <s v="Average"/>
    <s v="Excellent"/>
  </r>
  <r>
    <s v="Adit412622"/>
    <n v="2622"/>
    <n v="23"/>
    <n v="10"/>
    <n v="2023"/>
    <d v="2023-10-23T00:00:00"/>
    <s v="October"/>
    <d v="2028-12-12T00:00:00"/>
    <x v="0"/>
    <n v="2"/>
    <n v="41917.339999999997"/>
    <s v="Aditya Sheth"/>
    <n v="41"/>
    <s v="Adult"/>
    <s v="Good"/>
    <x v="16"/>
    <s v="Cash"/>
    <n v="4"/>
    <s v="Redmi Note 10"/>
    <n v="83834.679999999993"/>
    <s v="Good"/>
    <s v="Average"/>
  </r>
  <r>
    <s v="Anja312623"/>
    <n v="2623"/>
    <n v="23"/>
    <n v="10"/>
    <n v="2023"/>
    <d v="2023-10-23T00:00:00"/>
    <s v="October"/>
    <d v="2028-12-13T00:00:00"/>
    <x v="4"/>
    <n v="6"/>
    <n v="40677.879999999997"/>
    <s v="Anjali Das"/>
    <n v="31"/>
    <s v="Adult"/>
    <s v="Good"/>
    <x v="5"/>
    <s v="Cash"/>
    <n v="5"/>
    <s v="iPhone SE"/>
    <n v="244067.27999999997"/>
    <s v="Good"/>
    <s v="Excellent"/>
  </r>
  <r>
    <s v="Roha282624"/>
    <n v="2624"/>
    <n v="23"/>
    <n v="10"/>
    <n v="2023"/>
    <d v="2023-10-23T00:00:00"/>
    <s v="October"/>
    <d v="2028-12-14T00:00:00"/>
    <x v="3"/>
    <n v="3"/>
    <n v="67264.09"/>
    <s v="Rohan Rao"/>
    <n v="28"/>
    <s v="Teenagers"/>
    <s v="BAD"/>
    <x v="2"/>
    <s v="UPI"/>
    <n v="2"/>
    <s v="Galaxy Note 20"/>
    <n v="201792.27"/>
    <s v="Average"/>
    <s v="Excellent"/>
  </r>
  <r>
    <s v="Tapa362625"/>
    <n v="2625"/>
    <n v="24"/>
    <n v="10"/>
    <n v="2023"/>
    <d v="2023-10-24T00:00:00"/>
    <s v="October"/>
    <d v="2028-12-15T00:00:00"/>
    <x v="2"/>
    <n v="8"/>
    <n v="38715.019999999997"/>
    <s v="Tapan Deshmukh"/>
    <n v="36"/>
    <s v="Adult"/>
    <s v="Good"/>
    <x v="1"/>
    <s v="Credit Card"/>
    <n v="4"/>
    <s v="OnePlus 8T"/>
    <n v="309720.15999999997"/>
    <s v="Good"/>
    <s v="Excellent"/>
  </r>
  <r>
    <s v="Raje402626"/>
    <n v="2626"/>
    <n v="24"/>
    <n v="10"/>
    <n v="2023"/>
    <d v="2023-10-24T00:00:00"/>
    <s v="October"/>
    <d v="2028-12-16T00:00:00"/>
    <x v="1"/>
    <n v="3"/>
    <n v="51946.37"/>
    <s v="Rajesh Prasad"/>
    <n v="40"/>
    <s v="Adult"/>
    <s v="AVG"/>
    <x v="2"/>
    <s v="UPI"/>
    <n v="3"/>
    <s v="Vivo Y51"/>
    <n v="155839.11000000002"/>
    <s v="Average"/>
    <s v="Good"/>
  </r>
  <r>
    <s v="Anan512627"/>
    <n v="2627"/>
    <n v="24"/>
    <n v="10"/>
    <n v="2023"/>
    <d v="2023-10-24T00:00:00"/>
    <s v="October"/>
    <d v="2028-12-17T00:00:00"/>
    <x v="3"/>
    <n v="9"/>
    <n v="65307.35"/>
    <s v="Anand Nair"/>
    <n v="51"/>
    <s v="Senior Citezen"/>
    <s v="Good"/>
    <x v="10"/>
    <s v="Debit Card"/>
    <n v="5"/>
    <s v="Galaxy S21"/>
    <n v="587766.15"/>
    <s v="Good"/>
    <s v="Excellent"/>
  </r>
  <r>
    <s v="Umes572628"/>
    <n v="2628"/>
    <n v="24"/>
    <n v="10"/>
    <n v="2023"/>
    <d v="2023-10-24T00:00:00"/>
    <s v="October"/>
    <d v="2028-12-18T00:00:00"/>
    <x v="0"/>
    <n v="1"/>
    <n v="32402.71"/>
    <s v="Umesh Srivastava"/>
    <n v="57"/>
    <s v="Senior Citezen"/>
    <s v="AVG"/>
    <x v="18"/>
    <s v="UPI"/>
    <n v="3"/>
    <s v="Redmi 9"/>
    <n v="32402.71"/>
    <s v="Average"/>
    <s v="Low"/>
  </r>
  <r>
    <s v="Mano302629"/>
    <n v="2629"/>
    <n v="25"/>
    <n v="10"/>
    <n v="2023"/>
    <d v="2023-10-25T00:00:00"/>
    <s v="October"/>
    <d v="2028-12-19T00:00:00"/>
    <x v="4"/>
    <n v="5"/>
    <n v="64127.33"/>
    <s v="Manoj Dutta"/>
    <n v="30"/>
    <s v="Teenagers"/>
    <s v="AVG"/>
    <x v="0"/>
    <s v="UPI"/>
    <n v="3"/>
    <s v="iPhone 12"/>
    <n v="320636.65000000002"/>
    <s v="Average"/>
    <s v="Excellent"/>
  </r>
  <r>
    <s v="Kris562630"/>
    <n v="2630"/>
    <n v="25"/>
    <n v="10"/>
    <n v="2023"/>
    <d v="2023-10-25T00:00:00"/>
    <s v="October"/>
    <d v="2028-12-20T00:00:00"/>
    <x v="4"/>
    <n v="3"/>
    <n v="65047.37"/>
    <s v="Krishna Roy"/>
    <n v="56"/>
    <s v="Senior Citezen"/>
    <s v="Good"/>
    <x v="18"/>
    <s v="UPI"/>
    <n v="5"/>
    <s v="iPhone 12"/>
    <n v="195142.11000000002"/>
    <s v="Good"/>
    <s v="Good"/>
  </r>
  <r>
    <s v="Jyot452631"/>
    <n v="2631"/>
    <n v="25"/>
    <n v="10"/>
    <n v="2023"/>
    <d v="2023-10-25T00:00:00"/>
    <s v="October"/>
    <d v="2028-12-21T00:00:00"/>
    <x v="1"/>
    <n v="6"/>
    <n v="65839.75"/>
    <s v="Jyoti Jain"/>
    <n v="45"/>
    <s v="Adult"/>
    <s v="AVG"/>
    <x v="2"/>
    <s v="UPI"/>
    <n v="3"/>
    <s v="Vivo Y51"/>
    <n v="395038.5"/>
    <s v="Average"/>
    <s v="Excellent"/>
  </r>
  <r>
    <s v="Priy572632"/>
    <n v="2632"/>
    <n v="26"/>
    <n v="10"/>
    <n v="2023"/>
    <d v="2023-10-26T00:00:00"/>
    <s v="October"/>
    <d v="2028-12-22T00:00:00"/>
    <x v="4"/>
    <n v="2"/>
    <n v="26226.77"/>
    <s v="Priya Roy"/>
    <n v="57"/>
    <s v="Senior Citezen"/>
    <s v="AVG"/>
    <x v="1"/>
    <s v="UPI"/>
    <n v="3"/>
    <s v="iPhone SE"/>
    <n v="52453.54"/>
    <s v="Average"/>
    <s v="Average"/>
  </r>
  <r>
    <s v="Lata332633"/>
    <n v="2633"/>
    <n v="26"/>
    <n v="10"/>
    <n v="2023"/>
    <d v="2023-10-26T00:00:00"/>
    <s v="October"/>
    <d v="2028-12-23T00:00:00"/>
    <x v="4"/>
    <n v="9"/>
    <n v="34021.339999999997"/>
    <s v="Lata Patel"/>
    <n v="33"/>
    <s v="Adult"/>
    <s v="BAD"/>
    <x v="8"/>
    <s v="UPI"/>
    <n v="2"/>
    <s v="iPhone SE"/>
    <n v="306192.05999999994"/>
    <s v="Average"/>
    <s v="Excellent"/>
  </r>
  <r>
    <s v="Pooj452634"/>
    <n v="2634"/>
    <n v="26"/>
    <n v="10"/>
    <n v="2023"/>
    <d v="2023-10-26T00:00:00"/>
    <s v="October"/>
    <d v="2028-12-24T00:00:00"/>
    <x v="3"/>
    <n v="6"/>
    <n v="62223.75"/>
    <s v="Pooja Ahuja"/>
    <n v="45"/>
    <s v="Adult"/>
    <s v="BAD"/>
    <x v="1"/>
    <s v="Credit Card"/>
    <n v="2"/>
    <s v="Galaxy Note 20"/>
    <n v="373342.5"/>
    <s v="Average"/>
    <s v="Excellent"/>
  </r>
  <r>
    <s v="Nami212635"/>
    <n v="2635"/>
    <n v="27"/>
    <n v="10"/>
    <n v="2023"/>
    <d v="2023-10-27T00:00:00"/>
    <s v="October"/>
    <d v="2028-12-25T00:00:00"/>
    <x v="2"/>
    <n v="7"/>
    <n v="31549.71"/>
    <s v="Namita Rao"/>
    <n v="21"/>
    <s v="Teenagers"/>
    <s v="Good"/>
    <x v="16"/>
    <s v="UPI"/>
    <n v="4"/>
    <s v="OnePlus Nord"/>
    <n v="220847.97"/>
    <s v="Good"/>
    <s v="Excellent"/>
  </r>
  <r>
    <s v="Kira452636"/>
    <n v="2636"/>
    <n v="27"/>
    <n v="10"/>
    <n v="2023"/>
    <d v="2023-10-27T00:00:00"/>
    <s v="October"/>
    <d v="2028-12-26T00:00:00"/>
    <x v="1"/>
    <n v="5"/>
    <n v="46015.18"/>
    <s v="Kiran Alva"/>
    <n v="45"/>
    <s v="Adult"/>
    <s v="Good"/>
    <x v="13"/>
    <s v="Cash"/>
    <n v="5"/>
    <s v="Vivo Y51"/>
    <n v="230075.9"/>
    <s v="Good"/>
    <s v="Excellent"/>
  </r>
  <r>
    <s v="Moni292637"/>
    <n v="2637"/>
    <n v="27"/>
    <n v="10"/>
    <n v="2023"/>
    <d v="2023-10-27T00:00:00"/>
    <s v="October"/>
    <d v="2028-12-27T00:00:00"/>
    <x v="3"/>
    <n v="9"/>
    <n v="17083.27"/>
    <s v="Monika Solanki"/>
    <n v="29"/>
    <s v="Teenagers"/>
    <s v="Good"/>
    <x v="15"/>
    <s v="UPI"/>
    <n v="4"/>
    <s v="Galaxy Note 20"/>
    <n v="153749.43"/>
    <s v="Good"/>
    <s v="Good"/>
  </r>
  <r>
    <s v="Neet332638"/>
    <n v="2638"/>
    <n v="28"/>
    <n v="10"/>
    <n v="2023"/>
    <d v="2023-10-28T00:00:00"/>
    <s v="October"/>
    <d v="2028-12-28T00:00:00"/>
    <x v="2"/>
    <n v="1"/>
    <n v="13376.5"/>
    <s v="Neeta Solanki"/>
    <n v="33"/>
    <s v="Adult"/>
    <s v="BAD"/>
    <x v="7"/>
    <s v="Credit Card"/>
    <n v="2"/>
    <s v="OnePlus Nord"/>
    <n v="13376.5"/>
    <s v="Average"/>
    <s v="Low"/>
  </r>
  <r>
    <s v="Anit532639"/>
    <n v="2639"/>
    <n v="28"/>
    <n v="10"/>
    <n v="2023"/>
    <d v="2023-10-28T00:00:00"/>
    <s v="October"/>
    <d v="2028-12-29T00:00:00"/>
    <x v="3"/>
    <n v="5"/>
    <n v="34719.64"/>
    <s v="Anita Arora"/>
    <n v="53"/>
    <s v="Senior Citezen"/>
    <s v="BAD"/>
    <x v="0"/>
    <s v="Debit Card"/>
    <n v="2"/>
    <s v="Galaxy A51"/>
    <n v="173598.2"/>
    <s v="Average"/>
    <s v="Good"/>
  </r>
  <r>
    <s v="Ayes372640"/>
    <n v="2640"/>
    <n v="28"/>
    <n v="10"/>
    <n v="2023"/>
    <d v="2023-10-28T00:00:00"/>
    <s v="October"/>
    <d v="2028-12-30T00:00:00"/>
    <x v="3"/>
    <n v="6"/>
    <n v="44734.99"/>
    <s v="Ayesha Menon"/>
    <n v="37"/>
    <s v="Adult"/>
    <s v="Good"/>
    <x v="7"/>
    <s v="Cash"/>
    <n v="5"/>
    <s v="Galaxy A51"/>
    <n v="268409.94"/>
    <s v="Good"/>
    <s v="Excellent"/>
  </r>
  <r>
    <s v="Vija432641"/>
    <n v="2641"/>
    <n v="28"/>
    <n v="10"/>
    <n v="2023"/>
    <d v="2023-10-28T00:00:00"/>
    <s v="October"/>
    <d v="2028-12-31T00:00:00"/>
    <x v="4"/>
    <n v="7"/>
    <n v="33561.949999999997"/>
    <s v="Vijay Malhotra"/>
    <n v="43"/>
    <s v="Adult"/>
    <s v="Good"/>
    <x v="2"/>
    <s v="UPI"/>
    <n v="5"/>
    <s v="iPhone SE"/>
    <n v="234933.64999999997"/>
    <s v="Good"/>
    <s v="Excellent"/>
  </r>
  <r>
    <s v="Suni432642"/>
    <n v="2642"/>
    <n v="29"/>
    <n v="10"/>
    <n v="2023"/>
    <d v="2023-10-29T00:00:00"/>
    <s v="October"/>
    <d v="2029-01-01T00:00:00"/>
    <x v="2"/>
    <n v="4"/>
    <n v="44664.15"/>
    <s v="Sunil Siddiqui"/>
    <n v="43"/>
    <s v="Adult"/>
    <s v="BAD"/>
    <x v="18"/>
    <s v="UPI"/>
    <n v="2"/>
    <s v="OnePlus 9"/>
    <n v="178656.6"/>
    <s v="Average"/>
    <s v="Good"/>
  </r>
  <r>
    <s v="Radh392643"/>
    <n v="2643"/>
    <n v="29"/>
    <n v="10"/>
    <n v="2023"/>
    <d v="2023-10-29T00:00:00"/>
    <s v="October"/>
    <d v="2029-01-02T00:00:00"/>
    <x v="1"/>
    <n v="1"/>
    <n v="40905.06"/>
    <s v="Radha Dutta"/>
    <n v="39"/>
    <s v="Adult"/>
    <s v="AVG"/>
    <x v="17"/>
    <s v="Cash"/>
    <n v="3"/>
    <s v="Vivo Y51"/>
    <n v="40905.06"/>
    <s v="Average"/>
    <s v="Low"/>
  </r>
  <r>
    <s v="Radh262644"/>
    <n v="2644"/>
    <n v="29"/>
    <n v="10"/>
    <n v="2023"/>
    <d v="2023-10-29T00:00:00"/>
    <s v="October"/>
    <d v="2029-01-03T00:00:00"/>
    <x v="1"/>
    <n v="8"/>
    <n v="51142.43"/>
    <s v="Radha Varma"/>
    <n v="26"/>
    <s v="Teenagers"/>
    <s v="Good"/>
    <x v="9"/>
    <s v="UPI"/>
    <n v="4"/>
    <s v="Vivo Y51"/>
    <n v="409139.44"/>
    <s v="Good"/>
    <s v="Excellent"/>
  </r>
  <r>
    <s v="Reen222645"/>
    <n v="2645"/>
    <n v="29"/>
    <n v="10"/>
    <n v="2023"/>
    <d v="2023-10-29T00:00:00"/>
    <s v="October"/>
    <d v="2029-01-04T00:00:00"/>
    <x v="2"/>
    <n v="4"/>
    <n v="48971.95"/>
    <s v="Reena Deshmukh"/>
    <n v="22"/>
    <s v="Teenagers"/>
    <s v="BAD"/>
    <x v="5"/>
    <s v="Credit Card"/>
    <n v="2"/>
    <s v="OnePlus 8T"/>
    <n v="195887.8"/>
    <s v="Average"/>
    <s v="Good"/>
  </r>
  <r>
    <s v="Vino342646"/>
    <n v="2646"/>
    <n v="30"/>
    <n v="10"/>
    <n v="2023"/>
    <d v="2023-10-30T00:00:00"/>
    <s v="October"/>
    <d v="2029-01-05T00:00:00"/>
    <x v="4"/>
    <n v="3"/>
    <n v="35454.74"/>
    <s v="Vinod Chatterjee"/>
    <n v="34"/>
    <s v="Adult"/>
    <s v="BAD"/>
    <x v="2"/>
    <s v="UPI"/>
    <n v="2"/>
    <s v="iPhone 11"/>
    <n v="106364.22"/>
    <s v="Average"/>
    <s v="Good"/>
  </r>
  <r>
    <s v="Rame512647"/>
    <n v="2647"/>
    <n v="30"/>
    <n v="10"/>
    <n v="2023"/>
    <d v="2023-10-30T00:00:00"/>
    <s v="October"/>
    <d v="2029-01-06T00:00:00"/>
    <x v="0"/>
    <n v="7"/>
    <n v="35499.71"/>
    <s v="Ramesh Joshi"/>
    <n v="51"/>
    <s v="Senior Citezen"/>
    <s v="Good"/>
    <x v="1"/>
    <s v="Debit Card"/>
    <n v="5"/>
    <s v="Redmi Note 10"/>
    <n v="248497.97"/>
    <s v="Good"/>
    <s v="Excellent"/>
  </r>
  <r>
    <s v="Vino192648"/>
    <n v="2648"/>
    <n v="30"/>
    <n v="10"/>
    <n v="2023"/>
    <d v="2023-10-30T00:00:00"/>
    <s v="October"/>
    <d v="2029-01-07T00:00:00"/>
    <x v="3"/>
    <n v="2"/>
    <n v="18446.7"/>
    <s v="Vinod Srivastava"/>
    <n v="19"/>
    <s v="Teenagers"/>
    <s v="Good"/>
    <x v="1"/>
    <s v="Credit Card"/>
    <n v="4"/>
    <s v="Galaxy A51"/>
    <n v="36893.4"/>
    <s v="Good"/>
    <s v="Low"/>
  </r>
  <r>
    <s v="Meen242649"/>
    <n v="2649"/>
    <n v="31"/>
    <n v="10"/>
    <n v="2023"/>
    <d v="2023-10-31T00:00:00"/>
    <s v="October"/>
    <d v="2029-01-08T00:00:00"/>
    <x v="4"/>
    <n v="8"/>
    <n v="40794.31"/>
    <s v="Meena Das"/>
    <n v="24"/>
    <s v="Teenagers"/>
    <s v="Good"/>
    <x v="2"/>
    <s v="UPI"/>
    <n v="4"/>
    <s v="iPhone SE"/>
    <n v="326354.48"/>
    <s v="Good"/>
    <s v="Excellent"/>
  </r>
  <r>
    <s v="Lali532650"/>
    <n v="2650"/>
    <n v="31"/>
    <n v="10"/>
    <n v="2023"/>
    <d v="2023-10-31T00:00:00"/>
    <s v="October"/>
    <d v="2029-01-09T00:00:00"/>
    <x v="2"/>
    <n v="6"/>
    <n v="45230.75"/>
    <s v="Lalita Desai"/>
    <n v="53"/>
    <s v="Senior Citezen"/>
    <s v="Good"/>
    <x v="18"/>
    <s v="Debit Card"/>
    <n v="5"/>
    <s v="OnePlus Nord"/>
    <n v="271384.5"/>
    <s v="Good"/>
    <s v="Excellent"/>
  </r>
  <r>
    <s v="Raje302651"/>
    <n v="2651"/>
    <n v="31"/>
    <n v="10"/>
    <n v="2023"/>
    <d v="2023-10-31T00:00:00"/>
    <s v="October"/>
    <d v="2029-01-10T00:00:00"/>
    <x v="3"/>
    <n v="7"/>
    <n v="38589.360000000001"/>
    <s v="Rajesh Nambiar"/>
    <n v="30"/>
    <s v="Teenagers"/>
    <s v="BAD"/>
    <x v="2"/>
    <s v="Cash"/>
    <n v="2"/>
    <s v="Galaxy Note 20"/>
    <n v="270125.52"/>
    <s v="Average"/>
    <s v="Excellent"/>
  </r>
  <r>
    <s v="Meen372652"/>
    <n v="2652"/>
    <n v="31"/>
    <n v="10"/>
    <n v="2023"/>
    <d v="2023-10-31T00:00:00"/>
    <s v="October"/>
    <d v="2029-01-11T00:00:00"/>
    <x v="1"/>
    <n v="5"/>
    <n v="29542.44"/>
    <s v="Meena Yadav"/>
    <n v="37"/>
    <s v="Adult"/>
    <s v="Good"/>
    <x v="6"/>
    <s v="Credit Card"/>
    <n v="5"/>
    <s v="Vivo V20"/>
    <n v="147712.19999999998"/>
    <s v="Good"/>
    <s v="Good"/>
  </r>
  <r>
    <s v="Ravi472653"/>
    <n v="2653"/>
    <n v="1"/>
    <n v="11"/>
    <n v="2023"/>
    <d v="2023-11-01T00:00:00"/>
    <s v="November"/>
    <d v="2029-01-12T00:00:00"/>
    <x v="0"/>
    <n v="9"/>
    <n v="53298.91"/>
    <s v="Ravi Patel"/>
    <n v="47"/>
    <s v="Senior Citezen"/>
    <s v="Good"/>
    <x v="11"/>
    <s v="UPI"/>
    <n v="5"/>
    <s v="Redmi Note 10"/>
    <n v="479690.19000000006"/>
    <s v="Good"/>
    <s v="Excellent"/>
  </r>
  <r>
    <s v="Lali472654"/>
    <n v="2654"/>
    <n v="1"/>
    <n v="11"/>
    <n v="2023"/>
    <d v="2023-11-01T00:00:00"/>
    <s v="November"/>
    <d v="2029-01-13T00:00:00"/>
    <x v="1"/>
    <n v="5"/>
    <n v="14479.7"/>
    <s v="Lalita Dutta"/>
    <n v="47"/>
    <s v="Senior Citezen"/>
    <s v="Good"/>
    <x v="1"/>
    <s v="UPI"/>
    <n v="5"/>
    <s v="Vivo S1"/>
    <n v="72398.5"/>
    <s v="Good"/>
    <s v="Average"/>
  </r>
  <r>
    <s v="Ravi282655"/>
    <n v="2655"/>
    <n v="1"/>
    <n v="11"/>
    <n v="2023"/>
    <d v="2023-11-01T00:00:00"/>
    <s v="November"/>
    <d v="2029-01-14T00:00:00"/>
    <x v="2"/>
    <n v="5"/>
    <n v="64866.42"/>
    <s v="Ravi Prasad"/>
    <n v="28"/>
    <s v="Teenagers"/>
    <s v="AVG"/>
    <x v="10"/>
    <s v="Cash"/>
    <n v="3"/>
    <s v="OnePlus 8T"/>
    <n v="324332.09999999998"/>
    <s v="Average"/>
    <s v="Excellent"/>
  </r>
  <r>
    <s v="Shru482656"/>
    <n v="2656"/>
    <n v="1"/>
    <n v="11"/>
    <n v="2023"/>
    <d v="2023-11-01T00:00:00"/>
    <s v="November"/>
    <d v="2029-01-15T00:00:00"/>
    <x v="3"/>
    <n v="3"/>
    <n v="11238.61"/>
    <s v="Shruti Menon"/>
    <n v="48"/>
    <s v="Senior Citezen"/>
    <s v="BAD"/>
    <x v="2"/>
    <s v="Cash"/>
    <n v="2"/>
    <s v="Galaxy A51"/>
    <n v="33715.83"/>
    <s v="Average"/>
    <s v="Low"/>
  </r>
  <r>
    <s v="Sneh202657"/>
    <n v="2657"/>
    <n v="2"/>
    <n v="11"/>
    <n v="2023"/>
    <d v="2023-11-02T00:00:00"/>
    <s v="November"/>
    <d v="2029-01-16T00:00:00"/>
    <x v="2"/>
    <n v="1"/>
    <n v="67741.009999999995"/>
    <s v="Sneha Malhotra"/>
    <n v="20"/>
    <s v="Teenagers"/>
    <s v="BAD"/>
    <x v="1"/>
    <s v="Credit Card"/>
    <n v="2"/>
    <s v="OnePlus 8T"/>
    <n v="67741.009999999995"/>
    <s v="Average"/>
    <s v="Average"/>
  </r>
  <r>
    <s v="Anan192658"/>
    <n v="2658"/>
    <n v="2"/>
    <n v="11"/>
    <n v="2023"/>
    <d v="2023-11-02T00:00:00"/>
    <s v="November"/>
    <d v="2029-01-17T00:00:00"/>
    <x v="3"/>
    <n v="2"/>
    <n v="37741.339999999997"/>
    <s v="Anand Pillai"/>
    <n v="19"/>
    <s v="Teenagers"/>
    <s v="Good"/>
    <x v="4"/>
    <s v="Credit Card"/>
    <n v="4"/>
    <s v="Galaxy A51"/>
    <n v="75482.679999999993"/>
    <s v="Good"/>
    <s v="Average"/>
  </r>
  <r>
    <s v="Pras202659"/>
    <n v="2659"/>
    <n v="2"/>
    <n v="11"/>
    <n v="2023"/>
    <d v="2023-11-02T00:00:00"/>
    <s v="November"/>
    <d v="2029-01-18T00:00:00"/>
    <x v="4"/>
    <n v="8"/>
    <n v="34760.199999999997"/>
    <s v="Prashant Gupta"/>
    <n v="20"/>
    <s v="Teenagers"/>
    <s v="Good"/>
    <x v="1"/>
    <s v="Credit Card"/>
    <n v="5"/>
    <s v="iPhone SE"/>
    <n v="278081.59999999998"/>
    <s v="Good"/>
    <s v="Excellent"/>
  </r>
  <r>
    <s v="Kavi322660"/>
    <n v="2660"/>
    <n v="2"/>
    <n v="11"/>
    <n v="2023"/>
    <d v="2023-11-02T00:00:00"/>
    <s v="November"/>
    <d v="2029-01-19T00:00:00"/>
    <x v="0"/>
    <n v="1"/>
    <n v="25386.639999999999"/>
    <s v="Kavita Iyer"/>
    <n v="32"/>
    <s v="Adult"/>
    <s v="Good"/>
    <x v="11"/>
    <s v="UPI"/>
    <n v="4"/>
    <s v="Redmi Note 10"/>
    <n v="25386.639999999999"/>
    <s v="Good"/>
    <s v="Low"/>
  </r>
  <r>
    <s v="Pank342661"/>
    <n v="2661"/>
    <n v="3"/>
    <n v="11"/>
    <n v="2023"/>
    <d v="2023-11-03T00:00:00"/>
    <s v="November"/>
    <d v="2029-01-20T00:00:00"/>
    <x v="4"/>
    <n v="7"/>
    <n v="10604.27"/>
    <s v="Pankaj Jain"/>
    <n v="34"/>
    <s v="Adult"/>
    <s v="Good"/>
    <x v="9"/>
    <s v="UPI"/>
    <n v="5"/>
    <s v="iPhone 11"/>
    <n v="74229.89"/>
    <s v="Good"/>
    <s v="Average"/>
  </r>
  <r>
    <s v="Priy242662"/>
    <n v="2662"/>
    <n v="3"/>
    <n v="11"/>
    <n v="2023"/>
    <d v="2023-11-03T00:00:00"/>
    <s v="November"/>
    <d v="2029-01-21T00:00:00"/>
    <x v="4"/>
    <n v="5"/>
    <n v="26487.42"/>
    <s v="Priya Mehta"/>
    <n v="24"/>
    <s v="Teenagers"/>
    <s v="Good"/>
    <x v="2"/>
    <s v="Credit Card"/>
    <n v="5"/>
    <s v="iPhone 12"/>
    <n v="132437.09999999998"/>
    <s v="Good"/>
    <s v="Good"/>
  </r>
  <r>
    <s v="Tanu222663"/>
    <n v="2663"/>
    <n v="3"/>
    <n v="11"/>
    <n v="2023"/>
    <d v="2023-11-03T00:00:00"/>
    <s v="November"/>
    <d v="2029-01-22T00:00:00"/>
    <x v="2"/>
    <n v="3"/>
    <n v="16564"/>
    <s v="Tanuja Ahuja"/>
    <n v="22"/>
    <s v="Teenagers"/>
    <s v="Good"/>
    <x v="10"/>
    <s v="UPI"/>
    <n v="5"/>
    <s v="OnePlus 9"/>
    <n v="49692"/>
    <s v="Good"/>
    <s v="Low"/>
  </r>
  <r>
    <s v="Kira512664"/>
    <n v="2664"/>
    <n v="3"/>
    <n v="11"/>
    <n v="2023"/>
    <d v="2023-11-03T00:00:00"/>
    <s v="November"/>
    <d v="2029-01-23T00:00:00"/>
    <x v="0"/>
    <n v="7"/>
    <n v="49589.25"/>
    <s v="Kiran Mathur"/>
    <n v="51"/>
    <s v="Senior Citezen"/>
    <s v="Good"/>
    <x v="1"/>
    <s v="Cash"/>
    <n v="5"/>
    <s v="Redmi 9"/>
    <n v="347124.75"/>
    <s v="Good"/>
    <s v="Excellent"/>
  </r>
  <r>
    <s v="Hari502665"/>
    <n v="2665"/>
    <n v="4"/>
    <n v="11"/>
    <n v="2023"/>
    <d v="2023-11-04T00:00:00"/>
    <s v="November"/>
    <d v="2029-01-24T00:00:00"/>
    <x v="3"/>
    <n v="9"/>
    <n v="29144.5"/>
    <s v="Harish Patel"/>
    <n v="50"/>
    <s v="Senior Citezen"/>
    <s v="Good"/>
    <x v="2"/>
    <s v="Debit Card"/>
    <n v="4"/>
    <s v="Galaxy Note 20"/>
    <n v="262300.5"/>
    <s v="Good"/>
    <s v="Excellent"/>
  </r>
  <r>
    <s v="Kris332666"/>
    <n v="2666"/>
    <n v="4"/>
    <n v="11"/>
    <n v="2023"/>
    <d v="2023-11-04T00:00:00"/>
    <s v="November"/>
    <d v="2029-01-25T00:00:00"/>
    <x v="3"/>
    <n v="2"/>
    <n v="56030.76"/>
    <s v="Krishna Nambiar"/>
    <n v="33"/>
    <s v="Adult"/>
    <s v="Good"/>
    <x v="16"/>
    <s v="UPI"/>
    <n v="5"/>
    <s v="Galaxy Note 20"/>
    <n v="112061.52"/>
    <s v="Good"/>
    <s v="Good"/>
  </r>
  <r>
    <s v="Anja542667"/>
    <n v="2667"/>
    <n v="4"/>
    <n v="11"/>
    <n v="2023"/>
    <d v="2023-11-04T00:00:00"/>
    <s v="November"/>
    <d v="2029-01-26T00:00:00"/>
    <x v="1"/>
    <n v="8"/>
    <n v="22414.97"/>
    <s v="Anjali Varma"/>
    <n v="54"/>
    <s v="Senior Citezen"/>
    <s v="Good"/>
    <x v="6"/>
    <s v="Credit Card"/>
    <n v="5"/>
    <s v="Vivo S1"/>
    <n v="179319.76"/>
    <s v="Good"/>
    <s v="Good"/>
  </r>
  <r>
    <s v="Shru202668"/>
    <n v="2668"/>
    <n v="4"/>
    <n v="11"/>
    <n v="2023"/>
    <d v="2023-11-04T00:00:00"/>
    <s v="November"/>
    <d v="2029-01-27T00:00:00"/>
    <x v="3"/>
    <n v="9"/>
    <n v="64014.09"/>
    <s v="Shruti Ahuja"/>
    <n v="20"/>
    <s v="Teenagers"/>
    <s v="BAD"/>
    <x v="1"/>
    <s v="UPI"/>
    <n v="2"/>
    <s v="Galaxy A51"/>
    <n v="576126.80999999994"/>
    <s v="Average"/>
    <s v="Excellent"/>
  </r>
  <r>
    <s v="Anan382669"/>
    <n v="2669"/>
    <n v="5"/>
    <n v="11"/>
    <n v="2023"/>
    <d v="2023-11-05T00:00:00"/>
    <s v="November"/>
    <d v="2029-01-28T00:00:00"/>
    <x v="2"/>
    <n v="3"/>
    <n v="41378.89"/>
    <s v="Anand Siddiqui"/>
    <n v="38"/>
    <s v="Adult"/>
    <s v="BAD"/>
    <x v="5"/>
    <s v="Cash"/>
    <n v="2"/>
    <s v="OnePlus Nord"/>
    <n v="124136.67"/>
    <s v="Average"/>
    <s v="Good"/>
  </r>
  <r>
    <s v="Sanj582670"/>
    <n v="2670"/>
    <n v="5"/>
    <n v="11"/>
    <n v="2023"/>
    <d v="2023-11-05T00:00:00"/>
    <s v="November"/>
    <d v="2029-01-29T00:00:00"/>
    <x v="4"/>
    <n v="2"/>
    <n v="16870.37"/>
    <s v="Sanjay Jain"/>
    <n v="58"/>
    <s v="Senior Citezen"/>
    <s v="BAD"/>
    <x v="2"/>
    <s v="Credit Card"/>
    <n v="2"/>
    <s v="iPhone 11"/>
    <n v="33740.74"/>
    <s v="Average"/>
    <s v="Low"/>
  </r>
  <r>
    <s v="Pank252671"/>
    <n v="2671"/>
    <n v="5"/>
    <n v="11"/>
    <n v="2023"/>
    <d v="2023-11-05T00:00:00"/>
    <s v="November"/>
    <d v="2029-01-30T00:00:00"/>
    <x v="4"/>
    <n v="7"/>
    <n v="34050.71"/>
    <s v="Pankaj Gupta"/>
    <n v="25"/>
    <s v="Teenagers"/>
    <s v="AVG"/>
    <x v="1"/>
    <s v="Debit Card"/>
    <n v="3"/>
    <s v="iPhone SE"/>
    <n v="238354.97"/>
    <s v="Average"/>
    <s v="Excellent"/>
  </r>
  <r>
    <s v="Vija392672"/>
    <n v="2672"/>
    <n v="6"/>
    <n v="11"/>
    <n v="2023"/>
    <d v="2023-11-06T00:00:00"/>
    <s v="November"/>
    <d v="2029-01-31T00:00:00"/>
    <x v="4"/>
    <n v="5"/>
    <n v="22405.63"/>
    <s v="Vijay Rawat"/>
    <n v="39"/>
    <s v="Adult"/>
    <s v="BAD"/>
    <x v="1"/>
    <s v="Credit Card"/>
    <n v="2"/>
    <s v="iPhone SE"/>
    <n v="112028.15000000001"/>
    <s v="Average"/>
    <s v="Good"/>
  </r>
  <r>
    <s v="Sach222673"/>
    <n v="2673"/>
    <n v="6"/>
    <n v="11"/>
    <n v="2023"/>
    <d v="2023-11-06T00:00:00"/>
    <s v="November"/>
    <d v="2029-02-01T00:00:00"/>
    <x v="0"/>
    <n v="5"/>
    <n v="21981.13"/>
    <s v="Sachin Varma"/>
    <n v="22"/>
    <s v="Teenagers"/>
    <s v="AVG"/>
    <x v="1"/>
    <s v="Credit Card"/>
    <n v="3"/>
    <s v="Redmi Note 10"/>
    <n v="109905.65000000001"/>
    <s v="Average"/>
    <s v="Good"/>
  </r>
  <r>
    <s v="Suni342674"/>
    <n v="2674"/>
    <n v="6"/>
    <n v="11"/>
    <n v="2023"/>
    <d v="2023-11-06T00:00:00"/>
    <s v="November"/>
    <d v="2029-02-02T00:00:00"/>
    <x v="3"/>
    <n v="5"/>
    <n v="40382.18"/>
    <s v="Sunil Reddy"/>
    <n v="34"/>
    <s v="Adult"/>
    <s v="AVG"/>
    <x v="15"/>
    <s v="Credit Card"/>
    <n v="3"/>
    <s v="Galaxy A51"/>
    <n v="201910.9"/>
    <s v="Average"/>
    <s v="Excellent"/>
  </r>
  <r>
    <s v="Pras542675"/>
    <n v="2675"/>
    <n v="7"/>
    <n v="11"/>
    <n v="2023"/>
    <d v="2023-11-07T00:00:00"/>
    <s v="November"/>
    <d v="2029-02-03T00:00:00"/>
    <x v="2"/>
    <n v="4"/>
    <n v="50313.52"/>
    <s v="Prashant Deshmukh"/>
    <n v="54"/>
    <s v="Senior Citezen"/>
    <s v="Good"/>
    <x v="6"/>
    <s v="UPI"/>
    <n v="4"/>
    <s v="OnePlus Nord"/>
    <n v="201254.08"/>
    <s v="Good"/>
    <s v="Excellent"/>
  </r>
  <r>
    <s v="Reen312676"/>
    <n v="2676"/>
    <n v="7"/>
    <n v="11"/>
    <n v="2023"/>
    <d v="2023-11-07T00:00:00"/>
    <s v="November"/>
    <d v="2029-02-04T00:00:00"/>
    <x v="0"/>
    <n v="5"/>
    <n v="64697.09"/>
    <s v="Reena Goyal"/>
    <n v="31"/>
    <s v="Adult"/>
    <s v="BAD"/>
    <x v="8"/>
    <s v="Debit Card"/>
    <n v="2"/>
    <s v="Mi 11"/>
    <n v="323485.44999999995"/>
    <s v="Average"/>
    <s v="Excellent"/>
  </r>
  <r>
    <s v="Mano562677"/>
    <n v="2677"/>
    <n v="7"/>
    <n v="11"/>
    <n v="2023"/>
    <d v="2023-11-07T00:00:00"/>
    <s v="November"/>
    <d v="2029-02-05T00:00:00"/>
    <x v="1"/>
    <n v="4"/>
    <n v="40129.72"/>
    <s v="Manoj Dutta"/>
    <n v="56"/>
    <s v="Senior Citezen"/>
    <s v="Good"/>
    <x v="18"/>
    <s v="Cash"/>
    <n v="5"/>
    <s v="Vivo S1"/>
    <n v="160518.88"/>
    <s v="Good"/>
    <s v="Good"/>
  </r>
  <r>
    <s v="Raje582678"/>
    <n v="2678"/>
    <n v="8"/>
    <n v="11"/>
    <n v="2023"/>
    <d v="2023-11-08T00:00:00"/>
    <s v="November"/>
    <d v="2029-02-06T00:00:00"/>
    <x v="2"/>
    <n v="6"/>
    <n v="67950.33"/>
    <s v="Rajesh Desai"/>
    <n v="58"/>
    <s v="Senior Citezen"/>
    <s v="Good"/>
    <x v="1"/>
    <s v="UPI"/>
    <n v="5"/>
    <s v="OnePlus 8T"/>
    <n v="407701.98"/>
    <s v="Good"/>
    <s v="Excellent"/>
  </r>
  <r>
    <s v="Nami452679"/>
    <n v="2679"/>
    <n v="8"/>
    <n v="11"/>
    <n v="2023"/>
    <d v="2023-11-08T00:00:00"/>
    <s v="November"/>
    <d v="2029-02-07T00:00:00"/>
    <x v="2"/>
    <n v="4"/>
    <n v="66498.09"/>
    <s v="Namita Malhotra"/>
    <n v="45"/>
    <s v="Adult"/>
    <s v="Good"/>
    <x v="7"/>
    <s v="Debit Card"/>
    <n v="5"/>
    <s v="OnePlus 9"/>
    <n v="265992.36"/>
    <s v="Good"/>
    <s v="Excellent"/>
  </r>
  <r>
    <s v="Lata482680"/>
    <n v="2680"/>
    <n v="8"/>
    <n v="11"/>
    <n v="2023"/>
    <d v="2023-11-08T00:00:00"/>
    <s v="November"/>
    <d v="2029-02-08T00:00:00"/>
    <x v="2"/>
    <n v="2"/>
    <n v="61903.75"/>
    <s v="Lata Joshi"/>
    <n v="48"/>
    <s v="Senior Citezen"/>
    <s v="BAD"/>
    <x v="18"/>
    <s v="Debit Card"/>
    <n v="2"/>
    <s v="OnePlus 9"/>
    <n v="123807.5"/>
    <s v="Average"/>
    <s v="Good"/>
  </r>
  <r>
    <s v="Anit342681"/>
    <n v="2681"/>
    <n v="8"/>
    <n v="11"/>
    <n v="2023"/>
    <d v="2023-11-08T00:00:00"/>
    <s v="November"/>
    <d v="2029-02-09T00:00:00"/>
    <x v="4"/>
    <n v="9"/>
    <n v="39998.639999999999"/>
    <s v="Anita Menon"/>
    <n v="34"/>
    <s v="Adult"/>
    <s v="Good"/>
    <x v="14"/>
    <s v="UPI"/>
    <n v="5"/>
    <s v="iPhone 11"/>
    <n v="359987.76"/>
    <s v="Good"/>
    <s v="Excellent"/>
  </r>
  <r>
    <s v="Neet522682"/>
    <n v="2682"/>
    <n v="9"/>
    <n v="11"/>
    <n v="2023"/>
    <d v="2023-11-09T00:00:00"/>
    <s v="November"/>
    <d v="2029-02-10T00:00:00"/>
    <x v="2"/>
    <n v="2"/>
    <n v="18454.240000000002"/>
    <s v="Neeta Mishra"/>
    <n v="52"/>
    <s v="Senior Citezen"/>
    <s v="BAD"/>
    <x v="2"/>
    <s v="Credit Card"/>
    <n v="2"/>
    <s v="OnePlus Nord"/>
    <n v="36908.480000000003"/>
    <s v="Average"/>
    <s v="Low"/>
  </r>
  <r>
    <s v="Bina572683"/>
    <n v="2683"/>
    <n v="9"/>
    <n v="11"/>
    <n v="2023"/>
    <d v="2023-11-09T00:00:00"/>
    <s v="November"/>
    <d v="2029-02-11T00:00:00"/>
    <x v="3"/>
    <n v="9"/>
    <n v="23074.27"/>
    <s v="Bina Nair"/>
    <n v="57"/>
    <s v="Senior Citezen"/>
    <s v="BAD"/>
    <x v="14"/>
    <s v="Debit Card"/>
    <n v="2"/>
    <s v="Galaxy Note 20"/>
    <n v="207668.43"/>
    <s v="Average"/>
    <s v="Excellent"/>
  </r>
  <r>
    <s v="Bhav392684"/>
    <n v="2684"/>
    <n v="9"/>
    <n v="11"/>
    <n v="2023"/>
    <d v="2023-11-09T00:00:00"/>
    <s v="November"/>
    <d v="2029-02-12T00:00:00"/>
    <x v="2"/>
    <n v="6"/>
    <n v="48860.2"/>
    <s v="Bhavana Desai"/>
    <n v="39"/>
    <s v="Adult"/>
    <s v="Good"/>
    <x v="10"/>
    <s v="Cash"/>
    <n v="5"/>
    <s v="OnePlus Nord"/>
    <n v="293161.19999999995"/>
    <s v="Good"/>
    <s v="Excellent"/>
  </r>
  <r>
    <s v="Kris462685"/>
    <n v="2685"/>
    <n v="9"/>
    <n v="11"/>
    <n v="2023"/>
    <d v="2023-11-09T00:00:00"/>
    <s v="November"/>
    <d v="2029-02-13T00:00:00"/>
    <x v="4"/>
    <n v="9"/>
    <n v="35305.300000000003"/>
    <s v="Krishna Ahuja"/>
    <n v="46"/>
    <s v="Senior Citezen"/>
    <s v="AVG"/>
    <x v="1"/>
    <s v="UPI"/>
    <n v="3"/>
    <s v="iPhone SE"/>
    <n v="317747.7"/>
    <s v="Average"/>
    <s v="Excellent"/>
  </r>
  <r>
    <s v="Vino272686"/>
    <n v="2686"/>
    <n v="10"/>
    <n v="11"/>
    <n v="2023"/>
    <d v="2023-11-10T00:00:00"/>
    <s v="November"/>
    <d v="2029-02-14T00:00:00"/>
    <x v="2"/>
    <n v="9"/>
    <n v="18808.099999999999"/>
    <s v="Vinod Nambiar"/>
    <n v="27"/>
    <s v="Teenagers"/>
    <s v="Good"/>
    <x v="5"/>
    <s v="Debit Card"/>
    <n v="4"/>
    <s v="OnePlus Nord"/>
    <n v="169272.9"/>
    <s v="Good"/>
    <s v="Good"/>
  </r>
  <r>
    <s v="Anja352687"/>
    <n v="2687"/>
    <n v="10"/>
    <n v="11"/>
    <n v="2023"/>
    <d v="2023-11-10T00:00:00"/>
    <s v="November"/>
    <d v="2029-02-15T00:00:00"/>
    <x v="1"/>
    <n v="3"/>
    <n v="38739.64"/>
    <s v="Anjali Varma"/>
    <n v="35"/>
    <s v="Adult"/>
    <s v="Good"/>
    <x v="8"/>
    <s v="Cash"/>
    <n v="4"/>
    <s v="Vivo Y51"/>
    <n v="116218.92"/>
    <s v="Good"/>
    <s v="Good"/>
  </r>
  <r>
    <s v="Shru522688"/>
    <n v="2688"/>
    <n v="10"/>
    <n v="11"/>
    <n v="2023"/>
    <d v="2023-11-10T00:00:00"/>
    <s v="November"/>
    <d v="2029-02-16T00:00:00"/>
    <x v="1"/>
    <n v="1"/>
    <n v="11045.83"/>
    <s v="Shruti Joshi"/>
    <n v="52"/>
    <s v="Senior Citezen"/>
    <s v="Good"/>
    <x v="1"/>
    <s v="Cash"/>
    <n v="4"/>
    <s v="Vivo V20"/>
    <n v="11045.83"/>
    <s v="Good"/>
    <s v="Low"/>
  </r>
  <r>
    <s v="Pras332689"/>
    <n v="2689"/>
    <n v="11"/>
    <n v="11"/>
    <n v="2023"/>
    <d v="2023-11-11T00:00:00"/>
    <s v="November"/>
    <d v="2029-02-17T00:00:00"/>
    <x v="4"/>
    <n v="1"/>
    <n v="54033.72"/>
    <s v="Prashant Arora"/>
    <n v="33"/>
    <s v="Adult"/>
    <s v="Good"/>
    <x v="0"/>
    <s v="Cash"/>
    <n v="4"/>
    <s v="iPhone 11"/>
    <n v="54033.72"/>
    <s v="Good"/>
    <s v="Average"/>
  </r>
  <r>
    <s v="Deep242690"/>
    <n v="2690"/>
    <n v="11"/>
    <n v="11"/>
    <n v="2023"/>
    <d v="2023-11-11T00:00:00"/>
    <s v="November"/>
    <d v="2029-02-18T00:00:00"/>
    <x v="3"/>
    <n v="3"/>
    <n v="14414.88"/>
    <s v="Deepika Gupta"/>
    <n v="24"/>
    <s v="Teenagers"/>
    <s v="Good"/>
    <x v="16"/>
    <s v="Cash"/>
    <n v="5"/>
    <s v="Galaxy A51"/>
    <n v="43244.639999999999"/>
    <s v="Good"/>
    <s v="Low"/>
  </r>
  <r>
    <s v="Shru472691"/>
    <n v="2691"/>
    <n v="11"/>
    <n v="11"/>
    <n v="2023"/>
    <d v="2023-11-11T00:00:00"/>
    <s v="November"/>
    <d v="2029-02-19T00:00:00"/>
    <x v="3"/>
    <n v="5"/>
    <n v="47746.82"/>
    <s v="Shruti Joshi"/>
    <n v="47"/>
    <s v="Senior Citezen"/>
    <s v="BAD"/>
    <x v="4"/>
    <s v="UPI"/>
    <n v="2"/>
    <s v="Galaxy Note 20"/>
    <n v="238734.1"/>
    <s v="Average"/>
    <s v="Excellent"/>
  </r>
  <r>
    <s v="Vino362692"/>
    <n v="2692"/>
    <n v="11"/>
    <n v="11"/>
    <n v="2023"/>
    <d v="2023-11-11T00:00:00"/>
    <s v="November"/>
    <d v="2029-02-20T00:00:00"/>
    <x v="0"/>
    <n v="3"/>
    <n v="57580.62"/>
    <s v="Vinod Nambiar"/>
    <n v="36"/>
    <s v="Adult"/>
    <s v="Good"/>
    <x v="8"/>
    <s v="Cash"/>
    <n v="5"/>
    <s v="Redmi Note 10"/>
    <n v="172741.86000000002"/>
    <s v="Good"/>
    <s v="Good"/>
  </r>
  <r>
    <s v="Sneh402693"/>
    <n v="2693"/>
    <n v="12"/>
    <n v="11"/>
    <n v="2023"/>
    <d v="2023-11-12T00:00:00"/>
    <s v="November"/>
    <d v="2029-02-21T00:00:00"/>
    <x v="4"/>
    <n v="9"/>
    <n v="17958.63"/>
    <s v="Sneha Jain"/>
    <n v="40"/>
    <s v="Adult"/>
    <s v="Good"/>
    <x v="16"/>
    <s v="UPI"/>
    <n v="4"/>
    <s v="iPhone 11"/>
    <n v="161627.67000000001"/>
    <s v="Good"/>
    <s v="Good"/>
  </r>
  <r>
    <s v="Lata252694"/>
    <n v="2694"/>
    <n v="12"/>
    <n v="11"/>
    <n v="2023"/>
    <d v="2023-11-12T00:00:00"/>
    <s v="November"/>
    <d v="2029-02-22T00:00:00"/>
    <x v="2"/>
    <n v="9"/>
    <n v="41118.32"/>
    <s v="Lata Joshi"/>
    <n v="25"/>
    <s v="Teenagers"/>
    <s v="Good"/>
    <x v="1"/>
    <s v="Cash"/>
    <n v="4"/>
    <s v="OnePlus 9"/>
    <n v="370064.88"/>
    <s v="Good"/>
    <s v="Excellent"/>
  </r>
  <r>
    <s v="Reen342695"/>
    <n v="2695"/>
    <n v="12"/>
    <n v="11"/>
    <n v="2023"/>
    <d v="2023-11-12T00:00:00"/>
    <s v="November"/>
    <d v="2029-02-23T00:00:00"/>
    <x v="4"/>
    <n v="3"/>
    <n v="56744.05"/>
    <s v="Reena Chatterjee"/>
    <n v="34"/>
    <s v="Adult"/>
    <s v="Good"/>
    <x v="1"/>
    <s v="Cash"/>
    <n v="5"/>
    <s v="iPhone 12"/>
    <n v="170232.15000000002"/>
    <s v="Good"/>
    <s v="Good"/>
  </r>
  <r>
    <s v="Lali382696"/>
    <n v="2696"/>
    <n v="13"/>
    <n v="11"/>
    <n v="2023"/>
    <d v="2023-11-13T00:00:00"/>
    <s v="November"/>
    <d v="2029-02-24T00:00:00"/>
    <x v="0"/>
    <n v="3"/>
    <n v="25638.01"/>
    <s v="Lalita Siddiqui"/>
    <n v="38"/>
    <s v="Adult"/>
    <s v="Good"/>
    <x v="1"/>
    <s v="UPI"/>
    <n v="4"/>
    <s v="Redmi 9"/>
    <n v="76914.03"/>
    <s v="Good"/>
    <s v="Average"/>
  </r>
  <r>
    <s v="Meen432697"/>
    <n v="2697"/>
    <n v="13"/>
    <n v="11"/>
    <n v="2023"/>
    <d v="2023-11-13T00:00:00"/>
    <s v="November"/>
    <d v="2029-02-25T00:00:00"/>
    <x v="4"/>
    <n v="5"/>
    <n v="19775"/>
    <s v="Meena Thakur"/>
    <n v="43"/>
    <s v="Adult"/>
    <s v="BAD"/>
    <x v="2"/>
    <s v="Credit Card"/>
    <n v="2"/>
    <s v="iPhone 12"/>
    <n v="98875"/>
    <s v="Average"/>
    <s v="Average"/>
  </r>
  <r>
    <s v="Pank452698"/>
    <n v="2698"/>
    <n v="13"/>
    <n v="11"/>
    <n v="2023"/>
    <d v="2023-11-13T00:00:00"/>
    <s v="November"/>
    <d v="2029-02-26T00:00:00"/>
    <x v="4"/>
    <n v="2"/>
    <n v="30209.15"/>
    <s v="Pankaj Deshmukh"/>
    <n v="45"/>
    <s v="Adult"/>
    <s v="Good"/>
    <x v="12"/>
    <s v="Debit Card"/>
    <n v="4"/>
    <s v="iPhone 11"/>
    <n v="60418.3"/>
    <s v="Good"/>
    <s v="Average"/>
  </r>
  <r>
    <s v="Kris562699"/>
    <n v="2699"/>
    <n v="14"/>
    <n v="11"/>
    <n v="2023"/>
    <d v="2023-11-14T00:00:00"/>
    <s v="November"/>
    <d v="2029-02-27T00:00:00"/>
    <x v="0"/>
    <n v="6"/>
    <n v="43281.95"/>
    <s v="Krishna Reddy"/>
    <n v="56"/>
    <s v="Senior Citezen"/>
    <s v="Good"/>
    <x v="15"/>
    <s v="Debit Card"/>
    <n v="4"/>
    <s v="Mi 11"/>
    <n v="259691.69999999998"/>
    <s v="Good"/>
    <s v="Excellent"/>
  </r>
  <r>
    <s v="Kavi502700"/>
    <n v="2700"/>
    <n v="14"/>
    <n v="11"/>
    <n v="2023"/>
    <d v="2023-11-14T00:00:00"/>
    <s v="November"/>
    <d v="2029-02-28T00:00:00"/>
    <x v="3"/>
    <n v="7"/>
    <n v="44516.78"/>
    <s v="Kavita Desai"/>
    <n v="50"/>
    <s v="Senior Citezen"/>
    <s v="Good"/>
    <x v="1"/>
    <s v="UPI"/>
    <n v="5"/>
    <s v="Galaxy A51"/>
    <n v="311617.45999999996"/>
    <s v="Good"/>
    <s v="Excellent"/>
  </r>
  <r>
    <s v="Bhav572701"/>
    <n v="2701"/>
    <n v="14"/>
    <n v="11"/>
    <n v="2023"/>
    <d v="2023-11-14T00:00:00"/>
    <s v="November"/>
    <d v="2029-03-01T00:00:00"/>
    <x v="2"/>
    <n v="9"/>
    <n v="17852.580000000002"/>
    <s v="Bhavana Mathur"/>
    <n v="57"/>
    <s v="Senior Citezen"/>
    <s v="BAD"/>
    <x v="1"/>
    <s v="Cash"/>
    <n v="2"/>
    <s v="OnePlus 8T"/>
    <n v="160673.22000000003"/>
    <s v="Average"/>
    <s v="Good"/>
  </r>
  <r>
    <s v="Anan362702"/>
    <n v="2702"/>
    <n v="15"/>
    <n v="11"/>
    <n v="2023"/>
    <d v="2023-11-15T00:00:00"/>
    <s v="November"/>
    <d v="2029-03-02T00:00:00"/>
    <x v="0"/>
    <n v="6"/>
    <n v="37454.129999999997"/>
    <s v="Anand Joshi"/>
    <n v="36"/>
    <s v="Adult"/>
    <s v="AVG"/>
    <x v="2"/>
    <s v="UPI"/>
    <n v="3"/>
    <s v="Redmi 9"/>
    <n v="224724.77999999997"/>
    <s v="Average"/>
    <s v="Excellent"/>
  </r>
  <r>
    <s v="Gita462703"/>
    <n v="2703"/>
    <n v="15"/>
    <n v="11"/>
    <n v="2023"/>
    <d v="2023-11-15T00:00:00"/>
    <s v="November"/>
    <d v="2029-03-03T00:00:00"/>
    <x v="1"/>
    <n v="3"/>
    <n v="26096.93"/>
    <s v="Gita Mehta"/>
    <n v="46"/>
    <s v="Senior Citezen"/>
    <s v="Good"/>
    <x v="16"/>
    <s v="Cash"/>
    <n v="5"/>
    <s v="Vivo Y51"/>
    <n v="78290.790000000008"/>
    <s v="Good"/>
    <s v="Average"/>
  </r>
  <r>
    <s v="Kris372704"/>
    <n v="2704"/>
    <n v="15"/>
    <n v="11"/>
    <n v="2023"/>
    <d v="2023-11-15T00:00:00"/>
    <s v="November"/>
    <d v="2029-03-04T00:00:00"/>
    <x v="3"/>
    <n v="5"/>
    <n v="60521.45"/>
    <s v="Krishna Sharma"/>
    <n v="37"/>
    <s v="Adult"/>
    <s v="AVG"/>
    <x v="3"/>
    <s v="UPI"/>
    <n v="3"/>
    <s v="Galaxy Note 20"/>
    <n v="302607.25"/>
    <s v="Average"/>
    <s v="Excellent"/>
  </r>
  <r>
    <s v="Priy372705"/>
    <n v="2705"/>
    <n v="15"/>
    <n v="11"/>
    <n v="2023"/>
    <d v="2023-11-15T00:00:00"/>
    <s v="November"/>
    <d v="2029-03-05T00:00:00"/>
    <x v="1"/>
    <n v="4"/>
    <n v="28814.51"/>
    <s v="Priya Kaur"/>
    <n v="37"/>
    <s v="Adult"/>
    <s v="Good"/>
    <x v="7"/>
    <s v="Debit Card"/>
    <n v="5"/>
    <s v="Vivo V20"/>
    <n v="115258.04"/>
    <s v="Good"/>
    <s v="Good"/>
  </r>
  <r>
    <s v="Shru272706"/>
    <n v="2706"/>
    <n v="16"/>
    <n v="11"/>
    <n v="2023"/>
    <d v="2023-11-16T00:00:00"/>
    <s v="November"/>
    <d v="2029-03-06T00:00:00"/>
    <x v="3"/>
    <n v="5"/>
    <n v="60322.27"/>
    <s v="Shruti Deshmukh"/>
    <n v="27"/>
    <s v="Teenagers"/>
    <s v="Good"/>
    <x v="1"/>
    <s v="UPI"/>
    <n v="4"/>
    <s v="Galaxy S21"/>
    <n v="301611.34999999998"/>
    <s v="Good"/>
    <s v="Excellent"/>
  </r>
  <r>
    <s v="Deep292707"/>
    <n v="2707"/>
    <n v="16"/>
    <n v="11"/>
    <n v="2023"/>
    <d v="2023-11-16T00:00:00"/>
    <s v="November"/>
    <d v="2029-03-07T00:00:00"/>
    <x v="2"/>
    <n v="8"/>
    <n v="35713.879999999997"/>
    <s v="Deepika Das"/>
    <n v="29"/>
    <s v="Teenagers"/>
    <s v="Good"/>
    <x v="10"/>
    <s v="Debit Card"/>
    <n v="5"/>
    <s v="OnePlus 9"/>
    <n v="285711.03999999998"/>
    <s v="Good"/>
    <s v="Excellent"/>
  </r>
  <r>
    <s v="Navi502708"/>
    <n v="2708"/>
    <n v="16"/>
    <n v="11"/>
    <n v="2023"/>
    <d v="2023-11-16T00:00:00"/>
    <s v="November"/>
    <d v="2029-03-08T00:00:00"/>
    <x v="2"/>
    <n v="8"/>
    <n v="53595.15"/>
    <s v="Navin Kaur"/>
    <n v="50"/>
    <s v="Senior Citezen"/>
    <s v="BAD"/>
    <x v="12"/>
    <s v="Debit Card"/>
    <n v="2"/>
    <s v="OnePlus 8T"/>
    <n v="428761.2"/>
    <s v="Average"/>
    <s v="Excellent"/>
  </r>
  <r>
    <s v="Pooj422709"/>
    <n v="2709"/>
    <n v="16"/>
    <n v="11"/>
    <n v="2023"/>
    <d v="2023-11-16T00:00:00"/>
    <s v="November"/>
    <d v="2029-03-09T00:00:00"/>
    <x v="4"/>
    <n v="6"/>
    <n v="40603.61"/>
    <s v="Pooja Rao"/>
    <n v="42"/>
    <s v="Adult"/>
    <s v="Good"/>
    <x v="18"/>
    <s v="Debit Card"/>
    <n v="5"/>
    <s v="iPhone SE"/>
    <n v="243621.66"/>
    <s v="Good"/>
    <s v="Excellent"/>
  </r>
  <r>
    <s v="Lata422710"/>
    <n v="2710"/>
    <n v="17"/>
    <n v="11"/>
    <n v="2023"/>
    <d v="2023-11-17T00:00:00"/>
    <s v="November"/>
    <d v="2029-03-10T00:00:00"/>
    <x v="1"/>
    <n v="1"/>
    <n v="47317.760000000002"/>
    <s v="Lata Mathur"/>
    <n v="42"/>
    <s v="Adult"/>
    <s v="Good"/>
    <x v="2"/>
    <s v="UPI"/>
    <n v="5"/>
    <s v="Vivo S1"/>
    <n v="47317.760000000002"/>
    <s v="Good"/>
    <s v="Low"/>
  </r>
  <r>
    <s v="Deep212711"/>
    <n v="2711"/>
    <n v="17"/>
    <n v="11"/>
    <n v="2023"/>
    <d v="2023-11-17T00:00:00"/>
    <s v="November"/>
    <d v="2029-03-11T00:00:00"/>
    <x v="3"/>
    <n v="8"/>
    <n v="33721.39"/>
    <s v="Deepika Gupta"/>
    <n v="21"/>
    <s v="Teenagers"/>
    <s v="Good"/>
    <x v="5"/>
    <s v="Credit Card"/>
    <n v="4"/>
    <s v="Galaxy A51"/>
    <n v="269771.12"/>
    <s v="Good"/>
    <s v="Excellent"/>
  </r>
  <r>
    <s v="Priy212712"/>
    <n v="2712"/>
    <n v="17"/>
    <n v="11"/>
    <n v="2023"/>
    <d v="2023-11-17T00:00:00"/>
    <s v="November"/>
    <d v="2029-03-12T00:00:00"/>
    <x v="2"/>
    <n v="8"/>
    <n v="56092.41"/>
    <s v="Priya Roy"/>
    <n v="21"/>
    <s v="Teenagers"/>
    <s v="Good"/>
    <x v="1"/>
    <s v="UPI"/>
    <n v="5"/>
    <s v="OnePlus 9"/>
    <n v="448739.28"/>
    <s v="Good"/>
    <s v="Excellent"/>
  </r>
  <r>
    <s v="Ayes262713"/>
    <n v="2713"/>
    <n v="18"/>
    <n v="11"/>
    <n v="2023"/>
    <d v="2023-11-18T00:00:00"/>
    <s v="November"/>
    <d v="2029-03-13T00:00:00"/>
    <x v="0"/>
    <n v="2"/>
    <n v="35511.360000000001"/>
    <s v="Ayesha Arora"/>
    <n v="26"/>
    <s v="Teenagers"/>
    <s v="BAD"/>
    <x v="1"/>
    <s v="UPI"/>
    <n v="2"/>
    <s v="Mi 11"/>
    <n v="71022.720000000001"/>
    <s v="Average"/>
    <s v="Average"/>
  </r>
  <r>
    <s v="Bina322714"/>
    <n v="2714"/>
    <n v="18"/>
    <n v="11"/>
    <n v="2023"/>
    <d v="2023-11-18T00:00:00"/>
    <s v="November"/>
    <d v="2029-03-14T00:00:00"/>
    <x v="2"/>
    <n v="4"/>
    <n v="37447.699999999997"/>
    <s v="Bina Mathur"/>
    <n v="32"/>
    <s v="Adult"/>
    <s v="AVG"/>
    <x v="3"/>
    <s v="Credit Card"/>
    <n v="3"/>
    <s v="OnePlus 9"/>
    <n v="149790.79999999999"/>
    <s v="Average"/>
    <s v="Good"/>
  </r>
  <r>
    <s v="Anit432715"/>
    <n v="2715"/>
    <n v="18"/>
    <n v="11"/>
    <n v="2023"/>
    <d v="2023-11-18T00:00:00"/>
    <s v="November"/>
    <d v="2029-03-15T00:00:00"/>
    <x v="0"/>
    <n v="2"/>
    <n v="41060.720000000001"/>
    <s v="Anita Bhattacharya"/>
    <n v="43"/>
    <s v="Adult"/>
    <s v="Good"/>
    <x v="9"/>
    <s v="Credit Card"/>
    <n v="4"/>
    <s v="Mi 11"/>
    <n v="82121.440000000002"/>
    <s v="Good"/>
    <s v="Average"/>
  </r>
  <r>
    <s v="Amit322716"/>
    <n v="2716"/>
    <n v="19"/>
    <n v="11"/>
    <n v="2023"/>
    <d v="2023-11-19T00:00:00"/>
    <s v="November"/>
    <d v="2029-03-16T00:00:00"/>
    <x v="3"/>
    <n v="4"/>
    <n v="59909.45"/>
    <s v="Amit Teja"/>
    <n v="32"/>
    <s v="Adult"/>
    <s v="Good"/>
    <x v="2"/>
    <s v="Debit Card"/>
    <n v="4"/>
    <s v="Galaxy Note 20"/>
    <n v="239637.8"/>
    <s v="Good"/>
    <s v="Excellent"/>
  </r>
  <r>
    <s v="Sumi432717"/>
    <n v="2717"/>
    <n v="19"/>
    <n v="11"/>
    <n v="2023"/>
    <d v="2023-11-19T00:00:00"/>
    <s v="November"/>
    <d v="2029-03-17T00:00:00"/>
    <x v="2"/>
    <n v="7"/>
    <n v="49562.74"/>
    <s v="Sumit Verma"/>
    <n v="43"/>
    <s v="Adult"/>
    <s v="Good"/>
    <x v="14"/>
    <s v="Cash"/>
    <n v="5"/>
    <s v="OnePlus 8T"/>
    <n v="346939.18"/>
    <s v="Good"/>
    <s v="Excellent"/>
  </r>
  <r>
    <s v="Priy452718"/>
    <n v="2718"/>
    <n v="19"/>
    <n v="11"/>
    <n v="2023"/>
    <d v="2023-11-19T00:00:00"/>
    <s v="November"/>
    <d v="2029-03-18T00:00:00"/>
    <x v="2"/>
    <n v="9"/>
    <n v="30949.62"/>
    <s v="Priyanka Menon"/>
    <n v="45"/>
    <s v="Adult"/>
    <s v="Good"/>
    <x v="8"/>
    <s v="Cash"/>
    <n v="5"/>
    <s v="OnePlus 9"/>
    <n v="278546.58"/>
    <s v="Good"/>
    <s v="Excellent"/>
  </r>
  <r>
    <s v="Kira242719"/>
    <n v="2719"/>
    <n v="20"/>
    <n v="11"/>
    <n v="2023"/>
    <d v="2023-11-20T00:00:00"/>
    <s v="November"/>
    <d v="2029-03-19T00:00:00"/>
    <x v="3"/>
    <n v="8"/>
    <n v="50219.18"/>
    <s v="Kiran Mishra"/>
    <n v="24"/>
    <s v="Teenagers"/>
    <s v="Good"/>
    <x v="11"/>
    <s v="Debit Card"/>
    <n v="5"/>
    <s v="Galaxy Note 20"/>
    <n v="401753.44"/>
    <s v="Good"/>
    <s v="Excellent"/>
  </r>
  <r>
    <s v="Priy492720"/>
    <n v="2720"/>
    <n v="20"/>
    <n v="11"/>
    <n v="2023"/>
    <d v="2023-11-20T00:00:00"/>
    <s v="November"/>
    <d v="2029-03-20T00:00:00"/>
    <x v="2"/>
    <n v="9"/>
    <n v="48545.59"/>
    <s v="Priyanka Mishra"/>
    <n v="49"/>
    <s v="Senior Citezen"/>
    <s v="Good"/>
    <x v="3"/>
    <s v="UPI"/>
    <n v="4"/>
    <s v="OnePlus 9"/>
    <n v="436910.30999999994"/>
    <s v="Good"/>
    <s v="Excellent"/>
  </r>
  <r>
    <s v="Nami292721"/>
    <n v="2721"/>
    <n v="20"/>
    <n v="11"/>
    <n v="2023"/>
    <d v="2023-11-20T00:00:00"/>
    <s v="November"/>
    <d v="2029-03-21T00:00:00"/>
    <x v="0"/>
    <n v="8"/>
    <n v="65861.16"/>
    <s v="Namita Deshmukh"/>
    <n v="29"/>
    <s v="Teenagers"/>
    <s v="Good"/>
    <x v="2"/>
    <s v="Cash"/>
    <n v="5"/>
    <s v="Redmi Note 10"/>
    <n v="526889.28"/>
    <s v="Good"/>
    <s v="Excellent"/>
  </r>
  <r>
    <s v="Priy522722"/>
    <n v="2722"/>
    <n v="21"/>
    <n v="11"/>
    <n v="2023"/>
    <d v="2023-11-21T00:00:00"/>
    <s v="November"/>
    <d v="2029-03-22T00:00:00"/>
    <x v="2"/>
    <n v="2"/>
    <n v="60484.99"/>
    <s v="Priya Prasad"/>
    <n v="52"/>
    <s v="Senior Citezen"/>
    <s v="Good"/>
    <x v="1"/>
    <s v="UPI"/>
    <n v="5"/>
    <s v="OnePlus 8T"/>
    <n v="120969.98"/>
    <s v="Good"/>
    <s v="Good"/>
  </r>
  <r>
    <s v="Anit492723"/>
    <n v="2723"/>
    <n v="21"/>
    <n v="11"/>
    <n v="2023"/>
    <d v="2023-11-21T00:00:00"/>
    <s v="November"/>
    <d v="2029-03-23T00:00:00"/>
    <x v="1"/>
    <n v="7"/>
    <n v="48846.82"/>
    <s v="Anita Shah"/>
    <n v="49"/>
    <s v="Senior Citezen"/>
    <s v="Good"/>
    <x v="11"/>
    <s v="Credit Card"/>
    <n v="5"/>
    <s v="Vivo Y51"/>
    <n v="341927.74"/>
    <s v="Good"/>
    <s v="Excellent"/>
  </r>
  <r>
    <s v="Suni262724"/>
    <n v="2724"/>
    <n v="21"/>
    <n v="11"/>
    <n v="2023"/>
    <d v="2023-11-21T00:00:00"/>
    <s v="November"/>
    <d v="2029-03-24T00:00:00"/>
    <x v="4"/>
    <n v="2"/>
    <n v="30490.43"/>
    <s v="Sunil Patel"/>
    <n v="26"/>
    <s v="Teenagers"/>
    <s v="Good"/>
    <x v="13"/>
    <s v="Credit Card"/>
    <n v="5"/>
    <s v="iPhone 11"/>
    <n v="60980.86"/>
    <s v="Good"/>
    <s v="Average"/>
  </r>
  <r>
    <s v="Jyot312725"/>
    <n v="2725"/>
    <n v="21"/>
    <n v="11"/>
    <n v="2023"/>
    <d v="2023-11-21T00:00:00"/>
    <s v="November"/>
    <d v="2029-03-25T00:00:00"/>
    <x v="0"/>
    <n v="2"/>
    <n v="56774.59"/>
    <s v="Jyoti Reddy"/>
    <n v="31"/>
    <s v="Adult"/>
    <s v="Good"/>
    <x v="8"/>
    <s v="Debit Card"/>
    <n v="4"/>
    <s v="Redmi Note 10"/>
    <n v="113549.18"/>
    <s v="Good"/>
    <s v="Good"/>
  </r>
  <r>
    <s v="Vino302726"/>
    <n v="2726"/>
    <n v="22"/>
    <n v="11"/>
    <n v="2023"/>
    <d v="2023-11-22T00:00:00"/>
    <s v="November"/>
    <d v="2029-03-26T00:00:00"/>
    <x v="1"/>
    <n v="4"/>
    <n v="44512.5"/>
    <s v="Vinod Kaur"/>
    <n v="30"/>
    <s v="Teenagers"/>
    <s v="Good"/>
    <x v="1"/>
    <s v="UPI"/>
    <n v="5"/>
    <s v="Vivo Y51"/>
    <n v="178050"/>
    <s v="Good"/>
    <s v="Good"/>
  </r>
  <r>
    <s v="Sach502727"/>
    <n v="2727"/>
    <n v="22"/>
    <n v="11"/>
    <n v="2023"/>
    <d v="2023-11-22T00:00:00"/>
    <s v="November"/>
    <d v="2029-03-27T00:00:00"/>
    <x v="3"/>
    <n v="1"/>
    <n v="69116.2"/>
    <s v="Sachin Jain"/>
    <n v="50"/>
    <s v="Senior Citezen"/>
    <s v="BAD"/>
    <x v="0"/>
    <s v="Debit Card"/>
    <n v="2"/>
    <s v="Galaxy Note 20"/>
    <n v="69116.2"/>
    <s v="Average"/>
    <s v="Average"/>
  </r>
  <r>
    <s v="Kira492728"/>
    <n v="2728"/>
    <n v="22"/>
    <n v="11"/>
    <n v="2023"/>
    <d v="2023-11-22T00:00:00"/>
    <s v="November"/>
    <d v="2029-03-28T00:00:00"/>
    <x v="0"/>
    <n v="5"/>
    <n v="24850.37"/>
    <s v="Kiran Nair"/>
    <n v="49"/>
    <s v="Senior Citezen"/>
    <s v="Good"/>
    <x v="2"/>
    <s v="Cash"/>
    <n v="5"/>
    <s v="Redmi 9"/>
    <n v="124251.84999999999"/>
    <s v="Good"/>
    <s v="Good"/>
  </r>
  <r>
    <s v="Vija362729"/>
    <n v="2729"/>
    <n v="22"/>
    <n v="11"/>
    <n v="2023"/>
    <d v="2023-11-22T00:00:00"/>
    <s v="November"/>
    <d v="2029-03-29T00:00:00"/>
    <x v="4"/>
    <n v="6"/>
    <n v="14779.35"/>
    <s v="Vijay Chatterjee"/>
    <n v="36"/>
    <s v="Adult"/>
    <s v="Good"/>
    <x v="11"/>
    <s v="Cash"/>
    <n v="4"/>
    <s v="iPhone SE"/>
    <n v="88676.1"/>
    <s v="Good"/>
    <s v="Average"/>
  </r>
  <r>
    <s v="Vino472730"/>
    <n v="2730"/>
    <n v="23"/>
    <n v="11"/>
    <n v="2023"/>
    <d v="2023-11-23T00:00:00"/>
    <s v="November"/>
    <d v="2029-03-30T00:00:00"/>
    <x v="4"/>
    <n v="9"/>
    <n v="14193.51"/>
    <s v="Vinod Srivastava"/>
    <n v="47"/>
    <s v="Senior Citezen"/>
    <s v="Good"/>
    <x v="1"/>
    <s v="Cash"/>
    <n v="5"/>
    <s v="iPhone SE"/>
    <n v="127741.59"/>
    <s v="Good"/>
    <s v="Good"/>
  </r>
  <r>
    <s v="Anit332731"/>
    <n v="2731"/>
    <n v="23"/>
    <n v="11"/>
    <n v="2023"/>
    <d v="2023-11-23T00:00:00"/>
    <s v="November"/>
    <d v="2029-03-31T00:00:00"/>
    <x v="3"/>
    <n v="8"/>
    <n v="48401.82"/>
    <s v="Anita Dutta"/>
    <n v="33"/>
    <s v="Adult"/>
    <s v="Good"/>
    <x v="15"/>
    <s v="UPI"/>
    <n v="4"/>
    <s v="Galaxy Note 20"/>
    <n v="387214.56"/>
    <s v="Good"/>
    <s v="Excellent"/>
  </r>
  <r>
    <s v="Navi292732"/>
    <n v="2732"/>
    <n v="23"/>
    <n v="11"/>
    <n v="2023"/>
    <d v="2023-11-23T00:00:00"/>
    <s v="November"/>
    <d v="2029-04-01T00:00:00"/>
    <x v="3"/>
    <n v="2"/>
    <n v="66355.61"/>
    <s v="Navin Gupta"/>
    <n v="29"/>
    <s v="Teenagers"/>
    <s v="Good"/>
    <x v="9"/>
    <s v="Debit Card"/>
    <n v="5"/>
    <s v="Galaxy S21"/>
    <n v="132711.22"/>
    <s v="Good"/>
    <s v="Good"/>
  </r>
  <r>
    <s v="Vive272733"/>
    <n v="2733"/>
    <n v="24"/>
    <n v="11"/>
    <n v="2023"/>
    <d v="2023-11-24T00:00:00"/>
    <s v="November"/>
    <d v="2029-04-02T00:00:00"/>
    <x v="0"/>
    <n v="1"/>
    <n v="10115.91"/>
    <s v="Vivek Bhatnagar"/>
    <n v="27"/>
    <s v="Teenagers"/>
    <s v="Good"/>
    <x v="1"/>
    <s v="Debit Card"/>
    <n v="4"/>
    <s v="Redmi 9"/>
    <n v="10115.91"/>
    <s v="Good"/>
    <s v="Low"/>
  </r>
  <r>
    <s v="Sanj192734"/>
    <n v="2734"/>
    <n v="24"/>
    <n v="11"/>
    <n v="2023"/>
    <d v="2023-11-24T00:00:00"/>
    <s v="November"/>
    <d v="2029-04-03T00:00:00"/>
    <x v="2"/>
    <n v="2"/>
    <n v="53546.26"/>
    <s v="Sanjay Roy"/>
    <n v="19"/>
    <s v="Teenagers"/>
    <s v="BAD"/>
    <x v="16"/>
    <s v="Cash"/>
    <n v="2"/>
    <s v="OnePlus 9"/>
    <n v="107092.52"/>
    <s v="Average"/>
    <s v="Good"/>
  </r>
  <r>
    <s v="Adit352735"/>
    <n v="2735"/>
    <n v="24"/>
    <n v="11"/>
    <n v="2023"/>
    <d v="2023-11-24T00:00:00"/>
    <s v="November"/>
    <d v="2029-04-04T00:00:00"/>
    <x v="3"/>
    <n v="7"/>
    <n v="49423.91"/>
    <s v="Aditya Mishra"/>
    <n v="35"/>
    <s v="Adult"/>
    <s v="Good"/>
    <x v="8"/>
    <s v="Debit Card"/>
    <n v="4"/>
    <s v="Galaxy A51"/>
    <n v="345967.37"/>
    <s v="Good"/>
    <s v="Excellent"/>
  </r>
  <r>
    <s v="Deep302736"/>
    <n v="2736"/>
    <n v="25"/>
    <n v="11"/>
    <n v="2023"/>
    <d v="2023-11-25T00:00:00"/>
    <s v="November"/>
    <d v="2029-04-05T00:00:00"/>
    <x v="2"/>
    <n v="4"/>
    <n v="53938.25"/>
    <s v="Deepika Pathak"/>
    <n v="30"/>
    <s v="Teenagers"/>
    <s v="AVG"/>
    <x v="15"/>
    <s v="Credit Card"/>
    <n v="3"/>
    <s v="OnePlus Nord"/>
    <n v="215753"/>
    <s v="Average"/>
    <s v="Excellent"/>
  </r>
  <r>
    <s v="Umes462737"/>
    <n v="2737"/>
    <n v="25"/>
    <n v="11"/>
    <n v="2023"/>
    <d v="2023-11-25T00:00:00"/>
    <s v="November"/>
    <d v="2029-04-06T00:00:00"/>
    <x v="1"/>
    <n v="5"/>
    <n v="31324.32"/>
    <s v="Umesh Nair"/>
    <n v="46"/>
    <s v="Senior Citezen"/>
    <s v="Good"/>
    <x v="1"/>
    <s v="Credit Card"/>
    <n v="4"/>
    <s v="Vivo V20"/>
    <n v="156621.6"/>
    <s v="Good"/>
    <s v="Good"/>
  </r>
  <r>
    <s v="Mala412738"/>
    <n v="2738"/>
    <n v="25"/>
    <n v="11"/>
    <n v="2023"/>
    <d v="2023-11-25T00:00:00"/>
    <s v="November"/>
    <d v="2029-04-07T00:00:00"/>
    <x v="4"/>
    <n v="7"/>
    <n v="59229.79"/>
    <s v="Mala Roy"/>
    <n v="41"/>
    <s v="Adult"/>
    <s v="Good"/>
    <x v="1"/>
    <s v="Credit Card"/>
    <n v="5"/>
    <s v="iPhone SE"/>
    <n v="414608.53"/>
    <s v="Good"/>
    <s v="Excellent"/>
  </r>
  <r>
    <s v="Roha552739"/>
    <n v="2739"/>
    <n v="25"/>
    <n v="11"/>
    <n v="2023"/>
    <d v="2023-11-25T00:00:00"/>
    <s v="November"/>
    <d v="2029-04-08T00:00:00"/>
    <x v="2"/>
    <n v="3"/>
    <n v="12682.42"/>
    <s v="Rohan Deshmukh"/>
    <n v="55"/>
    <s v="Senior Citezen"/>
    <s v="AVG"/>
    <x v="8"/>
    <s v="Credit Card"/>
    <n v="3"/>
    <s v="OnePlus 9"/>
    <n v="38047.26"/>
    <s v="Average"/>
    <s v="Low"/>
  </r>
  <r>
    <s v="Pank292740"/>
    <n v="2740"/>
    <n v="26"/>
    <n v="11"/>
    <n v="2023"/>
    <d v="2023-11-26T00:00:00"/>
    <s v="November"/>
    <d v="2029-04-09T00:00:00"/>
    <x v="4"/>
    <n v="2"/>
    <n v="55325.87"/>
    <s v="Pankaj Singh"/>
    <n v="29"/>
    <s v="Teenagers"/>
    <s v="Good"/>
    <x v="1"/>
    <s v="Debit Card"/>
    <n v="5"/>
    <s v="iPhone 11"/>
    <n v="110651.74"/>
    <s v="Good"/>
    <s v="Good"/>
  </r>
  <r>
    <s v="Pras462741"/>
    <n v="2741"/>
    <n v="26"/>
    <n v="11"/>
    <n v="2023"/>
    <d v="2023-11-26T00:00:00"/>
    <s v="November"/>
    <d v="2029-04-10T00:00:00"/>
    <x v="2"/>
    <n v="7"/>
    <n v="26024.32"/>
    <s v="Prashant Chatterjee"/>
    <n v="46"/>
    <s v="Senior Citezen"/>
    <s v="Good"/>
    <x v="1"/>
    <s v="Credit Card"/>
    <n v="5"/>
    <s v="OnePlus 8T"/>
    <n v="182170.23999999999"/>
    <s v="Good"/>
    <s v="Good"/>
  </r>
  <r>
    <s v="Roha392742"/>
    <n v="2742"/>
    <n v="26"/>
    <n v="11"/>
    <n v="2023"/>
    <d v="2023-11-26T00:00:00"/>
    <s v="November"/>
    <d v="2029-04-11T00:00:00"/>
    <x v="1"/>
    <n v="5"/>
    <n v="38610.269999999997"/>
    <s v="Rohan Nambiar"/>
    <n v="39"/>
    <s v="Adult"/>
    <s v="BAD"/>
    <x v="1"/>
    <s v="Credit Card"/>
    <n v="2"/>
    <s v="Vivo V20"/>
    <n v="193051.34999999998"/>
    <s v="Average"/>
    <s v="Good"/>
  </r>
  <r>
    <s v="Sanj532743"/>
    <n v="2743"/>
    <n v="26"/>
    <n v="11"/>
    <n v="2023"/>
    <d v="2023-11-26T00:00:00"/>
    <s v="November"/>
    <d v="2029-04-12T00:00:00"/>
    <x v="3"/>
    <n v="1"/>
    <n v="59358.18"/>
    <s v="Sanjay Joshi"/>
    <n v="53"/>
    <s v="Senior Citezen"/>
    <s v="Good"/>
    <x v="15"/>
    <s v="Credit Card"/>
    <n v="4"/>
    <s v="Galaxy S21"/>
    <n v="59358.18"/>
    <s v="Good"/>
    <s v="Average"/>
  </r>
  <r>
    <s v="Radh182744"/>
    <n v="2744"/>
    <n v="27"/>
    <n v="11"/>
    <n v="2023"/>
    <d v="2023-11-27T00:00:00"/>
    <s v="November"/>
    <d v="2029-04-13T00:00:00"/>
    <x v="1"/>
    <n v="1"/>
    <n v="26281.54"/>
    <s v="Radha Kulkarni"/>
    <n v="18"/>
    <s v="Teenagers"/>
    <s v="Good"/>
    <x v="9"/>
    <s v="Credit Card"/>
    <n v="4"/>
    <s v="Vivo Y51"/>
    <n v="26281.54"/>
    <s v="Good"/>
    <s v="Low"/>
  </r>
  <r>
    <s v="Deve572745"/>
    <n v="2745"/>
    <n v="27"/>
    <n v="11"/>
    <n v="2023"/>
    <d v="2023-11-27T00:00:00"/>
    <s v="November"/>
    <d v="2029-04-14T00:00:00"/>
    <x v="3"/>
    <n v="9"/>
    <n v="21112.45"/>
    <s v="Devendra Jain"/>
    <n v="57"/>
    <s v="Senior Citezen"/>
    <s v="Good"/>
    <x v="0"/>
    <s v="Credit Card"/>
    <n v="5"/>
    <s v="Galaxy S21"/>
    <n v="190012.05000000002"/>
    <s v="Good"/>
    <s v="Good"/>
  </r>
  <r>
    <s v="Raje512746"/>
    <n v="2746"/>
    <n v="27"/>
    <n v="11"/>
    <n v="2023"/>
    <d v="2023-11-27T00:00:00"/>
    <s v="November"/>
    <d v="2029-04-15T00:00:00"/>
    <x v="3"/>
    <n v="5"/>
    <n v="50878.79"/>
    <s v="Rajesh Verma"/>
    <n v="51"/>
    <s v="Senior Citezen"/>
    <s v="Good"/>
    <x v="11"/>
    <s v="UPI"/>
    <n v="4"/>
    <s v="Galaxy Note 20"/>
    <n v="254393.95"/>
    <s v="Good"/>
    <s v="Excellent"/>
  </r>
  <r>
    <s v="Mano512747"/>
    <n v="2747"/>
    <n v="28"/>
    <n v="11"/>
    <n v="2023"/>
    <d v="2023-11-28T00:00:00"/>
    <s v="November"/>
    <d v="2029-04-16T00:00:00"/>
    <x v="4"/>
    <n v="1"/>
    <n v="42003.69"/>
    <s v="Manoj Sharma"/>
    <n v="51"/>
    <s v="Senior Citezen"/>
    <s v="Good"/>
    <x v="1"/>
    <s v="UPI"/>
    <n v="4"/>
    <s v="iPhone 11"/>
    <n v="42003.69"/>
    <s v="Good"/>
    <s v="Low"/>
  </r>
  <r>
    <s v="Raje502748"/>
    <n v="2748"/>
    <n v="28"/>
    <n v="11"/>
    <n v="2023"/>
    <d v="2023-11-28T00:00:00"/>
    <s v="November"/>
    <d v="2029-04-17T00:00:00"/>
    <x v="1"/>
    <n v="7"/>
    <n v="40864.230000000003"/>
    <s v="Rajesh Shah"/>
    <n v="50"/>
    <s v="Senior Citezen"/>
    <s v="Good"/>
    <x v="5"/>
    <s v="Credit Card"/>
    <n v="5"/>
    <s v="Vivo V20"/>
    <n v="286049.61000000004"/>
    <s v="Good"/>
    <s v="Excellent"/>
  </r>
  <r>
    <s v="Adit212749"/>
    <n v="2749"/>
    <n v="28"/>
    <n v="11"/>
    <n v="2023"/>
    <d v="2023-11-28T00:00:00"/>
    <s v="November"/>
    <d v="2029-04-18T00:00:00"/>
    <x v="2"/>
    <n v="9"/>
    <n v="25406.17"/>
    <s v="Aditya Singh"/>
    <n v="21"/>
    <s v="Teenagers"/>
    <s v="Good"/>
    <x v="2"/>
    <s v="Credit Card"/>
    <n v="4"/>
    <s v="OnePlus Nord"/>
    <n v="228655.52999999997"/>
    <s v="Good"/>
    <s v="Excellent"/>
  </r>
  <r>
    <s v="Tanu552750"/>
    <n v="2750"/>
    <n v="29"/>
    <n v="11"/>
    <n v="2023"/>
    <d v="2023-11-29T00:00:00"/>
    <s v="November"/>
    <d v="2029-04-19T00:00:00"/>
    <x v="1"/>
    <n v="1"/>
    <n v="12092.82"/>
    <s v="Tanuja Roy"/>
    <n v="55"/>
    <s v="Senior Citezen"/>
    <s v="Good"/>
    <x v="2"/>
    <s v="Debit Card"/>
    <n v="4"/>
    <s v="Vivo V20"/>
    <n v="12092.82"/>
    <s v="Good"/>
    <s v="Low"/>
  </r>
  <r>
    <s v="Pras472751"/>
    <n v="2751"/>
    <n v="29"/>
    <n v="11"/>
    <n v="2023"/>
    <d v="2023-11-29T00:00:00"/>
    <s v="November"/>
    <d v="2029-04-20T00:00:00"/>
    <x v="4"/>
    <n v="4"/>
    <n v="34616.15"/>
    <s v="Prashant Mishra"/>
    <n v="47"/>
    <s v="Senior Citezen"/>
    <s v="Good"/>
    <x v="9"/>
    <s v="Credit Card"/>
    <n v="5"/>
    <s v="iPhone 11"/>
    <n v="138464.6"/>
    <s v="Good"/>
    <s v="Good"/>
  </r>
  <r>
    <s v="Nikh372752"/>
    <n v="2752"/>
    <n v="29"/>
    <n v="11"/>
    <n v="2023"/>
    <d v="2023-11-29T00:00:00"/>
    <s v="November"/>
    <d v="2029-04-21T00:00:00"/>
    <x v="3"/>
    <n v="3"/>
    <n v="16393.57"/>
    <s v="Nikhil Ahuja"/>
    <n v="37"/>
    <s v="Adult"/>
    <s v="Good"/>
    <x v="4"/>
    <s v="Cash"/>
    <n v="4"/>
    <s v="Galaxy A51"/>
    <n v="49180.71"/>
    <s v="Good"/>
    <s v="Low"/>
  </r>
  <r>
    <s v="Sneh432753"/>
    <n v="2753"/>
    <n v="30"/>
    <n v="11"/>
    <n v="2023"/>
    <d v="2023-11-30T00:00:00"/>
    <s v="November"/>
    <d v="2029-04-22T00:00:00"/>
    <x v="4"/>
    <n v="5"/>
    <n v="64359.35"/>
    <s v="Sneha Rao"/>
    <n v="43"/>
    <s v="Adult"/>
    <s v="Good"/>
    <x v="2"/>
    <s v="UPI"/>
    <n v="5"/>
    <s v="iPhone SE"/>
    <n v="321796.75"/>
    <s v="Good"/>
    <s v="Excellent"/>
  </r>
  <r>
    <s v="Bina322754"/>
    <n v="2754"/>
    <n v="30"/>
    <n v="11"/>
    <n v="2023"/>
    <d v="2023-11-30T00:00:00"/>
    <s v="November"/>
    <d v="2029-04-23T00:00:00"/>
    <x v="0"/>
    <n v="7"/>
    <n v="12475.02"/>
    <s v="Bina Kumar"/>
    <n v="32"/>
    <s v="Adult"/>
    <s v="BAD"/>
    <x v="17"/>
    <s v="Credit Card"/>
    <n v="2"/>
    <s v="Mi 11"/>
    <n v="87325.14"/>
    <s v="Average"/>
    <s v="Average"/>
  </r>
  <r>
    <s v="Vino242755"/>
    <n v="2755"/>
    <n v="30"/>
    <n v="11"/>
    <n v="2023"/>
    <d v="2023-11-30T00:00:00"/>
    <s v="November"/>
    <d v="2029-04-24T00:00:00"/>
    <x v="0"/>
    <n v="8"/>
    <n v="35899.050000000003"/>
    <s v="Vinod Sharma"/>
    <n v="24"/>
    <s v="Teenagers"/>
    <s v="Good"/>
    <x v="9"/>
    <s v="UPI"/>
    <n v="4"/>
    <s v="Redmi 9"/>
    <n v="287192.40000000002"/>
    <s v="Good"/>
    <s v="Excellent"/>
  </r>
  <r>
    <s v="Priy242756"/>
    <n v="2756"/>
    <n v="30"/>
    <n v="11"/>
    <n v="2023"/>
    <d v="2023-11-30T00:00:00"/>
    <s v="November"/>
    <d v="2029-04-25T00:00:00"/>
    <x v="2"/>
    <n v="2"/>
    <n v="13134.74"/>
    <s v="Priyanka Mishra"/>
    <n v="24"/>
    <s v="Teenagers"/>
    <s v="Good"/>
    <x v="4"/>
    <s v="Credit Card"/>
    <n v="5"/>
    <s v="OnePlus Nord"/>
    <n v="26269.48"/>
    <s v="Good"/>
    <s v="Low"/>
  </r>
  <r>
    <s v="Neet462757"/>
    <n v="2757"/>
    <n v="1"/>
    <n v="12"/>
    <n v="2023"/>
    <d v="2023-12-01T00:00:00"/>
    <s v="December"/>
    <d v="2029-04-26T00:00:00"/>
    <x v="4"/>
    <n v="7"/>
    <n v="15732.63"/>
    <s v="Neeta Nair"/>
    <n v="46"/>
    <s v="Senior Citezen"/>
    <s v="AVG"/>
    <x v="7"/>
    <s v="Cash"/>
    <n v="3"/>
    <s v="iPhone 12"/>
    <n v="110128.40999999999"/>
    <s v="Average"/>
    <s v="Good"/>
  </r>
  <r>
    <s v="Neet402758"/>
    <n v="2758"/>
    <n v="1"/>
    <n v="12"/>
    <n v="2023"/>
    <d v="2023-12-01T00:00:00"/>
    <s v="December"/>
    <d v="2029-04-27T00:00:00"/>
    <x v="2"/>
    <n v="1"/>
    <n v="49532"/>
    <s v="Neeta Prasad"/>
    <n v="40"/>
    <s v="Adult"/>
    <s v="BAD"/>
    <x v="1"/>
    <s v="Credit Card"/>
    <n v="2"/>
    <s v="OnePlus 8T"/>
    <n v="49532"/>
    <s v="Average"/>
    <s v="Low"/>
  </r>
  <r>
    <s v="Sneh512759"/>
    <n v="2759"/>
    <n v="1"/>
    <n v="12"/>
    <n v="2023"/>
    <d v="2023-12-01T00:00:00"/>
    <s v="December"/>
    <d v="2029-04-28T00:00:00"/>
    <x v="2"/>
    <n v="7"/>
    <n v="48826.68"/>
    <s v="Sneha Jain"/>
    <n v="51"/>
    <s v="Senior Citezen"/>
    <s v="Good"/>
    <x v="16"/>
    <s v="UPI"/>
    <n v="4"/>
    <s v="OnePlus Nord"/>
    <n v="341786.76"/>
    <s v="Good"/>
    <s v="Excellent"/>
  </r>
  <r>
    <s v="Pras372760"/>
    <n v="2760"/>
    <n v="1"/>
    <n v="12"/>
    <n v="2023"/>
    <d v="2023-12-01T00:00:00"/>
    <s v="December"/>
    <d v="2029-04-29T00:00:00"/>
    <x v="0"/>
    <n v="8"/>
    <n v="11983.13"/>
    <s v="Prashant Gupta"/>
    <n v="37"/>
    <s v="Adult"/>
    <s v="Good"/>
    <x v="13"/>
    <s v="UPI"/>
    <n v="5"/>
    <s v="Mi 11"/>
    <n v="95865.04"/>
    <s v="Good"/>
    <s v="Average"/>
  </r>
  <r>
    <s v="Anja322761"/>
    <n v="2761"/>
    <n v="2"/>
    <n v="12"/>
    <n v="2023"/>
    <d v="2023-12-02T00:00:00"/>
    <s v="December"/>
    <d v="2029-04-30T00:00:00"/>
    <x v="2"/>
    <n v="2"/>
    <n v="10067.89"/>
    <s v="Anjali Das"/>
    <n v="32"/>
    <s v="Adult"/>
    <s v="AVG"/>
    <x v="1"/>
    <s v="UPI"/>
    <n v="3"/>
    <s v="OnePlus 9"/>
    <n v="20135.78"/>
    <s v="Average"/>
    <s v="Low"/>
  </r>
  <r>
    <s v="Anja502762"/>
    <n v="2762"/>
    <n v="2"/>
    <n v="12"/>
    <n v="2023"/>
    <d v="2023-12-02T00:00:00"/>
    <s v="December"/>
    <d v="2029-05-01T00:00:00"/>
    <x v="0"/>
    <n v="9"/>
    <n v="14729.08"/>
    <s v="Anjali Desai"/>
    <n v="50"/>
    <s v="Senior Citezen"/>
    <s v="Good"/>
    <x v="0"/>
    <s v="Debit Card"/>
    <n v="5"/>
    <s v="Redmi Note 10"/>
    <n v="132561.72"/>
    <s v="Good"/>
    <s v="Good"/>
  </r>
  <r>
    <s v="Priy342763"/>
    <n v="2763"/>
    <n v="2"/>
    <n v="12"/>
    <n v="2023"/>
    <d v="2023-12-02T00:00:00"/>
    <s v="December"/>
    <d v="2029-05-02T00:00:00"/>
    <x v="3"/>
    <n v="1"/>
    <n v="55779.93"/>
    <s v="Priyanka Nambiar"/>
    <n v="34"/>
    <s v="Adult"/>
    <s v="Good"/>
    <x v="2"/>
    <s v="UPI"/>
    <n v="4"/>
    <s v="Galaxy S21"/>
    <n v="55779.93"/>
    <s v="Good"/>
    <s v="Average"/>
  </r>
  <r>
    <s v="Anja372764"/>
    <n v="2764"/>
    <n v="2"/>
    <n v="12"/>
    <n v="2023"/>
    <d v="2023-12-02T00:00:00"/>
    <s v="December"/>
    <d v="2029-05-03T00:00:00"/>
    <x v="4"/>
    <n v="6"/>
    <n v="45074.59"/>
    <s v="Anjali Kulkarni"/>
    <n v="37"/>
    <s v="Adult"/>
    <s v="Good"/>
    <x v="1"/>
    <s v="Credit Card"/>
    <n v="5"/>
    <s v="iPhone SE"/>
    <n v="270447.53999999998"/>
    <s v="Good"/>
    <s v="Excellent"/>
  </r>
  <r>
    <s v="Ravi302765"/>
    <n v="2765"/>
    <n v="3"/>
    <n v="12"/>
    <n v="2023"/>
    <d v="2023-12-03T00:00:00"/>
    <s v="December"/>
    <d v="2029-05-04T00:00:00"/>
    <x v="2"/>
    <n v="1"/>
    <n v="12287.09"/>
    <s v="Ravi Kaur"/>
    <n v="30"/>
    <s v="Teenagers"/>
    <s v="BAD"/>
    <x v="0"/>
    <s v="Cash"/>
    <n v="2"/>
    <s v="OnePlus 9"/>
    <n v="12287.09"/>
    <s v="Average"/>
    <s v="Low"/>
  </r>
  <r>
    <s v="Ravi412766"/>
    <n v="2766"/>
    <n v="3"/>
    <n v="12"/>
    <n v="2023"/>
    <d v="2023-12-03T00:00:00"/>
    <s v="December"/>
    <d v="2029-05-05T00:00:00"/>
    <x v="0"/>
    <n v="3"/>
    <n v="39285.82"/>
    <s v="Ravi Thakur"/>
    <n v="41"/>
    <s v="Adult"/>
    <s v="AVG"/>
    <x v="0"/>
    <s v="Cash"/>
    <n v="3"/>
    <s v="Mi 11"/>
    <n v="117857.45999999999"/>
    <s v="Average"/>
    <s v="Good"/>
  </r>
  <r>
    <s v="Kavi542767"/>
    <n v="2767"/>
    <n v="3"/>
    <n v="12"/>
    <n v="2023"/>
    <d v="2023-12-03T00:00:00"/>
    <s v="December"/>
    <d v="2029-05-06T00:00:00"/>
    <x v="1"/>
    <n v="6"/>
    <n v="52721.760000000002"/>
    <s v="Kavita Teja"/>
    <n v="54"/>
    <s v="Senior Citezen"/>
    <s v="AVG"/>
    <x v="2"/>
    <s v="Credit Card"/>
    <n v="3"/>
    <s v="Vivo V20"/>
    <n v="316330.56"/>
    <s v="Average"/>
    <s v="Excellent"/>
  </r>
  <r>
    <s v="Jyot242768"/>
    <n v="2768"/>
    <n v="4"/>
    <n v="12"/>
    <n v="2023"/>
    <d v="2023-12-04T00:00:00"/>
    <s v="December"/>
    <d v="2029-05-07T00:00:00"/>
    <x v="2"/>
    <n v="3"/>
    <n v="62137.08"/>
    <s v="Jyoti Bhattacharya"/>
    <n v="24"/>
    <s v="Teenagers"/>
    <s v="Good"/>
    <x v="6"/>
    <s v="Debit Card"/>
    <n v="5"/>
    <s v="OnePlus Nord"/>
    <n v="186411.24"/>
    <s v="Good"/>
    <s v="Good"/>
  </r>
  <r>
    <s v="Vino252769"/>
    <n v="2769"/>
    <n v="4"/>
    <n v="12"/>
    <n v="2023"/>
    <d v="2023-12-04T00:00:00"/>
    <s v="December"/>
    <d v="2029-05-08T00:00:00"/>
    <x v="3"/>
    <n v="8"/>
    <n v="66042.19"/>
    <s v="Vinod Nair"/>
    <n v="25"/>
    <s v="Teenagers"/>
    <s v="Good"/>
    <x v="11"/>
    <s v="Credit Card"/>
    <n v="5"/>
    <s v="Galaxy S21"/>
    <n v="528337.52"/>
    <s v="Good"/>
    <s v="Excellent"/>
  </r>
  <r>
    <s v="Raje402770"/>
    <n v="2770"/>
    <n v="4"/>
    <n v="12"/>
    <n v="2023"/>
    <d v="2023-12-04T00:00:00"/>
    <s v="December"/>
    <d v="2029-05-09T00:00:00"/>
    <x v="3"/>
    <n v="5"/>
    <n v="29646.43"/>
    <s v="Rajesh Singh"/>
    <n v="40"/>
    <s v="Adult"/>
    <s v="BAD"/>
    <x v="1"/>
    <s v="UPI"/>
    <n v="2"/>
    <s v="Galaxy A51"/>
    <n v="148232.15"/>
    <s v="Average"/>
    <s v="Good"/>
  </r>
  <r>
    <s v="Lata312771"/>
    <n v="2771"/>
    <n v="5"/>
    <n v="12"/>
    <n v="2023"/>
    <d v="2023-12-05T00:00:00"/>
    <s v="December"/>
    <d v="2029-05-10T00:00:00"/>
    <x v="1"/>
    <n v="2"/>
    <n v="18149.95"/>
    <s v="Lata Verma"/>
    <n v="31"/>
    <s v="Adult"/>
    <s v="Good"/>
    <x v="16"/>
    <s v="Debit Card"/>
    <n v="5"/>
    <s v="Vivo Y51"/>
    <n v="36299.9"/>
    <s v="Good"/>
    <s v="Low"/>
  </r>
  <r>
    <s v="Priy212772"/>
    <n v="2772"/>
    <n v="5"/>
    <n v="12"/>
    <n v="2023"/>
    <d v="2023-12-05T00:00:00"/>
    <s v="December"/>
    <d v="2029-05-11T00:00:00"/>
    <x v="0"/>
    <n v="4"/>
    <n v="24215.56"/>
    <s v="Priya Teja"/>
    <n v="21"/>
    <s v="Teenagers"/>
    <s v="Good"/>
    <x v="1"/>
    <s v="Credit Card"/>
    <n v="4"/>
    <s v="Redmi Note 10"/>
    <n v="96862.24"/>
    <s v="Good"/>
    <s v="Average"/>
  </r>
  <r>
    <s v="Pooj382773"/>
    <n v="2773"/>
    <n v="5"/>
    <n v="12"/>
    <n v="2023"/>
    <d v="2023-12-05T00:00:00"/>
    <s v="December"/>
    <d v="2029-05-12T00:00:00"/>
    <x v="2"/>
    <n v="9"/>
    <n v="56570.29"/>
    <s v="Pooja Srivastava"/>
    <n v="38"/>
    <s v="Adult"/>
    <s v="Good"/>
    <x v="2"/>
    <s v="Debit Card"/>
    <n v="5"/>
    <s v="OnePlus 9"/>
    <n v="509132.61"/>
    <s v="Good"/>
    <s v="Excellent"/>
  </r>
  <r>
    <s v="Kira272774"/>
    <n v="2774"/>
    <n v="5"/>
    <n v="12"/>
    <n v="2023"/>
    <d v="2023-12-05T00:00:00"/>
    <s v="December"/>
    <d v="2029-05-13T00:00:00"/>
    <x v="0"/>
    <n v="4"/>
    <n v="68289.05"/>
    <s v="Kiran Alva"/>
    <n v="27"/>
    <s v="Teenagers"/>
    <s v="AVG"/>
    <x v="4"/>
    <s v="Cash"/>
    <n v="3"/>
    <s v="Mi 11"/>
    <n v="273156.2"/>
    <s v="Average"/>
    <s v="Excellent"/>
  </r>
  <r>
    <s v="Kuna392775"/>
    <n v="2775"/>
    <n v="6"/>
    <n v="12"/>
    <n v="2023"/>
    <d v="2023-12-06T00:00:00"/>
    <s v="December"/>
    <d v="2029-05-14T00:00:00"/>
    <x v="3"/>
    <n v="8"/>
    <n v="37983.620000000003"/>
    <s v="Kunal Malhotra"/>
    <n v="39"/>
    <s v="Adult"/>
    <s v="Good"/>
    <x v="1"/>
    <s v="Credit Card"/>
    <n v="4"/>
    <s v="Galaxy Note 20"/>
    <n v="303868.96000000002"/>
    <s v="Good"/>
    <s v="Excellent"/>
  </r>
  <r>
    <s v="Raje472776"/>
    <n v="2776"/>
    <n v="6"/>
    <n v="12"/>
    <n v="2023"/>
    <d v="2023-12-06T00:00:00"/>
    <s v="December"/>
    <d v="2029-05-15T00:00:00"/>
    <x v="0"/>
    <n v="5"/>
    <n v="28321.19"/>
    <s v="Rajesh Desai"/>
    <n v="47"/>
    <s v="Senior Citezen"/>
    <s v="BAD"/>
    <x v="1"/>
    <s v="Credit Card"/>
    <n v="2"/>
    <s v="Redmi 9"/>
    <n v="141605.94999999998"/>
    <s v="Average"/>
    <s v="Good"/>
  </r>
  <r>
    <s v="Yoge472777"/>
    <n v="2777"/>
    <n v="6"/>
    <n v="12"/>
    <n v="2023"/>
    <d v="2023-12-06T00:00:00"/>
    <s v="December"/>
    <d v="2029-05-16T00:00:00"/>
    <x v="3"/>
    <n v="1"/>
    <n v="35751.43"/>
    <s v="Yogesh Menon"/>
    <n v="47"/>
    <s v="Senior Citezen"/>
    <s v="Good"/>
    <x v="1"/>
    <s v="Cash"/>
    <n v="5"/>
    <s v="Galaxy S21"/>
    <n v="35751.43"/>
    <s v="Good"/>
    <s v="Low"/>
  </r>
  <r>
    <s v="Vija332778"/>
    <n v="2778"/>
    <n v="6"/>
    <n v="12"/>
    <n v="2023"/>
    <d v="2023-12-06T00:00:00"/>
    <s v="December"/>
    <d v="2029-05-17T00:00:00"/>
    <x v="0"/>
    <n v="7"/>
    <n v="28288.79"/>
    <s v="Vijay Rawat"/>
    <n v="33"/>
    <s v="Adult"/>
    <s v="Good"/>
    <x v="8"/>
    <s v="Debit Card"/>
    <n v="5"/>
    <s v="Redmi Note 10"/>
    <n v="198021.53"/>
    <s v="Good"/>
    <s v="Good"/>
  </r>
  <r>
    <s v="Sumi282779"/>
    <n v="2779"/>
    <n v="7"/>
    <n v="12"/>
    <n v="2023"/>
    <d v="2023-12-07T00:00:00"/>
    <s v="December"/>
    <d v="2029-05-18T00:00:00"/>
    <x v="1"/>
    <n v="3"/>
    <n v="25389.25"/>
    <s v="Sumit Verma"/>
    <n v="28"/>
    <s v="Teenagers"/>
    <s v="Good"/>
    <x v="7"/>
    <s v="Cash"/>
    <n v="4"/>
    <s v="Vivo V20"/>
    <n v="76167.75"/>
    <s v="Good"/>
    <s v="Average"/>
  </r>
  <r>
    <s v="Ayes392780"/>
    <n v="2780"/>
    <n v="7"/>
    <n v="12"/>
    <n v="2023"/>
    <d v="2023-12-07T00:00:00"/>
    <s v="December"/>
    <d v="2029-05-19T00:00:00"/>
    <x v="4"/>
    <n v="8"/>
    <n v="45625.05"/>
    <s v="Ayesha Patel"/>
    <n v="39"/>
    <s v="Adult"/>
    <s v="BAD"/>
    <x v="1"/>
    <s v="Debit Card"/>
    <n v="2"/>
    <s v="iPhone 12"/>
    <n v="365000.4"/>
    <s v="Average"/>
    <s v="Excellent"/>
  </r>
  <r>
    <s v="Nami462781"/>
    <n v="2781"/>
    <n v="7"/>
    <n v="12"/>
    <n v="2023"/>
    <d v="2023-12-07T00:00:00"/>
    <s v="December"/>
    <d v="2029-05-20T00:00:00"/>
    <x v="1"/>
    <n v="3"/>
    <n v="10944.16"/>
    <s v="Namita Desai"/>
    <n v="46"/>
    <s v="Senior Citezen"/>
    <s v="BAD"/>
    <x v="4"/>
    <s v="Credit Card"/>
    <n v="2"/>
    <s v="Vivo Y51"/>
    <n v="32832.479999999996"/>
    <s v="Average"/>
    <s v="Low"/>
  </r>
  <r>
    <s v="Bina422782"/>
    <n v="2782"/>
    <n v="8"/>
    <n v="12"/>
    <n v="2023"/>
    <d v="2023-12-08T00:00:00"/>
    <s v="December"/>
    <d v="2029-05-21T00:00:00"/>
    <x v="1"/>
    <n v="1"/>
    <n v="25573.13"/>
    <s v="Bina Kumar"/>
    <n v="42"/>
    <s v="Adult"/>
    <s v="Good"/>
    <x v="5"/>
    <s v="Debit Card"/>
    <n v="5"/>
    <s v="Vivo V20"/>
    <n v="25573.13"/>
    <s v="Good"/>
    <s v="Low"/>
  </r>
  <r>
    <s v="Vija312783"/>
    <n v="2783"/>
    <n v="8"/>
    <n v="12"/>
    <n v="2023"/>
    <d v="2023-12-08T00:00:00"/>
    <s v="December"/>
    <d v="2029-05-22T00:00:00"/>
    <x v="4"/>
    <n v="5"/>
    <n v="49682.92"/>
    <s v="Vijay Mishra"/>
    <n v="31"/>
    <s v="Adult"/>
    <s v="Good"/>
    <x v="17"/>
    <s v="Debit Card"/>
    <n v="5"/>
    <s v="iPhone 12"/>
    <n v="248414.59999999998"/>
    <s v="Good"/>
    <s v="Excellent"/>
  </r>
  <r>
    <s v="Sumi312784"/>
    <n v="2784"/>
    <n v="8"/>
    <n v="12"/>
    <n v="2023"/>
    <d v="2023-12-08T00:00:00"/>
    <s v="December"/>
    <d v="2029-05-23T00:00:00"/>
    <x v="4"/>
    <n v="2"/>
    <n v="11923.76"/>
    <s v="Sumit Arora"/>
    <n v="31"/>
    <s v="Adult"/>
    <s v="Good"/>
    <x v="18"/>
    <s v="UPI"/>
    <n v="5"/>
    <s v="iPhone 12"/>
    <n v="23847.52"/>
    <s v="Good"/>
    <s v="Low"/>
  </r>
  <r>
    <s v="Meen192785"/>
    <n v="2785"/>
    <n v="8"/>
    <n v="12"/>
    <n v="2023"/>
    <d v="2023-12-08T00:00:00"/>
    <s v="December"/>
    <d v="2029-05-24T00:00:00"/>
    <x v="2"/>
    <n v="4"/>
    <n v="14992.11"/>
    <s v="Meena Thakur"/>
    <n v="19"/>
    <s v="Teenagers"/>
    <s v="Good"/>
    <x v="1"/>
    <s v="UPI"/>
    <n v="4"/>
    <s v="OnePlus Nord"/>
    <n v="59968.44"/>
    <s v="Good"/>
    <s v="Average"/>
  </r>
  <r>
    <s v="Umes302786"/>
    <n v="2786"/>
    <n v="9"/>
    <n v="12"/>
    <n v="2023"/>
    <d v="2023-12-09T00:00:00"/>
    <s v="December"/>
    <d v="2029-05-25T00:00:00"/>
    <x v="2"/>
    <n v="1"/>
    <n v="27603.77"/>
    <s v="Umesh Kumar"/>
    <n v="30"/>
    <s v="Teenagers"/>
    <s v="BAD"/>
    <x v="18"/>
    <s v="UPI"/>
    <n v="2"/>
    <s v="OnePlus Nord"/>
    <n v="27603.77"/>
    <s v="Average"/>
    <s v="Low"/>
  </r>
  <r>
    <s v="Moni202787"/>
    <n v="2787"/>
    <n v="9"/>
    <n v="12"/>
    <n v="2023"/>
    <d v="2023-12-09T00:00:00"/>
    <s v="December"/>
    <d v="2029-05-26T00:00:00"/>
    <x v="1"/>
    <n v="9"/>
    <n v="62668.29"/>
    <s v="Monika Kumar"/>
    <n v="20"/>
    <s v="Teenagers"/>
    <s v="AVG"/>
    <x v="17"/>
    <s v="Cash"/>
    <n v="3"/>
    <s v="Vivo S1"/>
    <n v="564014.61"/>
    <s v="Average"/>
    <s v="Excellent"/>
  </r>
  <r>
    <s v="Vive472788"/>
    <n v="2788"/>
    <n v="9"/>
    <n v="12"/>
    <n v="2023"/>
    <d v="2023-12-09T00:00:00"/>
    <s v="December"/>
    <d v="2029-05-27T00:00:00"/>
    <x v="1"/>
    <n v="6"/>
    <n v="55893.17"/>
    <s v="Vivek Yadav"/>
    <n v="47"/>
    <s v="Senior Citezen"/>
    <s v="Good"/>
    <x v="1"/>
    <s v="Cash"/>
    <n v="4"/>
    <s v="Vivo Y51"/>
    <n v="335359.02"/>
    <s v="Good"/>
    <s v="Excellent"/>
  </r>
  <r>
    <s v="Kavi352789"/>
    <n v="2789"/>
    <n v="9"/>
    <n v="12"/>
    <n v="2023"/>
    <d v="2023-12-09T00:00:00"/>
    <s v="December"/>
    <d v="2029-05-28T00:00:00"/>
    <x v="3"/>
    <n v="8"/>
    <n v="11329.4"/>
    <s v="Kavita Srivastava"/>
    <n v="35"/>
    <s v="Adult"/>
    <s v="Good"/>
    <x v="18"/>
    <s v="UPI"/>
    <n v="5"/>
    <s v="Galaxy Note 20"/>
    <n v="90635.199999999997"/>
    <s v="Good"/>
    <s v="Average"/>
  </r>
  <r>
    <s v="Anan532790"/>
    <n v="2790"/>
    <n v="10"/>
    <n v="12"/>
    <n v="2023"/>
    <d v="2023-12-10T00:00:00"/>
    <s v="December"/>
    <d v="2029-05-29T00:00:00"/>
    <x v="3"/>
    <n v="4"/>
    <n v="40102.769999999997"/>
    <s v="Anand Pillai"/>
    <n v="53"/>
    <s v="Senior Citezen"/>
    <s v="Good"/>
    <x v="2"/>
    <s v="Credit Card"/>
    <n v="4"/>
    <s v="Galaxy Note 20"/>
    <n v="160411.07999999999"/>
    <s v="Good"/>
    <s v="Good"/>
  </r>
  <r>
    <s v="Anit382791"/>
    <n v="2791"/>
    <n v="10"/>
    <n v="12"/>
    <n v="2023"/>
    <d v="2023-12-10T00:00:00"/>
    <s v="December"/>
    <d v="2029-05-30T00:00:00"/>
    <x v="2"/>
    <n v="9"/>
    <n v="26481.25"/>
    <s v="Anita Arora"/>
    <n v="38"/>
    <s v="Adult"/>
    <s v="Good"/>
    <x v="7"/>
    <s v="Credit Card"/>
    <n v="5"/>
    <s v="OnePlus 9"/>
    <n v="238331.25"/>
    <s v="Good"/>
    <s v="Excellent"/>
  </r>
  <r>
    <s v="Adit362792"/>
    <n v="2792"/>
    <n v="10"/>
    <n v="12"/>
    <n v="2023"/>
    <d v="2023-12-10T00:00:00"/>
    <s v="December"/>
    <d v="2029-05-31T00:00:00"/>
    <x v="2"/>
    <n v="2"/>
    <n v="48918.74"/>
    <s v="Aditya Prasad"/>
    <n v="36"/>
    <s v="Adult"/>
    <s v="Good"/>
    <x v="0"/>
    <s v="Credit Card"/>
    <n v="4"/>
    <s v="OnePlus 9"/>
    <n v="97837.48"/>
    <s v="Good"/>
    <s v="Average"/>
  </r>
  <r>
    <s v="Yoge332793"/>
    <n v="2793"/>
    <n v="11"/>
    <n v="12"/>
    <n v="2023"/>
    <d v="2023-12-11T00:00:00"/>
    <s v="December"/>
    <d v="2029-06-01T00:00:00"/>
    <x v="3"/>
    <n v="9"/>
    <n v="53293.23"/>
    <s v="Yogesh Menon"/>
    <n v="33"/>
    <s v="Adult"/>
    <s v="Good"/>
    <x v="2"/>
    <s v="Cash"/>
    <n v="4"/>
    <s v="Galaxy Note 20"/>
    <n v="479639.07"/>
    <s v="Good"/>
    <s v="Excellent"/>
  </r>
  <r>
    <s v="Suni452794"/>
    <n v="2794"/>
    <n v="11"/>
    <n v="12"/>
    <n v="2023"/>
    <d v="2023-12-11T00:00:00"/>
    <s v="December"/>
    <d v="2029-06-02T00:00:00"/>
    <x v="3"/>
    <n v="5"/>
    <n v="61771.75"/>
    <s v="Sunita Mathur"/>
    <n v="45"/>
    <s v="Adult"/>
    <s v="Good"/>
    <x v="18"/>
    <s v="Debit Card"/>
    <n v="4"/>
    <s v="Galaxy A51"/>
    <n v="308858.75"/>
    <s v="Good"/>
    <s v="Excellent"/>
  </r>
  <r>
    <s v="Vino212795"/>
    <n v="2795"/>
    <n v="11"/>
    <n v="12"/>
    <n v="2023"/>
    <d v="2023-12-11T00:00:00"/>
    <s v="December"/>
    <d v="2029-06-03T00:00:00"/>
    <x v="0"/>
    <n v="6"/>
    <n v="38524.97"/>
    <s v="Vinod Srivastava"/>
    <n v="21"/>
    <s v="Teenagers"/>
    <s v="AVG"/>
    <x v="1"/>
    <s v="Cash"/>
    <n v="3"/>
    <s v="Redmi Note 10"/>
    <n v="231149.82"/>
    <s v="Average"/>
    <s v="Excellent"/>
  </r>
  <r>
    <s v="Bhav322796"/>
    <n v="2796"/>
    <n v="11"/>
    <n v="12"/>
    <n v="2023"/>
    <d v="2023-12-11T00:00:00"/>
    <s v="December"/>
    <d v="2029-06-04T00:00:00"/>
    <x v="0"/>
    <n v="3"/>
    <n v="69667.009999999995"/>
    <s v="Bhavana Malhotra"/>
    <n v="32"/>
    <s v="Adult"/>
    <s v="Good"/>
    <x v="7"/>
    <s v="UPI"/>
    <n v="5"/>
    <s v="Redmi 9"/>
    <n v="209001.02999999997"/>
    <s v="Good"/>
    <s v="Excellent"/>
  </r>
  <r>
    <s v="Lali182797"/>
    <n v="2797"/>
    <n v="12"/>
    <n v="12"/>
    <n v="2023"/>
    <d v="2023-12-12T00:00:00"/>
    <s v="December"/>
    <d v="2029-06-05T00:00:00"/>
    <x v="3"/>
    <n v="4"/>
    <n v="68799.17"/>
    <s v="Lalita Patel"/>
    <n v="18"/>
    <s v="Teenagers"/>
    <s v="Good"/>
    <x v="1"/>
    <s v="Debit Card"/>
    <n v="4"/>
    <s v="Galaxy S21"/>
    <n v="275196.68"/>
    <s v="Good"/>
    <s v="Excellent"/>
  </r>
  <r>
    <s v="Anit332798"/>
    <n v="2798"/>
    <n v="12"/>
    <n v="12"/>
    <n v="2023"/>
    <d v="2023-12-12T00:00:00"/>
    <s v="December"/>
    <d v="2029-06-06T00:00:00"/>
    <x v="0"/>
    <n v="6"/>
    <n v="62930"/>
    <s v="Anita Prasad"/>
    <n v="33"/>
    <s v="Adult"/>
    <s v="Good"/>
    <x v="1"/>
    <s v="Credit Card"/>
    <n v="4"/>
    <s v="Redmi Note 10"/>
    <n v="377580"/>
    <s v="Good"/>
    <s v="Excellent"/>
  </r>
  <r>
    <s v="Ayes372799"/>
    <n v="2799"/>
    <n v="12"/>
    <n v="12"/>
    <n v="2023"/>
    <d v="2023-12-12T00:00:00"/>
    <s v="December"/>
    <d v="2029-06-07T00:00:00"/>
    <x v="4"/>
    <n v="7"/>
    <n v="44492.17"/>
    <s v="Ayesha Ahuja"/>
    <n v="37"/>
    <s v="Adult"/>
    <s v="AVG"/>
    <x v="13"/>
    <s v="Cash"/>
    <n v="3"/>
    <s v="iPhone SE"/>
    <n v="311445.19"/>
    <s v="Average"/>
    <s v="Excellent"/>
  </r>
  <r>
    <s v="Vija502800"/>
    <n v="2800"/>
    <n v="13"/>
    <n v="12"/>
    <n v="2023"/>
    <d v="2023-12-13T00:00:00"/>
    <s v="December"/>
    <d v="2029-06-08T00:00:00"/>
    <x v="2"/>
    <n v="1"/>
    <n v="33880.39"/>
    <s v="Vijay Rawat"/>
    <n v="50"/>
    <s v="Senior Citezen"/>
    <s v="BAD"/>
    <x v="18"/>
    <s v="Cash"/>
    <n v="2"/>
    <s v="OnePlus 8T"/>
    <n v="33880.39"/>
    <s v="Average"/>
    <s v="Low"/>
  </r>
  <r>
    <s v="Anit342801"/>
    <n v="2801"/>
    <n v="13"/>
    <n v="12"/>
    <n v="2023"/>
    <d v="2023-12-13T00:00:00"/>
    <s v="December"/>
    <d v="2029-06-09T00:00:00"/>
    <x v="2"/>
    <n v="7"/>
    <n v="31863.18"/>
    <s v="Anita Sharma"/>
    <n v="34"/>
    <s v="Adult"/>
    <s v="Good"/>
    <x v="1"/>
    <s v="UPI"/>
    <n v="4"/>
    <s v="OnePlus Nord"/>
    <n v="223042.26"/>
    <s v="Good"/>
    <s v="Excellent"/>
  </r>
  <r>
    <s v="Sumi222802"/>
    <n v="2802"/>
    <n v="13"/>
    <n v="12"/>
    <n v="2023"/>
    <d v="2023-12-13T00:00:00"/>
    <s v="December"/>
    <d v="2029-06-10T00:00:00"/>
    <x v="3"/>
    <n v="1"/>
    <n v="10727.49"/>
    <s v="Sumit Malhotra"/>
    <n v="22"/>
    <s v="Teenagers"/>
    <s v="Good"/>
    <x v="15"/>
    <s v="Credit Card"/>
    <n v="4"/>
    <s v="Galaxy Note 20"/>
    <n v="10727.49"/>
    <s v="Good"/>
    <s v="Low"/>
  </r>
  <r>
    <s v="Lata222803"/>
    <n v="2803"/>
    <n v="14"/>
    <n v="12"/>
    <n v="2023"/>
    <d v="2023-12-14T00:00:00"/>
    <s v="December"/>
    <d v="2029-06-11T00:00:00"/>
    <x v="1"/>
    <n v="5"/>
    <n v="24950.47"/>
    <s v="Lata Mehta"/>
    <n v="22"/>
    <s v="Teenagers"/>
    <s v="BAD"/>
    <x v="3"/>
    <s v="Cash"/>
    <n v="2"/>
    <s v="Vivo Y51"/>
    <n v="124752.35"/>
    <s v="Average"/>
    <s v="Good"/>
  </r>
  <r>
    <s v="Reen562804"/>
    <n v="2804"/>
    <n v="14"/>
    <n v="12"/>
    <n v="2023"/>
    <d v="2023-12-14T00:00:00"/>
    <s v="December"/>
    <d v="2029-06-12T00:00:00"/>
    <x v="3"/>
    <n v="6"/>
    <n v="53128.49"/>
    <s v="Reena Kulkarni"/>
    <n v="56"/>
    <s v="Senior Citezen"/>
    <s v="Good"/>
    <x v="1"/>
    <s v="Cash"/>
    <n v="4"/>
    <s v="Galaxy S21"/>
    <n v="318770.94"/>
    <s v="Good"/>
    <s v="Excellent"/>
  </r>
  <r>
    <s v="Amit302805"/>
    <n v="2805"/>
    <n v="14"/>
    <n v="12"/>
    <n v="2023"/>
    <d v="2023-12-14T00:00:00"/>
    <s v="December"/>
    <d v="2029-06-13T00:00:00"/>
    <x v="0"/>
    <n v="2"/>
    <n v="46217.93"/>
    <s v="Amit Goyal"/>
    <n v="30"/>
    <s v="Teenagers"/>
    <s v="Good"/>
    <x v="18"/>
    <s v="Debit Card"/>
    <n v="4"/>
    <s v="Redmi Note 10"/>
    <n v="92435.86"/>
    <s v="Good"/>
    <s v="Average"/>
  </r>
  <r>
    <s v="Kavi532806"/>
    <n v="2806"/>
    <n v="15"/>
    <n v="12"/>
    <n v="2023"/>
    <d v="2023-12-15T00:00:00"/>
    <s v="December"/>
    <d v="2029-06-14T00:00:00"/>
    <x v="1"/>
    <n v="9"/>
    <n v="64985.33"/>
    <s v="Kavita Rawat"/>
    <n v="53"/>
    <s v="Senior Citezen"/>
    <s v="Good"/>
    <x v="1"/>
    <s v="Cash"/>
    <n v="4"/>
    <s v="Vivo V20"/>
    <n v="584867.97"/>
    <s v="Good"/>
    <s v="Excellent"/>
  </r>
  <r>
    <s v="Bina472807"/>
    <n v="2807"/>
    <n v="15"/>
    <n v="12"/>
    <n v="2023"/>
    <d v="2023-12-15T00:00:00"/>
    <s v="December"/>
    <d v="2029-06-15T00:00:00"/>
    <x v="0"/>
    <n v="6"/>
    <n v="13001.34"/>
    <s v="Bina Rawat"/>
    <n v="47"/>
    <s v="Senior Citezen"/>
    <s v="Good"/>
    <x v="2"/>
    <s v="Debit Card"/>
    <n v="5"/>
    <s v="Mi 11"/>
    <n v="78008.040000000008"/>
    <s v="Good"/>
    <s v="Average"/>
  </r>
  <r>
    <s v="Suni212808"/>
    <n v="2808"/>
    <n v="15"/>
    <n v="12"/>
    <n v="2023"/>
    <d v="2023-12-15T00:00:00"/>
    <s v="December"/>
    <d v="2029-06-16T00:00:00"/>
    <x v="4"/>
    <n v="7"/>
    <n v="19316.599999999999"/>
    <s v="Sunita Iyer"/>
    <n v="21"/>
    <s v="Teenagers"/>
    <s v="BAD"/>
    <x v="1"/>
    <s v="Cash"/>
    <n v="2"/>
    <s v="iPhone 11"/>
    <n v="135216.19999999998"/>
    <s v="Average"/>
    <s v="Good"/>
  </r>
  <r>
    <s v="Sumi402809"/>
    <n v="2809"/>
    <n v="16"/>
    <n v="12"/>
    <n v="2023"/>
    <d v="2023-12-16T00:00:00"/>
    <s v="December"/>
    <d v="2029-06-17T00:00:00"/>
    <x v="0"/>
    <n v="8"/>
    <n v="57354.63"/>
    <s v="Sumit Teja"/>
    <n v="40"/>
    <s v="Adult"/>
    <s v="Good"/>
    <x v="5"/>
    <s v="Credit Card"/>
    <n v="5"/>
    <s v="Redmi 9"/>
    <n v="458837.04"/>
    <s v="Good"/>
    <s v="Excellent"/>
  </r>
  <r>
    <s v="Moni382810"/>
    <n v="2810"/>
    <n v="16"/>
    <n v="12"/>
    <n v="2023"/>
    <d v="2023-12-16T00:00:00"/>
    <s v="December"/>
    <d v="2029-06-18T00:00:00"/>
    <x v="4"/>
    <n v="1"/>
    <n v="31510.46"/>
    <s v="Monika Solanki"/>
    <n v="38"/>
    <s v="Adult"/>
    <s v="BAD"/>
    <x v="15"/>
    <s v="UPI"/>
    <n v="2"/>
    <s v="iPhone 12"/>
    <n v="31510.46"/>
    <s v="Average"/>
    <s v="Low"/>
  </r>
  <r>
    <s v="Jyot382811"/>
    <n v="2811"/>
    <n v="16"/>
    <n v="12"/>
    <n v="2023"/>
    <d v="2023-12-16T00:00:00"/>
    <s v="December"/>
    <d v="2029-06-19T00:00:00"/>
    <x v="4"/>
    <n v="8"/>
    <n v="17100.72"/>
    <s v="Jyoti Pillai"/>
    <n v="38"/>
    <s v="Adult"/>
    <s v="Good"/>
    <x v="2"/>
    <s v="Credit Card"/>
    <n v="5"/>
    <s v="iPhone 12"/>
    <n v="136805.76000000001"/>
    <s v="Good"/>
    <s v="Good"/>
  </r>
  <r>
    <s v="Vino232812"/>
    <n v="2812"/>
    <n v="17"/>
    <n v="12"/>
    <n v="2023"/>
    <d v="2023-12-17T00:00:00"/>
    <s v="December"/>
    <d v="2029-06-20T00:00:00"/>
    <x v="0"/>
    <n v="4"/>
    <n v="69787.03"/>
    <s v="Vinod Nair"/>
    <n v="23"/>
    <s v="Teenagers"/>
    <s v="Good"/>
    <x v="2"/>
    <s v="UPI"/>
    <n v="5"/>
    <s v="Mi 11"/>
    <n v="279148.12"/>
    <s v="Good"/>
    <s v="Excellent"/>
  </r>
  <r>
    <s v="Sanj412813"/>
    <n v="2813"/>
    <n v="17"/>
    <n v="12"/>
    <n v="2023"/>
    <d v="2023-12-17T00:00:00"/>
    <s v="December"/>
    <d v="2029-06-21T00:00:00"/>
    <x v="0"/>
    <n v="8"/>
    <n v="57235.02"/>
    <s v="Sanjay Ghosh"/>
    <n v="41"/>
    <s v="Adult"/>
    <s v="AVG"/>
    <x v="6"/>
    <s v="Cash"/>
    <n v="3"/>
    <s v="Redmi Note 10"/>
    <n v="457880.16"/>
    <s v="Average"/>
    <s v="Excellent"/>
  </r>
  <r>
    <s v="Vija482814"/>
    <n v="2814"/>
    <n v="17"/>
    <n v="12"/>
    <n v="2023"/>
    <d v="2023-12-17T00:00:00"/>
    <s v="December"/>
    <d v="2029-06-22T00:00:00"/>
    <x v="4"/>
    <n v="6"/>
    <n v="34524.46"/>
    <s v="Vijay Mishra"/>
    <n v="48"/>
    <s v="Senior Citezen"/>
    <s v="BAD"/>
    <x v="7"/>
    <s v="Credit Card"/>
    <n v="2"/>
    <s v="iPhone 11"/>
    <n v="207146.76"/>
    <s v="Average"/>
    <s v="Excellent"/>
  </r>
  <r>
    <s v="Kris362815"/>
    <n v="2815"/>
    <n v="18"/>
    <n v="12"/>
    <n v="2023"/>
    <d v="2023-12-18T00:00:00"/>
    <s v="December"/>
    <d v="2029-06-23T00:00:00"/>
    <x v="1"/>
    <n v="9"/>
    <n v="59400.85"/>
    <s v="Krishna Sharma"/>
    <n v="36"/>
    <s v="Adult"/>
    <s v="BAD"/>
    <x v="1"/>
    <s v="Debit Card"/>
    <n v="2"/>
    <s v="Vivo S1"/>
    <n v="534607.65"/>
    <s v="Average"/>
    <s v="Excellent"/>
  </r>
  <r>
    <s v="Lata552816"/>
    <n v="2816"/>
    <n v="18"/>
    <n v="12"/>
    <n v="2023"/>
    <d v="2023-12-18T00:00:00"/>
    <s v="December"/>
    <d v="2029-06-24T00:00:00"/>
    <x v="4"/>
    <n v="4"/>
    <n v="50836.23"/>
    <s v="Lata Reddy"/>
    <n v="55"/>
    <s v="Senior Citezen"/>
    <s v="BAD"/>
    <x v="2"/>
    <s v="UPI"/>
    <n v="2"/>
    <s v="iPhone SE"/>
    <n v="203344.92"/>
    <s v="Average"/>
    <s v="Excellent"/>
  </r>
  <r>
    <s v="Pras292817"/>
    <n v="2817"/>
    <n v="18"/>
    <n v="12"/>
    <n v="2023"/>
    <d v="2023-12-18T00:00:00"/>
    <s v="December"/>
    <d v="2029-06-25T00:00:00"/>
    <x v="2"/>
    <n v="2"/>
    <n v="57398.49"/>
    <s v="Prashant Luthra"/>
    <n v="29"/>
    <s v="Teenagers"/>
    <s v="Good"/>
    <x v="15"/>
    <s v="UPI"/>
    <n v="5"/>
    <s v="OnePlus 9"/>
    <n v="114796.98"/>
    <s v="Good"/>
    <s v="Good"/>
  </r>
  <r>
    <s v="Raje312818"/>
    <n v="2818"/>
    <n v="19"/>
    <n v="12"/>
    <n v="2023"/>
    <d v="2023-12-19T00:00:00"/>
    <s v="December"/>
    <d v="2029-06-26T00:00:00"/>
    <x v="4"/>
    <n v="2"/>
    <n v="58912.38"/>
    <s v="Rajesh Mathur"/>
    <n v="31"/>
    <s v="Adult"/>
    <s v="BAD"/>
    <x v="1"/>
    <s v="Cash"/>
    <n v="2"/>
    <s v="iPhone SE"/>
    <n v="117824.76"/>
    <s v="Average"/>
    <s v="Good"/>
  </r>
  <r>
    <s v="Vino292819"/>
    <n v="2819"/>
    <n v="19"/>
    <n v="12"/>
    <n v="2023"/>
    <d v="2023-12-19T00:00:00"/>
    <s v="December"/>
    <d v="2029-06-27T00:00:00"/>
    <x v="1"/>
    <n v="5"/>
    <n v="15083.72"/>
    <s v="Vinod Arora"/>
    <n v="29"/>
    <s v="Teenagers"/>
    <s v="AVG"/>
    <x v="5"/>
    <s v="UPI"/>
    <n v="3"/>
    <s v="Vivo V20"/>
    <n v="75418.599999999991"/>
    <s v="Average"/>
    <s v="Average"/>
  </r>
  <r>
    <s v="Umes322820"/>
    <n v="2820"/>
    <n v="19"/>
    <n v="12"/>
    <n v="2023"/>
    <d v="2023-12-19T00:00:00"/>
    <s v="December"/>
    <d v="2029-06-28T00:00:00"/>
    <x v="2"/>
    <n v="9"/>
    <n v="47378.37"/>
    <s v="Umesh Kaur"/>
    <n v="32"/>
    <s v="Adult"/>
    <s v="Good"/>
    <x v="2"/>
    <s v="UPI"/>
    <n v="4"/>
    <s v="OnePlus 9"/>
    <n v="426405.33"/>
    <s v="Good"/>
    <s v="Excellent"/>
  </r>
  <r>
    <s v="Radh362821"/>
    <n v="2821"/>
    <n v="19"/>
    <n v="12"/>
    <n v="2023"/>
    <d v="2023-12-19T00:00:00"/>
    <s v="December"/>
    <d v="2029-06-29T00:00:00"/>
    <x v="3"/>
    <n v="3"/>
    <n v="10407.129999999999"/>
    <s v="Radha Sharma"/>
    <n v="36"/>
    <s v="Adult"/>
    <s v="Good"/>
    <x v="5"/>
    <s v="UPI"/>
    <n v="5"/>
    <s v="Galaxy Note 20"/>
    <n v="31221.39"/>
    <s v="Good"/>
    <s v="Low"/>
  </r>
  <r>
    <s v="Hari452822"/>
    <n v="2822"/>
    <n v="20"/>
    <n v="12"/>
    <n v="2023"/>
    <d v="2023-12-20T00:00:00"/>
    <s v="December"/>
    <d v="2029-06-30T00:00:00"/>
    <x v="3"/>
    <n v="8"/>
    <n v="12607.37"/>
    <s v="Harish Patel"/>
    <n v="45"/>
    <s v="Adult"/>
    <s v="Good"/>
    <x v="11"/>
    <s v="Cash"/>
    <n v="4"/>
    <s v="Galaxy Note 20"/>
    <n v="100858.96"/>
    <s v="Good"/>
    <s v="Good"/>
  </r>
  <r>
    <s v="Mano572823"/>
    <n v="2823"/>
    <n v="20"/>
    <n v="12"/>
    <n v="2023"/>
    <d v="2023-12-20T00:00:00"/>
    <s v="December"/>
    <d v="2029-07-01T00:00:00"/>
    <x v="1"/>
    <n v="4"/>
    <n v="64238.8"/>
    <s v="Manoj Patel"/>
    <n v="57"/>
    <s v="Senior Citezen"/>
    <s v="Good"/>
    <x v="13"/>
    <s v="Credit Card"/>
    <n v="4"/>
    <s v="Vivo V20"/>
    <n v="256955.2"/>
    <s v="Good"/>
    <s v="Excellent"/>
  </r>
  <r>
    <s v="Hari582824"/>
    <n v="2824"/>
    <n v="20"/>
    <n v="12"/>
    <n v="2023"/>
    <d v="2023-12-20T00:00:00"/>
    <s v="December"/>
    <d v="2029-07-02T00:00:00"/>
    <x v="4"/>
    <n v="6"/>
    <n v="41653.82"/>
    <s v="Harish Mehta"/>
    <n v="58"/>
    <s v="Senior Citezen"/>
    <s v="Good"/>
    <x v="1"/>
    <s v="Cash"/>
    <n v="5"/>
    <s v="iPhone SE"/>
    <n v="249922.91999999998"/>
    <s v="Good"/>
    <s v="Excellent"/>
  </r>
  <r>
    <s v="Bhav222825"/>
    <n v="2825"/>
    <n v="21"/>
    <n v="12"/>
    <n v="2023"/>
    <d v="2023-12-21T00:00:00"/>
    <s v="December"/>
    <d v="2029-07-03T00:00:00"/>
    <x v="0"/>
    <n v="6"/>
    <n v="54154.12"/>
    <s v="Bhavana Varma"/>
    <n v="22"/>
    <s v="Teenagers"/>
    <s v="Good"/>
    <x v="9"/>
    <s v="Debit Card"/>
    <n v="5"/>
    <s v="Redmi 9"/>
    <n v="324924.72000000003"/>
    <s v="Good"/>
    <s v="Excellent"/>
  </r>
  <r>
    <s v="Ravi222826"/>
    <n v="2826"/>
    <n v="21"/>
    <n v="12"/>
    <n v="2023"/>
    <d v="2023-12-21T00:00:00"/>
    <s v="December"/>
    <d v="2029-07-04T00:00:00"/>
    <x v="1"/>
    <n v="3"/>
    <n v="60310.06"/>
    <s v="Ravi Teja"/>
    <n v="22"/>
    <s v="Teenagers"/>
    <s v="BAD"/>
    <x v="15"/>
    <s v="UPI"/>
    <n v="2"/>
    <s v="Vivo V20"/>
    <n v="180930.18"/>
    <s v="Average"/>
    <s v="Good"/>
  </r>
  <r>
    <s v="Anja232827"/>
    <n v="2827"/>
    <n v="21"/>
    <n v="12"/>
    <n v="2023"/>
    <d v="2023-12-21T00:00:00"/>
    <s v="December"/>
    <d v="2029-07-05T00:00:00"/>
    <x v="2"/>
    <n v="5"/>
    <n v="66975.210000000006"/>
    <s v="Anjali Desai"/>
    <n v="23"/>
    <s v="Teenagers"/>
    <s v="AVG"/>
    <x v="7"/>
    <s v="UPI"/>
    <n v="3"/>
    <s v="OnePlus 9"/>
    <n v="334876.05000000005"/>
    <s v="Average"/>
    <s v="Excellent"/>
  </r>
  <r>
    <s v="Hari402828"/>
    <n v="2828"/>
    <n v="22"/>
    <n v="12"/>
    <n v="2023"/>
    <d v="2023-12-22T00:00:00"/>
    <s v="December"/>
    <d v="2029-07-06T00:00:00"/>
    <x v="2"/>
    <n v="3"/>
    <n v="62161.17"/>
    <s v="Harish Mishra"/>
    <n v="40"/>
    <s v="Adult"/>
    <s v="Good"/>
    <x v="8"/>
    <s v="Credit Card"/>
    <n v="5"/>
    <s v="OnePlus Nord"/>
    <n v="186483.51"/>
    <s v="Good"/>
    <s v="Good"/>
  </r>
  <r>
    <s v="Meen202829"/>
    <n v="2829"/>
    <n v="22"/>
    <n v="12"/>
    <n v="2023"/>
    <d v="2023-12-22T00:00:00"/>
    <s v="December"/>
    <d v="2029-07-07T00:00:00"/>
    <x v="3"/>
    <n v="1"/>
    <n v="38998.69"/>
    <s v="Meena Kumar"/>
    <n v="20"/>
    <s v="Teenagers"/>
    <s v="Good"/>
    <x v="10"/>
    <s v="UPI"/>
    <n v="4"/>
    <s v="Galaxy A51"/>
    <n v="38998.69"/>
    <s v="Good"/>
    <s v="Low"/>
  </r>
  <r>
    <s v="Anit542830"/>
    <n v="2830"/>
    <n v="22"/>
    <n v="12"/>
    <n v="2023"/>
    <d v="2023-12-22T00:00:00"/>
    <s v="December"/>
    <d v="2029-07-08T00:00:00"/>
    <x v="2"/>
    <n v="7"/>
    <n v="30158.22"/>
    <s v="Anita Mathur"/>
    <n v="54"/>
    <s v="Senior Citezen"/>
    <s v="Good"/>
    <x v="9"/>
    <s v="Credit Card"/>
    <n v="5"/>
    <s v="OnePlus 8T"/>
    <n v="211107.54"/>
    <s v="Good"/>
    <s v="Excellent"/>
  </r>
  <r>
    <s v="Hari502831"/>
    <n v="2831"/>
    <n v="22"/>
    <n v="12"/>
    <n v="2023"/>
    <d v="2023-12-22T00:00:00"/>
    <s v="December"/>
    <d v="2029-07-09T00:00:00"/>
    <x v="1"/>
    <n v="4"/>
    <n v="19269.59"/>
    <s v="Harish Kaur"/>
    <n v="50"/>
    <s v="Senior Citezen"/>
    <s v="AVG"/>
    <x v="1"/>
    <s v="UPI"/>
    <n v="3"/>
    <s v="Vivo Y51"/>
    <n v="77078.36"/>
    <s v="Average"/>
    <s v="Average"/>
  </r>
  <r>
    <s v="Kris382832"/>
    <n v="2832"/>
    <n v="23"/>
    <n v="12"/>
    <n v="2023"/>
    <d v="2023-12-23T00:00:00"/>
    <s v="December"/>
    <d v="2029-07-10T00:00:00"/>
    <x v="2"/>
    <n v="7"/>
    <n v="34019.29"/>
    <s v="Krishna Sharma"/>
    <n v="38"/>
    <s v="Adult"/>
    <s v="BAD"/>
    <x v="16"/>
    <s v="UPI"/>
    <n v="2"/>
    <s v="OnePlus Nord"/>
    <n v="238135.03"/>
    <s v="Average"/>
    <s v="Excellent"/>
  </r>
  <r>
    <s v="Anan372833"/>
    <n v="2833"/>
    <n v="23"/>
    <n v="12"/>
    <n v="2023"/>
    <d v="2023-12-23T00:00:00"/>
    <s v="December"/>
    <d v="2029-07-11T00:00:00"/>
    <x v="1"/>
    <n v="3"/>
    <n v="31989.61"/>
    <s v="Anand Reddy"/>
    <n v="37"/>
    <s v="Adult"/>
    <s v="Good"/>
    <x v="14"/>
    <s v="Cash"/>
    <n v="4"/>
    <s v="Vivo Y51"/>
    <n v="95968.83"/>
    <s v="Good"/>
    <s v="Average"/>
  </r>
  <r>
    <s v="Mala182834"/>
    <n v="2834"/>
    <n v="23"/>
    <n v="12"/>
    <n v="2023"/>
    <d v="2023-12-23T00:00:00"/>
    <s v="December"/>
    <d v="2029-07-12T00:00:00"/>
    <x v="0"/>
    <n v="5"/>
    <n v="43574.49"/>
    <s v="Mala Chatterjee"/>
    <n v="18"/>
    <s v="Teenagers"/>
    <s v="BAD"/>
    <x v="7"/>
    <s v="Cash"/>
    <n v="2"/>
    <s v="Mi 11"/>
    <n v="217872.44999999998"/>
    <s v="Average"/>
    <s v="Excellent"/>
  </r>
  <r>
    <s v="Priy562835"/>
    <n v="2835"/>
    <n v="23"/>
    <n v="12"/>
    <n v="2023"/>
    <d v="2023-12-23T00:00:00"/>
    <s v="December"/>
    <d v="2029-07-13T00:00:00"/>
    <x v="3"/>
    <n v="5"/>
    <n v="49930.559999999998"/>
    <s v="Priya Varma"/>
    <n v="56"/>
    <s v="Senior Citezen"/>
    <s v="BAD"/>
    <x v="1"/>
    <s v="Debit Card"/>
    <n v="2"/>
    <s v="Galaxy S21"/>
    <n v="249652.8"/>
    <s v="Average"/>
    <s v="Excellent"/>
  </r>
  <r>
    <s v="Rame342836"/>
    <n v="2836"/>
    <n v="24"/>
    <n v="12"/>
    <n v="2023"/>
    <d v="2023-12-24T00:00:00"/>
    <s v="December"/>
    <d v="2029-07-14T00:00:00"/>
    <x v="2"/>
    <n v="2"/>
    <n v="68699.53"/>
    <s v="Ramesh Dutta"/>
    <n v="34"/>
    <s v="Adult"/>
    <s v="AVG"/>
    <x v="3"/>
    <s v="Credit Card"/>
    <n v="3"/>
    <s v="OnePlus 8T"/>
    <n v="137399.06"/>
    <s v="Average"/>
    <s v="Good"/>
  </r>
  <r>
    <s v="Jyot462837"/>
    <n v="2837"/>
    <n v="24"/>
    <n v="12"/>
    <n v="2023"/>
    <d v="2023-12-24T00:00:00"/>
    <s v="December"/>
    <d v="2029-07-15T00:00:00"/>
    <x v="1"/>
    <n v="2"/>
    <n v="53703.17"/>
    <s v="Jyoti Bhattacharya"/>
    <n v="46"/>
    <s v="Senior Citezen"/>
    <s v="Good"/>
    <x v="16"/>
    <s v="Debit Card"/>
    <n v="5"/>
    <s v="Vivo Y51"/>
    <n v="107406.34"/>
    <s v="Good"/>
    <s v="Good"/>
  </r>
  <r>
    <s v="Reen252838"/>
    <n v="2838"/>
    <n v="24"/>
    <n v="12"/>
    <n v="2023"/>
    <d v="2023-12-24T00:00:00"/>
    <s v="December"/>
    <d v="2029-07-16T00:00:00"/>
    <x v="4"/>
    <n v="4"/>
    <n v="48624.91"/>
    <s v="Reena Menon"/>
    <n v="25"/>
    <s v="Teenagers"/>
    <s v="BAD"/>
    <x v="6"/>
    <s v="Cash"/>
    <n v="2"/>
    <s v="iPhone 12"/>
    <n v="194499.64"/>
    <s v="Average"/>
    <s v="Good"/>
  </r>
  <r>
    <s v="Amit432839"/>
    <n v="2839"/>
    <n v="24"/>
    <n v="12"/>
    <n v="2023"/>
    <d v="2023-12-24T00:00:00"/>
    <s v="December"/>
    <d v="2029-07-17T00:00:00"/>
    <x v="3"/>
    <n v="4"/>
    <n v="30105.55"/>
    <s v="Amit Teja"/>
    <n v="43"/>
    <s v="Adult"/>
    <s v="BAD"/>
    <x v="10"/>
    <s v="Credit Card"/>
    <n v="2"/>
    <s v="Galaxy A51"/>
    <n v="120422.2"/>
    <s v="Average"/>
    <s v="Good"/>
  </r>
  <r>
    <s v="Kira452840"/>
    <n v="2840"/>
    <n v="25"/>
    <n v="12"/>
    <n v="2023"/>
    <d v="2023-12-25T00:00:00"/>
    <s v="December"/>
    <d v="2029-07-18T00:00:00"/>
    <x v="0"/>
    <n v="4"/>
    <n v="12070.23"/>
    <s v="Kiran Joshi"/>
    <n v="45"/>
    <s v="Adult"/>
    <s v="Good"/>
    <x v="1"/>
    <s v="Cash"/>
    <n v="5"/>
    <s v="Mi 11"/>
    <n v="48280.92"/>
    <s v="Good"/>
    <s v="Low"/>
  </r>
  <r>
    <s v="Ayes512841"/>
    <n v="2841"/>
    <n v="25"/>
    <n v="12"/>
    <n v="2023"/>
    <d v="2023-12-25T00:00:00"/>
    <s v="December"/>
    <d v="2029-07-19T00:00:00"/>
    <x v="1"/>
    <n v="6"/>
    <n v="27287.51"/>
    <s v="Ayesha Sheth"/>
    <n v="51"/>
    <s v="Senior Citezen"/>
    <s v="Good"/>
    <x v="2"/>
    <s v="Credit Card"/>
    <n v="4"/>
    <s v="Vivo Y51"/>
    <n v="163725.06"/>
    <s v="Good"/>
    <s v="Good"/>
  </r>
  <r>
    <s v="Neet432842"/>
    <n v="2842"/>
    <n v="25"/>
    <n v="12"/>
    <n v="2023"/>
    <d v="2023-12-25T00:00:00"/>
    <s v="December"/>
    <d v="2029-07-20T00:00:00"/>
    <x v="0"/>
    <n v="2"/>
    <n v="56106.87"/>
    <s v="Neeta Desai"/>
    <n v="43"/>
    <s v="Adult"/>
    <s v="Good"/>
    <x v="14"/>
    <s v="UPI"/>
    <n v="5"/>
    <s v="Redmi 9"/>
    <n v="112213.74"/>
    <s v="Good"/>
    <s v="Good"/>
  </r>
  <r>
    <s v="Vija302843"/>
    <n v="2843"/>
    <n v="26"/>
    <n v="12"/>
    <n v="2023"/>
    <d v="2023-12-26T00:00:00"/>
    <s v="December"/>
    <d v="2029-07-21T00:00:00"/>
    <x v="0"/>
    <n v="6"/>
    <n v="22316.32"/>
    <s v="Vijay Prasad"/>
    <n v="30"/>
    <s v="Teenagers"/>
    <s v="AVG"/>
    <x v="9"/>
    <s v="Debit Card"/>
    <n v="3"/>
    <s v="Mi 11"/>
    <n v="133897.91999999998"/>
    <s v="Average"/>
    <s v="Good"/>
  </r>
  <r>
    <s v="Priy542844"/>
    <n v="2844"/>
    <n v="26"/>
    <n v="12"/>
    <n v="2023"/>
    <d v="2023-12-26T00:00:00"/>
    <s v="December"/>
    <d v="2029-07-22T00:00:00"/>
    <x v="2"/>
    <n v="7"/>
    <n v="52731.29"/>
    <s v="Priyanka Yadav"/>
    <n v="54"/>
    <s v="Senior Citezen"/>
    <s v="AVG"/>
    <x v="3"/>
    <s v="Debit Card"/>
    <n v="3"/>
    <s v="OnePlus Nord"/>
    <n v="369119.03"/>
    <s v="Average"/>
    <s v="Excellent"/>
  </r>
  <r>
    <s v="Radh302845"/>
    <n v="2845"/>
    <n v="26"/>
    <n v="12"/>
    <n v="2023"/>
    <d v="2023-12-26T00:00:00"/>
    <s v="December"/>
    <d v="2029-07-23T00:00:00"/>
    <x v="2"/>
    <n v="3"/>
    <n v="44786.79"/>
    <s v="Radha Solanki"/>
    <n v="30"/>
    <s v="Teenagers"/>
    <s v="Good"/>
    <x v="11"/>
    <s v="Credit Card"/>
    <n v="4"/>
    <s v="OnePlus 9"/>
    <n v="134360.37"/>
    <s v="Good"/>
    <s v="Good"/>
  </r>
  <r>
    <s v="Priy552846"/>
    <n v="2846"/>
    <n v="26"/>
    <n v="12"/>
    <n v="2023"/>
    <d v="2023-12-26T00:00:00"/>
    <s v="December"/>
    <d v="2029-07-24T00:00:00"/>
    <x v="1"/>
    <n v="8"/>
    <n v="20311.41"/>
    <s v="Priya Prasad"/>
    <n v="55"/>
    <s v="Senior Citezen"/>
    <s v="Good"/>
    <x v="0"/>
    <s v="Debit Card"/>
    <n v="4"/>
    <s v="Vivo S1"/>
    <n v="162491.28"/>
    <s v="Good"/>
    <s v="Good"/>
  </r>
  <r>
    <s v="Radh422847"/>
    <n v="2847"/>
    <n v="27"/>
    <n v="12"/>
    <n v="2023"/>
    <d v="2023-12-27T00:00:00"/>
    <s v="December"/>
    <d v="2029-07-25T00:00:00"/>
    <x v="4"/>
    <n v="2"/>
    <n v="25697.49"/>
    <s v="Radha Nair"/>
    <n v="42"/>
    <s v="Adult"/>
    <s v="Good"/>
    <x v="9"/>
    <s v="Cash"/>
    <n v="4"/>
    <s v="iPhone SE"/>
    <n v="51394.98"/>
    <s v="Good"/>
    <s v="Average"/>
  </r>
  <r>
    <s v="Navi402848"/>
    <n v="2848"/>
    <n v="27"/>
    <n v="12"/>
    <n v="2023"/>
    <d v="2023-12-27T00:00:00"/>
    <s v="December"/>
    <d v="2029-07-26T00:00:00"/>
    <x v="1"/>
    <n v="8"/>
    <n v="39778.22"/>
    <s v="Navin Solanki"/>
    <n v="40"/>
    <s v="Adult"/>
    <s v="AVG"/>
    <x v="15"/>
    <s v="Debit Card"/>
    <n v="3"/>
    <s v="Vivo S1"/>
    <n v="318225.76"/>
    <s v="Average"/>
    <s v="Excellent"/>
  </r>
  <r>
    <s v="Ravi392849"/>
    <n v="2849"/>
    <n v="27"/>
    <n v="12"/>
    <n v="2023"/>
    <d v="2023-12-27T00:00:00"/>
    <s v="December"/>
    <d v="2029-07-27T00:00:00"/>
    <x v="4"/>
    <n v="5"/>
    <n v="35102.480000000003"/>
    <s v="Ravi Sharma"/>
    <n v="39"/>
    <s v="Adult"/>
    <s v="Good"/>
    <x v="2"/>
    <s v="Credit Card"/>
    <n v="5"/>
    <s v="iPhone 12"/>
    <n v="175512.40000000002"/>
    <s v="Good"/>
    <s v="Good"/>
  </r>
  <r>
    <s v="Priy382850"/>
    <n v="2850"/>
    <n v="28"/>
    <n v="12"/>
    <n v="2023"/>
    <d v="2023-12-28T00:00:00"/>
    <s v="December"/>
    <d v="2029-07-28T00:00:00"/>
    <x v="0"/>
    <n v="2"/>
    <n v="56713.83"/>
    <s v="Priyanka Sharma"/>
    <n v="38"/>
    <s v="Adult"/>
    <s v="BAD"/>
    <x v="16"/>
    <s v="Debit Card"/>
    <n v="2"/>
    <s v="Redmi 9"/>
    <n v="113427.66"/>
    <s v="Average"/>
    <s v="Good"/>
  </r>
  <r>
    <s v="Suni472851"/>
    <n v="2851"/>
    <n v="28"/>
    <n v="12"/>
    <n v="2023"/>
    <d v="2023-12-28T00:00:00"/>
    <s v="December"/>
    <d v="2029-07-29T00:00:00"/>
    <x v="3"/>
    <n v="7"/>
    <n v="54064.28"/>
    <s v="Sunil Kapoor"/>
    <n v="47"/>
    <s v="Senior Citezen"/>
    <s v="BAD"/>
    <x v="14"/>
    <s v="Debit Card"/>
    <n v="2"/>
    <s v="Galaxy A51"/>
    <n v="378449.95999999996"/>
    <s v="Average"/>
    <s v="Excellent"/>
  </r>
  <r>
    <s v="Nami282852"/>
    <n v="2852"/>
    <n v="28"/>
    <n v="12"/>
    <n v="2023"/>
    <d v="2023-12-28T00:00:00"/>
    <s v="December"/>
    <d v="2029-07-30T00:00:00"/>
    <x v="1"/>
    <n v="2"/>
    <n v="44474.47"/>
    <s v="Namita Desai"/>
    <n v="28"/>
    <s v="Teenagers"/>
    <s v="BAD"/>
    <x v="1"/>
    <s v="Cash"/>
    <n v="2"/>
    <s v="Vivo V20"/>
    <n v="88948.94"/>
    <s v="Average"/>
    <s v="Average"/>
  </r>
  <r>
    <s v="Nami212853"/>
    <n v="2853"/>
    <n v="29"/>
    <n v="12"/>
    <n v="2023"/>
    <d v="2023-12-29T00:00:00"/>
    <s v="December"/>
    <d v="2029-07-31T00:00:00"/>
    <x v="1"/>
    <n v="6"/>
    <n v="59336.480000000003"/>
    <s v="Namita Teja"/>
    <n v="21"/>
    <s v="Teenagers"/>
    <s v="AVG"/>
    <x v="8"/>
    <s v="UPI"/>
    <n v="3"/>
    <s v="Vivo Y51"/>
    <n v="356018.88"/>
    <s v="Average"/>
    <s v="Excellent"/>
  </r>
  <r>
    <s v="Yoge502854"/>
    <n v="2854"/>
    <n v="29"/>
    <n v="12"/>
    <n v="2023"/>
    <d v="2023-12-29T00:00:00"/>
    <s v="December"/>
    <d v="2029-08-01T00:00:00"/>
    <x v="4"/>
    <n v="3"/>
    <n v="43760.17"/>
    <s v="Yogesh Menon"/>
    <n v="50"/>
    <s v="Senior Citezen"/>
    <s v="Good"/>
    <x v="12"/>
    <s v="Cash"/>
    <n v="4"/>
    <s v="iPhone 11"/>
    <n v="131280.51"/>
    <s v="Good"/>
    <s v="Good"/>
  </r>
  <r>
    <s v="Gita292855"/>
    <n v="2855"/>
    <n v="29"/>
    <n v="12"/>
    <n v="2023"/>
    <d v="2023-12-29T00:00:00"/>
    <s v="December"/>
    <d v="2029-08-02T00:00:00"/>
    <x v="0"/>
    <n v="9"/>
    <n v="67863.360000000001"/>
    <s v="Gita Rao"/>
    <n v="29"/>
    <s v="Teenagers"/>
    <s v="Good"/>
    <x v="0"/>
    <s v="Debit Card"/>
    <n v="5"/>
    <s v="Redmi 9"/>
    <n v="610770.24"/>
    <s v="Good"/>
    <s v="Excellent"/>
  </r>
  <r>
    <s v="Sanj262856"/>
    <n v="2856"/>
    <n v="30"/>
    <n v="12"/>
    <n v="2023"/>
    <d v="2023-12-30T00:00:00"/>
    <s v="December"/>
    <d v="2029-08-03T00:00:00"/>
    <x v="0"/>
    <n v="3"/>
    <n v="23033.45"/>
    <s v="Sanjay Jain"/>
    <n v="26"/>
    <s v="Teenagers"/>
    <s v="AVG"/>
    <x v="4"/>
    <s v="Debit Card"/>
    <n v="3"/>
    <s v="Redmi Note 10"/>
    <n v="69100.350000000006"/>
    <s v="Average"/>
    <s v="Average"/>
  </r>
  <r>
    <s v="Moni492857"/>
    <n v="2857"/>
    <n v="30"/>
    <n v="12"/>
    <n v="2023"/>
    <d v="2023-12-30T00:00:00"/>
    <s v="December"/>
    <d v="2029-08-04T00:00:00"/>
    <x v="4"/>
    <n v="3"/>
    <n v="52847.92"/>
    <s v="Monika Chatterjee"/>
    <n v="49"/>
    <s v="Senior Citezen"/>
    <s v="BAD"/>
    <x v="10"/>
    <s v="UPI"/>
    <n v="2"/>
    <s v="iPhone 12"/>
    <n v="158543.76"/>
    <s v="Average"/>
    <s v="Good"/>
  </r>
  <r>
    <s v="Umes282858"/>
    <n v="2858"/>
    <n v="30"/>
    <n v="12"/>
    <n v="2023"/>
    <d v="2023-12-30T00:00:00"/>
    <s v="December"/>
    <d v="2029-08-05T00:00:00"/>
    <x v="0"/>
    <n v="5"/>
    <n v="32196.65"/>
    <s v="Umesh Nair"/>
    <n v="28"/>
    <s v="Teenagers"/>
    <s v="BAD"/>
    <x v="2"/>
    <s v="UPI"/>
    <n v="2"/>
    <s v="Redmi 9"/>
    <n v="160983.25"/>
    <s v="Average"/>
    <s v="Good"/>
  </r>
  <r>
    <s v="Kavi542859"/>
    <n v="2859"/>
    <n v="31"/>
    <n v="12"/>
    <n v="2023"/>
    <d v="2023-12-31T00:00:00"/>
    <s v="December"/>
    <d v="2029-08-06T00:00:00"/>
    <x v="2"/>
    <n v="7"/>
    <n v="26737.97"/>
    <s v="Kavita Desai"/>
    <n v="54"/>
    <s v="Senior Citezen"/>
    <s v="Good"/>
    <x v="6"/>
    <s v="Cash"/>
    <n v="5"/>
    <s v="OnePlus Nord"/>
    <n v="187165.79"/>
    <s v="Good"/>
    <s v="Good"/>
  </r>
  <r>
    <s v="Arun412860"/>
    <n v="2860"/>
    <n v="31"/>
    <n v="12"/>
    <n v="2023"/>
    <d v="2023-12-31T00:00:00"/>
    <s v="December"/>
    <d v="2029-08-07T00:00:00"/>
    <x v="3"/>
    <n v="8"/>
    <n v="20823.25"/>
    <s v="Arun Jain"/>
    <n v="41"/>
    <s v="Adult"/>
    <s v="BAD"/>
    <x v="5"/>
    <s v="UPI"/>
    <n v="2"/>
    <s v="Galaxy Note 20"/>
    <n v="166586"/>
    <s v="Average"/>
    <s v="Good"/>
  </r>
  <r>
    <s v="Radh242861"/>
    <n v="2861"/>
    <n v="31"/>
    <n v="12"/>
    <n v="2023"/>
    <d v="2023-12-31T00:00:00"/>
    <s v="December"/>
    <d v="2029-08-08T00:00:00"/>
    <x v="1"/>
    <n v="7"/>
    <n v="43150.21"/>
    <s v="Radha Mathur"/>
    <n v="24"/>
    <s v="Teenagers"/>
    <s v="Good"/>
    <x v="18"/>
    <s v="Cash"/>
    <n v="5"/>
    <s v="Vivo Y51"/>
    <n v="302051.46999999997"/>
    <s v="Good"/>
    <s v="Excellent"/>
  </r>
  <r>
    <s v="Kira252862"/>
    <n v="2862"/>
    <n v="31"/>
    <n v="12"/>
    <n v="2023"/>
    <d v="2023-12-31T00:00:00"/>
    <s v="December"/>
    <d v="2029-08-09T00:00:00"/>
    <x v="3"/>
    <n v="9"/>
    <n v="22928.17"/>
    <s v="Kiran Prasad"/>
    <n v="25"/>
    <s v="Teenagers"/>
    <s v="Good"/>
    <x v="2"/>
    <s v="Credit Card"/>
    <n v="4"/>
    <s v="Galaxy A51"/>
    <n v="206353.52999999997"/>
    <s v="Good"/>
    <s v="Excellent"/>
  </r>
  <r>
    <s v="Pras502863"/>
    <n v="2863"/>
    <n v="1"/>
    <n v="1"/>
    <n v="2024"/>
    <d v="2024-01-01T00:00:00"/>
    <s v="January"/>
    <d v="2029-08-10T00:00:00"/>
    <x v="1"/>
    <n v="5"/>
    <n v="22021.05"/>
    <s v="Prashant Gupta"/>
    <n v="50"/>
    <s v="Senior Citezen"/>
    <s v="Good"/>
    <x v="6"/>
    <s v="Debit Card"/>
    <n v="5"/>
    <s v="Vivo V20"/>
    <n v="110105.25"/>
    <s v="Good"/>
    <s v="Good"/>
  </r>
  <r>
    <s v="Adit422864"/>
    <n v="2864"/>
    <n v="1"/>
    <n v="1"/>
    <n v="2024"/>
    <d v="2024-01-01T00:00:00"/>
    <s v="January"/>
    <d v="2029-08-11T00:00:00"/>
    <x v="2"/>
    <n v="3"/>
    <n v="69431.91"/>
    <s v="Aditya Luthra"/>
    <n v="42"/>
    <s v="Adult"/>
    <s v="Good"/>
    <x v="9"/>
    <s v="UPI"/>
    <n v="4"/>
    <s v="OnePlus Nord"/>
    <n v="208295.73"/>
    <s v="Good"/>
    <s v="Excellent"/>
  </r>
  <r>
    <s v="Vive182865"/>
    <n v="2865"/>
    <n v="1"/>
    <n v="1"/>
    <n v="2024"/>
    <d v="2024-01-01T00:00:00"/>
    <s v="January"/>
    <d v="2029-08-12T00:00:00"/>
    <x v="0"/>
    <n v="6"/>
    <n v="58104.85"/>
    <s v="Vivek Mathur"/>
    <n v="18"/>
    <s v="Teenagers"/>
    <s v="AVG"/>
    <x v="2"/>
    <s v="Credit Card"/>
    <n v="3"/>
    <s v="Redmi Note 10"/>
    <n v="348629.1"/>
    <s v="Average"/>
    <s v="Excellent"/>
  </r>
  <r>
    <s v="Rame202866"/>
    <n v="2866"/>
    <n v="1"/>
    <n v="1"/>
    <n v="2024"/>
    <d v="2024-01-01T00:00:00"/>
    <s v="January"/>
    <d v="2029-08-13T00:00:00"/>
    <x v="4"/>
    <n v="5"/>
    <n v="54896.61"/>
    <s v="Ramesh Mishra"/>
    <n v="20"/>
    <s v="Teenagers"/>
    <s v="BAD"/>
    <x v="1"/>
    <s v="Credit Card"/>
    <n v="2"/>
    <s v="iPhone 11"/>
    <n v="274483.05"/>
    <s v="Average"/>
    <s v="Excellent"/>
  </r>
  <r>
    <s v="Anan572867"/>
    <n v="2867"/>
    <n v="2"/>
    <n v="1"/>
    <n v="2024"/>
    <d v="2024-01-02T00:00:00"/>
    <s v="January"/>
    <d v="2029-08-14T00:00:00"/>
    <x v="2"/>
    <n v="4"/>
    <n v="57643.64"/>
    <s v="Anand Arora"/>
    <n v="57"/>
    <s v="Senior Citezen"/>
    <s v="Good"/>
    <x v="1"/>
    <s v="Cash"/>
    <n v="5"/>
    <s v="OnePlus Nord"/>
    <n v="230574.56"/>
    <s v="Good"/>
    <s v="Excellent"/>
  </r>
  <r>
    <s v="Mano452868"/>
    <n v="2868"/>
    <n v="2"/>
    <n v="1"/>
    <n v="2024"/>
    <d v="2024-01-02T00:00:00"/>
    <s v="January"/>
    <d v="2029-08-15T00:00:00"/>
    <x v="3"/>
    <n v="2"/>
    <n v="68135.37"/>
    <s v="Manoj Mehta"/>
    <n v="45"/>
    <s v="Adult"/>
    <s v="Good"/>
    <x v="5"/>
    <s v="Cash"/>
    <n v="5"/>
    <s v="Galaxy S21"/>
    <n v="136270.74"/>
    <s v="Good"/>
    <s v="Good"/>
  </r>
  <r>
    <s v="Kris502869"/>
    <n v="2869"/>
    <n v="2"/>
    <n v="1"/>
    <n v="2024"/>
    <d v="2024-01-02T00:00:00"/>
    <s v="January"/>
    <d v="2029-08-16T00:00:00"/>
    <x v="4"/>
    <n v="7"/>
    <n v="44396.6"/>
    <s v="Krishna Iyer"/>
    <n v="50"/>
    <s v="Senior Citezen"/>
    <s v="BAD"/>
    <x v="17"/>
    <s v="UPI"/>
    <n v="2"/>
    <s v="iPhone 11"/>
    <n v="310776.2"/>
    <s v="Average"/>
    <s v="Excellent"/>
  </r>
  <r>
    <s v="Kira182870"/>
    <n v="2870"/>
    <n v="3"/>
    <n v="1"/>
    <n v="2024"/>
    <d v="2024-01-03T00:00:00"/>
    <s v="January"/>
    <d v="2029-08-17T00:00:00"/>
    <x v="0"/>
    <n v="5"/>
    <n v="23214.63"/>
    <s v="Kiran Prasad"/>
    <n v="18"/>
    <s v="Teenagers"/>
    <s v="BAD"/>
    <x v="11"/>
    <s v="Cash"/>
    <n v="2"/>
    <s v="Redmi 9"/>
    <n v="116073.15000000001"/>
    <s v="Average"/>
    <s v="Good"/>
  </r>
  <r>
    <s v="Bina552871"/>
    <n v="2871"/>
    <n v="3"/>
    <n v="1"/>
    <n v="2024"/>
    <d v="2024-01-03T00:00:00"/>
    <s v="January"/>
    <d v="2029-08-18T00:00:00"/>
    <x v="2"/>
    <n v="4"/>
    <n v="61732.58"/>
    <s v="Bina Das"/>
    <n v="55"/>
    <s v="Senior Citezen"/>
    <s v="AVG"/>
    <x v="2"/>
    <s v="Credit Card"/>
    <n v="3"/>
    <s v="OnePlus Nord"/>
    <n v="246930.32"/>
    <s v="Average"/>
    <s v="Excellent"/>
  </r>
  <r>
    <s v="Shru442872"/>
    <n v="2872"/>
    <n v="3"/>
    <n v="1"/>
    <n v="2024"/>
    <d v="2024-01-03T00:00:00"/>
    <s v="January"/>
    <d v="2029-08-19T00:00:00"/>
    <x v="4"/>
    <n v="8"/>
    <n v="54563.839999999997"/>
    <s v="Shruti Alva"/>
    <n v="44"/>
    <s v="Adult"/>
    <s v="Good"/>
    <x v="5"/>
    <s v="Credit Card"/>
    <n v="4"/>
    <s v="iPhone 11"/>
    <n v="436510.71999999997"/>
    <s v="Good"/>
    <s v="Excellent"/>
  </r>
  <r>
    <s v="Kavi552873"/>
    <n v="2873"/>
    <n v="4"/>
    <n v="1"/>
    <n v="2024"/>
    <d v="2024-01-04T00:00:00"/>
    <s v="January"/>
    <d v="2029-08-20T00:00:00"/>
    <x v="2"/>
    <n v="9"/>
    <n v="34858.5"/>
    <s v="Kavita Rawat"/>
    <n v="55"/>
    <s v="Senior Citezen"/>
    <s v="AVG"/>
    <x v="14"/>
    <s v="Debit Card"/>
    <n v="3"/>
    <s v="OnePlus Nord"/>
    <n v="313726.5"/>
    <s v="Average"/>
    <s v="Excellent"/>
  </r>
  <r>
    <s v="Vija522874"/>
    <n v="2874"/>
    <n v="4"/>
    <n v="1"/>
    <n v="2024"/>
    <d v="2024-01-04T00:00:00"/>
    <s v="January"/>
    <d v="2029-08-21T00:00:00"/>
    <x v="2"/>
    <n v="9"/>
    <n v="38414.17"/>
    <s v="Vijay Singh"/>
    <n v="52"/>
    <s v="Senior Citezen"/>
    <s v="BAD"/>
    <x v="2"/>
    <s v="Credit Card"/>
    <n v="2"/>
    <s v="OnePlus 8T"/>
    <n v="345727.52999999997"/>
    <s v="Average"/>
    <s v="Excellent"/>
  </r>
  <r>
    <s v="Reen272875"/>
    <n v="2875"/>
    <n v="4"/>
    <n v="1"/>
    <n v="2024"/>
    <d v="2024-01-04T00:00:00"/>
    <s v="January"/>
    <d v="2029-08-22T00:00:00"/>
    <x v="0"/>
    <n v="3"/>
    <n v="34675.14"/>
    <s v="Reena Sheth"/>
    <n v="27"/>
    <s v="Teenagers"/>
    <s v="AVG"/>
    <x v="8"/>
    <s v="UPI"/>
    <n v="3"/>
    <s v="Redmi Note 10"/>
    <n v="104025.42"/>
    <s v="Average"/>
    <s v="Good"/>
  </r>
  <r>
    <s v="Vino292876"/>
    <n v="2876"/>
    <n v="5"/>
    <n v="1"/>
    <n v="2024"/>
    <d v="2024-01-05T00:00:00"/>
    <s v="January"/>
    <d v="2029-08-23T00:00:00"/>
    <x v="1"/>
    <n v="3"/>
    <n v="65796.53"/>
    <s v="Vinod Pathak"/>
    <n v="29"/>
    <s v="Teenagers"/>
    <s v="Good"/>
    <x v="15"/>
    <s v="Debit Card"/>
    <n v="4"/>
    <s v="Vivo S1"/>
    <n v="197389.59"/>
    <s v="Good"/>
    <s v="Good"/>
  </r>
  <r>
    <s v="Ayes272877"/>
    <n v="2877"/>
    <n v="5"/>
    <n v="1"/>
    <n v="2024"/>
    <d v="2024-01-05T00:00:00"/>
    <s v="January"/>
    <d v="2029-08-24T00:00:00"/>
    <x v="4"/>
    <n v="5"/>
    <n v="30611.9"/>
    <s v="Ayesha Singh"/>
    <n v="27"/>
    <s v="Teenagers"/>
    <s v="BAD"/>
    <x v="2"/>
    <s v="Cash"/>
    <n v="2"/>
    <s v="iPhone 11"/>
    <n v="153059.5"/>
    <s v="Average"/>
    <s v="Good"/>
  </r>
  <r>
    <s v="Roha512878"/>
    <n v="2878"/>
    <n v="5"/>
    <n v="1"/>
    <n v="2024"/>
    <d v="2024-01-05T00:00:00"/>
    <s v="January"/>
    <d v="2029-08-25T00:00:00"/>
    <x v="0"/>
    <n v="5"/>
    <n v="67809.06"/>
    <s v="Rohan Prasad"/>
    <n v="51"/>
    <s v="Senior Citezen"/>
    <s v="BAD"/>
    <x v="17"/>
    <s v="Debit Card"/>
    <n v="2"/>
    <s v="Mi 11"/>
    <n v="339045.3"/>
    <s v="Average"/>
    <s v="Excellent"/>
  </r>
  <r>
    <s v="Umes412879"/>
    <n v="2879"/>
    <n v="5"/>
    <n v="1"/>
    <n v="2024"/>
    <d v="2024-01-05T00:00:00"/>
    <s v="January"/>
    <d v="2029-08-26T00:00:00"/>
    <x v="2"/>
    <n v="2"/>
    <n v="64616.31"/>
    <s v="Umesh Kaur"/>
    <n v="41"/>
    <s v="Adult"/>
    <s v="Good"/>
    <x v="13"/>
    <s v="Credit Card"/>
    <n v="5"/>
    <s v="OnePlus 9"/>
    <n v="129232.62"/>
    <s v="Good"/>
    <s v="Good"/>
  </r>
  <r>
    <s v="Suni452880"/>
    <n v="2880"/>
    <n v="6"/>
    <n v="1"/>
    <n v="2024"/>
    <d v="2024-01-06T00:00:00"/>
    <s v="January"/>
    <d v="2029-08-27T00:00:00"/>
    <x v="0"/>
    <n v="1"/>
    <n v="47831.27"/>
    <s v="Sunil Malhotra"/>
    <n v="45"/>
    <s v="Adult"/>
    <s v="Good"/>
    <x v="4"/>
    <s v="UPI"/>
    <n v="5"/>
    <s v="Redmi 9"/>
    <n v="47831.27"/>
    <s v="Good"/>
    <s v="Low"/>
  </r>
  <r>
    <s v="Yoge392881"/>
    <n v="2881"/>
    <n v="6"/>
    <n v="1"/>
    <n v="2024"/>
    <d v="2024-01-06T00:00:00"/>
    <s v="January"/>
    <d v="2029-08-28T00:00:00"/>
    <x v="1"/>
    <n v="8"/>
    <n v="44789.31"/>
    <s v="Yogesh Kaur"/>
    <n v="39"/>
    <s v="Adult"/>
    <s v="BAD"/>
    <x v="3"/>
    <s v="Cash"/>
    <n v="2"/>
    <s v="Vivo Y51"/>
    <n v="358314.48"/>
    <s v="Average"/>
    <s v="Excellent"/>
  </r>
  <r>
    <s v="Yoge332882"/>
    <n v="2882"/>
    <n v="6"/>
    <n v="1"/>
    <n v="2024"/>
    <d v="2024-01-06T00:00:00"/>
    <s v="January"/>
    <d v="2029-08-29T00:00:00"/>
    <x v="4"/>
    <n v="3"/>
    <n v="32205.360000000001"/>
    <s v="Yogesh Dutta"/>
    <n v="33"/>
    <s v="Adult"/>
    <s v="AVG"/>
    <x v="0"/>
    <s v="Cash"/>
    <n v="3"/>
    <s v="iPhone 11"/>
    <n v="96616.08"/>
    <s v="Average"/>
    <s v="Average"/>
  </r>
  <r>
    <s v="Arun302883"/>
    <n v="2883"/>
    <n v="7"/>
    <n v="1"/>
    <n v="2024"/>
    <d v="2024-01-07T00:00:00"/>
    <s v="January"/>
    <d v="2029-08-30T00:00:00"/>
    <x v="1"/>
    <n v="1"/>
    <n v="11100.3"/>
    <s v="Arun Ghosh"/>
    <n v="30"/>
    <s v="Teenagers"/>
    <s v="Good"/>
    <x v="8"/>
    <s v="Credit Card"/>
    <n v="5"/>
    <s v="Vivo Y51"/>
    <n v="11100.3"/>
    <s v="Good"/>
    <s v="Low"/>
  </r>
  <r>
    <s v="Nikh532884"/>
    <n v="2884"/>
    <n v="7"/>
    <n v="1"/>
    <n v="2024"/>
    <d v="2024-01-07T00:00:00"/>
    <s v="January"/>
    <d v="2029-08-31T00:00:00"/>
    <x v="3"/>
    <n v="1"/>
    <n v="17657.39"/>
    <s v="Nikhil Rathod"/>
    <n v="53"/>
    <s v="Senior Citezen"/>
    <s v="BAD"/>
    <x v="2"/>
    <s v="UPI"/>
    <n v="2"/>
    <s v="Galaxy A51"/>
    <n v="17657.39"/>
    <s v="Average"/>
    <s v="Low"/>
  </r>
  <r>
    <s v="Sumi532885"/>
    <n v="2885"/>
    <n v="7"/>
    <n v="1"/>
    <n v="2024"/>
    <d v="2024-01-07T00:00:00"/>
    <s v="January"/>
    <d v="2029-09-01T00:00:00"/>
    <x v="4"/>
    <n v="2"/>
    <n v="55253.88"/>
    <s v="Sumit Sheth"/>
    <n v="53"/>
    <s v="Senior Citezen"/>
    <s v="Good"/>
    <x v="1"/>
    <s v="Credit Card"/>
    <n v="4"/>
    <s v="iPhone SE"/>
    <n v="110507.76"/>
    <s v="Good"/>
    <s v="Good"/>
  </r>
  <r>
    <s v="Tapa402886"/>
    <n v="2886"/>
    <n v="8"/>
    <n v="1"/>
    <n v="2024"/>
    <d v="2024-01-08T00:00:00"/>
    <s v="January"/>
    <d v="2029-09-02T00:00:00"/>
    <x v="1"/>
    <n v="6"/>
    <n v="38292.410000000003"/>
    <s v="Tapan Ahuja"/>
    <n v="40"/>
    <s v="Adult"/>
    <s v="AVG"/>
    <x v="2"/>
    <s v="Credit Card"/>
    <n v="3"/>
    <s v="Vivo V20"/>
    <n v="229754.46000000002"/>
    <s v="Average"/>
    <s v="Excellent"/>
  </r>
  <r>
    <s v="Sumi312887"/>
    <n v="2887"/>
    <n v="8"/>
    <n v="1"/>
    <n v="2024"/>
    <d v="2024-01-08T00:00:00"/>
    <s v="January"/>
    <d v="2029-09-03T00:00:00"/>
    <x v="2"/>
    <n v="6"/>
    <n v="18990.29"/>
    <s v="Sumit Chatterjee"/>
    <n v="31"/>
    <s v="Adult"/>
    <s v="Good"/>
    <x v="10"/>
    <s v="UPI"/>
    <n v="4"/>
    <s v="OnePlus 9"/>
    <n v="113941.74"/>
    <s v="Good"/>
    <s v="Good"/>
  </r>
  <r>
    <s v="Priy492888"/>
    <n v="2888"/>
    <n v="8"/>
    <n v="1"/>
    <n v="2024"/>
    <d v="2024-01-08T00:00:00"/>
    <s v="January"/>
    <d v="2029-09-04T00:00:00"/>
    <x v="4"/>
    <n v="3"/>
    <n v="25837.65"/>
    <s v="Priya Varma"/>
    <n v="49"/>
    <s v="Senior Citezen"/>
    <s v="AVG"/>
    <x v="2"/>
    <s v="Credit Card"/>
    <n v="3"/>
    <s v="iPhone 12"/>
    <n v="77512.950000000012"/>
    <s v="Average"/>
    <s v="Average"/>
  </r>
  <r>
    <s v="Anit202889"/>
    <n v="2889"/>
    <n v="8"/>
    <n v="1"/>
    <n v="2024"/>
    <d v="2024-01-08T00:00:00"/>
    <s v="January"/>
    <d v="2029-09-05T00:00:00"/>
    <x v="4"/>
    <n v="4"/>
    <n v="66870.210000000006"/>
    <s v="Anita Mathur"/>
    <n v="20"/>
    <s v="Teenagers"/>
    <s v="BAD"/>
    <x v="6"/>
    <s v="UPI"/>
    <n v="2"/>
    <s v="iPhone SE"/>
    <n v="267480.84000000003"/>
    <s v="Average"/>
    <s v="Excellent"/>
  </r>
  <r>
    <s v="Hari442890"/>
    <n v="2890"/>
    <n v="9"/>
    <n v="1"/>
    <n v="2024"/>
    <d v="2024-01-09T00:00:00"/>
    <s v="January"/>
    <d v="2029-09-06T00:00:00"/>
    <x v="0"/>
    <n v="2"/>
    <n v="32027.97"/>
    <s v="Harish Pillai"/>
    <n v="44"/>
    <s v="Adult"/>
    <s v="Good"/>
    <x v="1"/>
    <s v="UPI"/>
    <n v="4"/>
    <s v="Mi 11"/>
    <n v="64055.94"/>
    <s v="Good"/>
    <s v="Average"/>
  </r>
  <r>
    <s v="Shru362891"/>
    <n v="2891"/>
    <n v="9"/>
    <n v="1"/>
    <n v="2024"/>
    <d v="2024-01-09T00:00:00"/>
    <s v="January"/>
    <d v="2029-09-07T00:00:00"/>
    <x v="2"/>
    <n v="2"/>
    <n v="64460.92"/>
    <s v="Shruti Iyer"/>
    <n v="36"/>
    <s v="Adult"/>
    <s v="BAD"/>
    <x v="7"/>
    <s v="Credit Card"/>
    <n v="2"/>
    <s v="OnePlus Nord"/>
    <n v="128921.84"/>
    <s v="Average"/>
    <s v="Good"/>
  </r>
  <r>
    <s v="Raje392892"/>
    <n v="2892"/>
    <n v="9"/>
    <n v="1"/>
    <n v="2024"/>
    <d v="2024-01-09T00:00:00"/>
    <s v="January"/>
    <d v="2029-09-08T00:00:00"/>
    <x v="3"/>
    <n v="7"/>
    <n v="28278.15"/>
    <s v="Rajesh Kapoor"/>
    <n v="39"/>
    <s v="Adult"/>
    <s v="Good"/>
    <x v="1"/>
    <s v="Credit Card"/>
    <n v="4"/>
    <s v="Galaxy A51"/>
    <n v="197947.05000000002"/>
    <s v="Good"/>
    <s v="Good"/>
  </r>
  <r>
    <s v="Bina182893"/>
    <n v="2893"/>
    <n v="9"/>
    <n v="1"/>
    <n v="2024"/>
    <d v="2024-01-09T00:00:00"/>
    <s v="January"/>
    <d v="2029-09-09T00:00:00"/>
    <x v="1"/>
    <n v="1"/>
    <n v="42593.21"/>
    <s v="Bina Teja"/>
    <n v="18"/>
    <s v="Teenagers"/>
    <s v="AVG"/>
    <x v="1"/>
    <s v="Debit Card"/>
    <n v="3"/>
    <s v="Vivo S1"/>
    <n v="42593.21"/>
    <s v="Average"/>
    <s v="Low"/>
  </r>
  <r>
    <s v="Lata222894"/>
    <n v="2894"/>
    <n v="10"/>
    <n v="1"/>
    <n v="2024"/>
    <d v="2024-01-10T00:00:00"/>
    <s v="January"/>
    <d v="2029-09-10T00:00:00"/>
    <x v="0"/>
    <n v="7"/>
    <n v="11228.63"/>
    <s v="Lata Rawat"/>
    <n v="22"/>
    <s v="Teenagers"/>
    <s v="BAD"/>
    <x v="1"/>
    <s v="Cash"/>
    <n v="2"/>
    <s v="Redmi Note 10"/>
    <n v="78600.409999999989"/>
    <s v="Average"/>
    <s v="Average"/>
  </r>
  <r>
    <s v="Deep502895"/>
    <n v="2895"/>
    <n v="10"/>
    <n v="1"/>
    <n v="2024"/>
    <d v="2024-01-10T00:00:00"/>
    <s v="January"/>
    <d v="2029-09-11T00:00:00"/>
    <x v="1"/>
    <n v="1"/>
    <n v="41312.51"/>
    <s v="Deepika Pathak"/>
    <n v="50"/>
    <s v="Senior Citezen"/>
    <s v="AVG"/>
    <x v="16"/>
    <s v="Cash"/>
    <n v="3"/>
    <s v="Vivo Y51"/>
    <n v="41312.51"/>
    <s v="Average"/>
    <s v="Low"/>
  </r>
  <r>
    <s v="Moni362896"/>
    <n v="2896"/>
    <n v="10"/>
    <n v="1"/>
    <n v="2024"/>
    <d v="2024-01-10T00:00:00"/>
    <s v="January"/>
    <d v="2029-09-12T00:00:00"/>
    <x v="3"/>
    <n v="6"/>
    <n v="48216.52"/>
    <s v="Monika Patel"/>
    <n v="36"/>
    <s v="Adult"/>
    <s v="AVG"/>
    <x v="2"/>
    <s v="UPI"/>
    <n v="3"/>
    <s v="Galaxy A51"/>
    <n v="289299.12"/>
    <s v="Average"/>
    <s v="Excellent"/>
  </r>
  <r>
    <s v="Moni532897"/>
    <n v="2897"/>
    <n v="11"/>
    <n v="1"/>
    <n v="2024"/>
    <d v="2024-01-11T00:00:00"/>
    <s v="January"/>
    <d v="2029-09-13T00:00:00"/>
    <x v="3"/>
    <n v="3"/>
    <n v="24058.31"/>
    <s v="Monika Goyal"/>
    <n v="53"/>
    <s v="Senior Citezen"/>
    <s v="Good"/>
    <x v="1"/>
    <s v="Debit Card"/>
    <n v="4"/>
    <s v="Galaxy S21"/>
    <n v="72174.930000000008"/>
    <s v="Good"/>
    <s v="Average"/>
  </r>
  <r>
    <s v="Lali232898"/>
    <n v="2898"/>
    <n v="11"/>
    <n v="1"/>
    <n v="2024"/>
    <d v="2024-01-11T00:00:00"/>
    <s v="January"/>
    <d v="2029-09-14T00:00:00"/>
    <x v="4"/>
    <n v="8"/>
    <n v="44736.23"/>
    <s v="Lalita Verma"/>
    <n v="23"/>
    <s v="Teenagers"/>
    <s v="Good"/>
    <x v="1"/>
    <s v="UPI"/>
    <n v="4"/>
    <s v="iPhone SE"/>
    <n v="357889.84"/>
    <s v="Good"/>
    <s v="Excellent"/>
  </r>
  <r>
    <s v="Arun322899"/>
    <n v="2899"/>
    <n v="11"/>
    <n v="1"/>
    <n v="2024"/>
    <d v="2024-01-11T00:00:00"/>
    <s v="January"/>
    <d v="2029-09-15T00:00:00"/>
    <x v="3"/>
    <n v="6"/>
    <n v="48830.07"/>
    <s v="Arun Shah"/>
    <n v="32"/>
    <s v="Adult"/>
    <s v="BAD"/>
    <x v="14"/>
    <s v="Debit Card"/>
    <n v="2"/>
    <s v="Galaxy Note 20"/>
    <n v="292980.42"/>
    <s v="Average"/>
    <s v="Excellent"/>
  </r>
  <r>
    <s v="Jyot532900"/>
    <n v="2900"/>
    <n v="11"/>
    <n v="1"/>
    <n v="2024"/>
    <d v="2024-01-11T00:00:00"/>
    <s v="January"/>
    <d v="2029-09-16T00:00:00"/>
    <x v="1"/>
    <n v="2"/>
    <n v="51213.16"/>
    <s v="Jyoti Menon"/>
    <n v="53"/>
    <s v="Senior Citezen"/>
    <s v="Good"/>
    <x v="15"/>
    <s v="UPI"/>
    <n v="5"/>
    <s v="Vivo V20"/>
    <n v="102426.32"/>
    <s v="Good"/>
    <s v="Good"/>
  </r>
  <r>
    <s v="Kavi502901"/>
    <n v="2901"/>
    <n v="12"/>
    <n v="1"/>
    <n v="2024"/>
    <d v="2024-01-12T00:00:00"/>
    <s v="January"/>
    <d v="2029-09-17T00:00:00"/>
    <x v="2"/>
    <n v="8"/>
    <n v="56584.2"/>
    <s v="Kavita Singh"/>
    <n v="50"/>
    <s v="Senior Citezen"/>
    <s v="BAD"/>
    <x v="9"/>
    <s v="Cash"/>
    <n v="2"/>
    <s v="OnePlus Nord"/>
    <n v="452673.6"/>
    <s v="Average"/>
    <s v="Excellent"/>
  </r>
  <r>
    <s v="Sach412902"/>
    <n v="2902"/>
    <n v="12"/>
    <n v="1"/>
    <n v="2024"/>
    <d v="2024-01-12T00:00:00"/>
    <s v="January"/>
    <d v="2029-09-18T00:00:00"/>
    <x v="2"/>
    <n v="5"/>
    <n v="28680.35"/>
    <s v="Sachin Jain"/>
    <n v="41"/>
    <s v="Adult"/>
    <s v="Good"/>
    <x v="2"/>
    <s v="Debit Card"/>
    <n v="4"/>
    <s v="OnePlus 9"/>
    <n v="143401.75"/>
    <s v="Good"/>
    <s v="Good"/>
  </r>
  <r>
    <s v="Deep442903"/>
    <n v="2903"/>
    <n v="12"/>
    <n v="1"/>
    <n v="2024"/>
    <d v="2024-01-12T00:00:00"/>
    <s v="January"/>
    <d v="2029-09-19T00:00:00"/>
    <x v="4"/>
    <n v="8"/>
    <n v="44066.62"/>
    <s v="Deepika Patel"/>
    <n v="44"/>
    <s v="Adult"/>
    <s v="AVG"/>
    <x v="13"/>
    <s v="Credit Card"/>
    <n v="3"/>
    <s v="iPhone 11"/>
    <n v="352532.96"/>
    <s v="Average"/>
    <s v="Excellent"/>
  </r>
  <r>
    <s v="Kris282904"/>
    <n v="2904"/>
    <n v="12"/>
    <n v="1"/>
    <n v="2024"/>
    <d v="2024-01-12T00:00:00"/>
    <s v="January"/>
    <d v="2029-09-20T00:00:00"/>
    <x v="1"/>
    <n v="8"/>
    <n v="68894.740000000005"/>
    <s v="Krishna Alva"/>
    <n v="28"/>
    <s v="Teenagers"/>
    <s v="BAD"/>
    <x v="1"/>
    <s v="Credit Card"/>
    <n v="2"/>
    <s v="Vivo Y51"/>
    <n v="551157.92000000004"/>
    <s v="Average"/>
    <s v="Excellent"/>
  </r>
  <r>
    <s v="Vive402905"/>
    <n v="2905"/>
    <n v="13"/>
    <n v="1"/>
    <n v="2024"/>
    <d v="2024-01-13T00:00:00"/>
    <s v="January"/>
    <d v="2029-09-21T00:00:00"/>
    <x v="1"/>
    <n v="6"/>
    <n v="63888.65"/>
    <s v="Vivek Luthra"/>
    <n v="40"/>
    <s v="Adult"/>
    <s v="BAD"/>
    <x v="0"/>
    <s v="Cash"/>
    <n v="2"/>
    <s v="Vivo V20"/>
    <n v="383331.9"/>
    <s v="Average"/>
    <s v="Excellent"/>
  </r>
  <r>
    <s v="Sanj502906"/>
    <n v="2906"/>
    <n v="13"/>
    <n v="1"/>
    <n v="2024"/>
    <d v="2024-01-13T00:00:00"/>
    <s v="January"/>
    <d v="2029-09-22T00:00:00"/>
    <x v="3"/>
    <n v="2"/>
    <n v="67159.929999999993"/>
    <s v="Sanjay Sheth"/>
    <n v="50"/>
    <s v="Senior Citezen"/>
    <s v="BAD"/>
    <x v="1"/>
    <s v="Debit Card"/>
    <n v="2"/>
    <s v="Galaxy A51"/>
    <n v="134319.85999999999"/>
    <s v="Average"/>
    <s v="Good"/>
  </r>
  <r>
    <s v="Rame582907"/>
    <n v="2907"/>
    <n v="13"/>
    <n v="1"/>
    <n v="2024"/>
    <d v="2024-01-13T00:00:00"/>
    <s v="January"/>
    <d v="2029-09-23T00:00:00"/>
    <x v="1"/>
    <n v="8"/>
    <n v="33168.18"/>
    <s v="Ramesh Srivastava"/>
    <n v="58"/>
    <s v="Senior Citezen"/>
    <s v="BAD"/>
    <x v="1"/>
    <s v="Credit Card"/>
    <n v="2"/>
    <s v="Vivo Y51"/>
    <n v="265345.44"/>
    <s v="Average"/>
    <s v="Excellent"/>
  </r>
  <r>
    <s v="Vino462908"/>
    <n v="2908"/>
    <n v="14"/>
    <n v="1"/>
    <n v="2024"/>
    <d v="2024-01-14T00:00:00"/>
    <s v="January"/>
    <d v="2029-09-24T00:00:00"/>
    <x v="0"/>
    <n v="6"/>
    <n v="57215.69"/>
    <s v="Vinod Nair"/>
    <n v="46"/>
    <s v="Senior Citezen"/>
    <s v="Good"/>
    <x v="2"/>
    <s v="Credit Card"/>
    <n v="5"/>
    <s v="Mi 11"/>
    <n v="343294.14"/>
    <s v="Good"/>
    <s v="Excellent"/>
  </r>
  <r>
    <s v="Sneh482909"/>
    <n v="2909"/>
    <n v="14"/>
    <n v="1"/>
    <n v="2024"/>
    <d v="2024-01-14T00:00:00"/>
    <s v="January"/>
    <d v="2029-09-25T00:00:00"/>
    <x v="3"/>
    <n v="6"/>
    <n v="47193.88"/>
    <s v="Sneha Deshmukh"/>
    <n v="48"/>
    <s v="Senior Citezen"/>
    <s v="Good"/>
    <x v="17"/>
    <s v="Credit Card"/>
    <n v="5"/>
    <s v="Galaxy A51"/>
    <n v="283163.27999999997"/>
    <s v="Good"/>
    <s v="Excellent"/>
  </r>
  <r>
    <s v="Deve182910"/>
    <n v="2910"/>
    <n v="14"/>
    <n v="1"/>
    <n v="2024"/>
    <d v="2024-01-14T00:00:00"/>
    <s v="January"/>
    <d v="2029-09-26T00:00:00"/>
    <x v="0"/>
    <n v="8"/>
    <n v="14964.1"/>
    <s v="Devendra Menon"/>
    <n v="18"/>
    <s v="Teenagers"/>
    <s v="BAD"/>
    <x v="2"/>
    <s v="Cash"/>
    <n v="2"/>
    <s v="Redmi Note 10"/>
    <n v="119712.8"/>
    <s v="Average"/>
    <s v="Good"/>
  </r>
  <r>
    <s v="Anja512911"/>
    <n v="2911"/>
    <n v="14"/>
    <n v="1"/>
    <n v="2024"/>
    <d v="2024-01-14T00:00:00"/>
    <s v="January"/>
    <d v="2029-09-27T00:00:00"/>
    <x v="4"/>
    <n v="1"/>
    <n v="59438.82"/>
    <s v="Anjali Jain"/>
    <n v="51"/>
    <s v="Senior Citezen"/>
    <s v="Good"/>
    <x v="0"/>
    <s v="UPI"/>
    <n v="5"/>
    <s v="iPhone 12"/>
    <n v="59438.82"/>
    <s v="Good"/>
    <s v="Average"/>
  </r>
  <r>
    <s v="Umes352912"/>
    <n v="2912"/>
    <n v="15"/>
    <n v="1"/>
    <n v="2024"/>
    <d v="2024-01-15T00:00:00"/>
    <s v="January"/>
    <d v="2029-09-28T00:00:00"/>
    <x v="2"/>
    <n v="2"/>
    <n v="50626.080000000002"/>
    <s v="Umesh Goyal"/>
    <n v="35"/>
    <s v="Adult"/>
    <s v="Good"/>
    <x v="2"/>
    <s v="Credit Card"/>
    <n v="5"/>
    <s v="OnePlus Nord"/>
    <n v="101252.16"/>
    <s v="Good"/>
    <s v="Good"/>
  </r>
  <r>
    <s v="Umes352913"/>
    <n v="2913"/>
    <n v="15"/>
    <n v="1"/>
    <n v="2024"/>
    <d v="2024-01-15T00:00:00"/>
    <s v="January"/>
    <d v="2029-09-29T00:00:00"/>
    <x v="4"/>
    <n v="9"/>
    <n v="21935.040000000001"/>
    <s v="Umesh Reddy"/>
    <n v="35"/>
    <s v="Adult"/>
    <s v="BAD"/>
    <x v="6"/>
    <s v="Credit Card"/>
    <n v="2"/>
    <s v="iPhone 11"/>
    <n v="197415.36000000002"/>
    <s v="Average"/>
    <s v="Good"/>
  </r>
  <r>
    <s v="Deep232914"/>
    <n v="2914"/>
    <n v="15"/>
    <n v="1"/>
    <n v="2024"/>
    <d v="2024-01-15T00:00:00"/>
    <s v="January"/>
    <d v="2029-09-30T00:00:00"/>
    <x v="2"/>
    <n v="8"/>
    <n v="14784.31"/>
    <s v="Deepika Solanki"/>
    <n v="23"/>
    <s v="Teenagers"/>
    <s v="Good"/>
    <x v="1"/>
    <s v="UPI"/>
    <n v="4"/>
    <s v="OnePlus 8T"/>
    <n v="118274.48"/>
    <s v="Good"/>
    <s v="Good"/>
  </r>
  <r>
    <s v="Vive572915"/>
    <n v="2915"/>
    <n v="16"/>
    <n v="1"/>
    <n v="2024"/>
    <d v="2024-01-16T00:00:00"/>
    <s v="January"/>
    <d v="2029-10-01T00:00:00"/>
    <x v="4"/>
    <n v="7"/>
    <n v="60221.33"/>
    <s v="Vivek Nair"/>
    <n v="57"/>
    <s v="Senior Citezen"/>
    <s v="Good"/>
    <x v="1"/>
    <s v="Credit Card"/>
    <n v="5"/>
    <s v="iPhone SE"/>
    <n v="421549.31"/>
    <s v="Good"/>
    <s v="Excellent"/>
  </r>
  <r>
    <s v="Anit182916"/>
    <n v="2916"/>
    <n v="16"/>
    <n v="1"/>
    <n v="2024"/>
    <d v="2024-01-16T00:00:00"/>
    <s v="January"/>
    <d v="2029-10-02T00:00:00"/>
    <x v="1"/>
    <n v="7"/>
    <n v="14734.11"/>
    <s v="Anita Shah"/>
    <n v="18"/>
    <s v="Teenagers"/>
    <s v="BAD"/>
    <x v="11"/>
    <s v="Debit Card"/>
    <n v="2"/>
    <s v="Vivo S1"/>
    <n v="103138.77"/>
    <s v="Average"/>
    <s v="Good"/>
  </r>
  <r>
    <s v="Suni592917"/>
    <n v="2917"/>
    <n v="16"/>
    <n v="1"/>
    <n v="2024"/>
    <d v="2024-01-16T00:00:00"/>
    <s v="January"/>
    <d v="2029-10-03T00:00:00"/>
    <x v="0"/>
    <n v="5"/>
    <n v="15481.23"/>
    <s v="Sunita Singh"/>
    <n v="59"/>
    <s v="Senior Citezen"/>
    <s v="Good"/>
    <x v="2"/>
    <s v="Credit Card"/>
    <n v="4"/>
    <s v="Redmi Note 10"/>
    <n v="77406.149999999994"/>
    <s v="Good"/>
    <s v="Average"/>
  </r>
  <r>
    <s v="Lali472918"/>
    <n v="2918"/>
    <n v="16"/>
    <n v="1"/>
    <n v="2024"/>
    <d v="2024-01-16T00:00:00"/>
    <s v="January"/>
    <d v="2029-10-04T00:00:00"/>
    <x v="2"/>
    <n v="2"/>
    <n v="35644.5"/>
    <s v="Lalita Verma"/>
    <n v="47"/>
    <s v="Senior Citezen"/>
    <s v="Good"/>
    <x v="5"/>
    <s v="UPI"/>
    <n v="5"/>
    <s v="OnePlus 9"/>
    <n v="71289"/>
    <s v="Good"/>
    <s v="Average"/>
  </r>
  <r>
    <s v="Moni212919"/>
    <n v="2919"/>
    <n v="17"/>
    <n v="1"/>
    <n v="2024"/>
    <d v="2024-01-17T00:00:00"/>
    <s v="January"/>
    <d v="2029-10-05T00:00:00"/>
    <x v="3"/>
    <n v="6"/>
    <n v="18087.87"/>
    <s v="Monika Mathur"/>
    <n v="21"/>
    <s v="Teenagers"/>
    <s v="BAD"/>
    <x v="1"/>
    <s v="Cash"/>
    <n v="2"/>
    <s v="Galaxy A51"/>
    <n v="108527.22"/>
    <s v="Average"/>
    <s v="Good"/>
  </r>
  <r>
    <s v="Amit492920"/>
    <n v="2920"/>
    <n v="17"/>
    <n v="1"/>
    <n v="2024"/>
    <d v="2024-01-17T00:00:00"/>
    <s v="January"/>
    <d v="2029-10-06T00:00:00"/>
    <x v="0"/>
    <n v="3"/>
    <n v="64820.18"/>
    <s v="Amit Prasad"/>
    <n v="49"/>
    <s v="Senior Citezen"/>
    <s v="Good"/>
    <x v="2"/>
    <s v="Cash"/>
    <n v="5"/>
    <s v="Mi 11"/>
    <n v="194460.54"/>
    <s v="Good"/>
    <s v="Good"/>
  </r>
  <r>
    <s v="Tanu272921"/>
    <n v="2921"/>
    <n v="17"/>
    <n v="1"/>
    <n v="2024"/>
    <d v="2024-01-17T00:00:00"/>
    <s v="January"/>
    <d v="2029-10-07T00:00:00"/>
    <x v="3"/>
    <n v="4"/>
    <n v="38217.040000000001"/>
    <s v="Tanuja Roy"/>
    <n v="27"/>
    <s v="Teenagers"/>
    <s v="Good"/>
    <x v="1"/>
    <s v="Debit Card"/>
    <n v="4"/>
    <s v="Galaxy S21"/>
    <n v="152868.16"/>
    <s v="Good"/>
    <s v="Good"/>
  </r>
  <r>
    <s v="Mala222922"/>
    <n v="2922"/>
    <n v="18"/>
    <n v="1"/>
    <n v="2024"/>
    <d v="2024-01-18T00:00:00"/>
    <s v="January"/>
    <d v="2029-10-08T00:00:00"/>
    <x v="0"/>
    <n v="2"/>
    <n v="44149.06"/>
    <s v="Mala Srivastava"/>
    <n v="22"/>
    <s v="Teenagers"/>
    <s v="BAD"/>
    <x v="1"/>
    <s v="Credit Card"/>
    <n v="2"/>
    <s v="Redmi 9"/>
    <n v="88298.12"/>
    <s v="Average"/>
    <s v="Average"/>
  </r>
  <r>
    <s v="Sach262923"/>
    <n v="2923"/>
    <n v="18"/>
    <n v="1"/>
    <n v="2024"/>
    <d v="2024-01-18T00:00:00"/>
    <s v="January"/>
    <d v="2029-10-09T00:00:00"/>
    <x v="0"/>
    <n v="2"/>
    <n v="65686.37"/>
    <s v="Sachin Kaur"/>
    <n v="26"/>
    <s v="Teenagers"/>
    <s v="Good"/>
    <x v="2"/>
    <s v="Credit Card"/>
    <n v="4"/>
    <s v="Mi 11"/>
    <n v="131372.74"/>
    <s v="Good"/>
    <s v="Good"/>
  </r>
  <r>
    <s v="Gita222924"/>
    <n v="2924"/>
    <n v="18"/>
    <n v="1"/>
    <n v="2024"/>
    <d v="2024-01-18T00:00:00"/>
    <s v="January"/>
    <d v="2029-10-10T00:00:00"/>
    <x v="4"/>
    <n v="8"/>
    <n v="41815.79"/>
    <s v="Gita Roy"/>
    <n v="22"/>
    <s v="Teenagers"/>
    <s v="AVG"/>
    <x v="0"/>
    <s v="UPI"/>
    <n v="3"/>
    <s v="iPhone 12"/>
    <n v="334526.32"/>
    <s v="Average"/>
    <s v="Excellent"/>
  </r>
  <r>
    <s v="Pooj282925"/>
    <n v="2925"/>
    <n v="19"/>
    <n v="1"/>
    <n v="2024"/>
    <d v="2024-01-19T00:00:00"/>
    <s v="January"/>
    <d v="2029-10-11T00:00:00"/>
    <x v="2"/>
    <n v="8"/>
    <n v="31215.47"/>
    <s v="Pooja Deshmukh"/>
    <n v="28"/>
    <s v="Teenagers"/>
    <s v="BAD"/>
    <x v="1"/>
    <s v="UPI"/>
    <n v="2"/>
    <s v="OnePlus Nord"/>
    <n v="249723.76"/>
    <s v="Average"/>
    <s v="Excellent"/>
  </r>
  <r>
    <s v="Sumi522926"/>
    <n v="2926"/>
    <n v="19"/>
    <n v="1"/>
    <n v="2024"/>
    <d v="2024-01-19T00:00:00"/>
    <s v="January"/>
    <d v="2029-10-12T00:00:00"/>
    <x v="2"/>
    <n v="6"/>
    <n v="57829.31"/>
    <s v="Sumit Siddiqui"/>
    <n v="52"/>
    <s v="Senior Citezen"/>
    <s v="AVG"/>
    <x v="1"/>
    <s v="Debit Card"/>
    <n v="3"/>
    <s v="OnePlus Nord"/>
    <n v="346975.86"/>
    <s v="Average"/>
    <s v="Excellent"/>
  </r>
  <r>
    <s v="Roha442927"/>
    <n v="2927"/>
    <n v="19"/>
    <n v="1"/>
    <n v="2024"/>
    <d v="2024-01-19T00:00:00"/>
    <s v="January"/>
    <d v="2029-10-13T00:00:00"/>
    <x v="0"/>
    <n v="5"/>
    <n v="36571.01"/>
    <s v="Rohan Pathak"/>
    <n v="44"/>
    <s v="Adult"/>
    <s v="Good"/>
    <x v="2"/>
    <s v="Debit Card"/>
    <n v="5"/>
    <s v="Mi 11"/>
    <n v="182855.05000000002"/>
    <s v="Good"/>
    <s v="Good"/>
  </r>
  <r>
    <s v="Vive212928"/>
    <n v="2928"/>
    <n v="20"/>
    <n v="1"/>
    <n v="2024"/>
    <d v="2024-01-20T00:00:00"/>
    <s v="January"/>
    <d v="2029-10-14T00:00:00"/>
    <x v="1"/>
    <n v="8"/>
    <n v="29108.17"/>
    <s v="Vivek Teja"/>
    <n v="21"/>
    <s v="Teenagers"/>
    <s v="Good"/>
    <x v="2"/>
    <s v="Credit Card"/>
    <n v="4"/>
    <s v="Vivo Y51"/>
    <n v="232865.36"/>
    <s v="Good"/>
    <s v="Excellent"/>
  </r>
  <r>
    <s v="Vive272929"/>
    <n v="2929"/>
    <n v="20"/>
    <n v="1"/>
    <n v="2024"/>
    <d v="2024-01-20T00:00:00"/>
    <s v="January"/>
    <d v="2029-10-15T00:00:00"/>
    <x v="1"/>
    <n v="4"/>
    <n v="53393.77"/>
    <s v="Vivek Nair"/>
    <n v="27"/>
    <s v="Teenagers"/>
    <s v="BAD"/>
    <x v="3"/>
    <s v="Credit Card"/>
    <n v="2"/>
    <s v="Vivo S1"/>
    <n v="213575.08"/>
    <s v="Average"/>
    <s v="Excellent"/>
  </r>
  <r>
    <s v="Radh562930"/>
    <n v="2930"/>
    <n v="20"/>
    <n v="1"/>
    <n v="2024"/>
    <d v="2024-01-20T00:00:00"/>
    <s v="January"/>
    <d v="2029-10-16T00:00:00"/>
    <x v="3"/>
    <n v="4"/>
    <n v="58096.34"/>
    <s v="Radha Ghosh"/>
    <n v="56"/>
    <s v="Senior Citezen"/>
    <s v="Good"/>
    <x v="15"/>
    <s v="Debit Card"/>
    <n v="4"/>
    <s v="Galaxy Note 20"/>
    <n v="232385.36"/>
    <s v="Good"/>
    <s v="Excellent"/>
  </r>
  <r>
    <s v="Vive502931"/>
    <n v="2931"/>
    <n v="20"/>
    <n v="1"/>
    <n v="2024"/>
    <d v="2024-01-20T00:00:00"/>
    <s v="January"/>
    <d v="2029-10-17T00:00:00"/>
    <x v="3"/>
    <n v="5"/>
    <n v="57502.97"/>
    <s v="Vivek Mishra"/>
    <n v="50"/>
    <s v="Senior Citezen"/>
    <s v="Good"/>
    <x v="0"/>
    <s v="Cash"/>
    <n v="5"/>
    <s v="Galaxy A51"/>
    <n v="287514.84999999998"/>
    <s v="Good"/>
    <s v="Excellent"/>
  </r>
  <r>
    <s v="Vija552932"/>
    <n v="2932"/>
    <n v="21"/>
    <n v="1"/>
    <n v="2024"/>
    <d v="2024-01-21T00:00:00"/>
    <s v="January"/>
    <d v="2029-10-18T00:00:00"/>
    <x v="4"/>
    <n v="1"/>
    <n v="68660.460000000006"/>
    <s v="Vijay Rao"/>
    <n v="55"/>
    <s v="Senior Citezen"/>
    <s v="BAD"/>
    <x v="1"/>
    <s v="Cash"/>
    <n v="2"/>
    <s v="iPhone 11"/>
    <n v="68660.460000000006"/>
    <s v="Average"/>
    <s v="Average"/>
  </r>
  <r>
    <s v="Vive252933"/>
    <n v="2933"/>
    <n v="21"/>
    <n v="1"/>
    <n v="2024"/>
    <d v="2024-01-21T00:00:00"/>
    <s v="January"/>
    <d v="2029-10-19T00:00:00"/>
    <x v="0"/>
    <n v="1"/>
    <n v="57200.02"/>
    <s v="Vivek Mehta"/>
    <n v="25"/>
    <s v="Teenagers"/>
    <s v="AVG"/>
    <x v="1"/>
    <s v="Cash"/>
    <n v="3"/>
    <s v="Mi 11"/>
    <n v="57200.02"/>
    <s v="Average"/>
    <s v="Average"/>
  </r>
  <r>
    <s v="Suni412934"/>
    <n v="2934"/>
    <n v="21"/>
    <n v="1"/>
    <n v="2024"/>
    <d v="2024-01-21T00:00:00"/>
    <s v="January"/>
    <d v="2029-10-20T00:00:00"/>
    <x v="3"/>
    <n v="2"/>
    <n v="56196.01"/>
    <s v="Sunil Iyer"/>
    <n v="41"/>
    <s v="Adult"/>
    <s v="Good"/>
    <x v="3"/>
    <s v="Cash"/>
    <n v="4"/>
    <s v="Galaxy S21"/>
    <n v="112392.02"/>
    <s v="Good"/>
    <s v="Good"/>
  </r>
  <r>
    <s v="Shru562935"/>
    <n v="2935"/>
    <n v="22"/>
    <n v="1"/>
    <n v="2024"/>
    <d v="2024-01-22T00:00:00"/>
    <s v="January"/>
    <d v="2029-10-21T00:00:00"/>
    <x v="3"/>
    <n v="8"/>
    <n v="61449.120000000003"/>
    <s v="Shruti Iyer"/>
    <n v="56"/>
    <s v="Senior Citezen"/>
    <s v="BAD"/>
    <x v="14"/>
    <s v="Debit Card"/>
    <n v="2"/>
    <s v="Galaxy S21"/>
    <n v="491592.96000000002"/>
    <s v="Average"/>
    <s v="Excellent"/>
  </r>
  <r>
    <s v="Arun502936"/>
    <n v="2936"/>
    <n v="22"/>
    <n v="1"/>
    <n v="2024"/>
    <d v="2024-01-22T00:00:00"/>
    <s v="January"/>
    <d v="2029-10-22T00:00:00"/>
    <x v="0"/>
    <n v="7"/>
    <n v="10011.11"/>
    <s v="Arun Jain"/>
    <n v="50"/>
    <s v="Senior Citezen"/>
    <s v="Good"/>
    <x v="15"/>
    <s v="UPI"/>
    <n v="5"/>
    <s v="Mi 11"/>
    <n v="70077.77"/>
    <s v="Good"/>
    <s v="Average"/>
  </r>
  <r>
    <s v="Nikh582937"/>
    <n v="2937"/>
    <n v="22"/>
    <n v="1"/>
    <n v="2024"/>
    <d v="2024-01-22T00:00:00"/>
    <s v="January"/>
    <d v="2029-10-23T00:00:00"/>
    <x v="4"/>
    <n v="9"/>
    <n v="31745.88"/>
    <s v="Nikhil Solanki"/>
    <n v="58"/>
    <s v="Senior Citezen"/>
    <s v="Good"/>
    <x v="1"/>
    <s v="Cash"/>
    <n v="5"/>
    <s v="iPhone SE"/>
    <n v="285712.92"/>
    <s v="Good"/>
    <s v="Excellent"/>
  </r>
  <r>
    <s v="Reen362938"/>
    <n v="2938"/>
    <n v="22"/>
    <n v="1"/>
    <n v="2024"/>
    <d v="2024-01-22T00:00:00"/>
    <s v="January"/>
    <d v="2029-10-24T00:00:00"/>
    <x v="3"/>
    <n v="5"/>
    <n v="54256.19"/>
    <s v="Reena Dutta"/>
    <n v="36"/>
    <s v="Adult"/>
    <s v="Good"/>
    <x v="11"/>
    <s v="Debit Card"/>
    <n v="4"/>
    <s v="Galaxy Note 20"/>
    <n v="271280.95"/>
    <s v="Good"/>
    <s v="Excellent"/>
  </r>
  <r>
    <s v="Bhav192939"/>
    <n v="2939"/>
    <n v="23"/>
    <n v="1"/>
    <n v="2024"/>
    <d v="2024-01-23T00:00:00"/>
    <s v="January"/>
    <d v="2029-10-25T00:00:00"/>
    <x v="4"/>
    <n v="2"/>
    <n v="45983.14"/>
    <s v="Bhavana Dutta"/>
    <n v="19"/>
    <s v="Teenagers"/>
    <s v="AVG"/>
    <x v="1"/>
    <s v="Cash"/>
    <n v="3"/>
    <s v="iPhone 12"/>
    <n v="91966.28"/>
    <s v="Average"/>
    <s v="Average"/>
  </r>
  <r>
    <s v="Ayes282940"/>
    <n v="2940"/>
    <n v="23"/>
    <n v="1"/>
    <n v="2024"/>
    <d v="2024-01-23T00:00:00"/>
    <s v="January"/>
    <d v="2029-10-26T00:00:00"/>
    <x v="2"/>
    <n v="7"/>
    <n v="20654.32"/>
    <s v="Ayesha Ahuja"/>
    <n v="28"/>
    <s v="Teenagers"/>
    <s v="AVG"/>
    <x v="1"/>
    <s v="Credit Card"/>
    <n v="3"/>
    <s v="OnePlus Nord"/>
    <n v="144580.24"/>
    <s v="Average"/>
    <s v="Good"/>
  </r>
  <r>
    <s v="Sumi522941"/>
    <n v="2941"/>
    <n v="23"/>
    <n v="1"/>
    <n v="2024"/>
    <d v="2024-01-23T00:00:00"/>
    <s v="January"/>
    <d v="2029-10-27T00:00:00"/>
    <x v="4"/>
    <n v="8"/>
    <n v="28223.99"/>
    <s v="Sumit Sharma"/>
    <n v="52"/>
    <s v="Senior Citezen"/>
    <s v="BAD"/>
    <x v="15"/>
    <s v="Cash"/>
    <n v="2"/>
    <s v="iPhone 11"/>
    <n v="225791.92"/>
    <s v="Average"/>
    <s v="Excellent"/>
  </r>
  <r>
    <s v="Gita342942"/>
    <n v="2942"/>
    <n v="24"/>
    <n v="1"/>
    <n v="2024"/>
    <d v="2024-01-24T00:00:00"/>
    <s v="January"/>
    <d v="2029-10-28T00:00:00"/>
    <x v="1"/>
    <n v="7"/>
    <n v="30207.56"/>
    <s v="Gita Iyer"/>
    <n v="34"/>
    <s v="Adult"/>
    <s v="BAD"/>
    <x v="2"/>
    <s v="Debit Card"/>
    <n v="2"/>
    <s v="Vivo Y51"/>
    <n v="211452.92"/>
    <s v="Average"/>
    <s v="Excellent"/>
  </r>
  <r>
    <s v="Pank592943"/>
    <n v="2943"/>
    <n v="24"/>
    <n v="1"/>
    <n v="2024"/>
    <d v="2024-01-24T00:00:00"/>
    <s v="January"/>
    <d v="2029-10-29T00:00:00"/>
    <x v="1"/>
    <n v="7"/>
    <n v="44069.69"/>
    <s v="Pankaj Arora"/>
    <n v="59"/>
    <s v="Senior Citezen"/>
    <s v="Good"/>
    <x v="1"/>
    <s v="Credit Card"/>
    <n v="4"/>
    <s v="Vivo Y51"/>
    <n v="308487.83"/>
    <s v="Good"/>
    <s v="Excellent"/>
  </r>
  <r>
    <s v="Adit202944"/>
    <n v="2944"/>
    <n v="24"/>
    <n v="1"/>
    <n v="2024"/>
    <d v="2024-01-24T00:00:00"/>
    <s v="January"/>
    <d v="2029-10-30T00:00:00"/>
    <x v="4"/>
    <n v="5"/>
    <n v="59895.9"/>
    <s v="Aditya Luthra"/>
    <n v="20"/>
    <s v="Teenagers"/>
    <s v="BAD"/>
    <x v="18"/>
    <s v="Credit Card"/>
    <n v="2"/>
    <s v="iPhone 11"/>
    <n v="299479.5"/>
    <s v="Average"/>
    <s v="Excellent"/>
  </r>
  <r>
    <s v="Roha392945"/>
    <n v="2945"/>
    <n v="25"/>
    <n v="1"/>
    <n v="2024"/>
    <d v="2024-01-25T00:00:00"/>
    <s v="January"/>
    <d v="2029-10-31T00:00:00"/>
    <x v="1"/>
    <n v="2"/>
    <n v="65949.509999999995"/>
    <s v="Rohan Shah"/>
    <n v="39"/>
    <s v="Adult"/>
    <s v="AVG"/>
    <x v="1"/>
    <s v="Cash"/>
    <n v="3"/>
    <s v="Vivo V20"/>
    <n v="131899.01999999999"/>
    <s v="Average"/>
    <s v="Good"/>
  </r>
  <r>
    <s v="Anan522946"/>
    <n v="2946"/>
    <n v="25"/>
    <n v="1"/>
    <n v="2024"/>
    <d v="2024-01-25T00:00:00"/>
    <s v="January"/>
    <d v="2029-11-01T00:00:00"/>
    <x v="2"/>
    <n v="6"/>
    <n v="55005.54"/>
    <s v="Anand Bhattacharya"/>
    <n v="52"/>
    <s v="Senior Citezen"/>
    <s v="BAD"/>
    <x v="1"/>
    <s v="Cash"/>
    <n v="2"/>
    <s v="OnePlus 9"/>
    <n v="330033.24"/>
    <s v="Average"/>
    <s v="Excellent"/>
  </r>
  <r>
    <s v="Sneh382947"/>
    <n v="2947"/>
    <n v="25"/>
    <n v="1"/>
    <n v="2024"/>
    <d v="2024-01-25T00:00:00"/>
    <s v="January"/>
    <d v="2029-11-02T00:00:00"/>
    <x v="0"/>
    <n v="4"/>
    <n v="60577.02"/>
    <s v="Sneha Sharma"/>
    <n v="38"/>
    <s v="Adult"/>
    <s v="BAD"/>
    <x v="6"/>
    <s v="Credit Card"/>
    <n v="2"/>
    <s v="Redmi Note 10"/>
    <n v="242308.08"/>
    <s v="Average"/>
    <s v="Excellent"/>
  </r>
  <r>
    <s v="Neet422948"/>
    <n v="2948"/>
    <n v="25"/>
    <n v="1"/>
    <n v="2024"/>
    <d v="2024-01-25T00:00:00"/>
    <s v="January"/>
    <d v="2029-11-03T00:00:00"/>
    <x v="1"/>
    <n v="2"/>
    <n v="38205.760000000002"/>
    <s v="Neeta Yadav"/>
    <n v="42"/>
    <s v="Adult"/>
    <s v="Good"/>
    <x v="2"/>
    <s v="UPI"/>
    <n v="4"/>
    <s v="Vivo V20"/>
    <n v="76411.520000000004"/>
    <s v="Good"/>
    <s v="Average"/>
  </r>
  <r>
    <s v="Priy562949"/>
    <n v="2949"/>
    <n v="26"/>
    <n v="1"/>
    <n v="2024"/>
    <d v="2024-01-26T00:00:00"/>
    <s v="January"/>
    <d v="2029-11-04T00:00:00"/>
    <x v="1"/>
    <n v="9"/>
    <n v="33386.519999999997"/>
    <s v="Priya Kaur"/>
    <n v="56"/>
    <s v="Senior Citezen"/>
    <s v="BAD"/>
    <x v="1"/>
    <s v="Debit Card"/>
    <n v="2"/>
    <s v="Vivo S1"/>
    <n v="300478.68"/>
    <s v="Average"/>
    <s v="Excellent"/>
  </r>
  <r>
    <s v="Mala192950"/>
    <n v="2950"/>
    <n v="26"/>
    <n v="1"/>
    <n v="2024"/>
    <d v="2024-01-26T00:00:00"/>
    <s v="January"/>
    <d v="2029-11-05T00:00:00"/>
    <x v="4"/>
    <n v="7"/>
    <n v="33562.51"/>
    <s v="Mala Teja"/>
    <n v="19"/>
    <s v="Teenagers"/>
    <s v="BAD"/>
    <x v="13"/>
    <s v="Debit Card"/>
    <n v="2"/>
    <s v="iPhone SE"/>
    <n v="234937.57"/>
    <s v="Average"/>
    <s v="Excellent"/>
  </r>
  <r>
    <s v="Pooj182951"/>
    <n v="2951"/>
    <n v="26"/>
    <n v="1"/>
    <n v="2024"/>
    <d v="2024-01-26T00:00:00"/>
    <s v="January"/>
    <d v="2029-11-06T00:00:00"/>
    <x v="2"/>
    <n v="6"/>
    <n v="46962.31"/>
    <s v="Pooja Pathak"/>
    <n v="18"/>
    <s v="Teenagers"/>
    <s v="Good"/>
    <x v="8"/>
    <s v="Debit Card"/>
    <n v="4"/>
    <s v="OnePlus Nord"/>
    <n v="281773.86"/>
    <s v="Good"/>
    <s v="Excellent"/>
  </r>
  <r>
    <s v="Raje242952"/>
    <n v="2952"/>
    <n v="27"/>
    <n v="1"/>
    <n v="2024"/>
    <d v="2024-01-27T00:00:00"/>
    <s v="January"/>
    <d v="2029-11-07T00:00:00"/>
    <x v="0"/>
    <n v="5"/>
    <n v="17454.2"/>
    <s v="Rajesh Mishra"/>
    <n v="24"/>
    <s v="Teenagers"/>
    <s v="BAD"/>
    <x v="7"/>
    <s v="Debit Card"/>
    <n v="2"/>
    <s v="Mi 11"/>
    <n v="87271"/>
    <s v="Average"/>
    <s v="Average"/>
  </r>
  <r>
    <s v="Neet372953"/>
    <n v="2953"/>
    <n v="27"/>
    <n v="1"/>
    <n v="2024"/>
    <d v="2024-01-27T00:00:00"/>
    <s v="January"/>
    <d v="2029-11-08T00:00:00"/>
    <x v="4"/>
    <n v="3"/>
    <n v="44769.65"/>
    <s v="Neeta Arora"/>
    <n v="37"/>
    <s v="Adult"/>
    <s v="BAD"/>
    <x v="1"/>
    <s v="Debit Card"/>
    <n v="2"/>
    <s v="iPhone SE"/>
    <n v="134308.95000000001"/>
    <s v="Average"/>
    <s v="Good"/>
  </r>
  <r>
    <s v="Neet232954"/>
    <n v="2954"/>
    <n v="27"/>
    <n v="1"/>
    <n v="2024"/>
    <d v="2024-01-27T00:00:00"/>
    <s v="January"/>
    <d v="2029-11-09T00:00:00"/>
    <x v="4"/>
    <n v="4"/>
    <n v="49907.97"/>
    <s v="Neeta Deshmukh"/>
    <n v="23"/>
    <s v="Teenagers"/>
    <s v="BAD"/>
    <x v="2"/>
    <s v="Credit Card"/>
    <n v="2"/>
    <s v="iPhone 12"/>
    <n v="199631.88"/>
    <s v="Average"/>
    <s v="Good"/>
  </r>
  <r>
    <s v="Anit532955"/>
    <n v="2955"/>
    <n v="28"/>
    <n v="1"/>
    <n v="2024"/>
    <d v="2024-01-28T00:00:00"/>
    <s v="January"/>
    <d v="2029-11-10T00:00:00"/>
    <x v="2"/>
    <n v="3"/>
    <n v="36334.519999999997"/>
    <s v="Anita Sharma"/>
    <n v="53"/>
    <s v="Senior Citezen"/>
    <s v="BAD"/>
    <x v="2"/>
    <s v="Debit Card"/>
    <n v="2"/>
    <s v="OnePlus 9"/>
    <n v="109003.56"/>
    <s v="Average"/>
    <s v="Good"/>
  </r>
  <r>
    <s v="Sach382956"/>
    <n v="2956"/>
    <n v="28"/>
    <n v="1"/>
    <n v="2024"/>
    <d v="2024-01-28T00:00:00"/>
    <s v="January"/>
    <d v="2029-11-11T00:00:00"/>
    <x v="0"/>
    <n v="8"/>
    <n v="67190.03"/>
    <s v="Sachin Joshi"/>
    <n v="38"/>
    <s v="Adult"/>
    <s v="BAD"/>
    <x v="1"/>
    <s v="UPI"/>
    <n v="2"/>
    <s v="Mi 11"/>
    <n v="537520.24"/>
    <s v="Average"/>
    <s v="Excellent"/>
  </r>
  <r>
    <s v="Tanu522957"/>
    <n v="2957"/>
    <n v="28"/>
    <n v="1"/>
    <n v="2024"/>
    <d v="2024-01-28T00:00:00"/>
    <s v="January"/>
    <d v="2029-11-12T00:00:00"/>
    <x v="2"/>
    <n v="3"/>
    <n v="46492.800000000003"/>
    <s v="Tanuja Roy"/>
    <n v="52"/>
    <s v="Senior Citezen"/>
    <s v="Good"/>
    <x v="5"/>
    <s v="UPI"/>
    <n v="5"/>
    <s v="OnePlus Nord"/>
    <n v="139478.40000000002"/>
    <s v="Good"/>
    <s v="Good"/>
  </r>
  <r>
    <s v="Kira532958"/>
    <n v="2958"/>
    <n v="28"/>
    <n v="1"/>
    <n v="2024"/>
    <d v="2024-01-28T00:00:00"/>
    <s v="January"/>
    <d v="2029-11-13T00:00:00"/>
    <x v="0"/>
    <n v="7"/>
    <n v="23199.97"/>
    <s v="Kiran Alva"/>
    <n v="53"/>
    <s v="Senior Citezen"/>
    <s v="Good"/>
    <x v="10"/>
    <s v="Cash"/>
    <n v="5"/>
    <s v="Mi 11"/>
    <n v="162399.79"/>
    <s v="Good"/>
    <s v="Good"/>
  </r>
  <r>
    <s v="Mano252959"/>
    <n v="2959"/>
    <n v="29"/>
    <n v="1"/>
    <n v="2024"/>
    <d v="2024-01-29T00:00:00"/>
    <s v="January"/>
    <d v="2029-11-14T00:00:00"/>
    <x v="2"/>
    <n v="7"/>
    <n v="38752.980000000003"/>
    <s v="Manoj Mehta"/>
    <n v="25"/>
    <s v="Teenagers"/>
    <s v="Good"/>
    <x v="1"/>
    <s v="Cash"/>
    <n v="4"/>
    <s v="OnePlus 8T"/>
    <n v="271270.86000000004"/>
    <s v="Good"/>
    <s v="Excellent"/>
  </r>
  <r>
    <s v="Hari212960"/>
    <n v="2960"/>
    <n v="29"/>
    <n v="1"/>
    <n v="2024"/>
    <d v="2024-01-29T00:00:00"/>
    <s v="January"/>
    <d v="2029-11-15T00:00:00"/>
    <x v="4"/>
    <n v="7"/>
    <n v="50524.27"/>
    <s v="Harish Prasad"/>
    <n v="21"/>
    <s v="Teenagers"/>
    <s v="Good"/>
    <x v="2"/>
    <s v="Cash"/>
    <n v="4"/>
    <s v="iPhone SE"/>
    <n v="353669.88999999996"/>
    <s v="Good"/>
    <s v="Excellent"/>
  </r>
  <r>
    <s v="Kris332961"/>
    <n v="2961"/>
    <n v="29"/>
    <n v="1"/>
    <n v="2024"/>
    <d v="2024-01-29T00:00:00"/>
    <s v="January"/>
    <d v="2029-11-16T00:00:00"/>
    <x v="4"/>
    <n v="7"/>
    <n v="29417.75"/>
    <s v="Krishna Patel"/>
    <n v="33"/>
    <s v="Adult"/>
    <s v="AVG"/>
    <x v="1"/>
    <s v="Cash"/>
    <n v="3"/>
    <s v="iPhone 11"/>
    <n v="205924.25"/>
    <s v="Average"/>
    <s v="Excellent"/>
  </r>
  <r>
    <s v="Meen202962"/>
    <n v="2962"/>
    <n v="30"/>
    <n v="1"/>
    <n v="2024"/>
    <d v="2024-01-30T00:00:00"/>
    <s v="January"/>
    <d v="2029-11-17T00:00:00"/>
    <x v="3"/>
    <n v="2"/>
    <n v="14778.5"/>
    <s v="Meena Chatterjee"/>
    <n v="20"/>
    <s v="Teenagers"/>
    <s v="Good"/>
    <x v="9"/>
    <s v="Credit Card"/>
    <n v="5"/>
    <s v="Galaxy A51"/>
    <n v="29557"/>
    <s v="Good"/>
    <s v="Low"/>
  </r>
  <r>
    <s v="Shru242963"/>
    <n v="2963"/>
    <n v="30"/>
    <n v="1"/>
    <n v="2024"/>
    <d v="2024-01-30T00:00:00"/>
    <s v="January"/>
    <d v="2029-11-18T00:00:00"/>
    <x v="1"/>
    <n v="3"/>
    <n v="45006.14"/>
    <s v="Shruti Ahuja"/>
    <n v="24"/>
    <s v="Teenagers"/>
    <s v="BAD"/>
    <x v="1"/>
    <s v="UPI"/>
    <n v="2"/>
    <s v="Vivo S1"/>
    <n v="135018.41999999998"/>
    <s v="Average"/>
    <s v="Good"/>
  </r>
  <r>
    <s v="Gita192964"/>
    <n v="2964"/>
    <n v="30"/>
    <n v="1"/>
    <n v="2024"/>
    <d v="2024-01-30T00:00:00"/>
    <s v="January"/>
    <d v="2029-11-19T00:00:00"/>
    <x v="2"/>
    <n v="9"/>
    <n v="66872.210000000006"/>
    <s v="Gita Kulkarni"/>
    <n v="19"/>
    <s v="Teenagers"/>
    <s v="Good"/>
    <x v="11"/>
    <s v="Credit Card"/>
    <n v="5"/>
    <s v="OnePlus 8T"/>
    <n v="601849.89"/>
    <s v="Good"/>
    <s v="Excellent"/>
  </r>
  <r>
    <s v="Gita182965"/>
    <n v="2965"/>
    <n v="31"/>
    <n v="1"/>
    <n v="2024"/>
    <d v="2024-01-31T00:00:00"/>
    <s v="January"/>
    <d v="2029-11-20T00:00:00"/>
    <x v="3"/>
    <n v="3"/>
    <n v="39104.32"/>
    <s v="Gita Mehta"/>
    <n v="18"/>
    <s v="Teenagers"/>
    <s v="Good"/>
    <x v="3"/>
    <s v="UPI"/>
    <n v="4"/>
    <s v="Galaxy S21"/>
    <n v="117312.95999999999"/>
    <s v="Good"/>
    <s v="Good"/>
  </r>
  <r>
    <s v="Bina182966"/>
    <n v="2966"/>
    <n v="31"/>
    <n v="1"/>
    <n v="2024"/>
    <d v="2024-01-31T00:00:00"/>
    <s v="January"/>
    <d v="2029-11-21T00:00:00"/>
    <x v="1"/>
    <n v="2"/>
    <n v="64366.54"/>
    <s v="Bina Joshi"/>
    <n v="18"/>
    <s v="Teenagers"/>
    <s v="Good"/>
    <x v="14"/>
    <s v="Credit Card"/>
    <n v="4"/>
    <s v="Vivo S1"/>
    <n v="128733.08"/>
    <s v="Good"/>
    <s v="Good"/>
  </r>
  <r>
    <s v="Tapa552967"/>
    <n v="2967"/>
    <n v="31"/>
    <n v="1"/>
    <n v="2024"/>
    <d v="2024-01-31T00:00:00"/>
    <s v="January"/>
    <d v="2029-11-22T00:00:00"/>
    <x v="2"/>
    <n v="9"/>
    <n v="60101.42"/>
    <s v="Tapan Rathod"/>
    <n v="55"/>
    <s v="Senior Citezen"/>
    <s v="Good"/>
    <x v="6"/>
    <s v="UPI"/>
    <n v="4"/>
    <s v="OnePlus 9"/>
    <n v="540912.78"/>
    <s v="Good"/>
    <s v="Excellent"/>
  </r>
  <r>
    <s v="Deep242968"/>
    <n v="2968"/>
    <n v="1"/>
    <n v="2"/>
    <n v="2024"/>
    <d v="2024-02-01T00:00:00"/>
    <s v="February"/>
    <d v="2029-11-23T00:00:00"/>
    <x v="0"/>
    <n v="9"/>
    <n v="18844.77"/>
    <s v="Deepika Kulkarni"/>
    <n v="24"/>
    <s v="Teenagers"/>
    <s v="BAD"/>
    <x v="3"/>
    <s v="Cash"/>
    <n v="2"/>
    <s v="Redmi Note 10"/>
    <n v="169602.93"/>
    <s v="Average"/>
    <s v="Good"/>
  </r>
  <r>
    <s v="Nami412969"/>
    <n v="2969"/>
    <n v="1"/>
    <n v="2"/>
    <n v="2024"/>
    <d v="2024-02-01T00:00:00"/>
    <s v="February"/>
    <d v="2029-11-24T00:00:00"/>
    <x v="1"/>
    <n v="4"/>
    <n v="52490.2"/>
    <s v="Namita Bhatnagar"/>
    <n v="41"/>
    <s v="Adult"/>
    <s v="BAD"/>
    <x v="11"/>
    <s v="UPI"/>
    <n v="1"/>
    <s v="Vivo S1"/>
    <n v="209960.8"/>
    <s v="Average"/>
    <s v="Excellent"/>
  </r>
  <r>
    <s v="Pooj222970"/>
    <n v="2970"/>
    <n v="1"/>
    <n v="2"/>
    <n v="2024"/>
    <d v="2024-02-01T00:00:00"/>
    <s v="February"/>
    <d v="2029-11-25T00:00:00"/>
    <x v="4"/>
    <n v="9"/>
    <n v="36127.93"/>
    <s v="Pooja Pillai"/>
    <n v="22"/>
    <s v="Teenagers"/>
    <s v="Good"/>
    <x v="2"/>
    <s v="Cash"/>
    <n v="4"/>
    <s v="iPhone 12"/>
    <n v="325151.37"/>
    <s v="Good"/>
    <s v="Excellent"/>
  </r>
  <r>
    <s v="Pank382971"/>
    <n v="2971"/>
    <n v="2"/>
    <n v="2"/>
    <n v="2024"/>
    <d v="2024-02-02T00:00:00"/>
    <s v="February"/>
    <d v="2029-11-26T00:00:00"/>
    <x v="3"/>
    <n v="3"/>
    <n v="25014.78"/>
    <s v="Pankaj Mathur"/>
    <n v="38"/>
    <s v="Adult"/>
    <s v="Good"/>
    <x v="2"/>
    <s v="UPI"/>
    <n v="5"/>
    <s v="Galaxy Note 20"/>
    <n v="75044.34"/>
    <s v="Good"/>
    <s v="Average"/>
  </r>
  <r>
    <s v="Shru452972"/>
    <n v="2972"/>
    <n v="2"/>
    <n v="2"/>
    <n v="2024"/>
    <d v="2024-02-02T00:00:00"/>
    <s v="February"/>
    <d v="2029-11-27T00:00:00"/>
    <x v="1"/>
    <n v="7"/>
    <n v="51216.3"/>
    <s v="Shruti Iyer"/>
    <n v="45"/>
    <s v="Adult"/>
    <s v="BAD"/>
    <x v="17"/>
    <s v="Credit Card"/>
    <n v="1"/>
    <s v="Vivo Y51"/>
    <n v="358514.10000000003"/>
    <s v="Average"/>
    <s v="Excellent"/>
  </r>
  <r>
    <s v="Nikh352973"/>
    <n v="2973"/>
    <n v="2"/>
    <n v="2"/>
    <n v="2024"/>
    <d v="2024-02-02T00:00:00"/>
    <s v="February"/>
    <d v="2029-11-28T00:00:00"/>
    <x v="1"/>
    <n v="7"/>
    <n v="54559.64"/>
    <s v="Nikhil Arora"/>
    <n v="35"/>
    <s v="Adult"/>
    <s v="Good"/>
    <x v="6"/>
    <s v="Debit Card"/>
    <n v="5"/>
    <s v="Vivo V20"/>
    <n v="381917.48"/>
    <s v="Good"/>
    <s v="Excellent"/>
  </r>
  <r>
    <s v="Moni412974"/>
    <n v="2974"/>
    <n v="2"/>
    <n v="2"/>
    <n v="2024"/>
    <d v="2024-02-02T00:00:00"/>
    <s v="February"/>
    <d v="2029-11-29T00:00:00"/>
    <x v="4"/>
    <n v="8"/>
    <n v="20793.78"/>
    <s v="Monika Mathur"/>
    <n v="41"/>
    <s v="Adult"/>
    <s v="Good"/>
    <x v="11"/>
    <s v="UPI"/>
    <n v="4"/>
    <s v="iPhone 11"/>
    <n v="166350.24"/>
    <s v="Good"/>
    <s v="Good"/>
  </r>
  <r>
    <s v="Bhav492975"/>
    <n v="2975"/>
    <n v="3"/>
    <n v="2"/>
    <n v="2024"/>
    <d v="2024-02-03T00:00:00"/>
    <s v="February"/>
    <d v="2029-11-30T00:00:00"/>
    <x v="2"/>
    <n v="4"/>
    <n v="64866.68"/>
    <s v="Bhavana Rawat"/>
    <n v="49"/>
    <s v="Senior Citezen"/>
    <s v="BAD"/>
    <x v="8"/>
    <s v="Credit Card"/>
    <n v="2"/>
    <s v="OnePlus Nord"/>
    <n v="259466.72"/>
    <s v="Average"/>
    <s v="Excellent"/>
  </r>
  <r>
    <s v="Adit502976"/>
    <n v="2976"/>
    <n v="3"/>
    <n v="2"/>
    <n v="2024"/>
    <d v="2024-02-03T00:00:00"/>
    <s v="February"/>
    <d v="2029-12-01T00:00:00"/>
    <x v="0"/>
    <n v="3"/>
    <n v="55068.83"/>
    <s v="Aditya Roy"/>
    <n v="50"/>
    <s v="Senior Citezen"/>
    <s v="BAD"/>
    <x v="1"/>
    <s v="Debit Card"/>
    <n v="1"/>
    <s v="Redmi 9"/>
    <n v="165206.49"/>
    <s v="Average"/>
    <s v="Good"/>
  </r>
  <r>
    <s v="Neet272977"/>
    <n v="2977"/>
    <n v="3"/>
    <n v="2"/>
    <n v="2024"/>
    <d v="2024-02-03T00:00:00"/>
    <s v="February"/>
    <d v="2029-12-02T00:00:00"/>
    <x v="4"/>
    <n v="3"/>
    <n v="66002.53"/>
    <s v="Neeta Mathur"/>
    <n v="27"/>
    <s v="Teenagers"/>
    <s v="BAD"/>
    <x v="13"/>
    <s v="Credit Card"/>
    <n v="1"/>
    <s v="iPhone 12"/>
    <n v="198007.59"/>
    <s v="Average"/>
    <s v="Good"/>
  </r>
  <r>
    <s v="Kira262978"/>
    <n v="2978"/>
    <n v="3"/>
    <n v="2"/>
    <n v="2024"/>
    <d v="2024-02-03T00:00:00"/>
    <s v="February"/>
    <d v="2029-12-03T00:00:00"/>
    <x v="0"/>
    <n v="5"/>
    <n v="29024.39"/>
    <s v="Kiran Siddiqui"/>
    <n v="26"/>
    <s v="Teenagers"/>
    <s v="Good"/>
    <x v="1"/>
    <s v="Debit Card"/>
    <n v="4"/>
    <s v="Mi 11"/>
    <n v="145121.95000000001"/>
    <s v="Good"/>
    <s v="Good"/>
  </r>
  <r>
    <s v="Reen502979"/>
    <n v="2979"/>
    <n v="4"/>
    <n v="2"/>
    <n v="2024"/>
    <d v="2024-02-04T00:00:00"/>
    <s v="February"/>
    <d v="2029-12-04T00:00:00"/>
    <x v="2"/>
    <n v="1"/>
    <n v="66360.100000000006"/>
    <s v="Reena Chatterjee"/>
    <n v="50"/>
    <s v="Senior Citezen"/>
    <s v="Good"/>
    <x v="2"/>
    <s v="Cash"/>
    <n v="4"/>
    <s v="OnePlus 9"/>
    <n v="66360.100000000006"/>
    <s v="Good"/>
    <s v="Average"/>
  </r>
  <r>
    <s v="Pooj502980"/>
    <n v="2980"/>
    <n v="4"/>
    <n v="2"/>
    <n v="2024"/>
    <d v="2024-02-04T00:00:00"/>
    <s v="February"/>
    <d v="2029-12-05T00:00:00"/>
    <x v="1"/>
    <n v="3"/>
    <n v="32111.06"/>
    <s v="Pooja Rao"/>
    <n v="50"/>
    <s v="Senior Citezen"/>
    <s v="Good"/>
    <x v="18"/>
    <s v="UPI"/>
    <n v="4"/>
    <s v="Vivo Y51"/>
    <n v="96333.180000000008"/>
    <s v="Good"/>
    <s v="Average"/>
  </r>
  <r>
    <s v="Meen242981"/>
    <n v="2981"/>
    <n v="4"/>
    <n v="2"/>
    <n v="2024"/>
    <d v="2024-02-04T00:00:00"/>
    <s v="February"/>
    <d v="2029-12-06T00:00:00"/>
    <x v="0"/>
    <n v="6"/>
    <n v="13238.19"/>
    <s v="Meena Dutta"/>
    <n v="24"/>
    <s v="Teenagers"/>
    <s v="AVG"/>
    <x v="1"/>
    <s v="Credit Card"/>
    <n v="3"/>
    <s v="Redmi 9"/>
    <n v="79429.14"/>
    <s v="Average"/>
    <s v="Average"/>
  </r>
  <r>
    <s v="Suni212982"/>
    <n v="2982"/>
    <n v="5"/>
    <n v="2"/>
    <n v="2024"/>
    <d v="2024-02-05T00:00:00"/>
    <s v="February"/>
    <d v="2029-12-07T00:00:00"/>
    <x v="3"/>
    <n v="3"/>
    <n v="55778.16"/>
    <s v="Sunita Ahuja"/>
    <n v="21"/>
    <s v="Teenagers"/>
    <s v="BAD"/>
    <x v="7"/>
    <s v="UPI"/>
    <n v="2"/>
    <s v="Galaxy Note 20"/>
    <n v="167334.48000000001"/>
    <s v="Average"/>
    <s v="Good"/>
  </r>
  <r>
    <s v="Roha452983"/>
    <n v="2983"/>
    <n v="5"/>
    <n v="2"/>
    <n v="2024"/>
    <d v="2024-02-05T00:00:00"/>
    <s v="February"/>
    <d v="2029-12-08T00:00:00"/>
    <x v="3"/>
    <n v="5"/>
    <n v="52210.49"/>
    <s v="Rohan Shah"/>
    <n v="45"/>
    <s v="Adult"/>
    <s v="BAD"/>
    <x v="13"/>
    <s v="Cash"/>
    <n v="2"/>
    <s v="Galaxy Note 20"/>
    <n v="261052.44999999998"/>
    <s v="Average"/>
    <s v="Excellent"/>
  </r>
  <r>
    <s v="Lali402984"/>
    <n v="2984"/>
    <n v="5"/>
    <n v="2"/>
    <n v="2024"/>
    <d v="2024-02-05T00:00:00"/>
    <s v="February"/>
    <d v="2029-12-09T00:00:00"/>
    <x v="4"/>
    <n v="9"/>
    <n v="45874.66"/>
    <s v="Lalita Dutta"/>
    <n v="40"/>
    <s v="Adult"/>
    <s v="Good"/>
    <x v="17"/>
    <s v="Cash"/>
    <n v="4"/>
    <s v="iPhone 12"/>
    <n v="412871.94000000006"/>
    <s v="Good"/>
    <s v="Excellent"/>
  </r>
  <r>
    <s v="Yoge492985"/>
    <n v="2985"/>
    <n v="5"/>
    <n v="2"/>
    <n v="2024"/>
    <d v="2024-02-05T00:00:00"/>
    <s v="February"/>
    <d v="2029-12-10T00:00:00"/>
    <x v="2"/>
    <n v="2"/>
    <n v="39393.620000000003"/>
    <s v="Yogesh Menon"/>
    <n v="49"/>
    <s v="Senior Citezen"/>
    <s v="AVG"/>
    <x v="1"/>
    <s v="UPI"/>
    <n v="3"/>
    <s v="OnePlus Nord"/>
    <n v="78787.240000000005"/>
    <s v="Average"/>
    <s v="Average"/>
  </r>
  <r>
    <s v="Pank332986"/>
    <n v="2986"/>
    <n v="6"/>
    <n v="2"/>
    <n v="2024"/>
    <d v="2024-02-06T00:00:00"/>
    <s v="February"/>
    <d v="2029-12-11T00:00:00"/>
    <x v="4"/>
    <n v="2"/>
    <n v="11929.92"/>
    <s v="Pankaj Roy"/>
    <n v="33"/>
    <s v="Adult"/>
    <s v="Good"/>
    <x v="1"/>
    <s v="Credit Card"/>
    <n v="4"/>
    <s v="iPhone 11"/>
    <n v="23859.84"/>
    <s v="Good"/>
    <s v="Low"/>
  </r>
  <r>
    <s v="Vija272987"/>
    <n v="2987"/>
    <n v="6"/>
    <n v="2"/>
    <n v="2024"/>
    <d v="2024-02-06T00:00:00"/>
    <s v="February"/>
    <d v="2029-12-12T00:00:00"/>
    <x v="4"/>
    <n v="6"/>
    <n v="47475.839999999997"/>
    <s v="Vijay Das"/>
    <n v="27"/>
    <s v="Teenagers"/>
    <s v="Good"/>
    <x v="2"/>
    <s v="Credit Card"/>
    <n v="4"/>
    <s v="iPhone SE"/>
    <n v="284855.03999999998"/>
    <s v="Good"/>
    <s v="Excellent"/>
  </r>
  <r>
    <s v="Reen312988"/>
    <n v="2988"/>
    <n v="6"/>
    <n v="2"/>
    <n v="2024"/>
    <d v="2024-02-06T00:00:00"/>
    <s v="February"/>
    <d v="2029-12-13T00:00:00"/>
    <x v="4"/>
    <n v="6"/>
    <n v="35010.080000000002"/>
    <s v="Reena Kulkarni"/>
    <n v="31"/>
    <s v="Adult"/>
    <s v="BAD"/>
    <x v="10"/>
    <s v="Credit Card"/>
    <n v="2"/>
    <s v="iPhone 11"/>
    <n v="210060.48"/>
    <s v="Average"/>
    <s v="Excellent"/>
  </r>
  <r>
    <s v="Yoge562989"/>
    <n v="2989"/>
    <n v="7"/>
    <n v="2"/>
    <n v="2024"/>
    <d v="2024-02-07T00:00:00"/>
    <s v="February"/>
    <d v="2029-12-14T00:00:00"/>
    <x v="3"/>
    <n v="8"/>
    <n v="43612.56"/>
    <s v="Yogesh Luthra"/>
    <n v="56"/>
    <s v="Senior Citezen"/>
    <s v="AVG"/>
    <x v="2"/>
    <s v="UPI"/>
    <n v="3"/>
    <s v="Galaxy A51"/>
    <n v="348900.48"/>
    <s v="Average"/>
    <s v="Excellent"/>
  </r>
  <r>
    <s v="Navi532990"/>
    <n v="2990"/>
    <n v="7"/>
    <n v="2"/>
    <n v="2024"/>
    <d v="2024-02-07T00:00:00"/>
    <s v="February"/>
    <d v="2029-12-15T00:00:00"/>
    <x v="3"/>
    <n v="2"/>
    <n v="35759.279999999999"/>
    <s v="Navin Verma"/>
    <n v="53"/>
    <s v="Senior Citezen"/>
    <s v="BAD"/>
    <x v="1"/>
    <s v="Credit Card"/>
    <n v="2"/>
    <s v="Galaxy Note 20"/>
    <n v="71518.559999999998"/>
    <s v="Average"/>
    <s v="Average"/>
  </r>
  <r>
    <s v="Pooj512991"/>
    <n v="2991"/>
    <n v="7"/>
    <n v="2"/>
    <n v="2024"/>
    <d v="2024-02-07T00:00:00"/>
    <s v="February"/>
    <d v="2029-12-16T00:00:00"/>
    <x v="4"/>
    <n v="9"/>
    <n v="67963.37"/>
    <s v="Pooja Patel"/>
    <n v="51"/>
    <s v="Senior Citezen"/>
    <s v="Good"/>
    <x v="6"/>
    <s v="Credit Card"/>
    <n v="4"/>
    <s v="iPhone SE"/>
    <n v="611670.32999999996"/>
    <s v="Good"/>
    <s v="Excellent"/>
  </r>
  <r>
    <s v="Pooj412992"/>
    <n v="2992"/>
    <n v="7"/>
    <n v="2"/>
    <n v="2024"/>
    <d v="2024-02-07T00:00:00"/>
    <s v="February"/>
    <d v="2029-12-17T00:00:00"/>
    <x v="3"/>
    <n v="2"/>
    <n v="46246.53"/>
    <s v="Pooja Deshmukh"/>
    <n v="41"/>
    <s v="Adult"/>
    <s v="Good"/>
    <x v="17"/>
    <s v="Debit Card"/>
    <n v="5"/>
    <s v="Galaxy Note 20"/>
    <n v="92493.06"/>
    <s v="Good"/>
    <s v="Average"/>
  </r>
  <r>
    <s v="Kavi352993"/>
    <n v="2993"/>
    <n v="8"/>
    <n v="2"/>
    <n v="2024"/>
    <d v="2024-02-08T00:00:00"/>
    <s v="February"/>
    <d v="2029-12-18T00:00:00"/>
    <x v="2"/>
    <n v="1"/>
    <n v="54954.18"/>
    <s v="Kavita Bhatnagar"/>
    <n v="35"/>
    <s v="Adult"/>
    <s v="BAD"/>
    <x v="14"/>
    <s v="Credit Card"/>
    <n v="1"/>
    <s v="OnePlus Nord"/>
    <n v="54954.18"/>
    <s v="Average"/>
    <s v="Average"/>
  </r>
  <r>
    <s v="Vive332994"/>
    <n v="2994"/>
    <n v="8"/>
    <n v="2"/>
    <n v="2024"/>
    <d v="2024-02-08T00:00:00"/>
    <s v="February"/>
    <d v="2029-12-19T00:00:00"/>
    <x v="4"/>
    <n v="2"/>
    <n v="66180.820000000007"/>
    <s v="Vivek Nair"/>
    <n v="33"/>
    <s v="Adult"/>
    <s v="Good"/>
    <x v="2"/>
    <s v="Cash"/>
    <n v="4"/>
    <s v="iPhone 11"/>
    <n v="132361.64000000001"/>
    <s v="Good"/>
    <s v="Good"/>
  </r>
  <r>
    <s v="Suni582995"/>
    <n v="2995"/>
    <n v="8"/>
    <n v="2"/>
    <n v="2024"/>
    <d v="2024-02-08T00:00:00"/>
    <s v="February"/>
    <d v="2029-12-20T00:00:00"/>
    <x v="3"/>
    <n v="7"/>
    <n v="45495.96"/>
    <s v="Sunil Dutta"/>
    <n v="58"/>
    <s v="Senior Citezen"/>
    <s v="AVG"/>
    <x v="18"/>
    <s v="Credit Card"/>
    <n v="3"/>
    <s v="Galaxy Note 20"/>
    <n v="318471.71999999997"/>
    <s v="Average"/>
    <s v="Excellent"/>
  </r>
  <r>
    <s v="Mano542996"/>
    <n v="2996"/>
    <n v="9"/>
    <n v="2"/>
    <n v="2024"/>
    <d v="2024-02-09T00:00:00"/>
    <s v="February"/>
    <d v="2029-12-21T00:00:00"/>
    <x v="0"/>
    <n v="8"/>
    <n v="10723.75"/>
    <s v="Manoj Gupta"/>
    <n v="54"/>
    <s v="Senior Citezen"/>
    <s v="Good"/>
    <x v="4"/>
    <s v="UPI"/>
    <n v="5"/>
    <s v="Redmi 9"/>
    <n v="85790"/>
    <s v="Good"/>
    <s v="Average"/>
  </r>
  <r>
    <s v="Pooj582997"/>
    <n v="2997"/>
    <n v="9"/>
    <n v="2"/>
    <n v="2024"/>
    <d v="2024-02-09T00:00:00"/>
    <s v="February"/>
    <d v="2029-12-22T00:00:00"/>
    <x v="4"/>
    <n v="5"/>
    <n v="12057.5"/>
    <s v="Pooja Roy"/>
    <n v="58"/>
    <s v="Senior Citezen"/>
    <s v="AVG"/>
    <x v="1"/>
    <s v="UPI"/>
    <n v="3"/>
    <s v="iPhone 12"/>
    <n v="60287.5"/>
    <s v="Average"/>
    <s v="Average"/>
  </r>
  <r>
    <s v="Vino422998"/>
    <n v="2998"/>
    <n v="9"/>
    <n v="2"/>
    <n v="2024"/>
    <d v="2024-02-09T00:00:00"/>
    <s v="February"/>
    <d v="2029-12-23T00:00:00"/>
    <x v="4"/>
    <n v="6"/>
    <n v="52140.31"/>
    <s v="Vinod Kaur"/>
    <n v="42"/>
    <s v="Adult"/>
    <s v="Good"/>
    <x v="12"/>
    <s v="Credit Card"/>
    <n v="4"/>
    <s v="iPhone 11"/>
    <n v="312841.86"/>
    <s v="Good"/>
    <s v="Excellent"/>
  </r>
  <r>
    <s v="Yoge252999"/>
    <n v="2999"/>
    <n v="10"/>
    <n v="2"/>
    <n v="2024"/>
    <d v="2024-02-10T00:00:00"/>
    <s v="February"/>
    <d v="2029-12-24T00:00:00"/>
    <x v="2"/>
    <n v="1"/>
    <n v="26745.11"/>
    <s v="Yogesh Luthra"/>
    <n v="25"/>
    <s v="Teenagers"/>
    <s v="Good"/>
    <x v="1"/>
    <s v="UPI"/>
    <n v="4"/>
    <s v="OnePlus 8T"/>
    <n v="26745.11"/>
    <s v="Good"/>
    <s v="Low"/>
  </r>
  <r>
    <s v="Isha413000"/>
    <n v="3000"/>
    <n v="10"/>
    <n v="2"/>
    <n v="2024"/>
    <d v="2024-02-10T00:00:00"/>
    <s v="February"/>
    <d v="2029-12-25T00:00:00"/>
    <x v="1"/>
    <n v="6"/>
    <n v="44762.78"/>
    <s v="Isha Kaur"/>
    <n v="41"/>
    <s v="Adult"/>
    <s v="BAD"/>
    <x v="1"/>
    <s v="UPI"/>
    <n v="1"/>
    <s v="Vivo V20"/>
    <n v="268576.68"/>
    <s v="Average"/>
    <s v="Excellent"/>
  </r>
  <r>
    <s v="Kris373001"/>
    <n v="3001"/>
    <n v="10"/>
    <n v="2"/>
    <n v="2024"/>
    <d v="2024-02-10T00:00:00"/>
    <s v="February"/>
    <d v="2029-12-26T00:00:00"/>
    <x v="1"/>
    <n v="8"/>
    <n v="22136.63"/>
    <s v="Krishna Pillai"/>
    <n v="37"/>
    <s v="Adult"/>
    <s v="AVG"/>
    <x v="7"/>
    <s v="Credit Card"/>
    <n v="3"/>
    <s v="Vivo Y51"/>
    <n v="177093.04"/>
    <s v="Average"/>
    <s v="Good"/>
  </r>
  <r>
    <s v="Rame473002"/>
    <n v="3002"/>
    <n v="11"/>
    <n v="2"/>
    <n v="2024"/>
    <d v="2024-02-11T00:00:00"/>
    <s v="February"/>
    <d v="2029-12-27T00:00:00"/>
    <x v="2"/>
    <n v="3"/>
    <n v="26214.93"/>
    <s v="Ramesh Srivastava"/>
    <n v="47"/>
    <s v="Senior Citezen"/>
    <s v="Good"/>
    <x v="11"/>
    <s v="Debit Card"/>
    <n v="5"/>
    <s v="OnePlus Nord"/>
    <n v="78644.790000000008"/>
    <s v="Good"/>
    <s v="Average"/>
  </r>
  <r>
    <s v="Kira373003"/>
    <n v="3003"/>
    <n v="11"/>
    <n v="2"/>
    <n v="2024"/>
    <d v="2024-02-11T00:00:00"/>
    <s v="February"/>
    <d v="2029-12-28T00:00:00"/>
    <x v="2"/>
    <n v="1"/>
    <n v="40278.46"/>
    <s v="Kiran Joshi"/>
    <n v="37"/>
    <s v="Adult"/>
    <s v="BAD"/>
    <x v="0"/>
    <s v="Debit Card"/>
    <n v="1"/>
    <s v="OnePlus 9"/>
    <n v="40278.46"/>
    <s v="Average"/>
    <s v="Low"/>
  </r>
  <r>
    <s v="Arun353004"/>
    <n v="3004"/>
    <n v="11"/>
    <n v="2"/>
    <n v="2024"/>
    <d v="2024-02-11T00:00:00"/>
    <s v="February"/>
    <d v="2029-12-29T00:00:00"/>
    <x v="2"/>
    <n v="4"/>
    <n v="68534.17"/>
    <s v="Arun Ghosh"/>
    <n v="35"/>
    <s v="Adult"/>
    <s v="AVG"/>
    <x v="4"/>
    <s v="Debit Card"/>
    <n v="3"/>
    <s v="OnePlus 8T"/>
    <n v="274136.68"/>
    <s v="Average"/>
    <s v="Excellent"/>
  </r>
  <r>
    <s v="Anit213005"/>
    <n v="3005"/>
    <n v="12"/>
    <n v="2"/>
    <n v="2024"/>
    <d v="2024-02-12T00:00:00"/>
    <s v="February"/>
    <d v="2029-12-30T00:00:00"/>
    <x v="1"/>
    <n v="1"/>
    <n v="46976.23"/>
    <s v="Anita Prasad"/>
    <n v="21"/>
    <s v="Teenagers"/>
    <s v="Good"/>
    <x v="2"/>
    <s v="Debit Card"/>
    <n v="4"/>
    <s v="Vivo S1"/>
    <n v="46976.23"/>
    <s v="Good"/>
    <s v="Low"/>
  </r>
  <r>
    <s v="Shru533006"/>
    <n v="3006"/>
    <n v="12"/>
    <n v="2"/>
    <n v="2024"/>
    <d v="2024-02-12T00:00:00"/>
    <s v="February"/>
    <d v="2029-12-31T00:00:00"/>
    <x v="2"/>
    <n v="8"/>
    <n v="66168.89"/>
    <s v="Shruti Verma"/>
    <n v="53"/>
    <s v="Senior Citezen"/>
    <s v="BAD"/>
    <x v="11"/>
    <s v="Cash"/>
    <n v="1"/>
    <s v="OnePlus Nord"/>
    <n v="529351.12"/>
    <s v="Average"/>
    <s v="Excellent"/>
  </r>
  <r>
    <s v="Pank233007"/>
    <n v="3007"/>
    <n v="12"/>
    <n v="2"/>
    <n v="2024"/>
    <d v="2024-02-12T00:00:00"/>
    <s v="February"/>
    <d v="2030-01-01T00:00:00"/>
    <x v="3"/>
    <n v="5"/>
    <n v="67562.789999999994"/>
    <s v="Pankaj Srivastava"/>
    <n v="23"/>
    <s v="Teenagers"/>
    <s v="Good"/>
    <x v="2"/>
    <s v="Credit Card"/>
    <n v="4"/>
    <s v="Galaxy S21"/>
    <n v="337813.94999999995"/>
    <s v="Good"/>
    <s v="Excellent"/>
  </r>
  <r>
    <s v="Meen203008"/>
    <n v="3008"/>
    <n v="13"/>
    <n v="2"/>
    <n v="2024"/>
    <d v="2024-02-13T00:00:00"/>
    <s v="February"/>
    <d v="2030-01-02T00:00:00"/>
    <x v="4"/>
    <n v="1"/>
    <n v="22486.6"/>
    <s v="Meena Dutta"/>
    <n v="20"/>
    <s v="Teenagers"/>
    <s v="BAD"/>
    <x v="1"/>
    <s v="UPI"/>
    <n v="2"/>
    <s v="iPhone 12"/>
    <n v="22486.6"/>
    <s v="Average"/>
    <s v="Low"/>
  </r>
  <r>
    <s v="Vino353009"/>
    <n v="3009"/>
    <n v="13"/>
    <n v="2"/>
    <n v="2024"/>
    <d v="2024-02-13T00:00:00"/>
    <s v="February"/>
    <d v="2030-01-03T00:00:00"/>
    <x v="4"/>
    <n v="8"/>
    <n v="28671.62"/>
    <s v="Vinod Kumar"/>
    <n v="35"/>
    <s v="Adult"/>
    <s v="BAD"/>
    <x v="1"/>
    <s v="UPI"/>
    <n v="2"/>
    <s v="iPhone 12"/>
    <n v="229372.96"/>
    <s v="Average"/>
    <s v="Excellent"/>
  </r>
  <r>
    <s v="Meen573010"/>
    <n v="3010"/>
    <n v="13"/>
    <n v="2"/>
    <n v="2024"/>
    <d v="2024-02-13T00:00:00"/>
    <s v="February"/>
    <d v="2030-01-04T00:00:00"/>
    <x v="0"/>
    <n v="9"/>
    <n v="56199.54"/>
    <s v="Meena Malhotra"/>
    <n v="57"/>
    <s v="Senior Citezen"/>
    <s v="BAD"/>
    <x v="9"/>
    <s v="Credit Card"/>
    <n v="1"/>
    <s v="Redmi 9"/>
    <n v="505795.86"/>
    <s v="Average"/>
    <s v="Excellent"/>
  </r>
  <r>
    <s v="Lali353011"/>
    <n v="3011"/>
    <n v="14"/>
    <n v="2"/>
    <n v="2024"/>
    <d v="2024-02-14T00:00:00"/>
    <s v="February"/>
    <d v="2030-01-05T00:00:00"/>
    <x v="0"/>
    <n v="2"/>
    <n v="62005.84"/>
    <s v="Lalita Nambiar"/>
    <n v="35"/>
    <s v="Adult"/>
    <s v="BAD"/>
    <x v="7"/>
    <s v="UPI"/>
    <n v="1"/>
    <s v="Mi 11"/>
    <n v="124011.68"/>
    <s v="Average"/>
    <s v="Good"/>
  </r>
  <r>
    <s v="Mano403012"/>
    <n v="3012"/>
    <n v="14"/>
    <n v="2"/>
    <n v="2024"/>
    <d v="2024-02-14T00:00:00"/>
    <s v="February"/>
    <d v="2030-01-06T00:00:00"/>
    <x v="4"/>
    <n v="9"/>
    <n v="41153.599999999999"/>
    <s v="Manoj Nambiar"/>
    <n v="40"/>
    <s v="Adult"/>
    <s v="AVG"/>
    <x v="4"/>
    <s v="Cash"/>
    <n v="3"/>
    <s v="iPhone SE"/>
    <n v="370382.39999999997"/>
    <s v="Average"/>
    <s v="Excellent"/>
  </r>
  <r>
    <s v="Lali523013"/>
    <n v="3013"/>
    <n v="14"/>
    <n v="2"/>
    <n v="2024"/>
    <d v="2024-02-14T00:00:00"/>
    <s v="February"/>
    <d v="2030-01-07T00:00:00"/>
    <x v="3"/>
    <n v="8"/>
    <n v="69593.56"/>
    <s v="Lalita Alva"/>
    <n v="52"/>
    <s v="Senior Citezen"/>
    <s v="Good"/>
    <x v="2"/>
    <s v="Debit Card"/>
    <n v="5"/>
    <s v="Galaxy A51"/>
    <n v="556748.48"/>
    <s v="Good"/>
    <s v="Excellent"/>
  </r>
  <r>
    <s v="Tanu233014"/>
    <n v="3014"/>
    <n v="14"/>
    <n v="2"/>
    <n v="2024"/>
    <d v="2024-02-14T00:00:00"/>
    <s v="February"/>
    <d v="2030-01-08T00:00:00"/>
    <x v="1"/>
    <n v="7"/>
    <n v="10694.33"/>
    <s v="Tanuja Reddy"/>
    <n v="23"/>
    <s v="Teenagers"/>
    <s v="Good"/>
    <x v="16"/>
    <s v="Credit Card"/>
    <n v="5"/>
    <s v="Vivo V20"/>
    <n v="74860.31"/>
    <s v="Good"/>
    <s v="Average"/>
  </r>
  <r>
    <s v="Kira433015"/>
    <n v="3015"/>
    <n v="15"/>
    <n v="2"/>
    <n v="2024"/>
    <d v="2024-02-15T00:00:00"/>
    <s v="February"/>
    <d v="2030-01-09T00:00:00"/>
    <x v="1"/>
    <n v="3"/>
    <n v="27975.56"/>
    <s v="Kiran Alva"/>
    <n v="43"/>
    <s v="Adult"/>
    <s v="BAD"/>
    <x v="2"/>
    <s v="UPI"/>
    <n v="2"/>
    <s v="Vivo Y51"/>
    <n v="83926.680000000008"/>
    <s v="Average"/>
    <s v="Average"/>
  </r>
  <r>
    <s v="Raje383016"/>
    <n v="3016"/>
    <n v="15"/>
    <n v="2"/>
    <n v="2024"/>
    <d v="2024-02-15T00:00:00"/>
    <s v="February"/>
    <d v="2030-01-10T00:00:00"/>
    <x v="3"/>
    <n v="2"/>
    <n v="47389.71"/>
    <s v="Rajesh Arora"/>
    <n v="38"/>
    <s v="Adult"/>
    <s v="BAD"/>
    <x v="15"/>
    <s v="Cash"/>
    <n v="2"/>
    <s v="Galaxy A51"/>
    <n v="94779.42"/>
    <s v="Average"/>
    <s v="Average"/>
  </r>
  <r>
    <s v="Kavi413017"/>
    <n v="3017"/>
    <n v="15"/>
    <n v="2"/>
    <n v="2024"/>
    <d v="2024-02-15T00:00:00"/>
    <s v="February"/>
    <d v="2030-01-11T00:00:00"/>
    <x v="1"/>
    <n v="7"/>
    <n v="38157.39"/>
    <s v="Kavita Solanki"/>
    <n v="41"/>
    <s v="Adult"/>
    <s v="BAD"/>
    <x v="3"/>
    <s v="UPI"/>
    <n v="2"/>
    <s v="Vivo V20"/>
    <n v="267101.73"/>
    <s v="Average"/>
    <s v="Excellent"/>
  </r>
  <r>
    <s v="Anja323018"/>
    <n v="3018"/>
    <n v="16"/>
    <n v="2"/>
    <n v="2024"/>
    <d v="2024-02-16T00:00:00"/>
    <s v="February"/>
    <d v="2030-01-12T00:00:00"/>
    <x v="2"/>
    <n v="5"/>
    <n v="16996.18"/>
    <s v="Anjali Nambiar"/>
    <n v="32"/>
    <s v="Adult"/>
    <s v="Good"/>
    <x v="2"/>
    <s v="Cash"/>
    <n v="4"/>
    <s v="OnePlus 9"/>
    <n v="84980.9"/>
    <s v="Good"/>
    <s v="Average"/>
  </r>
  <r>
    <s v="Mala443019"/>
    <n v="3019"/>
    <n v="16"/>
    <n v="2"/>
    <n v="2024"/>
    <d v="2024-02-16T00:00:00"/>
    <s v="February"/>
    <d v="2030-01-13T00:00:00"/>
    <x v="4"/>
    <n v="6"/>
    <n v="32067.23"/>
    <s v="Mala Ghosh"/>
    <n v="44"/>
    <s v="Adult"/>
    <s v="Good"/>
    <x v="13"/>
    <s v="UPI"/>
    <n v="5"/>
    <s v="iPhone 11"/>
    <n v="192403.38"/>
    <s v="Good"/>
    <s v="Good"/>
  </r>
  <r>
    <s v="Moni493020"/>
    <n v="3020"/>
    <n v="16"/>
    <n v="2"/>
    <n v="2024"/>
    <d v="2024-02-16T00:00:00"/>
    <s v="February"/>
    <d v="2030-01-14T00:00:00"/>
    <x v="4"/>
    <n v="4"/>
    <n v="11526.83"/>
    <s v="Monika Chatterjee"/>
    <n v="49"/>
    <s v="Senior Citezen"/>
    <s v="BAD"/>
    <x v="9"/>
    <s v="Debit Card"/>
    <n v="1"/>
    <s v="iPhone 11"/>
    <n v="46107.32"/>
    <s v="Average"/>
    <s v="Low"/>
  </r>
  <r>
    <s v="Ravi293021"/>
    <n v="3021"/>
    <n v="16"/>
    <n v="2"/>
    <n v="2024"/>
    <d v="2024-02-16T00:00:00"/>
    <s v="February"/>
    <d v="2030-01-15T00:00:00"/>
    <x v="3"/>
    <n v="2"/>
    <n v="48564.76"/>
    <s v="Ravi Ghosh"/>
    <n v="29"/>
    <s v="Teenagers"/>
    <s v="BAD"/>
    <x v="2"/>
    <s v="Credit Card"/>
    <n v="2"/>
    <s v="Galaxy S21"/>
    <n v="97129.52"/>
    <s v="Average"/>
    <s v="Average"/>
  </r>
  <r>
    <s v="Vija223022"/>
    <n v="3022"/>
    <n v="17"/>
    <n v="2"/>
    <n v="2024"/>
    <d v="2024-02-17T00:00:00"/>
    <s v="February"/>
    <d v="2030-01-16T00:00:00"/>
    <x v="1"/>
    <n v="9"/>
    <n v="63564.55"/>
    <s v="Vijay Chatterjee"/>
    <n v="22"/>
    <s v="Teenagers"/>
    <s v="AVG"/>
    <x v="4"/>
    <s v="Debit Card"/>
    <n v="3"/>
    <s v="Vivo Y51"/>
    <n v="572080.95000000007"/>
    <s v="Average"/>
    <s v="Excellent"/>
  </r>
  <r>
    <s v="Reen243023"/>
    <n v="3023"/>
    <n v="17"/>
    <n v="2"/>
    <n v="2024"/>
    <d v="2024-02-17T00:00:00"/>
    <s v="February"/>
    <d v="2030-01-17T00:00:00"/>
    <x v="0"/>
    <n v="3"/>
    <n v="63092.45"/>
    <s v="Reena Sharma"/>
    <n v="24"/>
    <s v="Teenagers"/>
    <s v="BAD"/>
    <x v="1"/>
    <s v="Debit Card"/>
    <n v="1"/>
    <s v="Mi 11"/>
    <n v="189277.34999999998"/>
    <s v="Average"/>
    <s v="Good"/>
  </r>
  <r>
    <s v="Navi393024"/>
    <n v="3024"/>
    <n v="17"/>
    <n v="2"/>
    <n v="2024"/>
    <d v="2024-02-17T00:00:00"/>
    <s v="February"/>
    <d v="2030-01-18T00:00:00"/>
    <x v="0"/>
    <n v="7"/>
    <n v="51972.67"/>
    <s v="Navin Chaudhary"/>
    <n v="39"/>
    <s v="Adult"/>
    <s v="BAD"/>
    <x v="12"/>
    <s v="UPI"/>
    <n v="1"/>
    <s v="Redmi 9"/>
    <n v="363808.69"/>
    <s v="Average"/>
    <s v="Excellent"/>
  </r>
  <r>
    <s v="Vive443025"/>
    <n v="3025"/>
    <n v="18"/>
    <n v="2"/>
    <n v="2024"/>
    <d v="2024-02-18T00:00:00"/>
    <s v="February"/>
    <d v="2030-01-19T00:00:00"/>
    <x v="1"/>
    <n v="8"/>
    <n v="37946.21"/>
    <s v="Vivek Ghosh"/>
    <n v="44"/>
    <s v="Adult"/>
    <s v="BAD"/>
    <x v="2"/>
    <s v="Debit Card"/>
    <n v="1"/>
    <s v="Vivo Y51"/>
    <n v="303569.68"/>
    <s v="Average"/>
    <s v="Excellent"/>
  </r>
  <r>
    <s v="Gita323026"/>
    <n v="3026"/>
    <n v="18"/>
    <n v="2"/>
    <n v="2024"/>
    <d v="2024-02-18T00:00:00"/>
    <s v="February"/>
    <d v="2030-01-20T00:00:00"/>
    <x v="0"/>
    <n v="2"/>
    <n v="40721.9"/>
    <s v="Gita Sheth"/>
    <n v="32"/>
    <s v="Adult"/>
    <s v="Good"/>
    <x v="4"/>
    <s v="Credit Card"/>
    <n v="5"/>
    <s v="Redmi Note 10"/>
    <n v="81443.8"/>
    <s v="Good"/>
    <s v="Average"/>
  </r>
  <r>
    <s v="Nikh563027"/>
    <n v="3027"/>
    <n v="18"/>
    <n v="2"/>
    <n v="2024"/>
    <d v="2024-02-18T00:00:00"/>
    <s v="February"/>
    <d v="2030-01-21T00:00:00"/>
    <x v="3"/>
    <n v="6"/>
    <n v="18215.13"/>
    <s v="Nikhil Reddy"/>
    <n v="56"/>
    <s v="Senior Citezen"/>
    <s v="BAD"/>
    <x v="2"/>
    <s v="Cash"/>
    <n v="2"/>
    <s v="Galaxy Note 20"/>
    <n v="109290.78"/>
    <s v="Average"/>
    <s v="Good"/>
  </r>
  <r>
    <s v="Rame523028"/>
    <n v="3028"/>
    <n v="18"/>
    <n v="2"/>
    <n v="2024"/>
    <d v="2024-02-18T00:00:00"/>
    <s v="February"/>
    <d v="2030-01-22T00:00:00"/>
    <x v="3"/>
    <n v="8"/>
    <n v="30461.03"/>
    <s v="Ramesh Kumar"/>
    <n v="52"/>
    <s v="Senior Citezen"/>
    <s v="AVG"/>
    <x v="11"/>
    <s v="Cash"/>
    <n v="3"/>
    <s v="Galaxy A51"/>
    <n v="243688.24"/>
    <s v="Average"/>
    <s v="Excellent"/>
  </r>
  <r>
    <s v="Hari433029"/>
    <n v="3029"/>
    <n v="19"/>
    <n v="2"/>
    <n v="2024"/>
    <d v="2024-02-19T00:00:00"/>
    <s v="February"/>
    <d v="2030-01-23T00:00:00"/>
    <x v="1"/>
    <n v="7"/>
    <n v="21263.68"/>
    <s v="Harish Prasad"/>
    <n v="43"/>
    <s v="Adult"/>
    <s v="Good"/>
    <x v="1"/>
    <s v="UPI"/>
    <n v="4"/>
    <s v="Vivo Y51"/>
    <n v="148845.76000000001"/>
    <s v="Good"/>
    <s v="Good"/>
  </r>
  <r>
    <s v="Vive403030"/>
    <n v="3030"/>
    <n v="19"/>
    <n v="2"/>
    <n v="2024"/>
    <d v="2024-02-19T00:00:00"/>
    <s v="February"/>
    <d v="2030-01-24T00:00:00"/>
    <x v="0"/>
    <n v="3"/>
    <n v="59272.01"/>
    <s v="Vivek Nambiar"/>
    <n v="40"/>
    <s v="Adult"/>
    <s v="AVG"/>
    <x v="1"/>
    <s v="Credit Card"/>
    <n v="3"/>
    <s v="Redmi 9"/>
    <n v="177816.03"/>
    <s v="Average"/>
    <s v="Good"/>
  </r>
  <r>
    <s v="Ravi303031"/>
    <n v="3031"/>
    <n v="19"/>
    <n v="2"/>
    <n v="2024"/>
    <d v="2024-02-19T00:00:00"/>
    <s v="February"/>
    <d v="2030-01-25T00:00:00"/>
    <x v="3"/>
    <n v="1"/>
    <n v="64885.23"/>
    <s v="Ravi Malhotra"/>
    <n v="30"/>
    <s v="Teenagers"/>
    <s v="AVG"/>
    <x v="10"/>
    <s v="Credit Card"/>
    <n v="3"/>
    <s v="Galaxy Note 20"/>
    <n v="64885.23"/>
    <s v="Average"/>
    <s v="Average"/>
  </r>
  <r>
    <s v="Vija433032"/>
    <n v="3032"/>
    <n v="19"/>
    <n v="2"/>
    <n v="2024"/>
    <d v="2024-02-19T00:00:00"/>
    <s v="February"/>
    <d v="2030-01-26T00:00:00"/>
    <x v="3"/>
    <n v="6"/>
    <n v="42215.4"/>
    <s v="Vijay Chatterjee"/>
    <n v="43"/>
    <s v="Adult"/>
    <s v="AVG"/>
    <x v="1"/>
    <s v="Cash"/>
    <n v="3"/>
    <s v="Galaxy Note 20"/>
    <n v="253292.40000000002"/>
    <s v="Average"/>
    <s v="Excellent"/>
  </r>
  <r>
    <s v="Navi203033"/>
    <n v="3033"/>
    <n v="20"/>
    <n v="2"/>
    <n v="2024"/>
    <d v="2024-02-20T00:00:00"/>
    <s v="February"/>
    <d v="2030-01-27T00:00:00"/>
    <x v="2"/>
    <n v="8"/>
    <n v="53665.84"/>
    <s v="Navin Sharma"/>
    <n v="20"/>
    <s v="Teenagers"/>
    <s v="Good"/>
    <x v="6"/>
    <s v="Cash"/>
    <n v="4"/>
    <s v="OnePlus 9"/>
    <n v="429326.72"/>
    <s v="Good"/>
    <s v="Excellent"/>
  </r>
  <r>
    <s v="Ravi463034"/>
    <n v="3034"/>
    <n v="20"/>
    <n v="2"/>
    <n v="2024"/>
    <d v="2024-02-20T00:00:00"/>
    <s v="February"/>
    <d v="2030-01-28T00:00:00"/>
    <x v="2"/>
    <n v="6"/>
    <n v="17287.89"/>
    <s v="Ravi Ghosh"/>
    <n v="46"/>
    <s v="Senior Citezen"/>
    <s v="AVG"/>
    <x v="17"/>
    <s v="Debit Card"/>
    <n v="3"/>
    <s v="OnePlus 9"/>
    <n v="103727.34"/>
    <s v="Average"/>
    <s v="Good"/>
  </r>
  <r>
    <s v="Adit193035"/>
    <n v="3035"/>
    <n v="20"/>
    <n v="2"/>
    <n v="2024"/>
    <d v="2024-02-20T00:00:00"/>
    <s v="February"/>
    <d v="2030-01-29T00:00:00"/>
    <x v="3"/>
    <n v="5"/>
    <n v="46512.08"/>
    <s v="Aditya Kulkarni"/>
    <n v="19"/>
    <s v="Teenagers"/>
    <s v="AVG"/>
    <x v="12"/>
    <s v="UPI"/>
    <n v="3"/>
    <s v="Galaxy Note 20"/>
    <n v="232560.40000000002"/>
    <s v="Average"/>
    <s v="Excellent"/>
  </r>
  <r>
    <s v="Arun453036"/>
    <n v="3036"/>
    <n v="20"/>
    <n v="2"/>
    <n v="2024"/>
    <d v="2024-02-20T00:00:00"/>
    <s v="February"/>
    <d v="2030-01-30T00:00:00"/>
    <x v="1"/>
    <n v="8"/>
    <n v="52167.46"/>
    <s v="Arun Desai"/>
    <n v="45"/>
    <s v="Adult"/>
    <s v="BAD"/>
    <x v="12"/>
    <s v="Cash"/>
    <n v="2"/>
    <s v="Vivo Y51"/>
    <n v="417339.68"/>
    <s v="Average"/>
    <s v="Excellent"/>
  </r>
  <r>
    <s v="Isha403037"/>
    <n v="3037"/>
    <n v="21"/>
    <n v="2"/>
    <n v="2024"/>
    <d v="2024-02-21T00:00:00"/>
    <s v="February"/>
    <d v="2030-01-31T00:00:00"/>
    <x v="4"/>
    <n v="2"/>
    <n v="37166.089999999997"/>
    <s v="Isha Desai"/>
    <n v="40"/>
    <s v="Adult"/>
    <s v="BAD"/>
    <x v="14"/>
    <s v="Cash"/>
    <n v="2"/>
    <s v="iPhone SE"/>
    <n v="74332.179999999993"/>
    <s v="Average"/>
    <s v="Average"/>
  </r>
  <r>
    <s v="Navi533038"/>
    <n v="3038"/>
    <n v="21"/>
    <n v="2"/>
    <n v="2024"/>
    <d v="2024-02-21T00:00:00"/>
    <s v="February"/>
    <d v="2030-02-01T00:00:00"/>
    <x v="4"/>
    <n v="1"/>
    <n v="24596.39"/>
    <s v="Navin Malhotra"/>
    <n v="53"/>
    <s v="Senior Citezen"/>
    <s v="BAD"/>
    <x v="1"/>
    <s v="Credit Card"/>
    <n v="2"/>
    <s v="iPhone SE"/>
    <n v="24596.39"/>
    <s v="Average"/>
    <s v="Low"/>
  </r>
  <r>
    <s v="Kuna233039"/>
    <n v="3039"/>
    <n v="21"/>
    <n v="2"/>
    <n v="2024"/>
    <d v="2024-02-21T00:00:00"/>
    <s v="February"/>
    <d v="2030-02-02T00:00:00"/>
    <x v="3"/>
    <n v="1"/>
    <n v="62642.47"/>
    <s v="Kunal Singh"/>
    <n v="23"/>
    <s v="Teenagers"/>
    <s v="BAD"/>
    <x v="14"/>
    <s v="Credit Card"/>
    <n v="1"/>
    <s v="Galaxy S21"/>
    <n v="62642.47"/>
    <s v="Average"/>
    <s v="Average"/>
  </r>
  <r>
    <s v="Adit283040"/>
    <n v="3040"/>
    <n v="22"/>
    <n v="2"/>
    <n v="2024"/>
    <d v="2024-02-22T00:00:00"/>
    <s v="February"/>
    <d v="2030-02-03T00:00:00"/>
    <x v="3"/>
    <n v="4"/>
    <n v="54574.52"/>
    <s v="Aditya Jain"/>
    <n v="28"/>
    <s v="Teenagers"/>
    <s v="AVG"/>
    <x v="11"/>
    <s v="Credit Card"/>
    <n v="3"/>
    <s v="Galaxy Note 20"/>
    <n v="218298.08"/>
    <s v="Average"/>
    <s v="Excellent"/>
  </r>
  <r>
    <s v="Shru553041"/>
    <n v="3041"/>
    <n v="22"/>
    <n v="2"/>
    <n v="2024"/>
    <d v="2024-02-22T00:00:00"/>
    <s v="February"/>
    <d v="2030-02-04T00:00:00"/>
    <x v="3"/>
    <n v="6"/>
    <n v="63991.44"/>
    <s v="Shruti Pathak"/>
    <n v="55"/>
    <s v="Senior Citezen"/>
    <s v="Good"/>
    <x v="1"/>
    <s v="Cash"/>
    <n v="5"/>
    <s v="Galaxy Note 20"/>
    <n v="383948.64"/>
    <s v="Good"/>
    <s v="Excellent"/>
  </r>
  <r>
    <s v="Suni513042"/>
    <n v="3042"/>
    <n v="22"/>
    <n v="2"/>
    <n v="2024"/>
    <d v="2024-02-22T00:00:00"/>
    <s v="February"/>
    <d v="2030-02-05T00:00:00"/>
    <x v="1"/>
    <n v="9"/>
    <n v="59104.160000000003"/>
    <s v="Sunita Iyer"/>
    <n v="51"/>
    <s v="Senior Citezen"/>
    <s v="Good"/>
    <x v="8"/>
    <s v="UPI"/>
    <n v="5"/>
    <s v="Vivo S1"/>
    <n v="531937.44000000006"/>
    <s v="Good"/>
    <s v="Excellent"/>
  </r>
  <r>
    <s v="Nikh343043"/>
    <n v="3043"/>
    <n v="23"/>
    <n v="2"/>
    <n v="2024"/>
    <d v="2024-02-23T00:00:00"/>
    <s v="February"/>
    <d v="2030-02-06T00:00:00"/>
    <x v="2"/>
    <n v="1"/>
    <n v="69422.47"/>
    <s v="Nikhil Ahuja"/>
    <n v="34"/>
    <s v="Adult"/>
    <s v="Good"/>
    <x v="1"/>
    <s v="Debit Card"/>
    <n v="5"/>
    <s v="OnePlus 8T"/>
    <n v="69422.47"/>
    <s v="Good"/>
    <s v="Average"/>
  </r>
  <r>
    <s v="Pank203044"/>
    <n v="3044"/>
    <n v="23"/>
    <n v="2"/>
    <n v="2024"/>
    <d v="2024-02-23T00:00:00"/>
    <s v="February"/>
    <d v="2030-02-07T00:00:00"/>
    <x v="3"/>
    <n v="1"/>
    <n v="21530.36"/>
    <s v="Pankaj Verma"/>
    <n v="20"/>
    <s v="Teenagers"/>
    <s v="Good"/>
    <x v="1"/>
    <s v="UPI"/>
    <n v="4"/>
    <s v="Galaxy Note 20"/>
    <n v="21530.36"/>
    <s v="Good"/>
    <s v="Low"/>
  </r>
  <r>
    <s v="Sneh513045"/>
    <n v="3045"/>
    <n v="23"/>
    <n v="2"/>
    <n v="2024"/>
    <d v="2024-02-23T00:00:00"/>
    <s v="February"/>
    <d v="2030-02-08T00:00:00"/>
    <x v="3"/>
    <n v="5"/>
    <n v="15204.87"/>
    <s v="Sneha Thakur"/>
    <n v="51"/>
    <s v="Senior Citezen"/>
    <s v="BAD"/>
    <x v="15"/>
    <s v="Cash"/>
    <n v="2"/>
    <s v="Galaxy Note 20"/>
    <n v="76024.350000000006"/>
    <s v="Average"/>
    <s v="Average"/>
  </r>
  <r>
    <s v="Kris393046"/>
    <n v="3046"/>
    <n v="23"/>
    <n v="2"/>
    <n v="2024"/>
    <d v="2024-02-23T00:00:00"/>
    <s v="February"/>
    <d v="2030-02-09T00:00:00"/>
    <x v="0"/>
    <n v="5"/>
    <n v="30220.17"/>
    <s v="Krishna Ahuja"/>
    <n v="39"/>
    <s v="Adult"/>
    <s v="BAD"/>
    <x v="2"/>
    <s v="Debit Card"/>
    <n v="2"/>
    <s v="Redmi 9"/>
    <n v="151100.84999999998"/>
    <s v="Average"/>
    <s v="Good"/>
  </r>
  <r>
    <s v="Raje463047"/>
    <n v="3047"/>
    <n v="24"/>
    <n v="2"/>
    <n v="2024"/>
    <d v="2024-02-24T00:00:00"/>
    <s v="February"/>
    <d v="2030-02-10T00:00:00"/>
    <x v="1"/>
    <n v="5"/>
    <n v="17740.25"/>
    <s v="Rajesh Kulkarni"/>
    <n v="46"/>
    <s v="Senior Citezen"/>
    <s v="BAD"/>
    <x v="18"/>
    <s v="UPI"/>
    <n v="2"/>
    <s v="Vivo S1"/>
    <n v="88701.25"/>
    <s v="Average"/>
    <s v="Average"/>
  </r>
  <r>
    <s v="Shru463048"/>
    <n v="3048"/>
    <n v="24"/>
    <n v="2"/>
    <n v="2024"/>
    <d v="2024-02-24T00:00:00"/>
    <s v="February"/>
    <d v="2030-02-11T00:00:00"/>
    <x v="3"/>
    <n v="6"/>
    <n v="41387.81"/>
    <s v="Shruti Shah"/>
    <n v="46"/>
    <s v="Senior Citezen"/>
    <s v="Good"/>
    <x v="4"/>
    <s v="Cash"/>
    <n v="4"/>
    <s v="Galaxy A51"/>
    <n v="248326.86"/>
    <s v="Good"/>
    <s v="Excellent"/>
  </r>
  <r>
    <s v="Sach223049"/>
    <n v="3049"/>
    <n v="24"/>
    <n v="2"/>
    <n v="2024"/>
    <d v="2024-02-24T00:00:00"/>
    <s v="February"/>
    <d v="2030-02-12T00:00:00"/>
    <x v="0"/>
    <n v="8"/>
    <n v="47981.73"/>
    <s v="Sachin Sheth"/>
    <n v="22"/>
    <s v="Teenagers"/>
    <s v="AVG"/>
    <x v="1"/>
    <s v="UPI"/>
    <n v="3"/>
    <s v="Mi 11"/>
    <n v="383853.84"/>
    <s v="Average"/>
    <s v="Excellent"/>
  </r>
  <r>
    <s v="Anit273050"/>
    <n v="3050"/>
    <n v="25"/>
    <n v="2"/>
    <n v="2024"/>
    <d v="2024-02-25T00:00:00"/>
    <s v="February"/>
    <d v="2030-02-13T00:00:00"/>
    <x v="4"/>
    <n v="3"/>
    <n v="44697.32"/>
    <s v="Anita Dutta"/>
    <n v="27"/>
    <s v="Teenagers"/>
    <s v="BAD"/>
    <x v="12"/>
    <s v="Cash"/>
    <n v="1"/>
    <s v="iPhone SE"/>
    <n v="134091.96"/>
    <s v="Average"/>
    <s v="Good"/>
  </r>
  <r>
    <s v="Pooj273051"/>
    <n v="3051"/>
    <n v="25"/>
    <n v="2"/>
    <n v="2024"/>
    <d v="2024-02-25T00:00:00"/>
    <s v="February"/>
    <d v="2030-02-14T00:00:00"/>
    <x v="3"/>
    <n v="9"/>
    <n v="25554.41"/>
    <s v="Pooja Deshmukh"/>
    <n v="27"/>
    <s v="Teenagers"/>
    <s v="BAD"/>
    <x v="2"/>
    <s v="Credit Card"/>
    <n v="2"/>
    <s v="Galaxy S21"/>
    <n v="229989.69"/>
    <s v="Average"/>
    <s v="Excellent"/>
  </r>
  <r>
    <s v="Pank263052"/>
    <n v="3052"/>
    <n v="25"/>
    <n v="2"/>
    <n v="2024"/>
    <d v="2024-02-25T00:00:00"/>
    <s v="February"/>
    <d v="2030-02-15T00:00:00"/>
    <x v="3"/>
    <n v="1"/>
    <n v="64529.440000000002"/>
    <s v="Pankaj Mathur"/>
    <n v="26"/>
    <s v="Teenagers"/>
    <s v="AVG"/>
    <x v="10"/>
    <s v="UPI"/>
    <n v="3"/>
    <s v="Galaxy S21"/>
    <n v="64529.440000000002"/>
    <s v="Average"/>
    <s v="Average"/>
  </r>
  <r>
    <s v="Meen383053"/>
    <n v="3053"/>
    <n v="25"/>
    <n v="2"/>
    <n v="2024"/>
    <d v="2024-02-25T00:00:00"/>
    <s v="February"/>
    <d v="2030-02-16T00:00:00"/>
    <x v="0"/>
    <n v="4"/>
    <n v="11270.34"/>
    <s v="Meena Patel"/>
    <n v="38"/>
    <s v="Adult"/>
    <s v="Good"/>
    <x v="11"/>
    <s v="Credit Card"/>
    <n v="5"/>
    <s v="Redmi 9"/>
    <n v="45081.36"/>
    <s v="Good"/>
    <s v="Low"/>
  </r>
  <r>
    <s v="Deve303054"/>
    <n v="3054"/>
    <n v="26"/>
    <n v="2"/>
    <n v="2024"/>
    <d v="2024-02-26T00:00:00"/>
    <s v="February"/>
    <d v="2030-02-17T00:00:00"/>
    <x v="1"/>
    <n v="9"/>
    <n v="30880.799999999999"/>
    <s v="Devendra Varma"/>
    <n v="30"/>
    <s v="Teenagers"/>
    <s v="BAD"/>
    <x v="8"/>
    <s v="Credit Card"/>
    <n v="1"/>
    <s v="Vivo S1"/>
    <n v="277927.2"/>
    <s v="Average"/>
    <s v="Excellent"/>
  </r>
  <r>
    <s v="Arun273055"/>
    <n v="3055"/>
    <n v="26"/>
    <n v="2"/>
    <n v="2024"/>
    <d v="2024-02-26T00:00:00"/>
    <s v="February"/>
    <d v="2030-02-18T00:00:00"/>
    <x v="3"/>
    <n v="8"/>
    <n v="53139.55"/>
    <s v="Arun Mathur"/>
    <n v="27"/>
    <s v="Teenagers"/>
    <s v="Good"/>
    <x v="9"/>
    <s v="Debit Card"/>
    <n v="5"/>
    <s v="Galaxy Note 20"/>
    <n v="425116.4"/>
    <s v="Good"/>
    <s v="Excellent"/>
  </r>
  <r>
    <s v="Mano553056"/>
    <n v="3056"/>
    <n v="26"/>
    <n v="2"/>
    <n v="2024"/>
    <d v="2024-02-26T00:00:00"/>
    <s v="February"/>
    <d v="2030-02-19T00:00:00"/>
    <x v="4"/>
    <n v="9"/>
    <n v="56015.74"/>
    <s v="Manoj Kaur"/>
    <n v="55"/>
    <s v="Senior Citezen"/>
    <s v="AVG"/>
    <x v="10"/>
    <s v="Debit Card"/>
    <n v="3"/>
    <s v="iPhone SE"/>
    <n v="504141.66"/>
    <s v="Average"/>
    <s v="Excellent"/>
  </r>
  <r>
    <s v="Vino283057"/>
    <n v="3057"/>
    <n v="27"/>
    <n v="2"/>
    <n v="2024"/>
    <d v="2024-02-27T00:00:00"/>
    <s v="February"/>
    <d v="2030-02-20T00:00:00"/>
    <x v="3"/>
    <n v="1"/>
    <n v="34967.11"/>
    <s v="Vinod Malhotra"/>
    <n v="28"/>
    <s v="Teenagers"/>
    <s v="AVG"/>
    <x v="16"/>
    <s v="UPI"/>
    <n v="3"/>
    <s v="Galaxy A51"/>
    <n v="34967.11"/>
    <s v="Average"/>
    <s v="Low"/>
  </r>
  <r>
    <s v="Neet213058"/>
    <n v="3058"/>
    <n v="27"/>
    <n v="2"/>
    <n v="2024"/>
    <d v="2024-02-27T00:00:00"/>
    <s v="February"/>
    <d v="2030-02-21T00:00:00"/>
    <x v="4"/>
    <n v="9"/>
    <n v="11014.59"/>
    <s v="Neeta Patel"/>
    <n v="21"/>
    <s v="Teenagers"/>
    <s v="Good"/>
    <x v="12"/>
    <s v="Cash"/>
    <n v="5"/>
    <s v="iPhone 12"/>
    <n v="99131.31"/>
    <s v="Good"/>
    <s v="Average"/>
  </r>
  <r>
    <s v="Anit483059"/>
    <n v="3059"/>
    <n v="27"/>
    <n v="2"/>
    <n v="2024"/>
    <d v="2024-02-27T00:00:00"/>
    <s v="February"/>
    <d v="2030-02-22T00:00:00"/>
    <x v="2"/>
    <n v="3"/>
    <n v="47082.62"/>
    <s v="Anita Dutta"/>
    <n v="48"/>
    <s v="Senior Citezen"/>
    <s v="BAD"/>
    <x v="6"/>
    <s v="Debit Card"/>
    <n v="1"/>
    <s v="OnePlus 9"/>
    <n v="141247.86000000002"/>
    <s v="Average"/>
    <s v="Good"/>
  </r>
  <r>
    <s v="Kris513060"/>
    <n v="3060"/>
    <n v="27"/>
    <n v="2"/>
    <n v="2024"/>
    <d v="2024-02-27T00:00:00"/>
    <s v="February"/>
    <d v="2030-02-23T00:00:00"/>
    <x v="2"/>
    <n v="9"/>
    <n v="13785.68"/>
    <s v="Krishna Reddy"/>
    <n v="51"/>
    <s v="Senior Citezen"/>
    <s v="Good"/>
    <x v="2"/>
    <s v="Debit Card"/>
    <n v="5"/>
    <s v="OnePlus 9"/>
    <n v="124071.12"/>
    <s v="Good"/>
    <s v="Good"/>
  </r>
  <r>
    <s v="Pank593061"/>
    <n v="3061"/>
    <n v="28"/>
    <n v="2"/>
    <n v="2024"/>
    <d v="2024-02-28T00:00:00"/>
    <s v="February"/>
    <d v="2030-02-24T00:00:00"/>
    <x v="4"/>
    <n v="1"/>
    <n v="16471.349999999999"/>
    <s v="Pankaj Jain"/>
    <n v="59"/>
    <s v="Senior Citezen"/>
    <s v="Good"/>
    <x v="2"/>
    <s v="Credit Card"/>
    <n v="5"/>
    <s v="iPhone 12"/>
    <n v="16471.349999999999"/>
    <s v="Good"/>
    <s v="Low"/>
  </r>
  <r>
    <s v="Bhav523062"/>
    <n v="3062"/>
    <n v="28"/>
    <n v="2"/>
    <n v="2024"/>
    <d v="2024-02-28T00:00:00"/>
    <s v="February"/>
    <d v="2030-02-25T00:00:00"/>
    <x v="1"/>
    <n v="1"/>
    <n v="49015.040000000001"/>
    <s v="Bhavana Kapoor"/>
    <n v="52"/>
    <s v="Senior Citezen"/>
    <s v="Good"/>
    <x v="13"/>
    <s v="Credit Card"/>
    <n v="5"/>
    <s v="Vivo S1"/>
    <n v="49015.040000000001"/>
    <s v="Good"/>
    <s v="Low"/>
  </r>
  <r>
    <s v="Pank563063"/>
    <n v="3063"/>
    <n v="28"/>
    <n v="2"/>
    <n v="2024"/>
    <d v="2024-02-28T00:00:00"/>
    <s v="February"/>
    <d v="2030-02-26T00:00:00"/>
    <x v="3"/>
    <n v="9"/>
    <n v="28749.3"/>
    <s v="Pankaj Patel"/>
    <n v="56"/>
    <s v="Senior Citezen"/>
    <s v="BAD"/>
    <x v="1"/>
    <s v="Cash"/>
    <n v="1"/>
    <s v="Galaxy S21"/>
    <n v="258743.69999999998"/>
    <s v="Average"/>
    <s v="Excellent"/>
  </r>
  <r>
    <s v="Tanu563064"/>
    <n v="3064"/>
    <n v="28"/>
    <n v="2"/>
    <n v="2024"/>
    <d v="2024-02-28T00:00:00"/>
    <s v="February"/>
    <d v="2030-02-27T00:00:00"/>
    <x v="3"/>
    <n v="6"/>
    <n v="30881.81"/>
    <s v="Tanuja Srivastava"/>
    <n v="56"/>
    <s v="Senior Citezen"/>
    <s v="Good"/>
    <x v="1"/>
    <s v="Debit Card"/>
    <n v="4"/>
    <s v="Galaxy Note 20"/>
    <n v="185290.86000000002"/>
    <s v="Good"/>
    <s v="Good"/>
  </r>
  <r>
    <s v="Pras503065"/>
    <n v="3065"/>
    <n v="29"/>
    <n v="2"/>
    <n v="2024"/>
    <d v="2024-02-29T00:00:00"/>
    <s v="February"/>
    <d v="2030-02-28T00:00:00"/>
    <x v="2"/>
    <n v="4"/>
    <n v="39208.42"/>
    <s v="Prashant Luthra"/>
    <n v="50"/>
    <s v="Senior Citezen"/>
    <s v="BAD"/>
    <x v="1"/>
    <s v="Debit Card"/>
    <n v="1"/>
    <s v="OnePlus 8T"/>
    <n v="156833.68"/>
    <s v="Average"/>
    <s v="Good"/>
  </r>
  <r>
    <s v="Jyot253066"/>
    <n v="3066"/>
    <n v="29"/>
    <n v="2"/>
    <n v="2024"/>
    <d v="2024-02-29T00:00:00"/>
    <s v="February"/>
    <d v="2030-03-01T00:00:00"/>
    <x v="4"/>
    <n v="7"/>
    <n v="68714.7"/>
    <s v="Jyoti Alva"/>
    <n v="25"/>
    <s v="Teenagers"/>
    <s v="Good"/>
    <x v="6"/>
    <s v="Cash"/>
    <n v="5"/>
    <s v="iPhone SE"/>
    <n v="481002.89999999997"/>
    <s v="Good"/>
    <s v="Excellent"/>
  </r>
  <r>
    <s v="Hari493067"/>
    <n v="3067"/>
    <n v="29"/>
    <n v="2"/>
    <n v="2024"/>
    <d v="2024-02-29T00:00:00"/>
    <s v="February"/>
    <d v="2030-03-02T00:00:00"/>
    <x v="3"/>
    <n v="5"/>
    <n v="67926.53"/>
    <s v="Harish Kapoor"/>
    <n v="49"/>
    <s v="Senior Citezen"/>
    <s v="BAD"/>
    <x v="12"/>
    <s v="Debit Card"/>
    <n v="2"/>
    <s v="Galaxy Note 20"/>
    <n v="339632.65"/>
    <s v="Average"/>
    <s v="Excellent"/>
  </r>
  <r>
    <s v="Sumi503068"/>
    <n v="3068"/>
    <n v="1"/>
    <n v="3"/>
    <n v="2024"/>
    <d v="2024-03-01T00:00:00"/>
    <s v="March"/>
    <d v="2030-03-03T00:00:00"/>
    <x v="3"/>
    <n v="7"/>
    <n v="34975.660000000003"/>
    <s v="Sumit Dutta"/>
    <n v="50"/>
    <s v="Senior Citezen"/>
    <s v="BAD"/>
    <x v="1"/>
    <s v="UPI"/>
    <n v="2"/>
    <s v="Galaxy S21"/>
    <n v="244829.62000000002"/>
    <s v="Average"/>
    <s v="Excellent"/>
  </r>
  <r>
    <s v="Sach253069"/>
    <n v="3069"/>
    <n v="1"/>
    <n v="3"/>
    <n v="2024"/>
    <d v="2024-03-01T00:00:00"/>
    <s v="March"/>
    <d v="2030-03-04T00:00:00"/>
    <x v="1"/>
    <n v="8"/>
    <n v="25929.95"/>
    <s v="Sachin Rawat"/>
    <n v="25"/>
    <s v="Teenagers"/>
    <s v="AVG"/>
    <x v="5"/>
    <s v="UPI"/>
    <n v="3"/>
    <s v="Vivo V20"/>
    <n v="207439.6"/>
    <s v="Average"/>
    <s v="Excellent"/>
  </r>
  <r>
    <s v="Reen313070"/>
    <n v="3070"/>
    <n v="1"/>
    <n v="3"/>
    <n v="2024"/>
    <d v="2024-03-01T00:00:00"/>
    <s v="March"/>
    <d v="2030-03-05T00:00:00"/>
    <x v="0"/>
    <n v="8"/>
    <n v="28155.53"/>
    <s v="Reena Goyal"/>
    <n v="31"/>
    <s v="Adult"/>
    <s v="Good"/>
    <x v="1"/>
    <s v="Cash"/>
    <n v="4"/>
    <s v="Mi 11"/>
    <n v="225244.24"/>
    <s v="Good"/>
    <s v="Excellent"/>
  </r>
  <r>
    <s v="Kira513071"/>
    <n v="3071"/>
    <n v="1"/>
    <n v="3"/>
    <n v="2024"/>
    <d v="2024-03-01T00:00:00"/>
    <s v="March"/>
    <d v="2030-03-06T00:00:00"/>
    <x v="2"/>
    <n v="1"/>
    <n v="26126.880000000001"/>
    <s v="Kiran Ghosh"/>
    <n v="51"/>
    <s v="Senior Citezen"/>
    <s v="AVG"/>
    <x v="1"/>
    <s v="Credit Card"/>
    <n v="3"/>
    <s v="OnePlus Nord"/>
    <n v="26126.880000000001"/>
    <s v="Average"/>
    <s v="Low"/>
  </r>
  <r>
    <s v="Gita253072"/>
    <n v="3072"/>
    <n v="2"/>
    <n v="3"/>
    <n v="2024"/>
    <d v="2024-03-02T00:00:00"/>
    <s v="March"/>
    <d v="2030-03-07T00:00:00"/>
    <x v="2"/>
    <n v="8"/>
    <n v="41934.75"/>
    <s v="Gita Mehta"/>
    <n v="25"/>
    <s v="Teenagers"/>
    <s v="AVG"/>
    <x v="2"/>
    <s v="Cash"/>
    <n v="3"/>
    <s v="OnePlus 9"/>
    <n v="335478"/>
    <s v="Average"/>
    <s v="Excellent"/>
  </r>
  <r>
    <s v="Raje593073"/>
    <n v="3073"/>
    <n v="2"/>
    <n v="3"/>
    <n v="2024"/>
    <d v="2024-03-02T00:00:00"/>
    <s v="March"/>
    <d v="2030-03-08T00:00:00"/>
    <x v="0"/>
    <n v="6"/>
    <n v="46411.59"/>
    <s v="Rajesh Pathak"/>
    <n v="59"/>
    <s v="Senior Citezen"/>
    <s v="BAD"/>
    <x v="18"/>
    <s v="UPI"/>
    <n v="2"/>
    <s v="Redmi Note 10"/>
    <n v="278469.53999999998"/>
    <s v="Average"/>
    <s v="Excellent"/>
  </r>
  <r>
    <s v="Priy243074"/>
    <n v="3074"/>
    <n v="2"/>
    <n v="3"/>
    <n v="2024"/>
    <d v="2024-03-02T00:00:00"/>
    <s v="March"/>
    <d v="2030-03-09T00:00:00"/>
    <x v="3"/>
    <n v="4"/>
    <n v="39326.76"/>
    <s v="Priyanka Sharma"/>
    <n v="24"/>
    <s v="Teenagers"/>
    <s v="BAD"/>
    <x v="10"/>
    <s v="Debit Card"/>
    <n v="1"/>
    <s v="Galaxy Note 20"/>
    <n v="157307.04"/>
    <s v="Average"/>
    <s v="Good"/>
  </r>
  <r>
    <s v="Sumi303075"/>
    <n v="3075"/>
    <n v="3"/>
    <n v="3"/>
    <n v="2024"/>
    <d v="2024-03-03T00:00:00"/>
    <s v="March"/>
    <d v="2030-03-10T00:00:00"/>
    <x v="1"/>
    <n v="8"/>
    <n v="34479.660000000003"/>
    <s v="Sumit Siddiqui"/>
    <n v="30"/>
    <s v="Teenagers"/>
    <s v="AVG"/>
    <x v="15"/>
    <s v="Debit Card"/>
    <n v="3"/>
    <s v="Vivo S1"/>
    <n v="275837.28000000003"/>
    <s v="Average"/>
    <s v="Excellent"/>
  </r>
  <r>
    <s v="Priy383076"/>
    <n v="3076"/>
    <n v="3"/>
    <n v="3"/>
    <n v="2024"/>
    <d v="2024-03-03T00:00:00"/>
    <s v="March"/>
    <d v="2030-03-11T00:00:00"/>
    <x v="1"/>
    <n v="3"/>
    <n v="22677.1"/>
    <s v="Priyanka Pathak"/>
    <n v="38"/>
    <s v="Adult"/>
    <s v="AVG"/>
    <x v="18"/>
    <s v="Credit Card"/>
    <n v="3"/>
    <s v="Vivo S1"/>
    <n v="68031.299999999988"/>
    <s v="Average"/>
    <s v="Average"/>
  </r>
  <r>
    <s v="Bhav493077"/>
    <n v="3077"/>
    <n v="3"/>
    <n v="3"/>
    <n v="2024"/>
    <d v="2024-03-03T00:00:00"/>
    <s v="March"/>
    <d v="2030-03-12T00:00:00"/>
    <x v="2"/>
    <n v="4"/>
    <n v="38950.339999999997"/>
    <s v="Bhavana Kapoor"/>
    <n v="49"/>
    <s v="Senior Citezen"/>
    <s v="Good"/>
    <x v="1"/>
    <s v="Credit Card"/>
    <n v="4"/>
    <s v="OnePlus 8T"/>
    <n v="155801.35999999999"/>
    <s v="Good"/>
    <s v="Good"/>
  </r>
  <r>
    <s v="Hari283078"/>
    <n v="3078"/>
    <n v="3"/>
    <n v="3"/>
    <n v="2024"/>
    <d v="2024-03-03T00:00:00"/>
    <s v="March"/>
    <d v="2030-03-13T00:00:00"/>
    <x v="1"/>
    <n v="6"/>
    <n v="30466.16"/>
    <s v="Harish Kapoor"/>
    <n v="28"/>
    <s v="Teenagers"/>
    <s v="BAD"/>
    <x v="11"/>
    <s v="UPI"/>
    <n v="2"/>
    <s v="Vivo V20"/>
    <n v="182796.96"/>
    <s v="Average"/>
    <s v="Good"/>
  </r>
  <r>
    <s v="Ayes313079"/>
    <n v="3079"/>
    <n v="4"/>
    <n v="3"/>
    <n v="2024"/>
    <d v="2024-03-04T00:00:00"/>
    <s v="March"/>
    <d v="2030-03-14T00:00:00"/>
    <x v="0"/>
    <n v="7"/>
    <n v="42495.73"/>
    <s v="Ayesha Rathod"/>
    <n v="31"/>
    <s v="Adult"/>
    <s v="BAD"/>
    <x v="2"/>
    <s v="Credit Card"/>
    <n v="1"/>
    <s v="Mi 11"/>
    <n v="297470.11000000004"/>
    <s v="Average"/>
    <s v="Excellent"/>
  </r>
  <r>
    <s v="Suni283080"/>
    <n v="3080"/>
    <n v="4"/>
    <n v="3"/>
    <n v="2024"/>
    <d v="2024-03-04T00:00:00"/>
    <s v="March"/>
    <d v="2030-03-15T00:00:00"/>
    <x v="3"/>
    <n v="4"/>
    <n v="50511.360000000001"/>
    <s v="Sunil Menon"/>
    <n v="28"/>
    <s v="Teenagers"/>
    <s v="Good"/>
    <x v="9"/>
    <s v="Cash"/>
    <n v="4"/>
    <s v="Galaxy Note 20"/>
    <n v="202045.44"/>
    <s v="Good"/>
    <s v="Excellent"/>
  </r>
  <r>
    <s v="Adit193081"/>
    <n v="3081"/>
    <n v="4"/>
    <n v="3"/>
    <n v="2024"/>
    <d v="2024-03-04T00:00:00"/>
    <s v="March"/>
    <d v="2030-03-16T00:00:00"/>
    <x v="0"/>
    <n v="4"/>
    <n v="47998.73"/>
    <s v="Aditya Patel"/>
    <n v="19"/>
    <s v="Teenagers"/>
    <s v="BAD"/>
    <x v="13"/>
    <s v="UPI"/>
    <n v="1"/>
    <s v="Mi 11"/>
    <n v="191994.92"/>
    <s v="Average"/>
    <s v="Good"/>
  </r>
  <r>
    <s v="Adit513082"/>
    <n v="3082"/>
    <n v="4"/>
    <n v="3"/>
    <n v="2024"/>
    <d v="2024-03-04T00:00:00"/>
    <s v="March"/>
    <d v="2030-03-17T00:00:00"/>
    <x v="4"/>
    <n v="7"/>
    <n v="37749.410000000003"/>
    <s v="Aditya Jain"/>
    <n v="51"/>
    <s v="Senior Citezen"/>
    <s v="BAD"/>
    <x v="3"/>
    <s v="Debit Card"/>
    <n v="1"/>
    <s v="iPhone 12"/>
    <n v="264245.87"/>
    <s v="Average"/>
    <s v="Excellent"/>
  </r>
  <r>
    <s v="Pras343083"/>
    <n v="3083"/>
    <n v="5"/>
    <n v="3"/>
    <n v="2024"/>
    <d v="2024-03-05T00:00:00"/>
    <s v="March"/>
    <d v="2030-03-18T00:00:00"/>
    <x v="2"/>
    <n v="6"/>
    <n v="43363.15"/>
    <s v="Prashant Arora"/>
    <n v="34"/>
    <s v="Adult"/>
    <s v="AVG"/>
    <x v="3"/>
    <s v="Debit Card"/>
    <n v="3"/>
    <s v="OnePlus 9"/>
    <n v="260178.90000000002"/>
    <s v="Average"/>
    <s v="Excellent"/>
  </r>
  <r>
    <s v="Mala313084"/>
    <n v="3084"/>
    <n v="5"/>
    <n v="3"/>
    <n v="2024"/>
    <d v="2024-03-05T00:00:00"/>
    <s v="March"/>
    <d v="2030-03-19T00:00:00"/>
    <x v="1"/>
    <n v="8"/>
    <n v="27091.37"/>
    <s v="Mala Das"/>
    <n v="31"/>
    <s v="Adult"/>
    <s v="Good"/>
    <x v="13"/>
    <s v="Debit Card"/>
    <n v="4"/>
    <s v="Vivo Y51"/>
    <n v="216730.96"/>
    <s v="Good"/>
    <s v="Excellent"/>
  </r>
  <r>
    <s v="Neet423085"/>
    <n v="3085"/>
    <n v="5"/>
    <n v="3"/>
    <n v="2024"/>
    <d v="2024-03-05T00:00:00"/>
    <s v="March"/>
    <d v="2030-03-20T00:00:00"/>
    <x v="4"/>
    <n v="1"/>
    <n v="11454.42"/>
    <s v="Neeta Patel"/>
    <n v="42"/>
    <s v="Adult"/>
    <s v="AVG"/>
    <x v="9"/>
    <s v="Credit Card"/>
    <n v="3"/>
    <s v="iPhone SE"/>
    <n v="11454.42"/>
    <s v="Average"/>
    <s v="Low"/>
  </r>
  <r>
    <s v="Vija443086"/>
    <n v="3086"/>
    <n v="6"/>
    <n v="3"/>
    <n v="2024"/>
    <d v="2024-03-06T00:00:00"/>
    <s v="March"/>
    <d v="2030-03-21T00:00:00"/>
    <x v="1"/>
    <n v="7"/>
    <n v="47501.17"/>
    <s v="Vijay Sheth"/>
    <n v="44"/>
    <s v="Adult"/>
    <s v="Good"/>
    <x v="2"/>
    <s v="UPI"/>
    <n v="5"/>
    <s v="Vivo Y51"/>
    <n v="332508.19"/>
    <s v="Good"/>
    <s v="Excellent"/>
  </r>
  <r>
    <s v="Isha253087"/>
    <n v="3087"/>
    <n v="6"/>
    <n v="3"/>
    <n v="2024"/>
    <d v="2024-03-06T00:00:00"/>
    <s v="March"/>
    <d v="2030-03-22T00:00:00"/>
    <x v="3"/>
    <n v="7"/>
    <n v="25154.11"/>
    <s v="Isha Ghosh"/>
    <n v="25"/>
    <s v="Teenagers"/>
    <s v="BAD"/>
    <x v="1"/>
    <s v="Credit Card"/>
    <n v="1"/>
    <s v="Galaxy S21"/>
    <n v="176078.77000000002"/>
    <s v="Average"/>
    <s v="Good"/>
  </r>
  <r>
    <s v="Ayes343088"/>
    <n v="3088"/>
    <n v="6"/>
    <n v="3"/>
    <n v="2024"/>
    <d v="2024-03-06T00:00:00"/>
    <s v="March"/>
    <d v="2030-03-23T00:00:00"/>
    <x v="3"/>
    <n v="7"/>
    <n v="50137.22"/>
    <s v="Ayesha Thakur"/>
    <n v="34"/>
    <s v="Adult"/>
    <s v="Good"/>
    <x v="9"/>
    <s v="Cash"/>
    <n v="4"/>
    <s v="Galaxy A51"/>
    <n v="350960.54000000004"/>
    <s v="Good"/>
    <s v="Excellent"/>
  </r>
  <r>
    <s v="Pras223089"/>
    <n v="3089"/>
    <n v="7"/>
    <n v="3"/>
    <n v="2024"/>
    <d v="2024-03-07T00:00:00"/>
    <s v="March"/>
    <d v="2030-03-24T00:00:00"/>
    <x v="3"/>
    <n v="7"/>
    <n v="54820.51"/>
    <s v="Prashant Gupta"/>
    <n v="22"/>
    <s v="Teenagers"/>
    <s v="BAD"/>
    <x v="1"/>
    <s v="UPI"/>
    <n v="2"/>
    <s v="Galaxy A51"/>
    <n v="383743.57"/>
    <s v="Average"/>
    <s v="Excellent"/>
  </r>
  <r>
    <s v="Pooj293090"/>
    <n v="3090"/>
    <n v="7"/>
    <n v="3"/>
    <n v="2024"/>
    <d v="2024-03-07T00:00:00"/>
    <s v="March"/>
    <d v="2030-03-25T00:00:00"/>
    <x v="1"/>
    <n v="8"/>
    <n v="64955.66"/>
    <s v="Pooja Chatterjee"/>
    <n v="29"/>
    <s v="Teenagers"/>
    <s v="AVG"/>
    <x v="12"/>
    <s v="Credit Card"/>
    <n v="3"/>
    <s v="Vivo V20"/>
    <n v="519645.28"/>
    <s v="Average"/>
    <s v="Excellent"/>
  </r>
  <r>
    <s v="Meen553091"/>
    <n v="3091"/>
    <n v="7"/>
    <n v="3"/>
    <n v="2024"/>
    <d v="2024-03-07T00:00:00"/>
    <s v="March"/>
    <d v="2030-03-26T00:00:00"/>
    <x v="4"/>
    <n v="9"/>
    <n v="67487.37"/>
    <s v="Meena Prasad"/>
    <n v="55"/>
    <s v="Senior Citezen"/>
    <s v="Good"/>
    <x v="13"/>
    <s v="Debit Card"/>
    <n v="5"/>
    <s v="iPhone 12"/>
    <n v="607386.32999999996"/>
    <s v="Good"/>
    <s v="Excellent"/>
  </r>
  <r>
    <s v="Bhav353092"/>
    <n v="3092"/>
    <n v="8"/>
    <n v="3"/>
    <n v="2024"/>
    <d v="2024-03-08T00:00:00"/>
    <s v="March"/>
    <d v="2030-03-27T00:00:00"/>
    <x v="3"/>
    <n v="9"/>
    <n v="10631.56"/>
    <s v="Bhavana Siddiqui"/>
    <n v="35"/>
    <s v="Adult"/>
    <s v="Good"/>
    <x v="13"/>
    <s v="Debit Card"/>
    <n v="5"/>
    <s v="Galaxy Note 20"/>
    <n v="95684.04"/>
    <s v="Good"/>
    <s v="Average"/>
  </r>
  <r>
    <s v="Vive433093"/>
    <n v="3093"/>
    <n v="8"/>
    <n v="3"/>
    <n v="2024"/>
    <d v="2024-03-08T00:00:00"/>
    <s v="March"/>
    <d v="2030-03-28T00:00:00"/>
    <x v="4"/>
    <n v="2"/>
    <n v="69422.45"/>
    <s v="Vivek Alva"/>
    <n v="43"/>
    <s v="Adult"/>
    <s v="Good"/>
    <x v="1"/>
    <s v="Cash"/>
    <n v="5"/>
    <s v="iPhone 12"/>
    <n v="138844.9"/>
    <s v="Good"/>
    <s v="Good"/>
  </r>
  <r>
    <s v="Kavi483094"/>
    <n v="3094"/>
    <n v="8"/>
    <n v="3"/>
    <n v="2024"/>
    <d v="2024-03-08T00:00:00"/>
    <s v="March"/>
    <d v="2030-03-29T00:00:00"/>
    <x v="1"/>
    <n v="7"/>
    <n v="50981.1"/>
    <s v="Kavita Desai"/>
    <n v="48"/>
    <s v="Senior Citezen"/>
    <s v="AVG"/>
    <x v="10"/>
    <s v="Cash"/>
    <n v="3"/>
    <s v="Vivo S1"/>
    <n v="356867.7"/>
    <s v="Average"/>
    <s v="Excellent"/>
  </r>
  <r>
    <s v="Anja543095"/>
    <n v="3095"/>
    <n v="8"/>
    <n v="3"/>
    <n v="2024"/>
    <d v="2024-03-08T00:00:00"/>
    <s v="March"/>
    <d v="2030-03-30T00:00:00"/>
    <x v="4"/>
    <n v="7"/>
    <n v="48611.45"/>
    <s v="Anjali Jain"/>
    <n v="54"/>
    <s v="Senior Citezen"/>
    <s v="BAD"/>
    <x v="1"/>
    <s v="Cash"/>
    <n v="2"/>
    <s v="iPhone 11"/>
    <n v="340280.14999999997"/>
    <s v="Average"/>
    <s v="Excellent"/>
  </r>
  <r>
    <s v="Arun233096"/>
    <n v="3096"/>
    <n v="9"/>
    <n v="3"/>
    <n v="2024"/>
    <d v="2024-03-09T00:00:00"/>
    <s v="March"/>
    <d v="2030-03-31T00:00:00"/>
    <x v="1"/>
    <n v="4"/>
    <n v="10912.79"/>
    <s v="Arun Luthra"/>
    <n v="23"/>
    <s v="Teenagers"/>
    <s v="Good"/>
    <x v="2"/>
    <s v="Debit Card"/>
    <n v="4"/>
    <s v="Vivo Y51"/>
    <n v="43651.16"/>
    <s v="Good"/>
    <s v="Low"/>
  </r>
  <r>
    <s v="Meen583097"/>
    <n v="3097"/>
    <n v="9"/>
    <n v="3"/>
    <n v="2024"/>
    <d v="2024-03-09T00:00:00"/>
    <s v="March"/>
    <d v="2030-04-01T00:00:00"/>
    <x v="1"/>
    <n v="9"/>
    <n v="61674"/>
    <s v="Meena Malhotra"/>
    <n v="58"/>
    <s v="Senior Citezen"/>
    <s v="BAD"/>
    <x v="10"/>
    <s v="Credit Card"/>
    <n v="1"/>
    <s v="Vivo S1"/>
    <n v="555066"/>
    <s v="Average"/>
    <s v="Excellent"/>
  </r>
  <r>
    <s v="Anit323098"/>
    <n v="3098"/>
    <n v="9"/>
    <n v="3"/>
    <n v="2024"/>
    <d v="2024-03-09T00:00:00"/>
    <s v="March"/>
    <d v="2030-04-02T00:00:00"/>
    <x v="2"/>
    <n v="8"/>
    <n v="18729.490000000002"/>
    <s v="Anita Ghosh"/>
    <n v="32"/>
    <s v="Adult"/>
    <s v="BAD"/>
    <x v="14"/>
    <s v="Debit Card"/>
    <n v="2"/>
    <s v="OnePlus 9"/>
    <n v="149835.92000000001"/>
    <s v="Average"/>
    <s v="Good"/>
  </r>
  <r>
    <s v="Priy593099"/>
    <n v="3099"/>
    <n v="10"/>
    <n v="3"/>
    <n v="2024"/>
    <d v="2024-03-10T00:00:00"/>
    <s v="March"/>
    <d v="2030-04-03T00:00:00"/>
    <x v="1"/>
    <n v="1"/>
    <n v="60239.81"/>
    <s v="Priya Roy"/>
    <n v="59"/>
    <s v="Senior Citezen"/>
    <s v="AVG"/>
    <x v="0"/>
    <s v="Debit Card"/>
    <n v="3"/>
    <s v="Vivo Y51"/>
    <n v="60239.81"/>
    <s v="Average"/>
    <s v="Average"/>
  </r>
  <r>
    <s v="Nikh433100"/>
    <n v="3100"/>
    <n v="10"/>
    <n v="3"/>
    <n v="2024"/>
    <d v="2024-03-10T00:00:00"/>
    <s v="March"/>
    <d v="2030-04-04T00:00:00"/>
    <x v="1"/>
    <n v="2"/>
    <n v="10933.75"/>
    <s v="Nikhil Pathak"/>
    <n v="43"/>
    <s v="Adult"/>
    <s v="Good"/>
    <x v="15"/>
    <s v="Debit Card"/>
    <n v="4"/>
    <s v="Vivo S1"/>
    <n v="21867.5"/>
    <s v="Good"/>
    <s v="Low"/>
  </r>
  <r>
    <s v="Ayes293101"/>
    <n v="3101"/>
    <n v="10"/>
    <n v="3"/>
    <n v="2024"/>
    <d v="2024-03-10T00:00:00"/>
    <s v="March"/>
    <d v="2030-04-05T00:00:00"/>
    <x v="0"/>
    <n v="2"/>
    <n v="48757.86"/>
    <s v="Ayesha Dutta"/>
    <n v="29"/>
    <s v="Teenagers"/>
    <s v="BAD"/>
    <x v="14"/>
    <s v="Credit Card"/>
    <n v="1"/>
    <s v="Redmi 9"/>
    <n v="97515.72"/>
    <s v="Average"/>
    <s v="Average"/>
  </r>
  <r>
    <s v="Bhav583102"/>
    <n v="3102"/>
    <n v="10"/>
    <n v="3"/>
    <n v="2024"/>
    <d v="2024-03-10T00:00:00"/>
    <s v="March"/>
    <d v="2030-04-06T00:00:00"/>
    <x v="3"/>
    <n v="8"/>
    <n v="36088.089999999997"/>
    <s v="Bhavana Mathur"/>
    <n v="58"/>
    <s v="Senior Citezen"/>
    <s v="Good"/>
    <x v="2"/>
    <s v="Debit Card"/>
    <n v="4"/>
    <s v="Galaxy A51"/>
    <n v="288704.71999999997"/>
    <s v="Good"/>
    <s v="Excellent"/>
  </r>
  <r>
    <s v="Sumi313103"/>
    <n v="3103"/>
    <n v="11"/>
    <n v="3"/>
    <n v="2024"/>
    <d v="2024-03-11T00:00:00"/>
    <s v="March"/>
    <d v="2030-04-07T00:00:00"/>
    <x v="2"/>
    <n v="1"/>
    <n v="22046"/>
    <s v="Sumit Goyal"/>
    <n v="31"/>
    <s v="Adult"/>
    <s v="BAD"/>
    <x v="1"/>
    <s v="Cash"/>
    <n v="1"/>
    <s v="OnePlus 9"/>
    <n v="22046"/>
    <s v="Average"/>
    <s v="Low"/>
  </r>
  <r>
    <s v="Mano183104"/>
    <n v="3104"/>
    <n v="11"/>
    <n v="3"/>
    <n v="2024"/>
    <d v="2024-03-11T00:00:00"/>
    <s v="March"/>
    <d v="2030-04-08T00:00:00"/>
    <x v="2"/>
    <n v="4"/>
    <n v="16453.68"/>
    <s v="Manoj Shah"/>
    <n v="18"/>
    <s v="Teenagers"/>
    <s v="BAD"/>
    <x v="8"/>
    <s v="Cash"/>
    <n v="1"/>
    <s v="OnePlus 9"/>
    <n v="65814.720000000001"/>
    <s v="Average"/>
    <s v="Average"/>
  </r>
  <r>
    <s v="Shru343105"/>
    <n v="3105"/>
    <n v="11"/>
    <n v="3"/>
    <n v="2024"/>
    <d v="2024-03-11T00:00:00"/>
    <s v="March"/>
    <d v="2030-04-09T00:00:00"/>
    <x v="2"/>
    <n v="5"/>
    <n v="36407.660000000003"/>
    <s v="Shruti Menon"/>
    <n v="34"/>
    <s v="Adult"/>
    <s v="Good"/>
    <x v="2"/>
    <s v="Cash"/>
    <n v="5"/>
    <s v="OnePlus 9"/>
    <n v="182038.30000000002"/>
    <s v="Good"/>
    <s v="Good"/>
  </r>
  <r>
    <s v="Amit503106"/>
    <n v="3106"/>
    <n v="11"/>
    <n v="3"/>
    <n v="2024"/>
    <d v="2024-03-11T00:00:00"/>
    <s v="March"/>
    <d v="2030-04-10T00:00:00"/>
    <x v="0"/>
    <n v="9"/>
    <n v="17398.349999999999"/>
    <s v="Amit Prasad"/>
    <n v="50"/>
    <s v="Senior Citezen"/>
    <s v="AVG"/>
    <x v="18"/>
    <s v="Cash"/>
    <n v="3"/>
    <s v="Redmi Note 10"/>
    <n v="156585.15"/>
    <s v="Average"/>
    <s v="Good"/>
  </r>
  <r>
    <s v="Vive463107"/>
    <n v="3107"/>
    <n v="12"/>
    <n v="3"/>
    <n v="2024"/>
    <d v="2024-03-12T00:00:00"/>
    <s v="March"/>
    <d v="2030-04-11T00:00:00"/>
    <x v="1"/>
    <n v="7"/>
    <n v="39186.800000000003"/>
    <s v="Vivek Deshmukh"/>
    <n v="46"/>
    <s v="Senior Citezen"/>
    <s v="BAD"/>
    <x v="1"/>
    <s v="Debit Card"/>
    <n v="2"/>
    <s v="Vivo S1"/>
    <n v="274307.60000000003"/>
    <s v="Average"/>
    <s v="Excellent"/>
  </r>
  <r>
    <s v="Adit483108"/>
    <n v="3108"/>
    <n v="12"/>
    <n v="3"/>
    <n v="2024"/>
    <d v="2024-03-12T00:00:00"/>
    <s v="March"/>
    <d v="2030-04-12T00:00:00"/>
    <x v="3"/>
    <n v="8"/>
    <n v="47513.02"/>
    <s v="Aditya Luthra"/>
    <n v="48"/>
    <s v="Senior Citezen"/>
    <s v="Good"/>
    <x v="17"/>
    <s v="Debit Card"/>
    <n v="5"/>
    <s v="Galaxy Note 20"/>
    <n v="380104.16"/>
    <s v="Good"/>
    <s v="Excellent"/>
  </r>
  <r>
    <s v="Amit253109"/>
    <n v="3109"/>
    <n v="12"/>
    <n v="3"/>
    <n v="2024"/>
    <d v="2024-03-12T00:00:00"/>
    <s v="March"/>
    <d v="2030-04-13T00:00:00"/>
    <x v="4"/>
    <n v="9"/>
    <n v="59643.05"/>
    <s v="Amit Teja"/>
    <n v="25"/>
    <s v="Teenagers"/>
    <s v="Good"/>
    <x v="15"/>
    <s v="Debit Card"/>
    <n v="5"/>
    <s v="iPhone SE"/>
    <n v="536787.45000000007"/>
    <s v="Good"/>
    <s v="Excellent"/>
  </r>
  <r>
    <s v="Mala473110"/>
    <n v="3110"/>
    <n v="13"/>
    <n v="3"/>
    <n v="2024"/>
    <d v="2024-03-13T00:00:00"/>
    <s v="March"/>
    <d v="2030-04-14T00:00:00"/>
    <x v="1"/>
    <n v="7"/>
    <n v="50718.97"/>
    <s v="Mala Malhotra"/>
    <n v="47"/>
    <s v="Senior Citezen"/>
    <s v="Good"/>
    <x v="1"/>
    <s v="Cash"/>
    <n v="4"/>
    <s v="Vivo Y51"/>
    <n v="355032.79000000004"/>
    <s v="Good"/>
    <s v="Excellent"/>
  </r>
  <r>
    <s v="Pank303111"/>
    <n v="3111"/>
    <n v="13"/>
    <n v="3"/>
    <n v="2024"/>
    <d v="2024-03-13T00:00:00"/>
    <s v="March"/>
    <d v="2030-04-15T00:00:00"/>
    <x v="0"/>
    <n v="5"/>
    <n v="13911.99"/>
    <s v="Pankaj Bhattacharya"/>
    <n v="30"/>
    <s v="Teenagers"/>
    <s v="BAD"/>
    <x v="2"/>
    <s v="Credit Card"/>
    <n v="1"/>
    <s v="Mi 11"/>
    <n v="69559.95"/>
    <s v="Average"/>
    <s v="Average"/>
  </r>
  <r>
    <s v="Deve333112"/>
    <n v="3112"/>
    <n v="13"/>
    <n v="3"/>
    <n v="2024"/>
    <d v="2024-03-13T00:00:00"/>
    <s v="March"/>
    <d v="2030-04-16T00:00:00"/>
    <x v="1"/>
    <n v="5"/>
    <n v="28445.95"/>
    <s v="Devendra Mathur"/>
    <n v="33"/>
    <s v="Adult"/>
    <s v="BAD"/>
    <x v="1"/>
    <s v="UPI"/>
    <n v="1"/>
    <s v="Vivo Y51"/>
    <n v="142229.75"/>
    <s v="Average"/>
    <s v="Good"/>
  </r>
  <r>
    <s v="Hari193113"/>
    <n v="3113"/>
    <n v="14"/>
    <n v="3"/>
    <n v="2024"/>
    <d v="2024-03-14T00:00:00"/>
    <s v="March"/>
    <d v="2030-04-17T00:00:00"/>
    <x v="1"/>
    <n v="6"/>
    <n v="27278.720000000001"/>
    <s v="Harish Kaur"/>
    <n v="19"/>
    <s v="Teenagers"/>
    <s v="Good"/>
    <x v="10"/>
    <s v="UPI"/>
    <n v="4"/>
    <s v="Vivo V20"/>
    <n v="163672.32000000001"/>
    <s v="Good"/>
    <s v="Good"/>
  </r>
  <r>
    <s v="Pank353114"/>
    <n v="3114"/>
    <n v="14"/>
    <n v="3"/>
    <n v="2024"/>
    <d v="2024-03-14T00:00:00"/>
    <s v="March"/>
    <d v="2030-04-18T00:00:00"/>
    <x v="0"/>
    <n v="5"/>
    <n v="64901.95"/>
    <s v="Pankaj Varma"/>
    <n v="35"/>
    <s v="Adult"/>
    <s v="AVG"/>
    <x v="1"/>
    <s v="UPI"/>
    <n v="3"/>
    <s v="Redmi 9"/>
    <n v="324509.75"/>
    <s v="Average"/>
    <s v="Excellent"/>
  </r>
  <r>
    <s v="Anit523115"/>
    <n v="3115"/>
    <n v="14"/>
    <n v="3"/>
    <n v="2024"/>
    <d v="2024-03-14T00:00:00"/>
    <s v="March"/>
    <d v="2030-04-19T00:00:00"/>
    <x v="2"/>
    <n v="9"/>
    <n v="62066.92"/>
    <s v="Anita Mathur"/>
    <n v="52"/>
    <s v="Senior Citezen"/>
    <s v="BAD"/>
    <x v="6"/>
    <s v="Credit Card"/>
    <n v="1"/>
    <s v="OnePlus 8T"/>
    <n v="558602.28"/>
    <s v="Average"/>
    <s v="Excellent"/>
  </r>
  <r>
    <s v="Priy363116"/>
    <n v="3116"/>
    <n v="14"/>
    <n v="3"/>
    <n v="2024"/>
    <d v="2024-03-14T00:00:00"/>
    <s v="March"/>
    <d v="2030-04-20T00:00:00"/>
    <x v="2"/>
    <n v="3"/>
    <n v="32208.880000000001"/>
    <s v="Priyanka Dutta"/>
    <n v="36"/>
    <s v="Adult"/>
    <s v="Good"/>
    <x v="2"/>
    <s v="Debit Card"/>
    <n v="5"/>
    <s v="OnePlus Nord"/>
    <n v="96626.64"/>
    <s v="Good"/>
    <s v="Average"/>
  </r>
  <r>
    <s v="Priy303117"/>
    <n v="3117"/>
    <n v="15"/>
    <n v="3"/>
    <n v="2024"/>
    <d v="2024-03-15T00:00:00"/>
    <s v="March"/>
    <d v="2030-04-21T00:00:00"/>
    <x v="3"/>
    <n v="3"/>
    <n v="14269.32"/>
    <s v="Priyanka Teja"/>
    <n v="30"/>
    <s v="Teenagers"/>
    <s v="Good"/>
    <x v="16"/>
    <s v="UPI"/>
    <n v="5"/>
    <s v="Galaxy S21"/>
    <n v="42807.96"/>
    <s v="Good"/>
    <s v="Low"/>
  </r>
  <r>
    <s v="Nikh213118"/>
    <n v="3118"/>
    <n v="15"/>
    <n v="3"/>
    <n v="2024"/>
    <d v="2024-03-15T00:00:00"/>
    <s v="March"/>
    <d v="2030-04-22T00:00:00"/>
    <x v="3"/>
    <n v="7"/>
    <n v="63646.44"/>
    <s v="Nikhil Menon"/>
    <n v="21"/>
    <s v="Teenagers"/>
    <s v="BAD"/>
    <x v="1"/>
    <s v="UPI"/>
    <n v="1"/>
    <s v="Galaxy Note 20"/>
    <n v="445525.08"/>
    <s v="Average"/>
    <s v="Excellent"/>
  </r>
  <r>
    <s v="Kavi363119"/>
    <n v="3119"/>
    <n v="15"/>
    <n v="3"/>
    <n v="2024"/>
    <d v="2024-03-15T00:00:00"/>
    <s v="March"/>
    <d v="2030-04-23T00:00:00"/>
    <x v="2"/>
    <n v="7"/>
    <n v="63291.4"/>
    <s v="Kavita Teja"/>
    <n v="36"/>
    <s v="Adult"/>
    <s v="BAD"/>
    <x v="1"/>
    <s v="Debit Card"/>
    <n v="1"/>
    <s v="OnePlus 9"/>
    <n v="443039.8"/>
    <s v="Average"/>
    <s v="Excellent"/>
  </r>
  <r>
    <s v="Roha423120"/>
    <n v="3120"/>
    <n v="15"/>
    <n v="3"/>
    <n v="2024"/>
    <d v="2024-03-15T00:00:00"/>
    <s v="March"/>
    <d v="2030-04-24T00:00:00"/>
    <x v="4"/>
    <n v="6"/>
    <n v="61284.77"/>
    <s v="Rohan Dutta"/>
    <n v="42"/>
    <s v="Adult"/>
    <s v="AVG"/>
    <x v="3"/>
    <s v="UPI"/>
    <n v="3"/>
    <s v="iPhone 12"/>
    <n v="367708.62"/>
    <s v="Average"/>
    <s v="Excellent"/>
  </r>
  <r>
    <s v="Nami553121"/>
    <n v="3121"/>
    <n v="16"/>
    <n v="3"/>
    <n v="2024"/>
    <d v="2024-03-16T00:00:00"/>
    <s v="March"/>
    <d v="2030-04-25T00:00:00"/>
    <x v="1"/>
    <n v="3"/>
    <n v="60704.9"/>
    <s v="Namita Reddy"/>
    <n v="55"/>
    <s v="Senior Citezen"/>
    <s v="BAD"/>
    <x v="2"/>
    <s v="Debit Card"/>
    <n v="1"/>
    <s v="Vivo S1"/>
    <n v="182114.7"/>
    <s v="Average"/>
    <s v="Good"/>
  </r>
  <r>
    <s v="Moni483122"/>
    <n v="3122"/>
    <n v="16"/>
    <n v="3"/>
    <n v="2024"/>
    <d v="2024-03-16T00:00:00"/>
    <s v="March"/>
    <d v="2030-04-26T00:00:00"/>
    <x v="4"/>
    <n v="7"/>
    <n v="38815.24"/>
    <s v="Monika Nambiar"/>
    <n v="48"/>
    <s v="Senior Citezen"/>
    <s v="AVG"/>
    <x v="1"/>
    <s v="UPI"/>
    <n v="3"/>
    <s v="iPhone 11"/>
    <n v="271706.68"/>
    <s v="Average"/>
    <s v="Excellent"/>
  </r>
  <r>
    <s v="Ravi533123"/>
    <n v="3123"/>
    <n v="16"/>
    <n v="3"/>
    <n v="2024"/>
    <d v="2024-03-16T00:00:00"/>
    <s v="March"/>
    <d v="2030-04-27T00:00:00"/>
    <x v="1"/>
    <n v="5"/>
    <n v="20645.900000000001"/>
    <s v="Ravi Dutta"/>
    <n v="53"/>
    <s v="Senior Citezen"/>
    <s v="Good"/>
    <x v="18"/>
    <s v="Debit Card"/>
    <n v="5"/>
    <s v="Vivo V20"/>
    <n v="103229.5"/>
    <s v="Good"/>
    <s v="Good"/>
  </r>
  <r>
    <s v="Anit213124"/>
    <n v="3124"/>
    <n v="17"/>
    <n v="3"/>
    <n v="2024"/>
    <d v="2024-03-17T00:00:00"/>
    <s v="March"/>
    <d v="2030-04-28T00:00:00"/>
    <x v="2"/>
    <n v="7"/>
    <n v="38649.279999999999"/>
    <s v="Anita Pillai"/>
    <n v="21"/>
    <s v="Teenagers"/>
    <s v="AVG"/>
    <x v="2"/>
    <s v="Cash"/>
    <n v="3"/>
    <s v="OnePlus Nord"/>
    <n v="270544.95999999996"/>
    <s v="Average"/>
    <s v="Excellent"/>
  </r>
  <r>
    <s v="Priy563125"/>
    <n v="3125"/>
    <n v="17"/>
    <n v="3"/>
    <n v="2024"/>
    <d v="2024-03-17T00:00:00"/>
    <s v="March"/>
    <d v="2030-04-29T00:00:00"/>
    <x v="3"/>
    <n v="2"/>
    <n v="39675.870000000003"/>
    <s v="Priya Thakur"/>
    <n v="56"/>
    <s v="Senior Citezen"/>
    <s v="BAD"/>
    <x v="1"/>
    <s v="Credit Card"/>
    <n v="1"/>
    <s v="Galaxy Note 20"/>
    <n v="79351.740000000005"/>
    <s v="Average"/>
    <s v="Average"/>
  </r>
  <r>
    <s v="Hari243126"/>
    <n v="3126"/>
    <n v="17"/>
    <n v="3"/>
    <n v="2024"/>
    <d v="2024-03-17T00:00:00"/>
    <s v="March"/>
    <d v="2030-04-30T00:00:00"/>
    <x v="3"/>
    <n v="6"/>
    <n v="39395.910000000003"/>
    <s v="Harish Mishra"/>
    <n v="24"/>
    <s v="Teenagers"/>
    <s v="BAD"/>
    <x v="4"/>
    <s v="UPI"/>
    <n v="2"/>
    <s v="Galaxy Note 20"/>
    <n v="236375.46000000002"/>
    <s v="Average"/>
    <s v="Excellent"/>
  </r>
  <r>
    <s v="Bhav333127"/>
    <n v="3127"/>
    <n v="18"/>
    <n v="3"/>
    <n v="2024"/>
    <d v="2024-03-18T00:00:00"/>
    <s v="March"/>
    <d v="2030-05-01T00:00:00"/>
    <x v="4"/>
    <n v="8"/>
    <n v="42326.36"/>
    <s v="Bhavana Luthra"/>
    <n v="33"/>
    <s v="Adult"/>
    <s v="BAD"/>
    <x v="1"/>
    <s v="Debit Card"/>
    <n v="1"/>
    <s v="iPhone 12"/>
    <n v="338610.88"/>
    <s v="Average"/>
    <s v="Excellent"/>
  </r>
  <r>
    <s v="Moni223128"/>
    <n v="3128"/>
    <n v="18"/>
    <n v="3"/>
    <n v="2024"/>
    <d v="2024-03-18T00:00:00"/>
    <s v="March"/>
    <d v="2030-05-02T00:00:00"/>
    <x v="3"/>
    <n v="1"/>
    <n v="25459.42"/>
    <s v="Monika Ahuja"/>
    <n v="22"/>
    <s v="Teenagers"/>
    <s v="BAD"/>
    <x v="6"/>
    <s v="Cash"/>
    <n v="2"/>
    <s v="Galaxy S21"/>
    <n v="25459.42"/>
    <s v="Average"/>
    <s v="Low"/>
  </r>
  <r>
    <s v="Vija403129"/>
    <n v="3129"/>
    <n v="18"/>
    <n v="3"/>
    <n v="2024"/>
    <d v="2024-03-18T00:00:00"/>
    <s v="March"/>
    <d v="2030-05-03T00:00:00"/>
    <x v="2"/>
    <n v="4"/>
    <n v="31974.47"/>
    <s v="Vijay Rawat"/>
    <n v="40"/>
    <s v="Adult"/>
    <s v="Good"/>
    <x v="1"/>
    <s v="Debit Card"/>
    <n v="5"/>
    <s v="OnePlus 9"/>
    <n v="127897.88"/>
    <s v="Good"/>
    <s v="Good"/>
  </r>
  <r>
    <s v="Arun533130"/>
    <n v="3130"/>
    <n v="19"/>
    <n v="3"/>
    <n v="2024"/>
    <d v="2024-03-19T00:00:00"/>
    <s v="March"/>
    <d v="2030-05-04T00:00:00"/>
    <x v="4"/>
    <n v="1"/>
    <n v="36051.199999999997"/>
    <s v="Arun Gupta"/>
    <n v="53"/>
    <s v="Senior Citezen"/>
    <s v="Good"/>
    <x v="6"/>
    <s v="UPI"/>
    <n v="4"/>
    <s v="iPhone 12"/>
    <n v="36051.199999999997"/>
    <s v="Good"/>
    <s v="Low"/>
  </r>
  <r>
    <s v="Radh493131"/>
    <n v="3131"/>
    <n v="19"/>
    <n v="3"/>
    <n v="2024"/>
    <d v="2024-03-19T00:00:00"/>
    <s v="March"/>
    <d v="2030-05-05T00:00:00"/>
    <x v="1"/>
    <n v="1"/>
    <n v="17867.27"/>
    <s v="Radha Sheth"/>
    <n v="49"/>
    <s v="Senior Citezen"/>
    <s v="Good"/>
    <x v="1"/>
    <s v="UPI"/>
    <n v="5"/>
    <s v="Vivo Y51"/>
    <n v="17867.27"/>
    <s v="Good"/>
    <s v="Low"/>
  </r>
  <r>
    <s v="Nikh413132"/>
    <n v="3132"/>
    <n v="19"/>
    <n v="3"/>
    <n v="2024"/>
    <d v="2024-03-19T00:00:00"/>
    <s v="March"/>
    <d v="2030-05-06T00:00:00"/>
    <x v="3"/>
    <n v="8"/>
    <n v="37321.85"/>
    <s v="Nikhil Arora"/>
    <n v="41"/>
    <s v="Adult"/>
    <s v="Good"/>
    <x v="12"/>
    <s v="UPI"/>
    <n v="5"/>
    <s v="Galaxy S21"/>
    <n v="298574.8"/>
    <s v="Good"/>
    <s v="Excellent"/>
  </r>
  <r>
    <s v="Meen423133"/>
    <n v="3133"/>
    <n v="20"/>
    <n v="3"/>
    <n v="2024"/>
    <d v="2024-03-20T00:00:00"/>
    <s v="March"/>
    <d v="2030-05-07T00:00:00"/>
    <x v="0"/>
    <n v="7"/>
    <n v="58628.18"/>
    <s v="Meena Prasad"/>
    <n v="42"/>
    <s v="Adult"/>
    <s v="Good"/>
    <x v="2"/>
    <s v="UPI"/>
    <n v="5"/>
    <s v="Redmi Note 10"/>
    <n v="410397.26"/>
    <s v="Good"/>
    <s v="Excellent"/>
  </r>
  <r>
    <s v="Umes453134"/>
    <n v="3134"/>
    <n v="20"/>
    <n v="3"/>
    <n v="2024"/>
    <d v="2024-03-20T00:00:00"/>
    <s v="March"/>
    <d v="2030-05-08T00:00:00"/>
    <x v="3"/>
    <n v="1"/>
    <n v="59683.57"/>
    <s v="Umesh Nair"/>
    <n v="45"/>
    <s v="Adult"/>
    <s v="AVG"/>
    <x v="1"/>
    <s v="UPI"/>
    <n v="3"/>
    <s v="Galaxy S21"/>
    <n v="59683.57"/>
    <s v="Average"/>
    <s v="Average"/>
  </r>
  <r>
    <s v="Hari363135"/>
    <n v="3135"/>
    <n v="20"/>
    <n v="3"/>
    <n v="2024"/>
    <d v="2024-03-20T00:00:00"/>
    <s v="March"/>
    <d v="2030-05-09T00:00:00"/>
    <x v="1"/>
    <n v="2"/>
    <n v="34693.83"/>
    <s v="Harish Mehta"/>
    <n v="36"/>
    <s v="Adult"/>
    <s v="Good"/>
    <x v="7"/>
    <s v="Cash"/>
    <n v="5"/>
    <s v="Vivo Y51"/>
    <n v="69387.66"/>
    <s v="Good"/>
    <s v="Average"/>
  </r>
  <r>
    <s v="Suni243136"/>
    <n v="3136"/>
    <n v="21"/>
    <n v="3"/>
    <n v="2024"/>
    <d v="2024-03-21T00:00:00"/>
    <s v="March"/>
    <d v="2030-05-10T00:00:00"/>
    <x v="4"/>
    <n v="4"/>
    <n v="41128.5"/>
    <s v="Sunita Singh"/>
    <n v="24"/>
    <s v="Teenagers"/>
    <s v="Good"/>
    <x v="1"/>
    <s v="Debit Card"/>
    <n v="4"/>
    <s v="iPhone SE"/>
    <n v="164514"/>
    <s v="Good"/>
    <s v="Good"/>
  </r>
  <r>
    <s v="Nikh583137"/>
    <n v="3137"/>
    <n v="21"/>
    <n v="3"/>
    <n v="2024"/>
    <d v="2024-03-21T00:00:00"/>
    <s v="March"/>
    <d v="2030-05-11T00:00:00"/>
    <x v="1"/>
    <n v="1"/>
    <n v="12019.02"/>
    <s v="Nikhil Luthra"/>
    <n v="58"/>
    <s v="Senior Citezen"/>
    <s v="BAD"/>
    <x v="16"/>
    <s v="Debit Card"/>
    <n v="1"/>
    <s v="Vivo S1"/>
    <n v="12019.02"/>
    <s v="Average"/>
    <s v="Low"/>
  </r>
  <r>
    <s v="Priy343138"/>
    <n v="3138"/>
    <n v="21"/>
    <n v="3"/>
    <n v="2024"/>
    <d v="2024-03-21T00:00:00"/>
    <s v="March"/>
    <d v="2030-05-12T00:00:00"/>
    <x v="0"/>
    <n v="3"/>
    <n v="50465.95"/>
    <s v="Priyanka Patel"/>
    <n v="34"/>
    <s v="Adult"/>
    <s v="BAD"/>
    <x v="5"/>
    <s v="UPI"/>
    <n v="2"/>
    <s v="Mi 11"/>
    <n v="151397.84999999998"/>
    <s v="Average"/>
    <s v="Good"/>
  </r>
  <r>
    <s v="Shru193139"/>
    <n v="3139"/>
    <n v="21"/>
    <n v="3"/>
    <n v="2024"/>
    <d v="2024-03-21T00:00:00"/>
    <s v="March"/>
    <d v="2030-05-13T00:00:00"/>
    <x v="2"/>
    <n v="8"/>
    <n v="34276.35"/>
    <s v="Shruti Sharma"/>
    <n v="19"/>
    <s v="Teenagers"/>
    <s v="Good"/>
    <x v="2"/>
    <s v="Debit Card"/>
    <n v="5"/>
    <s v="OnePlus Nord"/>
    <n v="274210.8"/>
    <s v="Good"/>
    <s v="Excellent"/>
  </r>
  <r>
    <s v="Priy333140"/>
    <n v="3140"/>
    <n v="22"/>
    <n v="3"/>
    <n v="2024"/>
    <d v="2024-03-22T00:00:00"/>
    <s v="March"/>
    <d v="2030-05-14T00:00:00"/>
    <x v="3"/>
    <n v="8"/>
    <n v="36728.660000000003"/>
    <s v="Priyanka Pillai"/>
    <n v="33"/>
    <s v="Adult"/>
    <s v="BAD"/>
    <x v="1"/>
    <s v="Cash"/>
    <n v="2"/>
    <s v="Galaxy Note 20"/>
    <n v="293829.28000000003"/>
    <s v="Average"/>
    <s v="Excellent"/>
  </r>
  <r>
    <s v="Ravi563141"/>
    <n v="3141"/>
    <n v="22"/>
    <n v="3"/>
    <n v="2024"/>
    <d v="2024-03-22T00:00:00"/>
    <s v="March"/>
    <d v="2030-05-15T00:00:00"/>
    <x v="4"/>
    <n v="8"/>
    <n v="62420.36"/>
    <s v="Ravi Sharma"/>
    <n v="56"/>
    <s v="Senior Citezen"/>
    <s v="Good"/>
    <x v="2"/>
    <s v="UPI"/>
    <n v="5"/>
    <s v="iPhone 12"/>
    <n v="499362.88"/>
    <s v="Good"/>
    <s v="Excellent"/>
  </r>
  <r>
    <s v="Reen353142"/>
    <n v="3142"/>
    <n v="22"/>
    <n v="3"/>
    <n v="2024"/>
    <d v="2024-03-22T00:00:00"/>
    <s v="March"/>
    <d v="2030-05-16T00:00:00"/>
    <x v="2"/>
    <n v="6"/>
    <n v="37710.07"/>
    <s v="Reena Dutta"/>
    <n v="35"/>
    <s v="Adult"/>
    <s v="AVG"/>
    <x v="1"/>
    <s v="Credit Card"/>
    <n v="3"/>
    <s v="OnePlus Nord"/>
    <n v="226260.41999999998"/>
    <s v="Average"/>
    <s v="Excellent"/>
  </r>
  <r>
    <s v="Arun563143"/>
    <n v="3143"/>
    <n v="22"/>
    <n v="3"/>
    <n v="2024"/>
    <d v="2024-03-22T00:00:00"/>
    <s v="March"/>
    <d v="2030-05-17T00:00:00"/>
    <x v="1"/>
    <n v="6"/>
    <n v="11271.53"/>
    <s v="Arun Deshmukh"/>
    <n v="56"/>
    <s v="Senior Citezen"/>
    <s v="BAD"/>
    <x v="2"/>
    <s v="Cash"/>
    <n v="2"/>
    <s v="Vivo Y51"/>
    <n v="67629.180000000008"/>
    <s v="Average"/>
    <s v="Average"/>
  </r>
  <r>
    <s v="Hari183144"/>
    <n v="3144"/>
    <n v="23"/>
    <n v="3"/>
    <n v="2024"/>
    <d v="2024-03-23T00:00:00"/>
    <s v="March"/>
    <d v="2030-05-18T00:00:00"/>
    <x v="4"/>
    <n v="5"/>
    <n v="23649.45"/>
    <s v="Harish Solanki"/>
    <n v="18"/>
    <s v="Teenagers"/>
    <s v="Good"/>
    <x v="2"/>
    <s v="UPI"/>
    <n v="5"/>
    <s v="iPhone 11"/>
    <n v="118247.25"/>
    <s v="Good"/>
    <s v="Good"/>
  </r>
  <r>
    <s v="Hari203145"/>
    <n v="3145"/>
    <n v="23"/>
    <n v="3"/>
    <n v="2024"/>
    <d v="2024-03-23T00:00:00"/>
    <s v="March"/>
    <d v="2030-05-19T00:00:00"/>
    <x v="2"/>
    <n v="9"/>
    <n v="38537.24"/>
    <s v="Harish Teja"/>
    <n v="20"/>
    <s v="Teenagers"/>
    <s v="Good"/>
    <x v="1"/>
    <s v="Debit Card"/>
    <n v="5"/>
    <s v="OnePlus 9"/>
    <n v="346835.16"/>
    <s v="Good"/>
    <s v="Excellent"/>
  </r>
  <r>
    <s v="Tapa383146"/>
    <n v="3146"/>
    <n v="23"/>
    <n v="3"/>
    <n v="2024"/>
    <d v="2024-03-23T00:00:00"/>
    <s v="March"/>
    <d v="2030-05-20T00:00:00"/>
    <x v="4"/>
    <n v="4"/>
    <n v="35463.78"/>
    <s v="Tapan Kulkarni"/>
    <n v="38"/>
    <s v="Adult"/>
    <s v="Good"/>
    <x v="11"/>
    <s v="Cash"/>
    <n v="4"/>
    <s v="iPhone 11"/>
    <n v="141855.12"/>
    <s v="Good"/>
    <s v="Good"/>
  </r>
  <r>
    <s v="Raje473147"/>
    <n v="3147"/>
    <n v="23"/>
    <n v="3"/>
    <n v="2024"/>
    <d v="2024-03-23T00:00:00"/>
    <s v="March"/>
    <d v="2030-05-21T00:00:00"/>
    <x v="0"/>
    <n v="7"/>
    <n v="61622.21"/>
    <s v="Rajesh Mathur"/>
    <n v="47"/>
    <s v="Senior Citezen"/>
    <s v="Good"/>
    <x v="8"/>
    <s v="UPI"/>
    <n v="4"/>
    <s v="Redmi 9"/>
    <n v="431355.47"/>
    <s v="Good"/>
    <s v="Excellent"/>
  </r>
  <r>
    <s v="Moni283148"/>
    <n v="3148"/>
    <n v="24"/>
    <n v="3"/>
    <n v="2024"/>
    <d v="2024-03-24T00:00:00"/>
    <s v="March"/>
    <d v="2030-05-22T00:00:00"/>
    <x v="0"/>
    <n v="1"/>
    <n v="42528.25"/>
    <s v="Monika Rawat"/>
    <n v="28"/>
    <s v="Teenagers"/>
    <s v="Good"/>
    <x v="1"/>
    <s v="Debit Card"/>
    <n v="4"/>
    <s v="Redmi Note 10"/>
    <n v="42528.25"/>
    <s v="Good"/>
    <s v="Low"/>
  </r>
  <r>
    <s v="Suni393149"/>
    <n v="3149"/>
    <n v="24"/>
    <n v="3"/>
    <n v="2024"/>
    <d v="2024-03-24T00:00:00"/>
    <s v="March"/>
    <d v="2030-05-23T00:00:00"/>
    <x v="3"/>
    <n v="9"/>
    <n v="51378.14"/>
    <s v="Sunita Teja"/>
    <n v="39"/>
    <s v="Adult"/>
    <s v="AVG"/>
    <x v="12"/>
    <s v="Debit Card"/>
    <n v="3"/>
    <s v="Galaxy Note 20"/>
    <n v="462403.26"/>
    <s v="Average"/>
    <s v="Excellent"/>
  </r>
  <r>
    <s v="Moni423150"/>
    <n v="3150"/>
    <n v="24"/>
    <n v="3"/>
    <n v="2024"/>
    <d v="2024-03-24T00:00:00"/>
    <s v="March"/>
    <d v="2030-05-24T00:00:00"/>
    <x v="3"/>
    <n v="7"/>
    <n v="38159.4"/>
    <s v="Monika Rathod"/>
    <n v="42"/>
    <s v="Adult"/>
    <s v="BAD"/>
    <x v="2"/>
    <s v="UPI"/>
    <n v="2"/>
    <s v="Galaxy S21"/>
    <n v="267115.8"/>
    <s v="Average"/>
    <s v="Excellent"/>
  </r>
  <r>
    <s v="Lali203151"/>
    <n v="3151"/>
    <n v="24"/>
    <n v="3"/>
    <n v="2024"/>
    <d v="2024-03-24T00:00:00"/>
    <s v="March"/>
    <d v="2030-05-25T00:00:00"/>
    <x v="0"/>
    <n v="9"/>
    <n v="36379.339999999997"/>
    <s v="Lalita Ahuja"/>
    <n v="20"/>
    <s v="Teenagers"/>
    <s v="AVG"/>
    <x v="1"/>
    <s v="Cash"/>
    <n v="3"/>
    <s v="Mi 11"/>
    <n v="327414.05999999994"/>
    <s v="Average"/>
    <s v="Excellent"/>
  </r>
  <r>
    <s v="Yoge473152"/>
    <n v="3152"/>
    <n v="25"/>
    <n v="3"/>
    <n v="2024"/>
    <d v="2024-03-25T00:00:00"/>
    <s v="March"/>
    <d v="2030-05-26T00:00:00"/>
    <x v="4"/>
    <n v="7"/>
    <n v="36777.199999999997"/>
    <s v="Yogesh Malhotra"/>
    <n v="47"/>
    <s v="Senior Citezen"/>
    <s v="BAD"/>
    <x v="16"/>
    <s v="UPI"/>
    <n v="1"/>
    <s v="iPhone SE"/>
    <n v="257440.39999999997"/>
    <s v="Average"/>
    <s v="Excellent"/>
  </r>
  <r>
    <s v="Adit413153"/>
    <n v="3153"/>
    <n v="25"/>
    <n v="3"/>
    <n v="2024"/>
    <d v="2024-03-25T00:00:00"/>
    <s v="March"/>
    <d v="2030-05-27T00:00:00"/>
    <x v="0"/>
    <n v="2"/>
    <n v="34655.29"/>
    <s v="Aditya Jain"/>
    <n v="41"/>
    <s v="Adult"/>
    <s v="Good"/>
    <x v="1"/>
    <s v="UPI"/>
    <n v="5"/>
    <s v="Redmi 9"/>
    <n v="69310.58"/>
    <s v="Good"/>
    <s v="Average"/>
  </r>
  <r>
    <s v="Deep533154"/>
    <n v="3154"/>
    <n v="25"/>
    <n v="3"/>
    <n v="2024"/>
    <d v="2024-03-25T00:00:00"/>
    <s v="March"/>
    <d v="2030-05-28T00:00:00"/>
    <x v="3"/>
    <n v="6"/>
    <n v="42315"/>
    <s v="Deepika Desai"/>
    <n v="53"/>
    <s v="Senior Citezen"/>
    <s v="Good"/>
    <x v="12"/>
    <s v="UPI"/>
    <n v="5"/>
    <s v="Galaxy S21"/>
    <n v="253890"/>
    <s v="Good"/>
    <s v="Excellent"/>
  </r>
  <r>
    <s v="Deve403155"/>
    <n v="3155"/>
    <n v="26"/>
    <n v="3"/>
    <n v="2024"/>
    <d v="2024-03-26T00:00:00"/>
    <s v="March"/>
    <d v="2030-05-29T00:00:00"/>
    <x v="0"/>
    <n v="4"/>
    <n v="25026.6"/>
    <s v="Devendra Arora"/>
    <n v="40"/>
    <s v="Adult"/>
    <s v="Good"/>
    <x v="14"/>
    <s v="UPI"/>
    <n v="5"/>
    <s v="Mi 11"/>
    <n v="100106.4"/>
    <s v="Good"/>
    <s v="Good"/>
  </r>
  <r>
    <s v="Deve253156"/>
    <n v="3156"/>
    <n v="26"/>
    <n v="3"/>
    <n v="2024"/>
    <d v="2024-03-26T00:00:00"/>
    <s v="March"/>
    <d v="2030-05-30T00:00:00"/>
    <x v="0"/>
    <n v="3"/>
    <n v="63463.31"/>
    <s v="Devendra Rao"/>
    <n v="25"/>
    <s v="Teenagers"/>
    <s v="Good"/>
    <x v="2"/>
    <s v="UPI"/>
    <n v="4"/>
    <s v="Redmi Note 10"/>
    <n v="190389.93"/>
    <s v="Good"/>
    <s v="Good"/>
  </r>
  <r>
    <s v="Arun213157"/>
    <n v="3157"/>
    <n v="26"/>
    <n v="3"/>
    <n v="2024"/>
    <d v="2024-03-26T00:00:00"/>
    <s v="March"/>
    <d v="2030-05-31T00:00:00"/>
    <x v="4"/>
    <n v="2"/>
    <n v="29985.13"/>
    <s v="Arun Dutta"/>
    <n v="21"/>
    <s v="Teenagers"/>
    <s v="Good"/>
    <x v="10"/>
    <s v="Debit Card"/>
    <n v="5"/>
    <s v="iPhone 12"/>
    <n v="59970.26"/>
    <s v="Good"/>
    <s v="Average"/>
  </r>
  <r>
    <s v="Bhav563158"/>
    <n v="3158"/>
    <n v="27"/>
    <n v="3"/>
    <n v="2024"/>
    <d v="2024-03-27T00:00:00"/>
    <s v="March"/>
    <d v="2030-06-01T00:00:00"/>
    <x v="2"/>
    <n v="6"/>
    <n v="18851.43"/>
    <s v="Bhavana Siddiqui"/>
    <n v="56"/>
    <s v="Senior Citezen"/>
    <s v="Good"/>
    <x v="2"/>
    <s v="UPI"/>
    <n v="4"/>
    <s v="OnePlus Nord"/>
    <n v="113108.58"/>
    <s v="Good"/>
    <s v="Good"/>
  </r>
  <r>
    <s v="Adit483159"/>
    <n v="3159"/>
    <n v="27"/>
    <n v="3"/>
    <n v="2024"/>
    <d v="2024-03-27T00:00:00"/>
    <s v="March"/>
    <d v="2030-06-02T00:00:00"/>
    <x v="3"/>
    <n v="8"/>
    <n v="15793.03"/>
    <s v="Aditya Patel"/>
    <n v="48"/>
    <s v="Senior Citezen"/>
    <s v="BAD"/>
    <x v="1"/>
    <s v="Cash"/>
    <n v="1"/>
    <s v="Galaxy S21"/>
    <n v="126344.24"/>
    <s v="Average"/>
    <s v="Good"/>
  </r>
  <r>
    <s v="Moni463160"/>
    <n v="3160"/>
    <n v="27"/>
    <n v="3"/>
    <n v="2024"/>
    <d v="2024-03-27T00:00:00"/>
    <s v="March"/>
    <d v="2030-06-03T00:00:00"/>
    <x v="4"/>
    <n v="6"/>
    <n v="10805.37"/>
    <s v="Monika Rathod"/>
    <n v="46"/>
    <s v="Senior Citezen"/>
    <s v="AVG"/>
    <x v="13"/>
    <s v="Credit Card"/>
    <n v="3"/>
    <s v="iPhone 11"/>
    <n v="64832.22"/>
    <s v="Average"/>
    <s v="Average"/>
  </r>
  <r>
    <s v="Nikh533161"/>
    <n v="3161"/>
    <n v="28"/>
    <n v="3"/>
    <n v="2024"/>
    <d v="2024-03-28T00:00:00"/>
    <s v="March"/>
    <d v="2030-06-04T00:00:00"/>
    <x v="0"/>
    <n v="9"/>
    <n v="35371.360000000001"/>
    <s v="Nikhil Bhatnagar"/>
    <n v="53"/>
    <s v="Senior Citezen"/>
    <s v="AVG"/>
    <x v="3"/>
    <s v="UPI"/>
    <n v="3"/>
    <s v="Redmi 9"/>
    <n v="318342.24"/>
    <s v="Average"/>
    <s v="Excellent"/>
  </r>
  <r>
    <s v="Sneh303162"/>
    <n v="3162"/>
    <n v="28"/>
    <n v="3"/>
    <n v="2024"/>
    <d v="2024-03-28T00:00:00"/>
    <s v="March"/>
    <d v="2030-06-05T00:00:00"/>
    <x v="0"/>
    <n v="5"/>
    <n v="21256.66"/>
    <s v="Sneha Kaur"/>
    <n v="30"/>
    <s v="Teenagers"/>
    <s v="AVG"/>
    <x v="3"/>
    <s v="Cash"/>
    <n v="3"/>
    <s v="Mi 11"/>
    <n v="106283.3"/>
    <s v="Average"/>
    <s v="Good"/>
  </r>
  <r>
    <s v="Umes583163"/>
    <n v="3163"/>
    <n v="28"/>
    <n v="3"/>
    <n v="2024"/>
    <d v="2024-03-28T00:00:00"/>
    <s v="March"/>
    <d v="2030-06-06T00:00:00"/>
    <x v="2"/>
    <n v="2"/>
    <n v="11298.87"/>
    <s v="Umesh Dutta"/>
    <n v="58"/>
    <s v="Senior Citezen"/>
    <s v="Good"/>
    <x v="1"/>
    <s v="Credit Card"/>
    <n v="4"/>
    <s v="OnePlus 9"/>
    <n v="22597.74"/>
    <s v="Good"/>
    <s v="Low"/>
  </r>
  <r>
    <s v="Arun263164"/>
    <n v="3164"/>
    <n v="28"/>
    <n v="3"/>
    <n v="2024"/>
    <d v="2024-03-28T00:00:00"/>
    <s v="March"/>
    <d v="2030-06-07T00:00:00"/>
    <x v="3"/>
    <n v="8"/>
    <n v="41201.17"/>
    <s v="Arun Iyer"/>
    <n v="26"/>
    <s v="Teenagers"/>
    <s v="BAD"/>
    <x v="8"/>
    <s v="Cash"/>
    <n v="2"/>
    <s v="Galaxy A51"/>
    <n v="329609.36"/>
    <s v="Average"/>
    <s v="Excellent"/>
  </r>
  <r>
    <s v="Anan383165"/>
    <n v="3165"/>
    <n v="29"/>
    <n v="3"/>
    <n v="2024"/>
    <d v="2024-03-29T00:00:00"/>
    <s v="March"/>
    <d v="2030-06-08T00:00:00"/>
    <x v="3"/>
    <n v="9"/>
    <n v="50798.71"/>
    <s v="Anand Chatterjee"/>
    <n v="38"/>
    <s v="Adult"/>
    <s v="BAD"/>
    <x v="8"/>
    <s v="Debit Card"/>
    <n v="2"/>
    <s v="Galaxy Note 20"/>
    <n v="457188.39"/>
    <s v="Average"/>
    <s v="Excellent"/>
  </r>
  <r>
    <s v="Kira203166"/>
    <n v="3166"/>
    <n v="29"/>
    <n v="3"/>
    <n v="2024"/>
    <d v="2024-03-29T00:00:00"/>
    <s v="March"/>
    <d v="2030-06-09T00:00:00"/>
    <x v="1"/>
    <n v="4"/>
    <n v="15145.06"/>
    <s v="Kiran Solanki"/>
    <n v="20"/>
    <s v="Teenagers"/>
    <s v="BAD"/>
    <x v="1"/>
    <s v="Debit Card"/>
    <n v="1"/>
    <s v="Vivo Y51"/>
    <n v="60580.24"/>
    <s v="Average"/>
    <s v="Average"/>
  </r>
  <r>
    <s v="Rame423167"/>
    <n v="3167"/>
    <n v="29"/>
    <n v="3"/>
    <n v="2024"/>
    <d v="2024-03-29T00:00:00"/>
    <s v="March"/>
    <d v="2030-06-10T00:00:00"/>
    <x v="3"/>
    <n v="6"/>
    <n v="37655.25"/>
    <s v="Ramesh Chatterjee"/>
    <n v="42"/>
    <s v="Adult"/>
    <s v="BAD"/>
    <x v="5"/>
    <s v="Credit Card"/>
    <n v="2"/>
    <s v="Galaxy S21"/>
    <n v="225931.5"/>
    <s v="Average"/>
    <s v="Excellent"/>
  </r>
  <r>
    <s v="Lali423168"/>
    <n v="3168"/>
    <n v="29"/>
    <n v="3"/>
    <n v="2024"/>
    <d v="2024-03-29T00:00:00"/>
    <s v="March"/>
    <d v="2030-06-11T00:00:00"/>
    <x v="2"/>
    <n v="8"/>
    <n v="54617.72"/>
    <s v="Lalita Desai"/>
    <n v="42"/>
    <s v="Adult"/>
    <s v="BAD"/>
    <x v="18"/>
    <s v="Credit Card"/>
    <n v="1"/>
    <s v="OnePlus 8T"/>
    <n v="436941.76"/>
    <s v="Average"/>
    <s v="Excellent"/>
  </r>
  <r>
    <s v="Kira293169"/>
    <n v="3169"/>
    <n v="30"/>
    <n v="3"/>
    <n v="2024"/>
    <d v="2024-03-30T00:00:00"/>
    <s v="March"/>
    <d v="2030-06-12T00:00:00"/>
    <x v="1"/>
    <n v="9"/>
    <n v="69148.41"/>
    <s v="Kiran Malhotra"/>
    <n v="29"/>
    <s v="Teenagers"/>
    <s v="Good"/>
    <x v="1"/>
    <s v="Credit Card"/>
    <n v="5"/>
    <s v="Vivo V20"/>
    <n v="622335.69000000006"/>
    <s v="Good"/>
    <s v="Excellent"/>
  </r>
  <r>
    <s v="Bhav463170"/>
    <n v="3170"/>
    <n v="30"/>
    <n v="3"/>
    <n v="2024"/>
    <d v="2024-03-30T00:00:00"/>
    <s v="March"/>
    <d v="2030-06-13T00:00:00"/>
    <x v="1"/>
    <n v="5"/>
    <n v="50031.42"/>
    <s v="Bhavana Rawat"/>
    <n v="46"/>
    <s v="Senior Citezen"/>
    <s v="AVG"/>
    <x v="4"/>
    <s v="Debit Card"/>
    <n v="3"/>
    <s v="Vivo V20"/>
    <n v="250157.09999999998"/>
    <s v="Average"/>
    <s v="Excellent"/>
  </r>
  <r>
    <s v="Nikh283171"/>
    <n v="3171"/>
    <n v="30"/>
    <n v="3"/>
    <n v="2024"/>
    <d v="2024-03-30T00:00:00"/>
    <s v="March"/>
    <d v="2030-06-14T00:00:00"/>
    <x v="0"/>
    <n v="6"/>
    <n v="24690.37"/>
    <s v="Nikhil Bhattacharya"/>
    <n v="28"/>
    <s v="Teenagers"/>
    <s v="Good"/>
    <x v="2"/>
    <s v="Debit Card"/>
    <n v="4"/>
    <s v="Redmi Note 10"/>
    <n v="148142.22"/>
    <s v="Good"/>
    <s v="Good"/>
  </r>
  <r>
    <s v="Pooj283172"/>
    <n v="3172"/>
    <n v="31"/>
    <n v="3"/>
    <n v="2024"/>
    <d v="2024-03-31T00:00:00"/>
    <s v="March"/>
    <d v="2030-06-15T00:00:00"/>
    <x v="0"/>
    <n v="4"/>
    <n v="52993.22"/>
    <s v="Pooja Sharma"/>
    <n v="28"/>
    <s v="Teenagers"/>
    <s v="BAD"/>
    <x v="1"/>
    <s v="Cash"/>
    <n v="1"/>
    <s v="Redmi Note 10"/>
    <n v="211972.88"/>
    <s v="Average"/>
    <s v="Excellent"/>
  </r>
  <r>
    <s v="Mano433173"/>
    <n v="3173"/>
    <n v="31"/>
    <n v="3"/>
    <n v="2024"/>
    <d v="2024-03-31T00:00:00"/>
    <s v="March"/>
    <d v="2030-06-16T00:00:00"/>
    <x v="3"/>
    <n v="5"/>
    <n v="45875.77"/>
    <s v="Manoj Jain"/>
    <n v="43"/>
    <s v="Adult"/>
    <s v="Good"/>
    <x v="1"/>
    <s v="Debit Card"/>
    <n v="4"/>
    <s v="Galaxy A51"/>
    <n v="229378.84999999998"/>
    <s v="Good"/>
    <s v="Excellent"/>
  </r>
  <r>
    <s v="Adit313174"/>
    <n v="3174"/>
    <n v="31"/>
    <n v="3"/>
    <n v="2024"/>
    <d v="2024-03-31T00:00:00"/>
    <s v="March"/>
    <d v="2030-06-17T00:00:00"/>
    <x v="1"/>
    <n v="7"/>
    <n v="22707.96"/>
    <s v="Aditya Nair"/>
    <n v="31"/>
    <s v="Adult"/>
    <s v="Good"/>
    <x v="5"/>
    <s v="Credit Card"/>
    <n v="4"/>
    <s v="Vivo Y51"/>
    <n v="158955.72"/>
    <s v="Good"/>
    <s v="Good"/>
  </r>
  <r>
    <s v="Jyot333175"/>
    <n v="3175"/>
    <n v="1"/>
    <n v="4"/>
    <n v="2024"/>
    <d v="2024-04-01T00:00:00"/>
    <s v="April"/>
    <d v="2030-06-18T00:00:00"/>
    <x v="0"/>
    <n v="9"/>
    <n v="61066.65"/>
    <s v="Jyoti Ghosh"/>
    <n v="33"/>
    <s v="Adult"/>
    <s v="AVG"/>
    <x v="6"/>
    <s v="UPI"/>
    <n v="3"/>
    <s v="Mi 11"/>
    <n v="549599.85"/>
    <s v="Average"/>
    <s v="Excellent"/>
  </r>
  <r>
    <s v="Nami273176"/>
    <n v="3176"/>
    <n v="1"/>
    <n v="4"/>
    <n v="2024"/>
    <d v="2024-04-01T00:00:00"/>
    <s v="April"/>
    <d v="2030-06-19T00:00:00"/>
    <x v="2"/>
    <n v="6"/>
    <n v="35644.269999999997"/>
    <s v="Namita Mehta"/>
    <n v="27"/>
    <s v="Teenagers"/>
    <s v="Good"/>
    <x v="12"/>
    <s v="UPI"/>
    <n v="5"/>
    <s v="OnePlus Nord"/>
    <n v="213865.62"/>
    <s v="Good"/>
    <s v="Excellent"/>
  </r>
  <r>
    <s v="Reen483177"/>
    <n v="3177"/>
    <n v="1"/>
    <n v="4"/>
    <n v="2024"/>
    <d v="2024-04-01T00:00:00"/>
    <s v="April"/>
    <d v="2030-06-20T00:00:00"/>
    <x v="0"/>
    <n v="6"/>
    <n v="67718.66"/>
    <s v="Reena Deshmukh"/>
    <n v="48"/>
    <s v="Senior Citezen"/>
    <s v="Good"/>
    <x v="1"/>
    <s v="Credit Card"/>
    <n v="5"/>
    <s v="Redmi Note 10"/>
    <n v="406311.96"/>
    <s v="Good"/>
    <s v="Excellent"/>
  </r>
  <r>
    <s v="Tanu483178"/>
    <n v="3178"/>
    <n v="1"/>
    <n v="4"/>
    <n v="2024"/>
    <d v="2024-04-01T00:00:00"/>
    <s v="April"/>
    <d v="2030-06-21T00:00:00"/>
    <x v="0"/>
    <n v="8"/>
    <n v="53374.06"/>
    <s v="Tanuja Dutta"/>
    <n v="48"/>
    <s v="Senior Citezen"/>
    <s v="BAD"/>
    <x v="1"/>
    <s v="Debit Card"/>
    <n v="2"/>
    <s v="Redmi Note 10"/>
    <n v="426992.48"/>
    <s v="Average"/>
    <s v="Excellent"/>
  </r>
  <r>
    <s v="Neet533179"/>
    <n v="3179"/>
    <n v="2"/>
    <n v="4"/>
    <n v="2024"/>
    <d v="2024-04-02T00:00:00"/>
    <s v="April"/>
    <d v="2030-06-22T00:00:00"/>
    <x v="1"/>
    <n v="4"/>
    <n v="48673.79"/>
    <s v="Neeta Patel"/>
    <n v="53"/>
    <s v="Senior Citezen"/>
    <s v="Good"/>
    <x v="2"/>
    <s v="Credit Card"/>
    <n v="5"/>
    <s v="Vivo V20"/>
    <n v="194695.16"/>
    <s v="Good"/>
    <s v="Good"/>
  </r>
  <r>
    <s v="Mala273180"/>
    <n v="3180"/>
    <n v="2"/>
    <n v="4"/>
    <n v="2024"/>
    <d v="2024-04-02T00:00:00"/>
    <s v="April"/>
    <d v="2030-06-23T00:00:00"/>
    <x v="1"/>
    <n v="3"/>
    <n v="53701.17"/>
    <s v="Mala Kulkarni"/>
    <n v="27"/>
    <s v="Teenagers"/>
    <s v="AVG"/>
    <x v="5"/>
    <s v="Debit Card"/>
    <n v="3"/>
    <s v="Vivo V20"/>
    <n v="161103.51"/>
    <s v="Average"/>
    <s v="Good"/>
  </r>
  <r>
    <s v="Vino433181"/>
    <n v="3181"/>
    <n v="2"/>
    <n v="4"/>
    <n v="2024"/>
    <d v="2024-04-02T00:00:00"/>
    <s v="April"/>
    <d v="2030-06-24T00:00:00"/>
    <x v="4"/>
    <n v="7"/>
    <n v="38685.82"/>
    <s v="Vinod Dutta"/>
    <n v="43"/>
    <s v="Adult"/>
    <s v="Good"/>
    <x v="0"/>
    <s v="UPI"/>
    <n v="4"/>
    <s v="iPhone SE"/>
    <n v="270800.74"/>
    <s v="Good"/>
    <s v="Excellent"/>
  </r>
  <r>
    <s v="Umes373182"/>
    <n v="3182"/>
    <n v="2"/>
    <n v="4"/>
    <n v="2024"/>
    <d v="2024-04-02T00:00:00"/>
    <s v="April"/>
    <d v="2030-06-25T00:00:00"/>
    <x v="2"/>
    <n v="5"/>
    <n v="40313.589999999997"/>
    <s v="Umesh Patel"/>
    <n v="37"/>
    <s v="Adult"/>
    <s v="BAD"/>
    <x v="11"/>
    <s v="Cash"/>
    <n v="1"/>
    <s v="OnePlus 8T"/>
    <n v="201567.94999999998"/>
    <s v="Average"/>
    <s v="Excellent"/>
  </r>
  <r>
    <s v="Pooj263183"/>
    <n v="3183"/>
    <n v="3"/>
    <n v="4"/>
    <n v="2024"/>
    <d v="2024-04-03T00:00:00"/>
    <s v="April"/>
    <d v="2030-06-26T00:00:00"/>
    <x v="1"/>
    <n v="2"/>
    <n v="61072.44"/>
    <s v="Pooja Menon"/>
    <n v="26"/>
    <s v="Teenagers"/>
    <s v="BAD"/>
    <x v="3"/>
    <s v="Debit Card"/>
    <n v="1"/>
    <s v="Vivo V20"/>
    <n v="122144.88"/>
    <s v="Average"/>
    <s v="Good"/>
  </r>
  <r>
    <s v="Sumi323184"/>
    <n v="3184"/>
    <n v="3"/>
    <n v="4"/>
    <n v="2024"/>
    <d v="2024-04-03T00:00:00"/>
    <s v="April"/>
    <d v="2030-06-27T00:00:00"/>
    <x v="3"/>
    <n v="2"/>
    <n v="50855.71"/>
    <s v="Sumit Goyal"/>
    <n v="32"/>
    <s v="Adult"/>
    <s v="Good"/>
    <x v="14"/>
    <s v="Cash"/>
    <n v="5"/>
    <s v="Galaxy S21"/>
    <n v="101711.42"/>
    <s v="Good"/>
    <s v="Good"/>
  </r>
  <r>
    <s v="Nikh263185"/>
    <n v="3185"/>
    <n v="3"/>
    <n v="4"/>
    <n v="2024"/>
    <d v="2024-04-03T00:00:00"/>
    <s v="April"/>
    <d v="2030-06-28T00:00:00"/>
    <x v="2"/>
    <n v="6"/>
    <n v="63834.6"/>
    <s v="Nikhil Menon"/>
    <n v="26"/>
    <s v="Teenagers"/>
    <s v="BAD"/>
    <x v="1"/>
    <s v="UPI"/>
    <n v="2"/>
    <s v="OnePlus 9"/>
    <n v="383007.6"/>
    <s v="Average"/>
    <s v="Excellent"/>
  </r>
  <r>
    <s v="Sumi243186"/>
    <n v="3186"/>
    <n v="4"/>
    <n v="4"/>
    <n v="2024"/>
    <d v="2024-04-04T00:00:00"/>
    <s v="April"/>
    <d v="2030-06-29T00:00:00"/>
    <x v="2"/>
    <n v="8"/>
    <n v="63449.61"/>
    <s v="Sumit Goyal"/>
    <n v="24"/>
    <s v="Teenagers"/>
    <s v="BAD"/>
    <x v="9"/>
    <s v="Cash"/>
    <n v="1"/>
    <s v="OnePlus 8T"/>
    <n v="507596.88"/>
    <s v="Average"/>
    <s v="Excellent"/>
  </r>
  <r>
    <s v="Adit433187"/>
    <n v="3187"/>
    <n v="4"/>
    <n v="4"/>
    <n v="2024"/>
    <d v="2024-04-04T00:00:00"/>
    <s v="April"/>
    <d v="2030-06-30T00:00:00"/>
    <x v="1"/>
    <n v="1"/>
    <n v="68589.399999999994"/>
    <s v="Aditya Alva"/>
    <n v="43"/>
    <s v="Adult"/>
    <s v="BAD"/>
    <x v="1"/>
    <s v="Cash"/>
    <n v="2"/>
    <s v="Vivo Y51"/>
    <n v="68589.399999999994"/>
    <s v="Average"/>
    <s v="Average"/>
  </r>
  <r>
    <s v="Bhav413188"/>
    <n v="3188"/>
    <n v="4"/>
    <n v="4"/>
    <n v="2024"/>
    <d v="2024-04-04T00:00:00"/>
    <s v="April"/>
    <d v="2030-07-01T00:00:00"/>
    <x v="2"/>
    <n v="6"/>
    <n v="52012.88"/>
    <s v="Bhavana Malhotra"/>
    <n v="41"/>
    <s v="Adult"/>
    <s v="BAD"/>
    <x v="9"/>
    <s v="Credit Card"/>
    <n v="1"/>
    <s v="OnePlus Nord"/>
    <n v="312077.27999999997"/>
    <s v="Average"/>
    <s v="Excellent"/>
  </r>
  <r>
    <s v="Kavi293189"/>
    <n v="3189"/>
    <n v="5"/>
    <n v="4"/>
    <n v="2024"/>
    <d v="2024-04-05T00:00:00"/>
    <s v="April"/>
    <d v="2030-07-02T00:00:00"/>
    <x v="1"/>
    <n v="2"/>
    <n v="40138.1"/>
    <s v="Kavita Kapoor"/>
    <n v="29"/>
    <s v="Teenagers"/>
    <s v="BAD"/>
    <x v="2"/>
    <s v="Cash"/>
    <n v="2"/>
    <s v="Vivo Y51"/>
    <n v="80276.2"/>
    <s v="Average"/>
    <s v="Average"/>
  </r>
  <r>
    <s v="Arun373190"/>
    <n v="3190"/>
    <n v="5"/>
    <n v="4"/>
    <n v="2024"/>
    <d v="2024-04-05T00:00:00"/>
    <s v="April"/>
    <d v="2030-07-03T00:00:00"/>
    <x v="0"/>
    <n v="2"/>
    <n v="19978.7"/>
    <s v="Arun Kaur"/>
    <n v="37"/>
    <s v="Adult"/>
    <s v="BAD"/>
    <x v="2"/>
    <s v="UPI"/>
    <n v="2"/>
    <s v="Mi 11"/>
    <n v="39957.4"/>
    <s v="Average"/>
    <s v="Low"/>
  </r>
  <r>
    <s v="Pooj313191"/>
    <n v="3191"/>
    <n v="5"/>
    <n v="4"/>
    <n v="2024"/>
    <d v="2024-04-05T00:00:00"/>
    <s v="April"/>
    <d v="2030-07-04T00:00:00"/>
    <x v="4"/>
    <n v="7"/>
    <n v="52322.83"/>
    <s v="Pooja Goyal"/>
    <n v="31"/>
    <s v="Adult"/>
    <s v="Good"/>
    <x v="18"/>
    <s v="Debit Card"/>
    <n v="4"/>
    <s v="iPhone 12"/>
    <n v="366259.81"/>
    <s v="Good"/>
    <s v="Excellent"/>
  </r>
  <r>
    <s v="Anit393192"/>
    <n v="3192"/>
    <n v="5"/>
    <n v="4"/>
    <n v="2024"/>
    <d v="2024-04-05T00:00:00"/>
    <s v="April"/>
    <d v="2030-07-05T00:00:00"/>
    <x v="0"/>
    <n v="1"/>
    <n v="27494.66"/>
    <s v="Anita Varma"/>
    <n v="39"/>
    <s v="Adult"/>
    <s v="AVG"/>
    <x v="2"/>
    <s v="Cash"/>
    <n v="3"/>
    <s v="Mi 11"/>
    <n v="27494.66"/>
    <s v="Average"/>
    <s v="Low"/>
  </r>
  <r>
    <s v="Shru333193"/>
    <n v="3193"/>
    <n v="6"/>
    <n v="4"/>
    <n v="2024"/>
    <d v="2024-04-06T00:00:00"/>
    <s v="April"/>
    <d v="2030-07-06T00:00:00"/>
    <x v="1"/>
    <n v="6"/>
    <n v="26976.85"/>
    <s v="Shruti Thakur"/>
    <n v="33"/>
    <s v="Adult"/>
    <s v="BAD"/>
    <x v="2"/>
    <s v="Debit Card"/>
    <n v="1"/>
    <s v="Vivo V20"/>
    <n v="161861.09999999998"/>
    <s v="Average"/>
    <s v="Good"/>
  </r>
  <r>
    <s v="Lali463194"/>
    <n v="3194"/>
    <n v="6"/>
    <n v="4"/>
    <n v="2024"/>
    <d v="2024-04-06T00:00:00"/>
    <s v="April"/>
    <d v="2030-07-07T00:00:00"/>
    <x v="1"/>
    <n v="7"/>
    <n v="24297.27"/>
    <s v="Lalita Desai"/>
    <n v="46"/>
    <s v="Senior Citezen"/>
    <s v="Good"/>
    <x v="6"/>
    <s v="Credit Card"/>
    <n v="5"/>
    <s v="Vivo S1"/>
    <n v="170080.89"/>
    <s v="Good"/>
    <s v="Good"/>
  </r>
  <r>
    <s v="Suni493195"/>
    <n v="3195"/>
    <n v="6"/>
    <n v="4"/>
    <n v="2024"/>
    <d v="2024-04-06T00:00:00"/>
    <s v="April"/>
    <d v="2030-07-08T00:00:00"/>
    <x v="0"/>
    <n v="8"/>
    <n v="62507.32"/>
    <s v="Sunil Kumar"/>
    <n v="49"/>
    <s v="Senior Citezen"/>
    <s v="AVG"/>
    <x v="4"/>
    <s v="UPI"/>
    <n v="3"/>
    <s v="Redmi Note 10"/>
    <n v="500058.56"/>
    <s v="Average"/>
    <s v="Excellent"/>
  </r>
  <r>
    <s v="Navi363196"/>
    <n v="3196"/>
    <n v="7"/>
    <n v="4"/>
    <n v="2024"/>
    <d v="2024-04-07T00:00:00"/>
    <s v="April"/>
    <d v="2030-07-09T00:00:00"/>
    <x v="3"/>
    <n v="7"/>
    <n v="62077.87"/>
    <s v="Navin Mathur"/>
    <n v="36"/>
    <s v="Adult"/>
    <s v="Good"/>
    <x v="2"/>
    <s v="UPI"/>
    <n v="4"/>
    <s v="Galaxy A51"/>
    <n v="434545.09"/>
    <s v="Good"/>
    <s v="Excellent"/>
  </r>
  <r>
    <s v="Rame523197"/>
    <n v="3197"/>
    <n v="7"/>
    <n v="4"/>
    <n v="2024"/>
    <d v="2024-04-07T00:00:00"/>
    <s v="April"/>
    <d v="2030-07-10T00:00:00"/>
    <x v="3"/>
    <n v="6"/>
    <n v="47858.23"/>
    <s v="Ramesh Solanki"/>
    <n v="52"/>
    <s v="Senior Citezen"/>
    <s v="Good"/>
    <x v="2"/>
    <s v="Debit Card"/>
    <n v="4"/>
    <s v="Galaxy Note 20"/>
    <n v="287149.38"/>
    <s v="Good"/>
    <s v="Excellent"/>
  </r>
  <r>
    <s v="Vive493198"/>
    <n v="3198"/>
    <n v="7"/>
    <n v="4"/>
    <n v="2024"/>
    <d v="2024-04-07T00:00:00"/>
    <s v="April"/>
    <d v="2030-07-11T00:00:00"/>
    <x v="3"/>
    <n v="9"/>
    <n v="38378.86"/>
    <s v="Vivek Luthra"/>
    <n v="49"/>
    <s v="Senior Citezen"/>
    <s v="Good"/>
    <x v="7"/>
    <s v="UPI"/>
    <n v="4"/>
    <s v="Galaxy A51"/>
    <n v="345409.74"/>
    <s v="Good"/>
    <s v="Excellent"/>
  </r>
  <r>
    <s v="Navi373199"/>
    <n v="3199"/>
    <n v="8"/>
    <n v="4"/>
    <n v="2024"/>
    <d v="2024-04-08T00:00:00"/>
    <s v="April"/>
    <d v="2030-07-12T00:00:00"/>
    <x v="1"/>
    <n v="3"/>
    <n v="50326.87"/>
    <s v="Navin Pathak"/>
    <n v="37"/>
    <s v="Adult"/>
    <s v="Good"/>
    <x v="8"/>
    <s v="Credit Card"/>
    <n v="5"/>
    <s v="Vivo V20"/>
    <n v="150980.61000000002"/>
    <s v="Good"/>
    <s v="Good"/>
  </r>
  <r>
    <s v="Raje573200"/>
    <n v="3200"/>
    <n v="8"/>
    <n v="4"/>
    <n v="2024"/>
    <d v="2024-04-08T00:00:00"/>
    <s v="April"/>
    <d v="2030-07-13T00:00:00"/>
    <x v="2"/>
    <n v="6"/>
    <n v="46433.77"/>
    <s v="Rajesh Siddiqui"/>
    <n v="57"/>
    <s v="Senior Citezen"/>
    <s v="BAD"/>
    <x v="0"/>
    <s v="Debit Card"/>
    <n v="1"/>
    <s v="OnePlus 8T"/>
    <n v="278602.62"/>
    <s v="Average"/>
    <s v="Excellent"/>
  </r>
  <r>
    <s v="Raje373201"/>
    <n v="3201"/>
    <n v="8"/>
    <n v="4"/>
    <n v="2024"/>
    <d v="2024-04-08T00:00:00"/>
    <s v="April"/>
    <d v="2030-07-14T00:00:00"/>
    <x v="1"/>
    <n v="4"/>
    <n v="34944.050000000003"/>
    <s v="Rajesh Kulkarni"/>
    <n v="37"/>
    <s v="Adult"/>
    <s v="BAD"/>
    <x v="1"/>
    <s v="UPI"/>
    <n v="1"/>
    <s v="Vivo Y51"/>
    <n v="139776.20000000001"/>
    <s v="Average"/>
    <s v="Good"/>
  </r>
  <r>
    <s v="Pank253202"/>
    <n v="3202"/>
    <n v="9"/>
    <n v="4"/>
    <n v="2024"/>
    <d v="2024-04-09T00:00:00"/>
    <s v="April"/>
    <d v="2030-07-15T00:00:00"/>
    <x v="2"/>
    <n v="2"/>
    <n v="32777.85"/>
    <s v="Pankaj Jain"/>
    <n v="25"/>
    <s v="Teenagers"/>
    <s v="BAD"/>
    <x v="1"/>
    <s v="Credit Card"/>
    <n v="2"/>
    <s v="OnePlus 9"/>
    <n v="65555.7"/>
    <s v="Average"/>
    <s v="Average"/>
  </r>
  <r>
    <s v="Mano523203"/>
    <n v="3203"/>
    <n v="9"/>
    <n v="4"/>
    <n v="2024"/>
    <d v="2024-04-09T00:00:00"/>
    <s v="April"/>
    <d v="2030-07-16T00:00:00"/>
    <x v="0"/>
    <n v="1"/>
    <n v="32967.660000000003"/>
    <s v="Manoj Mehta"/>
    <n v="52"/>
    <s v="Senior Citezen"/>
    <s v="BAD"/>
    <x v="1"/>
    <s v="Credit Card"/>
    <n v="2"/>
    <s v="Mi 11"/>
    <n v="32967.660000000003"/>
    <s v="Average"/>
    <s v="Low"/>
  </r>
  <r>
    <s v="Nami593204"/>
    <n v="3204"/>
    <n v="9"/>
    <n v="4"/>
    <n v="2024"/>
    <d v="2024-04-09T00:00:00"/>
    <s v="April"/>
    <d v="2030-07-17T00:00:00"/>
    <x v="4"/>
    <n v="1"/>
    <n v="45348"/>
    <s v="Namita Roy"/>
    <n v="59"/>
    <s v="Senior Citezen"/>
    <s v="BAD"/>
    <x v="16"/>
    <s v="Cash"/>
    <n v="2"/>
    <s v="iPhone 12"/>
    <n v="45348"/>
    <s v="Average"/>
    <s v="Low"/>
  </r>
  <r>
    <s v="Sumi303205"/>
    <n v="3205"/>
    <n v="9"/>
    <n v="4"/>
    <n v="2024"/>
    <d v="2024-04-09T00:00:00"/>
    <s v="April"/>
    <d v="2030-07-18T00:00:00"/>
    <x v="2"/>
    <n v="3"/>
    <n v="48860.160000000003"/>
    <s v="Sumit Nambiar"/>
    <n v="30"/>
    <s v="Teenagers"/>
    <s v="Good"/>
    <x v="1"/>
    <s v="UPI"/>
    <n v="5"/>
    <s v="OnePlus Nord"/>
    <n v="146580.48000000001"/>
    <s v="Good"/>
    <s v="Good"/>
  </r>
  <r>
    <s v="Radh583206"/>
    <n v="3206"/>
    <n v="10"/>
    <n v="4"/>
    <n v="2024"/>
    <d v="2024-04-10T00:00:00"/>
    <s v="April"/>
    <d v="2030-07-19T00:00:00"/>
    <x v="3"/>
    <n v="4"/>
    <n v="37104.51"/>
    <s v="Radha Pathak"/>
    <n v="58"/>
    <s v="Senior Citezen"/>
    <s v="AVG"/>
    <x v="1"/>
    <s v="Debit Card"/>
    <n v="3"/>
    <s v="Galaxy A51"/>
    <n v="148418.04"/>
    <s v="Average"/>
    <s v="Good"/>
  </r>
  <r>
    <s v="Kris233207"/>
    <n v="3207"/>
    <n v="10"/>
    <n v="4"/>
    <n v="2024"/>
    <d v="2024-04-10T00:00:00"/>
    <s v="April"/>
    <d v="2030-07-20T00:00:00"/>
    <x v="1"/>
    <n v="2"/>
    <n v="68121.490000000005"/>
    <s v="Krishna Jain"/>
    <n v="23"/>
    <s v="Teenagers"/>
    <s v="BAD"/>
    <x v="1"/>
    <s v="Cash"/>
    <n v="1"/>
    <s v="Vivo Y51"/>
    <n v="136242.98000000001"/>
    <s v="Average"/>
    <s v="Good"/>
  </r>
  <r>
    <s v="Sach333208"/>
    <n v="3208"/>
    <n v="10"/>
    <n v="4"/>
    <n v="2024"/>
    <d v="2024-04-10T00:00:00"/>
    <s v="April"/>
    <d v="2030-07-21T00:00:00"/>
    <x v="0"/>
    <n v="1"/>
    <n v="15030.74"/>
    <s v="Sachin Sheth"/>
    <n v="33"/>
    <s v="Adult"/>
    <s v="BAD"/>
    <x v="10"/>
    <s v="Debit Card"/>
    <n v="2"/>
    <s v="Redmi Note 10"/>
    <n v="15030.74"/>
    <s v="Average"/>
    <s v="Low"/>
  </r>
  <r>
    <s v="Sumi223209"/>
    <n v="3209"/>
    <n v="10"/>
    <n v="4"/>
    <n v="2024"/>
    <d v="2024-04-10T00:00:00"/>
    <s v="April"/>
    <d v="2030-07-22T00:00:00"/>
    <x v="3"/>
    <n v="4"/>
    <n v="30822.82"/>
    <s v="Sumit Malhotra"/>
    <n v="22"/>
    <s v="Teenagers"/>
    <s v="Good"/>
    <x v="9"/>
    <s v="Cash"/>
    <n v="5"/>
    <s v="Galaxy S21"/>
    <n v="123291.28"/>
    <s v="Good"/>
    <s v="Good"/>
  </r>
  <r>
    <s v="Pank513210"/>
    <n v="3210"/>
    <n v="11"/>
    <n v="4"/>
    <n v="2024"/>
    <d v="2024-04-11T00:00:00"/>
    <s v="April"/>
    <d v="2030-07-23T00:00:00"/>
    <x v="0"/>
    <n v="7"/>
    <n v="35144.480000000003"/>
    <s v="Pankaj Sheth"/>
    <n v="51"/>
    <s v="Senior Citezen"/>
    <s v="Good"/>
    <x v="1"/>
    <s v="Credit Card"/>
    <n v="5"/>
    <s v="Redmi 9"/>
    <n v="246011.36000000002"/>
    <s v="Good"/>
    <s v="Excellent"/>
  </r>
  <r>
    <s v="Deep233211"/>
    <n v="3211"/>
    <n v="11"/>
    <n v="4"/>
    <n v="2024"/>
    <d v="2024-04-11T00:00:00"/>
    <s v="April"/>
    <d v="2030-07-24T00:00:00"/>
    <x v="4"/>
    <n v="6"/>
    <n v="11015.28"/>
    <s v="Deepika Desai"/>
    <n v="23"/>
    <s v="Teenagers"/>
    <s v="BAD"/>
    <x v="12"/>
    <s v="Cash"/>
    <n v="2"/>
    <s v="iPhone 12"/>
    <n v="66091.680000000008"/>
    <s v="Average"/>
    <s v="Average"/>
  </r>
  <r>
    <s v="Lata503212"/>
    <n v="3212"/>
    <n v="11"/>
    <n v="4"/>
    <n v="2024"/>
    <d v="2024-04-11T00:00:00"/>
    <s v="April"/>
    <d v="2030-07-25T00:00:00"/>
    <x v="1"/>
    <n v="6"/>
    <n v="31897.43"/>
    <s v="Lata Chatterjee"/>
    <n v="50"/>
    <s v="Senior Citezen"/>
    <s v="Good"/>
    <x v="11"/>
    <s v="Cash"/>
    <n v="4"/>
    <s v="Vivo Y51"/>
    <n v="191384.58000000002"/>
    <s v="Good"/>
    <s v="Good"/>
  </r>
  <r>
    <s v="Meen323213"/>
    <n v="3213"/>
    <n v="11"/>
    <n v="4"/>
    <n v="2024"/>
    <d v="2024-04-11T00:00:00"/>
    <s v="April"/>
    <d v="2030-07-26T00:00:00"/>
    <x v="1"/>
    <n v="9"/>
    <n v="26422.6"/>
    <s v="Meena Menon"/>
    <n v="32"/>
    <s v="Adult"/>
    <s v="Good"/>
    <x v="15"/>
    <s v="Cash"/>
    <n v="4"/>
    <s v="Vivo Y51"/>
    <n v="237803.4"/>
    <s v="Good"/>
    <s v="Excellent"/>
  </r>
  <r>
    <s v="Pras323214"/>
    <n v="3214"/>
    <n v="12"/>
    <n v="4"/>
    <n v="2024"/>
    <d v="2024-04-12T00:00:00"/>
    <s v="April"/>
    <d v="2030-07-27T00:00:00"/>
    <x v="4"/>
    <n v="2"/>
    <n v="40362.18"/>
    <s v="Prashant Verma"/>
    <n v="32"/>
    <s v="Adult"/>
    <s v="Good"/>
    <x v="1"/>
    <s v="UPI"/>
    <n v="4"/>
    <s v="iPhone SE"/>
    <n v="80724.36"/>
    <s v="Good"/>
    <s v="Average"/>
  </r>
  <r>
    <s v="Hari313215"/>
    <n v="3215"/>
    <n v="12"/>
    <n v="4"/>
    <n v="2024"/>
    <d v="2024-04-12T00:00:00"/>
    <s v="April"/>
    <d v="2030-07-28T00:00:00"/>
    <x v="1"/>
    <n v="4"/>
    <n v="30184.63"/>
    <s v="Harish Kaur"/>
    <n v="31"/>
    <s v="Adult"/>
    <s v="BAD"/>
    <x v="10"/>
    <s v="Cash"/>
    <n v="2"/>
    <s v="Vivo V20"/>
    <n v="120738.52"/>
    <s v="Average"/>
    <s v="Good"/>
  </r>
  <r>
    <s v="Nikh563216"/>
    <n v="3216"/>
    <n v="12"/>
    <n v="4"/>
    <n v="2024"/>
    <d v="2024-04-12T00:00:00"/>
    <s v="April"/>
    <d v="2030-07-29T00:00:00"/>
    <x v="2"/>
    <n v="5"/>
    <n v="53570.93"/>
    <s v="Nikhil Chaudhary"/>
    <n v="56"/>
    <s v="Senior Citezen"/>
    <s v="Good"/>
    <x v="8"/>
    <s v="Credit Card"/>
    <n v="5"/>
    <s v="OnePlus 8T"/>
    <n v="267854.65000000002"/>
    <s v="Good"/>
    <s v="Excellent"/>
  </r>
  <r>
    <s v="Pank223217"/>
    <n v="3217"/>
    <n v="12"/>
    <n v="4"/>
    <n v="2024"/>
    <d v="2024-04-12T00:00:00"/>
    <s v="April"/>
    <d v="2030-07-30T00:00:00"/>
    <x v="0"/>
    <n v="1"/>
    <n v="40595.949999999997"/>
    <s v="Pankaj Roy"/>
    <n v="22"/>
    <s v="Teenagers"/>
    <s v="Good"/>
    <x v="16"/>
    <s v="Debit Card"/>
    <n v="5"/>
    <s v="Mi 11"/>
    <n v="40595.949999999997"/>
    <s v="Good"/>
    <s v="Low"/>
  </r>
  <r>
    <s v="Priy433218"/>
    <n v="3218"/>
    <n v="13"/>
    <n v="4"/>
    <n v="2024"/>
    <d v="2024-04-13T00:00:00"/>
    <s v="April"/>
    <d v="2030-07-31T00:00:00"/>
    <x v="3"/>
    <n v="8"/>
    <n v="17785.73"/>
    <s v="Priyanka Jain"/>
    <n v="43"/>
    <s v="Adult"/>
    <s v="BAD"/>
    <x v="2"/>
    <s v="UPI"/>
    <n v="1"/>
    <s v="Galaxy Note 20"/>
    <n v="142285.84"/>
    <s v="Average"/>
    <s v="Good"/>
  </r>
  <r>
    <s v="Bina343219"/>
    <n v="3219"/>
    <n v="13"/>
    <n v="4"/>
    <n v="2024"/>
    <d v="2024-04-13T00:00:00"/>
    <s v="April"/>
    <d v="2030-08-01T00:00:00"/>
    <x v="4"/>
    <n v="8"/>
    <n v="55003.68"/>
    <s v="Bina Das"/>
    <n v="34"/>
    <s v="Adult"/>
    <s v="Good"/>
    <x v="2"/>
    <s v="Credit Card"/>
    <n v="4"/>
    <s v="iPhone 12"/>
    <n v="440029.44"/>
    <s v="Good"/>
    <s v="Excellent"/>
  </r>
  <r>
    <s v="Adit333220"/>
    <n v="3220"/>
    <n v="13"/>
    <n v="4"/>
    <n v="2024"/>
    <d v="2024-04-13T00:00:00"/>
    <s v="April"/>
    <d v="2030-08-02T00:00:00"/>
    <x v="2"/>
    <n v="6"/>
    <n v="15953.73"/>
    <s v="Aditya Rao"/>
    <n v="33"/>
    <s v="Adult"/>
    <s v="BAD"/>
    <x v="16"/>
    <s v="UPI"/>
    <n v="2"/>
    <s v="OnePlus Nord"/>
    <n v="95722.38"/>
    <s v="Average"/>
    <s v="Average"/>
  </r>
  <r>
    <s v="Pooj523221"/>
    <n v="3221"/>
    <n v="13"/>
    <n v="4"/>
    <n v="2024"/>
    <d v="2024-04-13T00:00:00"/>
    <s v="April"/>
    <d v="2030-08-03T00:00:00"/>
    <x v="3"/>
    <n v="5"/>
    <n v="60342.95"/>
    <s v="Pooja Goyal"/>
    <n v="52"/>
    <s v="Senior Citezen"/>
    <s v="BAD"/>
    <x v="2"/>
    <s v="Debit Card"/>
    <n v="1"/>
    <s v="Galaxy A51"/>
    <n v="301714.75"/>
    <s v="Average"/>
    <s v="Excellent"/>
  </r>
  <r>
    <s v="Isha553222"/>
    <n v="3222"/>
    <n v="14"/>
    <n v="4"/>
    <n v="2024"/>
    <d v="2024-04-14T00:00:00"/>
    <s v="April"/>
    <d v="2030-08-04T00:00:00"/>
    <x v="3"/>
    <n v="8"/>
    <n v="65885.33"/>
    <s v="Isha Singh"/>
    <n v="55"/>
    <s v="Senior Citezen"/>
    <s v="Good"/>
    <x v="1"/>
    <s v="Debit Card"/>
    <n v="5"/>
    <s v="Galaxy Note 20"/>
    <n v="527082.64"/>
    <s v="Good"/>
    <s v="Excellent"/>
  </r>
  <r>
    <s v="Tapa403223"/>
    <n v="3223"/>
    <n v="14"/>
    <n v="4"/>
    <n v="2024"/>
    <d v="2024-04-14T00:00:00"/>
    <s v="April"/>
    <d v="2030-08-05T00:00:00"/>
    <x v="4"/>
    <n v="3"/>
    <n v="29346.720000000001"/>
    <s v="Tapan Ahuja"/>
    <n v="40"/>
    <s v="Adult"/>
    <s v="BAD"/>
    <x v="3"/>
    <s v="Debit Card"/>
    <n v="1"/>
    <s v="iPhone SE"/>
    <n v="88040.16"/>
    <s v="Average"/>
    <s v="Average"/>
  </r>
  <r>
    <s v="Rame303224"/>
    <n v="3224"/>
    <n v="14"/>
    <n v="4"/>
    <n v="2024"/>
    <d v="2024-04-14T00:00:00"/>
    <s v="April"/>
    <d v="2030-08-06T00:00:00"/>
    <x v="2"/>
    <n v="3"/>
    <n v="65568.56"/>
    <s v="Ramesh Sharma"/>
    <n v="30"/>
    <s v="Teenagers"/>
    <s v="Good"/>
    <x v="9"/>
    <s v="UPI"/>
    <n v="4"/>
    <s v="OnePlus 8T"/>
    <n v="196705.68"/>
    <s v="Good"/>
    <s v="Good"/>
  </r>
  <r>
    <s v="Suni503225"/>
    <n v="3225"/>
    <n v="14"/>
    <n v="4"/>
    <n v="2024"/>
    <d v="2024-04-14T00:00:00"/>
    <s v="April"/>
    <d v="2030-08-07T00:00:00"/>
    <x v="3"/>
    <n v="2"/>
    <n v="57580.49"/>
    <s v="Sunil Das"/>
    <n v="50"/>
    <s v="Senior Citezen"/>
    <s v="AVG"/>
    <x v="9"/>
    <s v="UPI"/>
    <n v="3"/>
    <s v="Galaxy Note 20"/>
    <n v="115160.98"/>
    <s v="Average"/>
    <s v="Good"/>
  </r>
  <r>
    <s v="Tanu463226"/>
    <n v="3226"/>
    <n v="15"/>
    <n v="4"/>
    <n v="2024"/>
    <d v="2024-04-15T00:00:00"/>
    <s v="April"/>
    <d v="2030-08-08T00:00:00"/>
    <x v="3"/>
    <n v="5"/>
    <n v="65346.14"/>
    <s v="Tanuja Malhotra"/>
    <n v="46"/>
    <s v="Senior Citezen"/>
    <s v="Good"/>
    <x v="18"/>
    <s v="Debit Card"/>
    <n v="4"/>
    <s v="Galaxy S21"/>
    <n v="326730.7"/>
    <s v="Good"/>
    <s v="Excellent"/>
  </r>
  <r>
    <s v="Lali513227"/>
    <n v="3227"/>
    <n v="15"/>
    <n v="4"/>
    <n v="2024"/>
    <d v="2024-04-15T00:00:00"/>
    <s v="April"/>
    <d v="2030-08-09T00:00:00"/>
    <x v="2"/>
    <n v="3"/>
    <n v="49976.21"/>
    <s v="Lalita Shah"/>
    <n v="51"/>
    <s v="Senior Citezen"/>
    <s v="Good"/>
    <x v="11"/>
    <s v="Debit Card"/>
    <n v="4"/>
    <s v="OnePlus 8T"/>
    <n v="149928.63"/>
    <s v="Good"/>
    <s v="Good"/>
  </r>
  <r>
    <s v="Pank513228"/>
    <n v="3228"/>
    <n v="15"/>
    <n v="4"/>
    <n v="2024"/>
    <d v="2024-04-15T00:00:00"/>
    <s v="April"/>
    <d v="2030-08-10T00:00:00"/>
    <x v="1"/>
    <n v="3"/>
    <n v="24138.639999999999"/>
    <s v="Pankaj Verma"/>
    <n v="51"/>
    <s v="Senior Citezen"/>
    <s v="BAD"/>
    <x v="5"/>
    <s v="Credit Card"/>
    <n v="2"/>
    <s v="Vivo Y51"/>
    <n v="72415.92"/>
    <s v="Average"/>
    <s v="Average"/>
  </r>
  <r>
    <s v="Mala443229"/>
    <n v="3229"/>
    <n v="15"/>
    <n v="4"/>
    <n v="2024"/>
    <d v="2024-04-15T00:00:00"/>
    <s v="April"/>
    <d v="2030-08-11T00:00:00"/>
    <x v="3"/>
    <n v="6"/>
    <n v="63671.39"/>
    <s v="Mala Menon"/>
    <n v="44"/>
    <s v="Adult"/>
    <s v="AVG"/>
    <x v="15"/>
    <s v="Debit Card"/>
    <n v="3"/>
    <s v="Galaxy S21"/>
    <n v="382028.33999999997"/>
    <s v="Average"/>
    <s v="Excellent"/>
  </r>
  <r>
    <s v="Priy323230"/>
    <n v="3230"/>
    <n v="16"/>
    <n v="4"/>
    <n v="2024"/>
    <d v="2024-04-16T00:00:00"/>
    <s v="April"/>
    <d v="2030-08-12T00:00:00"/>
    <x v="0"/>
    <n v="8"/>
    <n v="21055.9"/>
    <s v="Priyanka Sharma"/>
    <n v="32"/>
    <s v="Adult"/>
    <s v="AVG"/>
    <x v="13"/>
    <s v="Cash"/>
    <n v="3"/>
    <s v="Redmi Note 10"/>
    <n v="168447.2"/>
    <s v="Average"/>
    <s v="Good"/>
  </r>
  <r>
    <s v="Deep263231"/>
    <n v="3231"/>
    <n v="16"/>
    <n v="4"/>
    <n v="2024"/>
    <d v="2024-04-16T00:00:00"/>
    <s v="April"/>
    <d v="2030-08-13T00:00:00"/>
    <x v="2"/>
    <n v="2"/>
    <n v="22783.63"/>
    <s v="Deepika Gupta"/>
    <n v="26"/>
    <s v="Teenagers"/>
    <s v="AVG"/>
    <x v="13"/>
    <s v="UPI"/>
    <n v="3"/>
    <s v="OnePlus Nord"/>
    <n v="45567.26"/>
    <s v="Average"/>
    <s v="Low"/>
  </r>
  <r>
    <s v="Radh433232"/>
    <n v="3232"/>
    <n v="16"/>
    <n v="4"/>
    <n v="2024"/>
    <d v="2024-04-16T00:00:00"/>
    <s v="April"/>
    <d v="2030-08-14T00:00:00"/>
    <x v="3"/>
    <n v="4"/>
    <n v="26263.78"/>
    <s v="Radha Mathur"/>
    <n v="43"/>
    <s v="Adult"/>
    <s v="Good"/>
    <x v="2"/>
    <s v="Credit Card"/>
    <n v="5"/>
    <s v="Galaxy S21"/>
    <n v="105055.12"/>
    <s v="Good"/>
    <s v="Good"/>
  </r>
  <r>
    <s v="Lali203233"/>
    <n v="3233"/>
    <n v="17"/>
    <n v="4"/>
    <n v="2024"/>
    <d v="2024-04-17T00:00:00"/>
    <s v="April"/>
    <d v="2030-08-15T00:00:00"/>
    <x v="4"/>
    <n v="7"/>
    <n v="28254.78"/>
    <s v="Lalita Rathod"/>
    <n v="20"/>
    <s v="Teenagers"/>
    <s v="BAD"/>
    <x v="6"/>
    <s v="UPI"/>
    <n v="1"/>
    <s v="iPhone 11"/>
    <n v="197783.46"/>
    <s v="Average"/>
    <s v="Good"/>
  </r>
  <r>
    <s v="Pras533234"/>
    <n v="3234"/>
    <n v="17"/>
    <n v="4"/>
    <n v="2024"/>
    <d v="2024-04-17T00:00:00"/>
    <s v="April"/>
    <d v="2030-08-16T00:00:00"/>
    <x v="0"/>
    <n v="1"/>
    <n v="40868.78"/>
    <s v="Prashant Mishra"/>
    <n v="53"/>
    <s v="Senior Citezen"/>
    <s v="Good"/>
    <x v="0"/>
    <s v="Debit Card"/>
    <n v="5"/>
    <s v="Redmi Note 10"/>
    <n v="40868.78"/>
    <s v="Good"/>
    <s v="Low"/>
  </r>
  <r>
    <s v="Ravi223235"/>
    <n v="3235"/>
    <n v="17"/>
    <n v="4"/>
    <n v="2024"/>
    <d v="2024-04-17T00:00:00"/>
    <s v="April"/>
    <d v="2030-08-17T00:00:00"/>
    <x v="3"/>
    <n v="1"/>
    <n v="52807.44"/>
    <s v="Ravi Teja"/>
    <n v="22"/>
    <s v="Teenagers"/>
    <s v="AVG"/>
    <x v="2"/>
    <s v="Cash"/>
    <n v="3"/>
    <s v="Galaxy S21"/>
    <n v="52807.44"/>
    <s v="Average"/>
    <s v="Average"/>
  </r>
  <r>
    <s v="Ravi373236"/>
    <n v="3236"/>
    <n v="18"/>
    <n v="4"/>
    <n v="2024"/>
    <d v="2024-04-18T00:00:00"/>
    <s v="April"/>
    <d v="2030-08-18T00:00:00"/>
    <x v="0"/>
    <n v="7"/>
    <n v="65572.490000000005"/>
    <s v="Ravi Teja"/>
    <n v="37"/>
    <s v="Adult"/>
    <s v="BAD"/>
    <x v="10"/>
    <s v="Debit Card"/>
    <n v="2"/>
    <s v="Redmi 9"/>
    <n v="459007.43000000005"/>
    <s v="Average"/>
    <s v="Excellent"/>
  </r>
  <r>
    <s v="Kavi373237"/>
    <n v="3237"/>
    <n v="18"/>
    <n v="4"/>
    <n v="2024"/>
    <d v="2024-04-18T00:00:00"/>
    <s v="April"/>
    <d v="2030-08-19T00:00:00"/>
    <x v="0"/>
    <n v="7"/>
    <n v="15306.26"/>
    <s v="Kavita Singh"/>
    <n v="37"/>
    <s v="Adult"/>
    <s v="Good"/>
    <x v="8"/>
    <s v="UPI"/>
    <n v="4"/>
    <s v="Redmi Note 10"/>
    <n v="107143.82"/>
    <s v="Good"/>
    <s v="Good"/>
  </r>
  <r>
    <s v="Vino223238"/>
    <n v="3238"/>
    <n v="18"/>
    <n v="4"/>
    <n v="2024"/>
    <d v="2024-04-18T00:00:00"/>
    <s v="April"/>
    <d v="2030-08-20T00:00:00"/>
    <x v="1"/>
    <n v="1"/>
    <n v="67262.16"/>
    <s v="Vinod Kulkarni"/>
    <n v="22"/>
    <s v="Teenagers"/>
    <s v="Good"/>
    <x v="18"/>
    <s v="Credit Card"/>
    <n v="4"/>
    <s v="Vivo Y51"/>
    <n v="67262.16"/>
    <s v="Good"/>
    <s v="Average"/>
  </r>
  <r>
    <s v="Ayes273239"/>
    <n v="3239"/>
    <n v="19"/>
    <n v="4"/>
    <n v="2024"/>
    <d v="2024-04-19T00:00:00"/>
    <s v="April"/>
    <d v="2030-08-21T00:00:00"/>
    <x v="0"/>
    <n v="1"/>
    <n v="65279.38"/>
    <s v="Ayesha Ahuja"/>
    <n v="27"/>
    <s v="Teenagers"/>
    <s v="Good"/>
    <x v="6"/>
    <s v="UPI"/>
    <n v="5"/>
    <s v="Mi 11"/>
    <n v="65279.38"/>
    <s v="Good"/>
    <s v="Average"/>
  </r>
  <r>
    <s v="Jyot333240"/>
    <n v="3240"/>
    <n v="19"/>
    <n v="4"/>
    <n v="2024"/>
    <d v="2024-04-19T00:00:00"/>
    <s v="April"/>
    <d v="2030-08-22T00:00:00"/>
    <x v="1"/>
    <n v="4"/>
    <n v="13239.96"/>
    <s v="Jyoti Kumar"/>
    <n v="33"/>
    <s v="Adult"/>
    <s v="Good"/>
    <x v="7"/>
    <s v="Credit Card"/>
    <n v="5"/>
    <s v="Vivo Y51"/>
    <n v="52959.839999999997"/>
    <s v="Good"/>
    <s v="Average"/>
  </r>
  <r>
    <s v="Mano423241"/>
    <n v="3241"/>
    <n v="19"/>
    <n v="4"/>
    <n v="2024"/>
    <d v="2024-04-19T00:00:00"/>
    <s v="April"/>
    <d v="2030-08-23T00:00:00"/>
    <x v="2"/>
    <n v="5"/>
    <n v="31619.27"/>
    <s v="Manoj Dutta"/>
    <n v="42"/>
    <s v="Adult"/>
    <s v="BAD"/>
    <x v="12"/>
    <s v="Cash"/>
    <n v="2"/>
    <s v="OnePlus 9"/>
    <n v="158096.35"/>
    <s v="Average"/>
    <s v="Good"/>
  </r>
  <r>
    <s v="Nami423242"/>
    <n v="3242"/>
    <n v="20"/>
    <n v="4"/>
    <n v="2024"/>
    <d v="2024-04-20T00:00:00"/>
    <s v="April"/>
    <d v="2030-08-24T00:00:00"/>
    <x v="1"/>
    <n v="5"/>
    <n v="58788.6"/>
    <s v="Namita Gupta"/>
    <n v="42"/>
    <s v="Adult"/>
    <s v="Good"/>
    <x v="1"/>
    <s v="Debit Card"/>
    <n v="4"/>
    <s v="Vivo V20"/>
    <n v="293943"/>
    <s v="Good"/>
    <s v="Excellent"/>
  </r>
  <r>
    <s v="Nikh473243"/>
    <n v="3243"/>
    <n v="20"/>
    <n v="4"/>
    <n v="2024"/>
    <d v="2024-04-20T00:00:00"/>
    <s v="April"/>
    <d v="2030-08-25T00:00:00"/>
    <x v="4"/>
    <n v="4"/>
    <n v="46694.59"/>
    <s v="Nikhil Solanki"/>
    <n v="47"/>
    <s v="Senior Citezen"/>
    <s v="Good"/>
    <x v="7"/>
    <s v="Debit Card"/>
    <n v="5"/>
    <s v="iPhone 11"/>
    <n v="186778.36"/>
    <s v="Good"/>
    <s v="Good"/>
  </r>
  <r>
    <s v="Pooj313244"/>
    <n v="3244"/>
    <n v="20"/>
    <n v="4"/>
    <n v="2024"/>
    <d v="2024-04-20T00:00:00"/>
    <s v="April"/>
    <d v="2030-08-26T00:00:00"/>
    <x v="3"/>
    <n v="8"/>
    <n v="56745.64"/>
    <s v="Pooja Solanki"/>
    <n v="31"/>
    <s v="Adult"/>
    <s v="BAD"/>
    <x v="8"/>
    <s v="Cash"/>
    <n v="1"/>
    <s v="Galaxy S21"/>
    <n v="453965.12"/>
    <s v="Average"/>
    <s v="Excellent"/>
  </r>
  <r>
    <s v="Sumi393245"/>
    <n v="3245"/>
    <n v="21"/>
    <n v="4"/>
    <n v="2024"/>
    <d v="2024-04-21T00:00:00"/>
    <s v="April"/>
    <d v="2030-08-27T00:00:00"/>
    <x v="2"/>
    <n v="7"/>
    <n v="53142"/>
    <s v="Sumit Sheth"/>
    <n v="39"/>
    <s v="Adult"/>
    <s v="Good"/>
    <x v="0"/>
    <s v="UPI"/>
    <n v="5"/>
    <s v="OnePlus Nord"/>
    <n v="371994"/>
    <s v="Good"/>
    <s v="Excellent"/>
  </r>
  <r>
    <s v="Kris453246"/>
    <n v="3246"/>
    <n v="21"/>
    <n v="4"/>
    <n v="2024"/>
    <d v="2024-04-21T00:00:00"/>
    <s v="April"/>
    <d v="2030-08-28T00:00:00"/>
    <x v="2"/>
    <n v="9"/>
    <n v="39806.21"/>
    <s v="Krishna Bhattacharya"/>
    <n v="45"/>
    <s v="Adult"/>
    <s v="Good"/>
    <x v="2"/>
    <s v="Cash"/>
    <n v="5"/>
    <s v="OnePlus Nord"/>
    <n v="358255.89"/>
    <s v="Good"/>
    <s v="Excellent"/>
  </r>
  <r>
    <s v="Ayes473247"/>
    <n v="3247"/>
    <n v="21"/>
    <n v="4"/>
    <n v="2024"/>
    <d v="2024-04-21T00:00:00"/>
    <s v="April"/>
    <d v="2030-08-29T00:00:00"/>
    <x v="4"/>
    <n v="7"/>
    <n v="12473.08"/>
    <s v="Ayesha Bhattacharya"/>
    <n v="47"/>
    <s v="Senior Citezen"/>
    <s v="AVG"/>
    <x v="2"/>
    <s v="Debit Card"/>
    <n v="3"/>
    <s v="iPhone SE"/>
    <n v="87311.56"/>
    <s v="Average"/>
    <s v="Average"/>
  </r>
  <r>
    <s v="Vive363248"/>
    <n v="3248"/>
    <n v="22"/>
    <n v="4"/>
    <n v="2024"/>
    <d v="2024-04-22T00:00:00"/>
    <s v="April"/>
    <d v="2030-08-30T00:00:00"/>
    <x v="1"/>
    <n v="1"/>
    <n v="45056.09"/>
    <s v="Vivek Mishra"/>
    <n v="36"/>
    <s v="Adult"/>
    <s v="BAD"/>
    <x v="0"/>
    <s v="Credit Card"/>
    <n v="1"/>
    <s v="Vivo S1"/>
    <n v="45056.09"/>
    <s v="Average"/>
    <s v="Low"/>
  </r>
  <r>
    <s v="Priy553249"/>
    <n v="3249"/>
    <n v="22"/>
    <n v="4"/>
    <n v="2024"/>
    <d v="2024-04-22T00:00:00"/>
    <s v="April"/>
    <d v="2030-08-31T00:00:00"/>
    <x v="3"/>
    <n v="7"/>
    <n v="12914"/>
    <s v="Priya Ahuja"/>
    <n v="55"/>
    <s v="Senior Citezen"/>
    <s v="BAD"/>
    <x v="1"/>
    <s v="Debit Card"/>
    <n v="1"/>
    <s v="Galaxy Note 20"/>
    <n v="90398"/>
    <s v="Average"/>
    <s v="Average"/>
  </r>
  <r>
    <s v="Vija593250"/>
    <n v="3250"/>
    <n v="22"/>
    <n v="4"/>
    <n v="2024"/>
    <d v="2024-04-22T00:00:00"/>
    <s v="April"/>
    <d v="2030-09-01T00:00:00"/>
    <x v="1"/>
    <n v="1"/>
    <n v="46223.6"/>
    <s v="Vijay Rao"/>
    <n v="59"/>
    <s v="Senior Citezen"/>
    <s v="BAD"/>
    <x v="2"/>
    <s v="UPI"/>
    <n v="2"/>
    <s v="Vivo V20"/>
    <n v="46223.6"/>
    <s v="Average"/>
    <s v="Low"/>
  </r>
  <r>
    <s v="Priy373251"/>
    <n v="3251"/>
    <n v="23"/>
    <n v="4"/>
    <n v="2024"/>
    <d v="2024-04-23T00:00:00"/>
    <s v="April"/>
    <d v="2030-09-02T00:00:00"/>
    <x v="0"/>
    <n v="7"/>
    <n v="58024.65"/>
    <s v="Priya Ahuja"/>
    <n v="37"/>
    <s v="Adult"/>
    <s v="AVG"/>
    <x v="14"/>
    <s v="Credit Card"/>
    <n v="3"/>
    <s v="Redmi 9"/>
    <n v="406172.55"/>
    <s v="Average"/>
    <s v="Excellent"/>
  </r>
  <r>
    <s v="Lata523252"/>
    <n v="3252"/>
    <n v="23"/>
    <n v="4"/>
    <n v="2024"/>
    <d v="2024-04-23T00:00:00"/>
    <s v="April"/>
    <d v="2030-09-03T00:00:00"/>
    <x v="1"/>
    <n v="8"/>
    <n v="45099.5"/>
    <s v="Lata Rawat"/>
    <n v="52"/>
    <s v="Senior Citezen"/>
    <s v="BAD"/>
    <x v="8"/>
    <s v="UPI"/>
    <n v="1"/>
    <s v="Vivo Y51"/>
    <n v="360796"/>
    <s v="Average"/>
    <s v="Excellent"/>
  </r>
  <r>
    <s v="Pras393253"/>
    <n v="3253"/>
    <n v="23"/>
    <n v="4"/>
    <n v="2024"/>
    <d v="2024-04-23T00:00:00"/>
    <s v="April"/>
    <d v="2030-09-04T00:00:00"/>
    <x v="2"/>
    <n v="9"/>
    <n v="69821.31"/>
    <s v="Prashant Verma"/>
    <n v="39"/>
    <s v="Adult"/>
    <s v="AVG"/>
    <x v="3"/>
    <s v="Debit Card"/>
    <n v="3"/>
    <s v="OnePlus Nord"/>
    <n v="628391.79"/>
    <s v="Average"/>
    <s v="Excellent"/>
  </r>
  <r>
    <s v="Suni323254"/>
    <n v="3254"/>
    <n v="23"/>
    <n v="4"/>
    <n v="2024"/>
    <d v="2024-04-23T00:00:00"/>
    <s v="April"/>
    <d v="2030-09-05T00:00:00"/>
    <x v="3"/>
    <n v="3"/>
    <n v="37351.99"/>
    <s v="Sunil Kapoor"/>
    <n v="32"/>
    <s v="Adult"/>
    <s v="AVG"/>
    <x v="12"/>
    <s v="Debit Card"/>
    <n v="3"/>
    <s v="Galaxy S21"/>
    <n v="112055.97"/>
    <s v="Average"/>
    <s v="Good"/>
  </r>
  <r>
    <s v="Bhav283255"/>
    <n v="3255"/>
    <n v="24"/>
    <n v="4"/>
    <n v="2024"/>
    <d v="2024-04-24T00:00:00"/>
    <s v="April"/>
    <d v="2030-09-06T00:00:00"/>
    <x v="1"/>
    <n v="4"/>
    <n v="54929.65"/>
    <s v="Bhavana Varma"/>
    <n v="28"/>
    <s v="Teenagers"/>
    <s v="Good"/>
    <x v="9"/>
    <s v="Credit Card"/>
    <n v="4"/>
    <s v="Vivo S1"/>
    <n v="219718.6"/>
    <s v="Good"/>
    <s v="Excellent"/>
  </r>
  <r>
    <s v="Rame513256"/>
    <n v="3256"/>
    <n v="24"/>
    <n v="4"/>
    <n v="2024"/>
    <d v="2024-04-24T00:00:00"/>
    <s v="April"/>
    <d v="2030-09-07T00:00:00"/>
    <x v="3"/>
    <n v="4"/>
    <n v="50032.800000000003"/>
    <s v="Ramesh Nambiar"/>
    <n v="51"/>
    <s v="Senior Citezen"/>
    <s v="BAD"/>
    <x v="2"/>
    <s v="UPI"/>
    <n v="1"/>
    <s v="Galaxy A51"/>
    <n v="200131.20000000001"/>
    <s v="Average"/>
    <s v="Excellent"/>
  </r>
  <r>
    <s v="Gita413257"/>
    <n v="3257"/>
    <n v="24"/>
    <n v="4"/>
    <n v="2024"/>
    <d v="2024-04-24T00:00:00"/>
    <s v="April"/>
    <d v="2030-09-08T00:00:00"/>
    <x v="3"/>
    <n v="9"/>
    <n v="69485.899999999994"/>
    <s v="Gita Dutta"/>
    <n v="41"/>
    <s v="Adult"/>
    <s v="Good"/>
    <x v="1"/>
    <s v="Credit Card"/>
    <n v="4"/>
    <s v="Galaxy A51"/>
    <n v="625373.1"/>
    <s v="Good"/>
    <s v="Excellent"/>
  </r>
  <r>
    <s v="Isha233258"/>
    <n v="3258"/>
    <n v="24"/>
    <n v="4"/>
    <n v="2024"/>
    <d v="2024-04-24T00:00:00"/>
    <s v="April"/>
    <d v="2030-09-09T00:00:00"/>
    <x v="0"/>
    <n v="7"/>
    <n v="52793.14"/>
    <s v="Isha Gupta"/>
    <n v="23"/>
    <s v="Teenagers"/>
    <s v="Good"/>
    <x v="18"/>
    <s v="Credit Card"/>
    <n v="5"/>
    <s v="Redmi 9"/>
    <n v="369551.98"/>
    <s v="Good"/>
    <s v="Excellent"/>
  </r>
  <r>
    <s v="Kira343259"/>
    <n v="3259"/>
    <n v="25"/>
    <n v="4"/>
    <n v="2024"/>
    <d v="2024-04-25T00:00:00"/>
    <s v="April"/>
    <d v="2030-09-10T00:00:00"/>
    <x v="0"/>
    <n v="3"/>
    <n v="19841.84"/>
    <s v="Kiran Gupta"/>
    <n v="34"/>
    <s v="Adult"/>
    <s v="Good"/>
    <x v="1"/>
    <s v="UPI"/>
    <n v="5"/>
    <s v="Redmi Note 10"/>
    <n v="59525.520000000004"/>
    <s v="Good"/>
    <s v="Average"/>
  </r>
  <r>
    <s v="Mano453260"/>
    <n v="3260"/>
    <n v="25"/>
    <n v="4"/>
    <n v="2024"/>
    <d v="2024-04-25T00:00:00"/>
    <s v="April"/>
    <d v="2030-09-11T00:00:00"/>
    <x v="2"/>
    <n v="5"/>
    <n v="67331.06"/>
    <s v="Manoj Siddiqui"/>
    <n v="45"/>
    <s v="Adult"/>
    <s v="Good"/>
    <x v="11"/>
    <s v="Credit Card"/>
    <n v="4"/>
    <s v="OnePlus 8T"/>
    <n v="336655.3"/>
    <s v="Good"/>
    <s v="Excellent"/>
  </r>
  <r>
    <s v="Mala483261"/>
    <n v="3261"/>
    <n v="25"/>
    <n v="4"/>
    <n v="2024"/>
    <d v="2024-04-25T00:00:00"/>
    <s v="April"/>
    <d v="2030-09-12T00:00:00"/>
    <x v="4"/>
    <n v="7"/>
    <n v="50066.63"/>
    <s v="Mala Pathak"/>
    <n v="48"/>
    <s v="Senior Citezen"/>
    <s v="Good"/>
    <x v="2"/>
    <s v="Cash"/>
    <n v="5"/>
    <s v="iPhone SE"/>
    <n v="350466.41"/>
    <s v="Good"/>
    <s v="Excellent"/>
  </r>
  <r>
    <s v="Mala533262"/>
    <n v="3262"/>
    <n v="26"/>
    <n v="4"/>
    <n v="2024"/>
    <d v="2024-04-26T00:00:00"/>
    <s v="April"/>
    <d v="2030-09-13T00:00:00"/>
    <x v="3"/>
    <n v="8"/>
    <n v="13560.29"/>
    <s v="Mala Roy"/>
    <n v="53"/>
    <s v="Senior Citezen"/>
    <s v="Good"/>
    <x v="15"/>
    <s v="Credit Card"/>
    <n v="4"/>
    <s v="Galaxy Note 20"/>
    <n v="108482.32"/>
    <s v="Good"/>
    <s v="Good"/>
  </r>
  <r>
    <s v="Nikh263263"/>
    <n v="3263"/>
    <n v="26"/>
    <n v="4"/>
    <n v="2024"/>
    <d v="2024-04-26T00:00:00"/>
    <s v="April"/>
    <d v="2030-09-14T00:00:00"/>
    <x v="4"/>
    <n v="1"/>
    <n v="49454.1"/>
    <s v="Nikhil Menon"/>
    <n v="26"/>
    <s v="Teenagers"/>
    <s v="BAD"/>
    <x v="3"/>
    <s v="Debit Card"/>
    <n v="2"/>
    <s v="iPhone 12"/>
    <n v="49454.1"/>
    <s v="Average"/>
    <s v="Low"/>
  </r>
  <r>
    <s v="Meen273264"/>
    <n v="3264"/>
    <n v="26"/>
    <n v="4"/>
    <n v="2024"/>
    <d v="2024-04-26T00:00:00"/>
    <s v="April"/>
    <d v="2030-09-15T00:00:00"/>
    <x v="2"/>
    <n v="2"/>
    <n v="62987.16"/>
    <s v="Meena Mathur"/>
    <n v="27"/>
    <s v="Teenagers"/>
    <s v="AVG"/>
    <x v="2"/>
    <s v="UPI"/>
    <n v="3"/>
    <s v="OnePlus 9"/>
    <n v="125974.32"/>
    <s v="Average"/>
    <s v="Good"/>
  </r>
  <r>
    <s v="Kira383265"/>
    <n v="3265"/>
    <n v="27"/>
    <n v="4"/>
    <n v="2024"/>
    <d v="2024-04-27T00:00:00"/>
    <s v="April"/>
    <d v="2030-09-16T00:00:00"/>
    <x v="3"/>
    <n v="7"/>
    <n v="44622.51"/>
    <s v="Kiran Singh"/>
    <n v="38"/>
    <s v="Adult"/>
    <s v="BAD"/>
    <x v="17"/>
    <s v="Debit Card"/>
    <n v="2"/>
    <s v="Galaxy A51"/>
    <n v="312357.57"/>
    <s v="Average"/>
    <s v="Excellent"/>
  </r>
  <r>
    <s v="Priy513266"/>
    <n v="3266"/>
    <n v="27"/>
    <n v="4"/>
    <n v="2024"/>
    <d v="2024-04-27T00:00:00"/>
    <s v="April"/>
    <d v="2030-09-17T00:00:00"/>
    <x v="3"/>
    <n v="2"/>
    <n v="31241.18"/>
    <s v="Priyanka Menon"/>
    <n v="51"/>
    <s v="Senior Citezen"/>
    <s v="BAD"/>
    <x v="6"/>
    <s v="Cash"/>
    <n v="1"/>
    <s v="Galaxy Note 20"/>
    <n v="62482.36"/>
    <s v="Average"/>
    <s v="Average"/>
  </r>
  <r>
    <s v="Nikh483267"/>
    <n v="3267"/>
    <n v="27"/>
    <n v="4"/>
    <n v="2024"/>
    <d v="2024-04-27T00:00:00"/>
    <s v="April"/>
    <d v="2030-09-18T00:00:00"/>
    <x v="4"/>
    <n v="7"/>
    <n v="59254.58"/>
    <s v="Nikhil Ahuja"/>
    <n v="48"/>
    <s v="Senior Citezen"/>
    <s v="BAD"/>
    <x v="1"/>
    <s v="Cash"/>
    <n v="2"/>
    <s v="iPhone SE"/>
    <n v="414782.06"/>
    <s v="Average"/>
    <s v="Excellent"/>
  </r>
  <r>
    <s v="Ayes463268"/>
    <n v="3268"/>
    <n v="27"/>
    <n v="4"/>
    <n v="2024"/>
    <d v="2024-04-27T00:00:00"/>
    <s v="April"/>
    <d v="2030-09-19T00:00:00"/>
    <x v="1"/>
    <n v="9"/>
    <n v="56950.720000000001"/>
    <s v="Ayesha Roy"/>
    <n v="46"/>
    <s v="Senior Citezen"/>
    <s v="BAD"/>
    <x v="18"/>
    <s v="Credit Card"/>
    <n v="2"/>
    <s v="Vivo V20"/>
    <n v="512556.48"/>
    <s v="Average"/>
    <s v="Excellent"/>
  </r>
  <r>
    <s v="Suni283269"/>
    <n v="3269"/>
    <n v="28"/>
    <n v="4"/>
    <n v="2024"/>
    <d v="2024-04-28T00:00:00"/>
    <s v="April"/>
    <d v="2030-09-20T00:00:00"/>
    <x v="0"/>
    <n v="2"/>
    <n v="42650.93"/>
    <s v="Sunil Dutta"/>
    <n v="28"/>
    <s v="Teenagers"/>
    <s v="Good"/>
    <x v="15"/>
    <s v="Debit Card"/>
    <n v="5"/>
    <s v="Redmi 9"/>
    <n v="85301.86"/>
    <s v="Good"/>
    <s v="Average"/>
  </r>
  <r>
    <s v="Priy503270"/>
    <n v="3270"/>
    <n v="28"/>
    <n v="4"/>
    <n v="2024"/>
    <d v="2024-04-28T00:00:00"/>
    <s v="April"/>
    <d v="2030-09-21T00:00:00"/>
    <x v="1"/>
    <n v="7"/>
    <n v="19261.71"/>
    <s v="Priya Patel"/>
    <n v="50"/>
    <s v="Senior Citezen"/>
    <s v="Good"/>
    <x v="1"/>
    <s v="Credit Card"/>
    <n v="4"/>
    <s v="Vivo S1"/>
    <n v="134831.97"/>
    <s v="Good"/>
    <s v="Good"/>
  </r>
  <r>
    <s v="Anit183271"/>
    <n v="3271"/>
    <n v="28"/>
    <n v="4"/>
    <n v="2024"/>
    <d v="2024-04-28T00:00:00"/>
    <s v="April"/>
    <d v="2030-09-22T00:00:00"/>
    <x v="4"/>
    <n v="4"/>
    <n v="25059.19"/>
    <s v="Anita Malhotra"/>
    <n v="18"/>
    <s v="Teenagers"/>
    <s v="BAD"/>
    <x v="13"/>
    <s v="Credit Card"/>
    <n v="1"/>
    <s v="iPhone 11"/>
    <n v="100236.76"/>
    <s v="Average"/>
    <s v="Good"/>
  </r>
  <r>
    <s v="Anit383272"/>
    <n v="3272"/>
    <n v="29"/>
    <n v="4"/>
    <n v="2024"/>
    <d v="2024-04-29T00:00:00"/>
    <s v="April"/>
    <d v="2030-09-23T00:00:00"/>
    <x v="0"/>
    <n v="2"/>
    <n v="54309.04"/>
    <s v="Anita Joshi"/>
    <n v="38"/>
    <s v="Adult"/>
    <s v="Good"/>
    <x v="5"/>
    <s v="Debit Card"/>
    <n v="5"/>
    <s v="Redmi Note 10"/>
    <n v="108618.08"/>
    <s v="Good"/>
    <s v="Good"/>
  </r>
  <r>
    <s v="Suni403273"/>
    <n v="3273"/>
    <n v="29"/>
    <n v="4"/>
    <n v="2024"/>
    <d v="2024-04-29T00:00:00"/>
    <s v="April"/>
    <d v="2030-09-24T00:00:00"/>
    <x v="1"/>
    <n v="7"/>
    <n v="58364.93"/>
    <s v="Sunil Dutta"/>
    <n v="40"/>
    <s v="Adult"/>
    <s v="BAD"/>
    <x v="16"/>
    <s v="Cash"/>
    <n v="1"/>
    <s v="Vivo S1"/>
    <n v="408554.51"/>
    <s v="Average"/>
    <s v="Excellent"/>
  </r>
  <r>
    <s v="Pank263274"/>
    <n v="3274"/>
    <n v="29"/>
    <n v="4"/>
    <n v="2024"/>
    <d v="2024-04-29T00:00:00"/>
    <s v="April"/>
    <d v="2030-09-25T00:00:00"/>
    <x v="0"/>
    <n v="5"/>
    <n v="26755.919999999998"/>
    <s v="Pankaj Pathak"/>
    <n v="26"/>
    <s v="Teenagers"/>
    <s v="AVG"/>
    <x v="7"/>
    <s v="Cash"/>
    <n v="3"/>
    <s v="Redmi 9"/>
    <n v="133779.59999999998"/>
    <s v="Average"/>
    <s v="Good"/>
  </r>
  <r>
    <s v="Mano183275"/>
    <n v="3275"/>
    <n v="30"/>
    <n v="4"/>
    <n v="2024"/>
    <d v="2024-04-30T00:00:00"/>
    <s v="April"/>
    <d v="2030-09-26T00:00:00"/>
    <x v="3"/>
    <n v="1"/>
    <n v="32079.1"/>
    <s v="Manoj Jain"/>
    <n v="18"/>
    <s v="Teenagers"/>
    <s v="Good"/>
    <x v="9"/>
    <s v="Cash"/>
    <n v="4"/>
    <s v="Galaxy A51"/>
    <n v="32079.1"/>
    <s v="Good"/>
    <s v="Low"/>
  </r>
  <r>
    <s v="Bhav383276"/>
    <n v="3276"/>
    <n v="30"/>
    <n v="4"/>
    <n v="2024"/>
    <d v="2024-04-30T00:00:00"/>
    <s v="April"/>
    <d v="2030-09-27T00:00:00"/>
    <x v="1"/>
    <n v="5"/>
    <n v="14657.91"/>
    <s v="Bhavana Rathod"/>
    <n v="38"/>
    <s v="Adult"/>
    <s v="Good"/>
    <x v="1"/>
    <s v="UPI"/>
    <n v="5"/>
    <s v="Vivo Y51"/>
    <n v="73289.55"/>
    <s v="Good"/>
    <s v="Average"/>
  </r>
  <r>
    <s v="Raje393277"/>
    <n v="3277"/>
    <n v="30"/>
    <n v="4"/>
    <n v="2024"/>
    <d v="2024-04-30T00:00:00"/>
    <s v="April"/>
    <d v="2030-09-28T00:00:00"/>
    <x v="0"/>
    <n v="3"/>
    <n v="52807.72"/>
    <s v="Rajesh Mishra"/>
    <n v="39"/>
    <s v="Adult"/>
    <s v="BAD"/>
    <x v="2"/>
    <s v="UPI"/>
    <n v="2"/>
    <s v="Redmi Note 10"/>
    <n v="158423.16"/>
    <s v="Average"/>
    <s v="Good"/>
  </r>
  <r>
    <s v="Nami213278"/>
    <n v="3278"/>
    <n v="30"/>
    <n v="4"/>
    <n v="2024"/>
    <d v="2024-04-30T00:00:00"/>
    <s v="April"/>
    <d v="2030-09-29T00:00:00"/>
    <x v="0"/>
    <n v="7"/>
    <n v="10214.65"/>
    <s v="Namita Mehta"/>
    <n v="21"/>
    <s v="Teenagers"/>
    <s v="AVG"/>
    <x v="1"/>
    <s v="Credit Card"/>
    <n v="3"/>
    <s v="Redmi 9"/>
    <n v="71502.55"/>
    <s v="Average"/>
    <s v="Average"/>
  </r>
  <r>
    <s v="Neet183279"/>
    <n v="3279"/>
    <n v="1"/>
    <n v="5"/>
    <n v="2024"/>
    <d v="2024-05-01T00:00:00"/>
    <s v="May"/>
    <d v="2030-09-30T00:00:00"/>
    <x v="0"/>
    <n v="6"/>
    <n v="12792.49"/>
    <s v="Neeta Mathur"/>
    <n v="18"/>
    <s v="Teenagers"/>
    <s v="BAD"/>
    <x v="2"/>
    <s v="UPI"/>
    <n v="2"/>
    <s v="Redmi 9"/>
    <n v="76754.94"/>
    <s v="Average"/>
    <s v="Average"/>
  </r>
  <r>
    <s v="Raje273280"/>
    <n v="3280"/>
    <n v="1"/>
    <n v="5"/>
    <n v="2024"/>
    <d v="2024-05-01T00:00:00"/>
    <s v="May"/>
    <d v="2030-10-01T00:00:00"/>
    <x v="1"/>
    <n v="8"/>
    <n v="10260.64"/>
    <s v="Rajesh Singh"/>
    <n v="27"/>
    <s v="Teenagers"/>
    <s v="BAD"/>
    <x v="18"/>
    <s v="UPI"/>
    <n v="1"/>
    <s v="Vivo S1"/>
    <n v="82085.119999999995"/>
    <s v="Average"/>
    <s v="Average"/>
  </r>
  <r>
    <s v="Suni323281"/>
    <n v="3281"/>
    <n v="1"/>
    <n v="5"/>
    <n v="2024"/>
    <d v="2024-05-01T00:00:00"/>
    <s v="May"/>
    <d v="2030-10-02T00:00:00"/>
    <x v="2"/>
    <n v="5"/>
    <n v="48719.18"/>
    <s v="Sunita Das"/>
    <n v="32"/>
    <s v="Adult"/>
    <s v="AVG"/>
    <x v="8"/>
    <s v="Debit Card"/>
    <n v="3"/>
    <s v="OnePlus 9"/>
    <n v="243595.9"/>
    <s v="Average"/>
    <s v="Excellent"/>
  </r>
  <r>
    <s v="Kris533282"/>
    <n v="3282"/>
    <n v="2"/>
    <n v="5"/>
    <n v="2024"/>
    <d v="2024-05-02T00:00:00"/>
    <s v="May"/>
    <d v="2030-10-03T00:00:00"/>
    <x v="1"/>
    <n v="2"/>
    <n v="35043.230000000003"/>
    <s v="Krishna Reddy"/>
    <n v="53"/>
    <s v="Senior Citezen"/>
    <s v="Good"/>
    <x v="2"/>
    <s v="Credit Card"/>
    <n v="5"/>
    <s v="Vivo Y51"/>
    <n v="70086.460000000006"/>
    <s v="Good"/>
    <s v="Average"/>
  </r>
  <r>
    <s v="Vija463283"/>
    <n v="3283"/>
    <n v="2"/>
    <n v="5"/>
    <n v="2024"/>
    <d v="2024-05-02T00:00:00"/>
    <s v="May"/>
    <d v="2030-10-04T00:00:00"/>
    <x v="4"/>
    <n v="9"/>
    <n v="27852.81"/>
    <s v="Vijay Siddiqui"/>
    <n v="46"/>
    <s v="Senior Citezen"/>
    <s v="BAD"/>
    <x v="1"/>
    <s v="Credit Card"/>
    <n v="2"/>
    <s v="iPhone 11"/>
    <n v="250675.29"/>
    <s v="Average"/>
    <s v="Excellent"/>
  </r>
  <r>
    <s v="Suni223284"/>
    <n v="3284"/>
    <n v="2"/>
    <n v="5"/>
    <n v="2024"/>
    <d v="2024-05-02T00:00:00"/>
    <s v="May"/>
    <d v="2030-10-05T00:00:00"/>
    <x v="1"/>
    <n v="8"/>
    <n v="64762.06"/>
    <s v="Sunita Teja"/>
    <n v="22"/>
    <s v="Teenagers"/>
    <s v="BAD"/>
    <x v="2"/>
    <s v="Debit Card"/>
    <n v="2"/>
    <s v="Vivo S1"/>
    <n v="518096.48"/>
    <s v="Average"/>
    <s v="Excellent"/>
  </r>
  <r>
    <s v="Deve463285"/>
    <n v="3285"/>
    <n v="2"/>
    <n v="5"/>
    <n v="2024"/>
    <d v="2024-05-02T00:00:00"/>
    <s v="May"/>
    <d v="2030-10-06T00:00:00"/>
    <x v="0"/>
    <n v="6"/>
    <n v="21568.17"/>
    <s v="Devendra Thakur"/>
    <n v="46"/>
    <s v="Senior Citezen"/>
    <s v="BAD"/>
    <x v="1"/>
    <s v="Cash"/>
    <n v="1"/>
    <s v="Redmi 9"/>
    <n v="129409.01999999999"/>
    <s v="Average"/>
    <s v="Good"/>
  </r>
  <r>
    <s v="Nami443286"/>
    <n v="3286"/>
    <n v="3"/>
    <n v="5"/>
    <n v="2024"/>
    <d v="2024-05-03T00:00:00"/>
    <s v="May"/>
    <d v="2030-10-07T00:00:00"/>
    <x v="3"/>
    <n v="7"/>
    <n v="33362.080000000002"/>
    <s v="Namita Siddiqui"/>
    <n v="44"/>
    <s v="Adult"/>
    <s v="BAD"/>
    <x v="8"/>
    <s v="Debit Card"/>
    <n v="1"/>
    <s v="Galaxy Note 20"/>
    <n v="233534.56"/>
    <s v="Average"/>
    <s v="Excellent"/>
  </r>
  <r>
    <s v="Kira423287"/>
    <n v="3287"/>
    <n v="3"/>
    <n v="5"/>
    <n v="2024"/>
    <d v="2024-05-03T00:00:00"/>
    <s v="May"/>
    <d v="2030-10-08T00:00:00"/>
    <x v="1"/>
    <n v="9"/>
    <n v="66418.710000000006"/>
    <s v="Kiran Mishra"/>
    <n v="42"/>
    <s v="Adult"/>
    <s v="Good"/>
    <x v="13"/>
    <s v="Cash"/>
    <n v="4"/>
    <s v="Vivo Y51"/>
    <n v="597768.39"/>
    <s v="Good"/>
    <s v="Excellent"/>
  </r>
  <r>
    <s v="Adit333288"/>
    <n v="3288"/>
    <n v="3"/>
    <n v="5"/>
    <n v="2024"/>
    <d v="2024-05-03T00:00:00"/>
    <s v="May"/>
    <d v="2030-10-09T00:00:00"/>
    <x v="1"/>
    <n v="7"/>
    <n v="35626.39"/>
    <s v="Aditya Singh"/>
    <n v="33"/>
    <s v="Adult"/>
    <s v="Good"/>
    <x v="4"/>
    <s v="Credit Card"/>
    <n v="4"/>
    <s v="Vivo Y51"/>
    <n v="249384.72999999998"/>
    <s v="Good"/>
    <s v="Excellent"/>
  </r>
  <r>
    <s v="Priy333289"/>
    <n v="3289"/>
    <n v="4"/>
    <n v="5"/>
    <n v="2024"/>
    <d v="2024-05-04T00:00:00"/>
    <s v="May"/>
    <d v="2030-10-10T00:00:00"/>
    <x v="0"/>
    <n v="3"/>
    <n v="43281.62"/>
    <s v="Priyanka Joshi"/>
    <n v="33"/>
    <s v="Adult"/>
    <s v="BAD"/>
    <x v="7"/>
    <s v="Credit Card"/>
    <n v="1"/>
    <s v="Redmi 9"/>
    <n v="129844.86000000002"/>
    <s v="Average"/>
    <s v="Good"/>
  </r>
  <r>
    <s v="Pank533290"/>
    <n v="3290"/>
    <n v="4"/>
    <n v="5"/>
    <n v="2024"/>
    <d v="2024-05-04T00:00:00"/>
    <s v="May"/>
    <d v="2030-10-11T00:00:00"/>
    <x v="3"/>
    <n v="6"/>
    <n v="14820.21"/>
    <s v="Pankaj Singh"/>
    <n v="53"/>
    <s v="Senior Citezen"/>
    <s v="Good"/>
    <x v="1"/>
    <s v="UPI"/>
    <n v="4"/>
    <s v="Galaxy A51"/>
    <n v="88921.26"/>
    <s v="Good"/>
    <s v="Average"/>
  </r>
  <r>
    <s v="Suni423291"/>
    <n v="3291"/>
    <n v="4"/>
    <n v="5"/>
    <n v="2024"/>
    <d v="2024-05-04T00:00:00"/>
    <s v="May"/>
    <d v="2030-10-12T00:00:00"/>
    <x v="3"/>
    <n v="7"/>
    <n v="57409.98"/>
    <s v="Sunita Prasad"/>
    <n v="42"/>
    <s v="Adult"/>
    <s v="BAD"/>
    <x v="11"/>
    <s v="UPI"/>
    <n v="2"/>
    <s v="Galaxy Note 20"/>
    <n v="401869.86000000004"/>
    <s v="Average"/>
    <s v="Excellent"/>
  </r>
  <r>
    <s v="Radh583292"/>
    <n v="3292"/>
    <n v="4"/>
    <n v="5"/>
    <n v="2024"/>
    <d v="2024-05-04T00:00:00"/>
    <s v="May"/>
    <d v="2030-10-13T00:00:00"/>
    <x v="4"/>
    <n v="2"/>
    <n v="35365.53"/>
    <s v="Radha Solanki"/>
    <n v="58"/>
    <s v="Senior Citezen"/>
    <s v="BAD"/>
    <x v="13"/>
    <s v="Debit Card"/>
    <n v="1"/>
    <s v="iPhone 11"/>
    <n v="70731.06"/>
    <s v="Average"/>
    <s v="Average"/>
  </r>
  <r>
    <s v="Arun183293"/>
    <n v="3293"/>
    <n v="5"/>
    <n v="5"/>
    <n v="2024"/>
    <d v="2024-05-05T00:00:00"/>
    <s v="May"/>
    <d v="2030-10-14T00:00:00"/>
    <x v="1"/>
    <n v="3"/>
    <n v="58030.91"/>
    <s v="Arun Shah"/>
    <n v="18"/>
    <s v="Teenagers"/>
    <s v="AVG"/>
    <x v="16"/>
    <s v="UPI"/>
    <n v="3"/>
    <s v="Vivo V20"/>
    <n v="174092.73"/>
    <s v="Average"/>
    <s v="Good"/>
  </r>
  <r>
    <s v="Reen223294"/>
    <n v="3294"/>
    <n v="5"/>
    <n v="5"/>
    <n v="2024"/>
    <d v="2024-05-05T00:00:00"/>
    <s v="May"/>
    <d v="2030-10-15T00:00:00"/>
    <x v="3"/>
    <n v="4"/>
    <n v="25227.86"/>
    <s v="Reena Bhatnagar"/>
    <n v="22"/>
    <s v="Teenagers"/>
    <s v="BAD"/>
    <x v="2"/>
    <s v="Credit Card"/>
    <n v="1"/>
    <s v="Galaxy A51"/>
    <n v="100911.44"/>
    <s v="Average"/>
    <s v="Good"/>
  </r>
  <r>
    <s v="Lata583295"/>
    <n v="3295"/>
    <n v="5"/>
    <n v="5"/>
    <n v="2024"/>
    <d v="2024-05-05T00:00:00"/>
    <s v="May"/>
    <d v="2030-10-16T00:00:00"/>
    <x v="3"/>
    <n v="6"/>
    <n v="35348.730000000003"/>
    <s v="Lata Chatterjee"/>
    <n v="58"/>
    <s v="Senior Citezen"/>
    <s v="Good"/>
    <x v="2"/>
    <s v="Credit Card"/>
    <n v="5"/>
    <s v="Galaxy S21"/>
    <n v="212092.38"/>
    <s v="Good"/>
    <s v="Excellent"/>
  </r>
  <r>
    <s v="Roha373296"/>
    <n v="3296"/>
    <n v="5"/>
    <n v="5"/>
    <n v="2024"/>
    <d v="2024-05-05T00:00:00"/>
    <s v="May"/>
    <d v="2030-10-17T00:00:00"/>
    <x v="2"/>
    <n v="1"/>
    <n v="57192.94"/>
    <s v="Rohan Sheth"/>
    <n v="37"/>
    <s v="Adult"/>
    <s v="Good"/>
    <x v="14"/>
    <s v="Cash"/>
    <n v="5"/>
    <s v="OnePlus 8T"/>
    <n v="57192.94"/>
    <s v="Good"/>
    <s v="Average"/>
  </r>
  <r>
    <s v="Kira223297"/>
    <n v="3297"/>
    <n v="6"/>
    <n v="5"/>
    <n v="2024"/>
    <d v="2024-05-06T00:00:00"/>
    <s v="May"/>
    <d v="2030-10-18T00:00:00"/>
    <x v="2"/>
    <n v="9"/>
    <n v="68432.67"/>
    <s v="Kiran Pathak"/>
    <n v="22"/>
    <s v="Teenagers"/>
    <s v="BAD"/>
    <x v="2"/>
    <s v="UPI"/>
    <n v="1"/>
    <s v="OnePlus Nord"/>
    <n v="615894.03"/>
    <s v="Average"/>
    <s v="Excellent"/>
  </r>
  <r>
    <s v="Amit533298"/>
    <n v="3298"/>
    <n v="6"/>
    <n v="5"/>
    <n v="2024"/>
    <d v="2024-05-06T00:00:00"/>
    <s v="May"/>
    <d v="2030-10-19T00:00:00"/>
    <x v="3"/>
    <n v="5"/>
    <n v="13577.53"/>
    <s v="Amit Pillai"/>
    <n v="53"/>
    <s v="Senior Citezen"/>
    <s v="AVG"/>
    <x v="2"/>
    <s v="Cash"/>
    <n v="3"/>
    <s v="Galaxy A51"/>
    <n v="67887.650000000009"/>
    <s v="Average"/>
    <s v="Average"/>
  </r>
  <r>
    <s v="Lali463299"/>
    <n v="3299"/>
    <n v="6"/>
    <n v="5"/>
    <n v="2024"/>
    <d v="2024-05-06T00:00:00"/>
    <s v="May"/>
    <d v="2030-10-20T00:00:00"/>
    <x v="4"/>
    <n v="7"/>
    <n v="58747.37"/>
    <s v="Lalita Patel"/>
    <n v="46"/>
    <s v="Senior Citezen"/>
    <s v="BAD"/>
    <x v="1"/>
    <s v="Credit Card"/>
    <n v="1"/>
    <s v="iPhone 12"/>
    <n v="411231.59"/>
    <s v="Average"/>
    <s v="Excellent"/>
  </r>
  <r>
    <s v="Sanj513300"/>
    <n v="3300"/>
    <n v="6"/>
    <n v="5"/>
    <n v="2024"/>
    <d v="2024-05-06T00:00:00"/>
    <s v="May"/>
    <d v="2030-10-21T00:00:00"/>
    <x v="3"/>
    <n v="9"/>
    <n v="28041.34"/>
    <s v="Sanjay Patel"/>
    <n v="51"/>
    <s v="Senior Citezen"/>
    <s v="AVG"/>
    <x v="1"/>
    <s v="UPI"/>
    <n v="3"/>
    <s v="Galaxy S21"/>
    <n v="252372.06"/>
    <s v="Average"/>
    <s v="Excellent"/>
  </r>
  <r>
    <s v="Pank353301"/>
    <n v="3301"/>
    <n v="7"/>
    <n v="5"/>
    <n v="2024"/>
    <d v="2024-05-07T00:00:00"/>
    <s v="May"/>
    <d v="2030-10-22T00:00:00"/>
    <x v="0"/>
    <n v="9"/>
    <n v="43044.6"/>
    <s v="Pankaj Patel"/>
    <n v="35"/>
    <s v="Adult"/>
    <s v="BAD"/>
    <x v="1"/>
    <s v="Cash"/>
    <n v="2"/>
    <s v="Redmi Note 10"/>
    <n v="387401.39999999997"/>
    <s v="Average"/>
    <s v="Excellent"/>
  </r>
  <r>
    <s v="Anja193302"/>
    <n v="3302"/>
    <n v="7"/>
    <n v="5"/>
    <n v="2024"/>
    <d v="2024-05-07T00:00:00"/>
    <s v="May"/>
    <d v="2030-10-23T00:00:00"/>
    <x v="1"/>
    <n v="1"/>
    <n v="27405.54"/>
    <s v="Anjali Nambiar"/>
    <n v="19"/>
    <s v="Teenagers"/>
    <s v="BAD"/>
    <x v="6"/>
    <s v="Credit Card"/>
    <n v="2"/>
    <s v="Vivo V20"/>
    <n v="27405.54"/>
    <s v="Average"/>
    <s v="Low"/>
  </r>
  <r>
    <s v="Moni333303"/>
    <n v="3303"/>
    <n v="7"/>
    <n v="5"/>
    <n v="2024"/>
    <d v="2024-05-07T00:00:00"/>
    <s v="May"/>
    <d v="2030-10-24T00:00:00"/>
    <x v="4"/>
    <n v="1"/>
    <n v="46806.73"/>
    <s v="Monika Sharma"/>
    <n v="33"/>
    <s v="Adult"/>
    <s v="AVG"/>
    <x v="3"/>
    <s v="Cash"/>
    <n v="3"/>
    <s v="iPhone SE"/>
    <n v="46806.73"/>
    <s v="Average"/>
    <s v="Low"/>
  </r>
  <r>
    <s v="Meen463304"/>
    <n v="3304"/>
    <n v="8"/>
    <n v="5"/>
    <n v="2024"/>
    <d v="2024-05-08T00:00:00"/>
    <s v="May"/>
    <d v="2030-10-25T00:00:00"/>
    <x v="0"/>
    <n v="3"/>
    <n v="31228.17"/>
    <s v="Meena Kaur"/>
    <n v="46"/>
    <s v="Senior Citezen"/>
    <s v="Good"/>
    <x v="10"/>
    <s v="UPI"/>
    <n v="4"/>
    <s v="Mi 11"/>
    <n v="93684.51"/>
    <s v="Good"/>
    <s v="Average"/>
  </r>
  <r>
    <s v="Sach503305"/>
    <n v="3305"/>
    <n v="8"/>
    <n v="5"/>
    <n v="2024"/>
    <d v="2024-05-08T00:00:00"/>
    <s v="May"/>
    <d v="2030-10-26T00:00:00"/>
    <x v="4"/>
    <n v="6"/>
    <n v="30016.89"/>
    <s v="Sachin Rao"/>
    <n v="50"/>
    <s v="Senior Citezen"/>
    <s v="BAD"/>
    <x v="4"/>
    <s v="Cash"/>
    <n v="2"/>
    <s v="iPhone 11"/>
    <n v="180101.34"/>
    <s v="Average"/>
    <s v="Good"/>
  </r>
  <r>
    <s v="Sanj333306"/>
    <n v="3306"/>
    <n v="8"/>
    <n v="5"/>
    <n v="2024"/>
    <d v="2024-05-08T00:00:00"/>
    <s v="May"/>
    <d v="2030-10-27T00:00:00"/>
    <x v="0"/>
    <n v="2"/>
    <n v="12276.3"/>
    <s v="Sanjay Jain"/>
    <n v="33"/>
    <s v="Adult"/>
    <s v="Good"/>
    <x v="1"/>
    <s v="Cash"/>
    <n v="5"/>
    <s v="Mi 11"/>
    <n v="24552.6"/>
    <s v="Good"/>
    <s v="Low"/>
  </r>
  <r>
    <s v="Vive523307"/>
    <n v="3307"/>
    <n v="8"/>
    <n v="5"/>
    <n v="2024"/>
    <d v="2024-05-08T00:00:00"/>
    <s v="May"/>
    <d v="2030-10-28T00:00:00"/>
    <x v="1"/>
    <n v="1"/>
    <n v="18817.62"/>
    <s v="Vivek Sharma"/>
    <n v="52"/>
    <s v="Senior Citezen"/>
    <s v="BAD"/>
    <x v="4"/>
    <s v="Credit Card"/>
    <n v="1"/>
    <s v="Vivo V20"/>
    <n v="18817.62"/>
    <s v="Average"/>
    <s v="Low"/>
  </r>
  <r>
    <s v="Anja593308"/>
    <n v="3308"/>
    <n v="9"/>
    <n v="5"/>
    <n v="2024"/>
    <d v="2024-05-09T00:00:00"/>
    <s v="May"/>
    <d v="2030-10-29T00:00:00"/>
    <x v="1"/>
    <n v="1"/>
    <n v="65024.69"/>
    <s v="Anjali Thakur"/>
    <n v="59"/>
    <s v="Senior Citezen"/>
    <s v="Good"/>
    <x v="10"/>
    <s v="UPI"/>
    <n v="4"/>
    <s v="Vivo Y51"/>
    <n v="65024.69"/>
    <s v="Good"/>
    <s v="Average"/>
  </r>
  <r>
    <s v="Bhav343309"/>
    <n v="3309"/>
    <n v="9"/>
    <n v="5"/>
    <n v="2024"/>
    <d v="2024-05-09T00:00:00"/>
    <s v="May"/>
    <d v="2030-10-30T00:00:00"/>
    <x v="2"/>
    <n v="5"/>
    <n v="69896.649999999994"/>
    <s v="Bhavana Rawat"/>
    <n v="34"/>
    <s v="Adult"/>
    <s v="Good"/>
    <x v="1"/>
    <s v="Debit Card"/>
    <n v="5"/>
    <s v="OnePlus 9"/>
    <n v="349483.25"/>
    <s v="Good"/>
    <s v="Excellent"/>
  </r>
  <r>
    <s v="Radh213310"/>
    <n v="3310"/>
    <n v="9"/>
    <n v="5"/>
    <n v="2024"/>
    <d v="2024-05-09T00:00:00"/>
    <s v="May"/>
    <d v="2030-10-31T00:00:00"/>
    <x v="0"/>
    <n v="4"/>
    <n v="56831.23"/>
    <s v="Radha Sharma"/>
    <n v="21"/>
    <s v="Teenagers"/>
    <s v="BAD"/>
    <x v="18"/>
    <s v="Debit Card"/>
    <n v="1"/>
    <s v="Redmi Note 10"/>
    <n v="227324.92"/>
    <s v="Average"/>
    <s v="Excellent"/>
  </r>
  <r>
    <s v="Yoge213311"/>
    <n v="3311"/>
    <n v="10"/>
    <n v="5"/>
    <n v="2024"/>
    <d v="2024-05-10T00:00:00"/>
    <s v="May"/>
    <d v="2030-11-01T00:00:00"/>
    <x v="2"/>
    <n v="1"/>
    <n v="27208.76"/>
    <s v="Yogesh Bhattacharya"/>
    <n v="21"/>
    <s v="Teenagers"/>
    <s v="Good"/>
    <x v="2"/>
    <s v="Cash"/>
    <n v="5"/>
    <s v="OnePlus 8T"/>
    <n v="27208.76"/>
    <s v="Good"/>
    <s v="Low"/>
  </r>
  <r>
    <s v="Tapa423312"/>
    <n v="3312"/>
    <n v="10"/>
    <n v="5"/>
    <n v="2024"/>
    <d v="2024-05-10T00:00:00"/>
    <s v="May"/>
    <d v="2030-11-02T00:00:00"/>
    <x v="0"/>
    <n v="4"/>
    <n v="34146.71"/>
    <s v="Tapan Siddiqui"/>
    <n v="42"/>
    <s v="Adult"/>
    <s v="Good"/>
    <x v="0"/>
    <s v="Credit Card"/>
    <n v="4"/>
    <s v="Mi 11"/>
    <n v="136586.84"/>
    <s v="Good"/>
    <s v="Good"/>
  </r>
  <r>
    <s v="Mano503313"/>
    <n v="3313"/>
    <n v="10"/>
    <n v="5"/>
    <n v="2024"/>
    <d v="2024-05-10T00:00:00"/>
    <s v="May"/>
    <d v="2030-11-03T00:00:00"/>
    <x v="2"/>
    <n v="3"/>
    <n v="54370.21"/>
    <s v="Manoj Ahuja"/>
    <n v="50"/>
    <s v="Senior Citezen"/>
    <s v="AVG"/>
    <x v="2"/>
    <s v="UPI"/>
    <n v="3"/>
    <s v="OnePlus 8T"/>
    <n v="163110.63"/>
    <s v="Average"/>
    <s v="Good"/>
  </r>
  <r>
    <s v="Nami313314"/>
    <n v="3314"/>
    <n v="11"/>
    <n v="5"/>
    <n v="2024"/>
    <d v="2024-05-11T00:00:00"/>
    <s v="May"/>
    <d v="2030-11-04T00:00:00"/>
    <x v="1"/>
    <n v="2"/>
    <n v="68110.81"/>
    <s v="Namita Goyal"/>
    <n v="31"/>
    <s v="Adult"/>
    <s v="BAD"/>
    <x v="2"/>
    <s v="Credit Card"/>
    <n v="1"/>
    <s v="Vivo S1"/>
    <n v="136221.62"/>
    <s v="Average"/>
    <s v="Good"/>
  </r>
  <r>
    <s v="Hari413315"/>
    <n v="3315"/>
    <n v="11"/>
    <n v="5"/>
    <n v="2024"/>
    <d v="2024-05-11T00:00:00"/>
    <s v="May"/>
    <d v="2030-11-05T00:00:00"/>
    <x v="4"/>
    <n v="9"/>
    <n v="37328.269999999997"/>
    <s v="Harish Prasad"/>
    <n v="41"/>
    <s v="Adult"/>
    <s v="Good"/>
    <x v="17"/>
    <s v="UPI"/>
    <n v="5"/>
    <s v="iPhone 12"/>
    <n v="335954.43"/>
    <s v="Good"/>
    <s v="Excellent"/>
  </r>
  <r>
    <s v="Pank283316"/>
    <n v="3316"/>
    <n v="11"/>
    <n v="5"/>
    <n v="2024"/>
    <d v="2024-05-11T00:00:00"/>
    <s v="May"/>
    <d v="2030-11-06T00:00:00"/>
    <x v="2"/>
    <n v="1"/>
    <n v="59771.34"/>
    <s v="Pankaj Pathak"/>
    <n v="28"/>
    <s v="Teenagers"/>
    <s v="Good"/>
    <x v="5"/>
    <s v="Credit Card"/>
    <n v="5"/>
    <s v="OnePlus Nord"/>
    <n v="59771.34"/>
    <s v="Good"/>
    <s v="Average"/>
  </r>
  <r>
    <s v="Adit423317"/>
    <n v="3317"/>
    <n v="12"/>
    <n v="5"/>
    <n v="2024"/>
    <d v="2024-05-12T00:00:00"/>
    <s v="May"/>
    <d v="2030-11-07T00:00:00"/>
    <x v="0"/>
    <n v="7"/>
    <n v="68504.14"/>
    <s v="Aditya Roy"/>
    <n v="42"/>
    <s v="Adult"/>
    <s v="Good"/>
    <x v="1"/>
    <s v="Debit Card"/>
    <n v="4"/>
    <s v="Mi 11"/>
    <n v="479528.98"/>
    <s v="Good"/>
    <s v="Excellent"/>
  </r>
  <r>
    <s v="Vija453318"/>
    <n v="3318"/>
    <n v="12"/>
    <n v="5"/>
    <n v="2024"/>
    <d v="2024-05-12T00:00:00"/>
    <s v="May"/>
    <d v="2030-11-08T00:00:00"/>
    <x v="0"/>
    <n v="4"/>
    <n v="62408.39"/>
    <s v="Vijay Varma"/>
    <n v="45"/>
    <s v="Adult"/>
    <s v="Good"/>
    <x v="1"/>
    <s v="Debit Card"/>
    <n v="4"/>
    <s v="Redmi 9"/>
    <n v="249633.56"/>
    <s v="Good"/>
    <s v="Excellent"/>
  </r>
  <r>
    <s v="Arun243319"/>
    <n v="3319"/>
    <n v="12"/>
    <n v="5"/>
    <n v="2024"/>
    <d v="2024-05-12T00:00:00"/>
    <s v="May"/>
    <d v="2030-11-09T00:00:00"/>
    <x v="1"/>
    <n v="5"/>
    <n v="23628.98"/>
    <s v="Arun Mehta"/>
    <n v="24"/>
    <s v="Teenagers"/>
    <s v="Good"/>
    <x v="3"/>
    <s v="Debit Card"/>
    <n v="4"/>
    <s v="Vivo S1"/>
    <n v="118144.9"/>
    <s v="Good"/>
    <s v="Good"/>
  </r>
  <r>
    <s v="Tapa533320"/>
    <n v="3320"/>
    <n v="13"/>
    <n v="5"/>
    <n v="2024"/>
    <d v="2024-05-13T00:00:00"/>
    <s v="May"/>
    <d v="2030-11-10T00:00:00"/>
    <x v="0"/>
    <n v="5"/>
    <n v="10481.91"/>
    <s v="Tapan Singh"/>
    <n v="53"/>
    <s v="Senior Citezen"/>
    <s v="AVG"/>
    <x v="2"/>
    <s v="Credit Card"/>
    <n v="3"/>
    <s v="Mi 11"/>
    <n v="52409.55"/>
    <s v="Average"/>
    <s v="Average"/>
  </r>
  <r>
    <s v="Sumi273321"/>
    <n v="3321"/>
    <n v="13"/>
    <n v="5"/>
    <n v="2024"/>
    <d v="2024-05-13T00:00:00"/>
    <s v="May"/>
    <d v="2030-11-11T00:00:00"/>
    <x v="3"/>
    <n v="1"/>
    <n v="39524.9"/>
    <s v="Sumit Sheth"/>
    <n v="27"/>
    <s v="Teenagers"/>
    <s v="BAD"/>
    <x v="10"/>
    <s v="Credit Card"/>
    <n v="2"/>
    <s v="Galaxy Note 20"/>
    <n v="39524.9"/>
    <s v="Average"/>
    <s v="Low"/>
  </r>
  <r>
    <s v="Anit533322"/>
    <n v="3322"/>
    <n v="13"/>
    <n v="5"/>
    <n v="2024"/>
    <d v="2024-05-13T00:00:00"/>
    <s v="May"/>
    <d v="2030-11-12T00:00:00"/>
    <x v="4"/>
    <n v="6"/>
    <n v="41881.65"/>
    <s v="Anita Luthra"/>
    <n v="53"/>
    <s v="Senior Citezen"/>
    <s v="Good"/>
    <x v="4"/>
    <s v="Cash"/>
    <n v="5"/>
    <s v="iPhone 12"/>
    <n v="251289.90000000002"/>
    <s v="Good"/>
    <s v="Excellent"/>
  </r>
  <r>
    <s v="Pras483323"/>
    <n v="3323"/>
    <n v="13"/>
    <n v="5"/>
    <n v="2024"/>
    <d v="2024-05-13T00:00:00"/>
    <s v="May"/>
    <d v="2030-11-13T00:00:00"/>
    <x v="2"/>
    <n v="9"/>
    <n v="22075.02"/>
    <s v="Prashant Gupta"/>
    <n v="48"/>
    <s v="Senior Citezen"/>
    <s v="AVG"/>
    <x v="10"/>
    <s v="Debit Card"/>
    <n v="3"/>
    <s v="OnePlus 9"/>
    <n v="198675.18"/>
    <s v="Average"/>
    <s v="Good"/>
  </r>
  <r>
    <s v="Amit363324"/>
    <n v="3324"/>
    <n v="14"/>
    <n v="5"/>
    <n v="2024"/>
    <d v="2024-05-14T00:00:00"/>
    <s v="May"/>
    <d v="2030-11-14T00:00:00"/>
    <x v="4"/>
    <n v="2"/>
    <n v="27080.46"/>
    <s v="Amit Ahuja"/>
    <n v="36"/>
    <s v="Adult"/>
    <s v="Good"/>
    <x v="17"/>
    <s v="Cash"/>
    <n v="5"/>
    <s v="iPhone SE"/>
    <n v="54160.92"/>
    <s v="Good"/>
    <s v="Average"/>
  </r>
  <r>
    <s v="Sanj353325"/>
    <n v="3325"/>
    <n v="14"/>
    <n v="5"/>
    <n v="2024"/>
    <d v="2024-05-14T00:00:00"/>
    <s v="May"/>
    <d v="2030-11-15T00:00:00"/>
    <x v="1"/>
    <n v="7"/>
    <n v="55909.19"/>
    <s v="Sanjay Mehta"/>
    <n v="35"/>
    <s v="Adult"/>
    <s v="AVG"/>
    <x v="14"/>
    <s v="Credit Card"/>
    <n v="3"/>
    <s v="Vivo Y51"/>
    <n v="391364.33"/>
    <s v="Average"/>
    <s v="Excellent"/>
  </r>
  <r>
    <s v="Yoge233326"/>
    <n v="3326"/>
    <n v="14"/>
    <n v="5"/>
    <n v="2024"/>
    <d v="2024-05-14T00:00:00"/>
    <s v="May"/>
    <d v="2030-11-16T00:00:00"/>
    <x v="2"/>
    <n v="6"/>
    <n v="38220.839999999997"/>
    <s v="Yogesh Rao"/>
    <n v="23"/>
    <s v="Teenagers"/>
    <s v="BAD"/>
    <x v="16"/>
    <s v="UPI"/>
    <n v="1"/>
    <s v="OnePlus 9"/>
    <n v="229325.03999999998"/>
    <s v="Average"/>
    <s v="Excellent"/>
  </r>
  <r>
    <s v="Tanu453327"/>
    <n v="3327"/>
    <n v="14"/>
    <n v="5"/>
    <n v="2024"/>
    <d v="2024-05-14T00:00:00"/>
    <s v="May"/>
    <d v="2030-11-17T00:00:00"/>
    <x v="2"/>
    <n v="5"/>
    <n v="29041.25"/>
    <s v="Tanuja Mathur"/>
    <n v="45"/>
    <s v="Adult"/>
    <s v="BAD"/>
    <x v="14"/>
    <s v="Debit Card"/>
    <n v="2"/>
    <s v="OnePlus 9"/>
    <n v="145206.25"/>
    <s v="Average"/>
    <s v="Good"/>
  </r>
  <r>
    <s v="Tapa243328"/>
    <n v="3328"/>
    <n v="15"/>
    <n v="5"/>
    <n v="2024"/>
    <d v="2024-05-15T00:00:00"/>
    <s v="May"/>
    <d v="2030-11-18T00:00:00"/>
    <x v="3"/>
    <n v="4"/>
    <n v="47357.56"/>
    <s v="Tapan Kumar"/>
    <n v="24"/>
    <s v="Teenagers"/>
    <s v="Good"/>
    <x v="4"/>
    <s v="Debit Card"/>
    <n v="5"/>
    <s v="Galaxy A51"/>
    <n v="189430.24"/>
    <s v="Good"/>
    <s v="Good"/>
  </r>
  <r>
    <s v="Pank553329"/>
    <n v="3329"/>
    <n v="15"/>
    <n v="5"/>
    <n v="2024"/>
    <d v="2024-05-15T00:00:00"/>
    <s v="May"/>
    <d v="2030-11-19T00:00:00"/>
    <x v="1"/>
    <n v="4"/>
    <n v="49165.59"/>
    <s v="Pankaj Sheth"/>
    <n v="55"/>
    <s v="Senior Citezen"/>
    <s v="Good"/>
    <x v="12"/>
    <s v="Debit Card"/>
    <n v="4"/>
    <s v="Vivo S1"/>
    <n v="196662.36"/>
    <s v="Good"/>
    <s v="Good"/>
  </r>
  <r>
    <s v="Umes293330"/>
    <n v="3330"/>
    <n v="15"/>
    <n v="5"/>
    <n v="2024"/>
    <d v="2024-05-15T00:00:00"/>
    <s v="May"/>
    <d v="2030-11-20T00:00:00"/>
    <x v="0"/>
    <n v="6"/>
    <n v="56163.75"/>
    <s v="Umesh Reddy"/>
    <n v="29"/>
    <s v="Teenagers"/>
    <s v="BAD"/>
    <x v="2"/>
    <s v="Debit Card"/>
    <n v="2"/>
    <s v="Redmi 9"/>
    <n v="336982.5"/>
    <s v="Average"/>
    <s v="Excellent"/>
  </r>
  <r>
    <s v="Radh583331"/>
    <n v="3331"/>
    <n v="16"/>
    <n v="5"/>
    <n v="2024"/>
    <d v="2024-05-16T00:00:00"/>
    <s v="May"/>
    <d v="2030-11-21T00:00:00"/>
    <x v="3"/>
    <n v="4"/>
    <n v="19402.560000000001"/>
    <s v="Radha Kumar"/>
    <n v="58"/>
    <s v="Senior Citezen"/>
    <s v="Good"/>
    <x v="1"/>
    <s v="Debit Card"/>
    <n v="5"/>
    <s v="Galaxy Note 20"/>
    <n v="77610.240000000005"/>
    <s v="Good"/>
    <s v="Average"/>
  </r>
  <r>
    <s v="Lata513332"/>
    <n v="3332"/>
    <n v="16"/>
    <n v="5"/>
    <n v="2024"/>
    <d v="2024-05-16T00:00:00"/>
    <s v="May"/>
    <d v="2030-11-22T00:00:00"/>
    <x v="3"/>
    <n v="5"/>
    <n v="54491.040000000001"/>
    <s v="Lata Rathod"/>
    <n v="51"/>
    <s v="Senior Citezen"/>
    <s v="BAD"/>
    <x v="12"/>
    <s v="Credit Card"/>
    <n v="1"/>
    <s v="Galaxy S21"/>
    <n v="272455.2"/>
    <s v="Average"/>
    <s v="Excellent"/>
  </r>
  <r>
    <s v="Isha423333"/>
    <n v="3333"/>
    <n v="16"/>
    <n v="5"/>
    <n v="2024"/>
    <d v="2024-05-16T00:00:00"/>
    <s v="May"/>
    <d v="2030-11-23T00:00:00"/>
    <x v="4"/>
    <n v="6"/>
    <n v="45965.7"/>
    <s v="Isha Dutta"/>
    <n v="42"/>
    <s v="Adult"/>
    <s v="Good"/>
    <x v="15"/>
    <s v="Debit Card"/>
    <n v="5"/>
    <s v="iPhone 12"/>
    <n v="275794.19999999995"/>
    <s v="Good"/>
    <s v="Excellent"/>
  </r>
  <r>
    <s v="Arun343334"/>
    <n v="3334"/>
    <n v="17"/>
    <n v="5"/>
    <n v="2024"/>
    <d v="2024-05-17T00:00:00"/>
    <s v="May"/>
    <d v="2030-11-24T00:00:00"/>
    <x v="4"/>
    <n v="5"/>
    <n v="13454.31"/>
    <s v="Arun Mehta"/>
    <n v="34"/>
    <s v="Adult"/>
    <s v="Good"/>
    <x v="1"/>
    <s v="Debit Card"/>
    <n v="5"/>
    <s v="iPhone 12"/>
    <n v="67271.55"/>
    <s v="Good"/>
    <s v="Average"/>
  </r>
  <r>
    <s v="Mano503335"/>
    <n v="3335"/>
    <n v="17"/>
    <n v="5"/>
    <n v="2024"/>
    <d v="2024-05-17T00:00:00"/>
    <s v="May"/>
    <d v="2030-11-25T00:00:00"/>
    <x v="4"/>
    <n v="7"/>
    <n v="56646.74"/>
    <s v="Manoj Kulkarni"/>
    <n v="50"/>
    <s v="Senior Citezen"/>
    <s v="Good"/>
    <x v="2"/>
    <s v="Cash"/>
    <n v="5"/>
    <s v="iPhone SE"/>
    <n v="396527.18"/>
    <s v="Good"/>
    <s v="Excellent"/>
  </r>
  <r>
    <s v="Kris403336"/>
    <n v="3336"/>
    <n v="17"/>
    <n v="5"/>
    <n v="2024"/>
    <d v="2024-05-17T00:00:00"/>
    <s v="May"/>
    <d v="2030-11-26T00:00:00"/>
    <x v="3"/>
    <n v="9"/>
    <n v="32984.82"/>
    <s v="Krishna Iyer"/>
    <n v="40"/>
    <s v="Adult"/>
    <s v="BAD"/>
    <x v="13"/>
    <s v="UPI"/>
    <n v="2"/>
    <s v="Galaxy Note 20"/>
    <n v="296863.38"/>
    <s v="Average"/>
    <s v="Excellent"/>
  </r>
  <r>
    <s v="Suni263337"/>
    <n v="3337"/>
    <n v="17"/>
    <n v="5"/>
    <n v="2024"/>
    <d v="2024-05-17T00:00:00"/>
    <s v="May"/>
    <d v="2030-11-27T00:00:00"/>
    <x v="0"/>
    <n v="7"/>
    <n v="29822.86"/>
    <s v="Sunil Reddy"/>
    <n v="26"/>
    <s v="Teenagers"/>
    <s v="Good"/>
    <x v="16"/>
    <s v="Debit Card"/>
    <n v="5"/>
    <s v="Redmi 9"/>
    <n v="208760.02000000002"/>
    <s v="Good"/>
    <s v="Excellent"/>
  </r>
  <r>
    <s v="Neet233338"/>
    <n v="3338"/>
    <n v="18"/>
    <n v="5"/>
    <n v="2024"/>
    <d v="2024-05-18T00:00:00"/>
    <s v="May"/>
    <d v="2030-11-28T00:00:00"/>
    <x v="2"/>
    <n v="7"/>
    <n v="36884.51"/>
    <s v="Neeta Mishra"/>
    <n v="23"/>
    <s v="Teenagers"/>
    <s v="Good"/>
    <x v="10"/>
    <s v="Cash"/>
    <n v="4"/>
    <s v="OnePlus Nord"/>
    <n v="258191.57"/>
    <s v="Good"/>
    <s v="Excellent"/>
  </r>
  <r>
    <s v="Radh193339"/>
    <n v="3339"/>
    <n v="18"/>
    <n v="5"/>
    <n v="2024"/>
    <d v="2024-05-18T00:00:00"/>
    <s v="May"/>
    <d v="2030-11-29T00:00:00"/>
    <x v="4"/>
    <n v="4"/>
    <n v="30770.5"/>
    <s v="Radha Kumar"/>
    <n v="19"/>
    <s v="Teenagers"/>
    <s v="AVG"/>
    <x v="13"/>
    <s v="Credit Card"/>
    <n v="3"/>
    <s v="iPhone 11"/>
    <n v="123082"/>
    <s v="Average"/>
    <s v="Good"/>
  </r>
  <r>
    <s v="Deep553340"/>
    <n v="3340"/>
    <n v="18"/>
    <n v="5"/>
    <n v="2024"/>
    <d v="2024-05-18T00:00:00"/>
    <s v="May"/>
    <d v="2030-11-30T00:00:00"/>
    <x v="0"/>
    <n v="1"/>
    <n v="30297.14"/>
    <s v="Deepika Das"/>
    <n v="55"/>
    <s v="Senior Citezen"/>
    <s v="Good"/>
    <x v="2"/>
    <s v="Cash"/>
    <n v="4"/>
    <s v="Mi 11"/>
    <n v="30297.14"/>
    <s v="Good"/>
    <s v="Low"/>
  </r>
  <r>
    <s v="Radh263341"/>
    <n v="3341"/>
    <n v="19"/>
    <n v="5"/>
    <n v="2024"/>
    <d v="2024-05-19T00:00:00"/>
    <s v="May"/>
    <d v="2030-12-01T00:00:00"/>
    <x v="1"/>
    <n v="8"/>
    <n v="58484.66"/>
    <s v="Radha Sharma"/>
    <n v="26"/>
    <s v="Teenagers"/>
    <s v="BAD"/>
    <x v="1"/>
    <s v="Debit Card"/>
    <n v="1"/>
    <s v="Vivo S1"/>
    <n v="467877.28"/>
    <s v="Average"/>
    <s v="Excellent"/>
  </r>
  <r>
    <s v="Hari203342"/>
    <n v="3342"/>
    <n v="19"/>
    <n v="5"/>
    <n v="2024"/>
    <d v="2024-05-19T00:00:00"/>
    <s v="May"/>
    <d v="2030-12-02T00:00:00"/>
    <x v="4"/>
    <n v="4"/>
    <n v="17470.32"/>
    <s v="Harish Mishra"/>
    <n v="20"/>
    <s v="Teenagers"/>
    <s v="BAD"/>
    <x v="2"/>
    <s v="Cash"/>
    <n v="2"/>
    <s v="iPhone 11"/>
    <n v="69881.279999999999"/>
    <s v="Average"/>
    <s v="Average"/>
  </r>
  <r>
    <s v="Nikh333343"/>
    <n v="3343"/>
    <n v="19"/>
    <n v="5"/>
    <n v="2024"/>
    <d v="2024-05-19T00:00:00"/>
    <s v="May"/>
    <d v="2030-12-03T00:00:00"/>
    <x v="2"/>
    <n v="1"/>
    <n v="68236"/>
    <s v="Nikhil Kapoor"/>
    <n v="33"/>
    <s v="Adult"/>
    <s v="AVG"/>
    <x v="11"/>
    <s v="Cash"/>
    <n v="3"/>
    <s v="OnePlus Nord"/>
    <n v="68236"/>
    <s v="Average"/>
    <s v="Average"/>
  </r>
  <r>
    <s v="Navi423344"/>
    <n v="3344"/>
    <n v="19"/>
    <n v="5"/>
    <n v="2024"/>
    <d v="2024-05-19T00:00:00"/>
    <s v="May"/>
    <d v="2030-12-04T00:00:00"/>
    <x v="1"/>
    <n v="5"/>
    <n v="43295.9"/>
    <s v="Navin Pathak"/>
    <n v="42"/>
    <s v="Adult"/>
    <s v="BAD"/>
    <x v="1"/>
    <s v="Credit Card"/>
    <n v="2"/>
    <s v="Vivo V20"/>
    <n v="216479.5"/>
    <s v="Average"/>
    <s v="Excellent"/>
  </r>
  <r>
    <s v="Ayes413345"/>
    <n v="3345"/>
    <n v="20"/>
    <n v="5"/>
    <n v="2024"/>
    <d v="2024-05-20T00:00:00"/>
    <s v="May"/>
    <d v="2030-12-05T00:00:00"/>
    <x v="1"/>
    <n v="8"/>
    <n v="20975.439999999999"/>
    <s v="Ayesha Sheth"/>
    <n v="41"/>
    <s v="Adult"/>
    <s v="BAD"/>
    <x v="18"/>
    <s v="Cash"/>
    <n v="2"/>
    <s v="Vivo Y51"/>
    <n v="167803.51999999999"/>
    <s v="Average"/>
    <s v="Good"/>
  </r>
  <r>
    <s v="Tanu463346"/>
    <n v="3346"/>
    <n v="20"/>
    <n v="5"/>
    <n v="2024"/>
    <d v="2024-05-20T00:00:00"/>
    <s v="May"/>
    <d v="2030-12-06T00:00:00"/>
    <x v="2"/>
    <n v="4"/>
    <n v="17872.93"/>
    <s v="Tanuja Malhotra"/>
    <n v="46"/>
    <s v="Senior Citezen"/>
    <s v="Good"/>
    <x v="0"/>
    <s v="Credit Card"/>
    <n v="5"/>
    <s v="OnePlus 9"/>
    <n v="71491.72"/>
    <s v="Good"/>
    <s v="Average"/>
  </r>
  <r>
    <s v="Radh573347"/>
    <n v="3347"/>
    <n v="20"/>
    <n v="5"/>
    <n v="2024"/>
    <d v="2024-05-20T00:00:00"/>
    <s v="May"/>
    <d v="2030-12-07T00:00:00"/>
    <x v="4"/>
    <n v="8"/>
    <n v="45490.57"/>
    <s v="Radha Kapoor"/>
    <n v="57"/>
    <s v="Senior Citezen"/>
    <s v="Good"/>
    <x v="16"/>
    <s v="Credit Card"/>
    <n v="4"/>
    <s v="iPhone 11"/>
    <n v="363924.56"/>
    <s v="Good"/>
    <s v="Excellent"/>
  </r>
  <r>
    <s v="Priy433348"/>
    <n v="3348"/>
    <n v="21"/>
    <n v="5"/>
    <n v="2024"/>
    <d v="2024-05-21T00:00:00"/>
    <s v="May"/>
    <d v="2030-12-08T00:00:00"/>
    <x v="3"/>
    <n v="8"/>
    <n v="47979.97"/>
    <s v="Priyanka Patel"/>
    <n v="43"/>
    <s v="Adult"/>
    <s v="AVG"/>
    <x v="11"/>
    <s v="Cash"/>
    <n v="3"/>
    <s v="Galaxy A51"/>
    <n v="383839.76"/>
    <s v="Average"/>
    <s v="Excellent"/>
  </r>
  <r>
    <s v="Priy553349"/>
    <n v="3349"/>
    <n v="21"/>
    <n v="5"/>
    <n v="2024"/>
    <d v="2024-05-21T00:00:00"/>
    <s v="May"/>
    <d v="2030-12-09T00:00:00"/>
    <x v="2"/>
    <n v="3"/>
    <n v="13181.55"/>
    <s v="Priyanka Dutta"/>
    <n v="55"/>
    <s v="Senior Citezen"/>
    <s v="Good"/>
    <x v="2"/>
    <s v="Debit Card"/>
    <n v="5"/>
    <s v="OnePlus Nord"/>
    <n v="39544.649999999994"/>
    <s v="Good"/>
    <s v="Low"/>
  </r>
  <r>
    <s v="Umes523350"/>
    <n v="3350"/>
    <n v="21"/>
    <n v="5"/>
    <n v="2024"/>
    <d v="2024-05-21T00:00:00"/>
    <s v="May"/>
    <d v="2030-12-10T00:00:00"/>
    <x v="2"/>
    <n v="9"/>
    <n v="24580.11"/>
    <s v="Umesh Patel"/>
    <n v="52"/>
    <s v="Senior Citezen"/>
    <s v="AVG"/>
    <x v="10"/>
    <s v="UPI"/>
    <n v="3"/>
    <s v="OnePlus Nord"/>
    <n v="221220.99"/>
    <s v="Average"/>
    <s v="Excellent"/>
  </r>
  <r>
    <s v="Pras403351"/>
    <n v="3351"/>
    <n v="22"/>
    <n v="5"/>
    <n v="2024"/>
    <d v="2024-05-22T00:00:00"/>
    <s v="May"/>
    <d v="2030-12-11T00:00:00"/>
    <x v="2"/>
    <n v="3"/>
    <n v="57727.72"/>
    <s v="Prashant Das"/>
    <n v="40"/>
    <s v="Adult"/>
    <s v="Good"/>
    <x v="14"/>
    <s v="Cash"/>
    <n v="4"/>
    <s v="OnePlus Nord"/>
    <n v="173183.16"/>
    <s v="Good"/>
    <s v="Good"/>
  </r>
  <r>
    <s v="Vino213352"/>
    <n v="3352"/>
    <n v="22"/>
    <n v="5"/>
    <n v="2024"/>
    <d v="2024-05-22T00:00:00"/>
    <s v="May"/>
    <d v="2030-12-12T00:00:00"/>
    <x v="1"/>
    <n v="1"/>
    <n v="12977.48"/>
    <s v="Vinod Ahuja"/>
    <n v="21"/>
    <s v="Teenagers"/>
    <s v="Good"/>
    <x v="10"/>
    <s v="Cash"/>
    <n v="5"/>
    <s v="Vivo S1"/>
    <n v="12977.48"/>
    <s v="Good"/>
    <s v="Low"/>
  </r>
  <r>
    <s v="Anja593353"/>
    <n v="3353"/>
    <n v="22"/>
    <n v="5"/>
    <n v="2024"/>
    <d v="2024-05-22T00:00:00"/>
    <s v="May"/>
    <d v="2030-12-13T00:00:00"/>
    <x v="0"/>
    <n v="2"/>
    <n v="61305.32"/>
    <s v="Anjali Nambiar"/>
    <n v="59"/>
    <s v="Senior Citezen"/>
    <s v="AVG"/>
    <x v="2"/>
    <s v="Cash"/>
    <n v="3"/>
    <s v="Redmi 9"/>
    <n v="122610.64"/>
    <s v="Average"/>
    <s v="Good"/>
  </r>
  <r>
    <s v="Radh313354"/>
    <n v="3354"/>
    <n v="22"/>
    <n v="5"/>
    <n v="2024"/>
    <d v="2024-05-22T00:00:00"/>
    <s v="May"/>
    <d v="2030-12-14T00:00:00"/>
    <x v="3"/>
    <n v="6"/>
    <n v="49489.75"/>
    <s v="Radha Pathak"/>
    <n v="31"/>
    <s v="Adult"/>
    <s v="Good"/>
    <x v="8"/>
    <s v="UPI"/>
    <n v="5"/>
    <s v="Galaxy Note 20"/>
    <n v="296938.5"/>
    <s v="Good"/>
    <s v="Excellent"/>
  </r>
  <r>
    <s v="Ravi563355"/>
    <n v="3355"/>
    <n v="23"/>
    <n v="5"/>
    <n v="2024"/>
    <d v="2024-05-23T00:00:00"/>
    <s v="May"/>
    <d v="2030-12-15T00:00:00"/>
    <x v="4"/>
    <n v="2"/>
    <n v="36065.4"/>
    <s v="Ravi Reddy"/>
    <n v="56"/>
    <s v="Senior Citezen"/>
    <s v="BAD"/>
    <x v="2"/>
    <s v="UPI"/>
    <n v="2"/>
    <s v="iPhone 11"/>
    <n v="72130.8"/>
    <s v="Average"/>
    <s v="Average"/>
  </r>
  <r>
    <s v="Ravi243356"/>
    <n v="3356"/>
    <n v="23"/>
    <n v="5"/>
    <n v="2024"/>
    <d v="2024-05-23T00:00:00"/>
    <s v="May"/>
    <d v="2030-12-16T00:00:00"/>
    <x v="4"/>
    <n v="6"/>
    <n v="30785.97"/>
    <s v="Ravi Jain"/>
    <n v="24"/>
    <s v="Teenagers"/>
    <s v="BAD"/>
    <x v="0"/>
    <s v="Credit Card"/>
    <n v="1"/>
    <s v="iPhone 12"/>
    <n v="184715.82"/>
    <s v="Average"/>
    <s v="Good"/>
  </r>
  <r>
    <s v="Lali253357"/>
    <n v="3357"/>
    <n v="23"/>
    <n v="5"/>
    <n v="2024"/>
    <d v="2024-05-23T00:00:00"/>
    <s v="May"/>
    <d v="2030-12-17T00:00:00"/>
    <x v="0"/>
    <n v="1"/>
    <n v="11154.94"/>
    <s v="Lalita Ahuja"/>
    <n v="25"/>
    <s v="Teenagers"/>
    <s v="AVG"/>
    <x v="5"/>
    <s v="UPI"/>
    <n v="3"/>
    <s v="Mi 11"/>
    <n v="11154.94"/>
    <s v="Average"/>
    <s v="Low"/>
  </r>
  <r>
    <s v="Priy593358"/>
    <n v="3358"/>
    <n v="24"/>
    <n v="5"/>
    <n v="2024"/>
    <d v="2024-05-24T00:00:00"/>
    <s v="May"/>
    <d v="2030-12-18T00:00:00"/>
    <x v="2"/>
    <n v="1"/>
    <n v="59512.9"/>
    <s v="Priyanka Mishra"/>
    <n v="59"/>
    <s v="Senior Citezen"/>
    <s v="Good"/>
    <x v="10"/>
    <s v="UPI"/>
    <n v="4"/>
    <s v="OnePlus 8T"/>
    <n v="59512.9"/>
    <s v="Good"/>
    <s v="Average"/>
  </r>
  <r>
    <s v="Vino363359"/>
    <n v="3359"/>
    <n v="24"/>
    <n v="5"/>
    <n v="2024"/>
    <d v="2024-05-24T00:00:00"/>
    <s v="May"/>
    <d v="2030-12-19T00:00:00"/>
    <x v="3"/>
    <n v="5"/>
    <n v="18563.310000000001"/>
    <s v="Vinod Srivastava"/>
    <n v="36"/>
    <s v="Adult"/>
    <s v="AVG"/>
    <x v="15"/>
    <s v="Cash"/>
    <n v="3"/>
    <s v="Galaxy S21"/>
    <n v="92816.55"/>
    <s v="Average"/>
    <s v="Average"/>
  </r>
  <r>
    <s v="Anit193360"/>
    <n v="3360"/>
    <n v="24"/>
    <n v="5"/>
    <n v="2024"/>
    <d v="2024-05-24T00:00:00"/>
    <s v="May"/>
    <d v="2030-12-20T00:00:00"/>
    <x v="4"/>
    <n v="9"/>
    <n v="28572.52"/>
    <s v="Anita Srivastava"/>
    <n v="19"/>
    <s v="Teenagers"/>
    <s v="BAD"/>
    <x v="1"/>
    <s v="Credit Card"/>
    <n v="1"/>
    <s v="iPhone 12"/>
    <n v="257152.68"/>
    <s v="Average"/>
    <s v="Excellent"/>
  </r>
  <r>
    <s v="Neet183361"/>
    <n v="3361"/>
    <n v="24"/>
    <n v="5"/>
    <n v="2024"/>
    <d v="2024-05-24T00:00:00"/>
    <s v="May"/>
    <d v="2030-12-21T00:00:00"/>
    <x v="4"/>
    <n v="8"/>
    <n v="44146.42"/>
    <s v="Neeta Ghosh"/>
    <n v="18"/>
    <s v="Teenagers"/>
    <s v="AVG"/>
    <x v="9"/>
    <s v="Debit Card"/>
    <n v="3"/>
    <s v="iPhone SE"/>
    <n v="353171.36"/>
    <s v="Average"/>
    <s v="Excellent"/>
  </r>
  <r>
    <s v="Gita593362"/>
    <n v="3362"/>
    <n v="25"/>
    <n v="5"/>
    <n v="2024"/>
    <d v="2024-05-25T00:00:00"/>
    <s v="May"/>
    <d v="2030-12-22T00:00:00"/>
    <x v="2"/>
    <n v="3"/>
    <n v="24759.56"/>
    <s v="Gita Bhattacharya"/>
    <n v="59"/>
    <s v="Senior Citezen"/>
    <s v="AVG"/>
    <x v="8"/>
    <s v="Credit Card"/>
    <n v="3"/>
    <s v="OnePlus 9"/>
    <n v="74278.680000000008"/>
    <s v="Average"/>
    <s v="Average"/>
  </r>
  <r>
    <s v="Nikh553363"/>
    <n v="3363"/>
    <n v="25"/>
    <n v="5"/>
    <n v="2024"/>
    <d v="2024-05-25T00:00:00"/>
    <s v="May"/>
    <d v="2030-12-23T00:00:00"/>
    <x v="0"/>
    <n v="3"/>
    <n v="39828.43"/>
    <s v="Nikhil Bhattacharya"/>
    <n v="55"/>
    <s v="Senior Citezen"/>
    <s v="AVG"/>
    <x v="1"/>
    <s v="UPI"/>
    <n v="3"/>
    <s v="Redmi Note 10"/>
    <n v="119485.29000000001"/>
    <s v="Average"/>
    <s v="Good"/>
  </r>
  <r>
    <s v="Umes303364"/>
    <n v="3364"/>
    <n v="25"/>
    <n v="5"/>
    <n v="2024"/>
    <d v="2024-05-25T00:00:00"/>
    <s v="May"/>
    <d v="2030-12-24T00:00:00"/>
    <x v="3"/>
    <n v="1"/>
    <n v="58560.57"/>
    <s v="Umesh Dutta"/>
    <n v="30"/>
    <s v="Teenagers"/>
    <s v="Good"/>
    <x v="12"/>
    <s v="UPI"/>
    <n v="4"/>
    <s v="Galaxy Note 20"/>
    <n v="58560.57"/>
    <s v="Good"/>
    <s v="Average"/>
  </r>
  <r>
    <s v="Jyot593365"/>
    <n v="3365"/>
    <n v="26"/>
    <n v="5"/>
    <n v="2024"/>
    <d v="2024-05-26T00:00:00"/>
    <s v="May"/>
    <d v="2030-12-25T00:00:00"/>
    <x v="0"/>
    <n v="3"/>
    <n v="38232.28"/>
    <s v="Jyoti Menon"/>
    <n v="59"/>
    <s v="Senior Citezen"/>
    <s v="BAD"/>
    <x v="1"/>
    <s v="Cash"/>
    <n v="1"/>
    <s v="Redmi 9"/>
    <n v="114696.84"/>
    <s v="Average"/>
    <s v="Good"/>
  </r>
  <r>
    <s v="Jyot413366"/>
    <n v="3366"/>
    <n v="26"/>
    <n v="5"/>
    <n v="2024"/>
    <d v="2024-05-26T00:00:00"/>
    <s v="May"/>
    <d v="2030-12-26T00:00:00"/>
    <x v="0"/>
    <n v="1"/>
    <n v="66938.64"/>
    <s v="Jyoti Mishra"/>
    <n v="41"/>
    <s v="Adult"/>
    <s v="BAD"/>
    <x v="11"/>
    <s v="Debit Card"/>
    <n v="1"/>
    <s v="Redmi Note 10"/>
    <n v="66938.64"/>
    <s v="Average"/>
    <s v="Average"/>
  </r>
  <r>
    <s v="Kris493367"/>
    <n v="3367"/>
    <n v="26"/>
    <n v="5"/>
    <n v="2024"/>
    <d v="2024-05-26T00:00:00"/>
    <s v="May"/>
    <d v="2030-12-27T00:00:00"/>
    <x v="3"/>
    <n v="8"/>
    <n v="60850.04"/>
    <s v="Krishna Iyer"/>
    <n v="49"/>
    <s v="Senior Citezen"/>
    <s v="Good"/>
    <x v="2"/>
    <s v="Debit Card"/>
    <n v="4"/>
    <s v="Galaxy A51"/>
    <n v="486800.32"/>
    <s v="Good"/>
    <s v="Excellent"/>
  </r>
  <r>
    <s v="Tanu473368"/>
    <n v="3368"/>
    <n v="27"/>
    <n v="5"/>
    <n v="2024"/>
    <d v="2024-05-27T00:00:00"/>
    <s v="May"/>
    <d v="2030-12-28T00:00:00"/>
    <x v="3"/>
    <n v="1"/>
    <n v="29982.35"/>
    <s v="Tanuja Srivastava"/>
    <n v="47"/>
    <s v="Senior Citezen"/>
    <s v="AVG"/>
    <x v="11"/>
    <s v="Debit Card"/>
    <n v="3"/>
    <s v="Galaxy A51"/>
    <n v="29982.35"/>
    <s v="Average"/>
    <s v="Low"/>
  </r>
  <r>
    <s v="Tapa233369"/>
    <n v="3369"/>
    <n v="27"/>
    <n v="5"/>
    <n v="2024"/>
    <d v="2024-05-27T00:00:00"/>
    <s v="May"/>
    <d v="2030-12-29T00:00:00"/>
    <x v="4"/>
    <n v="5"/>
    <n v="33997.730000000003"/>
    <s v="Tapan Rawat"/>
    <n v="23"/>
    <s v="Teenagers"/>
    <s v="AVG"/>
    <x v="13"/>
    <s v="UPI"/>
    <n v="3"/>
    <s v="iPhone 12"/>
    <n v="169988.65000000002"/>
    <s v="Average"/>
    <s v="Good"/>
  </r>
  <r>
    <s v="Adit553370"/>
    <n v="3370"/>
    <n v="27"/>
    <n v="5"/>
    <n v="2024"/>
    <d v="2024-05-27T00:00:00"/>
    <s v="May"/>
    <d v="2030-12-30T00:00:00"/>
    <x v="4"/>
    <n v="9"/>
    <n v="35399.599999999999"/>
    <s v="Aditya Sheth"/>
    <n v="55"/>
    <s v="Senior Citezen"/>
    <s v="BAD"/>
    <x v="6"/>
    <s v="UPI"/>
    <n v="1"/>
    <s v="iPhone 12"/>
    <n v="318596.39999999997"/>
    <s v="Average"/>
    <s v="Excellent"/>
  </r>
  <r>
    <s v="Yoge503371"/>
    <n v="3371"/>
    <n v="28"/>
    <n v="5"/>
    <n v="2024"/>
    <d v="2024-05-28T00:00:00"/>
    <s v="May"/>
    <d v="2030-12-31T00:00:00"/>
    <x v="3"/>
    <n v="7"/>
    <n v="47570.77"/>
    <s v="Yogesh Mishra"/>
    <n v="50"/>
    <s v="Senior Citezen"/>
    <s v="AVG"/>
    <x v="8"/>
    <s v="Credit Card"/>
    <n v="3"/>
    <s v="Galaxy S21"/>
    <n v="332995.38999999996"/>
    <s v="Average"/>
    <s v="Excellent"/>
  </r>
  <r>
    <s v="Vive403372"/>
    <n v="3372"/>
    <n v="28"/>
    <n v="5"/>
    <n v="2024"/>
    <d v="2024-05-28T00:00:00"/>
    <s v="May"/>
    <d v="2031-01-01T00:00:00"/>
    <x v="1"/>
    <n v="4"/>
    <n v="27207.74"/>
    <s v="Vivek Nair"/>
    <n v="40"/>
    <s v="Adult"/>
    <s v="BAD"/>
    <x v="6"/>
    <s v="UPI"/>
    <n v="2"/>
    <s v="Vivo V20"/>
    <n v="108830.96"/>
    <s v="Average"/>
    <s v="Good"/>
  </r>
  <r>
    <s v="Nami273373"/>
    <n v="3373"/>
    <n v="28"/>
    <n v="5"/>
    <n v="2024"/>
    <d v="2024-05-28T00:00:00"/>
    <s v="May"/>
    <d v="2031-01-02T00:00:00"/>
    <x v="4"/>
    <n v="9"/>
    <n v="68154.95"/>
    <s v="Namita Siddiqui"/>
    <n v="27"/>
    <s v="Teenagers"/>
    <s v="AVG"/>
    <x v="1"/>
    <s v="Debit Card"/>
    <n v="3"/>
    <s v="iPhone SE"/>
    <n v="613394.54999999993"/>
    <s v="Average"/>
    <s v="Excellent"/>
  </r>
  <r>
    <s v="Isha323374"/>
    <n v="3374"/>
    <n v="28"/>
    <n v="5"/>
    <n v="2024"/>
    <d v="2024-05-28T00:00:00"/>
    <s v="May"/>
    <d v="2031-01-03T00:00:00"/>
    <x v="1"/>
    <n v="9"/>
    <n v="46521.05"/>
    <s v="Isha Sheth"/>
    <n v="32"/>
    <s v="Adult"/>
    <s v="AVG"/>
    <x v="2"/>
    <s v="Debit Card"/>
    <n v="3"/>
    <s v="Vivo Y51"/>
    <n v="418689.45"/>
    <s v="Average"/>
    <s v="Excellent"/>
  </r>
  <r>
    <s v="Pras403375"/>
    <n v="3375"/>
    <n v="29"/>
    <n v="5"/>
    <n v="2024"/>
    <d v="2024-05-29T00:00:00"/>
    <s v="May"/>
    <d v="2031-01-04T00:00:00"/>
    <x v="3"/>
    <n v="2"/>
    <n v="33964.1"/>
    <s v="Prashant Nair"/>
    <n v="40"/>
    <s v="Adult"/>
    <s v="Good"/>
    <x v="17"/>
    <s v="Debit Card"/>
    <n v="5"/>
    <s v="Galaxy A51"/>
    <n v="67928.2"/>
    <s v="Good"/>
    <s v="Average"/>
  </r>
  <r>
    <s v="Vive533376"/>
    <n v="3376"/>
    <n v="29"/>
    <n v="5"/>
    <n v="2024"/>
    <d v="2024-05-29T00:00:00"/>
    <s v="May"/>
    <d v="2031-01-05T00:00:00"/>
    <x v="4"/>
    <n v="6"/>
    <n v="48700.59"/>
    <s v="Vivek Mehta"/>
    <n v="53"/>
    <s v="Senior Citezen"/>
    <s v="BAD"/>
    <x v="7"/>
    <s v="Cash"/>
    <n v="1"/>
    <s v="iPhone SE"/>
    <n v="292203.53999999998"/>
    <s v="Average"/>
    <s v="Excellent"/>
  </r>
  <r>
    <s v="Reen183377"/>
    <n v="3377"/>
    <n v="29"/>
    <n v="5"/>
    <n v="2024"/>
    <d v="2024-05-29T00:00:00"/>
    <s v="May"/>
    <d v="2031-01-06T00:00:00"/>
    <x v="0"/>
    <n v="4"/>
    <n v="33724.300000000003"/>
    <s v="Reena Chatterjee"/>
    <n v="18"/>
    <s v="Teenagers"/>
    <s v="BAD"/>
    <x v="13"/>
    <s v="Credit Card"/>
    <n v="1"/>
    <s v="Redmi 9"/>
    <n v="134897.20000000001"/>
    <s v="Average"/>
    <s v="Good"/>
  </r>
  <r>
    <s v="Deep253378"/>
    <n v="3378"/>
    <n v="30"/>
    <n v="5"/>
    <n v="2024"/>
    <d v="2024-05-30T00:00:00"/>
    <s v="May"/>
    <d v="2031-01-07T00:00:00"/>
    <x v="3"/>
    <n v="8"/>
    <n v="59067.74"/>
    <s v="Deepika Gupta"/>
    <n v="25"/>
    <s v="Teenagers"/>
    <s v="BAD"/>
    <x v="1"/>
    <s v="Credit Card"/>
    <n v="2"/>
    <s v="Galaxy S21"/>
    <n v="472541.92"/>
    <s v="Average"/>
    <s v="Excellent"/>
  </r>
  <r>
    <s v="Roha203379"/>
    <n v="3379"/>
    <n v="30"/>
    <n v="5"/>
    <n v="2024"/>
    <d v="2024-05-30T00:00:00"/>
    <s v="May"/>
    <d v="2031-01-08T00:00:00"/>
    <x v="2"/>
    <n v="7"/>
    <n v="44070.46"/>
    <s v="Rohan Roy"/>
    <n v="20"/>
    <s v="Teenagers"/>
    <s v="BAD"/>
    <x v="9"/>
    <s v="UPI"/>
    <n v="2"/>
    <s v="OnePlus 9"/>
    <n v="308493.21999999997"/>
    <s v="Average"/>
    <s v="Excellent"/>
  </r>
  <r>
    <s v="Adit313380"/>
    <n v="3380"/>
    <n v="30"/>
    <n v="5"/>
    <n v="2024"/>
    <d v="2024-05-30T00:00:00"/>
    <s v="May"/>
    <d v="2031-01-09T00:00:00"/>
    <x v="1"/>
    <n v="7"/>
    <n v="12518.23"/>
    <s v="Aditya Iyer"/>
    <n v="31"/>
    <s v="Adult"/>
    <s v="BAD"/>
    <x v="13"/>
    <s v="Cash"/>
    <n v="2"/>
    <s v="Vivo Y51"/>
    <n v="87627.61"/>
    <s v="Average"/>
    <s v="Average"/>
  </r>
  <r>
    <s v="Priy343381"/>
    <n v="3381"/>
    <n v="31"/>
    <n v="5"/>
    <n v="2024"/>
    <d v="2024-05-31T00:00:00"/>
    <s v="May"/>
    <d v="2031-01-10T00:00:00"/>
    <x v="3"/>
    <n v="9"/>
    <n v="20605.41"/>
    <s v="Priya Teja"/>
    <n v="34"/>
    <s v="Adult"/>
    <s v="BAD"/>
    <x v="1"/>
    <s v="Credit Card"/>
    <n v="1"/>
    <s v="Galaxy Note 20"/>
    <n v="185448.69"/>
    <s v="Average"/>
    <s v="Good"/>
  </r>
  <r>
    <s v="Pooj513382"/>
    <n v="3382"/>
    <n v="31"/>
    <n v="5"/>
    <n v="2024"/>
    <d v="2024-05-31T00:00:00"/>
    <s v="May"/>
    <d v="2031-01-11T00:00:00"/>
    <x v="3"/>
    <n v="5"/>
    <n v="61899.64"/>
    <s v="Pooja Srivastava"/>
    <n v="51"/>
    <s v="Senior Citezen"/>
    <s v="Good"/>
    <x v="8"/>
    <s v="Cash"/>
    <n v="5"/>
    <s v="Galaxy Note 20"/>
    <n v="309498.2"/>
    <s v="Good"/>
    <s v="Excellent"/>
  </r>
  <r>
    <s v="Priy233383"/>
    <n v="3383"/>
    <n v="31"/>
    <n v="5"/>
    <n v="2024"/>
    <d v="2024-05-31T00:00:00"/>
    <s v="May"/>
    <d v="2031-01-12T00:00:00"/>
    <x v="4"/>
    <n v="6"/>
    <n v="43773.99"/>
    <s v="Priyanka Chatterjee"/>
    <n v="23"/>
    <s v="Teenagers"/>
    <s v="Good"/>
    <x v="6"/>
    <s v="Cash"/>
    <n v="5"/>
    <s v="iPhone SE"/>
    <n v="262643.94"/>
    <s v="Good"/>
    <s v="Excellent"/>
  </r>
  <r>
    <s v="Mala223384"/>
    <n v="3384"/>
    <n v="1"/>
    <n v="6"/>
    <n v="2024"/>
    <d v="2024-06-01T00:00:00"/>
    <s v="June"/>
    <d v="2031-01-13T00:00:00"/>
    <x v="4"/>
    <n v="1"/>
    <n v="67020.61"/>
    <s v="Mala Srivastava"/>
    <n v="22"/>
    <s v="Teenagers"/>
    <s v="Good"/>
    <x v="2"/>
    <s v="UPI"/>
    <n v="4"/>
    <s v="iPhone 11"/>
    <n v="67020.61"/>
    <s v="Good"/>
    <s v="Average"/>
  </r>
  <r>
    <s v="Radh583385"/>
    <n v="3385"/>
    <n v="1"/>
    <n v="6"/>
    <n v="2024"/>
    <d v="2024-06-01T00:00:00"/>
    <s v="June"/>
    <d v="2031-01-14T00:00:00"/>
    <x v="4"/>
    <n v="6"/>
    <n v="14345.34"/>
    <s v="Radha Gupta"/>
    <n v="58"/>
    <s v="Senior Citezen"/>
    <s v="BAD"/>
    <x v="3"/>
    <s v="Cash"/>
    <n v="1"/>
    <s v="iPhone SE"/>
    <n v="86072.040000000008"/>
    <s v="Average"/>
    <s v="Average"/>
  </r>
  <r>
    <s v="Priy573386"/>
    <n v="3386"/>
    <n v="1"/>
    <n v="6"/>
    <n v="2024"/>
    <d v="2024-06-01T00:00:00"/>
    <s v="June"/>
    <d v="2031-01-15T00:00:00"/>
    <x v="2"/>
    <n v="2"/>
    <n v="27715.64"/>
    <s v="Priya Reddy"/>
    <n v="57"/>
    <s v="Senior Citezen"/>
    <s v="Good"/>
    <x v="13"/>
    <s v="Credit Card"/>
    <n v="4"/>
    <s v="OnePlus 9"/>
    <n v="55431.28"/>
    <s v="Good"/>
    <s v="Average"/>
  </r>
  <r>
    <s v="Ayes463387"/>
    <n v="3387"/>
    <n v="2"/>
    <n v="6"/>
    <n v="2024"/>
    <d v="2024-06-02T00:00:00"/>
    <s v="June"/>
    <d v="2031-01-16T00:00:00"/>
    <x v="4"/>
    <n v="6"/>
    <n v="21612.6"/>
    <s v="Ayesha Rathod"/>
    <n v="46"/>
    <s v="Senior Citezen"/>
    <s v="AVG"/>
    <x v="2"/>
    <s v="UPI"/>
    <n v="3"/>
    <s v="iPhone SE"/>
    <n v="129675.59999999999"/>
    <s v="Average"/>
    <s v="Good"/>
  </r>
  <r>
    <s v="Nikh523388"/>
    <n v="3388"/>
    <n v="2"/>
    <n v="6"/>
    <n v="2024"/>
    <d v="2024-06-02T00:00:00"/>
    <s v="June"/>
    <d v="2031-01-17T00:00:00"/>
    <x v="3"/>
    <n v="9"/>
    <n v="43230.42"/>
    <s v="Nikhil Varma"/>
    <n v="52"/>
    <s v="Senior Citezen"/>
    <s v="BAD"/>
    <x v="0"/>
    <s v="Credit Card"/>
    <n v="2"/>
    <s v="Galaxy S21"/>
    <n v="389073.77999999997"/>
    <s v="Average"/>
    <s v="Excellent"/>
  </r>
  <r>
    <s v="Vive353389"/>
    <n v="3389"/>
    <n v="2"/>
    <n v="6"/>
    <n v="2024"/>
    <d v="2024-06-02T00:00:00"/>
    <s v="June"/>
    <d v="2031-01-18T00:00:00"/>
    <x v="4"/>
    <n v="8"/>
    <n v="32967.57"/>
    <s v="Vivek Rawat"/>
    <n v="35"/>
    <s v="Adult"/>
    <s v="Good"/>
    <x v="15"/>
    <s v="Cash"/>
    <n v="4"/>
    <s v="iPhone 12"/>
    <n v="263740.56"/>
    <s v="Good"/>
    <s v="Excellent"/>
  </r>
  <r>
    <s v="Ravi573390"/>
    <n v="3390"/>
    <n v="2"/>
    <n v="6"/>
    <n v="2024"/>
    <d v="2024-06-02T00:00:00"/>
    <s v="June"/>
    <d v="2031-01-19T00:00:00"/>
    <x v="0"/>
    <n v="9"/>
    <n v="19436.41"/>
    <s v="Ravi Prasad"/>
    <n v="57"/>
    <s v="Senior Citezen"/>
    <s v="Good"/>
    <x v="1"/>
    <s v="Cash"/>
    <n v="4"/>
    <s v="Mi 11"/>
    <n v="174927.69"/>
    <s v="Good"/>
    <s v="Good"/>
  </r>
  <r>
    <s v="Neet473391"/>
    <n v="3391"/>
    <n v="3"/>
    <n v="6"/>
    <n v="2024"/>
    <d v="2024-06-03T00:00:00"/>
    <s v="June"/>
    <d v="2031-01-20T00:00:00"/>
    <x v="4"/>
    <n v="8"/>
    <n v="48565.11"/>
    <s v="Neeta Sharma"/>
    <n v="47"/>
    <s v="Senior Citezen"/>
    <s v="Good"/>
    <x v="17"/>
    <s v="Debit Card"/>
    <n v="5"/>
    <s v="iPhone 12"/>
    <n v="388520.88"/>
    <s v="Good"/>
    <s v="Excellent"/>
  </r>
  <r>
    <s v="Sach323392"/>
    <n v="3392"/>
    <n v="3"/>
    <n v="6"/>
    <n v="2024"/>
    <d v="2024-06-03T00:00:00"/>
    <s v="June"/>
    <d v="2031-01-21T00:00:00"/>
    <x v="2"/>
    <n v="3"/>
    <n v="42177.9"/>
    <s v="Sachin Shah"/>
    <n v="32"/>
    <s v="Adult"/>
    <s v="BAD"/>
    <x v="5"/>
    <s v="UPI"/>
    <n v="2"/>
    <s v="OnePlus 8T"/>
    <n v="126533.70000000001"/>
    <s v="Average"/>
    <s v="Good"/>
  </r>
  <r>
    <s v="Sanj323393"/>
    <n v="3393"/>
    <n v="3"/>
    <n v="6"/>
    <n v="2024"/>
    <d v="2024-06-03T00:00:00"/>
    <s v="June"/>
    <d v="2031-01-22T00:00:00"/>
    <x v="0"/>
    <n v="8"/>
    <n v="26484.18"/>
    <s v="Sanjay Jain"/>
    <n v="32"/>
    <s v="Adult"/>
    <s v="BAD"/>
    <x v="1"/>
    <s v="UPI"/>
    <n v="2"/>
    <s v="Mi 11"/>
    <n v="211873.44"/>
    <s v="Average"/>
    <s v="Excellent"/>
  </r>
  <r>
    <s v="Vive333394"/>
    <n v="3394"/>
    <n v="3"/>
    <n v="6"/>
    <n v="2024"/>
    <d v="2024-06-03T00:00:00"/>
    <s v="June"/>
    <d v="2031-01-23T00:00:00"/>
    <x v="3"/>
    <n v="6"/>
    <n v="38786.28"/>
    <s v="Vivek Mathur"/>
    <n v="33"/>
    <s v="Adult"/>
    <s v="Good"/>
    <x v="2"/>
    <s v="Debit Card"/>
    <n v="5"/>
    <s v="Galaxy Note 20"/>
    <n v="232717.68"/>
    <s v="Good"/>
    <s v="Excellent"/>
  </r>
  <r>
    <s v="Kavi503395"/>
    <n v="3395"/>
    <n v="4"/>
    <n v="6"/>
    <n v="2024"/>
    <d v="2024-06-04T00:00:00"/>
    <s v="June"/>
    <d v="2031-01-24T00:00:00"/>
    <x v="3"/>
    <n v="6"/>
    <n v="54744.3"/>
    <s v="Kavita Rawat"/>
    <n v="50"/>
    <s v="Senior Citezen"/>
    <s v="Good"/>
    <x v="1"/>
    <s v="Credit Card"/>
    <n v="4"/>
    <s v="Galaxy A51"/>
    <n v="328465.80000000005"/>
    <s v="Good"/>
    <s v="Excellent"/>
  </r>
  <r>
    <s v="Bina273396"/>
    <n v="3396"/>
    <n v="4"/>
    <n v="6"/>
    <n v="2024"/>
    <d v="2024-06-04T00:00:00"/>
    <s v="June"/>
    <d v="2031-01-25T00:00:00"/>
    <x v="1"/>
    <n v="6"/>
    <n v="22316.3"/>
    <s v="Bina Kumar"/>
    <n v="27"/>
    <s v="Teenagers"/>
    <s v="Good"/>
    <x v="13"/>
    <s v="Credit Card"/>
    <n v="5"/>
    <s v="Vivo Y51"/>
    <n v="133897.79999999999"/>
    <s v="Good"/>
    <s v="Good"/>
  </r>
  <r>
    <s v="Amit363397"/>
    <n v="3397"/>
    <n v="4"/>
    <n v="6"/>
    <n v="2024"/>
    <d v="2024-06-04T00:00:00"/>
    <s v="June"/>
    <d v="2031-01-26T00:00:00"/>
    <x v="0"/>
    <n v="3"/>
    <n v="27574.34"/>
    <s v="Amit Sheth"/>
    <n v="36"/>
    <s v="Adult"/>
    <s v="Good"/>
    <x v="16"/>
    <s v="Cash"/>
    <n v="4"/>
    <s v="Mi 11"/>
    <n v="82723.02"/>
    <s v="Good"/>
    <s v="Average"/>
  </r>
  <r>
    <s v="Sach543398"/>
    <n v="3398"/>
    <n v="5"/>
    <n v="6"/>
    <n v="2024"/>
    <d v="2024-06-05T00:00:00"/>
    <s v="June"/>
    <d v="2031-01-27T00:00:00"/>
    <x v="1"/>
    <n v="1"/>
    <n v="30766.66"/>
    <s v="Sachin Ghosh"/>
    <n v="54"/>
    <s v="Senior Citezen"/>
    <s v="Good"/>
    <x v="1"/>
    <s v="UPI"/>
    <n v="5"/>
    <s v="Vivo V20"/>
    <n v="30766.66"/>
    <s v="Good"/>
    <s v="Low"/>
  </r>
  <r>
    <s v="Moni203399"/>
    <n v="3399"/>
    <n v="5"/>
    <n v="6"/>
    <n v="2024"/>
    <d v="2024-06-05T00:00:00"/>
    <s v="June"/>
    <d v="2031-01-28T00:00:00"/>
    <x v="0"/>
    <n v="4"/>
    <n v="54803.59"/>
    <s v="Monika Rawat"/>
    <n v="20"/>
    <s v="Teenagers"/>
    <s v="Good"/>
    <x v="2"/>
    <s v="Cash"/>
    <n v="5"/>
    <s v="Redmi 9"/>
    <n v="219214.36"/>
    <s v="Good"/>
    <s v="Excellent"/>
  </r>
  <r>
    <s v="Lali533400"/>
    <n v="3400"/>
    <n v="5"/>
    <n v="6"/>
    <n v="2024"/>
    <d v="2024-06-05T00:00:00"/>
    <s v="June"/>
    <d v="2031-01-29T00:00:00"/>
    <x v="0"/>
    <n v="6"/>
    <n v="60815.360000000001"/>
    <s v="Lalita Bhatnagar"/>
    <n v="53"/>
    <s v="Senior Citezen"/>
    <s v="AVG"/>
    <x v="2"/>
    <s v="Debit Card"/>
    <n v="3"/>
    <s v="Mi 11"/>
    <n v="364892.16000000003"/>
    <s v="Average"/>
    <s v="Excellent"/>
  </r>
  <r>
    <s v="Nami213401"/>
    <n v="3401"/>
    <n v="5"/>
    <n v="6"/>
    <n v="2024"/>
    <d v="2024-06-05T00:00:00"/>
    <s v="June"/>
    <d v="2031-01-30T00:00:00"/>
    <x v="2"/>
    <n v="2"/>
    <n v="32583.31"/>
    <s v="Namita Kumar"/>
    <n v="21"/>
    <s v="Teenagers"/>
    <s v="Good"/>
    <x v="11"/>
    <s v="Cash"/>
    <n v="4"/>
    <s v="OnePlus 8T"/>
    <n v="65166.62"/>
    <s v="Good"/>
    <s v="Average"/>
  </r>
  <r>
    <s v="Kavi283402"/>
    <n v="3402"/>
    <n v="6"/>
    <n v="6"/>
    <n v="2024"/>
    <d v="2024-06-06T00:00:00"/>
    <s v="June"/>
    <d v="2031-01-31T00:00:00"/>
    <x v="1"/>
    <n v="7"/>
    <n v="27797.25"/>
    <s v="Kavita Bhattacharya"/>
    <n v="28"/>
    <s v="Teenagers"/>
    <s v="Good"/>
    <x v="1"/>
    <s v="Credit Card"/>
    <n v="4"/>
    <s v="Vivo Y51"/>
    <n v="194580.75"/>
    <s v="Good"/>
    <s v="Good"/>
  </r>
  <r>
    <s v="Mala583403"/>
    <n v="3403"/>
    <n v="6"/>
    <n v="6"/>
    <n v="2024"/>
    <d v="2024-06-06T00:00:00"/>
    <s v="June"/>
    <d v="2031-02-01T00:00:00"/>
    <x v="2"/>
    <n v="7"/>
    <n v="63366.81"/>
    <s v="Mala Menon"/>
    <n v="58"/>
    <s v="Senior Citezen"/>
    <s v="BAD"/>
    <x v="15"/>
    <s v="Credit Card"/>
    <n v="2"/>
    <s v="OnePlus 9"/>
    <n v="443567.67"/>
    <s v="Average"/>
    <s v="Excellent"/>
  </r>
  <r>
    <s v="Deve503404"/>
    <n v="3404"/>
    <n v="6"/>
    <n v="6"/>
    <n v="2024"/>
    <d v="2024-06-06T00:00:00"/>
    <s v="June"/>
    <d v="2031-02-02T00:00:00"/>
    <x v="0"/>
    <n v="4"/>
    <n v="69961.899999999994"/>
    <s v="Devendra Arora"/>
    <n v="50"/>
    <s v="Senior Citezen"/>
    <s v="BAD"/>
    <x v="10"/>
    <s v="Debit Card"/>
    <n v="2"/>
    <s v="Redmi Note 10"/>
    <n v="279847.59999999998"/>
    <s v="Average"/>
    <s v="Excellent"/>
  </r>
  <r>
    <s v="Vija453405"/>
    <n v="3405"/>
    <n v="7"/>
    <n v="6"/>
    <n v="2024"/>
    <d v="2024-06-07T00:00:00"/>
    <s v="June"/>
    <d v="2031-02-03T00:00:00"/>
    <x v="3"/>
    <n v="4"/>
    <n v="50221.22"/>
    <s v="Vijay Shah"/>
    <n v="45"/>
    <s v="Adult"/>
    <s v="Good"/>
    <x v="11"/>
    <s v="Credit Card"/>
    <n v="5"/>
    <s v="Galaxy S21"/>
    <n v="200884.88"/>
    <s v="Good"/>
    <s v="Excellent"/>
  </r>
  <r>
    <s v="Pras493406"/>
    <n v="3406"/>
    <n v="7"/>
    <n v="6"/>
    <n v="2024"/>
    <d v="2024-06-07T00:00:00"/>
    <s v="June"/>
    <d v="2031-02-04T00:00:00"/>
    <x v="0"/>
    <n v="1"/>
    <n v="69398.84"/>
    <s v="Prashant Nair"/>
    <n v="49"/>
    <s v="Senior Citezen"/>
    <s v="AVG"/>
    <x v="18"/>
    <s v="Debit Card"/>
    <n v="3"/>
    <s v="Mi 11"/>
    <n v="69398.84"/>
    <s v="Average"/>
    <s v="Average"/>
  </r>
  <r>
    <s v="Suni333407"/>
    <n v="3407"/>
    <n v="7"/>
    <n v="6"/>
    <n v="2024"/>
    <d v="2024-06-07T00:00:00"/>
    <s v="June"/>
    <d v="2031-02-05T00:00:00"/>
    <x v="2"/>
    <n v="2"/>
    <n v="49597.98"/>
    <s v="Sunil Varma"/>
    <n v="33"/>
    <s v="Adult"/>
    <s v="Good"/>
    <x v="1"/>
    <s v="UPI"/>
    <n v="5"/>
    <s v="OnePlus 8T"/>
    <n v="99195.96"/>
    <s v="Good"/>
    <s v="Average"/>
  </r>
  <r>
    <s v="Nikh263408"/>
    <n v="3408"/>
    <n v="8"/>
    <n v="6"/>
    <n v="2024"/>
    <d v="2024-06-08T00:00:00"/>
    <s v="June"/>
    <d v="2031-02-06T00:00:00"/>
    <x v="1"/>
    <n v="9"/>
    <n v="54007.62"/>
    <s v="Nikhil Pathak"/>
    <n v="26"/>
    <s v="Teenagers"/>
    <s v="Good"/>
    <x v="8"/>
    <s v="Debit Card"/>
    <n v="4"/>
    <s v="Vivo Y51"/>
    <n v="486068.58"/>
    <s v="Good"/>
    <s v="Excellent"/>
  </r>
  <r>
    <s v="Gita283409"/>
    <n v="3409"/>
    <n v="8"/>
    <n v="6"/>
    <n v="2024"/>
    <d v="2024-06-08T00:00:00"/>
    <s v="June"/>
    <d v="2031-02-07T00:00:00"/>
    <x v="1"/>
    <n v="8"/>
    <n v="33319.360000000001"/>
    <s v="Gita Iyer"/>
    <n v="28"/>
    <s v="Teenagers"/>
    <s v="Good"/>
    <x v="0"/>
    <s v="Debit Card"/>
    <n v="5"/>
    <s v="Vivo Y51"/>
    <n v="266554.88"/>
    <s v="Good"/>
    <s v="Excellent"/>
  </r>
  <r>
    <s v="Jyot233410"/>
    <n v="3410"/>
    <n v="8"/>
    <n v="6"/>
    <n v="2024"/>
    <d v="2024-06-08T00:00:00"/>
    <s v="June"/>
    <d v="2031-02-08T00:00:00"/>
    <x v="2"/>
    <n v="8"/>
    <n v="35978.050000000003"/>
    <s v="Jyoti Srivastava"/>
    <n v="23"/>
    <s v="Teenagers"/>
    <s v="AVG"/>
    <x v="6"/>
    <s v="Debit Card"/>
    <n v="3"/>
    <s v="OnePlus 8T"/>
    <n v="287824.40000000002"/>
    <s v="Average"/>
    <s v="Excellent"/>
  </r>
  <r>
    <s v="Shru443411"/>
    <n v="3411"/>
    <n v="9"/>
    <n v="6"/>
    <n v="2024"/>
    <d v="2024-06-09T00:00:00"/>
    <s v="June"/>
    <d v="2031-02-09T00:00:00"/>
    <x v="1"/>
    <n v="9"/>
    <n v="18648.14"/>
    <s v="Shruti Bhatnagar"/>
    <n v="44"/>
    <s v="Adult"/>
    <s v="BAD"/>
    <x v="12"/>
    <s v="Credit Card"/>
    <n v="2"/>
    <s v="Vivo V20"/>
    <n v="167833.26"/>
    <s v="Average"/>
    <s v="Good"/>
  </r>
  <r>
    <s v="Kira293412"/>
    <n v="3412"/>
    <n v="9"/>
    <n v="6"/>
    <n v="2024"/>
    <d v="2024-06-09T00:00:00"/>
    <s v="June"/>
    <d v="2031-02-10T00:00:00"/>
    <x v="4"/>
    <n v="7"/>
    <n v="59365"/>
    <s v="Kiran Malhotra"/>
    <n v="29"/>
    <s v="Teenagers"/>
    <s v="AVG"/>
    <x v="8"/>
    <s v="UPI"/>
    <n v="3"/>
    <s v="iPhone 11"/>
    <n v="415555"/>
    <s v="Average"/>
    <s v="Excellent"/>
  </r>
  <r>
    <s v="Isha393413"/>
    <n v="3413"/>
    <n v="9"/>
    <n v="6"/>
    <n v="2024"/>
    <d v="2024-06-09T00:00:00"/>
    <s v="June"/>
    <d v="2031-02-11T00:00:00"/>
    <x v="3"/>
    <n v="9"/>
    <n v="65863.539999999994"/>
    <s v="Isha Reddy"/>
    <n v="39"/>
    <s v="Adult"/>
    <s v="Good"/>
    <x v="2"/>
    <s v="Cash"/>
    <n v="5"/>
    <s v="Galaxy A51"/>
    <n v="592771.86"/>
    <s v="Good"/>
    <s v="Excellent"/>
  </r>
  <r>
    <s v="Isha573414"/>
    <n v="3414"/>
    <n v="9"/>
    <n v="6"/>
    <n v="2024"/>
    <d v="2024-06-09T00:00:00"/>
    <s v="June"/>
    <d v="2031-02-12T00:00:00"/>
    <x v="3"/>
    <n v="2"/>
    <n v="47406.29"/>
    <s v="Isha Sheth"/>
    <n v="57"/>
    <s v="Senior Citezen"/>
    <s v="Good"/>
    <x v="4"/>
    <s v="UPI"/>
    <n v="5"/>
    <s v="Galaxy Note 20"/>
    <n v="94812.58"/>
    <s v="Good"/>
    <s v="Average"/>
  </r>
  <r>
    <s v="Meen543415"/>
    <n v="3415"/>
    <n v="10"/>
    <n v="6"/>
    <n v="2024"/>
    <d v="2024-06-10T00:00:00"/>
    <s v="June"/>
    <d v="2031-02-13T00:00:00"/>
    <x v="3"/>
    <n v="6"/>
    <n v="30618.84"/>
    <s v="Meena Desai"/>
    <n v="54"/>
    <s v="Senior Citezen"/>
    <s v="BAD"/>
    <x v="16"/>
    <s v="Credit Card"/>
    <n v="2"/>
    <s v="Galaxy S21"/>
    <n v="183713.04"/>
    <s v="Average"/>
    <s v="Good"/>
  </r>
  <r>
    <s v="Lali383416"/>
    <n v="3416"/>
    <n v="10"/>
    <n v="6"/>
    <n v="2024"/>
    <d v="2024-06-10T00:00:00"/>
    <s v="June"/>
    <d v="2031-02-14T00:00:00"/>
    <x v="1"/>
    <n v="3"/>
    <n v="19240.98"/>
    <s v="Lalita Rathod"/>
    <n v="38"/>
    <s v="Adult"/>
    <s v="BAD"/>
    <x v="7"/>
    <s v="UPI"/>
    <n v="2"/>
    <s v="Vivo Y51"/>
    <n v="57722.94"/>
    <s v="Average"/>
    <s v="Average"/>
  </r>
  <r>
    <s v="Sanj503417"/>
    <n v="3417"/>
    <n v="10"/>
    <n v="6"/>
    <n v="2024"/>
    <d v="2024-06-10T00:00:00"/>
    <s v="June"/>
    <d v="2031-02-15T00:00:00"/>
    <x v="1"/>
    <n v="6"/>
    <n v="25909.37"/>
    <s v="Sanjay Thakur"/>
    <n v="50"/>
    <s v="Senior Citezen"/>
    <s v="Good"/>
    <x v="17"/>
    <s v="UPI"/>
    <n v="5"/>
    <s v="Vivo S1"/>
    <n v="155456.22"/>
    <s v="Good"/>
    <s v="Good"/>
  </r>
  <r>
    <s v="Mano343418"/>
    <n v="3418"/>
    <n v="10"/>
    <n v="6"/>
    <n v="2024"/>
    <d v="2024-06-10T00:00:00"/>
    <s v="June"/>
    <d v="2031-02-16T00:00:00"/>
    <x v="0"/>
    <n v="3"/>
    <n v="25324.63"/>
    <s v="Manoj Goyal"/>
    <n v="34"/>
    <s v="Adult"/>
    <s v="BAD"/>
    <x v="2"/>
    <s v="Debit Card"/>
    <n v="2"/>
    <s v="Mi 11"/>
    <n v="75973.89"/>
    <s v="Average"/>
    <s v="Average"/>
  </r>
  <r>
    <s v="Anit463419"/>
    <n v="3419"/>
    <n v="11"/>
    <n v="6"/>
    <n v="2024"/>
    <d v="2024-06-11T00:00:00"/>
    <s v="June"/>
    <d v="2031-02-17T00:00:00"/>
    <x v="0"/>
    <n v="8"/>
    <n v="46811.67"/>
    <s v="Anita Deshmukh"/>
    <n v="46"/>
    <s v="Senior Citezen"/>
    <s v="Good"/>
    <x v="15"/>
    <s v="Debit Card"/>
    <n v="5"/>
    <s v="Redmi 9"/>
    <n v="374493.36"/>
    <s v="Good"/>
    <s v="Excellent"/>
  </r>
  <r>
    <s v="Anan573420"/>
    <n v="3420"/>
    <n v="11"/>
    <n v="6"/>
    <n v="2024"/>
    <d v="2024-06-11T00:00:00"/>
    <s v="June"/>
    <d v="2031-02-18T00:00:00"/>
    <x v="3"/>
    <n v="4"/>
    <n v="66702.25"/>
    <s v="Anand Nair"/>
    <n v="57"/>
    <s v="Senior Citezen"/>
    <s v="BAD"/>
    <x v="16"/>
    <s v="Credit Card"/>
    <n v="2"/>
    <s v="Galaxy A51"/>
    <n v="266809"/>
    <s v="Average"/>
    <s v="Excellent"/>
  </r>
  <r>
    <s v="Sumi273421"/>
    <n v="3421"/>
    <n v="11"/>
    <n v="6"/>
    <n v="2024"/>
    <d v="2024-06-11T00:00:00"/>
    <s v="June"/>
    <d v="2031-02-19T00:00:00"/>
    <x v="4"/>
    <n v="6"/>
    <n v="12896.31"/>
    <s v="Sumit Goyal"/>
    <n v="27"/>
    <s v="Teenagers"/>
    <s v="Good"/>
    <x v="1"/>
    <s v="Debit Card"/>
    <n v="4"/>
    <s v="iPhone 12"/>
    <n v="77377.86"/>
    <s v="Good"/>
    <s v="Average"/>
  </r>
  <r>
    <s v="Anja353422"/>
    <n v="3422"/>
    <n v="11"/>
    <n v="6"/>
    <n v="2024"/>
    <d v="2024-06-11T00:00:00"/>
    <s v="June"/>
    <d v="2031-02-20T00:00:00"/>
    <x v="0"/>
    <n v="9"/>
    <n v="10061.34"/>
    <s v="Anjali Srivastava"/>
    <n v="35"/>
    <s v="Adult"/>
    <s v="AVG"/>
    <x v="1"/>
    <s v="Credit Card"/>
    <n v="3"/>
    <s v="Redmi 9"/>
    <n v="90552.06"/>
    <s v="Average"/>
    <s v="Average"/>
  </r>
  <r>
    <s v="Pras303423"/>
    <n v="3423"/>
    <n v="12"/>
    <n v="6"/>
    <n v="2024"/>
    <d v="2024-06-12T00:00:00"/>
    <s v="June"/>
    <d v="2031-02-21T00:00:00"/>
    <x v="0"/>
    <n v="2"/>
    <n v="46010.92"/>
    <s v="Prashant Jain"/>
    <n v="30"/>
    <s v="Teenagers"/>
    <s v="Good"/>
    <x v="2"/>
    <s v="Cash"/>
    <n v="5"/>
    <s v="Mi 11"/>
    <n v="92021.84"/>
    <s v="Good"/>
    <s v="Average"/>
  </r>
  <r>
    <s v="Kavi443424"/>
    <n v="3424"/>
    <n v="12"/>
    <n v="6"/>
    <n v="2024"/>
    <d v="2024-06-12T00:00:00"/>
    <s v="June"/>
    <d v="2031-02-22T00:00:00"/>
    <x v="1"/>
    <n v="2"/>
    <n v="27043.63"/>
    <s v="Kavita Rawat"/>
    <n v="44"/>
    <s v="Adult"/>
    <s v="Good"/>
    <x v="18"/>
    <s v="UPI"/>
    <n v="5"/>
    <s v="Vivo S1"/>
    <n v="54087.26"/>
    <s v="Good"/>
    <s v="Average"/>
  </r>
  <r>
    <s v="Anit273425"/>
    <n v="3425"/>
    <n v="12"/>
    <n v="6"/>
    <n v="2024"/>
    <d v="2024-06-12T00:00:00"/>
    <s v="June"/>
    <d v="2031-02-23T00:00:00"/>
    <x v="4"/>
    <n v="7"/>
    <n v="62832.9"/>
    <s v="Anita Sharma"/>
    <n v="27"/>
    <s v="Teenagers"/>
    <s v="Good"/>
    <x v="5"/>
    <s v="Cash"/>
    <n v="5"/>
    <s v="iPhone 11"/>
    <n v="439830.3"/>
    <s v="Good"/>
    <s v="Excellent"/>
  </r>
  <r>
    <s v="Jyot493426"/>
    <n v="3426"/>
    <n v="12"/>
    <n v="6"/>
    <n v="2024"/>
    <d v="2024-06-12T00:00:00"/>
    <s v="June"/>
    <d v="2031-02-24T00:00:00"/>
    <x v="3"/>
    <n v="2"/>
    <n v="29635.02"/>
    <s v="Jyoti Ghosh"/>
    <n v="49"/>
    <s v="Senior Citezen"/>
    <s v="Good"/>
    <x v="0"/>
    <s v="Cash"/>
    <n v="4"/>
    <s v="Galaxy Note 20"/>
    <n v="59270.04"/>
    <s v="Good"/>
    <s v="Average"/>
  </r>
  <r>
    <s v="Yoge583427"/>
    <n v="3427"/>
    <n v="13"/>
    <n v="6"/>
    <n v="2024"/>
    <d v="2024-06-13T00:00:00"/>
    <s v="June"/>
    <d v="2031-02-25T00:00:00"/>
    <x v="0"/>
    <n v="2"/>
    <n v="27384.26"/>
    <s v="Yogesh Menon"/>
    <n v="58"/>
    <s v="Senior Citezen"/>
    <s v="BAD"/>
    <x v="17"/>
    <s v="UPI"/>
    <n v="2"/>
    <s v="Mi 11"/>
    <n v="54768.52"/>
    <s v="Average"/>
    <s v="Average"/>
  </r>
  <r>
    <s v="Neet203428"/>
    <n v="3428"/>
    <n v="13"/>
    <n v="6"/>
    <n v="2024"/>
    <d v="2024-06-13T00:00:00"/>
    <s v="June"/>
    <d v="2031-02-26T00:00:00"/>
    <x v="4"/>
    <n v="4"/>
    <n v="26170.639999999999"/>
    <s v="Neeta Arora"/>
    <n v="20"/>
    <s v="Teenagers"/>
    <s v="BAD"/>
    <x v="3"/>
    <s v="Debit Card"/>
    <n v="2"/>
    <s v="iPhone 11"/>
    <n v="104682.56"/>
    <s v="Average"/>
    <s v="Good"/>
  </r>
  <r>
    <s v="Isha393429"/>
    <n v="3429"/>
    <n v="13"/>
    <n v="6"/>
    <n v="2024"/>
    <d v="2024-06-13T00:00:00"/>
    <s v="June"/>
    <d v="2031-02-27T00:00:00"/>
    <x v="4"/>
    <n v="9"/>
    <n v="18691.169999999998"/>
    <s v="Isha Thakur"/>
    <n v="39"/>
    <s v="Adult"/>
    <s v="Good"/>
    <x v="3"/>
    <s v="Cash"/>
    <n v="5"/>
    <s v="iPhone 12"/>
    <n v="168220.52999999997"/>
    <s v="Good"/>
    <s v="Good"/>
  </r>
  <r>
    <s v="Navi443430"/>
    <n v="3430"/>
    <n v="13"/>
    <n v="6"/>
    <n v="2024"/>
    <d v="2024-06-13T00:00:00"/>
    <s v="June"/>
    <d v="2031-02-28T00:00:00"/>
    <x v="3"/>
    <n v="8"/>
    <n v="44891.83"/>
    <s v="Navin Pathak"/>
    <n v="44"/>
    <s v="Adult"/>
    <s v="BAD"/>
    <x v="18"/>
    <s v="UPI"/>
    <n v="2"/>
    <s v="Galaxy Note 20"/>
    <n v="359134.64"/>
    <s v="Average"/>
    <s v="Excellent"/>
  </r>
  <r>
    <s v="Sanj203431"/>
    <n v="3431"/>
    <n v="14"/>
    <n v="6"/>
    <n v="2024"/>
    <d v="2024-06-14T00:00:00"/>
    <s v="June"/>
    <d v="2031-03-01T00:00:00"/>
    <x v="4"/>
    <n v="2"/>
    <n v="20092.82"/>
    <s v="Sanjay Das"/>
    <n v="20"/>
    <s v="Teenagers"/>
    <s v="BAD"/>
    <x v="0"/>
    <s v="Cash"/>
    <n v="2"/>
    <s v="iPhone 12"/>
    <n v="40185.64"/>
    <s v="Average"/>
    <s v="Low"/>
  </r>
  <r>
    <s v="Kavi503432"/>
    <n v="3432"/>
    <n v="14"/>
    <n v="6"/>
    <n v="2024"/>
    <d v="2024-06-14T00:00:00"/>
    <s v="June"/>
    <d v="2031-03-02T00:00:00"/>
    <x v="4"/>
    <n v="8"/>
    <n v="35477.870000000003"/>
    <s v="Kavita Goyal"/>
    <n v="50"/>
    <s v="Senior Citezen"/>
    <s v="Good"/>
    <x v="4"/>
    <s v="Cash"/>
    <n v="4"/>
    <s v="iPhone SE"/>
    <n v="283822.96000000002"/>
    <s v="Good"/>
    <s v="Excellent"/>
  </r>
  <r>
    <s v="Shru193433"/>
    <n v="3433"/>
    <n v="14"/>
    <n v="6"/>
    <n v="2024"/>
    <d v="2024-06-14T00:00:00"/>
    <s v="June"/>
    <d v="2031-03-03T00:00:00"/>
    <x v="4"/>
    <n v="4"/>
    <n v="37658.32"/>
    <s v="Shruti Pathak"/>
    <n v="19"/>
    <s v="Teenagers"/>
    <s v="Good"/>
    <x v="2"/>
    <s v="UPI"/>
    <n v="5"/>
    <s v="iPhone 11"/>
    <n v="150633.28"/>
    <s v="Good"/>
    <s v="Good"/>
  </r>
  <r>
    <s v="Kavi283434"/>
    <n v="3434"/>
    <n v="14"/>
    <n v="6"/>
    <n v="2024"/>
    <d v="2024-06-14T00:00:00"/>
    <s v="June"/>
    <d v="2031-03-04T00:00:00"/>
    <x v="0"/>
    <n v="2"/>
    <n v="11229.52"/>
    <s v="Kavita Kaur"/>
    <n v="28"/>
    <s v="Teenagers"/>
    <s v="AVG"/>
    <x v="15"/>
    <s v="Debit Card"/>
    <n v="3"/>
    <s v="Redmi 9"/>
    <n v="22459.040000000001"/>
    <s v="Average"/>
    <s v="Low"/>
  </r>
  <r>
    <s v="Raje273435"/>
    <n v="3435"/>
    <n v="15"/>
    <n v="6"/>
    <n v="2024"/>
    <d v="2024-06-15T00:00:00"/>
    <s v="June"/>
    <d v="2031-03-05T00:00:00"/>
    <x v="3"/>
    <n v="7"/>
    <n v="11008.44"/>
    <s v="Rajesh Singh"/>
    <n v="27"/>
    <s v="Teenagers"/>
    <s v="Good"/>
    <x v="4"/>
    <s v="Credit Card"/>
    <n v="5"/>
    <s v="Galaxy S21"/>
    <n v="77059.08"/>
    <s v="Good"/>
    <s v="Average"/>
  </r>
  <r>
    <s v="Deve563436"/>
    <n v="3436"/>
    <n v="15"/>
    <n v="6"/>
    <n v="2024"/>
    <d v="2024-06-15T00:00:00"/>
    <s v="June"/>
    <d v="2031-03-06T00:00:00"/>
    <x v="4"/>
    <n v="6"/>
    <n v="41212.76"/>
    <s v="Devendra Singh"/>
    <n v="56"/>
    <s v="Senior Citezen"/>
    <s v="Good"/>
    <x v="12"/>
    <s v="UPI"/>
    <n v="5"/>
    <s v="iPhone 11"/>
    <n v="247276.56"/>
    <s v="Good"/>
    <s v="Excellent"/>
  </r>
  <r>
    <s v="Sneh503437"/>
    <n v="3437"/>
    <n v="15"/>
    <n v="6"/>
    <n v="2024"/>
    <d v="2024-06-15T00:00:00"/>
    <s v="June"/>
    <d v="2031-03-07T00:00:00"/>
    <x v="4"/>
    <n v="5"/>
    <n v="51762.080000000002"/>
    <s v="Sneha Yadav"/>
    <n v="50"/>
    <s v="Senior Citezen"/>
    <s v="AVG"/>
    <x v="2"/>
    <s v="Credit Card"/>
    <n v="3"/>
    <s v="iPhone 11"/>
    <n v="258810.40000000002"/>
    <s v="Average"/>
    <s v="Excellent"/>
  </r>
  <r>
    <s v="Mala243438"/>
    <n v="3438"/>
    <n v="15"/>
    <n v="6"/>
    <n v="2024"/>
    <d v="2024-06-15T00:00:00"/>
    <s v="June"/>
    <d v="2031-03-08T00:00:00"/>
    <x v="0"/>
    <n v="1"/>
    <n v="66528.55"/>
    <s v="Mala Das"/>
    <n v="24"/>
    <s v="Teenagers"/>
    <s v="Good"/>
    <x v="5"/>
    <s v="UPI"/>
    <n v="5"/>
    <s v="Redmi Note 10"/>
    <n v="66528.55"/>
    <s v="Good"/>
    <s v="Average"/>
  </r>
  <r>
    <s v="Bina323439"/>
    <n v="3439"/>
    <n v="16"/>
    <n v="6"/>
    <n v="2024"/>
    <d v="2024-06-16T00:00:00"/>
    <s v="June"/>
    <d v="2031-03-09T00:00:00"/>
    <x v="3"/>
    <n v="2"/>
    <n v="20747.16"/>
    <s v="Bina Teja"/>
    <n v="32"/>
    <s v="Adult"/>
    <s v="Good"/>
    <x v="1"/>
    <s v="UPI"/>
    <n v="5"/>
    <s v="Galaxy A51"/>
    <n v="41494.32"/>
    <s v="Good"/>
    <s v="Low"/>
  </r>
  <r>
    <s v="Pank433440"/>
    <n v="3440"/>
    <n v="16"/>
    <n v="6"/>
    <n v="2024"/>
    <d v="2024-06-16T00:00:00"/>
    <s v="June"/>
    <d v="2031-03-10T00:00:00"/>
    <x v="1"/>
    <n v="8"/>
    <n v="16195.53"/>
    <s v="Pankaj Mehta"/>
    <n v="43"/>
    <s v="Adult"/>
    <s v="Good"/>
    <x v="13"/>
    <s v="Credit Card"/>
    <n v="4"/>
    <s v="Vivo V20"/>
    <n v="129564.24"/>
    <s v="Good"/>
    <s v="Good"/>
  </r>
  <r>
    <s v="Lata283441"/>
    <n v="3441"/>
    <n v="16"/>
    <n v="6"/>
    <n v="2024"/>
    <d v="2024-06-16T00:00:00"/>
    <s v="June"/>
    <d v="2031-03-11T00:00:00"/>
    <x v="0"/>
    <n v="1"/>
    <n v="13125.27"/>
    <s v="Lata Dutta"/>
    <n v="28"/>
    <s v="Teenagers"/>
    <s v="Good"/>
    <x v="8"/>
    <s v="Credit Card"/>
    <n v="4"/>
    <s v="Redmi 9"/>
    <n v="13125.27"/>
    <s v="Good"/>
    <s v="Low"/>
  </r>
  <r>
    <s v="Neet553442"/>
    <n v="3442"/>
    <n v="16"/>
    <n v="6"/>
    <n v="2024"/>
    <d v="2024-06-16T00:00:00"/>
    <s v="June"/>
    <d v="2031-03-12T00:00:00"/>
    <x v="3"/>
    <n v="3"/>
    <n v="36162.49"/>
    <s v="Neeta Solanki"/>
    <n v="55"/>
    <s v="Senior Citezen"/>
    <s v="Good"/>
    <x v="18"/>
    <s v="Debit Card"/>
    <n v="4"/>
    <s v="Galaxy A51"/>
    <n v="108487.47"/>
    <s v="Good"/>
    <s v="Good"/>
  </r>
  <r>
    <s v="Lata443443"/>
    <n v="3443"/>
    <n v="17"/>
    <n v="6"/>
    <n v="2024"/>
    <d v="2024-06-17T00:00:00"/>
    <s v="June"/>
    <d v="2031-03-13T00:00:00"/>
    <x v="4"/>
    <n v="2"/>
    <n v="47388.84"/>
    <s v="Lata Shah"/>
    <n v="44"/>
    <s v="Adult"/>
    <s v="Good"/>
    <x v="12"/>
    <s v="UPI"/>
    <n v="5"/>
    <s v="iPhone SE"/>
    <n v="94777.68"/>
    <s v="Good"/>
    <s v="Average"/>
  </r>
  <r>
    <s v="Radh563444"/>
    <n v="3444"/>
    <n v="17"/>
    <n v="6"/>
    <n v="2024"/>
    <d v="2024-06-17T00:00:00"/>
    <s v="June"/>
    <d v="2031-03-14T00:00:00"/>
    <x v="3"/>
    <n v="5"/>
    <n v="60433.2"/>
    <s v="Radha Rao"/>
    <n v="56"/>
    <s v="Senior Citezen"/>
    <s v="Good"/>
    <x v="8"/>
    <s v="UPI"/>
    <n v="5"/>
    <s v="Galaxy Note 20"/>
    <n v="302166"/>
    <s v="Good"/>
    <s v="Excellent"/>
  </r>
  <r>
    <s v="Mano243445"/>
    <n v="3445"/>
    <n v="17"/>
    <n v="6"/>
    <n v="2024"/>
    <d v="2024-06-17T00:00:00"/>
    <s v="June"/>
    <d v="2031-03-15T00:00:00"/>
    <x v="3"/>
    <n v="4"/>
    <n v="50958.69"/>
    <s v="Manoj Shah"/>
    <n v="24"/>
    <s v="Teenagers"/>
    <s v="BAD"/>
    <x v="3"/>
    <s v="UPI"/>
    <n v="2"/>
    <s v="Galaxy S21"/>
    <n v="203834.76"/>
    <s v="Average"/>
    <s v="Excellent"/>
  </r>
  <r>
    <s v="Raje183446"/>
    <n v="3446"/>
    <n v="17"/>
    <n v="6"/>
    <n v="2024"/>
    <d v="2024-06-17T00:00:00"/>
    <s v="June"/>
    <d v="2031-03-16T00:00:00"/>
    <x v="3"/>
    <n v="7"/>
    <n v="22501.65"/>
    <s v="Rajesh Yadav"/>
    <n v="18"/>
    <s v="Teenagers"/>
    <s v="BAD"/>
    <x v="6"/>
    <s v="Debit Card"/>
    <n v="2"/>
    <s v="Galaxy Note 20"/>
    <n v="157511.55000000002"/>
    <s v="Average"/>
    <s v="Good"/>
  </r>
  <r>
    <s v="Nikh273447"/>
    <n v="3447"/>
    <n v="18"/>
    <n v="6"/>
    <n v="2024"/>
    <d v="2024-06-18T00:00:00"/>
    <s v="June"/>
    <d v="2031-03-17T00:00:00"/>
    <x v="1"/>
    <n v="5"/>
    <n v="37706.22"/>
    <s v="Nikhil Jain"/>
    <n v="27"/>
    <s v="Teenagers"/>
    <s v="Good"/>
    <x v="6"/>
    <s v="Credit Card"/>
    <n v="4"/>
    <s v="Vivo V20"/>
    <n v="188531.1"/>
    <s v="Good"/>
    <s v="Good"/>
  </r>
  <r>
    <s v="Isha383448"/>
    <n v="3448"/>
    <n v="18"/>
    <n v="6"/>
    <n v="2024"/>
    <d v="2024-06-18T00:00:00"/>
    <s v="June"/>
    <d v="2031-03-18T00:00:00"/>
    <x v="3"/>
    <n v="8"/>
    <n v="64620.78"/>
    <s v="Isha Menon"/>
    <n v="38"/>
    <s v="Adult"/>
    <s v="Good"/>
    <x v="2"/>
    <s v="UPI"/>
    <n v="5"/>
    <s v="Galaxy A51"/>
    <n v="516966.24"/>
    <s v="Good"/>
    <s v="Excellent"/>
  </r>
  <r>
    <s v="Pank323449"/>
    <n v="3449"/>
    <n v="18"/>
    <n v="6"/>
    <n v="2024"/>
    <d v="2024-06-18T00:00:00"/>
    <s v="June"/>
    <d v="2031-03-19T00:00:00"/>
    <x v="1"/>
    <n v="4"/>
    <n v="29604.46"/>
    <s v="Pankaj Bhattacharya"/>
    <n v="32"/>
    <s v="Adult"/>
    <s v="BAD"/>
    <x v="3"/>
    <s v="Credit Card"/>
    <n v="2"/>
    <s v="Vivo Y51"/>
    <n v="118417.84"/>
    <s v="Average"/>
    <s v="Good"/>
  </r>
  <r>
    <s v="Mala473450"/>
    <n v="3450"/>
    <n v="19"/>
    <n v="6"/>
    <n v="2024"/>
    <d v="2024-06-19T00:00:00"/>
    <s v="June"/>
    <d v="2031-03-20T00:00:00"/>
    <x v="4"/>
    <n v="6"/>
    <n v="39923.82"/>
    <s v="Mala Roy"/>
    <n v="47"/>
    <s v="Senior Citezen"/>
    <s v="Good"/>
    <x v="1"/>
    <s v="Debit Card"/>
    <n v="5"/>
    <s v="iPhone 11"/>
    <n v="239542.91999999998"/>
    <s v="Good"/>
    <s v="Excellent"/>
  </r>
  <r>
    <s v="Moni473451"/>
    <n v="3451"/>
    <n v="19"/>
    <n v="6"/>
    <n v="2024"/>
    <d v="2024-06-19T00:00:00"/>
    <s v="June"/>
    <d v="2031-03-21T00:00:00"/>
    <x v="1"/>
    <n v="4"/>
    <n v="67513.919999999998"/>
    <s v="Monika Ahuja"/>
    <n v="47"/>
    <s v="Senior Citezen"/>
    <s v="Good"/>
    <x v="1"/>
    <s v="Cash"/>
    <n v="5"/>
    <s v="Vivo Y51"/>
    <n v="270055.67999999999"/>
    <s v="Good"/>
    <s v="Excellent"/>
  </r>
  <r>
    <s v="Neet253452"/>
    <n v="3452"/>
    <n v="19"/>
    <n v="6"/>
    <n v="2024"/>
    <d v="2024-06-19T00:00:00"/>
    <s v="June"/>
    <d v="2031-03-22T00:00:00"/>
    <x v="4"/>
    <n v="2"/>
    <n v="54082.48"/>
    <s v="Neeta Solanki"/>
    <n v="25"/>
    <s v="Teenagers"/>
    <s v="Good"/>
    <x v="1"/>
    <s v="Credit Card"/>
    <n v="4"/>
    <s v="iPhone SE"/>
    <n v="108164.96"/>
    <s v="Good"/>
    <s v="Good"/>
  </r>
  <r>
    <s v="Anja413453"/>
    <n v="3453"/>
    <n v="19"/>
    <n v="6"/>
    <n v="2024"/>
    <d v="2024-06-19T00:00:00"/>
    <s v="June"/>
    <d v="2031-03-23T00:00:00"/>
    <x v="4"/>
    <n v="1"/>
    <n v="54864.42"/>
    <s v="Anjali Varma"/>
    <n v="41"/>
    <s v="Adult"/>
    <s v="AVG"/>
    <x v="0"/>
    <s v="Debit Card"/>
    <n v="3"/>
    <s v="iPhone 12"/>
    <n v="54864.42"/>
    <s v="Average"/>
    <s v="Average"/>
  </r>
  <r>
    <s v="Gita363454"/>
    <n v="3454"/>
    <n v="20"/>
    <n v="6"/>
    <n v="2024"/>
    <d v="2024-06-20T00:00:00"/>
    <s v="June"/>
    <d v="2031-03-24T00:00:00"/>
    <x v="1"/>
    <n v="1"/>
    <n v="25140.04"/>
    <s v="Gita Roy"/>
    <n v="36"/>
    <s v="Adult"/>
    <s v="Good"/>
    <x v="13"/>
    <s v="Cash"/>
    <n v="4"/>
    <s v="Vivo S1"/>
    <n v="25140.04"/>
    <s v="Good"/>
    <s v="Low"/>
  </r>
  <r>
    <s v="Sumi203455"/>
    <n v="3455"/>
    <n v="20"/>
    <n v="6"/>
    <n v="2024"/>
    <d v="2024-06-20T00:00:00"/>
    <s v="June"/>
    <d v="2031-03-25T00:00:00"/>
    <x v="0"/>
    <n v="8"/>
    <n v="34881.89"/>
    <s v="Sumit Malhotra"/>
    <n v="20"/>
    <s v="Teenagers"/>
    <s v="AVG"/>
    <x v="18"/>
    <s v="UPI"/>
    <n v="3"/>
    <s v="Mi 11"/>
    <n v="279055.12"/>
    <s v="Average"/>
    <s v="Excellent"/>
  </r>
  <r>
    <s v="Vive323456"/>
    <n v="3456"/>
    <n v="20"/>
    <n v="6"/>
    <n v="2024"/>
    <d v="2024-06-20T00:00:00"/>
    <s v="June"/>
    <d v="2031-03-26T00:00:00"/>
    <x v="2"/>
    <n v="4"/>
    <n v="14940.53"/>
    <s v="Vivek Mehta"/>
    <n v="32"/>
    <s v="Adult"/>
    <s v="BAD"/>
    <x v="1"/>
    <s v="UPI"/>
    <n v="2"/>
    <s v="OnePlus 8T"/>
    <n v="59762.12"/>
    <s v="Average"/>
    <s v="Average"/>
  </r>
  <r>
    <s v="Bhav533457"/>
    <n v="3457"/>
    <n v="20"/>
    <n v="6"/>
    <n v="2024"/>
    <d v="2024-06-20T00:00:00"/>
    <s v="June"/>
    <d v="2031-03-27T00:00:00"/>
    <x v="3"/>
    <n v="5"/>
    <n v="46391.55"/>
    <s v="Bhavana Bhatnagar"/>
    <n v="53"/>
    <s v="Senior Citezen"/>
    <s v="AVG"/>
    <x v="2"/>
    <s v="Credit Card"/>
    <n v="3"/>
    <s v="Galaxy A51"/>
    <n v="231957.75"/>
    <s v="Average"/>
    <s v="Excellent"/>
  </r>
  <r>
    <s v="Deve233458"/>
    <n v="3458"/>
    <n v="21"/>
    <n v="6"/>
    <n v="2024"/>
    <d v="2024-06-21T00:00:00"/>
    <s v="June"/>
    <d v="2031-03-28T00:00:00"/>
    <x v="2"/>
    <n v="8"/>
    <n v="16223.81"/>
    <s v="Devendra Rao"/>
    <n v="23"/>
    <s v="Teenagers"/>
    <s v="Good"/>
    <x v="14"/>
    <s v="Cash"/>
    <n v="5"/>
    <s v="OnePlus 8T"/>
    <n v="129790.48"/>
    <s v="Good"/>
    <s v="Good"/>
  </r>
  <r>
    <s v="Pank593459"/>
    <n v="3459"/>
    <n v="21"/>
    <n v="6"/>
    <n v="2024"/>
    <d v="2024-06-21T00:00:00"/>
    <s v="June"/>
    <d v="2031-03-29T00:00:00"/>
    <x v="3"/>
    <n v="7"/>
    <n v="60154.57"/>
    <s v="Pankaj Sheth"/>
    <n v="59"/>
    <s v="Senior Citezen"/>
    <s v="AVG"/>
    <x v="14"/>
    <s v="Debit Card"/>
    <n v="3"/>
    <s v="Galaxy Note 20"/>
    <n v="421081.99"/>
    <s v="Average"/>
    <s v="Excellent"/>
  </r>
  <r>
    <s v="Tanu353460"/>
    <n v="3460"/>
    <n v="21"/>
    <n v="6"/>
    <n v="2024"/>
    <d v="2024-06-21T00:00:00"/>
    <s v="June"/>
    <d v="2031-03-30T00:00:00"/>
    <x v="3"/>
    <n v="8"/>
    <n v="58873.23"/>
    <s v="Tanuja Teja"/>
    <n v="35"/>
    <s v="Adult"/>
    <s v="BAD"/>
    <x v="1"/>
    <s v="UPI"/>
    <n v="2"/>
    <s v="Galaxy S21"/>
    <n v="470985.84"/>
    <s v="Average"/>
    <s v="Excellent"/>
  </r>
  <r>
    <s v="Suni553461"/>
    <n v="3461"/>
    <n v="21"/>
    <n v="6"/>
    <n v="2024"/>
    <d v="2024-06-21T00:00:00"/>
    <s v="June"/>
    <d v="2031-03-31T00:00:00"/>
    <x v="4"/>
    <n v="8"/>
    <n v="42016.31"/>
    <s v="Sunita Verma"/>
    <n v="55"/>
    <s v="Senior Citezen"/>
    <s v="BAD"/>
    <x v="14"/>
    <s v="UPI"/>
    <n v="2"/>
    <s v="iPhone 12"/>
    <n v="336130.48"/>
    <s v="Average"/>
    <s v="Excellent"/>
  </r>
  <r>
    <s v="Suni363462"/>
    <n v="3462"/>
    <n v="22"/>
    <n v="6"/>
    <n v="2024"/>
    <d v="2024-06-22T00:00:00"/>
    <s v="June"/>
    <d v="2031-04-01T00:00:00"/>
    <x v="3"/>
    <n v="6"/>
    <n v="18469.96"/>
    <s v="Sunita Mehta"/>
    <n v="36"/>
    <s v="Adult"/>
    <s v="Good"/>
    <x v="2"/>
    <s v="Cash"/>
    <n v="4"/>
    <s v="Galaxy S21"/>
    <n v="110819.76"/>
    <s v="Good"/>
    <s v="Good"/>
  </r>
  <r>
    <s v="Anja473463"/>
    <n v="3463"/>
    <n v="22"/>
    <n v="6"/>
    <n v="2024"/>
    <d v="2024-06-22T00:00:00"/>
    <s v="June"/>
    <d v="2031-04-02T00:00:00"/>
    <x v="3"/>
    <n v="2"/>
    <n v="11534.74"/>
    <s v="Anjali Gupta"/>
    <n v="47"/>
    <s v="Senior Citezen"/>
    <s v="BAD"/>
    <x v="18"/>
    <s v="Debit Card"/>
    <n v="2"/>
    <s v="Galaxy S21"/>
    <n v="23069.48"/>
    <s v="Average"/>
    <s v="Low"/>
  </r>
  <r>
    <s v="Sumi303464"/>
    <n v="3464"/>
    <n v="22"/>
    <n v="6"/>
    <n v="2024"/>
    <d v="2024-06-22T00:00:00"/>
    <s v="June"/>
    <d v="2031-04-03T00:00:00"/>
    <x v="1"/>
    <n v="6"/>
    <n v="57802.52"/>
    <s v="Sumit Goyal"/>
    <n v="30"/>
    <s v="Teenagers"/>
    <s v="Good"/>
    <x v="1"/>
    <s v="UPI"/>
    <n v="5"/>
    <s v="Vivo V20"/>
    <n v="346815.12"/>
    <s v="Good"/>
    <s v="Excellent"/>
  </r>
  <r>
    <s v="Roha563465"/>
    <n v="3465"/>
    <n v="22"/>
    <n v="6"/>
    <n v="2024"/>
    <d v="2024-06-22T00:00:00"/>
    <s v="June"/>
    <d v="2031-04-04T00:00:00"/>
    <x v="2"/>
    <n v="1"/>
    <n v="46008.43"/>
    <s v="Rohan Roy"/>
    <n v="56"/>
    <s v="Senior Citezen"/>
    <s v="AVG"/>
    <x v="15"/>
    <s v="UPI"/>
    <n v="3"/>
    <s v="OnePlus 9"/>
    <n v="46008.43"/>
    <s v="Average"/>
    <s v="Low"/>
  </r>
  <r>
    <s v="Yoge293466"/>
    <n v="3466"/>
    <n v="23"/>
    <n v="6"/>
    <n v="2024"/>
    <d v="2024-06-23T00:00:00"/>
    <s v="June"/>
    <d v="2031-04-05T00:00:00"/>
    <x v="1"/>
    <n v="1"/>
    <n v="52655.78"/>
    <s v="Yogesh Pathak"/>
    <n v="29"/>
    <s v="Teenagers"/>
    <s v="Good"/>
    <x v="2"/>
    <s v="Credit Card"/>
    <n v="5"/>
    <s v="Vivo Y51"/>
    <n v="52655.78"/>
    <s v="Good"/>
    <s v="Average"/>
  </r>
  <r>
    <s v="Pank513467"/>
    <n v="3467"/>
    <n v="23"/>
    <n v="6"/>
    <n v="2024"/>
    <d v="2024-06-23T00:00:00"/>
    <s v="June"/>
    <d v="2031-04-06T00:00:00"/>
    <x v="3"/>
    <n v="3"/>
    <n v="28228.43"/>
    <s v="Pankaj Sheth"/>
    <n v="51"/>
    <s v="Senior Citezen"/>
    <s v="BAD"/>
    <x v="2"/>
    <s v="Debit Card"/>
    <n v="2"/>
    <s v="Galaxy Note 20"/>
    <n v="84685.290000000008"/>
    <s v="Average"/>
    <s v="Average"/>
  </r>
  <r>
    <s v="Kavi293468"/>
    <n v="3468"/>
    <n v="23"/>
    <n v="6"/>
    <n v="2024"/>
    <d v="2024-06-23T00:00:00"/>
    <s v="June"/>
    <d v="2031-04-07T00:00:00"/>
    <x v="4"/>
    <n v="3"/>
    <n v="40568.959999999999"/>
    <s v="Kavita Teja"/>
    <n v="29"/>
    <s v="Teenagers"/>
    <s v="AVG"/>
    <x v="15"/>
    <s v="UPI"/>
    <n v="3"/>
    <s v="iPhone 12"/>
    <n v="121706.88"/>
    <s v="Average"/>
    <s v="Good"/>
  </r>
  <r>
    <s v="Kris413469"/>
    <n v="3469"/>
    <n v="23"/>
    <n v="6"/>
    <n v="2024"/>
    <d v="2024-06-23T00:00:00"/>
    <s v="June"/>
    <d v="2031-04-08T00:00:00"/>
    <x v="1"/>
    <n v="5"/>
    <n v="54830.45"/>
    <s v="Krishna Patel"/>
    <n v="41"/>
    <s v="Adult"/>
    <s v="Good"/>
    <x v="1"/>
    <s v="Cash"/>
    <n v="4"/>
    <s v="Vivo S1"/>
    <n v="274152.25"/>
    <s v="Good"/>
    <s v="Excellent"/>
  </r>
  <r>
    <s v="Suni213470"/>
    <n v="3470"/>
    <n v="24"/>
    <n v="6"/>
    <n v="2024"/>
    <d v="2024-06-24T00:00:00"/>
    <s v="June"/>
    <d v="2031-04-09T00:00:00"/>
    <x v="1"/>
    <n v="1"/>
    <n v="37753.800000000003"/>
    <s v="Sunita Mathur"/>
    <n v="21"/>
    <s v="Teenagers"/>
    <s v="Good"/>
    <x v="9"/>
    <s v="UPI"/>
    <n v="5"/>
    <s v="Vivo V20"/>
    <n v="37753.800000000003"/>
    <s v="Good"/>
    <s v="Low"/>
  </r>
  <r>
    <s v="Lata533471"/>
    <n v="3471"/>
    <n v="24"/>
    <n v="6"/>
    <n v="2024"/>
    <d v="2024-06-24T00:00:00"/>
    <s v="June"/>
    <d v="2031-04-10T00:00:00"/>
    <x v="0"/>
    <n v="6"/>
    <n v="46083.05"/>
    <s v="Lata Dutta"/>
    <n v="53"/>
    <s v="Senior Citezen"/>
    <s v="Good"/>
    <x v="5"/>
    <s v="Debit Card"/>
    <n v="4"/>
    <s v="Mi 11"/>
    <n v="276498.30000000005"/>
    <s v="Good"/>
    <s v="Excellent"/>
  </r>
  <r>
    <s v="Rame313472"/>
    <n v="3472"/>
    <n v="24"/>
    <n v="6"/>
    <n v="2024"/>
    <d v="2024-06-24T00:00:00"/>
    <s v="June"/>
    <d v="2031-04-11T00:00:00"/>
    <x v="3"/>
    <n v="7"/>
    <n v="57383.7"/>
    <s v="Ramesh Mishra"/>
    <n v="31"/>
    <s v="Adult"/>
    <s v="Good"/>
    <x v="2"/>
    <s v="Credit Card"/>
    <n v="5"/>
    <s v="Galaxy A51"/>
    <n v="401685.89999999997"/>
    <s v="Good"/>
    <s v="Excellent"/>
  </r>
  <r>
    <s v="Kris343473"/>
    <n v="3473"/>
    <n v="24"/>
    <n v="6"/>
    <n v="2024"/>
    <d v="2024-06-24T00:00:00"/>
    <s v="June"/>
    <d v="2031-04-12T00:00:00"/>
    <x v="4"/>
    <n v="3"/>
    <n v="22913.24"/>
    <s v="Krishna Rao"/>
    <n v="34"/>
    <s v="Adult"/>
    <s v="Good"/>
    <x v="12"/>
    <s v="UPI"/>
    <n v="4"/>
    <s v="iPhone SE"/>
    <n v="68739.72"/>
    <s v="Good"/>
    <s v="Average"/>
  </r>
  <r>
    <s v="Suni203474"/>
    <n v="3474"/>
    <n v="25"/>
    <n v="6"/>
    <n v="2024"/>
    <d v="2024-06-25T00:00:00"/>
    <s v="June"/>
    <d v="2031-04-13T00:00:00"/>
    <x v="1"/>
    <n v="4"/>
    <n v="13955.73"/>
    <s v="Sunita Luthra"/>
    <n v="20"/>
    <s v="Teenagers"/>
    <s v="AVG"/>
    <x v="12"/>
    <s v="Cash"/>
    <n v="3"/>
    <s v="Vivo S1"/>
    <n v="55822.92"/>
    <s v="Average"/>
    <s v="Average"/>
  </r>
  <r>
    <s v="Bhav553475"/>
    <n v="3475"/>
    <n v="25"/>
    <n v="6"/>
    <n v="2024"/>
    <d v="2024-06-25T00:00:00"/>
    <s v="June"/>
    <d v="2031-04-14T00:00:00"/>
    <x v="1"/>
    <n v="3"/>
    <n v="41909.410000000003"/>
    <s v="Bhavana Mehta"/>
    <n v="55"/>
    <s v="Senior Citezen"/>
    <s v="Good"/>
    <x v="9"/>
    <s v="UPI"/>
    <n v="5"/>
    <s v="Vivo Y51"/>
    <n v="125728.23000000001"/>
    <s v="Good"/>
    <s v="Good"/>
  </r>
  <r>
    <s v="Lata403476"/>
    <n v="3476"/>
    <n v="25"/>
    <n v="6"/>
    <n v="2024"/>
    <d v="2024-06-25T00:00:00"/>
    <s v="June"/>
    <d v="2031-04-15T00:00:00"/>
    <x v="4"/>
    <n v="1"/>
    <n v="13727.55"/>
    <s v="Lata Joshi"/>
    <n v="40"/>
    <s v="Adult"/>
    <s v="Good"/>
    <x v="9"/>
    <s v="Cash"/>
    <n v="4"/>
    <s v="iPhone SE"/>
    <n v="13727.55"/>
    <s v="Good"/>
    <s v="Low"/>
  </r>
  <r>
    <s v="Anja303477"/>
    <n v="3477"/>
    <n v="25"/>
    <n v="6"/>
    <n v="2024"/>
    <d v="2024-06-25T00:00:00"/>
    <s v="June"/>
    <d v="2031-04-16T00:00:00"/>
    <x v="3"/>
    <n v="8"/>
    <n v="55993.440000000002"/>
    <s v="Anjali Kulkarni"/>
    <n v="30"/>
    <s v="Teenagers"/>
    <s v="Good"/>
    <x v="2"/>
    <s v="Debit Card"/>
    <n v="4"/>
    <s v="Galaxy Note 20"/>
    <n v="447947.52000000002"/>
    <s v="Good"/>
    <s v="Excellent"/>
  </r>
  <r>
    <s v="Raje263478"/>
    <n v="3478"/>
    <n v="26"/>
    <n v="6"/>
    <n v="2024"/>
    <d v="2024-06-26T00:00:00"/>
    <s v="June"/>
    <d v="2031-04-17T00:00:00"/>
    <x v="0"/>
    <n v="2"/>
    <n v="53152.69"/>
    <s v="Rajesh Kapoor"/>
    <n v="26"/>
    <s v="Teenagers"/>
    <s v="Good"/>
    <x v="1"/>
    <s v="Credit Card"/>
    <n v="5"/>
    <s v="Mi 11"/>
    <n v="106305.38"/>
    <s v="Good"/>
    <s v="Good"/>
  </r>
  <r>
    <s v="Nikh383479"/>
    <n v="3479"/>
    <n v="26"/>
    <n v="6"/>
    <n v="2024"/>
    <d v="2024-06-26T00:00:00"/>
    <s v="June"/>
    <d v="2031-04-18T00:00:00"/>
    <x v="1"/>
    <n v="1"/>
    <n v="62902.76"/>
    <s v="Nikhil Patel"/>
    <n v="38"/>
    <s v="Adult"/>
    <s v="AVG"/>
    <x v="16"/>
    <s v="Debit Card"/>
    <n v="3"/>
    <s v="Vivo V20"/>
    <n v="62902.76"/>
    <s v="Average"/>
    <s v="Average"/>
  </r>
  <r>
    <s v="Amit583480"/>
    <n v="3480"/>
    <n v="26"/>
    <n v="6"/>
    <n v="2024"/>
    <d v="2024-06-26T00:00:00"/>
    <s v="June"/>
    <d v="2031-04-19T00:00:00"/>
    <x v="0"/>
    <n v="8"/>
    <n v="48373.73"/>
    <s v="Amit Ghosh"/>
    <n v="58"/>
    <s v="Senior Citezen"/>
    <s v="Good"/>
    <x v="1"/>
    <s v="UPI"/>
    <n v="4"/>
    <s v="Mi 11"/>
    <n v="386989.84"/>
    <s v="Good"/>
    <s v="Excellent"/>
  </r>
  <r>
    <s v="Kira253481"/>
    <n v="3481"/>
    <n v="26"/>
    <n v="6"/>
    <n v="2024"/>
    <d v="2024-06-26T00:00:00"/>
    <s v="June"/>
    <d v="2031-04-20T00:00:00"/>
    <x v="2"/>
    <n v="7"/>
    <n v="14031.85"/>
    <s v="Kiran Chaudhary"/>
    <n v="25"/>
    <s v="Teenagers"/>
    <s v="AVG"/>
    <x v="1"/>
    <s v="UPI"/>
    <n v="3"/>
    <s v="OnePlus Nord"/>
    <n v="98222.95"/>
    <s v="Average"/>
    <s v="Average"/>
  </r>
  <r>
    <s v="Anan343482"/>
    <n v="3482"/>
    <n v="27"/>
    <n v="6"/>
    <n v="2024"/>
    <d v="2024-06-27T00:00:00"/>
    <s v="June"/>
    <d v="2031-04-21T00:00:00"/>
    <x v="3"/>
    <n v="7"/>
    <n v="25189.13"/>
    <s v="Anand Joshi"/>
    <n v="34"/>
    <s v="Adult"/>
    <s v="BAD"/>
    <x v="3"/>
    <s v="Credit Card"/>
    <n v="2"/>
    <s v="Galaxy Note 20"/>
    <n v="176323.91"/>
    <s v="Average"/>
    <s v="Good"/>
  </r>
  <r>
    <s v="Nikh333483"/>
    <n v="3483"/>
    <n v="27"/>
    <n v="6"/>
    <n v="2024"/>
    <d v="2024-06-27T00:00:00"/>
    <s v="June"/>
    <d v="2031-04-22T00:00:00"/>
    <x v="2"/>
    <n v="4"/>
    <n v="58475.91"/>
    <s v="Nikhil Menon"/>
    <n v="33"/>
    <s v="Adult"/>
    <s v="Good"/>
    <x v="2"/>
    <s v="Cash"/>
    <n v="5"/>
    <s v="OnePlus 8T"/>
    <n v="233903.64"/>
    <s v="Good"/>
    <s v="Excellent"/>
  </r>
  <r>
    <s v="Tapa333484"/>
    <n v="3484"/>
    <n v="27"/>
    <n v="6"/>
    <n v="2024"/>
    <d v="2024-06-27T00:00:00"/>
    <s v="June"/>
    <d v="2031-04-23T00:00:00"/>
    <x v="2"/>
    <n v="9"/>
    <n v="20027.95"/>
    <s v="Tapan Mishra"/>
    <n v="33"/>
    <s v="Adult"/>
    <s v="Good"/>
    <x v="11"/>
    <s v="Debit Card"/>
    <n v="5"/>
    <s v="OnePlus 9"/>
    <n v="180251.55000000002"/>
    <s v="Good"/>
    <s v="Good"/>
  </r>
  <r>
    <s v="Vive453485"/>
    <n v="3485"/>
    <n v="27"/>
    <n v="6"/>
    <n v="2024"/>
    <d v="2024-06-27T00:00:00"/>
    <s v="June"/>
    <d v="2031-04-24T00:00:00"/>
    <x v="2"/>
    <n v="6"/>
    <n v="51908.83"/>
    <s v="Vivek Shah"/>
    <n v="45"/>
    <s v="Adult"/>
    <s v="Good"/>
    <x v="2"/>
    <s v="Cash"/>
    <n v="5"/>
    <s v="OnePlus 9"/>
    <n v="311452.98"/>
    <s v="Good"/>
    <s v="Excellent"/>
  </r>
  <r>
    <s v="Priy333486"/>
    <n v="3486"/>
    <n v="28"/>
    <n v="6"/>
    <n v="2024"/>
    <d v="2024-06-28T00:00:00"/>
    <s v="June"/>
    <d v="2031-04-25T00:00:00"/>
    <x v="3"/>
    <n v="2"/>
    <n v="56815.56"/>
    <s v="Priyanka Sharma"/>
    <n v="33"/>
    <s v="Adult"/>
    <s v="AVG"/>
    <x v="10"/>
    <s v="UPI"/>
    <n v="3"/>
    <s v="Galaxy Note 20"/>
    <n v="113631.12"/>
    <s v="Average"/>
    <s v="Good"/>
  </r>
  <r>
    <s v="Shru313487"/>
    <n v="3487"/>
    <n v="28"/>
    <n v="6"/>
    <n v="2024"/>
    <d v="2024-06-28T00:00:00"/>
    <s v="June"/>
    <d v="2031-04-26T00:00:00"/>
    <x v="3"/>
    <n v="1"/>
    <n v="29806.71"/>
    <s v="Shruti Mehta"/>
    <n v="31"/>
    <s v="Adult"/>
    <s v="Good"/>
    <x v="17"/>
    <s v="Cash"/>
    <n v="4"/>
    <s v="Galaxy Note 20"/>
    <n v="29806.71"/>
    <s v="Good"/>
    <s v="Low"/>
  </r>
  <r>
    <s v="Sneh553488"/>
    <n v="3488"/>
    <n v="28"/>
    <n v="6"/>
    <n v="2024"/>
    <d v="2024-06-28T00:00:00"/>
    <s v="June"/>
    <d v="2031-04-27T00:00:00"/>
    <x v="4"/>
    <n v="1"/>
    <n v="29337.85"/>
    <s v="Sneha Mehta"/>
    <n v="55"/>
    <s v="Senior Citezen"/>
    <s v="Good"/>
    <x v="7"/>
    <s v="Debit Card"/>
    <n v="4"/>
    <s v="iPhone 11"/>
    <n v="29337.85"/>
    <s v="Good"/>
    <s v="Low"/>
  </r>
  <r>
    <s v="Roha373489"/>
    <n v="3489"/>
    <n v="28"/>
    <n v="6"/>
    <n v="2024"/>
    <d v="2024-06-28T00:00:00"/>
    <s v="June"/>
    <d v="2031-04-28T00:00:00"/>
    <x v="0"/>
    <n v="9"/>
    <n v="43468.160000000003"/>
    <s v="Rohan Kapoor"/>
    <n v="37"/>
    <s v="Adult"/>
    <s v="AVG"/>
    <x v="11"/>
    <s v="Cash"/>
    <n v="3"/>
    <s v="Redmi Note 10"/>
    <n v="391213.44000000006"/>
    <s v="Average"/>
    <s v="Excellent"/>
  </r>
  <r>
    <s v="Umes583490"/>
    <n v="3490"/>
    <n v="29"/>
    <n v="6"/>
    <n v="2024"/>
    <d v="2024-06-29T00:00:00"/>
    <s v="June"/>
    <d v="2031-04-29T00:00:00"/>
    <x v="0"/>
    <n v="4"/>
    <n v="61677.18"/>
    <s v="Umesh Goyal"/>
    <n v="58"/>
    <s v="Senior Citezen"/>
    <s v="AVG"/>
    <x v="2"/>
    <s v="UPI"/>
    <n v="3"/>
    <s v="Redmi Note 10"/>
    <n v="246708.72"/>
    <s v="Average"/>
    <s v="Excellent"/>
  </r>
  <r>
    <s v="Gita513491"/>
    <n v="3491"/>
    <n v="29"/>
    <n v="6"/>
    <n v="2024"/>
    <d v="2024-06-29T00:00:00"/>
    <s v="June"/>
    <d v="2031-04-30T00:00:00"/>
    <x v="4"/>
    <n v="5"/>
    <n v="23434.37"/>
    <s v="Gita Rathod"/>
    <n v="51"/>
    <s v="Senior Citezen"/>
    <s v="BAD"/>
    <x v="2"/>
    <s v="Debit Card"/>
    <n v="2"/>
    <s v="iPhone SE"/>
    <n v="117171.84999999999"/>
    <s v="Average"/>
    <s v="Good"/>
  </r>
  <r>
    <s v="Deep463492"/>
    <n v="3492"/>
    <n v="29"/>
    <n v="6"/>
    <n v="2024"/>
    <d v="2024-06-29T00:00:00"/>
    <s v="June"/>
    <d v="2031-05-01T00:00:00"/>
    <x v="4"/>
    <n v="3"/>
    <n v="66475.490000000005"/>
    <s v="Deepika Patel"/>
    <n v="46"/>
    <s v="Senior Citezen"/>
    <s v="Good"/>
    <x v="1"/>
    <s v="Cash"/>
    <n v="5"/>
    <s v="iPhone SE"/>
    <n v="199426.47000000003"/>
    <s v="Good"/>
    <s v="Good"/>
  </r>
  <r>
    <s v="Deve203493"/>
    <n v="3493"/>
    <n v="29"/>
    <n v="6"/>
    <n v="2024"/>
    <d v="2024-06-29T00:00:00"/>
    <s v="June"/>
    <d v="2031-05-02T00:00:00"/>
    <x v="2"/>
    <n v="4"/>
    <n v="45947.12"/>
    <s v="Devendra Yadav"/>
    <n v="20"/>
    <s v="Teenagers"/>
    <s v="Good"/>
    <x v="14"/>
    <s v="Cash"/>
    <n v="5"/>
    <s v="OnePlus Nord"/>
    <n v="183788.48"/>
    <s v="Good"/>
    <s v="Good"/>
  </r>
  <r>
    <s v="Suni273494"/>
    <n v="3494"/>
    <n v="30"/>
    <n v="6"/>
    <n v="2024"/>
    <d v="2024-06-30T00:00:00"/>
    <s v="June"/>
    <d v="2031-05-03T00:00:00"/>
    <x v="4"/>
    <n v="8"/>
    <n v="69527.59"/>
    <s v="Sunita Luthra"/>
    <n v="27"/>
    <s v="Teenagers"/>
    <s v="Good"/>
    <x v="2"/>
    <s v="Debit Card"/>
    <n v="5"/>
    <s v="iPhone SE"/>
    <n v="556220.72"/>
    <s v="Good"/>
    <s v="Excellent"/>
  </r>
  <r>
    <s v="Anit373495"/>
    <n v="3495"/>
    <n v="30"/>
    <n v="6"/>
    <n v="2024"/>
    <d v="2024-06-30T00:00:00"/>
    <s v="June"/>
    <d v="2031-05-04T00:00:00"/>
    <x v="1"/>
    <n v="4"/>
    <n v="15376.82"/>
    <s v="Anita Kulkarni"/>
    <n v="37"/>
    <s v="Adult"/>
    <s v="Good"/>
    <x v="17"/>
    <s v="UPI"/>
    <n v="4"/>
    <s v="Vivo V20"/>
    <n v="61507.28"/>
    <s v="Good"/>
    <s v="Average"/>
  </r>
  <r>
    <s v="Sanj193496"/>
    <n v="3496"/>
    <n v="30"/>
    <n v="6"/>
    <n v="2024"/>
    <d v="2024-06-30T00:00:00"/>
    <s v="June"/>
    <d v="2031-05-05T00:00:00"/>
    <x v="0"/>
    <n v="9"/>
    <n v="17593.73"/>
    <s v="Sanjay Ghosh"/>
    <n v="19"/>
    <s v="Teenagers"/>
    <s v="Good"/>
    <x v="1"/>
    <s v="Debit Card"/>
    <n v="5"/>
    <s v="Redmi Note 10"/>
    <n v="158343.57"/>
    <s v="Good"/>
    <s v="Good"/>
  </r>
  <r>
    <s v="Neet443497"/>
    <n v="3497"/>
    <n v="1"/>
    <n v="7"/>
    <n v="2024"/>
    <d v="2024-07-01T00:00:00"/>
    <s v="July"/>
    <d v="2031-05-06T00:00:00"/>
    <x v="4"/>
    <n v="9"/>
    <n v="59598.51"/>
    <s v="Neeta Arora"/>
    <n v="44"/>
    <s v="Adult"/>
    <s v="Good"/>
    <x v="3"/>
    <s v="UPI"/>
    <n v="4"/>
    <s v="iPhone 11"/>
    <n v="536386.59"/>
    <s v="Good"/>
    <s v="Excellent"/>
  </r>
  <r>
    <s v="Isha493498"/>
    <n v="3498"/>
    <n v="1"/>
    <n v="7"/>
    <n v="2024"/>
    <d v="2024-07-01T00:00:00"/>
    <s v="July"/>
    <d v="2031-05-07T00:00:00"/>
    <x v="1"/>
    <n v="6"/>
    <n v="61885.35"/>
    <s v="Isha Gupta"/>
    <n v="49"/>
    <s v="Senior Citezen"/>
    <s v="Good"/>
    <x v="1"/>
    <s v="Cash"/>
    <n v="4"/>
    <s v="Vivo S1"/>
    <n v="371312.1"/>
    <s v="Good"/>
    <s v="Excellent"/>
  </r>
  <r>
    <s v="Roha273499"/>
    <n v="3499"/>
    <n v="1"/>
    <n v="7"/>
    <n v="2024"/>
    <d v="2024-07-01T00:00:00"/>
    <s v="July"/>
    <d v="2031-05-08T00:00:00"/>
    <x v="1"/>
    <n v="2"/>
    <n v="36727.519999999997"/>
    <s v="Rohan Dutta"/>
    <n v="27"/>
    <s v="Teenagers"/>
    <s v="BAD"/>
    <x v="7"/>
    <s v="Debit Card"/>
    <n v="2"/>
    <s v="Vivo Y51"/>
    <n v="73455.039999999994"/>
    <s v="Average"/>
    <s v="Average"/>
  </r>
  <r>
    <s v="Umes573500"/>
    <n v="3500"/>
    <n v="2"/>
    <n v="7"/>
    <n v="2024"/>
    <d v="2024-07-02T00:00:00"/>
    <s v="July"/>
    <d v="2031-05-09T00:00:00"/>
    <x v="1"/>
    <n v="7"/>
    <n v="52844.27"/>
    <s v="Umesh Reddy"/>
    <n v="57"/>
    <s v="Senior Citezen"/>
    <s v="AVG"/>
    <x v="0"/>
    <s v="UPI"/>
    <n v="3"/>
    <s v="Vivo Y51"/>
    <n v="369909.88999999996"/>
    <s v="Average"/>
    <s v="Excellent"/>
  </r>
  <r>
    <s v="Isha343501"/>
    <n v="3501"/>
    <n v="2"/>
    <n v="7"/>
    <n v="2024"/>
    <d v="2024-07-02T00:00:00"/>
    <s v="July"/>
    <d v="2031-05-10T00:00:00"/>
    <x v="1"/>
    <n v="9"/>
    <n v="62053.440000000002"/>
    <s v="Isha Desai"/>
    <n v="34"/>
    <s v="Adult"/>
    <s v="AVG"/>
    <x v="1"/>
    <s v="Debit Card"/>
    <n v="3"/>
    <s v="Vivo V20"/>
    <n v="558480.96"/>
    <s v="Average"/>
    <s v="Excellent"/>
  </r>
  <r>
    <s v="Priy503502"/>
    <n v="3502"/>
    <n v="2"/>
    <n v="7"/>
    <n v="2024"/>
    <d v="2024-07-02T00:00:00"/>
    <s v="July"/>
    <d v="2031-05-11T00:00:00"/>
    <x v="2"/>
    <n v="6"/>
    <n v="12587.67"/>
    <s v="Priyanka Verma"/>
    <n v="50"/>
    <s v="Senior Citezen"/>
    <s v="AVG"/>
    <x v="1"/>
    <s v="Cash"/>
    <n v="3"/>
    <s v="OnePlus 8T"/>
    <n v="75526.02"/>
    <s v="Average"/>
    <s v="Average"/>
  </r>
  <r>
    <s v="Moni233503"/>
    <n v="3503"/>
    <n v="2"/>
    <n v="7"/>
    <n v="2024"/>
    <d v="2024-07-02T00:00:00"/>
    <s v="July"/>
    <d v="2031-05-12T00:00:00"/>
    <x v="1"/>
    <n v="3"/>
    <n v="44437.03"/>
    <s v="Monika Mehta"/>
    <n v="23"/>
    <s v="Teenagers"/>
    <s v="Good"/>
    <x v="7"/>
    <s v="Debit Card"/>
    <n v="5"/>
    <s v="Vivo Y51"/>
    <n v="133311.09"/>
    <s v="Good"/>
    <s v="Good"/>
  </r>
  <r>
    <s v="Reen563504"/>
    <n v="3504"/>
    <n v="3"/>
    <n v="7"/>
    <n v="2024"/>
    <d v="2024-07-03T00:00:00"/>
    <s v="July"/>
    <d v="2031-05-13T00:00:00"/>
    <x v="2"/>
    <n v="7"/>
    <n v="61208.84"/>
    <s v="Reena Das"/>
    <n v="56"/>
    <s v="Senior Citezen"/>
    <s v="AVG"/>
    <x v="2"/>
    <s v="Cash"/>
    <n v="3"/>
    <s v="OnePlus 9"/>
    <n v="428461.88"/>
    <s v="Average"/>
    <s v="Excellent"/>
  </r>
  <r>
    <s v="Kris353505"/>
    <n v="3505"/>
    <n v="3"/>
    <n v="7"/>
    <n v="2024"/>
    <d v="2024-07-03T00:00:00"/>
    <s v="July"/>
    <d v="2031-05-14T00:00:00"/>
    <x v="2"/>
    <n v="5"/>
    <n v="33889.300000000003"/>
    <s v="Krishna Patel"/>
    <n v="35"/>
    <s v="Adult"/>
    <s v="Good"/>
    <x v="18"/>
    <s v="Cash"/>
    <n v="5"/>
    <s v="OnePlus 9"/>
    <n v="169446.5"/>
    <s v="Good"/>
    <s v="Good"/>
  </r>
  <r>
    <s v="Roha263506"/>
    <n v="3506"/>
    <n v="3"/>
    <n v="7"/>
    <n v="2024"/>
    <d v="2024-07-03T00:00:00"/>
    <s v="July"/>
    <d v="2031-05-15T00:00:00"/>
    <x v="1"/>
    <n v="1"/>
    <n v="28143.02"/>
    <s v="Rohan Sheth"/>
    <n v="26"/>
    <s v="Teenagers"/>
    <s v="Good"/>
    <x v="1"/>
    <s v="Cash"/>
    <n v="5"/>
    <s v="Vivo V20"/>
    <n v="28143.02"/>
    <s v="Good"/>
    <s v="Low"/>
  </r>
  <r>
    <s v="Navi253507"/>
    <n v="3507"/>
    <n v="3"/>
    <n v="7"/>
    <n v="2024"/>
    <d v="2024-07-03T00:00:00"/>
    <s v="July"/>
    <d v="2031-05-16T00:00:00"/>
    <x v="0"/>
    <n v="3"/>
    <n v="57742.400000000001"/>
    <s v="Navin Kaur"/>
    <n v="25"/>
    <s v="Teenagers"/>
    <s v="Good"/>
    <x v="9"/>
    <s v="UPI"/>
    <n v="5"/>
    <s v="Redmi Note 10"/>
    <n v="173227.2"/>
    <s v="Good"/>
    <s v="Good"/>
  </r>
  <r>
    <s v="Arun423508"/>
    <n v="3508"/>
    <n v="4"/>
    <n v="7"/>
    <n v="2024"/>
    <d v="2024-07-04T00:00:00"/>
    <s v="July"/>
    <d v="2031-05-17T00:00:00"/>
    <x v="1"/>
    <n v="5"/>
    <n v="30147.200000000001"/>
    <s v="Arun Teja"/>
    <n v="42"/>
    <s v="Adult"/>
    <s v="Good"/>
    <x v="11"/>
    <s v="UPI"/>
    <n v="4"/>
    <s v="Vivo S1"/>
    <n v="150736"/>
    <s v="Good"/>
    <s v="Good"/>
  </r>
  <r>
    <s v="Sach483509"/>
    <n v="3509"/>
    <n v="4"/>
    <n v="7"/>
    <n v="2024"/>
    <d v="2024-07-04T00:00:00"/>
    <s v="July"/>
    <d v="2031-05-18T00:00:00"/>
    <x v="1"/>
    <n v="7"/>
    <n v="10190.459999999999"/>
    <s v="Sachin Kaur"/>
    <n v="48"/>
    <s v="Senior Citezen"/>
    <s v="BAD"/>
    <x v="16"/>
    <s v="Credit Card"/>
    <n v="2"/>
    <s v="Vivo S1"/>
    <n v="71333.22"/>
    <s v="Average"/>
    <s v="Average"/>
  </r>
  <r>
    <s v="Roha593510"/>
    <n v="3510"/>
    <n v="4"/>
    <n v="7"/>
    <n v="2024"/>
    <d v="2024-07-04T00:00:00"/>
    <s v="July"/>
    <d v="2031-05-19T00:00:00"/>
    <x v="1"/>
    <n v="3"/>
    <n v="67574.36"/>
    <s v="Rohan Patel"/>
    <n v="59"/>
    <s v="Senior Citezen"/>
    <s v="BAD"/>
    <x v="0"/>
    <s v="UPI"/>
    <n v="2"/>
    <s v="Vivo S1"/>
    <n v="202723.08000000002"/>
    <s v="Average"/>
    <s v="Excellent"/>
  </r>
  <r>
    <s v="Pooj213511"/>
    <n v="3511"/>
    <n v="5"/>
    <n v="7"/>
    <n v="2024"/>
    <d v="2024-07-05T00:00:00"/>
    <s v="July"/>
    <d v="2031-05-20T00:00:00"/>
    <x v="0"/>
    <n v="6"/>
    <n v="45527.39"/>
    <s v="Pooja Arora"/>
    <n v="21"/>
    <s v="Teenagers"/>
    <s v="Good"/>
    <x v="8"/>
    <s v="Credit Card"/>
    <n v="4"/>
    <s v="Mi 11"/>
    <n v="273164.33999999997"/>
    <s v="Good"/>
    <s v="Excellent"/>
  </r>
  <r>
    <s v="Lata373512"/>
    <n v="3512"/>
    <n v="5"/>
    <n v="7"/>
    <n v="2024"/>
    <d v="2024-07-05T00:00:00"/>
    <s v="July"/>
    <d v="2031-05-21T00:00:00"/>
    <x v="3"/>
    <n v="5"/>
    <n v="59171.08"/>
    <s v="Lata Shah"/>
    <n v="37"/>
    <s v="Adult"/>
    <s v="Good"/>
    <x v="11"/>
    <s v="Debit Card"/>
    <n v="5"/>
    <s v="Galaxy A51"/>
    <n v="295855.40000000002"/>
    <s v="Good"/>
    <s v="Excellent"/>
  </r>
  <r>
    <s v="Nikh453513"/>
    <n v="3513"/>
    <n v="5"/>
    <n v="7"/>
    <n v="2024"/>
    <d v="2024-07-05T00:00:00"/>
    <s v="July"/>
    <d v="2031-05-22T00:00:00"/>
    <x v="3"/>
    <n v="1"/>
    <n v="59518.09"/>
    <s v="Nikhil Luthra"/>
    <n v="45"/>
    <s v="Adult"/>
    <s v="BAD"/>
    <x v="12"/>
    <s v="Cash"/>
    <n v="2"/>
    <s v="Galaxy S21"/>
    <n v="59518.09"/>
    <s v="Average"/>
    <s v="Average"/>
  </r>
  <r>
    <s v="Raje573514"/>
    <n v="3514"/>
    <n v="5"/>
    <n v="7"/>
    <n v="2024"/>
    <d v="2024-07-05T00:00:00"/>
    <s v="July"/>
    <d v="2031-05-23T00:00:00"/>
    <x v="2"/>
    <n v="6"/>
    <n v="13984.63"/>
    <s v="Rajesh Siddiqui"/>
    <n v="57"/>
    <s v="Senior Citezen"/>
    <s v="Good"/>
    <x v="16"/>
    <s v="UPI"/>
    <n v="4"/>
    <s v="OnePlus Nord"/>
    <n v="83907.78"/>
    <s v="Good"/>
    <s v="Average"/>
  </r>
  <r>
    <s v="Raje183515"/>
    <n v="3515"/>
    <n v="6"/>
    <n v="7"/>
    <n v="2024"/>
    <d v="2024-07-06T00:00:00"/>
    <s v="July"/>
    <d v="2031-05-24T00:00:00"/>
    <x v="2"/>
    <n v="8"/>
    <n v="20251.61"/>
    <s v="Rajesh Nambiar"/>
    <n v="18"/>
    <s v="Teenagers"/>
    <s v="BAD"/>
    <x v="7"/>
    <s v="Cash"/>
    <n v="2"/>
    <s v="OnePlus 9"/>
    <n v="162012.88"/>
    <s v="Average"/>
    <s v="Good"/>
  </r>
  <r>
    <s v="Anit573516"/>
    <n v="3516"/>
    <n v="6"/>
    <n v="7"/>
    <n v="2024"/>
    <d v="2024-07-06T00:00:00"/>
    <s v="July"/>
    <d v="2031-05-25T00:00:00"/>
    <x v="0"/>
    <n v="1"/>
    <n v="28667.24"/>
    <s v="Anita Mehta"/>
    <n v="57"/>
    <s v="Senior Citezen"/>
    <s v="Good"/>
    <x v="13"/>
    <s v="Credit Card"/>
    <n v="5"/>
    <s v="Redmi 9"/>
    <n v="28667.24"/>
    <s v="Good"/>
    <s v="Low"/>
  </r>
  <r>
    <s v="Jyot403517"/>
    <n v="3517"/>
    <n v="6"/>
    <n v="7"/>
    <n v="2024"/>
    <d v="2024-07-06T00:00:00"/>
    <s v="July"/>
    <d v="2031-05-26T00:00:00"/>
    <x v="4"/>
    <n v="2"/>
    <n v="29241.96"/>
    <s v="Jyoti Jain"/>
    <n v="40"/>
    <s v="Adult"/>
    <s v="BAD"/>
    <x v="1"/>
    <s v="UPI"/>
    <n v="2"/>
    <s v="iPhone SE"/>
    <n v="58483.92"/>
    <s v="Average"/>
    <s v="Average"/>
  </r>
  <r>
    <s v="Vija303518"/>
    <n v="3518"/>
    <n v="7"/>
    <n v="7"/>
    <n v="2024"/>
    <d v="2024-07-07T00:00:00"/>
    <s v="July"/>
    <d v="2031-05-27T00:00:00"/>
    <x v="3"/>
    <n v="4"/>
    <n v="49527.17"/>
    <s v="Vijay Rao"/>
    <n v="30"/>
    <s v="Teenagers"/>
    <s v="Good"/>
    <x v="1"/>
    <s v="UPI"/>
    <n v="5"/>
    <s v="Galaxy S21"/>
    <n v="198108.68"/>
    <s v="Good"/>
    <s v="Good"/>
  </r>
  <r>
    <s v="Ravi333519"/>
    <n v="3519"/>
    <n v="7"/>
    <n v="7"/>
    <n v="2024"/>
    <d v="2024-07-07T00:00:00"/>
    <s v="July"/>
    <d v="2031-05-28T00:00:00"/>
    <x v="2"/>
    <n v="2"/>
    <n v="47387.98"/>
    <s v="Ravi Siddiqui"/>
    <n v="33"/>
    <s v="Adult"/>
    <s v="Good"/>
    <x v="1"/>
    <s v="UPI"/>
    <n v="5"/>
    <s v="OnePlus 9"/>
    <n v="94775.96"/>
    <s v="Good"/>
    <s v="Average"/>
  </r>
  <r>
    <s v="Vive433520"/>
    <n v="3520"/>
    <n v="7"/>
    <n v="7"/>
    <n v="2024"/>
    <d v="2024-07-07T00:00:00"/>
    <s v="July"/>
    <d v="2031-05-29T00:00:00"/>
    <x v="3"/>
    <n v="9"/>
    <n v="39675.39"/>
    <s v="Vivek Sheth"/>
    <n v="43"/>
    <s v="Adult"/>
    <s v="BAD"/>
    <x v="14"/>
    <s v="UPI"/>
    <n v="2"/>
    <s v="Galaxy Note 20"/>
    <n v="357078.51"/>
    <s v="Average"/>
    <s v="Excellent"/>
  </r>
  <r>
    <s v="Mano483521"/>
    <n v="3521"/>
    <n v="8"/>
    <n v="7"/>
    <n v="2024"/>
    <d v="2024-07-08T00:00:00"/>
    <s v="July"/>
    <d v="2031-05-30T00:00:00"/>
    <x v="0"/>
    <n v="8"/>
    <n v="22675.82"/>
    <s v="Manoj Luthra"/>
    <n v="48"/>
    <s v="Senior Citezen"/>
    <s v="BAD"/>
    <x v="10"/>
    <s v="Cash"/>
    <n v="2"/>
    <s v="Mi 11"/>
    <n v="181406.56"/>
    <s v="Average"/>
    <s v="Good"/>
  </r>
  <r>
    <s v="Vive183522"/>
    <n v="3522"/>
    <n v="8"/>
    <n v="7"/>
    <n v="2024"/>
    <d v="2024-07-08T00:00:00"/>
    <s v="July"/>
    <d v="2031-05-31T00:00:00"/>
    <x v="0"/>
    <n v="8"/>
    <n v="32919.01"/>
    <s v="Vivek Prasad"/>
    <n v="18"/>
    <s v="Teenagers"/>
    <s v="Good"/>
    <x v="7"/>
    <s v="UPI"/>
    <n v="5"/>
    <s v="Mi 11"/>
    <n v="263352.08"/>
    <s v="Good"/>
    <s v="Excellent"/>
  </r>
  <r>
    <s v="Bina343523"/>
    <n v="3523"/>
    <n v="8"/>
    <n v="7"/>
    <n v="2024"/>
    <d v="2024-07-08T00:00:00"/>
    <s v="July"/>
    <d v="2031-06-01T00:00:00"/>
    <x v="4"/>
    <n v="4"/>
    <n v="42615.64"/>
    <s v="Bina Das"/>
    <n v="34"/>
    <s v="Adult"/>
    <s v="BAD"/>
    <x v="6"/>
    <s v="Credit Card"/>
    <n v="2"/>
    <s v="iPhone SE"/>
    <n v="170462.56"/>
    <s v="Average"/>
    <s v="Good"/>
  </r>
  <r>
    <s v="Bina333524"/>
    <n v="3524"/>
    <n v="9"/>
    <n v="7"/>
    <n v="2024"/>
    <d v="2024-07-09T00:00:00"/>
    <s v="July"/>
    <d v="2031-06-02T00:00:00"/>
    <x v="4"/>
    <n v="5"/>
    <n v="38079.120000000003"/>
    <s v="Bina Roy"/>
    <n v="33"/>
    <s v="Adult"/>
    <s v="Good"/>
    <x v="1"/>
    <s v="UPI"/>
    <n v="5"/>
    <s v="iPhone SE"/>
    <n v="190395.6"/>
    <s v="Good"/>
    <s v="Good"/>
  </r>
  <r>
    <s v="Pras543525"/>
    <n v="3525"/>
    <n v="9"/>
    <n v="7"/>
    <n v="2024"/>
    <d v="2024-07-09T00:00:00"/>
    <s v="July"/>
    <d v="2031-06-03T00:00:00"/>
    <x v="0"/>
    <n v="4"/>
    <n v="17637.55"/>
    <s v="Prashant Arora"/>
    <n v="54"/>
    <s v="Senior Citezen"/>
    <s v="AVG"/>
    <x v="2"/>
    <s v="Credit Card"/>
    <n v="3"/>
    <s v="Redmi Note 10"/>
    <n v="70550.2"/>
    <s v="Average"/>
    <s v="Average"/>
  </r>
  <r>
    <s v="Gita273526"/>
    <n v="3526"/>
    <n v="9"/>
    <n v="7"/>
    <n v="2024"/>
    <d v="2024-07-09T00:00:00"/>
    <s v="July"/>
    <d v="2031-06-04T00:00:00"/>
    <x v="2"/>
    <n v="9"/>
    <n v="48970.63"/>
    <s v="Gita Rao"/>
    <n v="27"/>
    <s v="Teenagers"/>
    <s v="AVG"/>
    <x v="6"/>
    <s v="Credit Card"/>
    <n v="3"/>
    <s v="OnePlus 9"/>
    <n v="440735.67"/>
    <s v="Average"/>
    <s v="Excellent"/>
  </r>
  <r>
    <s v="Anit553527"/>
    <n v="3527"/>
    <n v="10"/>
    <n v="7"/>
    <n v="2024"/>
    <d v="2024-07-10T00:00:00"/>
    <s v="July"/>
    <d v="2031-06-05T00:00:00"/>
    <x v="3"/>
    <n v="2"/>
    <n v="14383.11"/>
    <s v="Anita Kumar"/>
    <n v="55"/>
    <s v="Senior Citezen"/>
    <s v="Good"/>
    <x v="2"/>
    <s v="Cash"/>
    <n v="4"/>
    <s v="Galaxy Note 20"/>
    <n v="28766.22"/>
    <s v="Good"/>
    <s v="Low"/>
  </r>
  <r>
    <s v="Sneh483528"/>
    <n v="3528"/>
    <n v="10"/>
    <n v="7"/>
    <n v="2024"/>
    <d v="2024-07-10T00:00:00"/>
    <s v="July"/>
    <d v="2031-06-06T00:00:00"/>
    <x v="1"/>
    <n v="8"/>
    <n v="32691.68"/>
    <s v="Sneha Patel"/>
    <n v="48"/>
    <s v="Senior Citezen"/>
    <s v="AVG"/>
    <x v="1"/>
    <s v="UPI"/>
    <n v="3"/>
    <s v="Vivo V20"/>
    <n v="261533.44"/>
    <s v="Average"/>
    <s v="Excellent"/>
  </r>
  <r>
    <s v="Reen273529"/>
    <n v="3529"/>
    <n v="10"/>
    <n v="7"/>
    <n v="2024"/>
    <d v="2024-07-10T00:00:00"/>
    <s v="July"/>
    <d v="2031-06-07T00:00:00"/>
    <x v="4"/>
    <n v="2"/>
    <n v="52601.760000000002"/>
    <s v="Reena Arora"/>
    <n v="27"/>
    <s v="Teenagers"/>
    <s v="Good"/>
    <x v="13"/>
    <s v="Credit Card"/>
    <n v="5"/>
    <s v="iPhone SE"/>
    <n v="105203.52"/>
    <s v="Good"/>
    <s v="Good"/>
  </r>
  <r>
    <s v="Reen513530"/>
    <n v="3530"/>
    <n v="11"/>
    <n v="7"/>
    <n v="2024"/>
    <d v="2024-07-11T00:00:00"/>
    <s v="July"/>
    <d v="2031-06-08T00:00:00"/>
    <x v="1"/>
    <n v="1"/>
    <n v="11201.41"/>
    <s v="Reena Das"/>
    <n v="51"/>
    <s v="Senior Citezen"/>
    <s v="AVG"/>
    <x v="18"/>
    <s v="UPI"/>
    <n v="3"/>
    <s v="Vivo V20"/>
    <n v="11201.41"/>
    <s v="Average"/>
    <s v="Low"/>
  </r>
  <r>
    <s v="Hari233531"/>
    <n v="3531"/>
    <n v="11"/>
    <n v="7"/>
    <n v="2024"/>
    <d v="2024-07-11T00:00:00"/>
    <s v="July"/>
    <d v="2031-06-09T00:00:00"/>
    <x v="2"/>
    <n v="3"/>
    <n v="44198.97"/>
    <s v="Harish Pillai"/>
    <n v="23"/>
    <s v="Teenagers"/>
    <s v="AVG"/>
    <x v="9"/>
    <s v="Cash"/>
    <n v="3"/>
    <s v="OnePlus 9"/>
    <n v="132596.91"/>
    <s v="Average"/>
    <s v="Good"/>
  </r>
  <r>
    <s v="Nami453532"/>
    <n v="3532"/>
    <n v="11"/>
    <n v="7"/>
    <n v="2024"/>
    <d v="2024-07-11T00:00:00"/>
    <s v="July"/>
    <d v="2031-06-10T00:00:00"/>
    <x v="4"/>
    <n v="9"/>
    <n v="30071.26"/>
    <s v="Namita Patel"/>
    <n v="45"/>
    <s v="Adult"/>
    <s v="Good"/>
    <x v="8"/>
    <s v="Cash"/>
    <n v="5"/>
    <s v="iPhone 12"/>
    <n v="270641.33999999997"/>
    <s v="Good"/>
    <s v="Excellent"/>
  </r>
  <r>
    <s v="Radh453533"/>
    <n v="3533"/>
    <n v="11"/>
    <n v="7"/>
    <n v="2024"/>
    <d v="2024-07-11T00:00:00"/>
    <s v="July"/>
    <d v="2031-06-11T00:00:00"/>
    <x v="1"/>
    <n v="3"/>
    <n v="10529.91"/>
    <s v="Radha Pathak"/>
    <n v="45"/>
    <s v="Adult"/>
    <s v="Good"/>
    <x v="1"/>
    <s v="UPI"/>
    <n v="5"/>
    <s v="Vivo V20"/>
    <n v="31589.73"/>
    <s v="Good"/>
    <s v="Low"/>
  </r>
  <r>
    <s v="Neet303534"/>
    <n v="3534"/>
    <n v="12"/>
    <n v="7"/>
    <n v="2024"/>
    <d v="2024-07-12T00:00:00"/>
    <s v="July"/>
    <d v="2031-06-12T00:00:00"/>
    <x v="2"/>
    <n v="9"/>
    <n v="21423"/>
    <s v="Neeta Ghosh"/>
    <n v="30"/>
    <s v="Teenagers"/>
    <s v="AVG"/>
    <x v="11"/>
    <s v="Credit Card"/>
    <n v="3"/>
    <s v="OnePlus 9"/>
    <n v="192807"/>
    <s v="Average"/>
    <s v="Good"/>
  </r>
  <r>
    <s v="Sumi583535"/>
    <n v="3535"/>
    <n v="12"/>
    <n v="7"/>
    <n v="2024"/>
    <d v="2024-07-12T00:00:00"/>
    <s v="July"/>
    <d v="2031-06-13T00:00:00"/>
    <x v="3"/>
    <n v="7"/>
    <n v="66456.77"/>
    <s v="Sumit Sharma"/>
    <n v="58"/>
    <s v="Senior Citezen"/>
    <s v="Good"/>
    <x v="1"/>
    <s v="Debit Card"/>
    <n v="4"/>
    <s v="Galaxy Note 20"/>
    <n v="465197.39"/>
    <s v="Good"/>
    <s v="Excellent"/>
  </r>
  <r>
    <s v="Vive293536"/>
    <n v="3536"/>
    <n v="12"/>
    <n v="7"/>
    <n v="2024"/>
    <d v="2024-07-12T00:00:00"/>
    <s v="July"/>
    <d v="2031-06-14T00:00:00"/>
    <x v="2"/>
    <n v="1"/>
    <n v="41268.93"/>
    <s v="Vivek Kaur"/>
    <n v="29"/>
    <s v="Teenagers"/>
    <s v="AVG"/>
    <x v="14"/>
    <s v="Debit Card"/>
    <n v="3"/>
    <s v="OnePlus 8T"/>
    <n v="41268.93"/>
    <s v="Average"/>
    <s v="Low"/>
  </r>
  <r>
    <s v="Raje573537"/>
    <n v="3537"/>
    <n v="13"/>
    <n v="7"/>
    <n v="2024"/>
    <d v="2024-07-13T00:00:00"/>
    <s v="July"/>
    <d v="2031-06-15T00:00:00"/>
    <x v="4"/>
    <n v="5"/>
    <n v="69833.63"/>
    <s v="Rajesh Sheth"/>
    <n v="57"/>
    <s v="Senior Citezen"/>
    <s v="AVG"/>
    <x v="10"/>
    <s v="Cash"/>
    <n v="3"/>
    <s v="iPhone SE"/>
    <n v="349168.15"/>
    <s v="Average"/>
    <s v="Excellent"/>
  </r>
  <r>
    <s v="Mano193538"/>
    <n v="3538"/>
    <n v="13"/>
    <n v="7"/>
    <n v="2024"/>
    <d v="2024-07-13T00:00:00"/>
    <s v="July"/>
    <d v="2031-06-16T00:00:00"/>
    <x v="0"/>
    <n v="9"/>
    <n v="41489.01"/>
    <s v="Manoj Thakur"/>
    <n v="19"/>
    <s v="Teenagers"/>
    <s v="Good"/>
    <x v="5"/>
    <s v="Credit Card"/>
    <n v="5"/>
    <s v="Mi 11"/>
    <n v="373401.09"/>
    <s v="Good"/>
    <s v="Excellent"/>
  </r>
  <r>
    <s v="Yoge253539"/>
    <n v="3539"/>
    <n v="13"/>
    <n v="7"/>
    <n v="2024"/>
    <d v="2024-07-13T00:00:00"/>
    <s v="July"/>
    <d v="2031-06-17T00:00:00"/>
    <x v="3"/>
    <n v="3"/>
    <n v="42636.18"/>
    <s v="Yogesh Rao"/>
    <n v="25"/>
    <s v="Teenagers"/>
    <s v="Good"/>
    <x v="8"/>
    <s v="Debit Card"/>
    <n v="5"/>
    <s v="Galaxy S21"/>
    <n v="127908.54000000001"/>
    <s v="Good"/>
    <s v="Good"/>
  </r>
  <r>
    <s v="Adit593540"/>
    <n v="3540"/>
    <n v="13"/>
    <n v="7"/>
    <n v="2024"/>
    <d v="2024-07-13T00:00:00"/>
    <s v="July"/>
    <d v="2031-06-18T00:00:00"/>
    <x v="1"/>
    <n v="9"/>
    <n v="33510.58"/>
    <s v="Aditya Jain"/>
    <n v="59"/>
    <s v="Senior Citezen"/>
    <s v="Good"/>
    <x v="1"/>
    <s v="Credit Card"/>
    <n v="4"/>
    <s v="Vivo Y51"/>
    <n v="301595.22000000003"/>
    <s v="Good"/>
    <s v="Excellent"/>
  </r>
  <r>
    <s v="Yoge263541"/>
    <n v="3541"/>
    <n v="14"/>
    <n v="7"/>
    <n v="2024"/>
    <d v="2024-07-14T00:00:00"/>
    <s v="July"/>
    <d v="2031-06-19T00:00:00"/>
    <x v="4"/>
    <n v="5"/>
    <n v="28602.43"/>
    <s v="Yogesh Dutta"/>
    <n v="26"/>
    <s v="Teenagers"/>
    <s v="BAD"/>
    <x v="15"/>
    <s v="UPI"/>
    <n v="2"/>
    <s v="iPhone SE"/>
    <n v="143012.15"/>
    <s v="Average"/>
    <s v="Good"/>
  </r>
  <r>
    <s v="Sneh253542"/>
    <n v="3542"/>
    <n v="14"/>
    <n v="7"/>
    <n v="2024"/>
    <d v="2024-07-14T00:00:00"/>
    <s v="July"/>
    <d v="2031-06-20T00:00:00"/>
    <x v="0"/>
    <n v="9"/>
    <n v="25092.73"/>
    <s v="Sneha Arora"/>
    <n v="25"/>
    <s v="Teenagers"/>
    <s v="Good"/>
    <x v="1"/>
    <s v="Cash"/>
    <n v="5"/>
    <s v="Mi 11"/>
    <n v="225834.57"/>
    <s v="Good"/>
    <s v="Excellent"/>
  </r>
  <r>
    <s v="Raje203543"/>
    <n v="3543"/>
    <n v="14"/>
    <n v="7"/>
    <n v="2024"/>
    <d v="2024-07-14T00:00:00"/>
    <s v="July"/>
    <d v="2031-06-21T00:00:00"/>
    <x v="2"/>
    <n v="6"/>
    <n v="30605.24"/>
    <s v="Rajesh Desai"/>
    <n v="20"/>
    <s v="Teenagers"/>
    <s v="BAD"/>
    <x v="10"/>
    <s v="UPI"/>
    <n v="2"/>
    <s v="OnePlus Nord"/>
    <n v="183631.44"/>
    <s v="Average"/>
    <s v="Good"/>
  </r>
  <r>
    <s v="Kira263544"/>
    <n v="3544"/>
    <n v="14"/>
    <n v="7"/>
    <n v="2024"/>
    <d v="2024-07-14T00:00:00"/>
    <s v="July"/>
    <d v="2031-06-22T00:00:00"/>
    <x v="0"/>
    <n v="9"/>
    <n v="37591.06"/>
    <s v="Kiran Srivastava"/>
    <n v="26"/>
    <s v="Teenagers"/>
    <s v="Good"/>
    <x v="10"/>
    <s v="UPI"/>
    <n v="4"/>
    <s v="Redmi 9"/>
    <n v="338319.54"/>
    <s v="Good"/>
    <s v="Excellent"/>
  </r>
  <r>
    <s v="Sanj303545"/>
    <n v="3545"/>
    <n v="15"/>
    <n v="7"/>
    <n v="2024"/>
    <d v="2024-07-15T00:00:00"/>
    <s v="July"/>
    <d v="2031-06-23T00:00:00"/>
    <x v="4"/>
    <n v="7"/>
    <n v="21519.52"/>
    <s v="Sanjay Sheth"/>
    <n v="30"/>
    <s v="Teenagers"/>
    <s v="AVG"/>
    <x v="0"/>
    <s v="UPI"/>
    <n v="3"/>
    <s v="iPhone SE"/>
    <n v="150636.64000000001"/>
    <s v="Average"/>
    <s v="Good"/>
  </r>
  <r>
    <s v="Ravi263546"/>
    <n v="3546"/>
    <n v="15"/>
    <n v="7"/>
    <n v="2024"/>
    <d v="2024-07-15T00:00:00"/>
    <s v="July"/>
    <d v="2031-06-24T00:00:00"/>
    <x v="4"/>
    <n v="7"/>
    <n v="23492.51"/>
    <s v="Ravi Bhattacharya"/>
    <n v="26"/>
    <s v="Teenagers"/>
    <s v="AVG"/>
    <x v="11"/>
    <s v="Credit Card"/>
    <n v="3"/>
    <s v="iPhone 12"/>
    <n v="164447.56999999998"/>
    <s v="Average"/>
    <s v="Good"/>
  </r>
  <r>
    <s v="Mano483547"/>
    <n v="3547"/>
    <n v="15"/>
    <n v="7"/>
    <n v="2024"/>
    <d v="2024-07-15T00:00:00"/>
    <s v="July"/>
    <d v="2031-06-25T00:00:00"/>
    <x v="0"/>
    <n v="8"/>
    <n v="26292.69"/>
    <s v="Manoj Kaur"/>
    <n v="48"/>
    <s v="Senior Citezen"/>
    <s v="BAD"/>
    <x v="17"/>
    <s v="Debit Card"/>
    <n v="2"/>
    <s v="Redmi 9"/>
    <n v="210341.52"/>
    <s v="Average"/>
    <s v="Excellent"/>
  </r>
  <r>
    <s v="Ravi423548"/>
    <n v="3548"/>
    <n v="16"/>
    <n v="7"/>
    <n v="2024"/>
    <d v="2024-07-16T00:00:00"/>
    <s v="July"/>
    <d v="2031-06-26T00:00:00"/>
    <x v="2"/>
    <n v="7"/>
    <n v="36955.589999999997"/>
    <s v="Ravi Gupta"/>
    <n v="42"/>
    <s v="Adult"/>
    <s v="Good"/>
    <x v="5"/>
    <s v="UPI"/>
    <n v="4"/>
    <s v="OnePlus 8T"/>
    <n v="258689.12999999998"/>
    <s v="Good"/>
    <s v="Excellent"/>
  </r>
  <r>
    <s v="Kavi253549"/>
    <n v="3549"/>
    <n v="16"/>
    <n v="7"/>
    <n v="2024"/>
    <d v="2024-07-16T00:00:00"/>
    <s v="July"/>
    <d v="2031-06-27T00:00:00"/>
    <x v="0"/>
    <n v="9"/>
    <n v="49168.800000000003"/>
    <s v="Kavita Nair"/>
    <n v="25"/>
    <s v="Teenagers"/>
    <s v="Good"/>
    <x v="11"/>
    <s v="Cash"/>
    <n v="4"/>
    <s v="Mi 11"/>
    <n v="442519.2"/>
    <s v="Good"/>
    <s v="Excellent"/>
  </r>
  <r>
    <s v="Anit483550"/>
    <n v="3550"/>
    <n v="16"/>
    <n v="7"/>
    <n v="2024"/>
    <d v="2024-07-16T00:00:00"/>
    <s v="July"/>
    <d v="2031-06-28T00:00:00"/>
    <x v="4"/>
    <n v="9"/>
    <n v="61368.77"/>
    <s v="Anita Kumar"/>
    <n v="48"/>
    <s v="Senior Citezen"/>
    <s v="Good"/>
    <x v="2"/>
    <s v="Credit Card"/>
    <n v="5"/>
    <s v="iPhone 11"/>
    <n v="552318.92999999993"/>
    <s v="Good"/>
    <s v="Excellent"/>
  </r>
  <r>
    <s v="Anja483551"/>
    <n v="3551"/>
    <n v="17"/>
    <n v="7"/>
    <n v="2024"/>
    <d v="2024-07-17T00:00:00"/>
    <s v="July"/>
    <d v="2031-06-29T00:00:00"/>
    <x v="4"/>
    <n v="6"/>
    <n v="27227.91"/>
    <s v="Anjali Desai"/>
    <n v="48"/>
    <s v="Senior Citezen"/>
    <s v="BAD"/>
    <x v="1"/>
    <s v="Debit Card"/>
    <n v="2"/>
    <s v="iPhone SE"/>
    <n v="163367.46"/>
    <s v="Average"/>
    <s v="Good"/>
  </r>
  <r>
    <s v="Nami343552"/>
    <n v="3552"/>
    <n v="17"/>
    <n v="7"/>
    <n v="2024"/>
    <d v="2024-07-17T00:00:00"/>
    <s v="July"/>
    <d v="2031-06-30T00:00:00"/>
    <x v="1"/>
    <n v="7"/>
    <n v="21023.7"/>
    <s v="Namita Goyal"/>
    <n v="34"/>
    <s v="Adult"/>
    <s v="Good"/>
    <x v="10"/>
    <s v="UPI"/>
    <n v="5"/>
    <s v="Vivo S1"/>
    <n v="147165.9"/>
    <s v="Good"/>
    <s v="Good"/>
  </r>
  <r>
    <s v="Vive363553"/>
    <n v="3553"/>
    <n v="17"/>
    <n v="7"/>
    <n v="2024"/>
    <d v="2024-07-17T00:00:00"/>
    <s v="July"/>
    <d v="2031-07-01T00:00:00"/>
    <x v="1"/>
    <n v="2"/>
    <n v="32730.85"/>
    <s v="Vivek Ghosh"/>
    <n v="36"/>
    <s v="Adult"/>
    <s v="BAD"/>
    <x v="1"/>
    <s v="Cash"/>
    <n v="2"/>
    <s v="Vivo V20"/>
    <n v="65461.7"/>
    <s v="Average"/>
    <s v="Average"/>
  </r>
  <r>
    <s v="Meen203554"/>
    <n v="3554"/>
    <n v="17"/>
    <n v="7"/>
    <n v="2024"/>
    <d v="2024-07-17T00:00:00"/>
    <s v="July"/>
    <d v="2031-07-02T00:00:00"/>
    <x v="3"/>
    <n v="9"/>
    <n v="63662.98"/>
    <s v="Meena Desai"/>
    <n v="20"/>
    <s v="Teenagers"/>
    <s v="Good"/>
    <x v="13"/>
    <s v="UPI"/>
    <n v="5"/>
    <s v="Galaxy A51"/>
    <n v="572966.82000000007"/>
    <s v="Good"/>
    <s v="Excellent"/>
  </r>
  <r>
    <s v="Lali473555"/>
    <n v="3555"/>
    <n v="18"/>
    <n v="7"/>
    <n v="2024"/>
    <d v="2024-07-18T00:00:00"/>
    <s v="July"/>
    <d v="2031-07-03T00:00:00"/>
    <x v="4"/>
    <n v="1"/>
    <n v="10591.64"/>
    <s v="Lalita Sheth"/>
    <n v="47"/>
    <s v="Senior Citezen"/>
    <s v="Good"/>
    <x v="1"/>
    <s v="Debit Card"/>
    <n v="5"/>
    <s v="iPhone 11"/>
    <n v="10591.64"/>
    <s v="Good"/>
    <s v="Low"/>
  </r>
  <r>
    <s v="Rame273556"/>
    <n v="3556"/>
    <n v="18"/>
    <n v="7"/>
    <n v="2024"/>
    <d v="2024-07-18T00:00:00"/>
    <s v="July"/>
    <d v="2031-07-04T00:00:00"/>
    <x v="1"/>
    <n v="1"/>
    <n v="50672.12"/>
    <s v="Ramesh Sharma"/>
    <n v="27"/>
    <s v="Teenagers"/>
    <s v="Good"/>
    <x v="15"/>
    <s v="Debit Card"/>
    <n v="4"/>
    <s v="Vivo V20"/>
    <n v="50672.12"/>
    <s v="Good"/>
    <s v="Average"/>
  </r>
  <r>
    <s v="Moni463557"/>
    <n v="3557"/>
    <n v="18"/>
    <n v="7"/>
    <n v="2024"/>
    <d v="2024-07-18T00:00:00"/>
    <s v="July"/>
    <d v="2031-07-05T00:00:00"/>
    <x v="0"/>
    <n v="3"/>
    <n v="38629.599999999999"/>
    <s v="Monika Bhatnagar"/>
    <n v="46"/>
    <s v="Senior Citezen"/>
    <s v="Good"/>
    <x v="16"/>
    <s v="UPI"/>
    <n v="4"/>
    <s v="Mi 11"/>
    <n v="115888.79999999999"/>
    <s v="Good"/>
    <s v="Good"/>
  </r>
  <r>
    <s v="Anja573558"/>
    <n v="3558"/>
    <n v="19"/>
    <n v="7"/>
    <n v="2024"/>
    <d v="2024-07-19T00:00:00"/>
    <s v="July"/>
    <d v="2031-07-06T00:00:00"/>
    <x v="2"/>
    <n v="6"/>
    <n v="19662.77"/>
    <s v="Anjali Jain"/>
    <n v="57"/>
    <s v="Senior Citezen"/>
    <s v="AVG"/>
    <x v="1"/>
    <s v="UPI"/>
    <n v="3"/>
    <s v="OnePlus 9"/>
    <n v="117976.62"/>
    <s v="Average"/>
    <s v="Good"/>
  </r>
  <r>
    <s v="Bhav353559"/>
    <n v="3559"/>
    <n v="19"/>
    <n v="7"/>
    <n v="2024"/>
    <d v="2024-07-19T00:00:00"/>
    <s v="July"/>
    <d v="2031-07-07T00:00:00"/>
    <x v="0"/>
    <n v="5"/>
    <n v="29261.29"/>
    <s v="Bhavana Mehta"/>
    <n v="35"/>
    <s v="Adult"/>
    <s v="AVG"/>
    <x v="1"/>
    <s v="Credit Card"/>
    <n v="3"/>
    <s v="Redmi 9"/>
    <n v="146306.45000000001"/>
    <s v="Average"/>
    <s v="Good"/>
  </r>
  <r>
    <s v="Vija293560"/>
    <n v="3560"/>
    <n v="19"/>
    <n v="7"/>
    <n v="2024"/>
    <d v="2024-07-19T00:00:00"/>
    <s v="July"/>
    <d v="2031-07-08T00:00:00"/>
    <x v="2"/>
    <n v="2"/>
    <n v="23497"/>
    <s v="Vijay Varma"/>
    <n v="29"/>
    <s v="Teenagers"/>
    <s v="Good"/>
    <x v="2"/>
    <s v="Debit Card"/>
    <n v="4"/>
    <s v="OnePlus 9"/>
    <n v="46994"/>
    <s v="Good"/>
    <s v="Low"/>
  </r>
  <r>
    <s v="Pooj403561"/>
    <n v="3561"/>
    <n v="20"/>
    <n v="7"/>
    <n v="2024"/>
    <d v="2024-07-20T00:00:00"/>
    <s v="July"/>
    <d v="2031-07-09T00:00:00"/>
    <x v="1"/>
    <n v="9"/>
    <n v="62669.93"/>
    <s v="Pooja Rao"/>
    <n v="40"/>
    <s v="Adult"/>
    <s v="Good"/>
    <x v="6"/>
    <s v="Debit Card"/>
    <n v="4"/>
    <s v="Vivo S1"/>
    <n v="564029.37"/>
    <s v="Good"/>
    <s v="Excellent"/>
  </r>
  <r>
    <s v="Vive283562"/>
    <n v="3562"/>
    <n v="20"/>
    <n v="7"/>
    <n v="2024"/>
    <d v="2024-07-20T00:00:00"/>
    <s v="July"/>
    <d v="2031-07-10T00:00:00"/>
    <x v="3"/>
    <n v="4"/>
    <n v="38912.400000000001"/>
    <s v="Vivek Patel"/>
    <n v="28"/>
    <s v="Teenagers"/>
    <s v="Good"/>
    <x v="1"/>
    <s v="UPI"/>
    <n v="5"/>
    <s v="Galaxy A51"/>
    <n v="155649.60000000001"/>
    <s v="Good"/>
    <s v="Good"/>
  </r>
  <r>
    <s v="Adit263563"/>
    <n v="3563"/>
    <n v="20"/>
    <n v="7"/>
    <n v="2024"/>
    <d v="2024-07-20T00:00:00"/>
    <s v="July"/>
    <d v="2031-07-11T00:00:00"/>
    <x v="0"/>
    <n v="4"/>
    <n v="43785.66"/>
    <s v="Aditya Nair"/>
    <n v="26"/>
    <s v="Teenagers"/>
    <s v="AVG"/>
    <x v="1"/>
    <s v="Cash"/>
    <n v="3"/>
    <s v="Mi 11"/>
    <n v="175142.64"/>
    <s v="Average"/>
    <s v="Good"/>
  </r>
  <r>
    <s v="Umes413564"/>
    <n v="3564"/>
    <n v="20"/>
    <n v="7"/>
    <n v="2024"/>
    <d v="2024-07-20T00:00:00"/>
    <s v="July"/>
    <d v="2031-07-12T00:00:00"/>
    <x v="0"/>
    <n v="5"/>
    <n v="45621.26"/>
    <s v="Umesh Kulkarni"/>
    <n v="41"/>
    <s v="Adult"/>
    <s v="Good"/>
    <x v="2"/>
    <s v="UPI"/>
    <n v="4"/>
    <s v="Redmi 9"/>
    <n v="228106.30000000002"/>
    <s v="Good"/>
    <s v="Excellent"/>
  </r>
  <r>
    <s v="Suni423565"/>
    <n v="3565"/>
    <n v="21"/>
    <n v="7"/>
    <n v="2024"/>
    <d v="2024-07-21T00:00:00"/>
    <s v="July"/>
    <d v="2031-07-13T00:00:00"/>
    <x v="0"/>
    <n v="8"/>
    <n v="48377.03"/>
    <s v="Sunil Sheth"/>
    <n v="42"/>
    <s v="Adult"/>
    <s v="BAD"/>
    <x v="2"/>
    <s v="UPI"/>
    <n v="2"/>
    <s v="Redmi 9"/>
    <n v="387016.24"/>
    <s v="Average"/>
    <s v="Excellent"/>
  </r>
  <r>
    <s v="Hari423566"/>
    <n v="3566"/>
    <n v="21"/>
    <n v="7"/>
    <n v="2024"/>
    <d v="2024-07-21T00:00:00"/>
    <s v="July"/>
    <d v="2031-07-14T00:00:00"/>
    <x v="2"/>
    <n v="4"/>
    <n v="39733.339999999997"/>
    <s v="Harish Solanki"/>
    <n v="42"/>
    <s v="Adult"/>
    <s v="BAD"/>
    <x v="10"/>
    <s v="Debit Card"/>
    <n v="2"/>
    <s v="OnePlus Nord"/>
    <n v="158933.35999999999"/>
    <s v="Average"/>
    <s v="Good"/>
  </r>
  <r>
    <s v="Nami263567"/>
    <n v="3567"/>
    <n v="21"/>
    <n v="7"/>
    <n v="2024"/>
    <d v="2024-07-21T00:00:00"/>
    <s v="July"/>
    <d v="2031-07-15T00:00:00"/>
    <x v="1"/>
    <n v="5"/>
    <n v="11072.41"/>
    <s v="Namita Das"/>
    <n v="26"/>
    <s v="Teenagers"/>
    <s v="AVG"/>
    <x v="1"/>
    <s v="Credit Card"/>
    <n v="3"/>
    <s v="Vivo Y51"/>
    <n v="55362.05"/>
    <s v="Average"/>
    <s v="Average"/>
  </r>
  <r>
    <s v="Vija293568"/>
    <n v="3568"/>
    <n v="21"/>
    <n v="7"/>
    <n v="2024"/>
    <d v="2024-07-21T00:00:00"/>
    <s v="July"/>
    <d v="2031-07-16T00:00:00"/>
    <x v="0"/>
    <n v="4"/>
    <n v="30083.360000000001"/>
    <s v="Vijay Rawat"/>
    <n v="29"/>
    <s v="Teenagers"/>
    <s v="BAD"/>
    <x v="14"/>
    <s v="UPI"/>
    <n v="2"/>
    <s v="Redmi 9"/>
    <n v="120333.44"/>
    <s v="Average"/>
    <s v="Good"/>
  </r>
  <r>
    <s v="Lali283569"/>
    <n v="3569"/>
    <n v="22"/>
    <n v="7"/>
    <n v="2024"/>
    <d v="2024-07-22T00:00:00"/>
    <s v="July"/>
    <d v="2031-07-17T00:00:00"/>
    <x v="0"/>
    <n v="6"/>
    <n v="21032.39"/>
    <s v="Lalita Luthra"/>
    <n v="28"/>
    <s v="Teenagers"/>
    <s v="Good"/>
    <x v="2"/>
    <s v="Cash"/>
    <n v="5"/>
    <s v="Mi 11"/>
    <n v="126194.34"/>
    <s v="Good"/>
    <s v="Good"/>
  </r>
  <r>
    <s v="Ayes553570"/>
    <n v="3570"/>
    <n v="22"/>
    <n v="7"/>
    <n v="2024"/>
    <d v="2024-07-22T00:00:00"/>
    <s v="July"/>
    <d v="2031-07-18T00:00:00"/>
    <x v="3"/>
    <n v="3"/>
    <n v="50808.57"/>
    <s v="Ayesha Patel"/>
    <n v="55"/>
    <s v="Senior Citezen"/>
    <s v="AVG"/>
    <x v="1"/>
    <s v="Cash"/>
    <n v="3"/>
    <s v="Galaxy S21"/>
    <n v="152425.71"/>
    <s v="Average"/>
    <s v="Good"/>
  </r>
  <r>
    <s v="Meen453571"/>
    <n v="3571"/>
    <n v="22"/>
    <n v="7"/>
    <n v="2024"/>
    <d v="2024-07-22T00:00:00"/>
    <s v="July"/>
    <d v="2031-07-19T00:00:00"/>
    <x v="3"/>
    <n v="8"/>
    <n v="13402.28"/>
    <s v="Meena Chatterjee"/>
    <n v="45"/>
    <s v="Adult"/>
    <s v="Good"/>
    <x v="4"/>
    <s v="UPI"/>
    <n v="4"/>
    <s v="Galaxy Note 20"/>
    <n v="107218.24000000001"/>
    <s v="Good"/>
    <s v="Good"/>
  </r>
  <r>
    <s v="Deep253572"/>
    <n v="3572"/>
    <n v="23"/>
    <n v="7"/>
    <n v="2024"/>
    <d v="2024-07-23T00:00:00"/>
    <s v="July"/>
    <d v="2031-07-20T00:00:00"/>
    <x v="1"/>
    <n v="6"/>
    <n v="43828.2"/>
    <s v="Deepika Kulkarni"/>
    <n v="25"/>
    <s v="Teenagers"/>
    <s v="BAD"/>
    <x v="1"/>
    <s v="Cash"/>
    <n v="2"/>
    <s v="Vivo Y51"/>
    <n v="262969.19999999995"/>
    <s v="Average"/>
    <s v="Excellent"/>
  </r>
  <r>
    <s v="Arun273573"/>
    <n v="3573"/>
    <n v="23"/>
    <n v="7"/>
    <n v="2024"/>
    <d v="2024-07-23T00:00:00"/>
    <s v="July"/>
    <d v="2031-07-21T00:00:00"/>
    <x v="1"/>
    <n v="5"/>
    <n v="22637.9"/>
    <s v="Arun Teja"/>
    <n v="27"/>
    <s v="Teenagers"/>
    <s v="Good"/>
    <x v="7"/>
    <s v="Cash"/>
    <n v="5"/>
    <s v="Vivo S1"/>
    <n v="113189.5"/>
    <s v="Good"/>
    <s v="Good"/>
  </r>
  <r>
    <s v="Sanj423574"/>
    <n v="3574"/>
    <n v="23"/>
    <n v="7"/>
    <n v="2024"/>
    <d v="2024-07-23T00:00:00"/>
    <s v="July"/>
    <d v="2031-07-22T00:00:00"/>
    <x v="4"/>
    <n v="2"/>
    <n v="66930.75"/>
    <s v="Sanjay Ghosh"/>
    <n v="42"/>
    <s v="Adult"/>
    <s v="Good"/>
    <x v="2"/>
    <s v="UPI"/>
    <n v="4"/>
    <s v="iPhone 11"/>
    <n v="133861.5"/>
    <s v="Good"/>
    <s v="Good"/>
  </r>
  <r>
    <s v="Deve533575"/>
    <n v="3575"/>
    <n v="23"/>
    <n v="7"/>
    <n v="2024"/>
    <d v="2024-07-23T00:00:00"/>
    <s v="July"/>
    <d v="2031-07-23T00:00:00"/>
    <x v="3"/>
    <n v="7"/>
    <n v="30132.46"/>
    <s v="Devendra Varma"/>
    <n v="53"/>
    <s v="Senior Citezen"/>
    <s v="Good"/>
    <x v="1"/>
    <s v="Cash"/>
    <n v="5"/>
    <s v="Galaxy S21"/>
    <n v="210927.22"/>
    <s v="Good"/>
    <s v="Excellent"/>
  </r>
  <r>
    <s v="Yoge263576"/>
    <n v="3576"/>
    <n v="24"/>
    <n v="7"/>
    <n v="2024"/>
    <d v="2024-07-24T00:00:00"/>
    <s v="July"/>
    <d v="2031-07-24T00:00:00"/>
    <x v="4"/>
    <n v="2"/>
    <n v="29513.27"/>
    <s v="Yogesh Ahuja"/>
    <n v="26"/>
    <s v="Teenagers"/>
    <s v="Good"/>
    <x v="16"/>
    <s v="Cash"/>
    <n v="5"/>
    <s v="iPhone 11"/>
    <n v="59026.54"/>
    <s v="Good"/>
    <s v="Average"/>
  </r>
  <r>
    <s v="Mala583577"/>
    <n v="3577"/>
    <n v="24"/>
    <n v="7"/>
    <n v="2024"/>
    <d v="2024-07-24T00:00:00"/>
    <s v="July"/>
    <d v="2031-07-25T00:00:00"/>
    <x v="2"/>
    <n v="1"/>
    <n v="65403.08"/>
    <s v="Mala Ghosh"/>
    <n v="58"/>
    <s v="Senior Citezen"/>
    <s v="BAD"/>
    <x v="14"/>
    <s v="UPI"/>
    <n v="2"/>
    <s v="OnePlus Nord"/>
    <n v="65403.08"/>
    <s v="Average"/>
    <s v="Average"/>
  </r>
  <r>
    <s v="Priy253578"/>
    <n v="3578"/>
    <n v="24"/>
    <n v="7"/>
    <n v="2024"/>
    <d v="2024-07-24T00:00:00"/>
    <s v="July"/>
    <d v="2031-07-26T00:00:00"/>
    <x v="4"/>
    <n v="7"/>
    <n v="35040.879999999997"/>
    <s v="Priya Bhattacharya"/>
    <n v="25"/>
    <s v="Teenagers"/>
    <s v="Good"/>
    <x v="1"/>
    <s v="Debit Card"/>
    <n v="5"/>
    <s v="iPhone 12"/>
    <n v="245286.15999999997"/>
    <s v="Good"/>
    <s v="Excellent"/>
  </r>
  <r>
    <s v="Vive203579"/>
    <n v="3579"/>
    <n v="25"/>
    <n v="7"/>
    <n v="2024"/>
    <d v="2024-07-25T00:00:00"/>
    <s v="July"/>
    <d v="2031-07-27T00:00:00"/>
    <x v="0"/>
    <n v="5"/>
    <n v="67771.740000000005"/>
    <s v="Vivek Pathak"/>
    <n v="20"/>
    <s v="Teenagers"/>
    <s v="Good"/>
    <x v="1"/>
    <s v="Credit Card"/>
    <n v="5"/>
    <s v="Redmi 9"/>
    <n v="338858.7"/>
    <s v="Good"/>
    <s v="Excellent"/>
  </r>
  <r>
    <s v="Meen353580"/>
    <n v="3580"/>
    <n v="25"/>
    <n v="7"/>
    <n v="2024"/>
    <d v="2024-07-25T00:00:00"/>
    <s v="July"/>
    <d v="2031-07-28T00:00:00"/>
    <x v="4"/>
    <n v="1"/>
    <n v="11450.22"/>
    <s v="Meena Verma"/>
    <n v="35"/>
    <s v="Adult"/>
    <s v="Good"/>
    <x v="13"/>
    <s v="Credit Card"/>
    <n v="5"/>
    <s v="iPhone SE"/>
    <n v="11450.22"/>
    <s v="Good"/>
    <s v="Low"/>
  </r>
  <r>
    <s v="Anit523581"/>
    <n v="3581"/>
    <n v="25"/>
    <n v="7"/>
    <n v="2024"/>
    <d v="2024-07-25T00:00:00"/>
    <s v="July"/>
    <d v="2031-07-29T00:00:00"/>
    <x v="1"/>
    <n v="4"/>
    <n v="28380.67"/>
    <s v="Anita Mehta"/>
    <n v="52"/>
    <s v="Senior Citezen"/>
    <s v="Good"/>
    <x v="2"/>
    <s v="Debit Card"/>
    <n v="5"/>
    <s v="Vivo Y51"/>
    <n v="113522.68"/>
    <s v="Good"/>
    <s v="Good"/>
  </r>
  <r>
    <s v="Priy343582"/>
    <n v="3582"/>
    <n v="26"/>
    <n v="7"/>
    <n v="2024"/>
    <d v="2024-07-26T00:00:00"/>
    <s v="July"/>
    <d v="2031-07-30T00:00:00"/>
    <x v="2"/>
    <n v="4"/>
    <n v="49971.58"/>
    <s v="Priya Prasad"/>
    <n v="34"/>
    <s v="Adult"/>
    <s v="Good"/>
    <x v="7"/>
    <s v="UPI"/>
    <n v="4"/>
    <s v="OnePlus Nord"/>
    <n v="199886.32"/>
    <s v="Good"/>
    <s v="Good"/>
  </r>
  <r>
    <s v="Kira533583"/>
    <n v="3583"/>
    <n v="26"/>
    <n v="7"/>
    <n v="2024"/>
    <d v="2024-07-26T00:00:00"/>
    <s v="July"/>
    <d v="2031-07-31T00:00:00"/>
    <x v="0"/>
    <n v="7"/>
    <n v="63451.42"/>
    <s v="Kiran Joshi"/>
    <n v="53"/>
    <s v="Senior Citezen"/>
    <s v="Good"/>
    <x v="2"/>
    <s v="Debit Card"/>
    <n v="4"/>
    <s v="Redmi Note 10"/>
    <n v="444159.94"/>
    <s v="Good"/>
    <s v="Excellent"/>
  </r>
  <r>
    <s v="Radh453584"/>
    <n v="3584"/>
    <n v="26"/>
    <n v="7"/>
    <n v="2024"/>
    <d v="2024-07-26T00:00:00"/>
    <s v="July"/>
    <d v="2031-08-01T00:00:00"/>
    <x v="4"/>
    <n v="9"/>
    <n v="25384.34"/>
    <s v="Radha Kaur"/>
    <n v="45"/>
    <s v="Adult"/>
    <s v="Good"/>
    <x v="1"/>
    <s v="Credit Card"/>
    <n v="5"/>
    <s v="iPhone 12"/>
    <n v="228459.06"/>
    <s v="Good"/>
    <s v="Excellent"/>
  </r>
  <r>
    <s v="Nami323585"/>
    <n v="3585"/>
    <n v="27"/>
    <n v="7"/>
    <n v="2024"/>
    <d v="2024-07-27T00:00:00"/>
    <s v="July"/>
    <d v="2031-08-02T00:00:00"/>
    <x v="2"/>
    <n v="2"/>
    <n v="65828.66"/>
    <s v="Namita Patel"/>
    <n v="32"/>
    <s v="Adult"/>
    <s v="AVG"/>
    <x v="15"/>
    <s v="Credit Card"/>
    <n v="3"/>
    <s v="OnePlus 9"/>
    <n v="131657.32"/>
    <s v="Average"/>
    <s v="Good"/>
  </r>
  <r>
    <s v="Anja363586"/>
    <n v="3586"/>
    <n v="27"/>
    <n v="7"/>
    <n v="2024"/>
    <d v="2024-07-27T00:00:00"/>
    <s v="July"/>
    <d v="2031-08-03T00:00:00"/>
    <x v="2"/>
    <n v="1"/>
    <n v="45647.29"/>
    <s v="Anjali Pathak"/>
    <n v="36"/>
    <s v="Adult"/>
    <s v="AVG"/>
    <x v="5"/>
    <s v="Credit Card"/>
    <n v="3"/>
    <s v="OnePlus 9"/>
    <n v="45647.29"/>
    <s v="Average"/>
    <s v="Low"/>
  </r>
  <r>
    <s v="Ravi393587"/>
    <n v="3587"/>
    <n v="27"/>
    <n v="7"/>
    <n v="2024"/>
    <d v="2024-07-27T00:00:00"/>
    <s v="July"/>
    <d v="2031-08-04T00:00:00"/>
    <x v="0"/>
    <n v="2"/>
    <n v="58060.49"/>
    <s v="Ravi Bhattacharya"/>
    <n v="39"/>
    <s v="Adult"/>
    <s v="Good"/>
    <x v="15"/>
    <s v="Credit Card"/>
    <n v="4"/>
    <s v="Mi 11"/>
    <n v="116120.98"/>
    <s v="Good"/>
    <s v="Good"/>
  </r>
  <r>
    <s v="Bhav233588"/>
    <n v="3588"/>
    <n v="27"/>
    <n v="7"/>
    <n v="2024"/>
    <d v="2024-07-27T00:00:00"/>
    <s v="July"/>
    <d v="2031-08-05T00:00:00"/>
    <x v="4"/>
    <n v="7"/>
    <n v="33832.44"/>
    <s v="Bhavana Bhatnagar"/>
    <n v="23"/>
    <s v="Teenagers"/>
    <s v="AVG"/>
    <x v="1"/>
    <s v="UPI"/>
    <n v="3"/>
    <s v="iPhone 12"/>
    <n v="236827.08000000002"/>
    <s v="Average"/>
    <s v="Excellent"/>
  </r>
  <r>
    <s v="Bina243589"/>
    <n v="3589"/>
    <n v="28"/>
    <n v="7"/>
    <n v="2024"/>
    <d v="2024-07-28T00:00:00"/>
    <s v="July"/>
    <d v="2031-08-06T00:00:00"/>
    <x v="2"/>
    <n v="6"/>
    <n v="22730.82"/>
    <s v="Bina Jain"/>
    <n v="24"/>
    <s v="Teenagers"/>
    <s v="Good"/>
    <x v="7"/>
    <s v="Credit Card"/>
    <n v="4"/>
    <s v="OnePlus 8T"/>
    <n v="136384.91999999998"/>
    <s v="Good"/>
    <s v="Good"/>
  </r>
  <r>
    <s v="Roha263590"/>
    <n v="3590"/>
    <n v="28"/>
    <n v="7"/>
    <n v="2024"/>
    <d v="2024-07-28T00:00:00"/>
    <s v="July"/>
    <d v="2031-08-07T00:00:00"/>
    <x v="2"/>
    <n v="4"/>
    <n v="64674.12"/>
    <s v="Rohan Roy"/>
    <n v="26"/>
    <s v="Teenagers"/>
    <s v="BAD"/>
    <x v="10"/>
    <s v="Credit Card"/>
    <n v="2"/>
    <s v="OnePlus Nord"/>
    <n v="258696.48"/>
    <s v="Average"/>
    <s v="Excellent"/>
  </r>
  <r>
    <s v="Mala373591"/>
    <n v="3591"/>
    <n v="28"/>
    <n v="7"/>
    <n v="2024"/>
    <d v="2024-07-28T00:00:00"/>
    <s v="July"/>
    <d v="2031-08-08T00:00:00"/>
    <x v="3"/>
    <n v="1"/>
    <n v="65988.149999999994"/>
    <s v="Mala Siddiqui"/>
    <n v="37"/>
    <s v="Adult"/>
    <s v="Good"/>
    <x v="1"/>
    <s v="UPI"/>
    <n v="4"/>
    <s v="Galaxy A51"/>
    <n v="65988.149999999994"/>
    <s v="Good"/>
    <s v="Average"/>
  </r>
  <r>
    <s v="Pras543592"/>
    <n v="3592"/>
    <n v="28"/>
    <n v="7"/>
    <n v="2024"/>
    <d v="2024-07-28T00:00:00"/>
    <s v="July"/>
    <d v="2031-08-09T00:00:00"/>
    <x v="2"/>
    <n v="1"/>
    <n v="39854.51"/>
    <s v="Prashant Arora"/>
    <n v="54"/>
    <s v="Senior Citezen"/>
    <s v="BAD"/>
    <x v="1"/>
    <s v="Debit Card"/>
    <n v="2"/>
    <s v="OnePlus 8T"/>
    <n v="39854.51"/>
    <s v="Average"/>
    <s v="Low"/>
  </r>
  <r>
    <s v="Ayes283593"/>
    <n v="3593"/>
    <n v="29"/>
    <n v="7"/>
    <n v="2024"/>
    <d v="2024-07-29T00:00:00"/>
    <s v="July"/>
    <d v="2031-08-10T00:00:00"/>
    <x v="3"/>
    <n v="5"/>
    <n v="10389.700000000001"/>
    <s v="Ayesha Rathod"/>
    <n v="28"/>
    <s v="Teenagers"/>
    <s v="Good"/>
    <x v="14"/>
    <s v="UPI"/>
    <n v="5"/>
    <s v="Galaxy A51"/>
    <n v="51948.5"/>
    <s v="Good"/>
    <s v="Average"/>
  </r>
  <r>
    <s v="Suni193594"/>
    <n v="3594"/>
    <n v="29"/>
    <n v="7"/>
    <n v="2024"/>
    <d v="2024-07-29T00:00:00"/>
    <s v="July"/>
    <d v="2031-08-11T00:00:00"/>
    <x v="4"/>
    <n v="1"/>
    <n v="16586.98"/>
    <s v="Sunil Menon"/>
    <n v="19"/>
    <s v="Teenagers"/>
    <s v="AVG"/>
    <x v="13"/>
    <s v="Credit Card"/>
    <n v="3"/>
    <s v="iPhone SE"/>
    <n v="16586.98"/>
    <s v="Average"/>
    <s v="Low"/>
  </r>
  <r>
    <s v="Kira393595"/>
    <n v="3595"/>
    <n v="29"/>
    <n v="7"/>
    <n v="2024"/>
    <d v="2024-07-29T00:00:00"/>
    <s v="July"/>
    <d v="2031-08-12T00:00:00"/>
    <x v="4"/>
    <n v="7"/>
    <n v="44381.68"/>
    <s v="Kiran Malhotra"/>
    <n v="39"/>
    <s v="Adult"/>
    <s v="Good"/>
    <x v="1"/>
    <s v="Cash"/>
    <n v="5"/>
    <s v="iPhone 12"/>
    <n v="310671.76"/>
    <s v="Good"/>
    <s v="Excellent"/>
  </r>
  <r>
    <s v="Sach533596"/>
    <n v="3596"/>
    <n v="29"/>
    <n v="7"/>
    <n v="2024"/>
    <d v="2024-07-29T00:00:00"/>
    <s v="July"/>
    <d v="2031-08-13T00:00:00"/>
    <x v="4"/>
    <n v="1"/>
    <n v="11426.6"/>
    <s v="Sachin Singh"/>
    <n v="53"/>
    <s v="Senior Citezen"/>
    <s v="Good"/>
    <x v="12"/>
    <s v="UPI"/>
    <n v="5"/>
    <s v="iPhone SE"/>
    <n v="11426.6"/>
    <s v="Good"/>
    <s v="Low"/>
  </r>
  <r>
    <s v="Anja223597"/>
    <n v="3597"/>
    <n v="30"/>
    <n v="7"/>
    <n v="2024"/>
    <d v="2024-07-30T00:00:00"/>
    <s v="July"/>
    <d v="2031-08-14T00:00:00"/>
    <x v="1"/>
    <n v="1"/>
    <n v="33814.720000000001"/>
    <s v="Anjali Chatterjee"/>
    <n v="22"/>
    <s v="Teenagers"/>
    <s v="Good"/>
    <x v="8"/>
    <s v="UPI"/>
    <n v="5"/>
    <s v="Vivo S1"/>
    <n v="33814.720000000001"/>
    <s v="Good"/>
    <s v="Low"/>
  </r>
  <r>
    <s v="Yoge243598"/>
    <n v="3598"/>
    <n v="30"/>
    <n v="7"/>
    <n v="2024"/>
    <d v="2024-07-30T00:00:00"/>
    <s v="July"/>
    <d v="2031-08-15T00:00:00"/>
    <x v="4"/>
    <n v="2"/>
    <n v="28202.2"/>
    <s v="Yogesh Patel"/>
    <n v="24"/>
    <s v="Teenagers"/>
    <s v="Good"/>
    <x v="2"/>
    <s v="Debit Card"/>
    <n v="5"/>
    <s v="iPhone 11"/>
    <n v="56404.4"/>
    <s v="Good"/>
    <s v="Average"/>
  </r>
  <r>
    <s v="Ravi233599"/>
    <n v="3599"/>
    <n v="30"/>
    <n v="7"/>
    <n v="2024"/>
    <d v="2024-07-30T00:00:00"/>
    <s v="July"/>
    <d v="2031-08-16T00:00:00"/>
    <x v="2"/>
    <n v="3"/>
    <n v="52860.9"/>
    <s v="Ravi Kulkarni"/>
    <n v="23"/>
    <s v="Teenagers"/>
    <s v="Good"/>
    <x v="9"/>
    <s v="Credit Card"/>
    <n v="4"/>
    <s v="OnePlus 9"/>
    <n v="158582.70000000001"/>
    <s v="Good"/>
    <s v="Good"/>
  </r>
  <r>
    <s v="Pooj393600"/>
    <n v="3600"/>
    <n v="30"/>
    <n v="7"/>
    <n v="2024"/>
    <d v="2024-07-30T00:00:00"/>
    <s v="July"/>
    <d v="2031-08-17T00:00:00"/>
    <x v="0"/>
    <n v="1"/>
    <n v="13334.72"/>
    <s v="Pooja Arora"/>
    <n v="39"/>
    <s v="Adult"/>
    <s v="Good"/>
    <x v="5"/>
    <s v="Cash"/>
    <n v="4"/>
    <s v="Redmi 9"/>
    <n v="13334.72"/>
    <s v="Good"/>
    <s v="Low"/>
  </r>
  <r>
    <s v="Radh273601"/>
    <n v="3601"/>
    <n v="31"/>
    <n v="7"/>
    <n v="2024"/>
    <d v="2024-07-31T00:00:00"/>
    <s v="July"/>
    <d v="2031-08-18T00:00:00"/>
    <x v="3"/>
    <n v="9"/>
    <n v="39323.879999999997"/>
    <s v="Radha Sharma"/>
    <n v="27"/>
    <s v="Teenagers"/>
    <s v="AVG"/>
    <x v="1"/>
    <s v="UPI"/>
    <n v="3"/>
    <s v="Galaxy A51"/>
    <n v="353914.92"/>
    <s v="Average"/>
    <s v="Excellent"/>
  </r>
  <r>
    <s v="Bhav573602"/>
    <n v="3602"/>
    <n v="31"/>
    <n v="7"/>
    <n v="2024"/>
    <d v="2024-07-31T00:00:00"/>
    <s v="July"/>
    <d v="2031-08-19T00:00:00"/>
    <x v="1"/>
    <n v="8"/>
    <n v="44746.86"/>
    <s v="Bhavana Desai"/>
    <n v="57"/>
    <s v="Senior Citezen"/>
    <s v="Good"/>
    <x v="7"/>
    <s v="UPI"/>
    <n v="5"/>
    <s v="Vivo Y51"/>
    <n v="357974.88"/>
    <s v="Good"/>
    <s v="Excellent"/>
  </r>
  <r>
    <s v="Anja373603"/>
    <n v="3603"/>
    <n v="31"/>
    <n v="7"/>
    <n v="2024"/>
    <d v="2024-07-31T00:00:00"/>
    <s v="July"/>
    <d v="2031-08-20T00:00:00"/>
    <x v="4"/>
    <n v="5"/>
    <n v="47037.46"/>
    <s v="Anjali Nambiar"/>
    <n v="37"/>
    <s v="Adult"/>
    <s v="Good"/>
    <x v="1"/>
    <s v="UPI"/>
    <n v="5"/>
    <s v="iPhone SE"/>
    <n v="235187.3"/>
    <s v="Good"/>
    <s v="Excellent"/>
  </r>
  <r>
    <s v="Neet453604"/>
    <n v="3604"/>
    <n v="31"/>
    <n v="7"/>
    <n v="2024"/>
    <d v="2024-07-31T00:00:00"/>
    <s v="July"/>
    <d v="2031-08-21T00:00:00"/>
    <x v="4"/>
    <n v="2"/>
    <n v="34309.46"/>
    <s v="Neeta Desai"/>
    <n v="45"/>
    <s v="Adult"/>
    <s v="Good"/>
    <x v="2"/>
    <s v="Cash"/>
    <n v="5"/>
    <s v="iPhone 12"/>
    <n v="68618.92"/>
    <s v="Good"/>
    <s v="Average"/>
  </r>
  <r>
    <s v="Anit403605"/>
    <n v="3605"/>
    <n v="1"/>
    <n v="8"/>
    <n v="2024"/>
    <d v="2024-08-01T00:00:00"/>
    <s v="August"/>
    <d v="2031-08-22T00:00:00"/>
    <x v="0"/>
    <n v="5"/>
    <n v="28262.07"/>
    <s v="Anita Luthra"/>
    <n v="40"/>
    <s v="Adult"/>
    <s v="Good"/>
    <x v="1"/>
    <s v="UPI"/>
    <n v="5"/>
    <s v="Redmi Note 10"/>
    <n v="141310.35"/>
    <s v="Good"/>
    <s v="Good"/>
  </r>
  <r>
    <s v="Reen523606"/>
    <n v="3606"/>
    <n v="1"/>
    <n v="8"/>
    <n v="2024"/>
    <d v="2024-08-01T00:00:00"/>
    <s v="August"/>
    <d v="2031-08-23T00:00:00"/>
    <x v="0"/>
    <n v="6"/>
    <n v="50949.58"/>
    <s v="Reena Mehta"/>
    <n v="52"/>
    <s v="Senior Citezen"/>
    <s v="AVG"/>
    <x v="11"/>
    <s v="UPI"/>
    <n v="3"/>
    <s v="Redmi Note 10"/>
    <n v="305697.48"/>
    <s v="Average"/>
    <s v="Excellent"/>
  </r>
  <r>
    <s v="Lali183607"/>
    <n v="3607"/>
    <n v="1"/>
    <n v="8"/>
    <n v="2024"/>
    <d v="2024-08-01T00:00:00"/>
    <s v="August"/>
    <d v="2031-08-24T00:00:00"/>
    <x v="1"/>
    <n v="1"/>
    <n v="60854.14"/>
    <s v="Lalita Bhatnagar"/>
    <n v="18"/>
    <s v="Teenagers"/>
    <s v="Good"/>
    <x v="2"/>
    <s v="Cash"/>
    <n v="4"/>
    <s v="Vivo Y51"/>
    <n v="60854.14"/>
    <s v="Good"/>
    <s v="Average"/>
  </r>
  <r>
    <s v="Kavi463608"/>
    <n v="3608"/>
    <n v="2"/>
    <n v="8"/>
    <n v="2024"/>
    <d v="2024-08-02T00:00:00"/>
    <s v="August"/>
    <d v="2031-08-25T00:00:00"/>
    <x v="3"/>
    <n v="4"/>
    <n v="51617.06"/>
    <s v="Kavita Teja"/>
    <n v="46"/>
    <s v="Senior Citezen"/>
    <s v="Good"/>
    <x v="18"/>
    <s v="UPI"/>
    <n v="5"/>
    <s v="Galaxy S21"/>
    <n v="206468.24"/>
    <s v="Good"/>
    <s v="Excellent"/>
  </r>
  <r>
    <s v="Lata263609"/>
    <n v="3609"/>
    <n v="2"/>
    <n v="8"/>
    <n v="2024"/>
    <d v="2024-08-02T00:00:00"/>
    <s v="August"/>
    <d v="2031-08-26T00:00:00"/>
    <x v="4"/>
    <n v="9"/>
    <n v="65926.14"/>
    <s v="Lata Chaudhary"/>
    <n v="26"/>
    <s v="Teenagers"/>
    <s v="AVG"/>
    <x v="12"/>
    <s v="Cash"/>
    <n v="3"/>
    <s v="iPhone 12"/>
    <n v="593335.26"/>
    <s v="Average"/>
    <s v="Excellent"/>
  </r>
  <r>
    <s v="Pooj263610"/>
    <n v="3610"/>
    <n v="2"/>
    <n v="8"/>
    <n v="2024"/>
    <d v="2024-08-02T00:00:00"/>
    <s v="August"/>
    <d v="2031-08-27T00:00:00"/>
    <x v="1"/>
    <n v="2"/>
    <n v="53035.81"/>
    <s v="Pooja Pathak"/>
    <n v="26"/>
    <s v="Teenagers"/>
    <s v="Good"/>
    <x v="2"/>
    <s v="Debit Card"/>
    <n v="5"/>
    <s v="Vivo V20"/>
    <n v="106071.62"/>
    <s v="Good"/>
    <s v="Good"/>
  </r>
  <r>
    <s v="Navi393611"/>
    <n v="3611"/>
    <n v="3"/>
    <n v="8"/>
    <n v="2024"/>
    <d v="2024-08-03T00:00:00"/>
    <s v="August"/>
    <d v="2031-08-28T00:00:00"/>
    <x v="2"/>
    <n v="5"/>
    <n v="55877.120000000003"/>
    <s v="Navin Kapoor"/>
    <n v="39"/>
    <s v="Adult"/>
    <s v="Good"/>
    <x v="12"/>
    <s v="Cash"/>
    <n v="5"/>
    <s v="OnePlus 9"/>
    <n v="279385.60000000003"/>
    <s v="Good"/>
    <s v="Excellent"/>
  </r>
  <r>
    <s v="Anit193612"/>
    <n v="3612"/>
    <n v="3"/>
    <n v="8"/>
    <n v="2024"/>
    <d v="2024-08-03T00:00:00"/>
    <s v="August"/>
    <d v="2031-08-29T00:00:00"/>
    <x v="2"/>
    <n v="1"/>
    <n v="20074.189999999999"/>
    <s v="Anita Kumar"/>
    <n v="19"/>
    <s v="Teenagers"/>
    <s v="Good"/>
    <x v="2"/>
    <s v="Debit Card"/>
    <n v="4"/>
    <s v="OnePlus 9"/>
    <n v="20074.189999999999"/>
    <s v="Good"/>
    <s v="Low"/>
  </r>
  <r>
    <s v="Reen333613"/>
    <n v="3613"/>
    <n v="3"/>
    <n v="8"/>
    <n v="2024"/>
    <d v="2024-08-03T00:00:00"/>
    <s v="August"/>
    <d v="2031-08-30T00:00:00"/>
    <x v="1"/>
    <n v="4"/>
    <n v="35172.379999999997"/>
    <s v="Reena Menon"/>
    <n v="33"/>
    <s v="Adult"/>
    <s v="Good"/>
    <x v="13"/>
    <s v="Cash"/>
    <n v="4"/>
    <s v="Vivo V20"/>
    <n v="140689.51999999999"/>
    <s v="Good"/>
    <s v="Good"/>
  </r>
  <r>
    <s v="Tapa573614"/>
    <n v="3614"/>
    <n v="4"/>
    <n v="8"/>
    <n v="2024"/>
    <d v="2024-08-04T00:00:00"/>
    <s v="August"/>
    <d v="2031-08-31T00:00:00"/>
    <x v="4"/>
    <n v="4"/>
    <n v="39103.32"/>
    <s v="Tapan Luthra"/>
    <n v="57"/>
    <s v="Senior Citezen"/>
    <s v="AVG"/>
    <x v="1"/>
    <s v="Credit Card"/>
    <n v="3"/>
    <s v="iPhone 11"/>
    <n v="156413.28"/>
    <s v="Average"/>
    <s v="Good"/>
  </r>
  <r>
    <s v="Deve233615"/>
    <n v="3615"/>
    <n v="4"/>
    <n v="8"/>
    <n v="2024"/>
    <d v="2024-08-04T00:00:00"/>
    <s v="August"/>
    <d v="2031-09-01T00:00:00"/>
    <x v="1"/>
    <n v="6"/>
    <n v="25377.59"/>
    <s v="Devendra Menon"/>
    <n v="23"/>
    <s v="Teenagers"/>
    <s v="BAD"/>
    <x v="12"/>
    <s v="UPI"/>
    <n v="2"/>
    <s v="Vivo V20"/>
    <n v="152265.54"/>
    <s v="Average"/>
    <s v="Good"/>
  </r>
  <r>
    <s v="Umes303616"/>
    <n v="3616"/>
    <n v="4"/>
    <n v="8"/>
    <n v="2024"/>
    <d v="2024-08-04T00:00:00"/>
    <s v="August"/>
    <d v="2031-09-02T00:00:00"/>
    <x v="4"/>
    <n v="9"/>
    <n v="41712.39"/>
    <s v="Umesh Nair"/>
    <n v="30"/>
    <s v="Teenagers"/>
    <s v="AVG"/>
    <x v="14"/>
    <s v="Debit Card"/>
    <n v="3"/>
    <s v="iPhone SE"/>
    <n v="375411.51"/>
    <s v="Average"/>
    <s v="Excellent"/>
  </r>
  <r>
    <s v="Anan503617"/>
    <n v="3617"/>
    <n v="5"/>
    <n v="8"/>
    <n v="2024"/>
    <d v="2024-08-05T00:00:00"/>
    <s v="August"/>
    <d v="2031-09-03T00:00:00"/>
    <x v="0"/>
    <n v="3"/>
    <n v="27447.52"/>
    <s v="Anand Thakur"/>
    <n v="50"/>
    <s v="Senior Citezen"/>
    <s v="AVG"/>
    <x v="1"/>
    <s v="UPI"/>
    <n v="3"/>
    <s v="Mi 11"/>
    <n v="82342.559999999998"/>
    <s v="Average"/>
    <s v="Average"/>
  </r>
  <r>
    <s v="Anan363618"/>
    <n v="3618"/>
    <n v="5"/>
    <n v="8"/>
    <n v="2024"/>
    <d v="2024-08-05T00:00:00"/>
    <s v="August"/>
    <d v="2031-09-04T00:00:00"/>
    <x v="1"/>
    <n v="9"/>
    <n v="51250.13"/>
    <s v="Anand Siddiqui"/>
    <n v="36"/>
    <s v="Adult"/>
    <s v="BAD"/>
    <x v="1"/>
    <s v="UPI"/>
    <n v="2"/>
    <s v="Vivo S1"/>
    <n v="461251.17"/>
    <s v="Average"/>
    <s v="Excellent"/>
  </r>
  <r>
    <s v="Pras323619"/>
    <n v="3619"/>
    <n v="5"/>
    <n v="8"/>
    <n v="2024"/>
    <d v="2024-08-05T00:00:00"/>
    <s v="August"/>
    <d v="2031-09-05T00:00:00"/>
    <x v="4"/>
    <n v="6"/>
    <n v="38217.31"/>
    <s v="Prashant Mishra"/>
    <n v="32"/>
    <s v="Adult"/>
    <s v="Good"/>
    <x v="11"/>
    <s v="Cash"/>
    <n v="5"/>
    <s v="iPhone SE"/>
    <n v="229303.86"/>
    <s v="Good"/>
    <s v="Excellent"/>
  </r>
  <r>
    <s v="Amit503620"/>
    <n v="3620"/>
    <n v="5"/>
    <n v="8"/>
    <n v="2024"/>
    <d v="2024-08-05T00:00:00"/>
    <s v="August"/>
    <d v="2031-09-06T00:00:00"/>
    <x v="1"/>
    <n v="7"/>
    <n v="37528.42"/>
    <s v="Amit Chatterjee"/>
    <n v="50"/>
    <s v="Senior Citezen"/>
    <s v="Good"/>
    <x v="16"/>
    <s v="Credit Card"/>
    <n v="5"/>
    <s v="Vivo V20"/>
    <n v="262698.94"/>
    <s v="Good"/>
    <s v="Excellent"/>
  </r>
  <r>
    <s v="Kuna273621"/>
    <n v="3621"/>
    <n v="6"/>
    <n v="8"/>
    <n v="2024"/>
    <d v="2024-08-06T00:00:00"/>
    <s v="August"/>
    <d v="2031-09-07T00:00:00"/>
    <x v="1"/>
    <n v="2"/>
    <n v="69018.55"/>
    <s v="Kunal Malhotra"/>
    <n v="27"/>
    <s v="Teenagers"/>
    <s v="BAD"/>
    <x v="1"/>
    <s v="Cash"/>
    <n v="2"/>
    <s v="Vivo S1"/>
    <n v="138037.1"/>
    <s v="Average"/>
    <s v="Good"/>
  </r>
  <r>
    <s v="Bina183622"/>
    <n v="3622"/>
    <n v="6"/>
    <n v="8"/>
    <n v="2024"/>
    <d v="2024-08-06T00:00:00"/>
    <s v="August"/>
    <d v="2031-09-08T00:00:00"/>
    <x v="4"/>
    <n v="6"/>
    <n v="33546.69"/>
    <s v="Bina Nair"/>
    <n v="18"/>
    <s v="Teenagers"/>
    <s v="Good"/>
    <x v="2"/>
    <s v="UPI"/>
    <n v="5"/>
    <s v="iPhone SE"/>
    <n v="201280.14"/>
    <s v="Good"/>
    <s v="Excellent"/>
  </r>
  <r>
    <s v="Priy293623"/>
    <n v="3623"/>
    <n v="6"/>
    <n v="8"/>
    <n v="2024"/>
    <d v="2024-08-06T00:00:00"/>
    <s v="August"/>
    <d v="2031-09-09T00:00:00"/>
    <x v="4"/>
    <n v="6"/>
    <n v="31737.73"/>
    <s v="Priyanka Joshi"/>
    <n v="29"/>
    <s v="Teenagers"/>
    <s v="Good"/>
    <x v="1"/>
    <s v="Cash"/>
    <n v="5"/>
    <s v="iPhone SE"/>
    <n v="190426.38"/>
    <s v="Good"/>
    <s v="Good"/>
  </r>
  <r>
    <s v="Kuna463624"/>
    <n v="3624"/>
    <n v="7"/>
    <n v="8"/>
    <n v="2024"/>
    <d v="2024-08-07T00:00:00"/>
    <s v="August"/>
    <d v="2031-09-10T00:00:00"/>
    <x v="3"/>
    <n v="2"/>
    <n v="29116.26"/>
    <s v="Kunal Chaudhary"/>
    <n v="46"/>
    <s v="Senior Citezen"/>
    <s v="BAD"/>
    <x v="2"/>
    <s v="Debit Card"/>
    <n v="2"/>
    <s v="Galaxy S21"/>
    <n v="58232.52"/>
    <s v="Average"/>
    <s v="Average"/>
  </r>
  <r>
    <s v="Meen343625"/>
    <n v="3625"/>
    <n v="7"/>
    <n v="8"/>
    <n v="2024"/>
    <d v="2024-08-07T00:00:00"/>
    <s v="August"/>
    <d v="2031-09-11T00:00:00"/>
    <x v="1"/>
    <n v="2"/>
    <n v="63684.95"/>
    <s v="Meena Rathod"/>
    <n v="34"/>
    <s v="Adult"/>
    <s v="Good"/>
    <x v="11"/>
    <s v="Credit Card"/>
    <n v="4"/>
    <s v="Vivo V20"/>
    <n v="127369.9"/>
    <s v="Good"/>
    <s v="Good"/>
  </r>
  <r>
    <s v="Arun213626"/>
    <n v="3626"/>
    <n v="7"/>
    <n v="8"/>
    <n v="2024"/>
    <d v="2024-08-07T00:00:00"/>
    <s v="August"/>
    <d v="2031-09-12T00:00:00"/>
    <x v="2"/>
    <n v="2"/>
    <n v="39803.43"/>
    <s v="Arun Kumar"/>
    <n v="21"/>
    <s v="Teenagers"/>
    <s v="AVG"/>
    <x v="7"/>
    <s v="UPI"/>
    <n v="3"/>
    <s v="OnePlus 9"/>
    <n v="79606.86"/>
    <s v="Average"/>
    <s v="Average"/>
  </r>
  <r>
    <s v="Pras463627"/>
    <n v="3627"/>
    <n v="7"/>
    <n v="8"/>
    <n v="2024"/>
    <d v="2024-08-07T00:00:00"/>
    <s v="August"/>
    <d v="2031-09-13T00:00:00"/>
    <x v="1"/>
    <n v="1"/>
    <n v="46000.87"/>
    <s v="Prashant Teja"/>
    <n v="46"/>
    <s v="Senior Citezen"/>
    <s v="BAD"/>
    <x v="18"/>
    <s v="Cash"/>
    <n v="2"/>
    <s v="Vivo Y51"/>
    <n v="46000.87"/>
    <s v="Average"/>
    <s v="Low"/>
  </r>
  <r>
    <s v="Roha243628"/>
    <n v="3628"/>
    <n v="8"/>
    <n v="8"/>
    <n v="2024"/>
    <d v="2024-08-08T00:00:00"/>
    <s v="August"/>
    <d v="2031-09-14T00:00:00"/>
    <x v="1"/>
    <n v="5"/>
    <n v="20849.11"/>
    <s v="Rohan Shah"/>
    <n v="24"/>
    <s v="Teenagers"/>
    <s v="BAD"/>
    <x v="4"/>
    <s v="Debit Card"/>
    <n v="2"/>
    <s v="Vivo V20"/>
    <n v="104245.55"/>
    <s v="Average"/>
    <s v="Good"/>
  </r>
  <r>
    <s v="Ayes303629"/>
    <n v="3629"/>
    <n v="8"/>
    <n v="8"/>
    <n v="2024"/>
    <d v="2024-08-08T00:00:00"/>
    <s v="August"/>
    <d v="2031-09-15T00:00:00"/>
    <x v="4"/>
    <n v="8"/>
    <n v="42456.54"/>
    <s v="Ayesha Patel"/>
    <n v="30"/>
    <s v="Teenagers"/>
    <s v="Good"/>
    <x v="2"/>
    <s v="Credit Card"/>
    <n v="5"/>
    <s v="iPhone 12"/>
    <n v="339652.32"/>
    <s v="Good"/>
    <s v="Excellent"/>
  </r>
  <r>
    <s v="Vija223630"/>
    <n v="3630"/>
    <n v="8"/>
    <n v="8"/>
    <n v="2024"/>
    <d v="2024-08-08T00:00:00"/>
    <s v="August"/>
    <d v="2031-09-16T00:00:00"/>
    <x v="1"/>
    <n v="2"/>
    <n v="26478.89"/>
    <s v="Vijay Varma"/>
    <n v="22"/>
    <s v="Teenagers"/>
    <s v="Good"/>
    <x v="0"/>
    <s v="Cash"/>
    <n v="4"/>
    <s v="Vivo S1"/>
    <n v="52957.78"/>
    <s v="Good"/>
    <s v="Average"/>
  </r>
  <r>
    <s v="Anit233631"/>
    <n v="3631"/>
    <n v="9"/>
    <n v="8"/>
    <n v="2024"/>
    <d v="2024-08-09T00:00:00"/>
    <s v="August"/>
    <d v="2031-09-17T00:00:00"/>
    <x v="1"/>
    <n v="5"/>
    <n v="53838.22"/>
    <s v="Anita Bhattacharya"/>
    <n v="23"/>
    <s v="Teenagers"/>
    <s v="BAD"/>
    <x v="1"/>
    <s v="Cash"/>
    <n v="2"/>
    <s v="Vivo V20"/>
    <n v="269191.09999999998"/>
    <s v="Average"/>
    <s v="Excellent"/>
  </r>
  <r>
    <s v="Lali513632"/>
    <n v="3632"/>
    <n v="9"/>
    <n v="8"/>
    <n v="2024"/>
    <d v="2024-08-09T00:00:00"/>
    <s v="August"/>
    <d v="2031-09-18T00:00:00"/>
    <x v="2"/>
    <n v="8"/>
    <n v="59951.7"/>
    <s v="Lalita Alva"/>
    <n v="51"/>
    <s v="Senior Citezen"/>
    <s v="Good"/>
    <x v="6"/>
    <s v="UPI"/>
    <n v="4"/>
    <s v="OnePlus Nord"/>
    <n v="479613.6"/>
    <s v="Good"/>
    <s v="Excellent"/>
  </r>
  <r>
    <s v="Yoge243633"/>
    <n v="3633"/>
    <n v="9"/>
    <n v="8"/>
    <n v="2024"/>
    <d v="2024-08-09T00:00:00"/>
    <s v="August"/>
    <d v="2031-09-19T00:00:00"/>
    <x v="4"/>
    <n v="5"/>
    <n v="52888.639999999999"/>
    <s v="Yogesh Menon"/>
    <n v="24"/>
    <s v="Teenagers"/>
    <s v="Good"/>
    <x v="6"/>
    <s v="Debit Card"/>
    <n v="5"/>
    <s v="iPhone 12"/>
    <n v="264443.2"/>
    <s v="Good"/>
    <s v="Excellent"/>
  </r>
  <r>
    <s v="Kuna453634"/>
    <n v="3634"/>
    <n v="9"/>
    <n v="8"/>
    <n v="2024"/>
    <d v="2024-08-09T00:00:00"/>
    <s v="August"/>
    <d v="2031-09-20T00:00:00"/>
    <x v="1"/>
    <n v="2"/>
    <n v="53814.65"/>
    <s v="Kunal Patel"/>
    <n v="45"/>
    <s v="Adult"/>
    <s v="BAD"/>
    <x v="10"/>
    <s v="Credit Card"/>
    <n v="2"/>
    <s v="Vivo V20"/>
    <n v="107629.3"/>
    <s v="Average"/>
    <s v="Good"/>
  </r>
  <r>
    <s v="Adit273635"/>
    <n v="3635"/>
    <n v="10"/>
    <n v="8"/>
    <n v="2024"/>
    <d v="2024-08-10T00:00:00"/>
    <s v="August"/>
    <d v="2031-09-21T00:00:00"/>
    <x v="0"/>
    <n v="3"/>
    <n v="40748.480000000003"/>
    <s v="Aditya Nair"/>
    <n v="27"/>
    <s v="Teenagers"/>
    <s v="Good"/>
    <x v="11"/>
    <s v="Cash"/>
    <n v="4"/>
    <s v="Redmi Note 10"/>
    <n v="122245.44"/>
    <s v="Good"/>
    <s v="Good"/>
  </r>
  <r>
    <s v="Amit213636"/>
    <n v="3636"/>
    <n v="10"/>
    <n v="8"/>
    <n v="2024"/>
    <d v="2024-08-10T00:00:00"/>
    <s v="August"/>
    <d v="2031-09-22T00:00:00"/>
    <x v="3"/>
    <n v="6"/>
    <n v="52727.08"/>
    <s v="Amit Ahuja"/>
    <n v="21"/>
    <s v="Teenagers"/>
    <s v="AVG"/>
    <x v="16"/>
    <s v="Credit Card"/>
    <n v="3"/>
    <s v="Galaxy S21"/>
    <n v="316362.48"/>
    <s v="Average"/>
    <s v="Excellent"/>
  </r>
  <r>
    <s v="Tanu203637"/>
    <n v="3637"/>
    <n v="10"/>
    <n v="8"/>
    <n v="2024"/>
    <d v="2024-08-10T00:00:00"/>
    <s v="August"/>
    <d v="2031-09-23T00:00:00"/>
    <x v="2"/>
    <n v="5"/>
    <n v="35361.22"/>
    <s v="Tanuja Gupta"/>
    <n v="20"/>
    <s v="Teenagers"/>
    <s v="Good"/>
    <x v="2"/>
    <s v="Debit Card"/>
    <n v="5"/>
    <s v="OnePlus 9"/>
    <n v="176806.1"/>
    <s v="Good"/>
    <s v="Good"/>
  </r>
  <r>
    <s v="Roha423638"/>
    <n v="3638"/>
    <n v="10"/>
    <n v="8"/>
    <n v="2024"/>
    <d v="2024-08-10T00:00:00"/>
    <s v="August"/>
    <d v="2031-09-24T00:00:00"/>
    <x v="1"/>
    <n v="4"/>
    <n v="49089.35"/>
    <s v="Rohan Goyal"/>
    <n v="42"/>
    <s v="Adult"/>
    <s v="Good"/>
    <x v="2"/>
    <s v="UPI"/>
    <n v="4"/>
    <s v="Vivo V20"/>
    <n v="196357.4"/>
    <s v="Good"/>
    <s v="Good"/>
  </r>
  <r>
    <s v="Anit403639"/>
    <n v="3639"/>
    <n v="11"/>
    <n v="8"/>
    <n v="2024"/>
    <d v="2024-08-11T00:00:00"/>
    <s v="August"/>
    <d v="2031-09-25T00:00:00"/>
    <x v="0"/>
    <n v="4"/>
    <n v="25542.35"/>
    <s v="Anita Kulkarni"/>
    <n v="40"/>
    <s v="Adult"/>
    <s v="Good"/>
    <x v="3"/>
    <s v="UPI"/>
    <n v="5"/>
    <s v="Redmi Note 10"/>
    <n v="102169.4"/>
    <s v="Good"/>
    <s v="Good"/>
  </r>
  <r>
    <s v="Mano443640"/>
    <n v="3640"/>
    <n v="11"/>
    <n v="8"/>
    <n v="2024"/>
    <d v="2024-08-11T00:00:00"/>
    <s v="August"/>
    <d v="2031-09-26T00:00:00"/>
    <x v="1"/>
    <n v="5"/>
    <n v="14185.42"/>
    <s v="Manoj Iyer"/>
    <n v="44"/>
    <s v="Adult"/>
    <s v="BAD"/>
    <x v="18"/>
    <s v="UPI"/>
    <n v="2"/>
    <s v="Vivo S1"/>
    <n v="70927.100000000006"/>
    <s v="Average"/>
    <s v="Average"/>
  </r>
  <r>
    <s v="Kavi313641"/>
    <n v="3641"/>
    <n v="11"/>
    <n v="8"/>
    <n v="2024"/>
    <d v="2024-08-11T00:00:00"/>
    <s v="August"/>
    <d v="2031-09-27T00:00:00"/>
    <x v="1"/>
    <n v="2"/>
    <n v="34808.400000000001"/>
    <s v="Kavita Goyal"/>
    <n v="31"/>
    <s v="Adult"/>
    <s v="BAD"/>
    <x v="5"/>
    <s v="Credit Card"/>
    <n v="2"/>
    <s v="Vivo Y51"/>
    <n v="69616.800000000003"/>
    <s v="Average"/>
    <s v="Average"/>
  </r>
  <r>
    <s v="Nikh553642"/>
    <n v="3642"/>
    <n v="12"/>
    <n v="8"/>
    <n v="2024"/>
    <d v="2024-08-12T00:00:00"/>
    <s v="August"/>
    <d v="2031-09-28T00:00:00"/>
    <x v="4"/>
    <n v="9"/>
    <n v="37706.69"/>
    <s v="Nikhil Chaudhary"/>
    <n v="55"/>
    <s v="Senior Citezen"/>
    <s v="Good"/>
    <x v="1"/>
    <s v="Credit Card"/>
    <n v="5"/>
    <s v="iPhone 11"/>
    <n v="339360.21"/>
    <s v="Good"/>
    <s v="Excellent"/>
  </r>
  <r>
    <s v="Suni493643"/>
    <n v="3643"/>
    <n v="12"/>
    <n v="8"/>
    <n v="2024"/>
    <d v="2024-08-12T00:00:00"/>
    <s v="August"/>
    <d v="2031-09-29T00:00:00"/>
    <x v="4"/>
    <n v="2"/>
    <n v="25384.43"/>
    <s v="Sunil Kumar"/>
    <n v="49"/>
    <s v="Senior Citezen"/>
    <s v="Good"/>
    <x v="2"/>
    <s v="Cash"/>
    <n v="5"/>
    <s v="iPhone 12"/>
    <n v="50768.86"/>
    <s v="Good"/>
    <s v="Average"/>
  </r>
  <r>
    <s v="Umes403644"/>
    <n v="3644"/>
    <n v="12"/>
    <n v="8"/>
    <n v="2024"/>
    <d v="2024-08-12T00:00:00"/>
    <s v="August"/>
    <d v="2031-09-30T00:00:00"/>
    <x v="4"/>
    <n v="2"/>
    <n v="53662.57"/>
    <s v="Umesh Srivastava"/>
    <n v="40"/>
    <s v="Adult"/>
    <s v="AVG"/>
    <x v="1"/>
    <s v="Debit Card"/>
    <n v="3"/>
    <s v="iPhone 11"/>
    <n v="107325.14"/>
    <s v="Average"/>
    <s v="Good"/>
  </r>
  <r>
    <s v="Isha573645"/>
    <n v="3645"/>
    <n v="13"/>
    <n v="8"/>
    <n v="2024"/>
    <d v="2024-08-13T00:00:00"/>
    <s v="August"/>
    <d v="2031-10-01T00:00:00"/>
    <x v="0"/>
    <n v="9"/>
    <n v="14413.03"/>
    <s v="Isha Nair"/>
    <n v="57"/>
    <s v="Senior Citezen"/>
    <s v="AVG"/>
    <x v="2"/>
    <s v="Debit Card"/>
    <n v="3"/>
    <s v="Redmi 9"/>
    <n v="129717.27"/>
    <s v="Average"/>
    <s v="Good"/>
  </r>
  <r>
    <s v="Neet543646"/>
    <n v="3646"/>
    <n v="13"/>
    <n v="8"/>
    <n v="2024"/>
    <d v="2024-08-13T00:00:00"/>
    <s v="August"/>
    <d v="2031-10-02T00:00:00"/>
    <x v="1"/>
    <n v="3"/>
    <n v="23364.9"/>
    <s v="Neeta Arora"/>
    <n v="54"/>
    <s v="Senior Citezen"/>
    <s v="Good"/>
    <x v="2"/>
    <s v="Debit Card"/>
    <n v="4"/>
    <s v="Vivo S1"/>
    <n v="70094.700000000012"/>
    <s v="Good"/>
    <s v="Average"/>
  </r>
  <r>
    <s v="Lali203647"/>
    <n v="3647"/>
    <n v="13"/>
    <n v="8"/>
    <n v="2024"/>
    <d v="2024-08-13T00:00:00"/>
    <s v="August"/>
    <d v="2031-10-03T00:00:00"/>
    <x v="3"/>
    <n v="7"/>
    <n v="54913.88"/>
    <s v="Lalita Shah"/>
    <n v="20"/>
    <s v="Teenagers"/>
    <s v="AVG"/>
    <x v="18"/>
    <s v="Credit Card"/>
    <n v="3"/>
    <s v="Galaxy A51"/>
    <n v="384397.16"/>
    <s v="Average"/>
    <s v="Excellent"/>
  </r>
  <r>
    <s v="Anan523648"/>
    <n v="3648"/>
    <n v="14"/>
    <n v="8"/>
    <n v="2024"/>
    <d v="2024-08-14T00:00:00"/>
    <s v="August"/>
    <d v="2031-10-04T00:00:00"/>
    <x v="2"/>
    <n v="4"/>
    <n v="36227.46"/>
    <s v="Anand Thakur"/>
    <n v="52"/>
    <s v="Senior Citezen"/>
    <s v="Good"/>
    <x v="13"/>
    <s v="UPI"/>
    <n v="5"/>
    <s v="OnePlus 8T"/>
    <n v="144909.84"/>
    <s v="Good"/>
    <s v="Good"/>
  </r>
  <r>
    <s v="Vino303649"/>
    <n v="3649"/>
    <n v="14"/>
    <n v="8"/>
    <n v="2024"/>
    <d v="2024-08-14T00:00:00"/>
    <s v="August"/>
    <d v="2031-10-05T00:00:00"/>
    <x v="4"/>
    <n v="6"/>
    <n v="52317.02"/>
    <s v="Vinod Pathak"/>
    <n v="30"/>
    <s v="Teenagers"/>
    <s v="BAD"/>
    <x v="1"/>
    <s v="Debit Card"/>
    <n v="2"/>
    <s v="iPhone 11"/>
    <n v="313902.12"/>
    <s v="Average"/>
    <s v="Excellent"/>
  </r>
  <r>
    <s v="Ravi513650"/>
    <n v="3650"/>
    <n v="14"/>
    <n v="8"/>
    <n v="2024"/>
    <d v="2024-08-14T00:00:00"/>
    <s v="August"/>
    <d v="2031-10-06T00:00:00"/>
    <x v="4"/>
    <n v="4"/>
    <n v="44049.15"/>
    <s v="Ravi Siddiqui"/>
    <n v="51"/>
    <s v="Senior Citezen"/>
    <s v="Good"/>
    <x v="9"/>
    <s v="Cash"/>
    <n v="5"/>
    <s v="iPhone 11"/>
    <n v="176196.6"/>
    <s v="Good"/>
    <s v="Good"/>
  </r>
  <r>
    <s v="Lata413651"/>
    <n v="3651"/>
    <n v="15"/>
    <n v="8"/>
    <n v="2024"/>
    <d v="2024-08-15T00:00:00"/>
    <s v="August"/>
    <d v="2031-10-07T00:00:00"/>
    <x v="1"/>
    <n v="7"/>
    <n v="67042.759999999995"/>
    <s v="Lata Verma"/>
    <n v="41"/>
    <s v="Adult"/>
    <s v="Good"/>
    <x v="2"/>
    <s v="Credit Card"/>
    <n v="5"/>
    <s v="Vivo V20"/>
    <n v="469299.31999999995"/>
    <s v="Good"/>
    <s v="Excellent"/>
  </r>
  <r>
    <s v="Anan183652"/>
    <n v="3652"/>
    <n v="15"/>
    <n v="8"/>
    <n v="2024"/>
    <d v="2024-08-15T00:00:00"/>
    <s v="August"/>
    <d v="2031-10-08T00:00:00"/>
    <x v="1"/>
    <n v="1"/>
    <n v="45867.75"/>
    <s v="Anand Mehta"/>
    <n v="18"/>
    <s v="Teenagers"/>
    <s v="BAD"/>
    <x v="11"/>
    <s v="UPI"/>
    <n v="2"/>
    <s v="Vivo S1"/>
    <n v="45867.75"/>
    <s v="Average"/>
    <s v="Low"/>
  </r>
  <r>
    <s v="Meen293653"/>
    <n v="3653"/>
    <n v="15"/>
    <n v="8"/>
    <n v="2024"/>
    <d v="2024-08-15T00:00:00"/>
    <s v="August"/>
    <d v="2031-10-09T00:00:00"/>
    <x v="0"/>
    <n v="3"/>
    <n v="10892.14"/>
    <s v="Meena Sheth"/>
    <n v="29"/>
    <s v="Teenagers"/>
    <s v="Good"/>
    <x v="1"/>
    <s v="Debit Card"/>
    <n v="5"/>
    <s v="Redmi 9"/>
    <n v="32676.42"/>
    <s v="Good"/>
    <s v="Low"/>
  </r>
  <r>
    <s v="Deve253654"/>
    <n v="3654"/>
    <n v="15"/>
    <n v="8"/>
    <n v="2024"/>
    <d v="2024-08-15T00:00:00"/>
    <s v="August"/>
    <d v="2031-10-10T00:00:00"/>
    <x v="0"/>
    <n v="3"/>
    <n v="31172.639999999999"/>
    <s v="Devendra Yadav"/>
    <n v="25"/>
    <s v="Teenagers"/>
    <s v="AVG"/>
    <x v="1"/>
    <s v="UPI"/>
    <n v="3"/>
    <s v="Redmi Note 10"/>
    <n v="93517.92"/>
    <s v="Average"/>
    <s v="Average"/>
  </r>
  <r>
    <s v="Vive363655"/>
    <n v="3655"/>
    <n v="16"/>
    <n v="8"/>
    <n v="2024"/>
    <d v="2024-08-16T00:00:00"/>
    <s v="August"/>
    <d v="2031-10-11T00:00:00"/>
    <x v="4"/>
    <n v="1"/>
    <n v="18583.64"/>
    <s v="Vivek Srivastava"/>
    <n v="36"/>
    <s v="Adult"/>
    <s v="Good"/>
    <x v="1"/>
    <s v="Cash"/>
    <n v="4"/>
    <s v="iPhone 11"/>
    <n v="18583.64"/>
    <s v="Good"/>
    <s v="Low"/>
  </r>
  <r>
    <s v="Bhav263656"/>
    <n v="3656"/>
    <n v="16"/>
    <n v="8"/>
    <n v="2024"/>
    <d v="2024-08-16T00:00:00"/>
    <s v="August"/>
    <d v="2031-10-12T00:00:00"/>
    <x v="1"/>
    <n v="6"/>
    <n v="65478.02"/>
    <s v="Bhavana Kapoor"/>
    <n v="26"/>
    <s v="Teenagers"/>
    <s v="Good"/>
    <x v="3"/>
    <s v="Debit Card"/>
    <n v="4"/>
    <s v="Vivo S1"/>
    <n v="392868.12"/>
    <s v="Good"/>
    <s v="Excellent"/>
  </r>
  <r>
    <s v="Tapa453657"/>
    <n v="3657"/>
    <n v="16"/>
    <n v="8"/>
    <n v="2024"/>
    <d v="2024-08-16T00:00:00"/>
    <s v="August"/>
    <d v="2031-10-13T00:00:00"/>
    <x v="3"/>
    <n v="9"/>
    <n v="16240.75"/>
    <s v="Tapan Ahuja"/>
    <n v="45"/>
    <s v="Adult"/>
    <s v="Good"/>
    <x v="2"/>
    <s v="Debit Card"/>
    <n v="5"/>
    <s v="Galaxy Note 20"/>
    <n v="146166.75"/>
    <s v="Good"/>
    <s v="Good"/>
  </r>
  <r>
    <s v="Lali313658"/>
    <n v="3658"/>
    <n v="17"/>
    <n v="8"/>
    <n v="2024"/>
    <d v="2024-08-17T00:00:00"/>
    <s v="August"/>
    <d v="2031-10-14T00:00:00"/>
    <x v="2"/>
    <n v="8"/>
    <n v="33262.400000000001"/>
    <s v="Lalita Shah"/>
    <n v="31"/>
    <s v="Adult"/>
    <s v="BAD"/>
    <x v="6"/>
    <s v="UPI"/>
    <n v="2"/>
    <s v="OnePlus 9"/>
    <n v="266099.20000000001"/>
    <s v="Average"/>
    <s v="Excellent"/>
  </r>
  <r>
    <s v="Roha443659"/>
    <n v="3659"/>
    <n v="17"/>
    <n v="8"/>
    <n v="2024"/>
    <d v="2024-08-17T00:00:00"/>
    <s v="August"/>
    <d v="2031-10-15T00:00:00"/>
    <x v="1"/>
    <n v="7"/>
    <n v="23565.95"/>
    <s v="Rohan Sheth"/>
    <n v="44"/>
    <s v="Adult"/>
    <s v="Good"/>
    <x v="16"/>
    <s v="Credit Card"/>
    <n v="5"/>
    <s v="Vivo Y51"/>
    <n v="164961.65"/>
    <s v="Good"/>
    <s v="Good"/>
  </r>
  <r>
    <s v="Ravi353660"/>
    <n v="3660"/>
    <n v="17"/>
    <n v="8"/>
    <n v="2024"/>
    <d v="2024-08-17T00:00:00"/>
    <s v="August"/>
    <d v="2031-10-16T00:00:00"/>
    <x v="1"/>
    <n v="8"/>
    <n v="60803.32"/>
    <s v="Ravi Kaur"/>
    <n v="35"/>
    <s v="Adult"/>
    <s v="Good"/>
    <x v="4"/>
    <s v="UPI"/>
    <n v="5"/>
    <s v="Vivo V20"/>
    <n v="486426.56"/>
    <s v="Good"/>
    <s v="Excellent"/>
  </r>
  <r>
    <s v="Pooj593661"/>
    <n v="3661"/>
    <n v="18"/>
    <n v="8"/>
    <n v="2024"/>
    <d v="2024-08-18T00:00:00"/>
    <s v="August"/>
    <d v="2031-10-17T00:00:00"/>
    <x v="0"/>
    <n v="6"/>
    <n v="28513.99"/>
    <s v="Pooja Deshmukh"/>
    <n v="59"/>
    <s v="Senior Citezen"/>
    <s v="Good"/>
    <x v="1"/>
    <s v="Cash"/>
    <n v="5"/>
    <s v="Mi 11"/>
    <n v="171083.94"/>
    <s v="Good"/>
    <s v="Good"/>
  </r>
  <r>
    <s v="Sneh583662"/>
    <n v="3662"/>
    <n v="18"/>
    <n v="8"/>
    <n v="2024"/>
    <d v="2024-08-18T00:00:00"/>
    <s v="August"/>
    <d v="2031-10-18T00:00:00"/>
    <x v="2"/>
    <n v="9"/>
    <n v="69513.61"/>
    <s v="Sneha Reddy"/>
    <n v="58"/>
    <s v="Senior Citezen"/>
    <s v="Good"/>
    <x v="1"/>
    <s v="UPI"/>
    <n v="5"/>
    <s v="OnePlus 9"/>
    <n v="625622.49"/>
    <s v="Good"/>
    <s v="Excellent"/>
  </r>
  <r>
    <s v="Adit233663"/>
    <n v="3663"/>
    <n v="18"/>
    <n v="8"/>
    <n v="2024"/>
    <d v="2024-08-18T00:00:00"/>
    <s v="August"/>
    <d v="2031-10-19T00:00:00"/>
    <x v="4"/>
    <n v="3"/>
    <n v="12317"/>
    <s v="Aditya Joshi"/>
    <n v="23"/>
    <s v="Teenagers"/>
    <s v="Good"/>
    <x v="2"/>
    <s v="UPI"/>
    <n v="4"/>
    <s v="iPhone SE"/>
    <n v="36951"/>
    <s v="Good"/>
    <s v="Low"/>
  </r>
  <r>
    <s v="Lata503664"/>
    <n v="3664"/>
    <n v="18"/>
    <n v="8"/>
    <n v="2024"/>
    <d v="2024-08-18T00:00:00"/>
    <s v="August"/>
    <d v="2031-10-20T00:00:00"/>
    <x v="1"/>
    <n v="9"/>
    <n v="17696.61"/>
    <s v="Lata Shah"/>
    <n v="50"/>
    <s v="Senior Citezen"/>
    <s v="Good"/>
    <x v="14"/>
    <s v="Debit Card"/>
    <n v="4"/>
    <s v="Vivo V20"/>
    <n v="159269.49"/>
    <s v="Good"/>
    <s v="Good"/>
  </r>
  <r>
    <s v="Priy543665"/>
    <n v="3665"/>
    <n v="19"/>
    <n v="8"/>
    <n v="2024"/>
    <d v="2024-08-19T00:00:00"/>
    <s v="August"/>
    <d v="2031-10-21T00:00:00"/>
    <x v="4"/>
    <n v="4"/>
    <n v="23478.33"/>
    <s v="Priya Varma"/>
    <n v="54"/>
    <s v="Senior Citezen"/>
    <s v="Good"/>
    <x v="18"/>
    <s v="Credit Card"/>
    <n v="5"/>
    <s v="iPhone 11"/>
    <n v="93913.32"/>
    <s v="Good"/>
    <s v="Average"/>
  </r>
  <r>
    <s v="Deep593666"/>
    <n v="3666"/>
    <n v="19"/>
    <n v="8"/>
    <n v="2024"/>
    <d v="2024-08-19T00:00:00"/>
    <s v="August"/>
    <d v="2031-10-22T00:00:00"/>
    <x v="1"/>
    <n v="7"/>
    <n v="58666.36"/>
    <s v="Deepika Deshmukh"/>
    <n v="59"/>
    <s v="Senior Citezen"/>
    <s v="BAD"/>
    <x v="7"/>
    <s v="Credit Card"/>
    <n v="2"/>
    <s v="Vivo S1"/>
    <n v="410664.52"/>
    <s v="Average"/>
    <s v="Excellent"/>
  </r>
  <r>
    <s v="Umes423667"/>
    <n v="3667"/>
    <n v="19"/>
    <n v="8"/>
    <n v="2024"/>
    <d v="2024-08-19T00:00:00"/>
    <s v="August"/>
    <d v="2031-10-23T00:00:00"/>
    <x v="4"/>
    <n v="9"/>
    <n v="62711.03"/>
    <s v="Umesh Kaur"/>
    <n v="42"/>
    <s v="Adult"/>
    <s v="Good"/>
    <x v="1"/>
    <s v="Credit Card"/>
    <n v="5"/>
    <s v="iPhone 11"/>
    <n v="564399.27"/>
    <s v="Good"/>
    <s v="Excellent"/>
  </r>
  <r>
    <s v="Sach303668"/>
    <n v="3668"/>
    <n v="20"/>
    <n v="8"/>
    <n v="2024"/>
    <d v="2024-08-20T00:00:00"/>
    <s v="August"/>
    <d v="2031-10-24T00:00:00"/>
    <x v="2"/>
    <n v="2"/>
    <n v="14287.08"/>
    <s v="Sachin Sheth"/>
    <n v="30"/>
    <s v="Teenagers"/>
    <s v="AVG"/>
    <x v="2"/>
    <s v="Credit Card"/>
    <n v="3"/>
    <s v="OnePlus 8T"/>
    <n v="28574.16"/>
    <s v="Average"/>
    <s v="Low"/>
  </r>
  <r>
    <s v="Umes403669"/>
    <n v="3669"/>
    <n v="20"/>
    <n v="8"/>
    <n v="2024"/>
    <d v="2024-08-20T00:00:00"/>
    <s v="August"/>
    <d v="2031-10-25T00:00:00"/>
    <x v="0"/>
    <n v="2"/>
    <n v="11947.61"/>
    <s v="Umesh Ghosh"/>
    <n v="40"/>
    <s v="Adult"/>
    <s v="Good"/>
    <x v="5"/>
    <s v="UPI"/>
    <n v="4"/>
    <s v="Redmi Note 10"/>
    <n v="23895.22"/>
    <s v="Good"/>
    <s v="Low"/>
  </r>
  <r>
    <s v="Sumi533670"/>
    <n v="3670"/>
    <n v="20"/>
    <n v="8"/>
    <n v="2024"/>
    <d v="2024-08-20T00:00:00"/>
    <s v="August"/>
    <d v="2031-10-26T00:00:00"/>
    <x v="2"/>
    <n v="9"/>
    <n v="54673.41"/>
    <s v="Sumit Rathod"/>
    <n v="53"/>
    <s v="Senior Citezen"/>
    <s v="Good"/>
    <x v="1"/>
    <s v="Debit Card"/>
    <n v="4"/>
    <s v="OnePlus 9"/>
    <n v="492060.69000000006"/>
    <s v="Good"/>
    <s v="Excellent"/>
  </r>
  <r>
    <s v="Vija503671"/>
    <n v="3671"/>
    <n v="21"/>
    <n v="8"/>
    <n v="2024"/>
    <d v="2024-08-21T00:00:00"/>
    <s v="August"/>
    <d v="2031-10-27T00:00:00"/>
    <x v="3"/>
    <n v="3"/>
    <n v="18001.12"/>
    <s v="Vijay Varma"/>
    <n v="50"/>
    <s v="Senior Citezen"/>
    <s v="Good"/>
    <x v="5"/>
    <s v="Debit Card"/>
    <n v="4"/>
    <s v="Galaxy Note 20"/>
    <n v="54003.360000000001"/>
    <s v="Good"/>
    <s v="Average"/>
  </r>
  <r>
    <s v="Priy383672"/>
    <n v="3672"/>
    <n v="21"/>
    <n v="8"/>
    <n v="2024"/>
    <d v="2024-08-21T00:00:00"/>
    <s v="August"/>
    <d v="2031-10-28T00:00:00"/>
    <x v="0"/>
    <n v="9"/>
    <n v="17979.919999999998"/>
    <s v="Priyanka Roy"/>
    <n v="38"/>
    <s v="Adult"/>
    <s v="BAD"/>
    <x v="2"/>
    <s v="Credit Card"/>
    <n v="2"/>
    <s v="Redmi Note 10"/>
    <n v="161819.27999999997"/>
    <s v="Average"/>
    <s v="Good"/>
  </r>
  <r>
    <s v="Mano513673"/>
    <n v="3673"/>
    <n v="21"/>
    <n v="8"/>
    <n v="2024"/>
    <d v="2024-08-21T00:00:00"/>
    <s v="August"/>
    <d v="2031-10-29T00:00:00"/>
    <x v="2"/>
    <n v="5"/>
    <n v="11341.99"/>
    <s v="Manoj Mehta"/>
    <n v="51"/>
    <s v="Senior Citezen"/>
    <s v="Good"/>
    <x v="17"/>
    <s v="UPI"/>
    <n v="5"/>
    <s v="OnePlus 8T"/>
    <n v="56709.95"/>
    <s v="Good"/>
    <s v="Average"/>
  </r>
  <r>
    <s v="Pooj533674"/>
    <n v="3674"/>
    <n v="22"/>
    <n v="8"/>
    <n v="2024"/>
    <d v="2024-08-22T00:00:00"/>
    <s v="August"/>
    <d v="2031-10-30T00:00:00"/>
    <x v="3"/>
    <n v="6"/>
    <n v="12988.47"/>
    <s v="Pooja Rao"/>
    <n v="53"/>
    <s v="Senior Citezen"/>
    <s v="BAD"/>
    <x v="2"/>
    <s v="Credit Card"/>
    <n v="2"/>
    <s v="Galaxy S21"/>
    <n v="77930.819999999992"/>
    <s v="Average"/>
    <s v="Average"/>
  </r>
  <r>
    <s v="Tanu343675"/>
    <n v="3675"/>
    <n v="22"/>
    <n v="8"/>
    <n v="2024"/>
    <d v="2024-08-22T00:00:00"/>
    <s v="August"/>
    <d v="2031-10-31T00:00:00"/>
    <x v="1"/>
    <n v="2"/>
    <n v="25820.53"/>
    <s v="Tanuja Ahuja"/>
    <n v="34"/>
    <s v="Adult"/>
    <s v="Good"/>
    <x v="3"/>
    <s v="Credit Card"/>
    <n v="4"/>
    <s v="Vivo V20"/>
    <n v="51641.06"/>
    <s v="Good"/>
    <s v="Average"/>
  </r>
  <r>
    <s v="Bhav273676"/>
    <n v="3676"/>
    <n v="22"/>
    <n v="8"/>
    <n v="2024"/>
    <d v="2024-08-22T00:00:00"/>
    <s v="August"/>
    <d v="2031-11-01T00:00:00"/>
    <x v="1"/>
    <n v="8"/>
    <n v="13900.33"/>
    <s v="Bhavana Srivastava"/>
    <n v="27"/>
    <s v="Teenagers"/>
    <s v="Good"/>
    <x v="9"/>
    <s v="Debit Card"/>
    <n v="5"/>
    <s v="Vivo Y51"/>
    <n v="111202.64"/>
    <s v="Good"/>
    <s v="Good"/>
  </r>
  <r>
    <s v="Gita403677"/>
    <n v="3677"/>
    <n v="23"/>
    <n v="8"/>
    <n v="2024"/>
    <d v="2024-08-23T00:00:00"/>
    <s v="August"/>
    <d v="2031-11-02T00:00:00"/>
    <x v="4"/>
    <n v="9"/>
    <n v="32132.75"/>
    <s v="Gita Bhattacharya"/>
    <n v="40"/>
    <s v="Adult"/>
    <s v="Good"/>
    <x v="1"/>
    <s v="Debit Card"/>
    <n v="4"/>
    <s v="iPhone SE"/>
    <n v="289194.75"/>
    <s v="Good"/>
    <s v="Excellent"/>
  </r>
  <r>
    <s v="Umes193678"/>
    <n v="3678"/>
    <n v="23"/>
    <n v="8"/>
    <n v="2024"/>
    <d v="2024-08-23T00:00:00"/>
    <s v="August"/>
    <d v="2031-11-03T00:00:00"/>
    <x v="0"/>
    <n v="2"/>
    <n v="59966.5"/>
    <s v="Umesh Patel"/>
    <n v="19"/>
    <s v="Teenagers"/>
    <s v="Good"/>
    <x v="0"/>
    <s v="Credit Card"/>
    <n v="5"/>
    <s v="Redmi Note 10"/>
    <n v="119933"/>
    <s v="Good"/>
    <s v="Good"/>
  </r>
  <r>
    <s v="Arun523679"/>
    <n v="3679"/>
    <n v="23"/>
    <n v="8"/>
    <n v="2024"/>
    <d v="2024-08-23T00:00:00"/>
    <s v="August"/>
    <d v="2031-11-04T00:00:00"/>
    <x v="1"/>
    <n v="6"/>
    <n v="29579.22"/>
    <s v="Arun Shah"/>
    <n v="52"/>
    <s v="Senior Citezen"/>
    <s v="Good"/>
    <x v="17"/>
    <s v="UPI"/>
    <n v="5"/>
    <s v="Vivo Y51"/>
    <n v="177475.32"/>
    <s v="Good"/>
    <s v="Good"/>
  </r>
  <r>
    <s v="Kuna313680"/>
    <n v="3680"/>
    <n v="24"/>
    <n v="8"/>
    <n v="2024"/>
    <d v="2024-08-24T00:00:00"/>
    <s v="August"/>
    <d v="2031-11-05T00:00:00"/>
    <x v="0"/>
    <n v="6"/>
    <n v="53670.05"/>
    <s v="Kunal Deshmukh"/>
    <n v="31"/>
    <s v="Adult"/>
    <s v="Good"/>
    <x v="12"/>
    <s v="Credit Card"/>
    <n v="4"/>
    <s v="Redmi 9"/>
    <n v="322020.30000000005"/>
    <s v="Good"/>
    <s v="Excellent"/>
  </r>
  <r>
    <s v="Roha583681"/>
    <n v="3681"/>
    <n v="24"/>
    <n v="8"/>
    <n v="2024"/>
    <d v="2024-08-24T00:00:00"/>
    <s v="August"/>
    <d v="2031-11-06T00:00:00"/>
    <x v="1"/>
    <n v="8"/>
    <n v="15634.6"/>
    <s v="Rohan Pathak"/>
    <n v="58"/>
    <s v="Senior Citezen"/>
    <s v="Good"/>
    <x v="1"/>
    <s v="Debit Card"/>
    <n v="4"/>
    <s v="Vivo V20"/>
    <n v="125076.8"/>
    <s v="Good"/>
    <s v="Good"/>
  </r>
  <r>
    <s v="Radh193682"/>
    <n v="3682"/>
    <n v="24"/>
    <n v="8"/>
    <n v="2024"/>
    <d v="2024-08-24T00:00:00"/>
    <s v="August"/>
    <d v="2031-11-07T00:00:00"/>
    <x v="4"/>
    <n v="5"/>
    <n v="49562.51"/>
    <s v="Radha Bhatnagar"/>
    <n v="19"/>
    <s v="Teenagers"/>
    <s v="Good"/>
    <x v="18"/>
    <s v="Debit Card"/>
    <n v="5"/>
    <s v="iPhone 12"/>
    <n v="247812.55000000002"/>
    <s v="Good"/>
    <s v="Excellent"/>
  </r>
  <r>
    <s v="Raje363683"/>
    <n v="3683"/>
    <n v="24"/>
    <n v="8"/>
    <n v="2024"/>
    <d v="2024-08-24T00:00:00"/>
    <s v="August"/>
    <d v="2031-11-08T00:00:00"/>
    <x v="2"/>
    <n v="9"/>
    <n v="29004.83"/>
    <s v="Rajesh Desai"/>
    <n v="36"/>
    <s v="Adult"/>
    <s v="BAD"/>
    <x v="2"/>
    <s v="UPI"/>
    <n v="2"/>
    <s v="OnePlus 8T"/>
    <n v="261043.47000000003"/>
    <s v="Average"/>
    <s v="Excellent"/>
  </r>
  <r>
    <s v="Nikh333684"/>
    <n v="3684"/>
    <n v="25"/>
    <n v="8"/>
    <n v="2024"/>
    <d v="2024-08-25T00:00:00"/>
    <s v="August"/>
    <d v="2031-11-09T00:00:00"/>
    <x v="4"/>
    <n v="1"/>
    <n v="54985.17"/>
    <s v="Nikhil Bhattacharya"/>
    <n v="33"/>
    <s v="Adult"/>
    <s v="BAD"/>
    <x v="7"/>
    <s v="Credit Card"/>
    <n v="2"/>
    <s v="iPhone 12"/>
    <n v="54985.17"/>
    <s v="Average"/>
    <s v="Average"/>
  </r>
  <r>
    <s v="Roha423685"/>
    <n v="3685"/>
    <n v="25"/>
    <n v="8"/>
    <n v="2024"/>
    <d v="2024-08-25T00:00:00"/>
    <s v="August"/>
    <d v="2031-11-10T00:00:00"/>
    <x v="3"/>
    <n v="9"/>
    <n v="18175.12"/>
    <s v="Rohan Deshmukh"/>
    <n v="42"/>
    <s v="Adult"/>
    <s v="BAD"/>
    <x v="2"/>
    <s v="Credit Card"/>
    <n v="2"/>
    <s v="Galaxy Note 20"/>
    <n v="163576.07999999999"/>
    <s v="Average"/>
    <s v="Good"/>
  </r>
  <r>
    <s v="Anan183686"/>
    <n v="3686"/>
    <n v="25"/>
    <n v="8"/>
    <n v="2024"/>
    <d v="2024-08-25T00:00:00"/>
    <s v="August"/>
    <d v="2031-11-11T00:00:00"/>
    <x v="1"/>
    <n v="7"/>
    <n v="63873"/>
    <s v="Anand Thakur"/>
    <n v="18"/>
    <s v="Teenagers"/>
    <s v="AVG"/>
    <x v="17"/>
    <s v="Cash"/>
    <n v="3"/>
    <s v="Vivo Y51"/>
    <n v="447111"/>
    <s v="Average"/>
    <s v="Excellent"/>
  </r>
  <r>
    <s v="Sneh193687"/>
    <n v="3687"/>
    <n v="26"/>
    <n v="8"/>
    <n v="2024"/>
    <d v="2024-08-26T00:00:00"/>
    <s v="August"/>
    <d v="2031-11-12T00:00:00"/>
    <x v="3"/>
    <n v="4"/>
    <n v="24554.63"/>
    <s v="Sneha Teja"/>
    <n v="19"/>
    <s v="Teenagers"/>
    <s v="Good"/>
    <x v="1"/>
    <s v="Credit Card"/>
    <n v="5"/>
    <s v="Galaxy S21"/>
    <n v="98218.52"/>
    <s v="Good"/>
    <s v="Average"/>
  </r>
  <r>
    <s v="Raje443688"/>
    <n v="3688"/>
    <n v="26"/>
    <n v="8"/>
    <n v="2024"/>
    <d v="2024-08-26T00:00:00"/>
    <s v="August"/>
    <d v="2031-11-13T00:00:00"/>
    <x v="3"/>
    <n v="3"/>
    <n v="31188.27"/>
    <s v="Rajesh Mathur"/>
    <n v="44"/>
    <s v="Adult"/>
    <s v="AVG"/>
    <x v="1"/>
    <s v="UPI"/>
    <n v="3"/>
    <s v="Galaxy A51"/>
    <n v="93564.81"/>
    <s v="Average"/>
    <s v="Average"/>
  </r>
  <r>
    <s v="Amit193689"/>
    <n v="3689"/>
    <n v="26"/>
    <n v="8"/>
    <n v="2024"/>
    <d v="2024-08-26T00:00:00"/>
    <s v="August"/>
    <d v="2031-11-14T00:00:00"/>
    <x v="0"/>
    <n v="6"/>
    <n v="67010.84"/>
    <s v="Amit Pillai"/>
    <n v="19"/>
    <s v="Teenagers"/>
    <s v="AVG"/>
    <x v="1"/>
    <s v="Debit Card"/>
    <n v="3"/>
    <s v="Redmi Note 10"/>
    <n v="402065.04"/>
    <s v="Average"/>
    <s v="Excellent"/>
  </r>
  <r>
    <s v="Pank473690"/>
    <n v="3690"/>
    <n v="27"/>
    <n v="8"/>
    <n v="2024"/>
    <d v="2024-08-27T00:00:00"/>
    <s v="August"/>
    <d v="2031-11-15T00:00:00"/>
    <x v="1"/>
    <n v="1"/>
    <n v="44708.94"/>
    <s v="Pankaj Varma"/>
    <n v="47"/>
    <s v="Senior Citezen"/>
    <s v="Good"/>
    <x v="2"/>
    <s v="Cash"/>
    <n v="5"/>
    <s v="Vivo S1"/>
    <n v="44708.94"/>
    <s v="Good"/>
    <s v="Low"/>
  </r>
  <r>
    <s v="Pank273691"/>
    <n v="3691"/>
    <n v="27"/>
    <n v="8"/>
    <n v="2024"/>
    <d v="2024-08-27T00:00:00"/>
    <s v="August"/>
    <d v="2031-11-16T00:00:00"/>
    <x v="3"/>
    <n v="3"/>
    <n v="31946.29"/>
    <s v="Pankaj Pathak"/>
    <n v="27"/>
    <s v="Teenagers"/>
    <s v="AVG"/>
    <x v="17"/>
    <s v="UPI"/>
    <n v="3"/>
    <s v="Galaxy S21"/>
    <n v="95838.87"/>
    <s v="Average"/>
    <s v="Average"/>
  </r>
  <r>
    <s v="Anan363692"/>
    <n v="3692"/>
    <n v="27"/>
    <n v="8"/>
    <n v="2024"/>
    <d v="2024-08-27T00:00:00"/>
    <s v="August"/>
    <d v="2031-11-17T00:00:00"/>
    <x v="2"/>
    <n v="2"/>
    <n v="66976.13"/>
    <s v="Anand Reddy"/>
    <n v="36"/>
    <s v="Adult"/>
    <s v="Good"/>
    <x v="0"/>
    <s v="UPI"/>
    <n v="5"/>
    <s v="OnePlus Nord"/>
    <n v="133952.26"/>
    <s v="Good"/>
    <s v="Good"/>
  </r>
  <r>
    <s v="Roha593693"/>
    <n v="3693"/>
    <n v="28"/>
    <n v="8"/>
    <n v="2024"/>
    <d v="2024-08-28T00:00:00"/>
    <s v="August"/>
    <d v="2031-11-18T00:00:00"/>
    <x v="3"/>
    <n v="9"/>
    <n v="29744.65"/>
    <s v="Rohan Kapoor"/>
    <n v="59"/>
    <s v="Senior Citezen"/>
    <s v="Good"/>
    <x v="9"/>
    <s v="Cash"/>
    <n v="5"/>
    <s v="Galaxy S21"/>
    <n v="267701.85000000003"/>
    <s v="Good"/>
    <s v="Excellent"/>
  </r>
  <r>
    <s v="Tanu333694"/>
    <n v="3694"/>
    <n v="28"/>
    <n v="8"/>
    <n v="2024"/>
    <d v="2024-08-28T00:00:00"/>
    <s v="August"/>
    <d v="2031-11-19T00:00:00"/>
    <x v="2"/>
    <n v="3"/>
    <n v="15692.24"/>
    <s v="Tanuja Bhattacharya"/>
    <n v="33"/>
    <s v="Adult"/>
    <s v="Good"/>
    <x v="1"/>
    <s v="Credit Card"/>
    <n v="5"/>
    <s v="OnePlus Nord"/>
    <n v="47076.72"/>
    <s v="Good"/>
    <s v="Low"/>
  </r>
  <r>
    <s v="Adit303695"/>
    <n v="3695"/>
    <n v="28"/>
    <n v="8"/>
    <n v="2024"/>
    <d v="2024-08-28T00:00:00"/>
    <s v="August"/>
    <d v="2031-11-20T00:00:00"/>
    <x v="0"/>
    <n v="2"/>
    <n v="69810.929999999993"/>
    <s v="Aditya Deshmukh"/>
    <n v="30"/>
    <s v="Teenagers"/>
    <s v="Good"/>
    <x v="8"/>
    <s v="Cash"/>
    <n v="5"/>
    <s v="Redmi 9"/>
    <n v="139621.85999999999"/>
    <s v="Good"/>
    <s v="Good"/>
  </r>
  <r>
    <s v="Shru253696"/>
    <n v="3696"/>
    <n v="29"/>
    <n v="8"/>
    <n v="2024"/>
    <d v="2024-08-29T00:00:00"/>
    <s v="August"/>
    <d v="2031-11-21T00:00:00"/>
    <x v="3"/>
    <n v="4"/>
    <n v="26070.7"/>
    <s v="Shruti Menon"/>
    <n v="25"/>
    <s v="Teenagers"/>
    <s v="Good"/>
    <x v="2"/>
    <s v="UPI"/>
    <n v="5"/>
    <s v="Galaxy S21"/>
    <n v="104282.8"/>
    <s v="Good"/>
    <s v="Good"/>
  </r>
  <r>
    <s v="Sumi483697"/>
    <n v="3697"/>
    <n v="29"/>
    <n v="8"/>
    <n v="2024"/>
    <d v="2024-08-29T00:00:00"/>
    <s v="August"/>
    <d v="2031-11-22T00:00:00"/>
    <x v="4"/>
    <n v="2"/>
    <n v="61075.47"/>
    <s v="Sumit Joshi"/>
    <n v="48"/>
    <s v="Senior Citezen"/>
    <s v="Good"/>
    <x v="2"/>
    <s v="Credit Card"/>
    <n v="5"/>
    <s v="iPhone 12"/>
    <n v="122150.94"/>
    <s v="Good"/>
    <s v="Good"/>
  </r>
  <r>
    <s v="Nami423698"/>
    <n v="3698"/>
    <n v="29"/>
    <n v="8"/>
    <n v="2024"/>
    <d v="2024-08-29T00:00:00"/>
    <s v="August"/>
    <d v="2031-11-23T00:00:00"/>
    <x v="0"/>
    <n v="1"/>
    <n v="19932.45"/>
    <s v="Namita Desai"/>
    <n v="42"/>
    <s v="Adult"/>
    <s v="BAD"/>
    <x v="2"/>
    <s v="Debit Card"/>
    <n v="2"/>
    <s v="Mi 11"/>
    <n v="19932.45"/>
    <s v="Average"/>
    <s v="Low"/>
  </r>
  <r>
    <s v="Ravi563699"/>
    <n v="3699"/>
    <n v="30"/>
    <n v="8"/>
    <n v="2024"/>
    <d v="2024-08-30T00:00:00"/>
    <s v="August"/>
    <d v="2031-11-24T00:00:00"/>
    <x v="2"/>
    <n v="6"/>
    <n v="53881.24"/>
    <s v="Ravi Thakur"/>
    <n v="56"/>
    <s v="Senior Citezen"/>
    <s v="Good"/>
    <x v="3"/>
    <s v="Cash"/>
    <n v="5"/>
    <s v="OnePlus Nord"/>
    <n v="323287.44"/>
    <s v="Good"/>
    <s v="Excellent"/>
  </r>
  <r>
    <s v="Nikh383700"/>
    <n v="3700"/>
    <n v="30"/>
    <n v="8"/>
    <n v="2024"/>
    <d v="2024-08-30T00:00:00"/>
    <s v="August"/>
    <d v="2031-11-25T00:00:00"/>
    <x v="0"/>
    <n v="8"/>
    <n v="41466.959999999999"/>
    <s v="Nikhil Menon"/>
    <n v="38"/>
    <s v="Adult"/>
    <s v="Good"/>
    <x v="16"/>
    <s v="UPI"/>
    <n v="4"/>
    <s v="Redmi Note 10"/>
    <n v="331735.67999999999"/>
    <s v="Good"/>
    <s v="Excellent"/>
  </r>
  <r>
    <s v="Arun553701"/>
    <n v="3701"/>
    <n v="30"/>
    <n v="8"/>
    <n v="2024"/>
    <d v="2024-08-30T00:00:00"/>
    <s v="August"/>
    <d v="2031-11-26T00:00:00"/>
    <x v="3"/>
    <n v="2"/>
    <n v="68854.39"/>
    <s v="Arun Gupta"/>
    <n v="55"/>
    <s v="Senior Citezen"/>
    <s v="Good"/>
    <x v="1"/>
    <s v="Credit Card"/>
    <n v="5"/>
    <s v="Galaxy Note 20"/>
    <n v="137708.78"/>
    <s v="Good"/>
    <s v="Good"/>
  </r>
  <r>
    <s v="Lali583702"/>
    <n v="3702"/>
    <n v="30"/>
    <n v="8"/>
    <n v="2024"/>
    <d v="2024-08-30T00:00:00"/>
    <s v="August"/>
    <d v="2031-11-27T00:00:00"/>
    <x v="1"/>
    <n v="9"/>
    <n v="43169.82"/>
    <s v="Lalita Alva"/>
    <n v="58"/>
    <s v="Senior Citezen"/>
    <s v="Good"/>
    <x v="1"/>
    <s v="UPI"/>
    <n v="5"/>
    <s v="Vivo V20"/>
    <n v="388528.38"/>
    <s v="Good"/>
    <s v="Excellent"/>
  </r>
  <r>
    <s v="Pank463703"/>
    <n v="3703"/>
    <n v="31"/>
    <n v="8"/>
    <n v="2024"/>
    <d v="2024-08-31T00:00:00"/>
    <s v="August"/>
    <d v="2031-11-28T00:00:00"/>
    <x v="1"/>
    <n v="3"/>
    <n v="11500.91"/>
    <s v="Pankaj Deshmukh"/>
    <n v="46"/>
    <s v="Senior Citezen"/>
    <s v="Good"/>
    <x v="5"/>
    <s v="Credit Card"/>
    <n v="5"/>
    <s v="Vivo S1"/>
    <n v="34502.729999999996"/>
    <s v="Good"/>
    <s v="Low"/>
  </r>
  <r>
    <s v="Kavi233704"/>
    <n v="3704"/>
    <n v="31"/>
    <n v="8"/>
    <n v="2024"/>
    <d v="2024-08-31T00:00:00"/>
    <s v="August"/>
    <d v="2031-11-29T00:00:00"/>
    <x v="2"/>
    <n v="8"/>
    <n v="46232.68"/>
    <s v="Kavita Desai"/>
    <n v="23"/>
    <s v="Teenagers"/>
    <s v="Good"/>
    <x v="13"/>
    <s v="Credit Card"/>
    <n v="5"/>
    <s v="OnePlus 9"/>
    <n v="369861.44"/>
    <s v="Good"/>
    <s v="Excellent"/>
  </r>
  <r>
    <s v="Anja353705"/>
    <n v="3705"/>
    <n v="31"/>
    <n v="8"/>
    <n v="2024"/>
    <d v="2024-08-31T00:00:00"/>
    <s v="August"/>
    <d v="2031-11-30T00:00:00"/>
    <x v="2"/>
    <n v="8"/>
    <n v="18718.990000000002"/>
    <s v="Anjali Gupta"/>
    <n v="35"/>
    <s v="Adult"/>
    <s v="Good"/>
    <x v="1"/>
    <s v="Cash"/>
    <n v="5"/>
    <s v="OnePlus 9"/>
    <n v="149751.92000000001"/>
    <s v="Good"/>
    <s v="Good"/>
  </r>
  <r>
    <s v="Anit523706"/>
    <n v="3706"/>
    <n v="1"/>
    <n v="9"/>
    <n v="2024"/>
    <d v="2024-09-01T00:00:00"/>
    <s v="September"/>
    <d v="2031-12-01T00:00:00"/>
    <x v="1"/>
    <n v="3"/>
    <n v="57912.45"/>
    <s v="Anita Bhattacharya"/>
    <n v="52"/>
    <s v="Senior Citezen"/>
    <s v="Good"/>
    <x v="1"/>
    <s v="Debit Card"/>
    <n v="5"/>
    <s v="Vivo Y51"/>
    <n v="173737.34999999998"/>
    <s v="Good"/>
    <s v="Good"/>
  </r>
  <r>
    <s v="Bhav443707"/>
    <n v="3707"/>
    <n v="1"/>
    <n v="9"/>
    <n v="2024"/>
    <d v="2024-09-01T00:00:00"/>
    <s v="September"/>
    <d v="2031-12-02T00:00:00"/>
    <x v="2"/>
    <n v="3"/>
    <n v="61394.09"/>
    <s v="Bhavana Luthra"/>
    <n v="44"/>
    <s v="Adult"/>
    <s v="Good"/>
    <x v="13"/>
    <s v="Credit Card"/>
    <n v="5"/>
    <s v="OnePlus 9"/>
    <n v="184182.27"/>
    <s v="Good"/>
    <s v="Good"/>
  </r>
  <r>
    <s v="Meen223708"/>
    <n v="3708"/>
    <n v="1"/>
    <n v="9"/>
    <n v="2024"/>
    <d v="2024-09-01T00:00:00"/>
    <s v="September"/>
    <d v="2031-12-03T00:00:00"/>
    <x v="0"/>
    <n v="6"/>
    <n v="38925.61"/>
    <s v="Meena Kulkarni"/>
    <n v="22"/>
    <s v="Teenagers"/>
    <s v="Good"/>
    <x v="2"/>
    <s v="UPI"/>
    <n v="5"/>
    <s v="Mi 11"/>
    <n v="233553.66"/>
    <s v="Good"/>
    <s v="Excellent"/>
  </r>
  <r>
    <s v="Roha243709"/>
    <n v="3709"/>
    <n v="1"/>
    <n v="9"/>
    <n v="2024"/>
    <d v="2024-09-01T00:00:00"/>
    <s v="September"/>
    <d v="2031-12-04T00:00:00"/>
    <x v="4"/>
    <n v="1"/>
    <n v="56993.29"/>
    <s v="Rohan Rao"/>
    <n v="24"/>
    <s v="Teenagers"/>
    <s v="Good"/>
    <x v="1"/>
    <s v="Credit Card"/>
    <n v="4"/>
    <s v="iPhone SE"/>
    <n v="56993.29"/>
    <s v="Good"/>
    <s v="Average"/>
  </r>
  <r>
    <s v="Jyot273710"/>
    <n v="3710"/>
    <n v="2"/>
    <n v="9"/>
    <n v="2024"/>
    <d v="2024-09-02T00:00:00"/>
    <s v="September"/>
    <d v="2031-12-05T00:00:00"/>
    <x v="4"/>
    <n v="4"/>
    <n v="18706.64"/>
    <s v="Jyoti Sheth"/>
    <n v="27"/>
    <s v="Teenagers"/>
    <s v="AVG"/>
    <x v="1"/>
    <s v="Debit Card"/>
    <n v="3"/>
    <s v="iPhone SE"/>
    <n v="74826.559999999998"/>
    <s v="Average"/>
    <s v="Average"/>
  </r>
  <r>
    <s v="Isha273711"/>
    <n v="3711"/>
    <n v="2"/>
    <n v="9"/>
    <n v="2024"/>
    <d v="2024-09-02T00:00:00"/>
    <s v="September"/>
    <d v="2031-12-06T00:00:00"/>
    <x v="0"/>
    <n v="1"/>
    <n v="39524.69"/>
    <s v="Isha Kaur"/>
    <n v="27"/>
    <s v="Teenagers"/>
    <s v="Good"/>
    <x v="2"/>
    <s v="UPI"/>
    <n v="4"/>
    <s v="Redmi Note 10"/>
    <n v="39524.69"/>
    <s v="Good"/>
    <s v="Low"/>
  </r>
  <r>
    <s v="Pooj453712"/>
    <n v="3712"/>
    <n v="2"/>
    <n v="9"/>
    <n v="2024"/>
    <d v="2024-09-02T00:00:00"/>
    <s v="September"/>
    <d v="2031-12-07T00:00:00"/>
    <x v="4"/>
    <n v="3"/>
    <n v="33636.660000000003"/>
    <s v="Pooja Sharma"/>
    <n v="45"/>
    <s v="Adult"/>
    <s v="Good"/>
    <x v="13"/>
    <s v="Credit Card"/>
    <n v="4"/>
    <s v="iPhone 11"/>
    <n v="100909.98000000001"/>
    <s v="Good"/>
    <s v="Good"/>
  </r>
  <r>
    <s v="Meen533713"/>
    <n v="3713"/>
    <n v="2"/>
    <n v="9"/>
    <n v="2024"/>
    <d v="2024-09-02T00:00:00"/>
    <s v="September"/>
    <d v="2031-12-08T00:00:00"/>
    <x v="3"/>
    <n v="9"/>
    <n v="46679.040000000001"/>
    <s v="Meena Menon"/>
    <n v="53"/>
    <s v="Senior Citezen"/>
    <s v="Good"/>
    <x v="5"/>
    <s v="Credit Card"/>
    <n v="5"/>
    <s v="Galaxy A51"/>
    <n v="420111.35999999999"/>
    <s v="Good"/>
    <s v="Excellent"/>
  </r>
  <r>
    <s v="Tapa273714"/>
    <n v="3714"/>
    <n v="3"/>
    <n v="9"/>
    <n v="2024"/>
    <d v="2024-09-03T00:00:00"/>
    <s v="September"/>
    <d v="2031-12-09T00:00:00"/>
    <x v="0"/>
    <n v="5"/>
    <n v="12668.63"/>
    <s v="Tapan Chatterjee"/>
    <n v="27"/>
    <s v="Teenagers"/>
    <s v="Good"/>
    <x v="14"/>
    <s v="Cash"/>
    <n v="4"/>
    <s v="Redmi Note 10"/>
    <n v="63343.149999999994"/>
    <s v="Good"/>
    <s v="Average"/>
  </r>
  <r>
    <s v="Mala523715"/>
    <n v="3715"/>
    <n v="3"/>
    <n v="9"/>
    <n v="2024"/>
    <d v="2024-09-03T00:00:00"/>
    <s v="September"/>
    <d v="2031-12-10T00:00:00"/>
    <x v="2"/>
    <n v="5"/>
    <n v="55127.37"/>
    <s v="Mala Thakur"/>
    <n v="52"/>
    <s v="Senior Citezen"/>
    <s v="Good"/>
    <x v="6"/>
    <s v="Debit Card"/>
    <n v="5"/>
    <s v="OnePlus 9"/>
    <n v="275636.85000000003"/>
    <s v="Good"/>
    <s v="Excellent"/>
  </r>
  <r>
    <s v="Anja523716"/>
    <n v="3716"/>
    <n v="3"/>
    <n v="9"/>
    <n v="2024"/>
    <d v="2024-09-03T00:00:00"/>
    <s v="September"/>
    <d v="2031-12-11T00:00:00"/>
    <x v="0"/>
    <n v="4"/>
    <n v="14747.76"/>
    <s v="Anjali Roy"/>
    <n v="52"/>
    <s v="Senior Citezen"/>
    <s v="BAD"/>
    <x v="16"/>
    <s v="Credit Card"/>
    <n v="2"/>
    <s v="Redmi Note 10"/>
    <n v="58991.040000000001"/>
    <s v="Average"/>
    <s v="Average"/>
  </r>
  <r>
    <s v="Pooj543717"/>
    <n v="3717"/>
    <n v="4"/>
    <n v="9"/>
    <n v="2024"/>
    <d v="2024-09-04T00:00:00"/>
    <s v="September"/>
    <d v="2031-12-12T00:00:00"/>
    <x v="1"/>
    <n v="3"/>
    <n v="49388.29"/>
    <s v="Pooja Rao"/>
    <n v="54"/>
    <s v="Senior Citezen"/>
    <s v="Good"/>
    <x v="4"/>
    <s v="Debit Card"/>
    <n v="5"/>
    <s v="Vivo V20"/>
    <n v="148164.87"/>
    <s v="Good"/>
    <s v="Good"/>
  </r>
  <r>
    <s v="Meen373718"/>
    <n v="3718"/>
    <n v="4"/>
    <n v="9"/>
    <n v="2024"/>
    <d v="2024-09-04T00:00:00"/>
    <s v="September"/>
    <d v="2031-12-13T00:00:00"/>
    <x v="2"/>
    <n v="5"/>
    <n v="11107.43"/>
    <s v="Meena Yadav"/>
    <n v="37"/>
    <s v="Adult"/>
    <s v="AVG"/>
    <x v="14"/>
    <s v="Credit Card"/>
    <n v="3"/>
    <s v="OnePlus 9"/>
    <n v="55537.15"/>
    <s v="Average"/>
    <s v="Average"/>
  </r>
  <r>
    <s v="Ayes303719"/>
    <n v="3719"/>
    <n v="4"/>
    <n v="9"/>
    <n v="2024"/>
    <d v="2024-09-04T00:00:00"/>
    <s v="September"/>
    <d v="2031-12-14T00:00:00"/>
    <x v="1"/>
    <n v="4"/>
    <n v="59913.279999999999"/>
    <s v="Ayesha Rathod"/>
    <n v="30"/>
    <s v="Teenagers"/>
    <s v="BAD"/>
    <x v="12"/>
    <s v="UPI"/>
    <n v="2"/>
    <s v="Vivo Y51"/>
    <n v="239653.12"/>
    <s v="Average"/>
    <s v="Excellent"/>
  </r>
  <r>
    <s v="Deep283720"/>
    <n v="3720"/>
    <n v="5"/>
    <n v="9"/>
    <n v="2024"/>
    <d v="2024-09-05T00:00:00"/>
    <s v="September"/>
    <d v="2031-12-15T00:00:00"/>
    <x v="2"/>
    <n v="8"/>
    <n v="20481.98"/>
    <s v="Deepika Menon"/>
    <n v="28"/>
    <s v="Teenagers"/>
    <s v="Good"/>
    <x v="2"/>
    <s v="Debit Card"/>
    <n v="5"/>
    <s v="OnePlus 9"/>
    <n v="163855.84"/>
    <s v="Good"/>
    <s v="Good"/>
  </r>
  <r>
    <s v="Deep363721"/>
    <n v="3721"/>
    <n v="5"/>
    <n v="9"/>
    <n v="2024"/>
    <d v="2024-09-05T00:00:00"/>
    <s v="September"/>
    <d v="2031-12-16T00:00:00"/>
    <x v="4"/>
    <n v="4"/>
    <n v="40929.85"/>
    <s v="Deepika Pathak"/>
    <n v="36"/>
    <s v="Adult"/>
    <s v="Good"/>
    <x v="1"/>
    <s v="UPI"/>
    <n v="5"/>
    <s v="iPhone 12"/>
    <n v="163719.4"/>
    <s v="Good"/>
    <s v="Good"/>
  </r>
  <r>
    <s v="Vive453722"/>
    <n v="3722"/>
    <n v="5"/>
    <n v="9"/>
    <n v="2024"/>
    <d v="2024-09-05T00:00:00"/>
    <s v="September"/>
    <d v="2031-12-17T00:00:00"/>
    <x v="0"/>
    <n v="8"/>
    <n v="25689.57"/>
    <s v="Vivek Mishra"/>
    <n v="45"/>
    <s v="Adult"/>
    <s v="AVG"/>
    <x v="2"/>
    <s v="Debit Card"/>
    <n v="3"/>
    <s v="Redmi Note 10"/>
    <n v="205516.56"/>
    <s v="Average"/>
    <s v="Excellent"/>
  </r>
  <r>
    <s v="Raje553723"/>
    <n v="3723"/>
    <n v="6"/>
    <n v="9"/>
    <n v="2024"/>
    <d v="2024-09-06T00:00:00"/>
    <s v="September"/>
    <d v="2031-12-18T00:00:00"/>
    <x v="3"/>
    <n v="6"/>
    <n v="53358.83"/>
    <s v="Rajesh Ahuja"/>
    <n v="55"/>
    <s v="Senior Citezen"/>
    <s v="Good"/>
    <x v="1"/>
    <s v="UPI"/>
    <n v="4"/>
    <s v="Galaxy S21"/>
    <n v="320152.98"/>
    <s v="Good"/>
    <s v="Excellent"/>
  </r>
  <r>
    <s v="Hari213724"/>
    <n v="3724"/>
    <n v="6"/>
    <n v="9"/>
    <n v="2024"/>
    <d v="2024-09-06T00:00:00"/>
    <s v="September"/>
    <d v="2031-12-19T00:00:00"/>
    <x v="2"/>
    <n v="5"/>
    <n v="29281.07"/>
    <s v="Harish Kumar"/>
    <n v="21"/>
    <s v="Teenagers"/>
    <s v="Good"/>
    <x v="3"/>
    <s v="Credit Card"/>
    <n v="5"/>
    <s v="OnePlus 9"/>
    <n v="146405.35"/>
    <s v="Good"/>
    <s v="Good"/>
  </r>
  <r>
    <s v="Mala543725"/>
    <n v="3725"/>
    <n v="6"/>
    <n v="9"/>
    <n v="2024"/>
    <d v="2024-09-06T00:00:00"/>
    <s v="September"/>
    <d v="2031-12-20T00:00:00"/>
    <x v="2"/>
    <n v="4"/>
    <n v="53476.55"/>
    <s v="Mala Teja"/>
    <n v="54"/>
    <s v="Senior Citezen"/>
    <s v="AVG"/>
    <x v="1"/>
    <s v="UPI"/>
    <n v="3"/>
    <s v="OnePlus 9"/>
    <n v="213906.2"/>
    <s v="Average"/>
    <s v="Excellent"/>
  </r>
  <r>
    <s v="Amit363726"/>
    <n v="3726"/>
    <n v="7"/>
    <n v="9"/>
    <n v="2024"/>
    <d v="2024-09-07T00:00:00"/>
    <s v="September"/>
    <d v="2031-12-21T00:00:00"/>
    <x v="1"/>
    <n v="4"/>
    <n v="27092.27"/>
    <s v="Amit Ahuja"/>
    <n v="36"/>
    <s v="Adult"/>
    <s v="Good"/>
    <x v="1"/>
    <s v="UPI"/>
    <n v="5"/>
    <s v="Vivo V20"/>
    <n v="108369.08"/>
    <s v="Good"/>
    <s v="Good"/>
  </r>
  <r>
    <s v="Mala543727"/>
    <n v="3727"/>
    <n v="7"/>
    <n v="9"/>
    <n v="2024"/>
    <d v="2024-09-07T00:00:00"/>
    <s v="September"/>
    <d v="2031-12-22T00:00:00"/>
    <x v="4"/>
    <n v="4"/>
    <n v="55148.39"/>
    <s v="Mala Thakur"/>
    <n v="54"/>
    <s v="Senior Citezen"/>
    <s v="Good"/>
    <x v="3"/>
    <s v="Credit Card"/>
    <n v="5"/>
    <s v="iPhone SE"/>
    <n v="220593.56"/>
    <s v="Good"/>
    <s v="Excellent"/>
  </r>
  <r>
    <s v="Ayes313728"/>
    <n v="3728"/>
    <n v="7"/>
    <n v="9"/>
    <n v="2024"/>
    <d v="2024-09-07T00:00:00"/>
    <s v="September"/>
    <d v="2031-12-23T00:00:00"/>
    <x v="1"/>
    <n v="9"/>
    <n v="11836.33"/>
    <s v="Ayesha Rathod"/>
    <n v="31"/>
    <s v="Adult"/>
    <s v="Good"/>
    <x v="14"/>
    <s v="Debit Card"/>
    <n v="5"/>
    <s v="Vivo S1"/>
    <n v="106526.97"/>
    <s v="Good"/>
    <s v="Good"/>
  </r>
  <r>
    <s v="Mala483729"/>
    <n v="3729"/>
    <n v="7"/>
    <n v="9"/>
    <n v="2024"/>
    <d v="2024-09-07T00:00:00"/>
    <s v="September"/>
    <d v="2031-12-24T00:00:00"/>
    <x v="1"/>
    <n v="4"/>
    <n v="26998.68"/>
    <s v="Mala Arora"/>
    <n v="48"/>
    <s v="Senior Citezen"/>
    <s v="Good"/>
    <x v="18"/>
    <s v="UPI"/>
    <n v="4"/>
    <s v="Vivo V20"/>
    <n v="107994.72"/>
    <s v="Good"/>
    <s v="Good"/>
  </r>
  <r>
    <s v="Jyot453730"/>
    <n v="3730"/>
    <n v="8"/>
    <n v="9"/>
    <n v="2024"/>
    <d v="2024-09-08T00:00:00"/>
    <s v="September"/>
    <d v="2031-12-25T00:00:00"/>
    <x v="4"/>
    <n v="9"/>
    <n v="39918.01"/>
    <s v="Jyoti Varma"/>
    <n v="45"/>
    <s v="Adult"/>
    <s v="Good"/>
    <x v="7"/>
    <s v="Cash"/>
    <n v="4"/>
    <s v="iPhone 11"/>
    <n v="359262.09"/>
    <s v="Good"/>
    <s v="Excellent"/>
  </r>
  <r>
    <s v="Suni533731"/>
    <n v="3731"/>
    <n v="8"/>
    <n v="9"/>
    <n v="2024"/>
    <d v="2024-09-08T00:00:00"/>
    <s v="September"/>
    <d v="2031-12-26T00:00:00"/>
    <x v="3"/>
    <n v="6"/>
    <n v="12703.57"/>
    <s v="Sunita Iyer"/>
    <n v="53"/>
    <s v="Senior Citezen"/>
    <s v="Good"/>
    <x v="2"/>
    <s v="Cash"/>
    <n v="5"/>
    <s v="Galaxy S21"/>
    <n v="76221.42"/>
    <s v="Good"/>
    <s v="Average"/>
  </r>
  <r>
    <s v="Sach553732"/>
    <n v="3732"/>
    <n v="8"/>
    <n v="9"/>
    <n v="2024"/>
    <d v="2024-09-08T00:00:00"/>
    <s v="September"/>
    <d v="2031-12-27T00:00:00"/>
    <x v="1"/>
    <n v="7"/>
    <n v="21162.04"/>
    <s v="Sachin Joshi"/>
    <n v="55"/>
    <s v="Senior Citezen"/>
    <s v="Good"/>
    <x v="1"/>
    <s v="UPI"/>
    <n v="5"/>
    <s v="Vivo Y51"/>
    <n v="148134.28"/>
    <s v="Good"/>
    <s v="Good"/>
  </r>
  <r>
    <s v="Lali363733"/>
    <n v="3733"/>
    <n v="9"/>
    <n v="9"/>
    <n v="2024"/>
    <d v="2024-09-09T00:00:00"/>
    <s v="September"/>
    <d v="2031-12-28T00:00:00"/>
    <x v="1"/>
    <n v="3"/>
    <n v="66072.22"/>
    <s v="Lalita Rathod"/>
    <n v="36"/>
    <s v="Adult"/>
    <s v="Good"/>
    <x v="14"/>
    <s v="UPI"/>
    <n v="4"/>
    <s v="Vivo Y51"/>
    <n v="198216.66"/>
    <s v="Good"/>
    <s v="Good"/>
  </r>
  <r>
    <s v="Radh593734"/>
    <n v="3734"/>
    <n v="9"/>
    <n v="9"/>
    <n v="2024"/>
    <d v="2024-09-09T00:00:00"/>
    <s v="September"/>
    <d v="2031-12-29T00:00:00"/>
    <x v="2"/>
    <n v="8"/>
    <n v="68610.06"/>
    <s v="Radha Ghosh"/>
    <n v="59"/>
    <s v="Senior Citezen"/>
    <s v="AVG"/>
    <x v="11"/>
    <s v="UPI"/>
    <n v="3"/>
    <s v="OnePlus 8T"/>
    <n v="548880.48"/>
    <s v="Average"/>
    <s v="Excellent"/>
  </r>
  <r>
    <s v="Priy183735"/>
    <n v="3735"/>
    <n v="9"/>
    <n v="9"/>
    <n v="2024"/>
    <d v="2024-09-09T00:00:00"/>
    <s v="September"/>
    <d v="2031-12-30T00:00:00"/>
    <x v="4"/>
    <n v="3"/>
    <n v="54385"/>
    <s v="Priyanka Pillai"/>
    <n v="18"/>
    <s v="Teenagers"/>
    <s v="Good"/>
    <x v="2"/>
    <s v="Debit Card"/>
    <n v="5"/>
    <s v="iPhone 11"/>
    <n v="163155"/>
    <s v="Good"/>
    <s v="Good"/>
  </r>
  <r>
    <s v="Hari403736"/>
    <n v="3736"/>
    <n v="10"/>
    <n v="9"/>
    <n v="2024"/>
    <d v="2024-09-10T00:00:00"/>
    <s v="September"/>
    <d v="2031-12-31T00:00:00"/>
    <x v="0"/>
    <n v="1"/>
    <n v="25132"/>
    <s v="Harish Kaur"/>
    <n v="40"/>
    <s v="Adult"/>
    <s v="AVG"/>
    <x v="1"/>
    <s v="Credit Card"/>
    <n v="3"/>
    <s v="Mi 11"/>
    <n v="25132"/>
    <s v="Average"/>
    <s v="Low"/>
  </r>
  <r>
    <s v="Lata453737"/>
    <n v="3737"/>
    <n v="10"/>
    <n v="9"/>
    <n v="2024"/>
    <d v="2024-09-10T00:00:00"/>
    <s v="September"/>
    <d v="2032-01-01T00:00:00"/>
    <x v="3"/>
    <n v="5"/>
    <n v="25631.05"/>
    <s v="Lata Shah"/>
    <n v="45"/>
    <s v="Adult"/>
    <s v="BAD"/>
    <x v="1"/>
    <s v="Cash"/>
    <n v="2"/>
    <s v="Galaxy A51"/>
    <n v="128155.25"/>
    <s v="Average"/>
    <s v="Good"/>
  </r>
  <r>
    <s v="Mala213738"/>
    <n v="3738"/>
    <n v="10"/>
    <n v="9"/>
    <n v="2024"/>
    <d v="2024-09-10T00:00:00"/>
    <s v="September"/>
    <d v="2032-01-02T00:00:00"/>
    <x v="3"/>
    <n v="2"/>
    <n v="48747.42"/>
    <s v="Mala Roy"/>
    <n v="21"/>
    <s v="Teenagers"/>
    <s v="Good"/>
    <x v="18"/>
    <s v="Cash"/>
    <n v="5"/>
    <s v="Galaxy S21"/>
    <n v="97494.84"/>
    <s v="Good"/>
    <s v="Average"/>
  </r>
  <r>
    <s v="Radh583739"/>
    <n v="3739"/>
    <n v="11"/>
    <n v="9"/>
    <n v="2024"/>
    <d v="2024-09-11T00:00:00"/>
    <s v="September"/>
    <d v="2032-01-03T00:00:00"/>
    <x v="4"/>
    <n v="6"/>
    <n v="17055.98"/>
    <s v="Radha Ghosh"/>
    <n v="58"/>
    <s v="Senior Citezen"/>
    <s v="Good"/>
    <x v="3"/>
    <s v="Debit Card"/>
    <n v="4"/>
    <s v="iPhone SE"/>
    <n v="102335.88"/>
    <s v="Good"/>
    <s v="Good"/>
  </r>
  <r>
    <s v="Rame353740"/>
    <n v="3740"/>
    <n v="11"/>
    <n v="9"/>
    <n v="2024"/>
    <d v="2024-09-11T00:00:00"/>
    <s v="September"/>
    <d v="2032-01-04T00:00:00"/>
    <x v="2"/>
    <n v="9"/>
    <n v="66898.559999999998"/>
    <s v="Ramesh Nambiar"/>
    <n v="35"/>
    <s v="Adult"/>
    <s v="BAD"/>
    <x v="1"/>
    <s v="UPI"/>
    <n v="2"/>
    <s v="OnePlus Nord"/>
    <n v="602087.04"/>
    <s v="Average"/>
    <s v="Excellent"/>
  </r>
  <r>
    <s v="Arun563741"/>
    <n v="3741"/>
    <n v="11"/>
    <n v="9"/>
    <n v="2024"/>
    <d v="2024-09-11T00:00:00"/>
    <s v="September"/>
    <d v="2032-01-05T00:00:00"/>
    <x v="2"/>
    <n v="1"/>
    <n v="23488.77"/>
    <s v="Arun Desai"/>
    <n v="56"/>
    <s v="Senior Citezen"/>
    <s v="Good"/>
    <x v="16"/>
    <s v="UPI"/>
    <n v="4"/>
    <s v="OnePlus 9"/>
    <n v="23488.77"/>
    <s v="Good"/>
    <s v="Low"/>
  </r>
  <r>
    <s v="Sach423742"/>
    <n v="3742"/>
    <n v="12"/>
    <n v="9"/>
    <n v="2024"/>
    <d v="2024-09-12T00:00:00"/>
    <s v="September"/>
    <d v="2032-01-06T00:00:00"/>
    <x v="4"/>
    <n v="4"/>
    <n v="69978.14"/>
    <s v="Sachin Arora"/>
    <n v="42"/>
    <s v="Adult"/>
    <s v="BAD"/>
    <x v="16"/>
    <s v="Credit Card"/>
    <n v="2"/>
    <s v="iPhone SE"/>
    <n v="279912.56"/>
    <s v="Average"/>
    <s v="Excellent"/>
  </r>
  <r>
    <s v="Suni353743"/>
    <n v="3743"/>
    <n v="12"/>
    <n v="9"/>
    <n v="2024"/>
    <d v="2024-09-12T00:00:00"/>
    <s v="September"/>
    <d v="2032-01-07T00:00:00"/>
    <x v="2"/>
    <n v="1"/>
    <n v="39744.03"/>
    <s v="Sunil Varma"/>
    <n v="35"/>
    <s v="Adult"/>
    <s v="Good"/>
    <x v="2"/>
    <s v="Credit Card"/>
    <n v="4"/>
    <s v="OnePlus 9"/>
    <n v="39744.03"/>
    <s v="Good"/>
    <s v="Low"/>
  </r>
  <r>
    <s v="Sach233744"/>
    <n v="3744"/>
    <n v="12"/>
    <n v="9"/>
    <n v="2024"/>
    <d v="2024-09-12T00:00:00"/>
    <s v="September"/>
    <d v="2032-01-08T00:00:00"/>
    <x v="3"/>
    <n v="1"/>
    <n v="56285.8"/>
    <s v="Sachin Ghosh"/>
    <n v="23"/>
    <s v="Teenagers"/>
    <s v="Good"/>
    <x v="7"/>
    <s v="Cash"/>
    <n v="5"/>
    <s v="Galaxy S21"/>
    <n v="56285.8"/>
    <s v="Good"/>
    <s v="Average"/>
  </r>
  <r>
    <s v="Vive363745"/>
    <n v="3745"/>
    <n v="13"/>
    <n v="9"/>
    <n v="2024"/>
    <d v="2024-09-13T00:00:00"/>
    <s v="September"/>
    <d v="2032-01-09T00:00:00"/>
    <x v="3"/>
    <n v="8"/>
    <n v="10131.049999999999"/>
    <s v="Vivek Sheth"/>
    <n v="36"/>
    <s v="Adult"/>
    <s v="Good"/>
    <x v="2"/>
    <s v="Credit Card"/>
    <n v="5"/>
    <s v="Galaxy S21"/>
    <n v="81048.399999999994"/>
    <s v="Good"/>
    <s v="Average"/>
  </r>
  <r>
    <s v="Anit293746"/>
    <n v="3746"/>
    <n v="13"/>
    <n v="9"/>
    <n v="2024"/>
    <d v="2024-09-13T00:00:00"/>
    <s v="September"/>
    <d v="2032-01-10T00:00:00"/>
    <x v="0"/>
    <n v="2"/>
    <n v="63324.78"/>
    <s v="Anita Desai"/>
    <n v="29"/>
    <s v="Teenagers"/>
    <s v="AVG"/>
    <x v="1"/>
    <s v="Cash"/>
    <n v="3"/>
    <s v="Redmi Note 10"/>
    <n v="126649.56"/>
    <s v="Average"/>
    <s v="Good"/>
  </r>
  <r>
    <s v="Gita423747"/>
    <n v="3747"/>
    <n v="13"/>
    <n v="9"/>
    <n v="2024"/>
    <d v="2024-09-13T00:00:00"/>
    <s v="September"/>
    <d v="2032-01-11T00:00:00"/>
    <x v="4"/>
    <n v="1"/>
    <n v="26200.12"/>
    <s v="Gita Rathod"/>
    <n v="42"/>
    <s v="Adult"/>
    <s v="BAD"/>
    <x v="15"/>
    <s v="Debit Card"/>
    <n v="2"/>
    <s v="iPhone 11"/>
    <n v="26200.12"/>
    <s v="Average"/>
    <s v="Low"/>
  </r>
  <r>
    <s v="Bhav523748"/>
    <n v="3748"/>
    <n v="14"/>
    <n v="9"/>
    <n v="2024"/>
    <d v="2024-09-14T00:00:00"/>
    <s v="September"/>
    <d v="2032-01-12T00:00:00"/>
    <x v="1"/>
    <n v="8"/>
    <n v="50076.2"/>
    <s v="Bhavana Arora"/>
    <n v="52"/>
    <s v="Senior Citezen"/>
    <s v="AVG"/>
    <x v="1"/>
    <s v="UPI"/>
    <n v="3"/>
    <s v="Vivo Y51"/>
    <n v="400609.6"/>
    <s v="Average"/>
    <s v="Excellent"/>
  </r>
  <r>
    <s v="Sneh183749"/>
    <n v="3749"/>
    <n v="14"/>
    <n v="9"/>
    <n v="2024"/>
    <d v="2024-09-14T00:00:00"/>
    <s v="September"/>
    <d v="2032-01-13T00:00:00"/>
    <x v="1"/>
    <n v="4"/>
    <n v="58381.32"/>
    <s v="Sneha Kaur"/>
    <n v="18"/>
    <s v="Teenagers"/>
    <s v="AVG"/>
    <x v="18"/>
    <s v="UPI"/>
    <n v="3"/>
    <s v="Vivo S1"/>
    <n v="233525.28"/>
    <s v="Average"/>
    <s v="Excellent"/>
  </r>
  <r>
    <s v="Pank223750"/>
    <n v="3750"/>
    <n v="14"/>
    <n v="9"/>
    <n v="2024"/>
    <d v="2024-09-14T00:00:00"/>
    <s v="September"/>
    <d v="2032-01-14T00:00:00"/>
    <x v="0"/>
    <n v="3"/>
    <n v="19848.86"/>
    <s v="Pankaj Teja"/>
    <n v="22"/>
    <s v="Teenagers"/>
    <s v="Good"/>
    <x v="1"/>
    <s v="Cash"/>
    <n v="4"/>
    <s v="Redmi Note 10"/>
    <n v="59546.58"/>
    <s v="Good"/>
    <s v="Average"/>
  </r>
  <r>
    <s v="Priy183751"/>
    <n v="3751"/>
    <n v="14"/>
    <n v="9"/>
    <n v="2024"/>
    <d v="2024-09-14T00:00:00"/>
    <s v="September"/>
    <d v="2032-01-15T00:00:00"/>
    <x v="0"/>
    <n v="4"/>
    <n v="36550.57"/>
    <s v="Priya Siddiqui"/>
    <n v="18"/>
    <s v="Teenagers"/>
    <s v="Good"/>
    <x v="4"/>
    <s v="UPI"/>
    <n v="5"/>
    <s v="Redmi Note 10"/>
    <n v="146202.28"/>
    <s v="Good"/>
    <s v="Good"/>
  </r>
  <r>
    <s v="Tapa253752"/>
    <n v="3752"/>
    <n v="15"/>
    <n v="9"/>
    <n v="2024"/>
    <d v="2024-09-15T00:00:00"/>
    <s v="September"/>
    <d v="2032-01-16T00:00:00"/>
    <x v="2"/>
    <n v="5"/>
    <n v="39630.160000000003"/>
    <s v="Tapan Nair"/>
    <n v="25"/>
    <s v="Teenagers"/>
    <s v="Good"/>
    <x v="1"/>
    <s v="Debit Card"/>
    <n v="4"/>
    <s v="OnePlus 9"/>
    <n v="198150.80000000002"/>
    <s v="Good"/>
    <s v="Good"/>
  </r>
  <r>
    <s v="Nami563753"/>
    <n v="3753"/>
    <n v="15"/>
    <n v="9"/>
    <n v="2024"/>
    <d v="2024-09-15T00:00:00"/>
    <s v="September"/>
    <d v="2032-01-17T00:00:00"/>
    <x v="0"/>
    <n v="1"/>
    <n v="28727.17"/>
    <s v="Namita Teja"/>
    <n v="56"/>
    <s v="Senior Citezen"/>
    <s v="AVG"/>
    <x v="2"/>
    <s v="Credit Card"/>
    <n v="3"/>
    <s v="Redmi Note 10"/>
    <n v="28727.17"/>
    <s v="Average"/>
    <s v="Low"/>
  </r>
  <r>
    <s v="Anja353754"/>
    <n v="3754"/>
    <n v="15"/>
    <n v="9"/>
    <n v="2024"/>
    <d v="2024-09-15T00:00:00"/>
    <s v="September"/>
    <d v="2032-01-18T00:00:00"/>
    <x v="0"/>
    <n v="1"/>
    <n v="38905.35"/>
    <s v="Anjali Ahuja"/>
    <n v="35"/>
    <s v="Adult"/>
    <s v="Good"/>
    <x v="10"/>
    <s v="Debit Card"/>
    <n v="5"/>
    <s v="Mi 11"/>
    <n v="38905.35"/>
    <s v="Good"/>
    <s v="Low"/>
  </r>
  <r>
    <s v="Sumi263755"/>
    <n v="3755"/>
    <n v="15"/>
    <n v="9"/>
    <n v="2024"/>
    <d v="2024-09-15T00:00:00"/>
    <s v="September"/>
    <d v="2032-01-19T00:00:00"/>
    <x v="1"/>
    <n v="3"/>
    <n v="29052.74"/>
    <s v="Sumit Sharma"/>
    <n v="26"/>
    <s v="Teenagers"/>
    <s v="Good"/>
    <x v="4"/>
    <s v="UPI"/>
    <n v="5"/>
    <s v="Vivo Y51"/>
    <n v="87158.22"/>
    <s v="Good"/>
    <s v="Average"/>
  </r>
  <r>
    <s v="Yoge223756"/>
    <n v="3756"/>
    <n v="16"/>
    <n v="9"/>
    <n v="2024"/>
    <d v="2024-09-16T00:00:00"/>
    <s v="September"/>
    <d v="2032-01-20T00:00:00"/>
    <x v="2"/>
    <n v="6"/>
    <n v="31644.86"/>
    <s v="Yogesh Kaur"/>
    <n v="22"/>
    <s v="Teenagers"/>
    <s v="Good"/>
    <x v="10"/>
    <s v="Debit Card"/>
    <n v="5"/>
    <s v="OnePlus 8T"/>
    <n v="189869.16"/>
    <s v="Good"/>
    <s v="Good"/>
  </r>
  <r>
    <s v="Sanj213757"/>
    <n v="3757"/>
    <n v="16"/>
    <n v="9"/>
    <n v="2024"/>
    <d v="2024-09-16T00:00:00"/>
    <s v="September"/>
    <d v="2032-01-21T00:00:00"/>
    <x v="0"/>
    <n v="1"/>
    <n v="50159.87"/>
    <s v="Sanjay Bhattacharya"/>
    <n v="21"/>
    <s v="Teenagers"/>
    <s v="AVG"/>
    <x v="1"/>
    <s v="UPI"/>
    <n v="3"/>
    <s v="Redmi 9"/>
    <n v="50159.87"/>
    <s v="Average"/>
    <s v="Average"/>
  </r>
  <r>
    <s v="Kuna463758"/>
    <n v="3758"/>
    <n v="16"/>
    <n v="9"/>
    <n v="2024"/>
    <d v="2024-09-16T00:00:00"/>
    <s v="September"/>
    <d v="2032-01-22T00:00:00"/>
    <x v="0"/>
    <n v="2"/>
    <n v="47955.6"/>
    <s v="Kunal Deshmukh"/>
    <n v="46"/>
    <s v="Senior Citezen"/>
    <s v="Good"/>
    <x v="9"/>
    <s v="Cash"/>
    <n v="4"/>
    <s v="Redmi Note 10"/>
    <n v="95911.2"/>
    <s v="Good"/>
    <s v="Average"/>
  </r>
  <r>
    <s v="Lali183759"/>
    <n v="3759"/>
    <n v="17"/>
    <n v="9"/>
    <n v="2024"/>
    <d v="2024-09-17T00:00:00"/>
    <s v="September"/>
    <d v="2032-01-23T00:00:00"/>
    <x v="2"/>
    <n v="7"/>
    <n v="23935.94"/>
    <s v="Lalita Alva"/>
    <n v="18"/>
    <s v="Teenagers"/>
    <s v="Good"/>
    <x v="1"/>
    <s v="Credit Card"/>
    <n v="5"/>
    <s v="OnePlus 8T"/>
    <n v="167551.57999999999"/>
    <s v="Good"/>
    <s v="Good"/>
  </r>
  <r>
    <s v="Neet473760"/>
    <n v="3760"/>
    <n v="17"/>
    <n v="9"/>
    <n v="2024"/>
    <d v="2024-09-17T00:00:00"/>
    <s v="September"/>
    <d v="2032-01-24T00:00:00"/>
    <x v="4"/>
    <n v="1"/>
    <n v="63848.97"/>
    <s v="Neeta Malhotra"/>
    <n v="47"/>
    <s v="Senior Citezen"/>
    <s v="BAD"/>
    <x v="7"/>
    <s v="Credit Card"/>
    <n v="2"/>
    <s v="iPhone 11"/>
    <n v="63848.97"/>
    <s v="Average"/>
    <s v="Average"/>
  </r>
  <r>
    <s v="Raje183761"/>
    <n v="3761"/>
    <n v="17"/>
    <n v="9"/>
    <n v="2024"/>
    <d v="2024-09-17T00:00:00"/>
    <s v="September"/>
    <d v="2032-01-25T00:00:00"/>
    <x v="2"/>
    <n v="7"/>
    <n v="61767.31"/>
    <s v="Rajesh Mathur"/>
    <n v="18"/>
    <s v="Teenagers"/>
    <s v="Good"/>
    <x v="1"/>
    <s v="UPI"/>
    <n v="4"/>
    <s v="OnePlus 9"/>
    <n v="432371.17"/>
    <s v="Good"/>
    <s v="Excellent"/>
  </r>
  <r>
    <s v="Mano203762"/>
    <n v="3762"/>
    <n v="18"/>
    <n v="9"/>
    <n v="2024"/>
    <d v="2024-09-18T00:00:00"/>
    <s v="September"/>
    <d v="2032-01-26T00:00:00"/>
    <x v="1"/>
    <n v="4"/>
    <n v="40545"/>
    <s v="Manoj Rao"/>
    <n v="20"/>
    <s v="Teenagers"/>
    <s v="Good"/>
    <x v="1"/>
    <s v="UPI"/>
    <n v="5"/>
    <s v="Vivo Y51"/>
    <n v="162180"/>
    <s v="Good"/>
    <s v="Good"/>
  </r>
  <r>
    <s v="Neet393763"/>
    <n v="3763"/>
    <n v="18"/>
    <n v="9"/>
    <n v="2024"/>
    <d v="2024-09-18T00:00:00"/>
    <s v="September"/>
    <d v="2032-01-27T00:00:00"/>
    <x v="4"/>
    <n v="6"/>
    <n v="35995.040000000001"/>
    <s v="Neeta Sharma"/>
    <n v="39"/>
    <s v="Adult"/>
    <s v="Good"/>
    <x v="11"/>
    <s v="Credit Card"/>
    <n v="4"/>
    <s v="iPhone 12"/>
    <n v="215970.24"/>
    <s v="Good"/>
    <s v="Excellent"/>
  </r>
  <r>
    <s v="Sach253764"/>
    <n v="3764"/>
    <n v="18"/>
    <n v="9"/>
    <n v="2024"/>
    <d v="2024-09-18T00:00:00"/>
    <s v="September"/>
    <d v="2032-01-28T00:00:00"/>
    <x v="3"/>
    <n v="8"/>
    <n v="32611.360000000001"/>
    <s v="Sachin Shah"/>
    <n v="25"/>
    <s v="Teenagers"/>
    <s v="BAD"/>
    <x v="1"/>
    <s v="Debit Card"/>
    <n v="2"/>
    <s v="Galaxy S21"/>
    <n v="260890.88"/>
    <s v="Average"/>
    <s v="Excellent"/>
  </r>
  <r>
    <s v="Deep353765"/>
    <n v="3765"/>
    <n v="19"/>
    <n v="9"/>
    <n v="2024"/>
    <d v="2024-09-19T00:00:00"/>
    <s v="September"/>
    <d v="2032-01-29T00:00:00"/>
    <x v="2"/>
    <n v="9"/>
    <n v="52436.08"/>
    <s v="Deepika Iyer"/>
    <n v="35"/>
    <s v="Adult"/>
    <s v="Good"/>
    <x v="13"/>
    <s v="Debit Card"/>
    <n v="5"/>
    <s v="OnePlus 8T"/>
    <n v="471924.72000000003"/>
    <s v="Good"/>
    <s v="Excellent"/>
  </r>
  <r>
    <s v="Vija423766"/>
    <n v="3766"/>
    <n v="19"/>
    <n v="9"/>
    <n v="2024"/>
    <d v="2024-09-19T00:00:00"/>
    <s v="September"/>
    <d v="2032-01-30T00:00:00"/>
    <x v="1"/>
    <n v="6"/>
    <n v="50299.96"/>
    <s v="Vijay Das"/>
    <n v="42"/>
    <s v="Adult"/>
    <s v="Good"/>
    <x v="1"/>
    <s v="Debit Card"/>
    <n v="5"/>
    <s v="Vivo S1"/>
    <n v="301799.76"/>
    <s v="Good"/>
    <s v="Excellent"/>
  </r>
  <r>
    <s v="Isha373767"/>
    <n v="3767"/>
    <n v="19"/>
    <n v="9"/>
    <n v="2024"/>
    <d v="2024-09-19T00:00:00"/>
    <s v="September"/>
    <d v="2032-01-31T00:00:00"/>
    <x v="4"/>
    <n v="9"/>
    <n v="21770.84"/>
    <s v="Isha Arora"/>
    <n v="37"/>
    <s v="Adult"/>
    <s v="BAD"/>
    <x v="5"/>
    <s v="Credit Card"/>
    <n v="2"/>
    <s v="iPhone 12"/>
    <n v="195937.56"/>
    <s v="Average"/>
    <s v="Good"/>
  </r>
  <r>
    <s v="Mano483768"/>
    <n v="3768"/>
    <n v="19"/>
    <n v="9"/>
    <n v="2024"/>
    <d v="2024-09-19T00:00:00"/>
    <s v="September"/>
    <d v="2032-02-01T00:00:00"/>
    <x v="2"/>
    <n v="4"/>
    <n v="50287.48"/>
    <s v="Manoj Sharma"/>
    <n v="48"/>
    <s v="Senior Citezen"/>
    <s v="BAD"/>
    <x v="4"/>
    <s v="Cash"/>
    <n v="2"/>
    <s v="OnePlus Nord"/>
    <n v="201149.92"/>
    <s v="Average"/>
    <s v="Excellent"/>
  </r>
  <r>
    <s v="Ayes473769"/>
    <n v="3769"/>
    <n v="20"/>
    <n v="9"/>
    <n v="2024"/>
    <d v="2024-09-20T00:00:00"/>
    <s v="September"/>
    <d v="2032-02-02T00:00:00"/>
    <x v="0"/>
    <n v="6"/>
    <n v="25145.87"/>
    <s v="Ayesha Ghosh"/>
    <n v="47"/>
    <s v="Senior Citezen"/>
    <s v="AVG"/>
    <x v="9"/>
    <s v="UPI"/>
    <n v="3"/>
    <s v="Mi 11"/>
    <n v="150875.22"/>
    <s v="Average"/>
    <s v="Good"/>
  </r>
  <r>
    <s v="Tapa333770"/>
    <n v="3770"/>
    <n v="20"/>
    <n v="9"/>
    <n v="2024"/>
    <d v="2024-09-20T00:00:00"/>
    <s v="September"/>
    <d v="2032-02-03T00:00:00"/>
    <x v="2"/>
    <n v="8"/>
    <n v="11113.5"/>
    <s v="Tapan Joshi"/>
    <n v="33"/>
    <s v="Adult"/>
    <s v="Good"/>
    <x v="7"/>
    <s v="UPI"/>
    <n v="5"/>
    <s v="OnePlus 9"/>
    <n v="88908"/>
    <s v="Good"/>
    <s v="Average"/>
  </r>
  <r>
    <s v="Navi193771"/>
    <n v="3771"/>
    <n v="20"/>
    <n v="9"/>
    <n v="2024"/>
    <d v="2024-09-20T00:00:00"/>
    <s v="September"/>
    <d v="2032-02-04T00:00:00"/>
    <x v="3"/>
    <n v="9"/>
    <n v="51952.52"/>
    <s v="Navin Solanki"/>
    <n v="19"/>
    <s v="Teenagers"/>
    <s v="AVG"/>
    <x v="16"/>
    <s v="Credit Card"/>
    <n v="3"/>
    <s v="Galaxy S21"/>
    <n v="467572.68"/>
    <s v="Average"/>
    <s v="Excellent"/>
  </r>
  <r>
    <s v="Pras343772"/>
    <n v="3772"/>
    <n v="21"/>
    <n v="9"/>
    <n v="2024"/>
    <d v="2024-09-21T00:00:00"/>
    <s v="September"/>
    <d v="2032-02-05T00:00:00"/>
    <x v="2"/>
    <n v="3"/>
    <n v="48687.62"/>
    <s v="Prashant Roy"/>
    <n v="34"/>
    <s v="Adult"/>
    <s v="Good"/>
    <x v="1"/>
    <s v="Cash"/>
    <n v="4"/>
    <s v="OnePlus 8T"/>
    <n v="146062.86000000002"/>
    <s v="Good"/>
    <s v="Good"/>
  </r>
  <r>
    <s v="Sneh273773"/>
    <n v="3773"/>
    <n v="21"/>
    <n v="9"/>
    <n v="2024"/>
    <d v="2024-09-21T00:00:00"/>
    <s v="September"/>
    <d v="2032-02-06T00:00:00"/>
    <x v="4"/>
    <n v="2"/>
    <n v="34648.559999999998"/>
    <s v="Sneha Teja"/>
    <n v="27"/>
    <s v="Teenagers"/>
    <s v="BAD"/>
    <x v="2"/>
    <s v="Credit Card"/>
    <n v="2"/>
    <s v="iPhone SE"/>
    <n v="69297.119999999995"/>
    <s v="Average"/>
    <s v="Average"/>
  </r>
  <r>
    <s v="Priy243774"/>
    <n v="3774"/>
    <n v="21"/>
    <n v="9"/>
    <n v="2024"/>
    <d v="2024-09-21T00:00:00"/>
    <s v="September"/>
    <d v="2032-02-07T00:00:00"/>
    <x v="4"/>
    <n v="6"/>
    <n v="41541.160000000003"/>
    <s v="Priyanka Verma"/>
    <n v="24"/>
    <s v="Teenagers"/>
    <s v="AVG"/>
    <x v="0"/>
    <s v="Debit Card"/>
    <n v="3"/>
    <s v="iPhone 11"/>
    <n v="249246.96000000002"/>
    <s v="Average"/>
    <s v="Excellent"/>
  </r>
  <r>
    <s v="Suni593775"/>
    <n v="3775"/>
    <n v="21"/>
    <n v="9"/>
    <n v="2024"/>
    <d v="2024-09-21T00:00:00"/>
    <s v="September"/>
    <d v="2032-02-08T00:00:00"/>
    <x v="2"/>
    <n v="4"/>
    <n v="66830.149999999994"/>
    <s v="Sunil Chaudhary"/>
    <n v="59"/>
    <s v="Senior Citezen"/>
    <s v="Good"/>
    <x v="13"/>
    <s v="Debit Card"/>
    <n v="5"/>
    <s v="OnePlus 8T"/>
    <n v="267320.59999999998"/>
    <s v="Good"/>
    <s v="Excellent"/>
  </r>
  <r>
    <s v="Priy263776"/>
    <n v="3776"/>
    <n v="22"/>
    <n v="9"/>
    <n v="2024"/>
    <d v="2024-09-22T00:00:00"/>
    <s v="September"/>
    <d v="2032-02-09T00:00:00"/>
    <x v="4"/>
    <n v="1"/>
    <n v="45712.01"/>
    <s v="Priya Patel"/>
    <n v="26"/>
    <s v="Teenagers"/>
    <s v="Good"/>
    <x v="13"/>
    <s v="UPI"/>
    <n v="5"/>
    <s v="iPhone 11"/>
    <n v="45712.01"/>
    <s v="Good"/>
    <s v="Low"/>
  </r>
  <r>
    <s v="Kavi343777"/>
    <n v="3777"/>
    <n v="22"/>
    <n v="9"/>
    <n v="2024"/>
    <d v="2024-09-22T00:00:00"/>
    <s v="September"/>
    <d v="2032-02-10T00:00:00"/>
    <x v="0"/>
    <n v="8"/>
    <n v="49473.04"/>
    <s v="Kavita Dutta"/>
    <n v="34"/>
    <s v="Adult"/>
    <s v="BAD"/>
    <x v="2"/>
    <s v="UPI"/>
    <n v="2"/>
    <s v="Redmi 9"/>
    <n v="395784.32"/>
    <s v="Average"/>
    <s v="Excellent"/>
  </r>
  <r>
    <s v="Lali263778"/>
    <n v="3778"/>
    <n v="22"/>
    <n v="9"/>
    <n v="2024"/>
    <d v="2024-09-22T00:00:00"/>
    <s v="September"/>
    <d v="2032-02-11T00:00:00"/>
    <x v="2"/>
    <n v="9"/>
    <n v="13834.68"/>
    <s v="Lalita Shah"/>
    <n v="26"/>
    <s v="Teenagers"/>
    <s v="AVG"/>
    <x v="2"/>
    <s v="UPI"/>
    <n v="3"/>
    <s v="OnePlus 9"/>
    <n v="124512.12"/>
    <s v="Average"/>
    <s v="Good"/>
  </r>
  <r>
    <s v="Roha263779"/>
    <n v="3779"/>
    <n v="23"/>
    <n v="9"/>
    <n v="2024"/>
    <d v="2024-09-23T00:00:00"/>
    <s v="September"/>
    <d v="2032-02-12T00:00:00"/>
    <x v="0"/>
    <n v="9"/>
    <n v="19959.669999999998"/>
    <s v="Rohan Sheth"/>
    <n v="26"/>
    <s v="Teenagers"/>
    <s v="Good"/>
    <x v="9"/>
    <s v="UPI"/>
    <n v="5"/>
    <s v="Redmi Note 10"/>
    <n v="179637.02999999997"/>
    <s v="Good"/>
    <s v="Good"/>
  </r>
  <r>
    <s v="Sach543780"/>
    <n v="3780"/>
    <n v="23"/>
    <n v="9"/>
    <n v="2024"/>
    <d v="2024-09-23T00:00:00"/>
    <s v="September"/>
    <d v="2032-02-13T00:00:00"/>
    <x v="0"/>
    <n v="2"/>
    <n v="28057.14"/>
    <s v="Sachin Desai"/>
    <n v="54"/>
    <s v="Senior Citezen"/>
    <s v="BAD"/>
    <x v="1"/>
    <s v="Debit Card"/>
    <n v="2"/>
    <s v="Mi 11"/>
    <n v="56114.28"/>
    <s v="Average"/>
    <s v="Average"/>
  </r>
  <r>
    <s v="Bina413781"/>
    <n v="3781"/>
    <n v="23"/>
    <n v="9"/>
    <n v="2024"/>
    <d v="2024-09-23T00:00:00"/>
    <s v="September"/>
    <d v="2032-02-14T00:00:00"/>
    <x v="1"/>
    <n v="9"/>
    <n v="42362.76"/>
    <s v="Bina Mishra"/>
    <n v="41"/>
    <s v="Adult"/>
    <s v="Good"/>
    <x v="9"/>
    <s v="Debit Card"/>
    <n v="4"/>
    <s v="Vivo Y51"/>
    <n v="381264.84"/>
    <s v="Good"/>
    <s v="Excellent"/>
  </r>
  <r>
    <s v="Rame563782"/>
    <n v="3782"/>
    <n v="24"/>
    <n v="9"/>
    <n v="2024"/>
    <d v="2024-09-24T00:00:00"/>
    <s v="September"/>
    <d v="2032-02-15T00:00:00"/>
    <x v="2"/>
    <n v="7"/>
    <n v="56595.45"/>
    <s v="Ramesh Varma"/>
    <n v="56"/>
    <s v="Senior Citezen"/>
    <s v="AVG"/>
    <x v="7"/>
    <s v="Cash"/>
    <n v="3"/>
    <s v="OnePlus Nord"/>
    <n v="396168.14999999997"/>
    <s v="Average"/>
    <s v="Excellent"/>
  </r>
  <r>
    <s v="Moni283783"/>
    <n v="3783"/>
    <n v="24"/>
    <n v="9"/>
    <n v="2024"/>
    <d v="2024-09-24T00:00:00"/>
    <s v="September"/>
    <d v="2032-02-16T00:00:00"/>
    <x v="4"/>
    <n v="5"/>
    <n v="29274.45"/>
    <s v="Monika Chatterjee"/>
    <n v="28"/>
    <s v="Teenagers"/>
    <s v="AVG"/>
    <x v="10"/>
    <s v="UPI"/>
    <n v="3"/>
    <s v="iPhone 11"/>
    <n v="146372.25"/>
    <s v="Average"/>
    <s v="Good"/>
  </r>
  <r>
    <s v="Moni253784"/>
    <n v="3784"/>
    <n v="24"/>
    <n v="9"/>
    <n v="2024"/>
    <d v="2024-09-24T00:00:00"/>
    <s v="September"/>
    <d v="2032-02-17T00:00:00"/>
    <x v="0"/>
    <n v="7"/>
    <n v="31382.95"/>
    <s v="Monika Goyal"/>
    <n v="25"/>
    <s v="Teenagers"/>
    <s v="BAD"/>
    <x v="10"/>
    <s v="Credit Card"/>
    <n v="2"/>
    <s v="Redmi 9"/>
    <n v="219680.65"/>
    <s v="Average"/>
    <s v="Excellent"/>
  </r>
  <r>
    <s v="Deep423785"/>
    <n v="3785"/>
    <n v="25"/>
    <n v="9"/>
    <n v="2024"/>
    <d v="2024-09-25T00:00:00"/>
    <s v="September"/>
    <d v="2032-02-18T00:00:00"/>
    <x v="1"/>
    <n v="9"/>
    <n v="25369.05"/>
    <s v="Deepika Desai"/>
    <n v="42"/>
    <s v="Adult"/>
    <s v="AVG"/>
    <x v="1"/>
    <s v="Cash"/>
    <n v="3"/>
    <s v="Vivo S1"/>
    <n v="228321.44999999998"/>
    <s v="Average"/>
    <s v="Excellent"/>
  </r>
  <r>
    <s v="Sumi193786"/>
    <n v="3786"/>
    <n v="25"/>
    <n v="9"/>
    <n v="2024"/>
    <d v="2024-09-25T00:00:00"/>
    <s v="September"/>
    <d v="2032-02-19T00:00:00"/>
    <x v="2"/>
    <n v="8"/>
    <n v="25276.560000000001"/>
    <s v="Sumit Siddiqui"/>
    <n v="19"/>
    <s v="Teenagers"/>
    <s v="AVG"/>
    <x v="1"/>
    <s v="Cash"/>
    <n v="3"/>
    <s v="OnePlus Nord"/>
    <n v="202212.48000000001"/>
    <s v="Average"/>
    <s v="Excellent"/>
  </r>
  <r>
    <s v="Shru273787"/>
    <n v="3787"/>
    <n v="25"/>
    <n v="9"/>
    <n v="2024"/>
    <d v="2024-09-25T00:00:00"/>
    <s v="September"/>
    <d v="2032-02-20T00:00:00"/>
    <x v="2"/>
    <n v="6"/>
    <n v="66931.83"/>
    <s v="Shruti Dutta"/>
    <n v="27"/>
    <s v="Teenagers"/>
    <s v="Good"/>
    <x v="1"/>
    <s v="Debit Card"/>
    <n v="4"/>
    <s v="OnePlus 8T"/>
    <n v="401590.98"/>
    <s v="Good"/>
    <s v="Excellent"/>
  </r>
  <r>
    <s v="Bhav413788"/>
    <n v="3788"/>
    <n v="26"/>
    <n v="9"/>
    <n v="2024"/>
    <d v="2024-09-26T00:00:00"/>
    <s v="September"/>
    <d v="2032-02-21T00:00:00"/>
    <x v="3"/>
    <n v="4"/>
    <n v="48127.43"/>
    <s v="Bhavana Rathod"/>
    <n v="41"/>
    <s v="Adult"/>
    <s v="Good"/>
    <x v="2"/>
    <s v="UPI"/>
    <n v="4"/>
    <s v="Galaxy S21"/>
    <n v="192509.72"/>
    <s v="Good"/>
    <s v="Good"/>
  </r>
  <r>
    <s v="Sanj333789"/>
    <n v="3789"/>
    <n v="26"/>
    <n v="9"/>
    <n v="2024"/>
    <d v="2024-09-26T00:00:00"/>
    <s v="September"/>
    <d v="2032-02-22T00:00:00"/>
    <x v="3"/>
    <n v="1"/>
    <n v="19354.07"/>
    <s v="Sanjay Srivastava"/>
    <n v="33"/>
    <s v="Adult"/>
    <s v="Good"/>
    <x v="2"/>
    <s v="Cash"/>
    <n v="5"/>
    <s v="Galaxy A51"/>
    <n v="19354.07"/>
    <s v="Good"/>
    <s v="Low"/>
  </r>
  <r>
    <s v="Vino363790"/>
    <n v="3790"/>
    <n v="26"/>
    <n v="9"/>
    <n v="2024"/>
    <d v="2024-09-26T00:00:00"/>
    <s v="September"/>
    <d v="2032-02-23T00:00:00"/>
    <x v="0"/>
    <n v="6"/>
    <n v="53334.91"/>
    <s v="Vinod Prasad"/>
    <n v="36"/>
    <s v="Adult"/>
    <s v="Good"/>
    <x v="2"/>
    <s v="UPI"/>
    <n v="4"/>
    <s v="Redmi Note 10"/>
    <n v="320009.46000000002"/>
    <s v="Good"/>
    <s v="Excellent"/>
  </r>
  <r>
    <s v="Lali483791"/>
    <n v="3791"/>
    <n v="26"/>
    <n v="9"/>
    <n v="2024"/>
    <d v="2024-09-26T00:00:00"/>
    <s v="September"/>
    <d v="2032-02-24T00:00:00"/>
    <x v="3"/>
    <n v="3"/>
    <n v="53321.27"/>
    <s v="Lalita Alva"/>
    <n v="48"/>
    <s v="Senior Citezen"/>
    <s v="Good"/>
    <x v="6"/>
    <s v="Debit Card"/>
    <n v="5"/>
    <s v="Galaxy A51"/>
    <n v="159963.81"/>
    <s v="Good"/>
    <s v="Good"/>
  </r>
  <r>
    <s v="Moni283792"/>
    <n v="3792"/>
    <n v="27"/>
    <n v="9"/>
    <n v="2024"/>
    <d v="2024-09-27T00:00:00"/>
    <s v="September"/>
    <d v="2032-02-25T00:00:00"/>
    <x v="0"/>
    <n v="6"/>
    <n v="49988.21"/>
    <s v="Monika Kumar"/>
    <n v="28"/>
    <s v="Teenagers"/>
    <s v="Good"/>
    <x v="1"/>
    <s v="Cash"/>
    <n v="4"/>
    <s v="Mi 11"/>
    <n v="299929.26"/>
    <s v="Good"/>
    <s v="Excellent"/>
  </r>
  <r>
    <s v="Anit233793"/>
    <n v="3793"/>
    <n v="27"/>
    <n v="9"/>
    <n v="2024"/>
    <d v="2024-09-27T00:00:00"/>
    <s v="September"/>
    <d v="2032-02-26T00:00:00"/>
    <x v="4"/>
    <n v="6"/>
    <n v="18083.23"/>
    <s v="Anita Shah"/>
    <n v="23"/>
    <s v="Teenagers"/>
    <s v="Good"/>
    <x v="1"/>
    <s v="Cash"/>
    <n v="5"/>
    <s v="iPhone SE"/>
    <n v="108499.38"/>
    <s v="Good"/>
    <s v="Good"/>
  </r>
  <r>
    <s v="Sumi233794"/>
    <n v="3794"/>
    <n v="27"/>
    <n v="9"/>
    <n v="2024"/>
    <d v="2024-09-27T00:00:00"/>
    <s v="September"/>
    <d v="2032-02-27T00:00:00"/>
    <x v="0"/>
    <n v="4"/>
    <n v="34479.49"/>
    <s v="Sumit Malhotra"/>
    <n v="23"/>
    <s v="Teenagers"/>
    <s v="Good"/>
    <x v="17"/>
    <s v="Credit Card"/>
    <n v="4"/>
    <s v="Redmi 9"/>
    <n v="137917.96"/>
    <s v="Good"/>
    <s v="Good"/>
  </r>
  <r>
    <s v="Hari493795"/>
    <n v="3795"/>
    <n v="27"/>
    <n v="9"/>
    <n v="2024"/>
    <d v="2024-09-27T00:00:00"/>
    <s v="September"/>
    <d v="2032-02-28T00:00:00"/>
    <x v="3"/>
    <n v="2"/>
    <n v="16405.38"/>
    <s v="Harish Kapoor"/>
    <n v="49"/>
    <s v="Senior Citezen"/>
    <s v="Good"/>
    <x v="5"/>
    <s v="Debit Card"/>
    <n v="4"/>
    <s v="Galaxy S21"/>
    <n v="32810.76"/>
    <s v="Good"/>
    <s v="Low"/>
  </r>
  <r>
    <s v="Gita563796"/>
    <n v="3796"/>
    <n v="28"/>
    <n v="9"/>
    <n v="2024"/>
    <d v="2024-09-28T00:00:00"/>
    <s v="September"/>
    <d v="2032-02-29T00:00:00"/>
    <x v="4"/>
    <n v="9"/>
    <n v="58997.23"/>
    <s v="Gita Bhattacharya"/>
    <n v="56"/>
    <s v="Senior Citezen"/>
    <s v="BAD"/>
    <x v="11"/>
    <s v="Credit Card"/>
    <n v="2"/>
    <s v="iPhone 11"/>
    <n v="530975.07000000007"/>
    <s v="Average"/>
    <s v="Excellent"/>
  </r>
  <r>
    <s v="Sumi303797"/>
    <n v="3797"/>
    <n v="28"/>
    <n v="9"/>
    <n v="2024"/>
    <d v="2024-09-28T00:00:00"/>
    <s v="September"/>
    <d v="2032-03-01T00:00:00"/>
    <x v="3"/>
    <n v="2"/>
    <n v="49310.33"/>
    <s v="Sumit Reddy"/>
    <n v="30"/>
    <s v="Teenagers"/>
    <s v="Good"/>
    <x v="1"/>
    <s v="Debit Card"/>
    <n v="4"/>
    <s v="Galaxy A51"/>
    <n v="98620.66"/>
    <s v="Good"/>
    <s v="Average"/>
  </r>
  <r>
    <s v="Hari203798"/>
    <n v="3798"/>
    <n v="28"/>
    <n v="9"/>
    <n v="2024"/>
    <d v="2024-09-28T00:00:00"/>
    <s v="September"/>
    <d v="2032-03-02T00:00:00"/>
    <x v="0"/>
    <n v="3"/>
    <n v="40432.239999999998"/>
    <s v="Harish Malhotra"/>
    <n v="20"/>
    <s v="Teenagers"/>
    <s v="Good"/>
    <x v="1"/>
    <s v="Credit Card"/>
    <n v="5"/>
    <s v="Mi 11"/>
    <n v="121296.72"/>
    <s v="Good"/>
    <s v="Good"/>
  </r>
  <r>
    <s v="Yoge583799"/>
    <n v="3799"/>
    <n v="29"/>
    <n v="9"/>
    <n v="2024"/>
    <d v="2024-09-29T00:00:00"/>
    <s v="September"/>
    <d v="2032-03-03T00:00:00"/>
    <x v="1"/>
    <n v="1"/>
    <n v="30580.93"/>
    <s v="Yogesh Ahuja"/>
    <n v="58"/>
    <s v="Senior Citezen"/>
    <s v="BAD"/>
    <x v="3"/>
    <s v="Debit Card"/>
    <n v="2"/>
    <s v="Vivo V20"/>
    <n v="30580.93"/>
    <s v="Average"/>
    <s v="Low"/>
  </r>
  <r>
    <s v="Priy523800"/>
    <n v="3800"/>
    <n v="29"/>
    <n v="9"/>
    <n v="2024"/>
    <d v="2024-09-29T00:00:00"/>
    <s v="September"/>
    <d v="2032-03-04T00:00:00"/>
    <x v="2"/>
    <n v="7"/>
    <n v="21054.97"/>
    <s v="Priyanka Goyal"/>
    <n v="52"/>
    <s v="Senior Citezen"/>
    <s v="Good"/>
    <x v="10"/>
    <s v="Debit Card"/>
    <n v="5"/>
    <s v="OnePlus 8T"/>
    <n v="147384.79"/>
    <s v="Good"/>
    <s v="Good"/>
  </r>
  <r>
    <s v="Anan553801"/>
    <n v="3801"/>
    <n v="29"/>
    <n v="9"/>
    <n v="2024"/>
    <d v="2024-09-29T00:00:00"/>
    <s v="September"/>
    <d v="2032-03-05T00:00:00"/>
    <x v="3"/>
    <n v="1"/>
    <n v="16386.86"/>
    <s v="Anand Bhattacharya"/>
    <n v="55"/>
    <s v="Senior Citezen"/>
    <s v="Good"/>
    <x v="2"/>
    <s v="Cash"/>
    <n v="4"/>
    <s v="Galaxy Note 20"/>
    <n v="16386.86"/>
    <s v="Good"/>
    <s v="Low"/>
  </r>
  <r>
    <s v="Moni343802"/>
    <n v="3802"/>
    <n v="30"/>
    <n v="9"/>
    <n v="2024"/>
    <d v="2024-09-30T00:00:00"/>
    <s v="September"/>
    <d v="2032-03-06T00:00:00"/>
    <x v="0"/>
    <n v="9"/>
    <n v="68154.44"/>
    <s v="Monika Rathod"/>
    <n v="34"/>
    <s v="Adult"/>
    <s v="Good"/>
    <x v="12"/>
    <s v="Credit Card"/>
    <n v="4"/>
    <s v="Redmi Note 10"/>
    <n v="613389.96"/>
    <s v="Good"/>
    <s v="Excellent"/>
  </r>
  <r>
    <s v="Sach203803"/>
    <n v="3803"/>
    <n v="30"/>
    <n v="9"/>
    <n v="2024"/>
    <d v="2024-09-30T00:00:00"/>
    <s v="September"/>
    <d v="2032-03-07T00:00:00"/>
    <x v="4"/>
    <n v="1"/>
    <n v="21978.92"/>
    <s v="Sachin Kaur"/>
    <n v="20"/>
    <s v="Teenagers"/>
    <s v="Good"/>
    <x v="1"/>
    <s v="Credit Card"/>
    <n v="5"/>
    <s v="iPhone SE"/>
    <n v="21978.92"/>
    <s v="Good"/>
    <s v="Low"/>
  </r>
  <r>
    <s v="Kira513804"/>
    <n v="3804"/>
    <n v="30"/>
    <n v="9"/>
    <n v="2024"/>
    <d v="2024-09-30T00:00:00"/>
    <s v="September"/>
    <d v="2032-03-08T00:00:00"/>
    <x v="3"/>
    <n v="5"/>
    <n v="13592.48"/>
    <s v="Kiran Mishra"/>
    <n v="51"/>
    <s v="Senior Citezen"/>
    <s v="AVG"/>
    <x v="5"/>
    <s v="Credit Card"/>
    <n v="3"/>
    <s v="Galaxy A51"/>
    <n v="67962.399999999994"/>
    <s v="Average"/>
    <s v="Average"/>
  </r>
  <r>
    <s v="Priy293805"/>
    <n v="3805"/>
    <n v="30"/>
    <n v="9"/>
    <n v="2024"/>
    <d v="2024-09-30T00:00:00"/>
    <s v="September"/>
    <d v="2032-03-09T00:00:00"/>
    <x v="3"/>
    <n v="7"/>
    <n v="67700.009999999995"/>
    <s v="Priya Sharma"/>
    <n v="29"/>
    <s v="Teenagers"/>
    <s v="BAD"/>
    <x v="2"/>
    <s v="Cash"/>
    <n v="2"/>
    <s v="Galaxy Note 20"/>
    <n v="473900.06999999995"/>
    <s v="Average"/>
    <s v="Excellent"/>
  </r>
  <r>
    <s v="Lata413806"/>
    <n v="3806"/>
    <n v="1"/>
    <n v="10"/>
    <n v="2024"/>
    <d v="2024-10-01T00:00:00"/>
    <s v="October"/>
    <d v="2032-03-10T00:00:00"/>
    <x v="2"/>
    <n v="3"/>
    <n v="42937.1"/>
    <s v="Lata Bhattacharya"/>
    <n v="41"/>
    <s v="Adult"/>
    <s v="BAD"/>
    <x v="17"/>
    <s v="UPI"/>
    <n v="2"/>
    <s v="OnePlus Nord"/>
    <n v="128811.29999999999"/>
    <s v="Average"/>
    <s v="Good"/>
  </r>
  <r>
    <s v="Jyot233807"/>
    <n v="3807"/>
    <n v="1"/>
    <n v="10"/>
    <n v="2024"/>
    <d v="2024-10-01T00:00:00"/>
    <s v="October"/>
    <d v="2032-03-11T00:00:00"/>
    <x v="0"/>
    <n v="9"/>
    <n v="57799.4"/>
    <s v="Jyoti Jain"/>
    <n v="23"/>
    <s v="Teenagers"/>
    <s v="Good"/>
    <x v="18"/>
    <s v="Debit Card"/>
    <n v="4"/>
    <s v="Redmi Note 10"/>
    <n v="520194.60000000003"/>
    <s v="Good"/>
    <s v="Excellent"/>
  </r>
  <r>
    <s v="Anan593808"/>
    <n v="3808"/>
    <n v="1"/>
    <n v="10"/>
    <n v="2024"/>
    <d v="2024-10-01T00:00:00"/>
    <s v="October"/>
    <d v="2032-03-12T00:00:00"/>
    <x v="1"/>
    <n v="8"/>
    <n v="12625.95"/>
    <s v="Anand Rao"/>
    <n v="59"/>
    <s v="Senior Citezen"/>
    <s v="BAD"/>
    <x v="1"/>
    <s v="Credit Card"/>
    <n v="2"/>
    <s v="Vivo Y51"/>
    <n v="101007.6"/>
    <s v="Average"/>
    <s v="Good"/>
  </r>
  <r>
    <s v="Suni283809"/>
    <n v="3809"/>
    <n v="1"/>
    <n v="10"/>
    <n v="2024"/>
    <d v="2024-10-01T00:00:00"/>
    <s v="October"/>
    <d v="2032-03-13T00:00:00"/>
    <x v="4"/>
    <n v="3"/>
    <n v="44016.75"/>
    <s v="Sunita Roy"/>
    <n v="28"/>
    <s v="Teenagers"/>
    <s v="Good"/>
    <x v="1"/>
    <s v="Debit Card"/>
    <n v="5"/>
    <s v="iPhone 11"/>
    <n v="132050.25"/>
    <s v="Good"/>
    <s v="Good"/>
  </r>
  <r>
    <s v="Reen443810"/>
    <n v="3810"/>
    <n v="2"/>
    <n v="10"/>
    <n v="2024"/>
    <d v="2024-10-02T00:00:00"/>
    <s v="October"/>
    <d v="2032-03-14T00:00:00"/>
    <x v="0"/>
    <n v="5"/>
    <n v="33892.6"/>
    <s v="Reena Arora"/>
    <n v="44"/>
    <s v="Adult"/>
    <s v="Good"/>
    <x v="4"/>
    <s v="Cash"/>
    <n v="4"/>
    <s v="Redmi 9"/>
    <n v="169463"/>
    <s v="Good"/>
    <s v="Good"/>
  </r>
  <r>
    <s v="Rame413811"/>
    <n v="3811"/>
    <n v="2"/>
    <n v="10"/>
    <n v="2024"/>
    <d v="2024-10-02T00:00:00"/>
    <s v="October"/>
    <d v="2032-03-15T00:00:00"/>
    <x v="4"/>
    <n v="7"/>
    <n v="56317.87"/>
    <s v="Ramesh Solanki"/>
    <n v="41"/>
    <s v="Adult"/>
    <s v="BAD"/>
    <x v="9"/>
    <s v="Debit Card"/>
    <n v="2"/>
    <s v="iPhone SE"/>
    <n v="394225.09"/>
    <s v="Average"/>
    <s v="Excellent"/>
  </r>
  <r>
    <s v="Rame353812"/>
    <n v="3812"/>
    <n v="2"/>
    <n v="10"/>
    <n v="2024"/>
    <d v="2024-10-02T00:00:00"/>
    <s v="October"/>
    <d v="2032-03-16T00:00:00"/>
    <x v="3"/>
    <n v="4"/>
    <n v="12305.54"/>
    <s v="Ramesh Kumar"/>
    <n v="35"/>
    <s v="Adult"/>
    <s v="Good"/>
    <x v="12"/>
    <s v="Cash"/>
    <n v="5"/>
    <s v="Galaxy A51"/>
    <n v="49222.16"/>
    <s v="Good"/>
    <s v="Low"/>
  </r>
  <r>
    <s v="Arun443813"/>
    <n v="3813"/>
    <n v="2"/>
    <n v="10"/>
    <n v="2024"/>
    <d v="2024-10-02T00:00:00"/>
    <s v="October"/>
    <d v="2032-03-17T00:00:00"/>
    <x v="2"/>
    <n v="5"/>
    <n v="34101.43"/>
    <s v="Arun Kumar"/>
    <n v="44"/>
    <s v="Adult"/>
    <s v="BAD"/>
    <x v="1"/>
    <s v="UPI"/>
    <n v="2"/>
    <s v="OnePlus 8T"/>
    <n v="170507.15"/>
    <s v="Average"/>
    <s v="Good"/>
  </r>
  <r>
    <s v="Kira583814"/>
    <n v="3814"/>
    <n v="3"/>
    <n v="10"/>
    <n v="2024"/>
    <d v="2024-10-03T00:00:00"/>
    <s v="October"/>
    <d v="2032-03-18T00:00:00"/>
    <x v="2"/>
    <n v="3"/>
    <n v="57944.41"/>
    <s v="Kiran Singh"/>
    <n v="58"/>
    <s v="Senior Citezen"/>
    <s v="Good"/>
    <x v="12"/>
    <s v="Credit Card"/>
    <n v="5"/>
    <s v="OnePlus Nord"/>
    <n v="173833.23"/>
    <s v="Good"/>
    <s v="Good"/>
  </r>
  <r>
    <s v="Sumi383815"/>
    <n v="3815"/>
    <n v="3"/>
    <n v="10"/>
    <n v="2024"/>
    <d v="2024-10-03T00:00:00"/>
    <s v="October"/>
    <d v="2032-03-19T00:00:00"/>
    <x v="1"/>
    <n v="9"/>
    <n v="41361.839999999997"/>
    <s v="Sumit Sheth"/>
    <n v="38"/>
    <s v="Adult"/>
    <s v="BAD"/>
    <x v="1"/>
    <s v="Cash"/>
    <n v="2"/>
    <s v="Vivo Y51"/>
    <n v="372256.55999999994"/>
    <s v="Average"/>
    <s v="Excellent"/>
  </r>
  <r>
    <s v="Kira513816"/>
    <n v="3816"/>
    <n v="3"/>
    <n v="10"/>
    <n v="2024"/>
    <d v="2024-10-03T00:00:00"/>
    <s v="October"/>
    <d v="2032-03-20T00:00:00"/>
    <x v="2"/>
    <n v="9"/>
    <n v="43002.32"/>
    <s v="Kiran Rathod"/>
    <n v="51"/>
    <s v="Senior Citezen"/>
    <s v="AVG"/>
    <x v="1"/>
    <s v="Debit Card"/>
    <n v="3"/>
    <s v="OnePlus Nord"/>
    <n v="387020.88"/>
    <s v="Average"/>
    <s v="Excellent"/>
  </r>
  <r>
    <s v="Pank503817"/>
    <n v="3817"/>
    <n v="3"/>
    <n v="10"/>
    <n v="2024"/>
    <d v="2024-10-03T00:00:00"/>
    <s v="October"/>
    <d v="2032-03-21T00:00:00"/>
    <x v="3"/>
    <n v="7"/>
    <n v="15829.88"/>
    <s v="Pankaj Alva"/>
    <n v="50"/>
    <s v="Senior Citezen"/>
    <s v="AVG"/>
    <x v="7"/>
    <s v="Cash"/>
    <n v="3"/>
    <s v="Galaxy Note 20"/>
    <n v="110809.15999999999"/>
    <s v="Average"/>
    <s v="Good"/>
  </r>
  <r>
    <s v="Tanu353818"/>
    <n v="3818"/>
    <n v="4"/>
    <n v="10"/>
    <n v="2024"/>
    <d v="2024-10-04T00:00:00"/>
    <s v="October"/>
    <d v="2032-03-22T00:00:00"/>
    <x v="1"/>
    <n v="2"/>
    <n v="17939.830000000002"/>
    <s v="Tanuja Teja"/>
    <n v="35"/>
    <s v="Adult"/>
    <s v="Good"/>
    <x v="1"/>
    <s v="Cash"/>
    <n v="4"/>
    <s v="Vivo Y51"/>
    <n v="35879.660000000003"/>
    <s v="Good"/>
    <s v="Low"/>
  </r>
  <r>
    <s v="Arun203819"/>
    <n v="3819"/>
    <n v="4"/>
    <n v="10"/>
    <n v="2024"/>
    <d v="2024-10-04T00:00:00"/>
    <s v="October"/>
    <d v="2032-03-23T00:00:00"/>
    <x v="0"/>
    <n v="7"/>
    <n v="50619.98"/>
    <s v="Arun Shah"/>
    <n v="20"/>
    <s v="Teenagers"/>
    <s v="AVG"/>
    <x v="2"/>
    <s v="UPI"/>
    <n v="3"/>
    <s v="Mi 11"/>
    <n v="354339.86000000004"/>
    <s v="Average"/>
    <s v="Excellent"/>
  </r>
  <r>
    <s v="Lali413820"/>
    <n v="3820"/>
    <n v="4"/>
    <n v="10"/>
    <n v="2024"/>
    <d v="2024-10-04T00:00:00"/>
    <s v="October"/>
    <d v="2032-03-24T00:00:00"/>
    <x v="2"/>
    <n v="7"/>
    <n v="50502.8"/>
    <s v="Lalita Sheth"/>
    <n v="41"/>
    <s v="Adult"/>
    <s v="Good"/>
    <x v="8"/>
    <s v="Credit Card"/>
    <n v="5"/>
    <s v="OnePlus Nord"/>
    <n v="353519.60000000003"/>
    <s v="Good"/>
    <s v="Excellent"/>
  </r>
  <r>
    <s v="Vive183821"/>
    <n v="3821"/>
    <n v="5"/>
    <n v="10"/>
    <n v="2024"/>
    <d v="2024-10-05T00:00:00"/>
    <s v="October"/>
    <d v="2032-03-25T00:00:00"/>
    <x v="1"/>
    <n v="5"/>
    <n v="68746.2"/>
    <s v="Vivek Shah"/>
    <n v="18"/>
    <s v="Teenagers"/>
    <s v="Good"/>
    <x v="1"/>
    <s v="Cash"/>
    <n v="5"/>
    <s v="Vivo S1"/>
    <n v="343731"/>
    <s v="Good"/>
    <s v="Excellent"/>
  </r>
  <r>
    <s v="Lata233822"/>
    <n v="3822"/>
    <n v="5"/>
    <n v="10"/>
    <n v="2024"/>
    <d v="2024-10-05T00:00:00"/>
    <s v="October"/>
    <d v="2032-03-26T00:00:00"/>
    <x v="3"/>
    <n v="9"/>
    <n v="52717.18"/>
    <s v="Lata Alva"/>
    <n v="23"/>
    <s v="Teenagers"/>
    <s v="Good"/>
    <x v="13"/>
    <s v="Cash"/>
    <n v="5"/>
    <s v="Galaxy S21"/>
    <n v="474454.62"/>
    <s v="Good"/>
    <s v="Excellent"/>
  </r>
  <r>
    <s v="Raje363823"/>
    <n v="3823"/>
    <n v="5"/>
    <n v="10"/>
    <n v="2024"/>
    <d v="2024-10-05T00:00:00"/>
    <s v="October"/>
    <d v="2032-03-27T00:00:00"/>
    <x v="4"/>
    <n v="3"/>
    <n v="39594.61"/>
    <s v="Rajesh Ghosh"/>
    <n v="36"/>
    <s v="Adult"/>
    <s v="Good"/>
    <x v="7"/>
    <s v="Debit Card"/>
    <n v="4"/>
    <s v="iPhone 11"/>
    <n v="118783.83"/>
    <s v="Good"/>
    <s v="Good"/>
  </r>
  <r>
    <s v="Nami393824"/>
    <n v="3824"/>
    <n v="5"/>
    <n v="10"/>
    <n v="2024"/>
    <d v="2024-10-05T00:00:00"/>
    <s v="October"/>
    <d v="2032-03-28T00:00:00"/>
    <x v="4"/>
    <n v="4"/>
    <n v="61439.67"/>
    <s v="Namita Patel"/>
    <n v="39"/>
    <s v="Adult"/>
    <s v="Good"/>
    <x v="12"/>
    <s v="Cash"/>
    <n v="4"/>
    <s v="iPhone SE"/>
    <n v="245758.68"/>
    <s v="Good"/>
    <s v="Excellent"/>
  </r>
  <r>
    <s v="Tapa253825"/>
    <n v="3825"/>
    <n v="6"/>
    <n v="10"/>
    <n v="2024"/>
    <d v="2024-10-06T00:00:00"/>
    <s v="October"/>
    <d v="2032-03-29T00:00:00"/>
    <x v="3"/>
    <n v="1"/>
    <n v="16268.38"/>
    <s v="Tapan Singh"/>
    <n v="25"/>
    <s v="Teenagers"/>
    <s v="AVG"/>
    <x v="12"/>
    <s v="Cash"/>
    <n v="3"/>
    <s v="Galaxy S21"/>
    <n v="16268.38"/>
    <s v="Average"/>
    <s v="Low"/>
  </r>
  <r>
    <s v="Radh223826"/>
    <n v="3826"/>
    <n v="6"/>
    <n v="10"/>
    <n v="2024"/>
    <d v="2024-10-06T00:00:00"/>
    <s v="October"/>
    <d v="2032-03-30T00:00:00"/>
    <x v="3"/>
    <n v="6"/>
    <n v="36957.75"/>
    <s v="Radha Kumar"/>
    <n v="22"/>
    <s v="Teenagers"/>
    <s v="Good"/>
    <x v="1"/>
    <s v="Credit Card"/>
    <n v="5"/>
    <s v="Galaxy S21"/>
    <n v="221746.5"/>
    <s v="Good"/>
    <s v="Excellent"/>
  </r>
  <r>
    <s v="Navi263827"/>
    <n v="3827"/>
    <n v="6"/>
    <n v="10"/>
    <n v="2024"/>
    <d v="2024-10-06T00:00:00"/>
    <s v="October"/>
    <d v="2032-03-31T00:00:00"/>
    <x v="4"/>
    <n v="4"/>
    <n v="27226.55"/>
    <s v="Navin Solanki"/>
    <n v="26"/>
    <s v="Teenagers"/>
    <s v="AVG"/>
    <x v="15"/>
    <s v="Credit Card"/>
    <n v="3"/>
    <s v="iPhone SE"/>
    <n v="108906.2"/>
    <s v="Average"/>
    <s v="Good"/>
  </r>
  <r>
    <s v="Sumi383828"/>
    <n v="3828"/>
    <n v="7"/>
    <n v="10"/>
    <n v="2024"/>
    <d v="2024-10-07T00:00:00"/>
    <s v="October"/>
    <d v="2032-04-01T00:00:00"/>
    <x v="1"/>
    <n v="1"/>
    <n v="16278.27"/>
    <s v="Sumit Ghosh"/>
    <n v="38"/>
    <s v="Adult"/>
    <s v="Good"/>
    <x v="14"/>
    <s v="Debit Card"/>
    <n v="5"/>
    <s v="Vivo Y51"/>
    <n v="16278.27"/>
    <s v="Good"/>
    <s v="Low"/>
  </r>
  <r>
    <s v="Raje453829"/>
    <n v="3829"/>
    <n v="7"/>
    <n v="10"/>
    <n v="2024"/>
    <d v="2024-10-07T00:00:00"/>
    <s v="October"/>
    <d v="2032-04-02T00:00:00"/>
    <x v="4"/>
    <n v="2"/>
    <n v="55810.13"/>
    <s v="Rajesh Singh"/>
    <n v="45"/>
    <s v="Adult"/>
    <s v="Good"/>
    <x v="11"/>
    <s v="Cash"/>
    <n v="5"/>
    <s v="iPhone 12"/>
    <n v="111620.26"/>
    <s v="Good"/>
    <s v="Good"/>
  </r>
  <r>
    <s v="Meen213830"/>
    <n v="3830"/>
    <n v="7"/>
    <n v="10"/>
    <n v="2024"/>
    <d v="2024-10-07T00:00:00"/>
    <s v="October"/>
    <d v="2032-04-03T00:00:00"/>
    <x v="3"/>
    <n v="3"/>
    <n v="40647.519999999997"/>
    <s v="Meena Sheth"/>
    <n v="21"/>
    <s v="Teenagers"/>
    <s v="Good"/>
    <x v="1"/>
    <s v="Cash"/>
    <n v="5"/>
    <s v="Galaxy S21"/>
    <n v="121942.56"/>
    <s v="Good"/>
    <s v="Good"/>
  </r>
  <r>
    <s v="Kavi413831"/>
    <n v="3831"/>
    <n v="7"/>
    <n v="10"/>
    <n v="2024"/>
    <d v="2024-10-07T00:00:00"/>
    <s v="October"/>
    <d v="2032-04-04T00:00:00"/>
    <x v="2"/>
    <n v="9"/>
    <n v="43406.12"/>
    <s v="Kavita Bhatnagar"/>
    <n v="41"/>
    <s v="Adult"/>
    <s v="Good"/>
    <x v="2"/>
    <s v="Cash"/>
    <n v="5"/>
    <s v="OnePlus 8T"/>
    <n v="390655.08"/>
    <s v="Good"/>
    <s v="Excellent"/>
  </r>
  <r>
    <s v="Vive253832"/>
    <n v="3832"/>
    <n v="8"/>
    <n v="10"/>
    <n v="2024"/>
    <d v="2024-10-08T00:00:00"/>
    <s v="October"/>
    <d v="2032-04-05T00:00:00"/>
    <x v="0"/>
    <n v="8"/>
    <n v="34675.31"/>
    <s v="Vivek Sheth"/>
    <n v="25"/>
    <s v="Teenagers"/>
    <s v="BAD"/>
    <x v="4"/>
    <s v="UPI"/>
    <n v="2"/>
    <s v="Redmi 9"/>
    <n v="277402.48"/>
    <s v="Average"/>
    <s v="Excellent"/>
  </r>
  <r>
    <s v="Anit343833"/>
    <n v="3833"/>
    <n v="8"/>
    <n v="10"/>
    <n v="2024"/>
    <d v="2024-10-08T00:00:00"/>
    <s v="October"/>
    <d v="2032-04-06T00:00:00"/>
    <x v="2"/>
    <n v="7"/>
    <n v="37620.230000000003"/>
    <s v="Anita Desai"/>
    <n v="34"/>
    <s v="Adult"/>
    <s v="Good"/>
    <x v="5"/>
    <s v="UPI"/>
    <n v="5"/>
    <s v="OnePlus 8T"/>
    <n v="263341.61000000004"/>
    <s v="Good"/>
    <s v="Excellent"/>
  </r>
  <r>
    <s v="Ayes513834"/>
    <n v="3834"/>
    <n v="8"/>
    <n v="10"/>
    <n v="2024"/>
    <d v="2024-10-08T00:00:00"/>
    <s v="October"/>
    <d v="2032-04-07T00:00:00"/>
    <x v="2"/>
    <n v="4"/>
    <n v="16961.04"/>
    <s v="Ayesha Rathod"/>
    <n v="51"/>
    <s v="Senior Citezen"/>
    <s v="Good"/>
    <x v="2"/>
    <s v="Debit Card"/>
    <n v="5"/>
    <s v="OnePlus 8T"/>
    <n v="67844.160000000003"/>
    <s v="Good"/>
    <s v="Average"/>
  </r>
  <r>
    <s v="Sanj373835"/>
    <n v="3835"/>
    <n v="8"/>
    <n v="10"/>
    <n v="2024"/>
    <d v="2024-10-08T00:00:00"/>
    <s v="October"/>
    <d v="2032-04-08T00:00:00"/>
    <x v="3"/>
    <n v="1"/>
    <n v="50375.07"/>
    <s v="Sanjay Malhotra"/>
    <n v="37"/>
    <s v="Adult"/>
    <s v="AVG"/>
    <x v="17"/>
    <s v="UPI"/>
    <n v="3"/>
    <s v="Galaxy A51"/>
    <n v="50375.07"/>
    <s v="Average"/>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V36:W42" firstHeaderRow="1" firstDataRow="1" firstDataCol="1"/>
  <pivotFields count="22">
    <pivotField showAll="0"/>
    <pivotField showAll="0"/>
    <pivotField showAll="0"/>
    <pivotField showAll="0"/>
    <pivotField showAll="0"/>
    <pivotField numFmtId="14" showAll="0"/>
    <pivotField showAll="0"/>
    <pivotField numFmtId="165" showAll="0"/>
    <pivotField axis="axisRow" showAll="0">
      <items count="6">
        <item x="4"/>
        <item x="2"/>
        <item x="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U6" firstHeaderRow="1" firstDataRow="2" firstDataCol="1"/>
  <pivotFields count="22">
    <pivotField showAll="0"/>
    <pivotField showAll="0"/>
    <pivotField showAll="0"/>
    <pivotField showAll="0"/>
    <pivotField showAll="0"/>
    <pivotField numFmtId="14" showAll="0"/>
    <pivotField showAll="0"/>
    <pivotField numFmtId="165" showAll="0"/>
    <pivotField axis="axisRow" showAll="0">
      <items count="6">
        <item h="1" x="4"/>
        <item h="1" x="2"/>
        <item h="1" x="3"/>
        <item h="1" x="1"/>
        <item x="0"/>
        <item t="default"/>
      </items>
    </pivotField>
    <pivotField showAll="0"/>
    <pivotField showAll="0"/>
    <pivotField showAll="0"/>
    <pivotField showAll="0"/>
    <pivotField showAll="0"/>
    <pivotField showAll="0"/>
    <pivotField axis="axisCol" showAll="0">
      <items count="20">
        <item x="18"/>
        <item x="13"/>
        <item x="8"/>
        <item x="9"/>
        <item x="1"/>
        <item x="3"/>
        <item x="7"/>
        <item x="16"/>
        <item x="4"/>
        <item x="12"/>
        <item x="10"/>
        <item x="15"/>
        <item x="0"/>
        <item x="6"/>
        <item x="2"/>
        <item x="17"/>
        <item x="11"/>
        <item x="14"/>
        <item x="5"/>
        <item t="default"/>
      </items>
    </pivotField>
    <pivotField showAll="0"/>
    <pivotField showAll="0"/>
    <pivotField showAll="0"/>
    <pivotField dataField="1" showAll="0"/>
    <pivotField showAll="0"/>
    <pivotField showAll="0"/>
  </pivotFields>
  <rowFields count="1">
    <field x="8"/>
  </rowFields>
  <rowItems count="2">
    <i>
      <x v="4"/>
    </i>
    <i t="grand">
      <x/>
    </i>
  </rowItems>
  <colFields count="1">
    <field x="15"/>
  </colFields>
  <colItems count="20">
    <i>
      <x/>
    </i>
    <i>
      <x v="1"/>
    </i>
    <i>
      <x v="2"/>
    </i>
    <i>
      <x v="3"/>
    </i>
    <i>
      <x v="4"/>
    </i>
    <i>
      <x v="5"/>
    </i>
    <i>
      <x v="6"/>
    </i>
    <i>
      <x v="7"/>
    </i>
    <i>
      <x v="8"/>
    </i>
    <i>
      <x v="9"/>
    </i>
    <i>
      <x v="10"/>
    </i>
    <i>
      <x v="11"/>
    </i>
    <i>
      <x v="12"/>
    </i>
    <i>
      <x v="13"/>
    </i>
    <i>
      <x v="14"/>
    </i>
    <i>
      <x v="15"/>
    </i>
    <i>
      <x v="16"/>
    </i>
    <i>
      <x v="17"/>
    </i>
    <i>
      <x v="18"/>
    </i>
    <i t="grand">
      <x/>
    </i>
  </colItems>
  <dataFields count="1">
    <dataField name="Sum of Total Sale" fld="19" baseField="0" baseItem="0"/>
  </dataFields>
  <chartFormats count="95">
    <chartFormat chart="4" format="86" series="1">
      <pivotArea type="data" outline="0" fieldPosition="0">
        <references count="2">
          <reference field="4294967294" count="1" selected="0">
            <x v="0"/>
          </reference>
          <reference field="15" count="1" selected="0">
            <x v="9"/>
          </reference>
        </references>
      </pivotArea>
    </chartFormat>
    <chartFormat chart="4" format="87" series="1">
      <pivotArea type="data" outline="0" fieldPosition="0">
        <references count="2">
          <reference field="4294967294" count="1" selected="0">
            <x v="0"/>
          </reference>
          <reference field="15" count="1" selected="0">
            <x v="10"/>
          </reference>
        </references>
      </pivotArea>
    </chartFormat>
    <chartFormat chart="4" format="88" series="1">
      <pivotArea type="data" outline="0" fieldPosition="0">
        <references count="2">
          <reference field="4294967294" count="1" selected="0">
            <x v="0"/>
          </reference>
          <reference field="15" count="1" selected="0">
            <x v="11"/>
          </reference>
        </references>
      </pivotArea>
    </chartFormat>
    <chartFormat chart="4" format="89" series="1">
      <pivotArea type="data" outline="0" fieldPosition="0">
        <references count="2">
          <reference field="4294967294" count="1" selected="0">
            <x v="0"/>
          </reference>
          <reference field="15" count="1" selected="0">
            <x v="12"/>
          </reference>
        </references>
      </pivotArea>
    </chartFormat>
    <chartFormat chart="4" format="90" series="1">
      <pivotArea type="data" outline="0" fieldPosition="0">
        <references count="2">
          <reference field="4294967294" count="1" selected="0">
            <x v="0"/>
          </reference>
          <reference field="15" count="1" selected="0">
            <x v="13"/>
          </reference>
        </references>
      </pivotArea>
    </chartFormat>
    <chartFormat chart="4" format="91" series="1">
      <pivotArea type="data" outline="0" fieldPosition="0">
        <references count="2">
          <reference field="4294967294" count="1" selected="0">
            <x v="0"/>
          </reference>
          <reference field="15" count="1" selected="0">
            <x v="14"/>
          </reference>
        </references>
      </pivotArea>
    </chartFormat>
    <chartFormat chart="4" format="92" series="1">
      <pivotArea type="data" outline="0" fieldPosition="0">
        <references count="2">
          <reference field="4294967294" count="1" selected="0">
            <x v="0"/>
          </reference>
          <reference field="15" count="1" selected="0">
            <x v="15"/>
          </reference>
        </references>
      </pivotArea>
    </chartFormat>
    <chartFormat chart="4" format="93" series="1">
      <pivotArea type="data" outline="0" fieldPosition="0">
        <references count="2">
          <reference field="4294967294" count="1" selected="0">
            <x v="0"/>
          </reference>
          <reference field="15" count="1" selected="0">
            <x v="16"/>
          </reference>
        </references>
      </pivotArea>
    </chartFormat>
    <chartFormat chart="4" format="94" series="1">
      <pivotArea type="data" outline="0" fieldPosition="0">
        <references count="2">
          <reference field="4294967294" count="1" selected="0">
            <x v="0"/>
          </reference>
          <reference field="15" count="1" selected="0">
            <x v="17"/>
          </reference>
        </references>
      </pivotArea>
    </chartFormat>
    <chartFormat chart="4" format="95" series="1">
      <pivotArea type="data" outline="0" fieldPosition="0">
        <references count="2">
          <reference field="4294967294" count="1" selected="0">
            <x v="0"/>
          </reference>
          <reference field="15" count="1" selected="0">
            <x v="18"/>
          </reference>
        </references>
      </pivotArea>
    </chartFormat>
    <chartFormat chart="4" format="96" series="1">
      <pivotArea type="data" outline="0" fieldPosition="0">
        <references count="2">
          <reference field="4294967294" count="1" selected="0">
            <x v="0"/>
          </reference>
          <reference field="15" count="1" selected="0">
            <x v="0"/>
          </reference>
        </references>
      </pivotArea>
    </chartFormat>
    <chartFormat chart="4" format="97" series="1">
      <pivotArea type="data" outline="0" fieldPosition="0">
        <references count="2">
          <reference field="4294967294" count="1" selected="0">
            <x v="0"/>
          </reference>
          <reference field="15" count="1" selected="0">
            <x v="1"/>
          </reference>
        </references>
      </pivotArea>
    </chartFormat>
    <chartFormat chart="4" format="98" series="1">
      <pivotArea type="data" outline="0" fieldPosition="0">
        <references count="2">
          <reference field="4294967294" count="1" selected="0">
            <x v="0"/>
          </reference>
          <reference field="15" count="1" selected="0">
            <x v="2"/>
          </reference>
        </references>
      </pivotArea>
    </chartFormat>
    <chartFormat chart="4" format="99" series="1">
      <pivotArea type="data" outline="0" fieldPosition="0">
        <references count="2">
          <reference field="4294967294" count="1" selected="0">
            <x v="0"/>
          </reference>
          <reference field="15" count="1" selected="0">
            <x v="3"/>
          </reference>
        </references>
      </pivotArea>
    </chartFormat>
    <chartFormat chart="4" format="100" series="1">
      <pivotArea type="data" outline="0" fieldPosition="0">
        <references count="2">
          <reference field="4294967294" count="1" selected="0">
            <x v="0"/>
          </reference>
          <reference field="15" count="1" selected="0">
            <x v="4"/>
          </reference>
        </references>
      </pivotArea>
    </chartFormat>
    <chartFormat chart="4" format="101" series="1">
      <pivotArea type="data" outline="0" fieldPosition="0">
        <references count="2">
          <reference field="4294967294" count="1" selected="0">
            <x v="0"/>
          </reference>
          <reference field="15" count="1" selected="0">
            <x v="5"/>
          </reference>
        </references>
      </pivotArea>
    </chartFormat>
    <chartFormat chart="4" format="102" series="1">
      <pivotArea type="data" outline="0" fieldPosition="0">
        <references count="2">
          <reference field="4294967294" count="1" selected="0">
            <x v="0"/>
          </reference>
          <reference field="15" count="1" selected="0">
            <x v="6"/>
          </reference>
        </references>
      </pivotArea>
    </chartFormat>
    <chartFormat chart="4" format="103" series="1">
      <pivotArea type="data" outline="0" fieldPosition="0">
        <references count="2">
          <reference field="4294967294" count="1" selected="0">
            <x v="0"/>
          </reference>
          <reference field="15" count="1" selected="0">
            <x v="7"/>
          </reference>
        </references>
      </pivotArea>
    </chartFormat>
    <chartFormat chart="4" format="104" series="1">
      <pivotArea type="data" outline="0" fieldPosition="0">
        <references count="2">
          <reference field="4294967294" count="1" selected="0">
            <x v="0"/>
          </reference>
          <reference field="15" count="1" selected="0">
            <x v="8"/>
          </reference>
        </references>
      </pivotArea>
    </chartFormat>
    <chartFormat chart="0" format="57" series="1">
      <pivotArea type="data" outline="0" fieldPosition="0">
        <references count="2">
          <reference field="4294967294" count="1" selected="0">
            <x v="0"/>
          </reference>
          <reference field="15" count="1" selected="0">
            <x v="9"/>
          </reference>
        </references>
      </pivotArea>
    </chartFormat>
    <chartFormat chart="0" format="58" series="1">
      <pivotArea type="data" outline="0" fieldPosition="0">
        <references count="2">
          <reference field="4294967294" count="1" selected="0">
            <x v="0"/>
          </reference>
          <reference field="15" count="1" selected="0">
            <x v="10"/>
          </reference>
        </references>
      </pivotArea>
    </chartFormat>
    <chartFormat chart="0" format="59" series="1">
      <pivotArea type="data" outline="0" fieldPosition="0">
        <references count="2">
          <reference field="4294967294" count="1" selected="0">
            <x v="0"/>
          </reference>
          <reference field="15" count="1" selected="0">
            <x v="11"/>
          </reference>
        </references>
      </pivotArea>
    </chartFormat>
    <chartFormat chart="0" format="60" series="1">
      <pivotArea type="data" outline="0" fieldPosition="0">
        <references count="2">
          <reference field="4294967294" count="1" selected="0">
            <x v="0"/>
          </reference>
          <reference field="15" count="1" selected="0">
            <x v="12"/>
          </reference>
        </references>
      </pivotArea>
    </chartFormat>
    <chartFormat chart="0" format="61" series="1">
      <pivotArea type="data" outline="0" fieldPosition="0">
        <references count="2">
          <reference field="4294967294" count="1" selected="0">
            <x v="0"/>
          </reference>
          <reference field="15" count="1" selected="0">
            <x v="13"/>
          </reference>
        </references>
      </pivotArea>
    </chartFormat>
    <chartFormat chart="0" format="62" series="1">
      <pivotArea type="data" outline="0" fieldPosition="0">
        <references count="2">
          <reference field="4294967294" count="1" selected="0">
            <x v="0"/>
          </reference>
          <reference field="15" count="1" selected="0">
            <x v="14"/>
          </reference>
        </references>
      </pivotArea>
    </chartFormat>
    <chartFormat chart="0" format="63" series="1">
      <pivotArea type="data" outline="0" fieldPosition="0">
        <references count="2">
          <reference field="4294967294" count="1" selected="0">
            <x v="0"/>
          </reference>
          <reference field="15" count="1" selected="0">
            <x v="15"/>
          </reference>
        </references>
      </pivotArea>
    </chartFormat>
    <chartFormat chart="0" format="64" series="1">
      <pivotArea type="data" outline="0" fieldPosition="0">
        <references count="2">
          <reference field="4294967294" count="1" selected="0">
            <x v="0"/>
          </reference>
          <reference field="15" count="1" selected="0">
            <x v="16"/>
          </reference>
        </references>
      </pivotArea>
    </chartFormat>
    <chartFormat chart="0" format="65" series="1">
      <pivotArea type="data" outline="0" fieldPosition="0">
        <references count="2">
          <reference field="4294967294" count="1" selected="0">
            <x v="0"/>
          </reference>
          <reference field="15" count="1" selected="0">
            <x v="17"/>
          </reference>
        </references>
      </pivotArea>
    </chartFormat>
    <chartFormat chart="0" format="66" series="1">
      <pivotArea type="data" outline="0" fieldPosition="0">
        <references count="2">
          <reference field="4294967294" count="1" selected="0">
            <x v="0"/>
          </reference>
          <reference field="15" count="1" selected="0">
            <x v="18"/>
          </reference>
        </references>
      </pivotArea>
    </chartFormat>
    <chartFormat chart="0" format="67" series="1">
      <pivotArea type="data" outline="0" fieldPosition="0">
        <references count="2">
          <reference field="4294967294" count="1" selected="0">
            <x v="0"/>
          </reference>
          <reference field="15" count="1" selected="0">
            <x v="0"/>
          </reference>
        </references>
      </pivotArea>
    </chartFormat>
    <chartFormat chart="0" format="68" series="1">
      <pivotArea type="data" outline="0" fieldPosition="0">
        <references count="2">
          <reference field="4294967294" count="1" selected="0">
            <x v="0"/>
          </reference>
          <reference field="15" count="1" selected="0">
            <x v="1"/>
          </reference>
        </references>
      </pivotArea>
    </chartFormat>
    <chartFormat chart="0" format="69" series="1">
      <pivotArea type="data" outline="0" fieldPosition="0">
        <references count="2">
          <reference field="4294967294" count="1" selected="0">
            <x v="0"/>
          </reference>
          <reference field="15" count="1" selected="0">
            <x v="2"/>
          </reference>
        </references>
      </pivotArea>
    </chartFormat>
    <chartFormat chart="0" format="70" series="1">
      <pivotArea type="data" outline="0" fieldPosition="0">
        <references count="2">
          <reference field="4294967294" count="1" selected="0">
            <x v="0"/>
          </reference>
          <reference field="15" count="1" selected="0">
            <x v="3"/>
          </reference>
        </references>
      </pivotArea>
    </chartFormat>
    <chartFormat chart="0" format="71" series="1">
      <pivotArea type="data" outline="0" fieldPosition="0">
        <references count="2">
          <reference field="4294967294" count="1" selected="0">
            <x v="0"/>
          </reference>
          <reference field="15" count="1" selected="0">
            <x v="4"/>
          </reference>
        </references>
      </pivotArea>
    </chartFormat>
    <chartFormat chart="0" format="72" series="1">
      <pivotArea type="data" outline="0" fieldPosition="0">
        <references count="2">
          <reference field="4294967294" count="1" selected="0">
            <x v="0"/>
          </reference>
          <reference field="15" count="1" selected="0">
            <x v="5"/>
          </reference>
        </references>
      </pivotArea>
    </chartFormat>
    <chartFormat chart="0" format="73" series="1">
      <pivotArea type="data" outline="0" fieldPosition="0">
        <references count="2">
          <reference field="4294967294" count="1" selected="0">
            <x v="0"/>
          </reference>
          <reference field="15" count="1" selected="0">
            <x v="6"/>
          </reference>
        </references>
      </pivotArea>
    </chartFormat>
    <chartFormat chart="0" format="74" series="1">
      <pivotArea type="data" outline="0" fieldPosition="0">
        <references count="2">
          <reference field="4294967294" count="1" selected="0">
            <x v="0"/>
          </reference>
          <reference field="15" count="1" selected="0">
            <x v="7"/>
          </reference>
        </references>
      </pivotArea>
    </chartFormat>
    <chartFormat chart="0" format="75" series="1">
      <pivotArea type="data" outline="0" fieldPosition="0">
        <references count="2">
          <reference field="4294967294" count="1" selected="0">
            <x v="0"/>
          </reference>
          <reference field="15" count="1" selected="0">
            <x v="8"/>
          </reference>
        </references>
      </pivotArea>
    </chartFormat>
    <chartFormat chart="5" format="0" series="1">
      <pivotArea type="data" outline="0" fieldPosition="0">
        <references count="2">
          <reference field="4294967294" count="1" selected="0">
            <x v="0"/>
          </reference>
          <reference field="15" count="1" selected="0">
            <x v="0"/>
          </reference>
        </references>
      </pivotArea>
    </chartFormat>
    <chartFormat chart="5" format="1" series="1">
      <pivotArea type="data" outline="0" fieldPosition="0">
        <references count="2">
          <reference field="4294967294" count="1" selected="0">
            <x v="0"/>
          </reference>
          <reference field="15" count="1" selected="0">
            <x v="1"/>
          </reference>
        </references>
      </pivotArea>
    </chartFormat>
    <chartFormat chart="5" format="2" series="1">
      <pivotArea type="data" outline="0" fieldPosition="0">
        <references count="2">
          <reference field="4294967294" count="1" selected="0">
            <x v="0"/>
          </reference>
          <reference field="15" count="1" selected="0">
            <x v="2"/>
          </reference>
        </references>
      </pivotArea>
    </chartFormat>
    <chartFormat chart="5" format="3" series="1">
      <pivotArea type="data" outline="0" fieldPosition="0">
        <references count="2">
          <reference field="4294967294" count="1" selected="0">
            <x v="0"/>
          </reference>
          <reference field="15" count="1" selected="0">
            <x v="3"/>
          </reference>
        </references>
      </pivotArea>
    </chartFormat>
    <chartFormat chart="5" format="4" series="1">
      <pivotArea type="data" outline="0" fieldPosition="0">
        <references count="2">
          <reference field="4294967294" count="1" selected="0">
            <x v="0"/>
          </reference>
          <reference field="15" count="1" selected="0">
            <x v="4"/>
          </reference>
        </references>
      </pivotArea>
    </chartFormat>
    <chartFormat chart="5" format="5" series="1">
      <pivotArea type="data" outline="0" fieldPosition="0">
        <references count="2">
          <reference field="4294967294" count="1" selected="0">
            <x v="0"/>
          </reference>
          <reference field="15" count="1" selected="0">
            <x v="5"/>
          </reference>
        </references>
      </pivotArea>
    </chartFormat>
    <chartFormat chart="5" format="6" series="1">
      <pivotArea type="data" outline="0" fieldPosition="0">
        <references count="2">
          <reference field="4294967294" count="1" selected="0">
            <x v="0"/>
          </reference>
          <reference field="15" count="1" selected="0">
            <x v="6"/>
          </reference>
        </references>
      </pivotArea>
    </chartFormat>
    <chartFormat chart="5" format="7" series="1">
      <pivotArea type="data" outline="0" fieldPosition="0">
        <references count="2">
          <reference field="4294967294" count="1" selected="0">
            <x v="0"/>
          </reference>
          <reference field="15" count="1" selected="0">
            <x v="7"/>
          </reference>
        </references>
      </pivotArea>
    </chartFormat>
    <chartFormat chart="5" format="8" series="1">
      <pivotArea type="data" outline="0" fieldPosition="0">
        <references count="2">
          <reference field="4294967294" count="1" selected="0">
            <x v="0"/>
          </reference>
          <reference field="15" count="1" selected="0">
            <x v="8"/>
          </reference>
        </references>
      </pivotArea>
    </chartFormat>
    <chartFormat chart="5" format="9" series="1">
      <pivotArea type="data" outline="0" fieldPosition="0">
        <references count="2">
          <reference field="4294967294" count="1" selected="0">
            <x v="0"/>
          </reference>
          <reference field="15" count="1" selected="0">
            <x v="9"/>
          </reference>
        </references>
      </pivotArea>
    </chartFormat>
    <chartFormat chart="5" format="10" series="1">
      <pivotArea type="data" outline="0" fieldPosition="0">
        <references count="2">
          <reference field="4294967294" count="1" selected="0">
            <x v="0"/>
          </reference>
          <reference field="15" count="1" selected="0">
            <x v="10"/>
          </reference>
        </references>
      </pivotArea>
    </chartFormat>
    <chartFormat chart="5" format="11" series="1">
      <pivotArea type="data" outline="0" fieldPosition="0">
        <references count="2">
          <reference field="4294967294" count="1" selected="0">
            <x v="0"/>
          </reference>
          <reference field="15" count="1" selected="0">
            <x v="11"/>
          </reference>
        </references>
      </pivotArea>
    </chartFormat>
    <chartFormat chart="5" format="12" series="1">
      <pivotArea type="data" outline="0" fieldPosition="0">
        <references count="2">
          <reference field="4294967294" count="1" selected="0">
            <x v="0"/>
          </reference>
          <reference field="15" count="1" selected="0">
            <x v="12"/>
          </reference>
        </references>
      </pivotArea>
    </chartFormat>
    <chartFormat chart="5" format="13" series="1">
      <pivotArea type="data" outline="0" fieldPosition="0">
        <references count="2">
          <reference field="4294967294" count="1" selected="0">
            <x v="0"/>
          </reference>
          <reference field="15" count="1" selected="0">
            <x v="13"/>
          </reference>
        </references>
      </pivotArea>
    </chartFormat>
    <chartFormat chart="5" format="14" series="1">
      <pivotArea type="data" outline="0" fieldPosition="0">
        <references count="2">
          <reference field="4294967294" count="1" selected="0">
            <x v="0"/>
          </reference>
          <reference field="15" count="1" selected="0">
            <x v="14"/>
          </reference>
        </references>
      </pivotArea>
    </chartFormat>
    <chartFormat chart="5" format="15" series="1">
      <pivotArea type="data" outline="0" fieldPosition="0">
        <references count="2">
          <reference field="4294967294" count="1" selected="0">
            <x v="0"/>
          </reference>
          <reference field="15" count="1" selected="0">
            <x v="15"/>
          </reference>
        </references>
      </pivotArea>
    </chartFormat>
    <chartFormat chart="5" format="16" series="1">
      <pivotArea type="data" outline="0" fieldPosition="0">
        <references count="2">
          <reference field="4294967294" count="1" selected="0">
            <x v="0"/>
          </reference>
          <reference field="15" count="1" selected="0">
            <x v="16"/>
          </reference>
        </references>
      </pivotArea>
    </chartFormat>
    <chartFormat chart="5" format="17" series="1">
      <pivotArea type="data" outline="0" fieldPosition="0">
        <references count="2">
          <reference field="4294967294" count="1" selected="0">
            <x v="0"/>
          </reference>
          <reference field="15" count="1" selected="0">
            <x v="17"/>
          </reference>
        </references>
      </pivotArea>
    </chartFormat>
    <chartFormat chart="5" format="18" series="1">
      <pivotArea type="data" outline="0" fieldPosition="0">
        <references count="2">
          <reference field="4294967294" count="1" selected="0">
            <x v="0"/>
          </reference>
          <reference field="15" count="1" selected="0">
            <x v="18"/>
          </reference>
        </references>
      </pivotArea>
    </chartFormat>
    <chartFormat chart="20" format="19" series="1">
      <pivotArea type="data" outline="0" fieldPosition="0">
        <references count="2">
          <reference field="4294967294" count="1" selected="0">
            <x v="0"/>
          </reference>
          <reference field="15" count="1" selected="0">
            <x v="0"/>
          </reference>
        </references>
      </pivotArea>
    </chartFormat>
    <chartFormat chart="20" format="20" series="1">
      <pivotArea type="data" outline="0" fieldPosition="0">
        <references count="2">
          <reference field="4294967294" count="1" selected="0">
            <x v="0"/>
          </reference>
          <reference field="15" count="1" selected="0">
            <x v="1"/>
          </reference>
        </references>
      </pivotArea>
    </chartFormat>
    <chartFormat chart="20" format="21" series="1">
      <pivotArea type="data" outline="0" fieldPosition="0">
        <references count="2">
          <reference field="4294967294" count="1" selected="0">
            <x v="0"/>
          </reference>
          <reference field="15" count="1" selected="0">
            <x v="2"/>
          </reference>
        </references>
      </pivotArea>
    </chartFormat>
    <chartFormat chart="20" format="22" series="1">
      <pivotArea type="data" outline="0" fieldPosition="0">
        <references count="2">
          <reference field="4294967294" count="1" selected="0">
            <x v="0"/>
          </reference>
          <reference field="15" count="1" selected="0">
            <x v="3"/>
          </reference>
        </references>
      </pivotArea>
    </chartFormat>
    <chartFormat chart="20" format="23" series="1">
      <pivotArea type="data" outline="0" fieldPosition="0">
        <references count="2">
          <reference field="4294967294" count="1" selected="0">
            <x v="0"/>
          </reference>
          <reference field="15" count="1" selected="0">
            <x v="4"/>
          </reference>
        </references>
      </pivotArea>
    </chartFormat>
    <chartFormat chart="20" format="24" series="1">
      <pivotArea type="data" outline="0" fieldPosition="0">
        <references count="2">
          <reference field="4294967294" count="1" selected="0">
            <x v="0"/>
          </reference>
          <reference field="15" count="1" selected="0">
            <x v="5"/>
          </reference>
        </references>
      </pivotArea>
    </chartFormat>
    <chartFormat chart="20" format="25" series="1">
      <pivotArea type="data" outline="0" fieldPosition="0">
        <references count="2">
          <reference field="4294967294" count="1" selected="0">
            <x v="0"/>
          </reference>
          <reference field="15" count="1" selected="0">
            <x v="6"/>
          </reference>
        </references>
      </pivotArea>
    </chartFormat>
    <chartFormat chart="20" format="26" series="1">
      <pivotArea type="data" outline="0" fieldPosition="0">
        <references count="2">
          <reference field="4294967294" count="1" selected="0">
            <x v="0"/>
          </reference>
          <reference field="15" count="1" selected="0">
            <x v="7"/>
          </reference>
        </references>
      </pivotArea>
    </chartFormat>
    <chartFormat chart="20" format="27" series="1">
      <pivotArea type="data" outline="0" fieldPosition="0">
        <references count="2">
          <reference field="4294967294" count="1" selected="0">
            <x v="0"/>
          </reference>
          <reference field="15" count="1" selected="0">
            <x v="8"/>
          </reference>
        </references>
      </pivotArea>
    </chartFormat>
    <chartFormat chart="20" format="28" series="1">
      <pivotArea type="data" outline="0" fieldPosition="0">
        <references count="2">
          <reference field="4294967294" count="1" selected="0">
            <x v="0"/>
          </reference>
          <reference field="15" count="1" selected="0">
            <x v="9"/>
          </reference>
        </references>
      </pivotArea>
    </chartFormat>
    <chartFormat chart="20" format="29" series="1">
      <pivotArea type="data" outline="0" fieldPosition="0">
        <references count="2">
          <reference field="4294967294" count="1" selected="0">
            <x v="0"/>
          </reference>
          <reference field="15" count="1" selected="0">
            <x v="10"/>
          </reference>
        </references>
      </pivotArea>
    </chartFormat>
    <chartFormat chart="20" format="30" series="1">
      <pivotArea type="data" outline="0" fieldPosition="0">
        <references count="2">
          <reference field="4294967294" count="1" selected="0">
            <x v="0"/>
          </reference>
          <reference field="15" count="1" selected="0">
            <x v="11"/>
          </reference>
        </references>
      </pivotArea>
    </chartFormat>
    <chartFormat chart="20" format="31" series="1">
      <pivotArea type="data" outline="0" fieldPosition="0">
        <references count="2">
          <reference field="4294967294" count="1" selected="0">
            <x v="0"/>
          </reference>
          <reference field="15" count="1" selected="0">
            <x v="12"/>
          </reference>
        </references>
      </pivotArea>
    </chartFormat>
    <chartFormat chart="20" format="32" series="1">
      <pivotArea type="data" outline="0" fieldPosition="0">
        <references count="2">
          <reference field="4294967294" count="1" selected="0">
            <x v="0"/>
          </reference>
          <reference field="15" count="1" selected="0">
            <x v="13"/>
          </reference>
        </references>
      </pivotArea>
    </chartFormat>
    <chartFormat chart="20" format="33" series="1">
      <pivotArea type="data" outline="0" fieldPosition="0">
        <references count="2">
          <reference field="4294967294" count="1" selected="0">
            <x v="0"/>
          </reference>
          <reference field="15" count="1" selected="0">
            <x v="14"/>
          </reference>
        </references>
      </pivotArea>
    </chartFormat>
    <chartFormat chart="20" format="34" series="1">
      <pivotArea type="data" outline="0" fieldPosition="0">
        <references count="2">
          <reference field="4294967294" count="1" selected="0">
            <x v="0"/>
          </reference>
          <reference field="15" count="1" selected="0">
            <x v="15"/>
          </reference>
        </references>
      </pivotArea>
    </chartFormat>
    <chartFormat chart="20" format="35" series="1">
      <pivotArea type="data" outline="0" fieldPosition="0">
        <references count="2">
          <reference field="4294967294" count="1" selected="0">
            <x v="0"/>
          </reference>
          <reference field="15" count="1" selected="0">
            <x v="16"/>
          </reference>
        </references>
      </pivotArea>
    </chartFormat>
    <chartFormat chart="20" format="36" series="1">
      <pivotArea type="data" outline="0" fieldPosition="0">
        <references count="2">
          <reference field="4294967294" count="1" selected="0">
            <x v="0"/>
          </reference>
          <reference field="15" count="1" selected="0">
            <x v="17"/>
          </reference>
        </references>
      </pivotArea>
    </chartFormat>
    <chartFormat chart="20" format="37" series="1">
      <pivotArea type="data" outline="0" fieldPosition="0">
        <references count="2">
          <reference field="4294967294" count="1" selected="0">
            <x v="0"/>
          </reference>
          <reference field="15" count="1" selected="0">
            <x v="18"/>
          </reference>
        </references>
      </pivotArea>
    </chartFormat>
    <chartFormat chart="21" format="38" series="1">
      <pivotArea type="data" outline="0" fieldPosition="0">
        <references count="2">
          <reference field="4294967294" count="1" selected="0">
            <x v="0"/>
          </reference>
          <reference field="15" count="1" selected="0">
            <x v="0"/>
          </reference>
        </references>
      </pivotArea>
    </chartFormat>
    <chartFormat chart="21" format="39" series="1">
      <pivotArea type="data" outline="0" fieldPosition="0">
        <references count="2">
          <reference field="4294967294" count="1" selected="0">
            <x v="0"/>
          </reference>
          <reference field="15" count="1" selected="0">
            <x v="1"/>
          </reference>
        </references>
      </pivotArea>
    </chartFormat>
    <chartFormat chart="21" format="40" series="1">
      <pivotArea type="data" outline="0" fieldPosition="0">
        <references count="2">
          <reference field="4294967294" count="1" selected="0">
            <x v="0"/>
          </reference>
          <reference field="15" count="1" selected="0">
            <x v="2"/>
          </reference>
        </references>
      </pivotArea>
    </chartFormat>
    <chartFormat chart="21" format="41" series="1">
      <pivotArea type="data" outline="0" fieldPosition="0">
        <references count="2">
          <reference field="4294967294" count="1" selected="0">
            <x v="0"/>
          </reference>
          <reference field="15" count="1" selected="0">
            <x v="3"/>
          </reference>
        </references>
      </pivotArea>
    </chartFormat>
    <chartFormat chart="21" format="42" series="1">
      <pivotArea type="data" outline="0" fieldPosition="0">
        <references count="2">
          <reference field="4294967294" count="1" selected="0">
            <x v="0"/>
          </reference>
          <reference field="15" count="1" selected="0">
            <x v="4"/>
          </reference>
        </references>
      </pivotArea>
    </chartFormat>
    <chartFormat chart="21" format="43" series="1">
      <pivotArea type="data" outline="0" fieldPosition="0">
        <references count="2">
          <reference field="4294967294" count="1" selected="0">
            <x v="0"/>
          </reference>
          <reference field="15" count="1" selected="0">
            <x v="5"/>
          </reference>
        </references>
      </pivotArea>
    </chartFormat>
    <chartFormat chart="21" format="44" series="1">
      <pivotArea type="data" outline="0" fieldPosition="0">
        <references count="2">
          <reference field="4294967294" count="1" selected="0">
            <x v="0"/>
          </reference>
          <reference field="15" count="1" selected="0">
            <x v="6"/>
          </reference>
        </references>
      </pivotArea>
    </chartFormat>
    <chartFormat chart="21" format="45" series="1">
      <pivotArea type="data" outline="0" fieldPosition="0">
        <references count="2">
          <reference field="4294967294" count="1" selected="0">
            <x v="0"/>
          </reference>
          <reference field="15" count="1" selected="0">
            <x v="7"/>
          </reference>
        </references>
      </pivotArea>
    </chartFormat>
    <chartFormat chart="21" format="46" series="1">
      <pivotArea type="data" outline="0" fieldPosition="0">
        <references count="2">
          <reference field="4294967294" count="1" selected="0">
            <x v="0"/>
          </reference>
          <reference field="15" count="1" selected="0">
            <x v="8"/>
          </reference>
        </references>
      </pivotArea>
    </chartFormat>
    <chartFormat chart="21" format="47" series="1">
      <pivotArea type="data" outline="0" fieldPosition="0">
        <references count="2">
          <reference field="4294967294" count="1" selected="0">
            <x v="0"/>
          </reference>
          <reference field="15" count="1" selected="0">
            <x v="9"/>
          </reference>
        </references>
      </pivotArea>
    </chartFormat>
    <chartFormat chart="21" format="48" series="1">
      <pivotArea type="data" outline="0" fieldPosition="0">
        <references count="2">
          <reference field="4294967294" count="1" selected="0">
            <x v="0"/>
          </reference>
          <reference field="15" count="1" selected="0">
            <x v="10"/>
          </reference>
        </references>
      </pivotArea>
    </chartFormat>
    <chartFormat chart="21" format="49" series="1">
      <pivotArea type="data" outline="0" fieldPosition="0">
        <references count="2">
          <reference field="4294967294" count="1" selected="0">
            <x v="0"/>
          </reference>
          <reference field="15" count="1" selected="0">
            <x v="11"/>
          </reference>
        </references>
      </pivotArea>
    </chartFormat>
    <chartFormat chart="21" format="50" series="1">
      <pivotArea type="data" outline="0" fieldPosition="0">
        <references count="2">
          <reference field="4294967294" count="1" selected="0">
            <x v="0"/>
          </reference>
          <reference field="15" count="1" selected="0">
            <x v="12"/>
          </reference>
        </references>
      </pivotArea>
    </chartFormat>
    <chartFormat chart="21" format="51" series="1">
      <pivotArea type="data" outline="0" fieldPosition="0">
        <references count="2">
          <reference field="4294967294" count="1" selected="0">
            <x v="0"/>
          </reference>
          <reference field="15" count="1" selected="0">
            <x v="13"/>
          </reference>
        </references>
      </pivotArea>
    </chartFormat>
    <chartFormat chart="21" format="52" series="1">
      <pivotArea type="data" outline="0" fieldPosition="0">
        <references count="2">
          <reference field="4294967294" count="1" selected="0">
            <x v="0"/>
          </reference>
          <reference field="15" count="1" selected="0">
            <x v="14"/>
          </reference>
        </references>
      </pivotArea>
    </chartFormat>
    <chartFormat chart="21" format="53" series="1">
      <pivotArea type="data" outline="0" fieldPosition="0">
        <references count="2">
          <reference field="4294967294" count="1" selected="0">
            <x v="0"/>
          </reference>
          <reference field="15" count="1" selected="0">
            <x v="15"/>
          </reference>
        </references>
      </pivotArea>
    </chartFormat>
    <chartFormat chart="21" format="54" series="1">
      <pivotArea type="data" outline="0" fieldPosition="0">
        <references count="2">
          <reference field="4294967294" count="1" selected="0">
            <x v="0"/>
          </reference>
          <reference field="15" count="1" selected="0">
            <x v="16"/>
          </reference>
        </references>
      </pivotArea>
    </chartFormat>
    <chartFormat chart="21" format="55" series="1">
      <pivotArea type="data" outline="0" fieldPosition="0">
        <references count="2">
          <reference field="4294967294" count="1" selected="0">
            <x v="0"/>
          </reference>
          <reference field="15" count="1" selected="0">
            <x v="17"/>
          </reference>
        </references>
      </pivotArea>
    </chartFormat>
    <chartFormat chart="21" format="56" series="1">
      <pivotArea type="data" outline="0" fieldPosition="0">
        <references count="2">
          <reference field="4294967294" count="1" selected="0">
            <x v="0"/>
          </reference>
          <reference field="15"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1" name="PivotTable1"/>
  </pivotTables>
  <data>
    <tabular pivotCacheId="1">
      <items count="5">
        <i x="4"/>
        <i x="2"/>
        <i x="3"/>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1"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Brand" cache="Slicer_Brand" caption="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9"/>
  <sheetViews>
    <sheetView workbookViewId="0">
      <selection activeCell="K35" sqref="K35"/>
    </sheetView>
  </sheetViews>
  <sheetFormatPr defaultRowHeight="13.8"/>
  <sheetData>
    <row r="1" spans="1:20">
      <c r="A1" s="23"/>
      <c r="B1" s="23"/>
      <c r="C1" s="23"/>
      <c r="D1" s="23"/>
      <c r="E1" s="24"/>
      <c r="F1" s="24"/>
      <c r="G1" s="24"/>
      <c r="H1" s="24"/>
      <c r="I1" s="24"/>
      <c r="J1" s="24"/>
      <c r="K1" s="24"/>
      <c r="L1" s="24"/>
      <c r="M1" s="23"/>
      <c r="N1" s="23"/>
      <c r="O1" s="23"/>
      <c r="P1" s="23"/>
      <c r="Q1" s="23"/>
      <c r="R1" s="23"/>
      <c r="S1" s="23"/>
      <c r="T1" s="23"/>
    </row>
    <row r="2" spans="1:20">
      <c r="A2" s="23"/>
      <c r="B2" s="23"/>
      <c r="C2" s="23"/>
      <c r="D2" s="23"/>
      <c r="E2" s="24"/>
      <c r="F2" s="24"/>
      <c r="G2" s="24"/>
      <c r="H2" s="24"/>
      <c r="I2" s="24"/>
      <c r="J2" s="24"/>
      <c r="K2" s="24"/>
      <c r="L2" s="24"/>
      <c r="M2" s="23"/>
      <c r="N2" s="23"/>
      <c r="O2" s="23"/>
      <c r="P2" s="23"/>
      <c r="Q2" s="23"/>
      <c r="R2" s="23"/>
      <c r="S2" s="23"/>
      <c r="T2" s="23"/>
    </row>
    <row r="3" spans="1:20">
      <c r="A3" s="22"/>
      <c r="B3" s="22"/>
      <c r="C3" s="22"/>
      <c r="D3" s="22"/>
      <c r="E3" s="22"/>
      <c r="F3" s="22"/>
      <c r="G3" s="22"/>
      <c r="H3" s="22"/>
      <c r="I3" s="22"/>
      <c r="J3" s="22"/>
      <c r="K3" s="22"/>
      <c r="L3" s="22"/>
      <c r="M3" s="22"/>
      <c r="N3" s="22"/>
      <c r="O3" s="22"/>
      <c r="P3" s="22"/>
      <c r="Q3" s="22"/>
      <c r="R3" s="22"/>
      <c r="S3" s="22"/>
      <c r="T3" s="22"/>
    </row>
    <row r="4" spans="1:20">
      <c r="A4" s="22"/>
      <c r="B4" s="22"/>
      <c r="C4" s="22"/>
      <c r="D4" s="22"/>
      <c r="E4" s="22"/>
      <c r="F4" s="22"/>
      <c r="G4" s="22"/>
      <c r="H4" s="22"/>
      <c r="I4" s="22"/>
      <c r="J4" s="22"/>
      <c r="K4" s="22"/>
      <c r="L4" s="22"/>
      <c r="M4" s="22"/>
      <c r="N4" s="22"/>
      <c r="O4" s="22"/>
      <c r="P4" s="22"/>
      <c r="Q4" s="22"/>
      <c r="R4" s="22"/>
      <c r="S4" s="22"/>
      <c r="T4" s="22"/>
    </row>
    <row r="5" spans="1:20">
      <c r="A5" s="22"/>
      <c r="B5" s="22"/>
      <c r="C5" s="22"/>
      <c r="D5" s="22"/>
      <c r="E5" s="22"/>
      <c r="F5" s="22"/>
      <c r="G5" s="22"/>
      <c r="H5" s="22"/>
      <c r="I5" s="22"/>
      <c r="J5" s="22"/>
      <c r="K5" s="22"/>
      <c r="L5" s="22"/>
      <c r="M5" s="22"/>
      <c r="N5" s="22"/>
      <c r="O5" s="22"/>
      <c r="P5" s="22"/>
      <c r="Q5" s="22"/>
      <c r="R5" s="22"/>
      <c r="S5" s="22"/>
      <c r="T5" s="22"/>
    </row>
    <row r="6" spans="1:20">
      <c r="A6" s="22"/>
      <c r="B6" s="22"/>
      <c r="C6" s="22"/>
      <c r="D6" s="22"/>
      <c r="E6" s="22"/>
      <c r="F6" s="22"/>
      <c r="G6" s="22"/>
      <c r="H6" s="22"/>
      <c r="I6" s="22"/>
      <c r="J6" s="22"/>
      <c r="K6" s="22"/>
      <c r="L6" s="22"/>
      <c r="M6" s="22"/>
      <c r="N6" s="22"/>
      <c r="O6" s="22"/>
      <c r="P6" s="22"/>
      <c r="Q6" s="22"/>
      <c r="R6" s="22"/>
      <c r="S6" s="22"/>
      <c r="T6" s="22"/>
    </row>
    <row r="7" spans="1:20">
      <c r="A7" s="22"/>
      <c r="B7" s="22"/>
      <c r="C7" s="22"/>
      <c r="D7" s="22"/>
      <c r="E7" s="22"/>
      <c r="F7" s="22"/>
      <c r="G7" s="22"/>
      <c r="H7" s="22"/>
      <c r="I7" s="22"/>
      <c r="J7" s="22"/>
      <c r="K7" s="22"/>
      <c r="L7" s="22"/>
      <c r="M7" s="22"/>
      <c r="N7" s="22"/>
      <c r="O7" s="22"/>
      <c r="P7" s="22"/>
      <c r="Q7" s="22"/>
      <c r="R7" s="22"/>
      <c r="S7" s="22"/>
      <c r="T7" s="22"/>
    </row>
    <row r="8" spans="1:20">
      <c r="A8" s="22"/>
      <c r="B8" s="22"/>
      <c r="C8" s="22"/>
      <c r="D8" s="22"/>
      <c r="E8" s="22"/>
      <c r="F8" s="22"/>
      <c r="G8" s="22"/>
      <c r="H8" s="22"/>
      <c r="I8" s="22"/>
      <c r="J8" s="22"/>
      <c r="K8" s="22"/>
      <c r="L8" s="22"/>
      <c r="M8" s="22"/>
      <c r="N8" s="22"/>
      <c r="O8" s="22"/>
      <c r="P8" s="22"/>
      <c r="Q8" s="22"/>
      <c r="R8" s="22"/>
      <c r="S8" s="22"/>
      <c r="T8" s="22"/>
    </row>
    <row r="9" spans="1:20">
      <c r="A9" s="22"/>
      <c r="B9" s="22"/>
      <c r="C9" s="22"/>
      <c r="D9" s="22"/>
      <c r="E9" s="22"/>
      <c r="F9" s="22"/>
      <c r="G9" s="22"/>
      <c r="H9" s="22"/>
      <c r="I9" s="22"/>
      <c r="J9" s="22"/>
      <c r="K9" s="22"/>
      <c r="L9" s="22"/>
      <c r="M9" s="22"/>
      <c r="N9" s="22"/>
      <c r="O9" s="22"/>
      <c r="P9" s="22"/>
      <c r="Q9" s="22"/>
      <c r="R9" s="22"/>
      <c r="S9" s="22"/>
      <c r="T9" s="22"/>
    </row>
    <row r="10" spans="1:20">
      <c r="A10" s="22"/>
      <c r="B10" s="22"/>
      <c r="C10" s="22"/>
      <c r="D10" s="22"/>
      <c r="E10" s="22"/>
      <c r="F10" s="22"/>
      <c r="G10" s="22"/>
      <c r="H10" s="22"/>
      <c r="I10" s="22"/>
      <c r="J10" s="22"/>
      <c r="K10" s="22"/>
      <c r="L10" s="22"/>
      <c r="M10" s="22"/>
      <c r="N10" s="22"/>
      <c r="O10" s="22"/>
      <c r="P10" s="22"/>
      <c r="Q10" s="22"/>
      <c r="R10" s="22"/>
      <c r="S10" s="22"/>
      <c r="T10" s="22"/>
    </row>
    <row r="11" spans="1:20">
      <c r="A11" s="22"/>
      <c r="B11" s="22"/>
      <c r="C11" s="22"/>
      <c r="D11" s="22"/>
      <c r="E11" s="22"/>
      <c r="F11" s="22"/>
      <c r="G11" s="22"/>
      <c r="H11" s="22"/>
      <c r="I11" s="22"/>
      <c r="J11" s="22"/>
      <c r="K11" s="22"/>
      <c r="L11" s="22"/>
      <c r="M11" s="22"/>
      <c r="N11" s="22"/>
      <c r="O11" s="22"/>
      <c r="P11" s="22"/>
      <c r="Q11" s="22"/>
      <c r="R11" s="22"/>
      <c r="S11" s="22"/>
      <c r="T11" s="22"/>
    </row>
    <row r="12" spans="1:20">
      <c r="A12" s="22"/>
      <c r="B12" s="22"/>
      <c r="C12" s="22"/>
      <c r="D12" s="22"/>
      <c r="E12" s="22"/>
      <c r="F12" s="22"/>
      <c r="G12" s="22"/>
      <c r="H12" s="22"/>
      <c r="I12" s="22"/>
      <c r="J12" s="22"/>
      <c r="K12" s="22"/>
      <c r="L12" s="22"/>
      <c r="M12" s="22"/>
      <c r="N12" s="22"/>
      <c r="O12" s="22"/>
      <c r="P12" s="22"/>
      <c r="Q12" s="22"/>
      <c r="R12" s="22"/>
      <c r="S12" s="22"/>
      <c r="T12" s="22"/>
    </row>
    <row r="13" spans="1:20">
      <c r="A13" s="22"/>
      <c r="B13" s="22"/>
      <c r="C13" s="22"/>
      <c r="D13" s="22"/>
      <c r="E13" s="22"/>
      <c r="F13" s="22"/>
      <c r="G13" s="22"/>
      <c r="H13" s="22"/>
      <c r="I13" s="22"/>
      <c r="J13" s="22"/>
      <c r="K13" s="22"/>
      <c r="L13" s="22"/>
      <c r="M13" s="22"/>
      <c r="N13" s="22"/>
      <c r="O13" s="22"/>
      <c r="P13" s="22"/>
      <c r="Q13" s="22"/>
      <c r="R13" s="22"/>
      <c r="S13" s="22"/>
      <c r="T13" s="22"/>
    </row>
    <row r="14" spans="1:20">
      <c r="A14" s="22"/>
      <c r="B14" s="22"/>
      <c r="C14" s="22"/>
      <c r="D14" s="22"/>
      <c r="E14" s="22"/>
      <c r="F14" s="22"/>
      <c r="G14" s="22"/>
      <c r="H14" s="22"/>
      <c r="I14" s="22"/>
      <c r="J14" s="22"/>
      <c r="K14" s="22"/>
      <c r="L14" s="22"/>
      <c r="M14" s="22"/>
      <c r="N14" s="22"/>
      <c r="O14" s="22"/>
      <c r="P14" s="22"/>
      <c r="Q14" s="22"/>
      <c r="R14" s="22"/>
      <c r="S14" s="22"/>
      <c r="T14" s="22"/>
    </row>
    <row r="15" spans="1:20">
      <c r="A15" s="22"/>
      <c r="B15" s="22"/>
      <c r="C15" s="22"/>
      <c r="D15" s="22"/>
      <c r="E15" s="22"/>
      <c r="F15" s="22"/>
      <c r="G15" s="22"/>
      <c r="H15" s="22"/>
      <c r="I15" s="22"/>
      <c r="J15" s="22"/>
      <c r="K15" s="22"/>
      <c r="L15" s="22"/>
      <c r="M15" s="22"/>
      <c r="N15" s="22"/>
      <c r="O15" s="22"/>
      <c r="P15" s="22"/>
      <c r="Q15" s="22"/>
      <c r="R15" s="22"/>
      <c r="S15" s="22"/>
      <c r="T15" s="22"/>
    </row>
    <row r="16" spans="1:20">
      <c r="A16" s="22"/>
      <c r="B16" s="22"/>
      <c r="C16" s="22"/>
      <c r="D16" s="22"/>
      <c r="E16" s="22"/>
      <c r="F16" s="22"/>
      <c r="G16" s="22"/>
      <c r="H16" s="22"/>
      <c r="I16" s="22"/>
      <c r="J16" s="22"/>
      <c r="K16" s="22"/>
      <c r="L16" s="22"/>
      <c r="M16" s="22"/>
      <c r="N16" s="22"/>
      <c r="O16" s="22"/>
      <c r="P16" s="22"/>
      <c r="Q16" s="22"/>
      <c r="R16" s="22"/>
      <c r="S16" s="22"/>
      <c r="T16" s="22"/>
    </row>
    <row r="17" spans="1:20">
      <c r="A17" s="22"/>
      <c r="B17" s="22"/>
      <c r="C17" s="22"/>
      <c r="D17" s="22"/>
      <c r="E17" s="22"/>
      <c r="F17" s="22"/>
      <c r="G17" s="22"/>
      <c r="H17" s="22"/>
      <c r="I17" s="22"/>
      <c r="J17" s="22"/>
      <c r="K17" s="22"/>
      <c r="L17" s="22"/>
      <c r="M17" s="22"/>
      <c r="N17" s="22"/>
      <c r="O17" s="22"/>
      <c r="P17" s="22"/>
      <c r="Q17" s="22"/>
      <c r="R17" s="22"/>
      <c r="S17" s="22"/>
      <c r="T17" s="22"/>
    </row>
    <row r="18" spans="1:20">
      <c r="A18" s="22"/>
      <c r="B18" s="22"/>
      <c r="C18" s="22"/>
      <c r="D18" s="22"/>
      <c r="E18" s="22"/>
      <c r="F18" s="22"/>
      <c r="G18" s="22"/>
      <c r="H18" s="22"/>
      <c r="I18" s="22"/>
      <c r="J18" s="22"/>
      <c r="K18" s="22"/>
      <c r="L18" s="22"/>
      <c r="M18" s="22"/>
      <c r="N18" s="22"/>
      <c r="O18" s="22"/>
      <c r="P18" s="22"/>
      <c r="Q18" s="22"/>
      <c r="R18" s="22"/>
      <c r="S18" s="22"/>
      <c r="T18" s="22"/>
    </row>
    <row r="19" spans="1:20">
      <c r="A19" s="22"/>
      <c r="B19" s="22"/>
      <c r="C19" s="22"/>
      <c r="D19" s="22"/>
      <c r="E19" s="22"/>
      <c r="F19" s="22"/>
      <c r="G19" s="22"/>
      <c r="H19" s="22"/>
      <c r="I19" s="22"/>
      <c r="J19" s="22"/>
      <c r="K19" s="22"/>
      <c r="L19" s="22"/>
      <c r="M19" s="22"/>
      <c r="N19" s="22"/>
      <c r="O19" s="22"/>
      <c r="P19" s="22"/>
      <c r="Q19" s="22"/>
      <c r="R19" s="22"/>
      <c r="S19" s="22"/>
      <c r="T19" s="22"/>
    </row>
    <row r="20" spans="1:20">
      <c r="A20" s="22"/>
      <c r="B20" s="22"/>
      <c r="C20" s="22"/>
      <c r="D20" s="22"/>
      <c r="E20" s="22"/>
      <c r="F20" s="22"/>
      <c r="G20" s="22"/>
      <c r="H20" s="22"/>
      <c r="I20" s="22"/>
      <c r="J20" s="22"/>
      <c r="K20" s="22"/>
      <c r="L20" s="22"/>
      <c r="M20" s="22"/>
      <c r="N20" s="22"/>
      <c r="O20" s="22"/>
      <c r="P20" s="22"/>
      <c r="Q20" s="22"/>
      <c r="R20" s="22"/>
      <c r="S20" s="22"/>
      <c r="T20" s="22"/>
    </row>
    <row r="21" spans="1:20">
      <c r="A21" s="22"/>
      <c r="B21" s="22"/>
      <c r="C21" s="22"/>
      <c r="D21" s="22"/>
      <c r="E21" s="22"/>
      <c r="F21" s="22"/>
      <c r="G21" s="22"/>
      <c r="H21" s="22"/>
      <c r="I21" s="22"/>
      <c r="J21" s="22"/>
      <c r="K21" s="22"/>
      <c r="L21" s="22"/>
      <c r="M21" s="22"/>
      <c r="N21" s="22"/>
      <c r="O21" s="22"/>
      <c r="P21" s="22"/>
      <c r="Q21" s="22"/>
      <c r="R21" s="22"/>
      <c r="S21" s="22"/>
      <c r="T21" s="22"/>
    </row>
    <row r="22" spans="1:20">
      <c r="A22" s="22"/>
      <c r="B22" s="22"/>
      <c r="C22" s="22"/>
      <c r="D22" s="22"/>
      <c r="E22" s="22"/>
      <c r="F22" s="22"/>
      <c r="G22" s="22"/>
      <c r="H22" s="22"/>
      <c r="I22" s="22"/>
      <c r="J22" s="22"/>
      <c r="K22" s="22"/>
      <c r="L22" s="22"/>
      <c r="M22" s="22"/>
      <c r="N22" s="22"/>
      <c r="O22" s="22"/>
      <c r="P22" s="22"/>
      <c r="Q22" s="22"/>
      <c r="R22" s="22"/>
      <c r="S22" s="22"/>
      <c r="T22" s="22"/>
    </row>
    <row r="23" spans="1:20">
      <c r="A23" s="22"/>
      <c r="B23" s="22"/>
      <c r="C23" s="22"/>
      <c r="D23" s="22"/>
      <c r="E23" s="22"/>
      <c r="F23" s="22"/>
      <c r="G23" s="22"/>
      <c r="H23" s="22"/>
      <c r="I23" s="22"/>
      <c r="J23" s="22"/>
      <c r="K23" s="22"/>
      <c r="L23" s="22"/>
      <c r="M23" s="22"/>
      <c r="N23" s="22"/>
      <c r="O23" s="22"/>
      <c r="P23" s="22"/>
      <c r="Q23" s="22"/>
      <c r="R23" s="22"/>
      <c r="S23" s="22"/>
      <c r="T23" s="22"/>
    </row>
    <row r="24" spans="1:20">
      <c r="A24" s="22"/>
      <c r="B24" s="22"/>
      <c r="C24" s="22"/>
      <c r="D24" s="22"/>
      <c r="E24" s="22"/>
      <c r="F24" s="22"/>
      <c r="G24" s="22"/>
      <c r="H24" s="22"/>
      <c r="I24" s="22"/>
      <c r="J24" s="22"/>
      <c r="K24" s="22"/>
      <c r="L24" s="22"/>
      <c r="M24" s="22"/>
      <c r="N24" s="22"/>
      <c r="O24" s="22"/>
      <c r="P24" s="22"/>
      <c r="Q24" s="22"/>
      <c r="R24" s="22"/>
      <c r="S24" s="22"/>
      <c r="T24" s="22"/>
    </row>
    <row r="25" spans="1:20">
      <c r="A25" s="22"/>
      <c r="B25" s="22"/>
      <c r="C25" s="22"/>
      <c r="D25" s="22"/>
      <c r="E25" s="22"/>
      <c r="F25" s="22"/>
      <c r="G25" s="22"/>
      <c r="H25" s="22"/>
      <c r="I25" s="22"/>
      <c r="J25" s="22"/>
      <c r="K25" s="22"/>
      <c r="L25" s="22"/>
      <c r="M25" s="22"/>
      <c r="N25" s="22"/>
      <c r="O25" s="22"/>
      <c r="P25" s="22"/>
      <c r="Q25" s="22"/>
      <c r="R25" s="22"/>
      <c r="S25" s="22"/>
      <c r="T25" s="22"/>
    </row>
    <row r="26" spans="1:20">
      <c r="A26" s="22"/>
      <c r="B26" s="22"/>
      <c r="C26" s="22"/>
      <c r="D26" s="22"/>
      <c r="E26" s="22"/>
      <c r="F26" s="22"/>
      <c r="G26" s="22"/>
      <c r="H26" s="22"/>
      <c r="I26" s="22"/>
      <c r="J26" s="22"/>
      <c r="K26" s="22"/>
      <c r="L26" s="22"/>
      <c r="M26" s="22"/>
      <c r="N26" s="22"/>
      <c r="O26" s="22"/>
      <c r="P26" s="22"/>
      <c r="Q26" s="22"/>
      <c r="R26" s="22"/>
      <c r="S26" s="22"/>
      <c r="T26" s="22"/>
    </row>
    <row r="27" spans="1:20">
      <c r="A27" s="22"/>
      <c r="B27" s="22"/>
      <c r="C27" s="22"/>
      <c r="D27" s="22"/>
      <c r="E27" s="22"/>
      <c r="F27" s="22"/>
      <c r="G27" s="22"/>
      <c r="H27" s="22"/>
      <c r="I27" s="22"/>
      <c r="J27" s="22"/>
      <c r="K27" s="22"/>
      <c r="L27" s="22"/>
      <c r="M27" s="22"/>
      <c r="N27" s="22"/>
      <c r="O27" s="22"/>
      <c r="P27" s="22"/>
      <c r="Q27" s="22"/>
      <c r="R27" s="22"/>
      <c r="S27" s="22"/>
      <c r="T27" s="22"/>
    </row>
    <row r="28" spans="1:20">
      <c r="A28" s="22"/>
      <c r="B28" s="22"/>
      <c r="C28" s="22"/>
      <c r="D28" s="22"/>
      <c r="E28" s="22"/>
      <c r="F28" s="22"/>
      <c r="G28" s="22"/>
      <c r="H28" s="22"/>
      <c r="I28" s="22"/>
      <c r="J28" s="22"/>
      <c r="K28" s="22"/>
      <c r="L28" s="22"/>
      <c r="M28" s="22"/>
      <c r="N28" s="22"/>
      <c r="O28" s="22"/>
      <c r="P28" s="22"/>
      <c r="Q28" s="22"/>
      <c r="R28" s="22"/>
      <c r="S28" s="22"/>
      <c r="T28" s="22"/>
    </row>
    <row r="29" spans="1:20">
      <c r="A29" s="22"/>
      <c r="B29" s="22"/>
      <c r="C29" s="22"/>
      <c r="D29" s="22"/>
      <c r="E29" s="22"/>
      <c r="F29" s="22"/>
      <c r="G29" s="22"/>
      <c r="H29" s="22"/>
      <c r="I29" s="22"/>
      <c r="J29" s="22"/>
      <c r="K29" s="22"/>
      <c r="L29" s="22"/>
      <c r="M29" s="22"/>
      <c r="N29" s="22"/>
      <c r="O29" s="22"/>
      <c r="P29" s="22"/>
      <c r="Q29" s="22"/>
      <c r="R29" s="22"/>
      <c r="S29" s="22"/>
      <c r="T29" s="22"/>
    </row>
    <row r="30" spans="1:20">
      <c r="A30" s="22"/>
      <c r="B30" s="22"/>
      <c r="C30" s="22"/>
      <c r="D30" s="22"/>
      <c r="E30" s="22"/>
      <c r="F30" s="22"/>
      <c r="G30" s="22"/>
      <c r="H30" s="22"/>
      <c r="I30" s="22"/>
      <c r="J30" s="22"/>
      <c r="K30" s="22"/>
      <c r="L30" s="22"/>
      <c r="M30" s="22"/>
      <c r="N30" s="22"/>
      <c r="O30" s="22"/>
      <c r="P30" s="22"/>
      <c r="Q30" s="22"/>
      <c r="R30" s="22"/>
      <c r="S30" s="22"/>
      <c r="T30" s="22"/>
    </row>
    <row r="31" spans="1:20">
      <c r="A31" s="22"/>
      <c r="B31" s="22"/>
      <c r="C31" s="22"/>
      <c r="D31" s="22"/>
      <c r="E31" s="22"/>
      <c r="F31" s="22"/>
      <c r="G31" s="22"/>
      <c r="H31" s="22"/>
      <c r="I31" s="22"/>
      <c r="J31" s="22"/>
      <c r="K31" s="22"/>
      <c r="L31" s="22"/>
      <c r="M31" s="22"/>
      <c r="N31" s="22"/>
      <c r="O31" s="22"/>
      <c r="P31" s="22"/>
      <c r="Q31" s="22"/>
      <c r="R31" s="22"/>
      <c r="S31" s="22"/>
      <c r="T31" s="22"/>
    </row>
    <row r="32" spans="1:20">
      <c r="A32" s="22"/>
      <c r="B32" s="22"/>
      <c r="C32" s="22"/>
      <c r="D32" s="22"/>
      <c r="E32" s="22"/>
      <c r="F32" s="22"/>
      <c r="G32" s="22"/>
      <c r="H32" s="22"/>
      <c r="I32" s="22"/>
      <c r="J32" s="22"/>
      <c r="K32" s="22"/>
      <c r="L32" s="22"/>
      <c r="M32" s="22"/>
      <c r="N32" s="22"/>
      <c r="O32" s="22"/>
      <c r="P32" s="22"/>
      <c r="Q32" s="22"/>
      <c r="R32" s="22"/>
      <c r="S32" s="22"/>
      <c r="T32" s="22"/>
    </row>
    <row r="33" spans="1:20">
      <c r="A33" s="22"/>
      <c r="B33" s="22"/>
      <c r="C33" s="22"/>
      <c r="D33" s="22"/>
      <c r="E33" s="22"/>
      <c r="F33" s="22"/>
      <c r="G33" s="22"/>
      <c r="H33" s="22"/>
      <c r="I33" s="22"/>
      <c r="J33" s="22"/>
      <c r="K33" s="22"/>
      <c r="L33" s="22"/>
      <c r="M33" s="22"/>
      <c r="N33" s="22"/>
      <c r="O33" s="22"/>
      <c r="P33" s="22"/>
      <c r="Q33" s="22"/>
      <c r="R33" s="22"/>
      <c r="S33" s="22"/>
      <c r="T33" s="22"/>
    </row>
    <row r="34" spans="1:20">
      <c r="A34" s="22"/>
      <c r="B34" s="22"/>
      <c r="C34" s="22"/>
      <c r="D34" s="22"/>
      <c r="E34" s="22"/>
      <c r="F34" s="22"/>
      <c r="G34" s="22"/>
      <c r="H34" s="22"/>
      <c r="I34" s="22"/>
      <c r="J34" s="22"/>
      <c r="K34" s="22"/>
      <c r="L34" s="22"/>
      <c r="M34" s="22"/>
      <c r="N34" s="22"/>
      <c r="O34" s="22"/>
      <c r="P34" s="22"/>
      <c r="Q34" s="22"/>
      <c r="R34" s="22"/>
      <c r="S34" s="22"/>
      <c r="T34" s="22"/>
    </row>
    <row r="35" spans="1:20">
      <c r="A35" s="22"/>
      <c r="B35" s="22"/>
      <c r="C35" s="22"/>
      <c r="D35" s="22"/>
      <c r="E35" s="22"/>
      <c r="F35" s="22"/>
      <c r="G35" s="22"/>
      <c r="H35" s="22"/>
      <c r="I35" s="22"/>
      <c r="J35" s="22"/>
      <c r="K35" s="22"/>
      <c r="L35" s="22"/>
      <c r="M35" s="22"/>
      <c r="N35" s="22"/>
      <c r="O35" s="22"/>
      <c r="P35" s="22"/>
      <c r="Q35" s="22"/>
      <c r="R35" s="22"/>
      <c r="S35" s="22"/>
      <c r="T35" s="22"/>
    </row>
    <row r="36" spans="1:20">
      <c r="A36" s="22"/>
      <c r="B36" s="22"/>
      <c r="C36" s="22"/>
      <c r="D36" s="22"/>
      <c r="E36" s="22"/>
      <c r="F36" s="22"/>
      <c r="G36" s="22"/>
      <c r="H36" s="22"/>
      <c r="I36" s="22"/>
      <c r="J36" s="22"/>
      <c r="K36" s="22"/>
      <c r="L36" s="22"/>
      <c r="M36" s="22"/>
      <c r="N36" s="22"/>
      <c r="O36" s="22"/>
      <c r="P36" s="22"/>
      <c r="Q36" s="22"/>
      <c r="R36" s="22"/>
      <c r="S36" s="22"/>
      <c r="T36" s="22"/>
    </row>
    <row r="37" spans="1:20">
      <c r="A37" s="22"/>
      <c r="B37" s="22"/>
      <c r="C37" s="22"/>
      <c r="D37" s="22"/>
      <c r="E37" s="22"/>
      <c r="F37" s="22"/>
      <c r="G37" s="22"/>
      <c r="H37" s="22"/>
      <c r="I37" s="22"/>
      <c r="J37" s="22"/>
      <c r="K37" s="22"/>
      <c r="L37" s="22"/>
      <c r="M37" s="22"/>
      <c r="N37" s="22"/>
      <c r="O37" s="22"/>
      <c r="P37" s="22"/>
      <c r="Q37" s="22"/>
      <c r="R37" s="22"/>
      <c r="S37" s="22"/>
      <c r="T37" s="22"/>
    </row>
    <row r="38" spans="1:20">
      <c r="A38" s="22"/>
      <c r="B38" s="22"/>
      <c r="C38" s="22"/>
      <c r="D38" s="22"/>
      <c r="E38" s="22"/>
      <c r="F38" s="22"/>
      <c r="G38" s="22"/>
      <c r="H38" s="22"/>
      <c r="I38" s="22"/>
      <c r="J38" s="22"/>
      <c r="K38" s="22"/>
      <c r="L38" s="22"/>
      <c r="M38" s="22"/>
      <c r="N38" s="22"/>
      <c r="O38" s="22"/>
      <c r="P38" s="22"/>
      <c r="Q38" s="22"/>
      <c r="R38" s="22"/>
      <c r="S38" s="22"/>
      <c r="T38" s="22"/>
    </row>
    <row r="39" spans="1:20">
      <c r="A39" s="22"/>
      <c r="B39" s="22"/>
      <c r="C39" s="22"/>
      <c r="D39" s="22"/>
      <c r="E39" s="22"/>
      <c r="F39" s="22"/>
      <c r="G39" s="22"/>
      <c r="H39" s="22"/>
      <c r="I39" s="22"/>
      <c r="J39" s="22"/>
      <c r="K39" s="22"/>
      <c r="L39" s="22"/>
      <c r="M39" s="22"/>
      <c r="N39" s="22"/>
      <c r="O39" s="22"/>
      <c r="P39" s="22"/>
      <c r="Q39" s="22"/>
      <c r="R39" s="22"/>
      <c r="S39" s="22"/>
      <c r="T39" s="22"/>
    </row>
    <row r="40" spans="1:20">
      <c r="A40" s="22"/>
      <c r="B40" s="22"/>
      <c r="C40" s="22"/>
      <c r="D40" s="22"/>
      <c r="E40" s="22"/>
      <c r="F40" s="22"/>
      <c r="G40" s="22"/>
      <c r="H40" s="22"/>
      <c r="I40" s="22"/>
      <c r="J40" s="22"/>
      <c r="K40" s="22"/>
      <c r="L40" s="22"/>
      <c r="M40" s="22"/>
      <c r="N40" s="22"/>
      <c r="O40" s="22"/>
      <c r="P40" s="22"/>
      <c r="Q40" s="22"/>
      <c r="R40" s="22"/>
      <c r="S40" s="22"/>
      <c r="T40" s="22"/>
    </row>
    <row r="41" spans="1:20">
      <c r="A41" s="22"/>
      <c r="B41" s="22"/>
      <c r="C41" s="22"/>
      <c r="D41" s="22"/>
      <c r="E41" s="22"/>
      <c r="F41" s="22"/>
      <c r="G41" s="22"/>
      <c r="H41" s="22"/>
      <c r="I41" s="22"/>
      <c r="J41" s="22"/>
      <c r="K41" s="22"/>
      <c r="L41" s="22"/>
      <c r="M41" s="22"/>
      <c r="N41" s="22"/>
      <c r="O41" s="22"/>
      <c r="P41" s="22"/>
      <c r="Q41" s="22"/>
      <c r="R41" s="22"/>
      <c r="S41" s="22"/>
      <c r="T41" s="22"/>
    </row>
    <row r="42" spans="1:20">
      <c r="A42" s="22"/>
      <c r="B42" s="22"/>
      <c r="C42" s="22"/>
      <c r="D42" s="22"/>
      <c r="E42" s="22"/>
      <c r="F42" s="22"/>
      <c r="G42" s="22"/>
      <c r="H42" s="22"/>
      <c r="I42" s="22"/>
      <c r="J42" s="22"/>
      <c r="K42" s="22"/>
      <c r="L42" s="22"/>
      <c r="M42" s="22"/>
      <c r="N42" s="22"/>
      <c r="O42" s="22"/>
      <c r="P42" s="22"/>
      <c r="Q42" s="22"/>
      <c r="R42" s="22"/>
      <c r="S42" s="22"/>
      <c r="T42" s="22"/>
    </row>
    <row r="43" spans="1:20">
      <c r="A43" s="22"/>
      <c r="B43" s="22"/>
      <c r="C43" s="22"/>
      <c r="D43" s="22"/>
      <c r="E43" s="22"/>
      <c r="F43" s="22"/>
      <c r="G43" s="22"/>
      <c r="H43" s="22"/>
      <c r="I43" s="22"/>
      <c r="J43" s="22"/>
      <c r="K43" s="22"/>
      <c r="L43" s="22"/>
      <c r="M43" s="22"/>
      <c r="N43" s="22"/>
      <c r="O43" s="22"/>
      <c r="P43" s="22"/>
      <c r="Q43" s="22"/>
      <c r="R43" s="22"/>
      <c r="S43" s="22"/>
      <c r="T43" s="22"/>
    </row>
    <row r="44" spans="1:20">
      <c r="A44" s="22"/>
      <c r="B44" s="22"/>
      <c r="C44" s="22"/>
      <c r="D44" s="22"/>
      <c r="E44" s="22"/>
      <c r="F44" s="22"/>
      <c r="G44" s="22"/>
      <c r="H44" s="22"/>
      <c r="I44" s="22"/>
      <c r="J44" s="22"/>
      <c r="K44" s="22"/>
      <c r="L44" s="22"/>
      <c r="M44" s="22"/>
      <c r="N44" s="22"/>
      <c r="O44" s="22"/>
      <c r="P44" s="22"/>
      <c r="Q44" s="22"/>
      <c r="R44" s="22"/>
      <c r="S44" s="22"/>
      <c r="T44" s="22"/>
    </row>
    <row r="45" spans="1:20">
      <c r="A45" s="22"/>
      <c r="B45" s="22"/>
      <c r="C45" s="22"/>
      <c r="D45" s="22"/>
      <c r="E45" s="22"/>
      <c r="F45" s="22"/>
      <c r="G45" s="22"/>
      <c r="H45" s="22"/>
      <c r="I45" s="22"/>
      <c r="J45" s="22"/>
      <c r="K45" s="22"/>
      <c r="L45" s="22"/>
      <c r="M45" s="22"/>
      <c r="N45" s="22"/>
      <c r="O45" s="22"/>
      <c r="P45" s="22"/>
      <c r="Q45" s="22"/>
      <c r="R45" s="22"/>
      <c r="S45" s="22"/>
      <c r="T45" s="22"/>
    </row>
    <row r="46" spans="1:20">
      <c r="A46" s="22"/>
      <c r="B46" s="22"/>
      <c r="C46" s="22"/>
      <c r="D46" s="22"/>
      <c r="E46" s="22"/>
      <c r="F46" s="22"/>
      <c r="G46" s="22"/>
      <c r="H46" s="22"/>
      <c r="I46" s="22"/>
      <c r="J46" s="22"/>
      <c r="K46" s="22"/>
      <c r="L46" s="22"/>
      <c r="M46" s="22"/>
      <c r="N46" s="22"/>
      <c r="O46" s="22"/>
      <c r="P46" s="22"/>
      <c r="Q46" s="22"/>
      <c r="R46" s="22"/>
      <c r="S46" s="22"/>
      <c r="T46" s="22"/>
    </row>
    <row r="47" spans="1:20">
      <c r="A47" s="22"/>
      <c r="B47" s="22"/>
      <c r="C47" s="22"/>
      <c r="D47" s="22"/>
      <c r="E47" s="22"/>
      <c r="F47" s="22"/>
      <c r="G47" s="22"/>
      <c r="H47" s="22"/>
      <c r="I47" s="22"/>
      <c r="J47" s="22"/>
      <c r="K47" s="22"/>
      <c r="L47" s="22"/>
      <c r="M47" s="22"/>
      <c r="N47" s="22"/>
      <c r="O47" s="22"/>
      <c r="P47" s="22"/>
      <c r="Q47" s="22"/>
      <c r="R47" s="22"/>
      <c r="S47" s="22"/>
      <c r="T47" s="22"/>
    </row>
    <row r="48" spans="1:20">
      <c r="A48" s="22"/>
      <c r="B48" s="22"/>
      <c r="C48" s="22"/>
      <c r="D48" s="22"/>
      <c r="E48" s="22"/>
      <c r="F48" s="22"/>
      <c r="G48" s="22"/>
      <c r="H48" s="22"/>
      <c r="I48" s="22"/>
      <c r="J48" s="22"/>
      <c r="K48" s="22"/>
      <c r="L48" s="22"/>
      <c r="M48" s="22"/>
      <c r="N48" s="22"/>
      <c r="O48" s="22"/>
      <c r="P48" s="22"/>
      <c r="Q48" s="22"/>
      <c r="R48" s="22"/>
      <c r="S48" s="22"/>
      <c r="T48" s="22"/>
    </row>
    <row r="49" spans="1:20">
      <c r="A49" s="22"/>
      <c r="B49" s="22"/>
      <c r="C49" s="22"/>
      <c r="D49" s="22"/>
      <c r="E49" s="22"/>
      <c r="F49" s="22"/>
      <c r="G49" s="22"/>
      <c r="H49" s="22"/>
      <c r="I49" s="22"/>
      <c r="J49" s="22"/>
      <c r="K49" s="22"/>
      <c r="L49" s="22"/>
      <c r="M49" s="22"/>
      <c r="N49" s="22"/>
      <c r="O49" s="22"/>
      <c r="P49" s="22"/>
      <c r="Q49" s="22"/>
      <c r="R49" s="22"/>
      <c r="S49" s="22"/>
      <c r="T49"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W42"/>
  <sheetViews>
    <sheetView tabSelected="1" topLeftCell="N25" workbookViewId="0">
      <selection activeCell="T42" sqref="T42"/>
    </sheetView>
  </sheetViews>
  <sheetFormatPr defaultRowHeight="13.8"/>
  <cols>
    <col min="1" max="1" width="16.296875" customWidth="1"/>
    <col min="2" max="2" width="16.09765625" customWidth="1"/>
    <col min="3" max="4" width="10.8984375" customWidth="1"/>
    <col min="5" max="5" width="11.09765625" customWidth="1"/>
    <col min="6" max="6" width="11.8984375" customWidth="1"/>
    <col min="7" max="7" width="10.8984375" customWidth="1"/>
    <col min="8" max="8" width="10.3984375" customWidth="1"/>
    <col min="9" max="9" width="10.8984375" customWidth="1"/>
    <col min="10" max="10" width="8.09765625" customWidth="1"/>
    <col min="11" max="15" width="10.8984375" customWidth="1"/>
    <col min="16" max="16" width="11.8984375" customWidth="1"/>
    <col min="17" max="17" width="9.8984375" customWidth="1"/>
    <col min="18" max="20" width="10.8984375" customWidth="1"/>
    <col min="21" max="21" width="11.8984375" customWidth="1"/>
    <col min="22" max="22" width="13.09765625" customWidth="1"/>
    <col min="23" max="23" width="16.59765625" customWidth="1"/>
    <col min="24" max="24" width="17.8984375" customWidth="1"/>
    <col min="25" max="25" width="16.296875" customWidth="1"/>
    <col min="26" max="26" width="17.8984375" customWidth="1"/>
    <col min="27" max="27" width="16.296875" customWidth="1"/>
    <col min="28" max="28" width="17.8984375" customWidth="1"/>
    <col min="29" max="29" width="16.296875" customWidth="1"/>
    <col min="30" max="30" width="17.8984375" customWidth="1"/>
    <col min="31" max="31" width="16.296875" customWidth="1"/>
    <col min="32" max="32" width="17.8984375" customWidth="1"/>
    <col min="33" max="33" width="16.296875" customWidth="1"/>
    <col min="34" max="34" width="17.8984375" customWidth="1"/>
    <col min="35" max="35" width="16.296875" customWidth="1"/>
    <col min="36" max="36" width="17.8984375" customWidth="1"/>
    <col min="37" max="37" width="16.296875" customWidth="1"/>
    <col min="38" max="38" width="17.8984375" customWidth="1"/>
    <col min="39" max="39" width="16.296875" customWidth="1"/>
    <col min="40" max="40" width="22.796875" customWidth="1"/>
    <col min="41" max="41" width="21.296875" customWidth="1"/>
  </cols>
  <sheetData>
    <row r="3" spans="1:21">
      <c r="A3" s="26" t="s">
        <v>1100</v>
      </c>
      <c r="B3" s="26" t="s">
        <v>1099</v>
      </c>
    </row>
    <row r="4" spans="1:21">
      <c r="A4" s="26" t="s">
        <v>1097</v>
      </c>
      <c r="B4" t="s">
        <v>150</v>
      </c>
      <c r="C4" t="s">
        <v>110</v>
      </c>
      <c r="D4" t="s">
        <v>66</v>
      </c>
      <c r="E4" t="s">
        <v>70</v>
      </c>
      <c r="F4" t="s">
        <v>29</v>
      </c>
      <c r="G4" t="s">
        <v>40</v>
      </c>
      <c r="H4" t="s">
        <v>64</v>
      </c>
      <c r="I4" t="s">
        <v>132</v>
      </c>
      <c r="J4" t="s">
        <v>45</v>
      </c>
      <c r="K4" t="s">
        <v>93</v>
      </c>
      <c r="L4" t="s">
        <v>77</v>
      </c>
      <c r="M4" t="s">
        <v>117</v>
      </c>
      <c r="N4" t="s">
        <v>23</v>
      </c>
      <c r="O4" t="s">
        <v>59</v>
      </c>
      <c r="P4" t="s">
        <v>33</v>
      </c>
      <c r="Q4" t="s">
        <v>137</v>
      </c>
      <c r="R4" t="s">
        <v>90</v>
      </c>
      <c r="S4" t="s">
        <v>114</v>
      </c>
      <c r="T4" t="s">
        <v>51</v>
      </c>
      <c r="U4" t="s">
        <v>1098</v>
      </c>
    </row>
    <row r="5" spans="1:21">
      <c r="A5" s="27" t="s">
        <v>19</v>
      </c>
      <c r="B5" s="25">
        <v>5738777.0700000003</v>
      </c>
      <c r="C5" s="25">
        <v>1681749.62</v>
      </c>
      <c r="D5" s="25">
        <v>6893483.6500000004</v>
      </c>
      <c r="E5" s="25">
        <v>4890655.9399999995</v>
      </c>
      <c r="F5" s="25">
        <v>38083996.070000008</v>
      </c>
      <c r="G5" s="25">
        <v>3118592.7600000002</v>
      </c>
      <c r="H5" s="25">
        <v>3928002.8</v>
      </c>
      <c r="I5" s="25">
        <v>2726957.03</v>
      </c>
      <c r="J5" s="25">
        <v>6021298.0000000009</v>
      </c>
      <c r="K5" s="25">
        <v>5435933.6899999995</v>
      </c>
      <c r="L5" s="25">
        <v>4773439.12</v>
      </c>
      <c r="M5" s="25">
        <v>4595214.6100000003</v>
      </c>
      <c r="N5" s="25">
        <v>3728720.2100000004</v>
      </c>
      <c r="O5" s="25">
        <v>4621870.24</v>
      </c>
      <c r="P5" s="25">
        <v>26647572.190000001</v>
      </c>
      <c r="Q5" s="25">
        <v>3282599.1999999997</v>
      </c>
      <c r="R5" s="25">
        <v>5232131.66</v>
      </c>
      <c r="S5" s="25">
        <v>7287134.0800000001</v>
      </c>
      <c r="T5" s="25">
        <v>5065208.8899999997</v>
      </c>
      <c r="U5" s="25">
        <v>143753336.82999998</v>
      </c>
    </row>
    <row r="6" spans="1:21">
      <c r="A6" s="27" t="s">
        <v>1098</v>
      </c>
      <c r="B6" s="25">
        <v>5738777.0700000003</v>
      </c>
      <c r="C6" s="25">
        <v>1681749.62</v>
      </c>
      <c r="D6" s="25">
        <v>6893483.6500000004</v>
      </c>
      <c r="E6" s="25">
        <v>4890655.9399999995</v>
      </c>
      <c r="F6" s="25">
        <v>38083996.070000008</v>
      </c>
      <c r="G6" s="25">
        <v>3118592.7600000002</v>
      </c>
      <c r="H6" s="25">
        <v>3928002.8</v>
      </c>
      <c r="I6" s="25">
        <v>2726957.03</v>
      </c>
      <c r="J6" s="25">
        <v>6021298.0000000009</v>
      </c>
      <c r="K6" s="25">
        <v>5435933.6899999995</v>
      </c>
      <c r="L6" s="25">
        <v>4773439.12</v>
      </c>
      <c r="M6" s="25">
        <v>4595214.6100000003</v>
      </c>
      <c r="N6" s="25">
        <v>3728720.2100000004</v>
      </c>
      <c r="O6" s="25">
        <v>4621870.24</v>
      </c>
      <c r="P6" s="25">
        <v>26647572.190000001</v>
      </c>
      <c r="Q6" s="25">
        <v>3282599.1999999997</v>
      </c>
      <c r="R6" s="25">
        <v>5232131.66</v>
      </c>
      <c r="S6" s="25">
        <v>7287134.0800000001</v>
      </c>
      <c r="T6" s="25">
        <v>5065208.8899999997</v>
      </c>
      <c r="U6" s="25">
        <v>143753336.82999998</v>
      </c>
    </row>
    <row r="36" spans="22:23">
      <c r="V36" s="26" t="s">
        <v>1097</v>
      </c>
      <c r="W36" t="s">
        <v>1101</v>
      </c>
    </row>
    <row r="37" spans="22:23">
      <c r="V37" s="27" t="s">
        <v>49</v>
      </c>
      <c r="W37" s="25">
        <v>3932</v>
      </c>
    </row>
    <row r="38" spans="22:23">
      <c r="V38" s="27" t="s">
        <v>38</v>
      </c>
      <c r="W38" s="25">
        <v>3830</v>
      </c>
    </row>
    <row r="39" spans="22:23">
      <c r="V39" s="27" t="s">
        <v>43</v>
      </c>
      <c r="W39" s="25">
        <v>3923</v>
      </c>
    </row>
    <row r="40" spans="22:23">
      <c r="V40" s="27" t="s">
        <v>26</v>
      </c>
      <c r="W40" s="25">
        <v>3801</v>
      </c>
    </row>
    <row r="41" spans="22:23">
      <c r="V41" s="27" t="s">
        <v>19</v>
      </c>
      <c r="W41" s="25">
        <v>3664</v>
      </c>
    </row>
    <row r="42" spans="22:23">
      <c r="V42" s="27" t="s">
        <v>1098</v>
      </c>
      <c r="W42" s="25">
        <v>19150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836"/>
  <sheetViews>
    <sheetView workbookViewId="0">
      <selection sqref="A1:V3836"/>
    </sheetView>
  </sheetViews>
  <sheetFormatPr defaultRowHeight="13.8"/>
  <cols>
    <col min="1" max="1" width="15.09765625" customWidth="1"/>
    <col min="2" max="2" width="12.5" bestFit="1" customWidth="1"/>
    <col min="3" max="3" width="3.8984375" bestFit="1" customWidth="1"/>
    <col min="4" max="4" width="5.8984375" bestFit="1" customWidth="1"/>
    <col min="5" max="5" width="4.796875" bestFit="1" customWidth="1"/>
    <col min="6" max="6" width="10.09765625" style="5" bestFit="1" customWidth="1"/>
    <col min="7" max="7" width="9.59765625" bestFit="1" customWidth="1"/>
    <col min="8" max="8" width="10.19921875" bestFit="1" customWidth="1"/>
    <col min="9" max="9" width="8.19921875" bestFit="1" customWidth="1"/>
    <col min="10" max="10" width="9.796875" bestFit="1" customWidth="1"/>
    <col min="11" max="11" width="13" bestFit="1" customWidth="1"/>
    <col min="12" max="12" width="18.19921875" bestFit="1" customWidth="1"/>
    <col min="13" max="13" width="13.59765625" bestFit="1" customWidth="1"/>
    <col min="14" max="14" width="12.5" bestFit="1" customWidth="1"/>
    <col min="15" max="15" width="6.796875" bestFit="1" customWidth="1"/>
    <col min="16" max="16" width="10.3984375" bestFit="1" customWidth="1"/>
    <col min="17" max="17" width="15.796875" bestFit="1" customWidth="1"/>
    <col min="18" max="18" width="16.69921875" bestFit="1" customWidth="1"/>
    <col min="19" max="19" width="13.296875" bestFit="1" customWidth="1"/>
    <col min="20" max="20" width="9.8984375" bestFit="1" customWidth="1"/>
    <col min="21" max="21" width="7.5" bestFit="1" customWidth="1"/>
    <col min="22" max="22" width="17.59765625" bestFit="1" customWidth="1"/>
    <col min="23" max="24" width="9.796875" customWidth="1"/>
    <col min="26" max="26" width="23.59765625" bestFit="1" customWidth="1"/>
    <col min="27" max="27" width="21.5" bestFit="1" customWidth="1"/>
    <col min="28" max="28" width="18" bestFit="1" customWidth="1"/>
    <col min="29" max="29" width="26.796875" bestFit="1" customWidth="1"/>
    <col min="30" max="30" width="10.59765625" bestFit="1" customWidth="1"/>
    <col min="31" max="31" width="16.5" bestFit="1" customWidth="1"/>
    <col min="32" max="32" width="12.69921875" bestFit="1" customWidth="1"/>
    <col min="35" max="35" width="11.296875" customWidth="1"/>
    <col min="36" max="36" width="8.3984375" customWidth="1"/>
    <col min="37" max="37" width="9.796875" bestFit="1" customWidth="1"/>
    <col min="38" max="38" width="13" bestFit="1" customWidth="1"/>
    <col min="39" max="39" width="15.19921875" bestFit="1" customWidth="1"/>
    <col min="40" max="40" width="13.59765625" bestFit="1" customWidth="1"/>
  </cols>
  <sheetData>
    <row r="1" spans="1:37" ht="14.4" thickBot="1">
      <c r="A1" s="21" t="s">
        <v>1095</v>
      </c>
      <c r="B1" s="6" t="s">
        <v>0</v>
      </c>
      <c r="C1" s="7" t="s">
        <v>1</v>
      </c>
      <c r="D1" s="7" t="s">
        <v>2</v>
      </c>
      <c r="E1" s="7" t="s">
        <v>3</v>
      </c>
      <c r="F1" s="8" t="s">
        <v>4</v>
      </c>
      <c r="G1" s="7" t="s">
        <v>5</v>
      </c>
      <c r="H1" s="7" t="s">
        <v>4</v>
      </c>
      <c r="I1" s="6" t="s">
        <v>6</v>
      </c>
      <c r="J1" s="6" t="s">
        <v>7</v>
      </c>
      <c r="K1" s="6" t="s">
        <v>8</v>
      </c>
      <c r="L1" s="9" t="s">
        <v>9</v>
      </c>
      <c r="M1" s="6" t="s">
        <v>10</v>
      </c>
      <c r="N1" s="6" t="s">
        <v>11</v>
      </c>
      <c r="O1" s="6" t="s">
        <v>12</v>
      </c>
      <c r="P1" s="6" t="s">
        <v>13</v>
      </c>
      <c r="Q1" s="6" t="s">
        <v>14</v>
      </c>
      <c r="R1" s="6" t="s">
        <v>15</v>
      </c>
      <c r="S1" s="9" t="s">
        <v>16</v>
      </c>
      <c r="T1" s="6" t="s">
        <v>17</v>
      </c>
      <c r="U1" s="6" t="s">
        <v>1091</v>
      </c>
      <c r="V1" s="6" t="s">
        <v>1096</v>
      </c>
      <c r="W1" s="6"/>
      <c r="X1" s="6"/>
      <c r="Y1" s="10"/>
      <c r="Z1" s="10"/>
      <c r="AA1" s="10"/>
      <c r="AB1" s="10"/>
      <c r="AC1" s="10"/>
      <c r="AD1" s="10"/>
      <c r="AE1" s="10"/>
      <c r="AF1" s="10"/>
      <c r="AG1" s="10"/>
      <c r="AH1" s="10"/>
      <c r="AJ1" s="10"/>
      <c r="AK1" s="6"/>
    </row>
    <row r="2" spans="1:37" ht="14.4" thickBot="1">
      <c r="A2" t="str">
        <f t="shared" ref="A2:A65" si="0">LEFT(L2,4)&amp;M2&amp;B2</f>
        <v>Lali381</v>
      </c>
      <c r="B2">
        <v>1</v>
      </c>
      <c r="C2">
        <v>9</v>
      </c>
      <c r="D2">
        <v>10</v>
      </c>
      <c r="E2">
        <v>2021</v>
      </c>
      <c r="F2" s="1">
        <f>DATE(E2,D2,C2)</f>
        <v>44478</v>
      </c>
      <c r="G2" s="1" t="s">
        <v>18</v>
      </c>
      <c r="H2" s="2">
        <v>44478</v>
      </c>
      <c r="I2" t="s">
        <v>19</v>
      </c>
      <c r="J2">
        <v>6</v>
      </c>
      <c r="K2">
        <v>10174.700000000001</v>
      </c>
      <c r="L2" t="s">
        <v>20</v>
      </c>
      <c r="M2">
        <v>38</v>
      </c>
      <c r="N2" t="s">
        <v>21</v>
      </c>
      <c r="O2" s="3" t="s">
        <v>22</v>
      </c>
      <c r="P2" t="s">
        <v>23</v>
      </c>
      <c r="Q2" t="s">
        <v>24</v>
      </c>
      <c r="R2">
        <v>5</v>
      </c>
      <c r="S2" t="s">
        <v>25</v>
      </c>
      <c r="T2" s="4">
        <f>J2*K2</f>
        <v>61048.200000000004</v>
      </c>
      <c r="U2" s="4" t="str">
        <f>IF(R2&gt;=4,"Good","Average")</f>
        <v>Good</v>
      </c>
      <c r="V2" s="4" t="str">
        <f>IF(T2&gt;200000,"Excellent",IF(T2&gt;100000,"Good",IF(T2&gt;50000,"Average","Low")))</f>
        <v>Average</v>
      </c>
      <c r="W2" s="4"/>
      <c r="X2" s="4"/>
      <c r="Z2" s="12" t="s">
        <v>1067</v>
      </c>
      <c r="AJ2" s="4"/>
    </row>
    <row r="3" spans="1:37" ht="14.4" thickBot="1">
      <c r="A3" t="str">
        <f t="shared" si="0"/>
        <v>Sneh372</v>
      </c>
      <c r="B3">
        <v>2</v>
      </c>
      <c r="C3">
        <v>9</v>
      </c>
      <c r="D3">
        <v>10</v>
      </c>
      <c r="E3">
        <v>2021</v>
      </c>
      <c r="F3" s="1">
        <f t="shared" ref="F3:F66" si="1">DATE(E3,D3,C3)</f>
        <v>44478</v>
      </c>
      <c r="G3" s="1" t="s">
        <v>18</v>
      </c>
      <c r="H3" s="2">
        <v>44479</v>
      </c>
      <c r="I3" t="s">
        <v>26</v>
      </c>
      <c r="J3">
        <v>6</v>
      </c>
      <c r="K3">
        <v>10565.19</v>
      </c>
      <c r="L3" t="s">
        <v>27</v>
      </c>
      <c r="M3">
        <v>37</v>
      </c>
      <c r="N3" t="s">
        <v>21</v>
      </c>
      <c r="O3" s="3" t="s">
        <v>28</v>
      </c>
      <c r="P3" t="s">
        <v>29</v>
      </c>
      <c r="Q3" t="s">
        <v>30</v>
      </c>
      <c r="R3">
        <v>3</v>
      </c>
      <c r="S3" t="s">
        <v>31</v>
      </c>
      <c r="T3" s="4">
        <f t="shared" ref="T3:T66" si="2">J3*K3</f>
        <v>63391.14</v>
      </c>
      <c r="U3" s="4" t="str">
        <f t="shared" ref="U3:U66" si="3">IF(R3&gt;=4,"Good","Average")</f>
        <v>Average</v>
      </c>
      <c r="V3" s="4" t="str">
        <f t="shared" ref="V3:V66" si="4">IF(T3&gt;200000,"Excellent",IF(T3&gt;100000,"Good",IF(T3&gt;50000,"Average","Low")))</f>
        <v>Average</v>
      </c>
      <c r="W3" s="4"/>
      <c r="X3" s="4"/>
      <c r="Z3" s="13">
        <f>SUM(J:J)</f>
        <v>19150</v>
      </c>
      <c r="AC3" s="15" t="s">
        <v>1082</v>
      </c>
      <c r="AD3" s="16"/>
    </row>
    <row r="4" spans="1:37" ht="14.4" thickBot="1">
      <c r="A4" t="str">
        <f t="shared" si="0"/>
        <v>Radh403</v>
      </c>
      <c r="B4">
        <v>3</v>
      </c>
      <c r="C4">
        <v>9</v>
      </c>
      <c r="D4">
        <v>10</v>
      </c>
      <c r="E4">
        <v>2021</v>
      </c>
      <c r="F4" s="1">
        <f t="shared" si="1"/>
        <v>44478</v>
      </c>
      <c r="G4" s="1" t="s">
        <v>18</v>
      </c>
      <c r="H4" s="2">
        <v>44480</v>
      </c>
      <c r="I4" t="s">
        <v>26</v>
      </c>
      <c r="J4">
        <v>8</v>
      </c>
      <c r="K4">
        <v>58527.58</v>
      </c>
      <c r="L4" t="s">
        <v>32</v>
      </c>
      <c r="M4">
        <v>40</v>
      </c>
      <c r="N4" t="s">
        <v>21</v>
      </c>
      <c r="O4" s="3" t="s">
        <v>22</v>
      </c>
      <c r="P4" t="s">
        <v>33</v>
      </c>
      <c r="Q4" t="s">
        <v>24</v>
      </c>
      <c r="R4">
        <v>5</v>
      </c>
      <c r="S4" t="s">
        <v>34</v>
      </c>
      <c r="T4" s="4">
        <f t="shared" si="2"/>
        <v>468220.64</v>
      </c>
      <c r="U4" s="4" t="str">
        <f t="shared" si="3"/>
        <v>Good</v>
      </c>
      <c r="V4" s="4" t="str">
        <f t="shared" si="4"/>
        <v>Excellent</v>
      </c>
      <c r="W4" s="4"/>
      <c r="X4" s="4"/>
      <c r="AC4" s="19">
        <f>COUNTIFS(I:I,"Samsung",P:P,"Delhi")</f>
        <v>197</v>
      </c>
      <c r="AD4" s="18"/>
      <c r="AJ4" s="4"/>
    </row>
    <row r="5" spans="1:37" ht="14.4" thickBot="1">
      <c r="A5" t="str">
        <f t="shared" si="0"/>
        <v>Bhav214</v>
      </c>
      <c r="B5">
        <v>4</v>
      </c>
      <c r="C5">
        <v>10</v>
      </c>
      <c r="D5">
        <v>10</v>
      </c>
      <c r="E5">
        <v>2021</v>
      </c>
      <c r="F5" s="1">
        <f t="shared" si="1"/>
        <v>44479</v>
      </c>
      <c r="G5" s="1" t="s">
        <v>18</v>
      </c>
      <c r="H5" s="2">
        <v>44481</v>
      </c>
      <c r="I5" t="s">
        <v>19</v>
      </c>
      <c r="J5">
        <v>5</v>
      </c>
      <c r="K5">
        <v>25563.98</v>
      </c>
      <c r="L5" t="s">
        <v>35</v>
      </c>
      <c r="M5">
        <v>21</v>
      </c>
      <c r="N5" t="s">
        <v>36</v>
      </c>
      <c r="O5" s="3" t="s">
        <v>22</v>
      </c>
      <c r="P5" t="s">
        <v>33</v>
      </c>
      <c r="Q5" t="s">
        <v>30</v>
      </c>
      <c r="R5">
        <v>4</v>
      </c>
      <c r="S5" t="s">
        <v>37</v>
      </c>
      <c r="T5" s="4">
        <f t="shared" si="2"/>
        <v>127819.9</v>
      </c>
      <c r="U5" s="4" t="str">
        <f t="shared" si="3"/>
        <v>Good</v>
      </c>
      <c r="V5" s="4" t="str">
        <f t="shared" si="4"/>
        <v>Good</v>
      </c>
      <c r="W5" s="4"/>
      <c r="X5" s="4"/>
      <c r="Z5" s="12" t="s">
        <v>1068</v>
      </c>
      <c r="AJ5" s="4"/>
    </row>
    <row r="6" spans="1:37" ht="14.4" thickBot="1">
      <c r="A6" t="str">
        <f t="shared" si="0"/>
        <v>Sneh385</v>
      </c>
      <c r="B6">
        <v>5</v>
      </c>
      <c r="C6">
        <v>10</v>
      </c>
      <c r="D6">
        <v>10</v>
      </c>
      <c r="E6">
        <v>2021</v>
      </c>
      <c r="F6" s="1">
        <f t="shared" si="1"/>
        <v>44479</v>
      </c>
      <c r="G6" s="1" t="s">
        <v>18</v>
      </c>
      <c r="H6" s="2">
        <v>44482</v>
      </c>
      <c r="I6" t="s">
        <v>38</v>
      </c>
      <c r="J6">
        <v>3</v>
      </c>
      <c r="K6">
        <v>48168.02</v>
      </c>
      <c r="L6" t="s">
        <v>39</v>
      </c>
      <c r="M6">
        <v>38</v>
      </c>
      <c r="N6" t="s">
        <v>21</v>
      </c>
      <c r="O6" s="3" t="s">
        <v>22</v>
      </c>
      <c r="P6" t="s">
        <v>40</v>
      </c>
      <c r="Q6" t="s">
        <v>41</v>
      </c>
      <c r="R6">
        <v>5</v>
      </c>
      <c r="S6" t="s">
        <v>42</v>
      </c>
      <c r="T6" s="4">
        <f t="shared" si="2"/>
        <v>144504.06</v>
      </c>
      <c r="U6" s="4" t="str">
        <f t="shared" si="3"/>
        <v>Good</v>
      </c>
      <c r="V6" s="4" t="str">
        <f t="shared" si="4"/>
        <v>Good</v>
      </c>
      <c r="W6" s="4"/>
      <c r="X6" s="4"/>
      <c r="Z6" s="13">
        <f>SUM(T:T)</f>
        <v>769204987.96999967</v>
      </c>
      <c r="AC6" s="20" t="s">
        <v>1083</v>
      </c>
      <c r="AD6" s="16"/>
      <c r="AJ6" s="4"/>
    </row>
    <row r="7" spans="1:37" ht="14.4" thickBot="1">
      <c r="A7" t="str">
        <f t="shared" si="0"/>
        <v>Reen386</v>
      </c>
      <c r="B7">
        <v>6</v>
      </c>
      <c r="C7">
        <v>10</v>
      </c>
      <c r="D7">
        <v>10</v>
      </c>
      <c r="E7">
        <v>2021</v>
      </c>
      <c r="F7" s="1">
        <f t="shared" si="1"/>
        <v>44479</v>
      </c>
      <c r="G7" s="1" t="s">
        <v>18</v>
      </c>
      <c r="H7" s="2">
        <v>44483</v>
      </c>
      <c r="I7" t="s">
        <v>43</v>
      </c>
      <c r="J7">
        <v>3</v>
      </c>
      <c r="K7">
        <v>37252.870000000003</v>
      </c>
      <c r="L7" t="s">
        <v>44</v>
      </c>
      <c r="M7">
        <v>38</v>
      </c>
      <c r="N7" t="s">
        <v>21</v>
      </c>
      <c r="O7" s="3" t="s">
        <v>28</v>
      </c>
      <c r="P7" t="s">
        <v>45</v>
      </c>
      <c r="Q7" t="s">
        <v>24</v>
      </c>
      <c r="R7">
        <v>3</v>
      </c>
      <c r="S7" t="s">
        <v>46</v>
      </c>
      <c r="T7" s="4">
        <f t="shared" si="2"/>
        <v>111758.61000000002</v>
      </c>
      <c r="U7" s="4" t="str">
        <f t="shared" si="3"/>
        <v>Average</v>
      </c>
      <c r="V7" s="4" t="str">
        <f t="shared" si="4"/>
        <v>Good</v>
      </c>
      <c r="W7" s="4"/>
      <c r="X7" s="4"/>
      <c r="AC7" s="17">
        <f>COUNTIFS(I:I,"Apple",Q:Q,"Credit Card")</f>
        <v>199</v>
      </c>
      <c r="AD7" s="18"/>
      <c r="AJ7" s="4"/>
    </row>
    <row r="8" spans="1:37" ht="14.4" thickBot="1">
      <c r="A8" t="str">
        <f t="shared" si="0"/>
        <v>Pank187</v>
      </c>
      <c r="B8">
        <v>7</v>
      </c>
      <c r="C8">
        <v>10</v>
      </c>
      <c r="D8">
        <v>10</v>
      </c>
      <c r="E8">
        <v>2021</v>
      </c>
      <c r="F8" s="1">
        <f t="shared" si="1"/>
        <v>44479</v>
      </c>
      <c r="G8" s="1" t="s">
        <v>18</v>
      </c>
      <c r="H8" s="2">
        <v>44484</v>
      </c>
      <c r="I8" t="s">
        <v>38</v>
      </c>
      <c r="J8">
        <v>6</v>
      </c>
      <c r="K8">
        <v>61805.8</v>
      </c>
      <c r="L8" t="s">
        <v>47</v>
      </c>
      <c r="M8">
        <v>18</v>
      </c>
      <c r="N8" t="s">
        <v>36</v>
      </c>
      <c r="O8" s="3" t="s">
        <v>22</v>
      </c>
      <c r="P8" t="s">
        <v>29</v>
      </c>
      <c r="Q8" t="s">
        <v>41</v>
      </c>
      <c r="R8">
        <v>4</v>
      </c>
      <c r="S8" t="s">
        <v>48</v>
      </c>
      <c r="T8" s="4">
        <f t="shared" si="2"/>
        <v>370834.80000000005</v>
      </c>
      <c r="U8" s="4" t="str">
        <f t="shared" si="3"/>
        <v>Good</v>
      </c>
      <c r="V8" s="4" t="str">
        <f t="shared" si="4"/>
        <v>Excellent</v>
      </c>
      <c r="W8" s="4"/>
      <c r="X8" s="4"/>
      <c r="Z8" s="14" t="s">
        <v>1069</v>
      </c>
      <c r="AJ8" s="4"/>
    </row>
    <row r="9" spans="1:37" ht="14.4" thickBot="1">
      <c r="A9" t="str">
        <f t="shared" si="0"/>
        <v>Mala328</v>
      </c>
      <c r="B9">
        <v>8</v>
      </c>
      <c r="C9">
        <v>11</v>
      </c>
      <c r="D9">
        <v>10</v>
      </c>
      <c r="E9">
        <v>2021</v>
      </c>
      <c r="F9" s="1">
        <f t="shared" si="1"/>
        <v>44480</v>
      </c>
      <c r="G9" s="1" t="s">
        <v>18</v>
      </c>
      <c r="H9" s="2">
        <v>44485</v>
      </c>
      <c r="I9" t="s">
        <v>49</v>
      </c>
      <c r="J9">
        <v>2</v>
      </c>
      <c r="K9">
        <v>65017.67</v>
      </c>
      <c r="L9" t="s">
        <v>50</v>
      </c>
      <c r="M9">
        <v>32</v>
      </c>
      <c r="N9" t="s">
        <v>21</v>
      </c>
      <c r="O9" s="3" t="s">
        <v>28</v>
      </c>
      <c r="P9" t="s">
        <v>51</v>
      </c>
      <c r="Q9" t="s">
        <v>41</v>
      </c>
      <c r="R9">
        <v>3</v>
      </c>
      <c r="S9" t="s">
        <v>52</v>
      </c>
      <c r="T9" s="4">
        <f t="shared" si="2"/>
        <v>130035.34</v>
      </c>
      <c r="U9" s="4" t="str">
        <f t="shared" si="3"/>
        <v>Average</v>
      </c>
      <c r="V9" s="4" t="str">
        <f t="shared" si="4"/>
        <v>Good</v>
      </c>
      <c r="W9" s="4"/>
      <c r="X9" s="4"/>
      <c r="Z9" s="13">
        <f>SUMIF(P:P,"Delhi",T:T)</f>
        <v>203883475.84999999</v>
      </c>
      <c r="AC9" s="15" t="s">
        <v>1084</v>
      </c>
      <c r="AD9" s="16"/>
      <c r="AJ9" s="4"/>
    </row>
    <row r="10" spans="1:37" ht="14.4" thickBot="1">
      <c r="A10" t="str">
        <f t="shared" si="0"/>
        <v>Pank349</v>
      </c>
      <c r="B10">
        <v>9</v>
      </c>
      <c r="C10">
        <v>11</v>
      </c>
      <c r="D10">
        <v>10</v>
      </c>
      <c r="E10">
        <v>2021</v>
      </c>
      <c r="F10" s="1">
        <f t="shared" si="1"/>
        <v>44480</v>
      </c>
      <c r="G10" s="1" t="s">
        <v>18</v>
      </c>
      <c r="H10" s="2">
        <v>44486</v>
      </c>
      <c r="I10" t="s">
        <v>26</v>
      </c>
      <c r="J10">
        <v>6</v>
      </c>
      <c r="K10">
        <v>69808.460000000006</v>
      </c>
      <c r="L10" t="s">
        <v>53</v>
      </c>
      <c r="M10">
        <v>34</v>
      </c>
      <c r="N10" t="s">
        <v>21</v>
      </c>
      <c r="O10" s="3" t="s">
        <v>22</v>
      </c>
      <c r="P10" t="s">
        <v>29</v>
      </c>
      <c r="Q10" t="s">
        <v>24</v>
      </c>
      <c r="R10">
        <v>5</v>
      </c>
      <c r="S10" t="s">
        <v>31</v>
      </c>
      <c r="T10" s="4">
        <f t="shared" si="2"/>
        <v>418850.76</v>
      </c>
      <c r="U10" s="4" t="str">
        <f t="shared" si="3"/>
        <v>Good</v>
      </c>
      <c r="V10" s="4" t="str">
        <f t="shared" si="4"/>
        <v>Excellent</v>
      </c>
      <c r="W10" s="4"/>
      <c r="X10" s="4"/>
      <c r="Z10" s="11"/>
      <c r="AC10" s="17">
        <f>COUNTIFS(I:I,"Vivo",P:P,"Mumbai")</f>
        <v>108</v>
      </c>
      <c r="AD10" s="18"/>
      <c r="AJ10" s="4"/>
    </row>
    <row r="11" spans="1:37" ht="14.4" thickBot="1">
      <c r="A11" t="str">
        <f t="shared" si="0"/>
        <v>Yoge3110</v>
      </c>
      <c r="B11">
        <v>10</v>
      </c>
      <c r="C11">
        <v>11</v>
      </c>
      <c r="D11">
        <v>10</v>
      </c>
      <c r="E11">
        <v>2021</v>
      </c>
      <c r="F11" s="1">
        <f t="shared" si="1"/>
        <v>44480</v>
      </c>
      <c r="G11" s="1" t="s">
        <v>18</v>
      </c>
      <c r="H11" s="2">
        <v>44487</v>
      </c>
      <c r="I11" t="s">
        <v>43</v>
      </c>
      <c r="J11">
        <v>6</v>
      </c>
      <c r="K11">
        <v>19221.05</v>
      </c>
      <c r="L11" t="s">
        <v>54</v>
      </c>
      <c r="M11">
        <v>31</v>
      </c>
      <c r="N11" t="s">
        <v>21</v>
      </c>
      <c r="O11" s="3" t="s">
        <v>55</v>
      </c>
      <c r="P11" t="s">
        <v>33</v>
      </c>
      <c r="Q11" t="s">
        <v>56</v>
      </c>
      <c r="R11">
        <v>2</v>
      </c>
      <c r="S11" t="s">
        <v>57</v>
      </c>
      <c r="T11" s="4">
        <f t="shared" si="2"/>
        <v>115326.29999999999</v>
      </c>
      <c r="U11" s="4" t="str">
        <f t="shared" si="3"/>
        <v>Average</v>
      </c>
      <c r="V11" s="4" t="str">
        <f t="shared" si="4"/>
        <v>Good</v>
      </c>
      <c r="W11" s="4"/>
      <c r="X11" s="4"/>
      <c r="Z11" s="12" t="s">
        <v>1070</v>
      </c>
      <c r="AJ11" s="4"/>
    </row>
    <row r="12" spans="1:37" ht="14.4" thickBot="1">
      <c r="A12" t="str">
        <f t="shared" si="0"/>
        <v>Radh3611</v>
      </c>
      <c r="B12">
        <v>11</v>
      </c>
      <c r="C12">
        <v>12</v>
      </c>
      <c r="D12">
        <v>10</v>
      </c>
      <c r="E12">
        <v>2021</v>
      </c>
      <c r="F12" s="1">
        <f t="shared" si="1"/>
        <v>44481</v>
      </c>
      <c r="G12" s="1" t="s">
        <v>18</v>
      </c>
      <c r="H12" s="2">
        <v>44488</v>
      </c>
      <c r="I12" t="s">
        <v>43</v>
      </c>
      <c r="J12">
        <v>8</v>
      </c>
      <c r="K12">
        <v>61777.84</v>
      </c>
      <c r="L12" t="s">
        <v>58</v>
      </c>
      <c r="M12">
        <v>36</v>
      </c>
      <c r="N12" t="s">
        <v>21</v>
      </c>
      <c r="O12" s="3" t="s">
        <v>22</v>
      </c>
      <c r="P12" t="s">
        <v>59</v>
      </c>
      <c r="Q12" t="s">
        <v>30</v>
      </c>
      <c r="R12">
        <v>5</v>
      </c>
      <c r="S12" t="s">
        <v>57</v>
      </c>
      <c r="T12" s="4">
        <f t="shared" si="2"/>
        <v>494222.72</v>
      </c>
      <c r="U12" s="4" t="str">
        <f t="shared" si="3"/>
        <v>Good</v>
      </c>
      <c r="V12" s="4" t="str">
        <f t="shared" si="4"/>
        <v>Excellent</v>
      </c>
      <c r="W12" s="4"/>
      <c r="X12" s="4"/>
      <c r="Z12" s="13">
        <f>SUMIF(I:I,"Samsung",T:T)</f>
        <v>160038054.50000006</v>
      </c>
      <c r="AC12" s="12" t="s">
        <v>1085</v>
      </c>
      <c r="AJ12" s="4"/>
    </row>
    <row r="13" spans="1:37" ht="14.4" thickBot="1">
      <c r="A13" t="str">
        <f t="shared" si="0"/>
        <v>Nami5112</v>
      </c>
      <c r="B13">
        <v>12</v>
      </c>
      <c r="C13">
        <v>12</v>
      </c>
      <c r="D13">
        <v>10</v>
      </c>
      <c r="E13">
        <v>2021</v>
      </c>
      <c r="F13" s="1">
        <f t="shared" si="1"/>
        <v>44481</v>
      </c>
      <c r="G13" s="1" t="s">
        <v>18</v>
      </c>
      <c r="H13" s="2">
        <v>44489</v>
      </c>
      <c r="I13" t="s">
        <v>49</v>
      </c>
      <c r="J13">
        <v>7</v>
      </c>
      <c r="K13">
        <v>25961.279999999999</v>
      </c>
      <c r="L13" t="s">
        <v>60</v>
      </c>
      <c r="M13">
        <v>51</v>
      </c>
      <c r="N13" t="s">
        <v>61</v>
      </c>
      <c r="O13" s="3" t="s">
        <v>22</v>
      </c>
      <c r="P13" t="s">
        <v>29</v>
      </c>
      <c r="Q13" t="s">
        <v>24</v>
      </c>
      <c r="R13">
        <v>4</v>
      </c>
      <c r="S13" t="s">
        <v>52</v>
      </c>
      <c r="T13" s="4">
        <f t="shared" si="2"/>
        <v>181728.96</v>
      </c>
      <c r="U13" s="4" t="str">
        <f t="shared" si="3"/>
        <v>Good</v>
      </c>
      <c r="V13" s="4" t="str">
        <f t="shared" si="4"/>
        <v>Good</v>
      </c>
      <c r="W13" s="4"/>
      <c r="X13" s="4"/>
      <c r="AC13" s="13">
        <f>AVERAGE(M:M)</f>
        <v>38.09830508474576</v>
      </c>
      <c r="AE13" t="str">
        <f t="shared" ref="AE13" si="5">LEFT(AP13,4)&amp;AQ13&amp;AF13</f>
        <v/>
      </c>
      <c r="AJ13" s="4"/>
    </row>
    <row r="14" spans="1:37" ht="14.4" thickBot="1">
      <c r="A14" t="str">
        <f t="shared" si="0"/>
        <v>Rame2313</v>
      </c>
      <c r="B14">
        <v>13</v>
      </c>
      <c r="C14">
        <v>12</v>
      </c>
      <c r="D14">
        <v>10</v>
      </c>
      <c r="E14">
        <v>2021</v>
      </c>
      <c r="F14" s="1">
        <f t="shared" si="1"/>
        <v>44481</v>
      </c>
      <c r="G14" s="1" t="s">
        <v>18</v>
      </c>
      <c r="H14" s="2">
        <v>44490</v>
      </c>
      <c r="I14" t="s">
        <v>49</v>
      </c>
      <c r="J14">
        <v>8</v>
      </c>
      <c r="K14">
        <v>45448.95</v>
      </c>
      <c r="L14" t="s">
        <v>62</v>
      </c>
      <c r="M14">
        <v>23</v>
      </c>
      <c r="N14" t="s">
        <v>36</v>
      </c>
      <c r="O14" s="3" t="s">
        <v>22</v>
      </c>
      <c r="P14" t="s">
        <v>33</v>
      </c>
      <c r="Q14" t="s">
        <v>41</v>
      </c>
      <c r="R14">
        <v>5</v>
      </c>
      <c r="S14" t="s">
        <v>52</v>
      </c>
      <c r="T14" s="4">
        <f t="shared" si="2"/>
        <v>363591.6</v>
      </c>
      <c r="U14" s="4" t="str">
        <f t="shared" si="3"/>
        <v>Good</v>
      </c>
      <c r="V14" s="4" t="str">
        <f t="shared" si="4"/>
        <v>Excellent</v>
      </c>
      <c r="W14" s="4"/>
      <c r="X14" s="4"/>
      <c r="Z14" s="12" t="s">
        <v>1071</v>
      </c>
      <c r="AA14" s="11"/>
      <c r="AJ14" s="4"/>
    </row>
    <row r="15" spans="1:37" ht="14.4" thickBot="1">
      <c r="A15" t="str">
        <f t="shared" si="0"/>
        <v>Arun2314</v>
      </c>
      <c r="B15">
        <v>14</v>
      </c>
      <c r="C15">
        <v>13</v>
      </c>
      <c r="D15">
        <v>10</v>
      </c>
      <c r="E15">
        <v>2021</v>
      </c>
      <c r="F15" s="1">
        <f t="shared" si="1"/>
        <v>44482</v>
      </c>
      <c r="G15" s="1" t="s">
        <v>18</v>
      </c>
      <c r="H15" s="2">
        <v>44491</v>
      </c>
      <c r="I15" t="s">
        <v>19</v>
      </c>
      <c r="J15">
        <v>9</v>
      </c>
      <c r="K15">
        <v>40346.370000000003</v>
      </c>
      <c r="L15" t="s">
        <v>63</v>
      </c>
      <c r="M15">
        <v>23</v>
      </c>
      <c r="N15" t="s">
        <v>36</v>
      </c>
      <c r="O15" s="3" t="s">
        <v>55</v>
      </c>
      <c r="P15" t="s">
        <v>64</v>
      </c>
      <c r="Q15" t="s">
        <v>30</v>
      </c>
      <c r="R15">
        <v>2</v>
      </c>
      <c r="S15" t="s">
        <v>25</v>
      </c>
      <c r="T15" s="4">
        <f t="shared" si="2"/>
        <v>363117.33</v>
      </c>
      <c r="U15" s="4" t="str">
        <f t="shared" si="3"/>
        <v>Average</v>
      </c>
      <c r="V15" s="4" t="str">
        <f t="shared" si="4"/>
        <v>Excellent</v>
      </c>
      <c r="W15" s="4"/>
      <c r="X15" s="4"/>
      <c r="Z15" s="13">
        <f>SUMIF(I:I,"Apple",J:J)</f>
        <v>3932</v>
      </c>
      <c r="AC15" s="12" t="s">
        <v>1086</v>
      </c>
      <c r="AJ15" s="4"/>
    </row>
    <row r="16" spans="1:37" ht="14.4" thickBot="1">
      <c r="A16" t="str">
        <f t="shared" si="0"/>
        <v>Mano2215</v>
      </c>
      <c r="B16">
        <v>15</v>
      </c>
      <c r="C16">
        <v>13</v>
      </c>
      <c r="D16">
        <v>10</v>
      </c>
      <c r="E16">
        <v>2021</v>
      </c>
      <c r="F16" s="1">
        <f t="shared" si="1"/>
        <v>44482</v>
      </c>
      <c r="G16" s="1" t="s">
        <v>18</v>
      </c>
      <c r="H16" s="2">
        <v>44492</v>
      </c>
      <c r="I16" t="s">
        <v>26</v>
      </c>
      <c r="J16">
        <v>6</v>
      </c>
      <c r="K16">
        <v>11079.29</v>
      </c>
      <c r="L16" t="s">
        <v>65</v>
      </c>
      <c r="M16">
        <v>22</v>
      </c>
      <c r="N16" t="s">
        <v>36</v>
      </c>
      <c r="O16" s="3" t="s">
        <v>22</v>
      </c>
      <c r="P16" t="s">
        <v>66</v>
      </c>
      <c r="Q16" t="s">
        <v>41</v>
      </c>
      <c r="R16">
        <v>5</v>
      </c>
      <c r="S16" t="s">
        <v>67</v>
      </c>
      <c r="T16" s="4">
        <f t="shared" si="2"/>
        <v>66475.740000000005</v>
      </c>
      <c r="U16" s="4" t="str">
        <f t="shared" si="3"/>
        <v>Good</v>
      </c>
      <c r="V16" s="4" t="str">
        <f t="shared" si="4"/>
        <v>Average</v>
      </c>
      <c r="W16" s="4"/>
      <c r="X16" s="4"/>
      <c r="AA16" s="11"/>
      <c r="AC16" s="13">
        <f>AVERAGE(J:J)</f>
        <v>4.9934810951760102</v>
      </c>
      <c r="AJ16" s="4"/>
    </row>
    <row r="17" spans="1:36" ht="14.4" thickBot="1">
      <c r="A17" t="str">
        <f t="shared" si="0"/>
        <v>Anja2416</v>
      </c>
      <c r="B17">
        <v>16</v>
      </c>
      <c r="C17">
        <v>13</v>
      </c>
      <c r="D17">
        <v>10</v>
      </c>
      <c r="E17">
        <v>2021</v>
      </c>
      <c r="F17" s="1">
        <f t="shared" si="1"/>
        <v>44482</v>
      </c>
      <c r="G17" s="1" t="s">
        <v>18</v>
      </c>
      <c r="H17" s="2">
        <v>44493</v>
      </c>
      <c r="I17" t="s">
        <v>26</v>
      </c>
      <c r="J17">
        <v>3</v>
      </c>
      <c r="K17">
        <v>65966.28</v>
      </c>
      <c r="L17" t="s">
        <v>68</v>
      </c>
      <c r="M17">
        <v>24</v>
      </c>
      <c r="N17" t="s">
        <v>36</v>
      </c>
      <c r="O17" s="3" t="s">
        <v>55</v>
      </c>
      <c r="P17" t="s">
        <v>33</v>
      </c>
      <c r="Q17" t="s">
        <v>30</v>
      </c>
      <c r="R17">
        <v>2</v>
      </c>
      <c r="S17" t="s">
        <v>31</v>
      </c>
      <c r="T17" s="4">
        <f t="shared" si="2"/>
        <v>197898.84</v>
      </c>
      <c r="U17" s="4" t="str">
        <f t="shared" si="3"/>
        <v>Average</v>
      </c>
      <c r="V17" s="4" t="str">
        <f t="shared" si="4"/>
        <v>Good</v>
      </c>
      <c r="W17" s="4"/>
      <c r="X17" s="4"/>
      <c r="Z17" s="15" t="s">
        <v>1072</v>
      </c>
      <c r="AA17" s="16"/>
      <c r="AJ17" s="4"/>
    </row>
    <row r="18" spans="1:36" ht="14.4" thickBot="1">
      <c r="A18" t="str">
        <f t="shared" si="0"/>
        <v>Rame5017</v>
      </c>
      <c r="B18">
        <v>17</v>
      </c>
      <c r="C18">
        <v>14</v>
      </c>
      <c r="D18">
        <v>10</v>
      </c>
      <c r="E18">
        <v>2021</v>
      </c>
      <c r="F18" s="1">
        <f t="shared" si="1"/>
        <v>44483</v>
      </c>
      <c r="G18" s="1" t="s">
        <v>18</v>
      </c>
      <c r="H18" s="2">
        <v>44494</v>
      </c>
      <c r="I18" t="s">
        <v>38</v>
      </c>
      <c r="J18">
        <v>3</v>
      </c>
      <c r="K18">
        <v>14699.62</v>
      </c>
      <c r="L18" t="s">
        <v>69</v>
      </c>
      <c r="M18">
        <v>50</v>
      </c>
      <c r="N18" t="s">
        <v>61</v>
      </c>
      <c r="O18" s="3" t="s">
        <v>22</v>
      </c>
      <c r="P18" t="s">
        <v>70</v>
      </c>
      <c r="Q18" t="s">
        <v>24</v>
      </c>
      <c r="R18">
        <v>4</v>
      </c>
      <c r="S18" t="s">
        <v>48</v>
      </c>
      <c r="T18" s="4">
        <f t="shared" si="2"/>
        <v>44098.86</v>
      </c>
      <c r="U18" s="4" t="str">
        <f t="shared" si="3"/>
        <v>Good</v>
      </c>
      <c r="V18" s="4" t="str">
        <f t="shared" si="4"/>
        <v>Low</v>
      </c>
      <c r="W18" s="4"/>
      <c r="X18" s="4"/>
      <c r="Z18" s="17">
        <f>SUMIF(Q:Q,"UPI",T:T)</f>
        <v>201673761.51000014</v>
      </c>
      <c r="AA18" s="18"/>
      <c r="AC18" s="12" t="s">
        <v>1087</v>
      </c>
      <c r="AJ18" s="4"/>
    </row>
    <row r="19" spans="1:36" ht="14.4" thickBot="1">
      <c r="A19" t="str">
        <f t="shared" si="0"/>
        <v>Anan3018</v>
      </c>
      <c r="B19">
        <v>18</v>
      </c>
      <c r="C19">
        <v>14</v>
      </c>
      <c r="D19">
        <v>10</v>
      </c>
      <c r="E19">
        <v>2021</v>
      </c>
      <c r="F19" s="1">
        <f t="shared" si="1"/>
        <v>44483</v>
      </c>
      <c r="G19" s="1" t="s">
        <v>18</v>
      </c>
      <c r="H19" s="2">
        <v>44495</v>
      </c>
      <c r="I19" t="s">
        <v>19</v>
      </c>
      <c r="J19">
        <v>1</v>
      </c>
      <c r="K19">
        <v>51293.14</v>
      </c>
      <c r="L19" t="s">
        <v>71</v>
      </c>
      <c r="M19">
        <v>30</v>
      </c>
      <c r="N19" t="s">
        <v>36</v>
      </c>
      <c r="O19" s="3" t="s">
        <v>28</v>
      </c>
      <c r="P19" t="s">
        <v>29</v>
      </c>
      <c r="Q19" t="s">
        <v>41</v>
      </c>
      <c r="R19">
        <v>3</v>
      </c>
      <c r="S19" t="s">
        <v>25</v>
      </c>
      <c r="T19" s="4">
        <f t="shared" si="2"/>
        <v>51293.14</v>
      </c>
      <c r="U19" s="4" t="str">
        <f t="shared" si="3"/>
        <v>Average</v>
      </c>
      <c r="V19" s="4" t="str">
        <f t="shared" si="4"/>
        <v>Average</v>
      </c>
      <c r="W19" s="4"/>
      <c r="X19" s="4"/>
      <c r="AC19" s="13">
        <f>AVERAGE(T:T)</f>
        <v>200574.9642685788</v>
      </c>
      <c r="AJ19" s="4"/>
    </row>
    <row r="20" spans="1:36" ht="14.4" thickBot="1">
      <c r="A20" t="str">
        <f t="shared" si="0"/>
        <v>Kira1819</v>
      </c>
      <c r="B20">
        <v>19</v>
      </c>
      <c r="C20">
        <v>14</v>
      </c>
      <c r="D20">
        <v>10</v>
      </c>
      <c r="E20">
        <v>2021</v>
      </c>
      <c r="F20" s="1">
        <f t="shared" si="1"/>
        <v>44483</v>
      </c>
      <c r="G20" s="1" t="s">
        <v>18</v>
      </c>
      <c r="H20" s="2">
        <v>44496</v>
      </c>
      <c r="I20" t="s">
        <v>19</v>
      </c>
      <c r="J20">
        <v>5</v>
      </c>
      <c r="K20">
        <v>57100.41</v>
      </c>
      <c r="L20" t="s">
        <v>72</v>
      </c>
      <c r="M20">
        <v>18</v>
      </c>
      <c r="N20" t="s">
        <v>36</v>
      </c>
      <c r="O20" s="3" t="s">
        <v>22</v>
      </c>
      <c r="P20" t="s">
        <v>33</v>
      </c>
      <c r="Q20" t="s">
        <v>30</v>
      </c>
      <c r="R20">
        <v>4</v>
      </c>
      <c r="S20" t="s">
        <v>25</v>
      </c>
      <c r="T20" s="4">
        <f t="shared" si="2"/>
        <v>285502.05000000005</v>
      </c>
      <c r="U20" s="4" t="str">
        <f t="shared" si="3"/>
        <v>Good</v>
      </c>
      <c r="V20" s="4" t="str">
        <f t="shared" si="4"/>
        <v>Excellent</v>
      </c>
      <c r="W20" s="4"/>
      <c r="X20" s="4"/>
      <c r="Z20" s="12" t="s">
        <v>1073</v>
      </c>
      <c r="AA20" s="16"/>
      <c r="AJ20" s="4"/>
    </row>
    <row r="21" spans="1:36" ht="14.4" thickBot="1">
      <c r="A21" t="str">
        <f t="shared" si="0"/>
        <v>Hari3020</v>
      </c>
      <c r="B21">
        <v>20</v>
      </c>
      <c r="C21">
        <v>14</v>
      </c>
      <c r="D21">
        <v>10</v>
      </c>
      <c r="E21">
        <v>2021</v>
      </c>
      <c r="F21" s="1">
        <f t="shared" si="1"/>
        <v>44483</v>
      </c>
      <c r="G21" s="1" t="s">
        <v>18</v>
      </c>
      <c r="H21" s="2">
        <v>44497</v>
      </c>
      <c r="I21" t="s">
        <v>19</v>
      </c>
      <c r="J21">
        <v>4</v>
      </c>
      <c r="K21">
        <v>57717.27</v>
      </c>
      <c r="L21" t="s">
        <v>73</v>
      </c>
      <c r="M21">
        <v>30</v>
      </c>
      <c r="N21" t="s">
        <v>36</v>
      </c>
      <c r="O21" s="3" t="s">
        <v>22</v>
      </c>
      <c r="P21" t="s">
        <v>33</v>
      </c>
      <c r="Q21" t="s">
        <v>30</v>
      </c>
      <c r="R21">
        <v>5</v>
      </c>
      <c r="S21" t="s">
        <v>25</v>
      </c>
      <c r="T21" s="4">
        <f t="shared" si="2"/>
        <v>230869.08</v>
      </c>
      <c r="U21" s="4" t="str">
        <f t="shared" si="3"/>
        <v>Good</v>
      </c>
      <c r="V21" s="4" t="str">
        <f t="shared" si="4"/>
        <v>Excellent</v>
      </c>
      <c r="W21" s="4"/>
      <c r="X21" s="4"/>
      <c r="Z21" s="13">
        <f>SUMIFS(T:T,I:I,"Samsung",P:P,"Delhi")</f>
        <v>39787022.830000006</v>
      </c>
      <c r="AA21" s="18"/>
      <c r="AC21" s="12" t="s">
        <v>1088</v>
      </c>
      <c r="AJ21" s="4"/>
    </row>
    <row r="22" spans="1:36" ht="14.4" thickBot="1">
      <c r="A22" t="str">
        <f t="shared" si="0"/>
        <v>Mano4421</v>
      </c>
      <c r="B22">
        <v>21</v>
      </c>
      <c r="C22">
        <v>15</v>
      </c>
      <c r="D22">
        <v>10</v>
      </c>
      <c r="E22">
        <v>2021</v>
      </c>
      <c r="F22" s="1">
        <f t="shared" si="1"/>
        <v>44484</v>
      </c>
      <c r="G22" s="1" t="s">
        <v>18</v>
      </c>
      <c r="H22" s="2">
        <v>44498</v>
      </c>
      <c r="I22" t="s">
        <v>19</v>
      </c>
      <c r="J22">
        <v>9</v>
      </c>
      <c r="K22">
        <v>18129.669999999998</v>
      </c>
      <c r="L22" t="s">
        <v>74</v>
      </c>
      <c r="M22">
        <v>44</v>
      </c>
      <c r="N22" t="s">
        <v>21</v>
      </c>
      <c r="O22" s="3" t="s">
        <v>22</v>
      </c>
      <c r="P22" t="s">
        <v>70</v>
      </c>
      <c r="Q22" t="s">
        <v>24</v>
      </c>
      <c r="R22">
        <v>4</v>
      </c>
      <c r="S22" t="s">
        <v>37</v>
      </c>
      <c r="T22" s="4">
        <f t="shared" si="2"/>
        <v>163167.02999999997</v>
      </c>
      <c r="U22" s="4" t="str">
        <f t="shared" si="3"/>
        <v>Good</v>
      </c>
      <c r="V22" s="4" t="str">
        <f t="shared" si="4"/>
        <v>Good</v>
      </c>
      <c r="W22" s="4"/>
      <c r="X22" s="4"/>
      <c r="AC22" s="13">
        <f>AVERAGEIF(I:I,"Samsung",T:T)</f>
        <v>206500.71548387106</v>
      </c>
      <c r="AJ22" s="4"/>
    </row>
    <row r="23" spans="1:36" ht="14.4" thickBot="1">
      <c r="A23" t="str">
        <f t="shared" si="0"/>
        <v>Jyot2422</v>
      </c>
      <c r="B23">
        <v>22</v>
      </c>
      <c r="C23">
        <v>15</v>
      </c>
      <c r="D23">
        <v>10</v>
      </c>
      <c r="E23">
        <v>2021</v>
      </c>
      <c r="F23" s="1">
        <f t="shared" si="1"/>
        <v>44484</v>
      </c>
      <c r="G23" s="1" t="s">
        <v>18</v>
      </c>
      <c r="H23" s="2">
        <v>44499</v>
      </c>
      <c r="I23" t="s">
        <v>26</v>
      </c>
      <c r="J23">
        <v>9</v>
      </c>
      <c r="K23">
        <v>36854.199999999997</v>
      </c>
      <c r="L23" t="s">
        <v>75</v>
      </c>
      <c r="M23">
        <v>24</v>
      </c>
      <c r="N23" t="s">
        <v>36</v>
      </c>
      <c r="O23" s="3" t="s">
        <v>22</v>
      </c>
      <c r="P23" t="s">
        <v>51</v>
      </c>
      <c r="Q23" t="s">
        <v>30</v>
      </c>
      <c r="R23">
        <v>5</v>
      </c>
      <c r="S23" t="s">
        <v>34</v>
      </c>
      <c r="T23" s="4">
        <f t="shared" si="2"/>
        <v>331687.8</v>
      </c>
      <c r="U23" s="4" t="str">
        <f t="shared" si="3"/>
        <v>Good</v>
      </c>
      <c r="V23" s="4" t="str">
        <f t="shared" si="4"/>
        <v>Excellent</v>
      </c>
      <c r="W23" s="4"/>
      <c r="X23" s="4"/>
      <c r="Z23" s="15" t="s">
        <v>1074</v>
      </c>
      <c r="AA23" s="16"/>
      <c r="AJ23" s="4"/>
    </row>
    <row r="24" spans="1:36" ht="14.4" thickBot="1">
      <c r="A24" t="str">
        <f t="shared" si="0"/>
        <v>Raje2023</v>
      </c>
      <c r="B24">
        <v>23</v>
      </c>
      <c r="C24">
        <v>15</v>
      </c>
      <c r="D24">
        <v>10</v>
      </c>
      <c r="E24">
        <v>2021</v>
      </c>
      <c r="F24" s="1">
        <f t="shared" si="1"/>
        <v>44484</v>
      </c>
      <c r="G24" s="1" t="s">
        <v>18</v>
      </c>
      <c r="H24" s="2">
        <v>44500</v>
      </c>
      <c r="I24" t="s">
        <v>26</v>
      </c>
      <c r="J24">
        <v>5</v>
      </c>
      <c r="K24">
        <v>59765.73</v>
      </c>
      <c r="L24" t="s">
        <v>76</v>
      </c>
      <c r="M24">
        <v>20</v>
      </c>
      <c r="N24" t="s">
        <v>36</v>
      </c>
      <c r="O24" s="3" t="s">
        <v>22</v>
      </c>
      <c r="P24" t="s">
        <v>77</v>
      </c>
      <c r="Q24" t="s">
        <v>30</v>
      </c>
      <c r="R24">
        <v>5</v>
      </c>
      <c r="S24" t="s">
        <v>34</v>
      </c>
      <c r="T24" s="4">
        <f t="shared" si="2"/>
        <v>298828.65000000002</v>
      </c>
      <c r="U24" s="4" t="str">
        <f t="shared" si="3"/>
        <v>Good</v>
      </c>
      <c r="V24" s="4" t="str">
        <f t="shared" si="4"/>
        <v>Excellent</v>
      </c>
      <c r="W24" s="4"/>
      <c r="X24" s="4"/>
      <c r="Z24" s="17">
        <f>SUMIFS(T:T,I:I,"Apple",Q:Q,"Credit Card")</f>
        <v>39941833.710000008</v>
      </c>
      <c r="AA24" s="18"/>
      <c r="AC24" s="12" t="s">
        <v>1089</v>
      </c>
      <c r="AJ24" s="4"/>
    </row>
    <row r="25" spans="1:36" ht="14.4" thickBot="1">
      <c r="A25" t="str">
        <f t="shared" si="0"/>
        <v>Mala4224</v>
      </c>
      <c r="B25">
        <v>24</v>
      </c>
      <c r="C25">
        <v>16</v>
      </c>
      <c r="D25">
        <v>10</v>
      </c>
      <c r="E25">
        <v>2021</v>
      </c>
      <c r="F25" s="1">
        <f t="shared" si="1"/>
        <v>44485</v>
      </c>
      <c r="G25" s="1" t="s">
        <v>18</v>
      </c>
      <c r="H25" s="2">
        <v>44501</v>
      </c>
      <c r="I25" t="s">
        <v>19</v>
      </c>
      <c r="J25">
        <v>4</v>
      </c>
      <c r="K25">
        <v>28160.75</v>
      </c>
      <c r="L25" t="s">
        <v>78</v>
      </c>
      <c r="M25">
        <v>42</v>
      </c>
      <c r="N25" t="s">
        <v>21</v>
      </c>
      <c r="O25" s="3" t="s">
        <v>22</v>
      </c>
      <c r="P25" t="s">
        <v>33</v>
      </c>
      <c r="Q25" t="s">
        <v>41</v>
      </c>
      <c r="R25">
        <v>5</v>
      </c>
      <c r="S25" t="s">
        <v>25</v>
      </c>
      <c r="T25" s="4">
        <f t="shared" si="2"/>
        <v>112643</v>
      </c>
      <c r="U25" s="4" t="str">
        <f t="shared" si="3"/>
        <v>Good</v>
      </c>
      <c r="V25" s="4" t="str">
        <f t="shared" si="4"/>
        <v>Good</v>
      </c>
      <c r="W25" s="4"/>
      <c r="X25" s="4"/>
      <c r="AC25" s="13">
        <f>AVERAGEIF(P:P,"Delhi",J:J)</f>
        <v>5.037698412698413</v>
      </c>
      <c r="AJ25" s="4"/>
    </row>
    <row r="26" spans="1:36" ht="14.4" thickBot="1">
      <c r="A26" t="str">
        <f t="shared" si="0"/>
        <v>Reen5025</v>
      </c>
      <c r="B26">
        <v>25</v>
      </c>
      <c r="C26">
        <v>16</v>
      </c>
      <c r="D26">
        <v>10</v>
      </c>
      <c r="E26">
        <v>2021</v>
      </c>
      <c r="F26" s="1">
        <f t="shared" si="1"/>
        <v>44485</v>
      </c>
      <c r="G26" s="1" t="s">
        <v>18</v>
      </c>
      <c r="H26" s="2">
        <v>44502</v>
      </c>
      <c r="I26" t="s">
        <v>38</v>
      </c>
      <c r="J26">
        <v>7</v>
      </c>
      <c r="K26">
        <v>38064.92</v>
      </c>
      <c r="L26" t="s">
        <v>79</v>
      </c>
      <c r="M26">
        <v>50</v>
      </c>
      <c r="N26" t="s">
        <v>61</v>
      </c>
      <c r="O26" s="3" t="s">
        <v>55</v>
      </c>
      <c r="P26" t="s">
        <v>29</v>
      </c>
      <c r="Q26" t="s">
        <v>24</v>
      </c>
      <c r="R26">
        <v>2</v>
      </c>
      <c r="S26" t="s">
        <v>48</v>
      </c>
      <c r="T26" s="4">
        <f t="shared" si="2"/>
        <v>266454.44</v>
      </c>
      <c r="U26" s="4" t="str">
        <f t="shared" si="3"/>
        <v>Average</v>
      </c>
      <c r="V26" s="4" t="str">
        <f t="shared" si="4"/>
        <v>Excellent</v>
      </c>
      <c r="W26" s="4"/>
      <c r="X26" s="4"/>
      <c r="Z26" s="12">
        <f>SUMIFS(T:T,I:I,"Vivo",P:P,"Mumbai")</f>
        <v>20758625.000000007</v>
      </c>
      <c r="AJ26" s="4"/>
    </row>
    <row r="27" spans="1:36" ht="14.4" thickBot="1">
      <c r="A27" t="str">
        <f t="shared" si="0"/>
        <v>Bhav5726</v>
      </c>
      <c r="B27">
        <v>26</v>
      </c>
      <c r="C27">
        <v>16</v>
      </c>
      <c r="D27">
        <v>10</v>
      </c>
      <c r="E27">
        <v>2021</v>
      </c>
      <c r="F27" s="1">
        <f t="shared" si="1"/>
        <v>44485</v>
      </c>
      <c r="G27" s="1" t="s">
        <v>18</v>
      </c>
      <c r="H27" s="2">
        <v>44503</v>
      </c>
      <c r="I27" t="s">
        <v>43</v>
      </c>
      <c r="J27">
        <v>6</v>
      </c>
      <c r="K27">
        <v>26367.63</v>
      </c>
      <c r="L27" t="s">
        <v>80</v>
      </c>
      <c r="M27">
        <v>57</v>
      </c>
      <c r="N27" t="s">
        <v>61</v>
      </c>
      <c r="O27" s="3" t="s">
        <v>22</v>
      </c>
      <c r="P27" t="s">
        <v>29</v>
      </c>
      <c r="Q27" t="s">
        <v>24</v>
      </c>
      <c r="R27">
        <v>5</v>
      </c>
      <c r="S27" t="s">
        <v>46</v>
      </c>
      <c r="T27" s="4">
        <f t="shared" si="2"/>
        <v>158205.78</v>
      </c>
      <c r="U27" s="4" t="str">
        <f t="shared" si="3"/>
        <v>Good</v>
      </c>
      <c r="V27" s="4" t="str">
        <f t="shared" si="4"/>
        <v>Good</v>
      </c>
      <c r="W27" s="4"/>
      <c r="X27" s="4"/>
      <c r="Z27" s="13" t="s">
        <v>1075</v>
      </c>
      <c r="AC27" s="12" t="s">
        <v>1090</v>
      </c>
      <c r="AD27" s="16"/>
      <c r="AJ27" s="4"/>
    </row>
    <row r="28" spans="1:36" ht="14.4" thickBot="1">
      <c r="A28" t="str">
        <f t="shared" si="0"/>
        <v>Yoge3427</v>
      </c>
      <c r="B28">
        <v>27</v>
      </c>
      <c r="C28">
        <v>17</v>
      </c>
      <c r="D28">
        <v>10</v>
      </c>
      <c r="E28">
        <v>2021</v>
      </c>
      <c r="F28" s="1">
        <f t="shared" si="1"/>
        <v>44486</v>
      </c>
      <c r="G28" s="1" t="s">
        <v>18</v>
      </c>
      <c r="H28" s="2">
        <v>44504</v>
      </c>
      <c r="I28" t="s">
        <v>43</v>
      </c>
      <c r="J28">
        <v>4</v>
      </c>
      <c r="K28">
        <v>37813.089999999997</v>
      </c>
      <c r="L28" t="s">
        <v>81</v>
      </c>
      <c r="M28">
        <v>34</v>
      </c>
      <c r="N28" t="s">
        <v>21</v>
      </c>
      <c r="O28" s="3" t="s">
        <v>22</v>
      </c>
      <c r="P28" t="s">
        <v>29</v>
      </c>
      <c r="Q28" t="s">
        <v>41</v>
      </c>
      <c r="R28">
        <v>4</v>
      </c>
      <c r="S28" t="s">
        <v>57</v>
      </c>
      <c r="T28" s="4">
        <f t="shared" si="2"/>
        <v>151252.35999999999</v>
      </c>
      <c r="U28" s="4" t="str">
        <f t="shared" si="3"/>
        <v>Good</v>
      </c>
      <c r="V28" s="4" t="str">
        <f t="shared" si="4"/>
        <v>Good</v>
      </c>
      <c r="W28" s="4"/>
      <c r="X28" s="4"/>
      <c r="AC28" s="13">
        <f>AVERAGEIF(I:I,"Apple",M:M)</f>
        <v>37.813537675606639</v>
      </c>
      <c r="AD28" s="18"/>
      <c r="AJ28" s="4"/>
    </row>
    <row r="29" spans="1:36" ht="14.4" thickBot="1">
      <c r="A29" t="str">
        <f t="shared" si="0"/>
        <v>Isha3128</v>
      </c>
      <c r="B29">
        <v>28</v>
      </c>
      <c r="C29">
        <v>17</v>
      </c>
      <c r="D29">
        <v>10</v>
      </c>
      <c r="E29">
        <v>2021</v>
      </c>
      <c r="F29" s="1">
        <f t="shared" si="1"/>
        <v>44486</v>
      </c>
      <c r="G29" s="1" t="s">
        <v>18</v>
      </c>
      <c r="H29" s="2">
        <v>44505</v>
      </c>
      <c r="I29" t="s">
        <v>38</v>
      </c>
      <c r="J29">
        <v>2</v>
      </c>
      <c r="K29">
        <v>63270.28</v>
      </c>
      <c r="L29" t="s">
        <v>82</v>
      </c>
      <c r="M29">
        <v>31</v>
      </c>
      <c r="N29" t="s">
        <v>21</v>
      </c>
      <c r="O29" s="3" t="s">
        <v>22</v>
      </c>
      <c r="P29" t="s">
        <v>51</v>
      </c>
      <c r="Q29" t="s">
        <v>56</v>
      </c>
      <c r="R29">
        <v>4</v>
      </c>
      <c r="S29" t="s">
        <v>42</v>
      </c>
      <c r="T29" s="4">
        <f t="shared" si="2"/>
        <v>126540.56</v>
      </c>
      <c r="U29" s="4" t="str">
        <f t="shared" si="3"/>
        <v>Good</v>
      </c>
      <c r="V29" s="4" t="str">
        <f t="shared" si="4"/>
        <v>Good</v>
      </c>
      <c r="W29" s="4"/>
      <c r="X29" s="4"/>
      <c r="Z29" s="12" t="s">
        <v>1076</v>
      </c>
      <c r="AJ29" s="4"/>
    </row>
    <row r="30" spans="1:36" ht="14.4" thickBot="1">
      <c r="A30" t="str">
        <f t="shared" si="0"/>
        <v>Tapa5429</v>
      </c>
      <c r="B30">
        <v>29</v>
      </c>
      <c r="C30">
        <v>17</v>
      </c>
      <c r="D30">
        <v>10</v>
      </c>
      <c r="E30">
        <v>2021</v>
      </c>
      <c r="F30" s="1">
        <f t="shared" si="1"/>
        <v>44486</v>
      </c>
      <c r="G30" s="1" t="s">
        <v>18</v>
      </c>
      <c r="H30" s="2">
        <v>44506</v>
      </c>
      <c r="I30" t="s">
        <v>19</v>
      </c>
      <c r="J30">
        <v>1</v>
      </c>
      <c r="K30">
        <v>37307.449999999997</v>
      </c>
      <c r="L30" t="s">
        <v>83</v>
      </c>
      <c r="M30">
        <v>54</v>
      </c>
      <c r="N30" t="s">
        <v>61</v>
      </c>
      <c r="O30" s="3" t="s">
        <v>22</v>
      </c>
      <c r="P30" t="s">
        <v>29</v>
      </c>
      <c r="Q30" t="s">
        <v>41</v>
      </c>
      <c r="R30">
        <v>4</v>
      </c>
      <c r="S30" t="s">
        <v>84</v>
      </c>
      <c r="T30" s="4">
        <f t="shared" si="2"/>
        <v>37307.449999999997</v>
      </c>
      <c r="U30" s="4" t="str">
        <f t="shared" si="3"/>
        <v>Good</v>
      </c>
      <c r="V30" s="4" t="str">
        <f t="shared" si="4"/>
        <v>Low</v>
      </c>
      <c r="W30" s="4"/>
      <c r="X30" s="4"/>
      <c r="Z30" s="13">
        <f>COUNT(B:B)</f>
        <v>3835</v>
      </c>
      <c r="AC30" s="15" t="s">
        <v>1092</v>
      </c>
      <c r="AD30" s="16"/>
      <c r="AJ30" s="4"/>
    </row>
    <row r="31" spans="1:36" ht="14.4" thickBot="1">
      <c r="A31" t="str">
        <f t="shared" si="0"/>
        <v>Vino4030</v>
      </c>
      <c r="B31">
        <v>30</v>
      </c>
      <c r="C31">
        <v>18</v>
      </c>
      <c r="D31">
        <v>10</v>
      </c>
      <c r="E31">
        <v>2021</v>
      </c>
      <c r="F31" s="1">
        <f t="shared" si="1"/>
        <v>44487</v>
      </c>
      <c r="G31" s="1" t="s">
        <v>18</v>
      </c>
      <c r="H31" s="2">
        <v>44507</v>
      </c>
      <c r="I31" t="s">
        <v>26</v>
      </c>
      <c r="J31">
        <v>4</v>
      </c>
      <c r="K31">
        <v>43354.720000000001</v>
      </c>
      <c r="L31" t="s">
        <v>85</v>
      </c>
      <c r="M31">
        <v>40</v>
      </c>
      <c r="N31" t="s">
        <v>21</v>
      </c>
      <c r="O31" s="3" t="s">
        <v>22</v>
      </c>
      <c r="P31" t="s">
        <v>29</v>
      </c>
      <c r="Q31" t="s">
        <v>41</v>
      </c>
      <c r="R31">
        <v>5</v>
      </c>
      <c r="S31" t="s">
        <v>31</v>
      </c>
      <c r="T31" s="4">
        <f t="shared" si="2"/>
        <v>173418.88</v>
      </c>
      <c r="U31" s="4" t="str">
        <f t="shared" si="3"/>
        <v>Good</v>
      </c>
      <c r="V31" s="4" t="str">
        <f t="shared" si="4"/>
        <v>Good</v>
      </c>
      <c r="W31" s="4"/>
      <c r="X31" s="4"/>
      <c r="AC31" s="17" t="str">
        <f>INDEX(I:I,50)</f>
        <v>Vivo</v>
      </c>
      <c r="AD31" s="18"/>
      <c r="AJ31" s="4"/>
    </row>
    <row r="32" spans="1:36" ht="14.4" thickBot="1">
      <c r="A32" t="str">
        <f t="shared" si="0"/>
        <v>Bhav4131</v>
      </c>
      <c r="B32">
        <v>31</v>
      </c>
      <c r="C32">
        <v>18</v>
      </c>
      <c r="D32">
        <v>10</v>
      </c>
      <c r="E32">
        <v>2021</v>
      </c>
      <c r="F32" s="1">
        <f t="shared" si="1"/>
        <v>44487</v>
      </c>
      <c r="G32" s="1" t="s">
        <v>18</v>
      </c>
      <c r="H32" s="2">
        <v>44508</v>
      </c>
      <c r="I32" t="s">
        <v>43</v>
      </c>
      <c r="J32">
        <v>4</v>
      </c>
      <c r="K32">
        <v>34238.58</v>
      </c>
      <c r="L32" t="s">
        <v>86</v>
      </c>
      <c r="M32">
        <v>41</v>
      </c>
      <c r="N32" t="s">
        <v>21</v>
      </c>
      <c r="O32" s="3" t="s">
        <v>55</v>
      </c>
      <c r="P32" t="s">
        <v>23</v>
      </c>
      <c r="Q32" t="s">
        <v>56</v>
      </c>
      <c r="R32">
        <v>2</v>
      </c>
      <c r="S32" t="s">
        <v>46</v>
      </c>
      <c r="T32" s="4">
        <f t="shared" si="2"/>
        <v>136954.32</v>
      </c>
      <c r="U32" s="4" t="str">
        <f t="shared" si="3"/>
        <v>Average</v>
      </c>
      <c r="V32" s="4" t="str">
        <f t="shared" si="4"/>
        <v>Good</v>
      </c>
      <c r="W32" s="4"/>
      <c r="X32" s="4"/>
      <c r="Z32" s="12" t="s">
        <v>1077</v>
      </c>
      <c r="AJ32" s="4"/>
    </row>
    <row r="33" spans="1:36" ht="14.4" thickBot="1">
      <c r="A33" t="str">
        <f t="shared" si="0"/>
        <v>Meen4632</v>
      </c>
      <c r="B33">
        <v>32</v>
      </c>
      <c r="C33">
        <v>18</v>
      </c>
      <c r="D33">
        <v>10</v>
      </c>
      <c r="E33">
        <v>2021</v>
      </c>
      <c r="F33" s="1">
        <f t="shared" si="1"/>
        <v>44487</v>
      </c>
      <c r="G33" s="1" t="s">
        <v>18</v>
      </c>
      <c r="H33" s="2">
        <v>44509</v>
      </c>
      <c r="I33" t="s">
        <v>49</v>
      </c>
      <c r="J33">
        <v>1</v>
      </c>
      <c r="K33">
        <v>37607.03</v>
      </c>
      <c r="L33" t="s">
        <v>87</v>
      </c>
      <c r="M33">
        <v>46</v>
      </c>
      <c r="N33" t="s">
        <v>61</v>
      </c>
      <c r="O33" s="3" t="s">
        <v>22</v>
      </c>
      <c r="P33" t="s">
        <v>33</v>
      </c>
      <c r="Q33" t="s">
        <v>30</v>
      </c>
      <c r="R33">
        <v>5</v>
      </c>
      <c r="S33" t="s">
        <v>88</v>
      </c>
      <c r="T33" s="4">
        <f t="shared" si="2"/>
        <v>37607.03</v>
      </c>
      <c r="U33" s="4" t="str">
        <f t="shared" si="3"/>
        <v>Good</v>
      </c>
      <c r="V33" s="4" t="str">
        <f t="shared" si="4"/>
        <v>Low</v>
      </c>
      <c r="W33" s="4"/>
      <c r="X33" s="4"/>
      <c r="Z33" s="13">
        <f>COUNT(M:M)</f>
        <v>3835</v>
      </c>
      <c r="AC33" s="15" t="s">
        <v>1093</v>
      </c>
      <c r="AD33" s="16"/>
      <c r="AJ33" s="4"/>
    </row>
    <row r="34" spans="1:36" ht="14.4" thickBot="1">
      <c r="A34" t="str">
        <f t="shared" si="0"/>
        <v>Sumi5533</v>
      </c>
      <c r="B34">
        <v>33</v>
      </c>
      <c r="C34">
        <v>18</v>
      </c>
      <c r="D34">
        <v>10</v>
      </c>
      <c r="E34">
        <v>2021</v>
      </c>
      <c r="F34" s="1">
        <f t="shared" si="1"/>
        <v>44487</v>
      </c>
      <c r="G34" s="1" t="s">
        <v>18</v>
      </c>
      <c r="H34" s="2">
        <v>44510</v>
      </c>
      <c r="I34" t="s">
        <v>49</v>
      </c>
      <c r="J34">
        <v>6</v>
      </c>
      <c r="K34">
        <v>10910.45</v>
      </c>
      <c r="L34" t="s">
        <v>89</v>
      </c>
      <c r="M34">
        <v>55</v>
      </c>
      <c r="N34" t="s">
        <v>61</v>
      </c>
      <c r="O34" s="3" t="s">
        <v>28</v>
      </c>
      <c r="P34" t="s">
        <v>90</v>
      </c>
      <c r="Q34" t="s">
        <v>24</v>
      </c>
      <c r="R34">
        <v>3</v>
      </c>
      <c r="S34" t="s">
        <v>88</v>
      </c>
      <c r="T34" s="4">
        <f t="shared" si="2"/>
        <v>65462.700000000004</v>
      </c>
      <c r="U34" s="4" t="str">
        <f t="shared" si="3"/>
        <v>Average</v>
      </c>
      <c r="V34" s="4" t="str">
        <f t="shared" si="4"/>
        <v>Average</v>
      </c>
      <c r="W34" s="4"/>
      <c r="X34" s="4"/>
      <c r="AC34" s="17" t="str">
        <f>INDEX(S:S,100)</f>
        <v>Mi 11</v>
      </c>
      <c r="AD34" s="18"/>
      <c r="AJ34" s="4"/>
    </row>
    <row r="35" spans="1:36" ht="14.4" thickBot="1">
      <c r="A35" t="str">
        <f t="shared" si="0"/>
        <v>Vino4434</v>
      </c>
      <c r="B35">
        <v>34</v>
      </c>
      <c r="C35">
        <v>19</v>
      </c>
      <c r="D35">
        <v>10</v>
      </c>
      <c r="E35">
        <v>2021</v>
      </c>
      <c r="F35" s="1">
        <f t="shared" si="1"/>
        <v>44488</v>
      </c>
      <c r="G35" s="1" t="s">
        <v>18</v>
      </c>
      <c r="H35" s="2">
        <v>44511</v>
      </c>
      <c r="I35" t="s">
        <v>38</v>
      </c>
      <c r="J35">
        <v>4</v>
      </c>
      <c r="K35">
        <v>27024.73</v>
      </c>
      <c r="L35" t="s">
        <v>91</v>
      </c>
      <c r="M35">
        <v>44</v>
      </c>
      <c r="N35" t="s">
        <v>21</v>
      </c>
      <c r="O35" s="3" t="s">
        <v>22</v>
      </c>
      <c r="P35" t="s">
        <v>33</v>
      </c>
      <c r="Q35" t="s">
        <v>24</v>
      </c>
      <c r="R35">
        <v>5</v>
      </c>
      <c r="S35" t="s">
        <v>42</v>
      </c>
      <c r="T35" s="4">
        <f t="shared" si="2"/>
        <v>108098.92</v>
      </c>
      <c r="U35" s="4" t="str">
        <f t="shared" si="3"/>
        <v>Good</v>
      </c>
      <c r="V35" s="4" t="str">
        <f t="shared" si="4"/>
        <v>Good</v>
      </c>
      <c r="W35" s="4"/>
      <c r="X35" s="4"/>
      <c r="Z35" s="12" t="s">
        <v>1078</v>
      </c>
      <c r="AJ35" s="4"/>
    </row>
    <row r="36" spans="1:36" ht="14.4" thickBot="1">
      <c r="A36" t="str">
        <f t="shared" si="0"/>
        <v>Shru5535</v>
      </c>
      <c r="B36">
        <v>35</v>
      </c>
      <c r="C36">
        <v>19</v>
      </c>
      <c r="D36">
        <v>10</v>
      </c>
      <c r="E36">
        <v>2021</v>
      </c>
      <c r="F36" s="1">
        <f t="shared" si="1"/>
        <v>44488</v>
      </c>
      <c r="G36" s="1" t="s">
        <v>18</v>
      </c>
      <c r="H36" s="2">
        <v>44512</v>
      </c>
      <c r="I36" t="s">
        <v>19</v>
      </c>
      <c r="J36">
        <v>1</v>
      </c>
      <c r="K36">
        <v>36194.9</v>
      </c>
      <c r="L36" t="s">
        <v>92</v>
      </c>
      <c r="M36">
        <v>55</v>
      </c>
      <c r="N36" t="s">
        <v>61</v>
      </c>
      <c r="O36" s="3" t="s">
        <v>22</v>
      </c>
      <c r="P36" t="s">
        <v>93</v>
      </c>
      <c r="Q36" t="s">
        <v>56</v>
      </c>
      <c r="R36">
        <v>4</v>
      </c>
      <c r="S36" t="s">
        <v>25</v>
      </c>
      <c r="T36" s="4">
        <f t="shared" si="2"/>
        <v>36194.9</v>
      </c>
      <c r="U36" s="4" t="str">
        <f t="shared" si="3"/>
        <v>Good</v>
      </c>
      <c r="V36" s="4" t="str">
        <f t="shared" si="4"/>
        <v>Low</v>
      </c>
      <c r="W36" s="4"/>
      <c r="X36" s="4"/>
      <c r="Z36" s="13">
        <f>COUNT(R:R)</f>
        <v>3835</v>
      </c>
      <c r="AC36" s="15" t="s">
        <v>1094</v>
      </c>
      <c r="AD36" s="16"/>
      <c r="AJ36" s="4"/>
    </row>
    <row r="37" spans="1:36" ht="14.4" thickBot="1">
      <c r="A37" t="str">
        <f t="shared" si="0"/>
        <v>Pank5736</v>
      </c>
      <c r="B37">
        <v>36</v>
      </c>
      <c r="C37">
        <v>19</v>
      </c>
      <c r="D37">
        <v>10</v>
      </c>
      <c r="E37">
        <v>2021</v>
      </c>
      <c r="F37" s="1">
        <f t="shared" si="1"/>
        <v>44488</v>
      </c>
      <c r="G37" s="1" t="s">
        <v>18</v>
      </c>
      <c r="H37" s="2">
        <v>44513</v>
      </c>
      <c r="I37" t="s">
        <v>43</v>
      </c>
      <c r="J37">
        <v>1</v>
      </c>
      <c r="K37">
        <v>48027.82</v>
      </c>
      <c r="L37" t="s">
        <v>94</v>
      </c>
      <c r="M37">
        <v>57</v>
      </c>
      <c r="N37" t="s">
        <v>61</v>
      </c>
      <c r="O37" s="3" t="s">
        <v>28</v>
      </c>
      <c r="P37" t="s">
        <v>77</v>
      </c>
      <c r="Q37" t="s">
        <v>24</v>
      </c>
      <c r="R37">
        <v>3</v>
      </c>
      <c r="S37" t="s">
        <v>95</v>
      </c>
      <c r="T37" s="4">
        <f t="shared" si="2"/>
        <v>48027.82</v>
      </c>
      <c r="U37" s="4" t="str">
        <f t="shared" si="3"/>
        <v>Average</v>
      </c>
      <c r="V37" s="4" t="str">
        <f t="shared" si="4"/>
        <v>Low</v>
      </c>
      <c r="W37" s="4"/>
      <c r="X37" s="4"/>
      <c r="AC37" s="17">
        <f>SUMIF(S:S,"iPhone 12",T:T)</f>
        <v>50523505.280000001</v>
      </c>
      <c r="AD37" s="18"/>
      <c r="AJ37" s="4"/>
    </row>
    <row r="38" spans="1:36">
      <c r="A38" t="str">
        <f t="shared" si="0"/>
        <v>Deep4037</v>
      </c>
      <c r="B38">
        <v>37</v>
      </c>
      <c r="C38">
        <v>20</v>
      </c>
      <c r="D38">
        <v>10</v>
      </c>
      <c r="E38">
        <v>2021</v>
      </c>
      <c r="F38" s="1">
        <f t="shared" si="1"/>
        <v>44489</v>
      </c>
      <c r="G38" s="1" t="s">
        <v>18</v>
      </c>
      <c r="H38" s="2">
        <v>44514</v>
      </c>
      <c r="I38" t="s">
        <v>19</v>
      </c>
      <c r="J38">
        <v>1</v>
      </c>
      <c r="K38">
        <v>37003.120000000003</v>
      </c>
      <c r="L38" t="s">
        <v>96</v>
      </c>
      <c r="M38">
        <v>40</v>
      </c>
      <c r="N38" t="s">
        <v>21</v>
      </c>
      <c r="O38" s="3" t="s">
        <v>28</v>
      </c>
      <c r="P38" t="s">
        <v>70</v>
      </c>
      <c r="Q38" t="s">
        <v>56</v>
      </c>
      <c r="R38">
        <v>3</v>
      </c>
      <c r="S38" t="s">
        <v>84</v>
      </c>
      <c r="T38" s="4">
        <f t="shared" si="2"/>
        <v>37003.120000000003</v>
      </c>
      <c r="U38" s="4" t="str">
        <f t="shared" si="3"/>
        <v>Average</v>
      </c>
      <c r="V38" s="4" t="str">
        <f t="shared" si="4"/>
        <v>Low</v>
      </c>
      <c r="W38" s="4"/>
      <c r="X38" s="4"/>
      <c r="Z38" s="12" t="s">
        <v>1079</v>
      </c>
      <c r="AJ38" s="4"/>
    </row>
    <row r="39" spans="1:36" ht="14.4" thickBot="1">
      <c r="A39" t="str">
        <f t="shared" si="0"/>
        <v>Sanj4838</v>
      </c>
      <c r="B39">
        <v>38</v>
      </c>
      <c r="C39">
        <v>20</v>
      </c>
      <c r="D39">
        <v>10</v>
      </c>
      <c r="E39">
        <v>2021</v>
      </c>
      <c r="F39" s="1">
        <f t="shared" si="1"/>
        <v>44489</v>
      </c>
      <c r="G39" s="1" t="s">
        <v>18</v>
      </c>
      <c r="H39" s="2">
        <v>44515</v>
      </c>
      <c r="I39" t="s">
        <v>43</v>
      </c>
      <c r="J39">
        <v>8</v>
      </c>
      <c r="K39">
        <v>30269.02</v>
      </c>
      <c r="L39" t="s">
        <v>97</v>
      </c>
      <c r="M39">
        <v>48</v>
      </c>
      <c r="N39" t="s">
        <v>61</v>
      </c>
      <c r="O39" s="3" t="s">
        <v>22</v>
      </c>
      <c r="P39" t="s">
        <v>23</v>
      </c>
      <c r="Q39" t="s">
        <v>30</v>
      </c>
      <c r="R39">
        <v>5</v>
      </c>
      <c r="S39" t="s">
        <v>46</v>
      </c>
      <c r="T39" s="4">
        <f t="shared" si="2"/>
        <v>242152.16</v>
      </c>
      <c r="U39" s="4" t="str">
        <f t="shared" si="3"/>
        <v>Good</v>
      </c>
      <c r="V39" s="4" t="str">
        <f t="shared" si="4"/>
        <v>Excellent</v>
      </c>
      <c r="W39" s="4"/>
      <c r="X39" s="4"/>
      <c r="Z39" s="13">
        <f>COUNTIF(I:I,"Samsung")</f>
        <v>775</v>
      </c>
      <c r="AJ39" s="4"/>
    </row>
    <row r="40" spans="1:36" ht="14.4" thickBot="1">
      <c r="A40" t="str">
        <f t="shared" si="0"/>
        <v>Umes5339</v>
      </c>
      <c r="B40">
        <v>39</v>
      </c>
      <c r="C40">
        <v>20</v>
      </c>
      <c r="D40">
        <v>10</v>
      </c>
      <c r="E40">
        <v>2021</v>
      </c>
      <c r="F40" s="1">
        <f t="shared" si="1"/>
        <v>44489</v>
      </c>
      <c r="G40" s="1" t="s">
        <v>18</v>
      </c>
      <c r="H40" s="2">
        <v>44516</v>
      </c>
      <c r="I40" t="s">
        <v>38</v>
      </c>
      <c r="J40">
        <v>8</v>
      </c>
      <c r="K40">
        <v>33285.919999999998</v>
      </c>
      <c r="L40" t="s">
        <v>98</v>
      </c>
      <c r="M40">
        <v>53</v>
      </c>
      <c r="N40" t="s">
        <v>61</v>
      </c>
      <c r="O40" s="3" t="s">
        <v>22</v>
      </c>
      <c r="P40" t="s">
        <v>29</v>
      </c>
      <c r="Q40" t="s">
        <v>56</v>
      </c>
      <c r="R40">
        <v>5</v>
      </c>
      <c r="S40" t="s">
        <v>99</v>
      </c>
      <c r="T40" s="4">
        <f t="shared" si="2"/>
        <v>266287.35999999999</v>
      </c>
      <c r="U40" s="4" t="str">
        <f t="shared" si="3"/>
        <v>Good</v>
      </c>
      <c r="V40" s="4" t="str">
        <f t="shared" si="4"/>
        <v>Excellent</v>
      </c>
      <c r="W40" s="4"/>
      <c r="X40" s="4"/>
      <c r="AJ40" s="4"/>
    </row>
    <row r="41" spans="1:36">
      <c r="A41" t="str">
        <f t="shared" si="0"/>
        <v>Raje3440</v>
      </c>
      <c r="B41">
        <v>40</v>
      </c>
      <c r="C41">
        <v>21</v>
      </c>
      <c r="D41">
        <v>10</v>
      </c>
      <c r="E41">
        <v>2021</v>
      </c>
      <c r="F41" s="1">
        <f t="shared" si="1"/>
        <v>44490</v>
      </c>
      <c r="G41" s="1" t="s">
        <v>18</v>
      </c>
      <c r="H41" s="2">
        <v>44517</v>
      </c>
      <c r="I41" t="s">
        <v>38</v>
      </c>
      <c r="J41">
        <v>2</v>
      </c>
      <c r="K41">
        <v>24537.599999999999</v>
      </c>
      <c r="L41" t="s">
        <v>100</v>
      </c>
      <c r="M41">
        <v>34</v>
      </c>
      <c r="N41" t="s">
        <v>21</v>
      </c>
      <c r="O41" s="3" t="s">
        <v>22</v>
      </c>
      <c r="P41" t="s">
        <v>29</v>
      </c>
      <c r="Q41" t="s">
        <v>24</v>
      </c>
      <c r="R41">
        <v>5</v>
      </c>
      <c r="S41" t="s">
        <v>48</v>
      </c>
      <c r="T41" s="4">
        <f t="shared" si="2"/>
        <v>49075.199999999997</v>
      </c>
      <c r="U41" s="4" t="str">
        <f t="shared" si="3"/>
        <v>Good</v>
      </c>
      <c r="V41" s="4" t="str">
        <f t="shared" si="4"/>
        <v>Low</v>
      </c>
      <c r="W41" s="4"/>
      <c r="X41" s="4"/>
      <c r="Z41" s="12" t="s">
        <v>1080</v>
      </c>
      <c r="AJ41" s="4"/>
    </row>
    <row r="42" spans="1:36" ht="14.4" thickBot="1">
      <c r="A42" t="str">
        <f t="shared" si="0"/>
        <v>Pooj5441</v>
      </c>
      <c r="B42">
        <v>41</v>
      </c>
      <c r="C42">
        <v>21</v>
      </c>
      <c r="D42">
        <v>10</v>
      </c>
      <c r="E42">
        <v>2021</v>
      </c>
      <c r="F42" s="1">
        <f t="shared" si="1"/>
        <v>44490</v>
      </c>
      <c r="G42" s="1" t="s">
        <v>18</v>
      </c>
      <c r="H42" s="2">
        <v>44518</v>
      </c>
      <c r="I42" t="s">
        <v>49</v>
      </c>
      <c r="J42">
        <v>7</v>
      </c>
      <c r="K42">
        <v>65469.66</v>
      </c>
      <c r="L42" t="s">
        <v>101</v>
      </c>
      <c r="M42">
        <v>54</v>
      </c>
      <c r="N42" t="s">
        <v>61</v>
      </c>
      <c r="O42" s="3" t="s">
        <v>22</v>
      </c>
      <c r="P42" t="s">
        <v>29</v>
      </c>
      <c r="Q42" t="s">
        <v>24</v>
      </c>
      <c r="R42">
        <v>5</v>
      </c>
      <c r="S42" t="s">
        <v>102</v>
      </c>
      <c r="T42" s="4">
        <f t="shared" si="2"/>
        <v>458287.62</v>
      </c>
      <c r="U42" s="4" t="str">
        <f t="shared" si="3"/>
        <v>Good</v>
      </c>
      <c r="V42" s="4" t="str">
        <f t="shared" si="4"/>
        <v>Excellent</v>
      </c>
      <c r="W42" s="4"/>
      <c r="X42" s="4"/>
      <c r="Z42" s="13">
        <f>COUNTIF(P:P,"Delhi")</f>
        <v>1008</v>
      </c>
      <c r="AJ42" s="4"/>
    </row>
    <row r="43" spans="1:36">
      <c r="A43" t="str">
        <f t="shared" si="0"/>
        <v>Jyot2042</v>
      </c>
      <c r="B43">
        <v>42</v>
      </c>
      <c r="C43">
        <v>21</v>
      </c>
      <c r="D43">
        <v>10</v>
      </c>
      <c r="E43">
        <v>2021</v>
      </c>
      <c r="F43" s="1">
        <f t="shared" si="1"/>
        <v>44490</v>
      </c>
      <c r="G43" s="1" t="s">
        <v>18</v>
      </c>
      <c r="H43" s="2">
        <v>44519</v>
      </c>
      <c r="I43" t="s">
        <v>19</v>
      </c>
      <c r="J43">
        <v>8</v>
      </c>
      <c r="K43">
        <v>41304.589999999997</v>
      </c>
      <c r="L43" t="s">
        <v>103</v>
      </c>
      <c r="M43">
        <v>20</v>
      </c>
      <c r="N43" t="s">
        <v>36</v>
      </c>
      <c r="O43" s="3" t="s">
        <v>55</v>
      </c>
      <c r="P43" t="s">
        <v>33</v>
      </c>
      <c r="Q43" t="s">
        <v>56</v>
      </c>
      <c r="R43">
        <v>2</v>
      </c>
      <c r="S43" t="s">
        <v>37</v>
      </c>
      <c r="T43" s="4">
        <f t="shared" si="2"/>
        <v>330436.71999999997</v>
      </c>
      <c r="U43" s="4" t="str">
        <f t="shared" si="3"/>
        <v>Average</v>
      </c>
      <c r="V43" s="4" t="str">
        <f t="shared" si="4"/>
        <v>Excellent</v>
      </c>
      <c r="W43" s="4"/>
      <c r="X43" s="4"/>
      <c r="AJ43" s="4"/>
    </row>
    <row r="44" spans="1:36" ht="14.4" thickBot="1">
      <c r="A44" t="str">
        <f t="shared" si="0"/>
        <v>Sach5343</v>
      </c>
      <c r="B44">
        <v>43</v>
      </c>
      <c r="C44">
        <v>22</v>
      </c>
      <c r="D44">
        <v>10</v>
      </c>
      <c r="E44">
        <v>2021</v>
      </c>
      <c r="F44" s="1">
        <f t="shared" si="1"/>
        <v>44491</v>
      </c>
      <c r="G44" s="1" t="s">
        <v>18</v>
      </c>
      <c r="H44" s="2">
        <v>44520</v>
      </c>
      <c r="I44" t="s">
        <v>49</v>
      </c>
      <c r="J44">
        <v>8</v>
      </c>
      <c r="K44">
        <v>10804.57</v>
      </c>
      <c r="L44" t="s">
        <v>104</v>
      </c>
      <c r="M44">
        <v>53</v>
      </c>
      <c r="N44" t="s">
        <v>61</v>
      </c>
      <c r="O44" s="3" t="s">
        <v>22</v>
      </c>
      <c r="P44" t="s">
        <v>23</v>
      </c>
      <c r="Q44" t="s">
        <v>24</v>
      </c>
      <c r="R44">
        <v>5</v>
      </c>
      <c r="S44" t="s">
        <v>88</v>
      </c>
      <c r="T44" s="4">
        <f t="shared" si="2"/>
        <v>86436.56</v>
      </c>
      <c r="U44" s="4" t="str">
        <f t="shared" si="3"/>
        <v>Good</v>
      </c>
      <c r="V44" s="4" t="str">
        <f t="shared" si="4"/>
        <v>Average</v>
      </c>
      <c r="W44" s="4"/>
      <c r="X44" s="4"/>
      <c r="AJ44" s="4"/>
    </row>
    <row r="45" spans="1:36">
      <c r="A45" t="str">
        <f t="shared" si="0"/>
        <v>Mano2244</v>
      </c>
      <c r="B45">
        <v>44</v>
      </c>
      <c r="C45">
        <v>22</v>
      </c>
      <c r="D45">
        <v>10</v>
      </c>
      <c r="E45">
        <v>2021</v>
      </c>
      <c r="F45" s="1">
        <f t="shared" si="1"/>
        <v>44491</v>
      </c>
      <c r="G45" s="1" t="s">
        <v>18</v>
      </c>
      <c r="H45" s="2">
        <v>44521</v>
      </c>
      <c r="I45" t="s">
        <v>19</v>
      </c>
      <c r="J45">
        <v>7</v>
      </c>
      <c r="K45">
        <v>11166.78</v>
      </c>
      <c r="L45" t="s">
        <v>105</v>
      </c>
      <c r="M45">
        <v>22</v>
      </c>
      <c r="N45" t="s">
        <v>36</v>
      </c>
      <c r="O45" s="3" t="s">
        <v>22</v>
      </c>
      <c r="P45" t="s">
        <v>90</v>
      </c>
      <c r="Q45" t="s">
        <v>56</v>
      </c>
      <c r="R45">
        <v>5</v>
      </c>
      <c r="S45" t="s">
        <v>37</v>
      </c>
      <c r="T45" s="4">
        <f t="shared" si="2"/>
        <v>78167.460000000006</v>
      </c>
      <c r="U45" s="4" t="str">
        <f t="shared" si="3"/>
        <v>Good</v>
      </c>
      <c r="V45" s="4" t="str">
        <f t="shared" si="4"/>
        <v>Average</v>
      </c>
      <c r="W45" s="4"/>
      <c r="X45" s="4"/>
      <c r="Z45" s="12" t="s">
        <v>1081</v>
      </c>
      <c r="AJ45" s="4"/>
    </row>
    <row r="46" spans="1:36" ht="14.4" thickBot="1">
      <c r="A46" t="str">
        <f t="shared" si="0"/>
        <v>Deep3245</v>
      </c>
      <c r="B46">
        <v>45</v>
      </c>
      <c r="C46">
        <v>22</v>
      </c>
      <c r="D46">
        <v>10</v>
      </c>
      <c r="E46">
        <v>2021</v>
      </c>
      <c r="F46" s="1">
        <f t="shared" si="1"/>
        <v>44491</v>
      </c>
      <c r="G46" s="1" t="s">
        <v>18</v>
      </c>
      <c r="H46" s="2">
        <v>44522</v>
      </c>
      <c r="I46" t="s">
        <v>49</v>
      </c>
      <c r="J46">
        <v>5</v>
      </c>
      <c r="K46">
        <v>68377.7</v>
      </c>
      <c r="L46" t="s">
        <v>106</v>
      </c>
      <c r="M46">
        <v>32</v>
      </c>
      <c r="N46" t="s">
        <v>21</v>
      </c>
      <c r="O46" s="3" t="s">
        <v>22</v>
      </c>
      <c r="P46" t="s">
        <v>66</v>
      </c>
      <c r="Q46" t="s">
        <v>24</v>
      </c>
      <c r="R46">
        <v>5</v>
      </c>
      <c r="S46" t="s">
        <v>88</v>
      </c>
      <c r="T46" s="4">
        <f t="shared" si="2"/>
        <v>341888.5</v>
      </c>
      <c r="U46" s="4" t="str">
        <f t="shared" si="3"/>
        <v>Good</v>
      </c>
      <c r="V46" s="4" t="str">
        <f t="shared" si="4"/>
        <v>Excellent</v>
      </c>
      <c r="W46" s="4"/>
      <c r="X46" s="4"/>
      <c r="Z46" s="13">
        <f>COUNTIF(Q:Q,"UPI")</f>
        <v>1011</v>
      </c>
      <c r="AJ46" s="4"/>
    </row>
    <row r="47" spans="1:36">
      <c r="A47" t="str">
        <f t="shared" si="0"/>
        <v>Priy2346</v>
      </c>
      <c r="B47">
        <v>46</v>
      </c>
      <c r="C47">
        <v>23</v>
      </c>
      <c r="D47">
        <v>10</v>
      </c>
      <c r="E47">
        <v>2021</v>
      </c>
      <c r="F47" s="1">
        <f t="shared" si="1"/>
        <v>44492</v>
      </c>
      <c r="G47" s="1" t="s">
        <v>18</v>
      </c>
      <c r="H47" s="2">
        <v>44523</v>
      </c>
      <c r="I47" t="s">
        <v>26</v>
      </c>
      <c r="J47">
        <v>1</v>
      </c>
      <c r="K47">
        <v>23287.05</v>
      </c>
      <c r="L47" t="s">
        <v>107</v>
      </c>
      <c r="M47">
        <v>23</v>
      </c>
      <c r="N47" t="s">
        <v>36</v>
      </c>
      <c r="O47" s="3" t="s">
        <v>22</v>
      </c>
      <c r="P47" t="s">
        <v>59</v>
      </c>
      <c r="Q47" t="s">
        <v>41</v>
      </c>
      <c r="R47">
        <v>5</v>
      </c>
      <c r="S47" t="s">
        <v>67</v>
      </c>
      <c r="T47" s="4">
        <f t="shared" si="2"/>
        <v>23287.05</v>
      </c>
      <c r="U47" s="4" t="str">
        <f t="shared" si="3"/>
        <v>Good</v>
      </c>
      <c r="V47" s="4" t="str">
        <f t="shared" si="4"/>
        <v>Low</v>
      </c>
      <c r="W47" s="4"/>
      <c r="X47" s="4"/>
      <c r="AJ47" s="4"/>
    </row>
    <row r="48" spans="1:36">
      <c r="A48" t="str">
        <f t="shared" si="0"/>
        <v>Pooj2747</v>
      </c>
      <c r="B48">
        <v>47</v>
      </c>
      <c r="C48">
        <v>23</v>
      </c>
      <c r="D48">
        <v>10</v>
      </c>
      <c r="E48">
        <v>2021</v>
      </c>
      <c r="F48" s="1">
        <f t="shared" si="1"/>
        <v>44492</v>
      </c>
      <c r="G48" s="1" t="s">
        <v>18</v>
      </c>
      <c r="H48" s="2">
        <v>44524</v>
      </c>
      <c r="I48" t="s">
        <v>26</v>
      </c>
      <c r="J48">
        <v>9</v>
      </c>
      <c r="K48">
        <v>58336.5</v>
      </c>
      <c r="L48" t="s">
        <v>108</v>
      </c>
      <c r="M48">
        <v>27</v>
      </c>
      <c r="N48" t="s">
        <v>36</v>
      </c>
      <c r="O48" s="3" t="s">
        <v>22</v>
      </c>
      <c r="P48" t="s">
        <v>29</v>
      </c>
      <c r="Q48" t="s">
        <v>30</v>
      </c>
      <c r="R48">
        <v>5</v>
      </c>
      <c r="S48" t="s">
        <v>31</v>
      </c>
      <c r="T48" s="4">
        <f t="shared" si="2"/>
        <v>525028.5</v>
      </c>
      <c r="U48" s="4" t="str">
        <f t="shared" si="3"/>
        <v>Good</v>
      </c>
      <c r="V48" s="4" t="str">
        <f t="shared" si="4"/>
        <v>Excellent</v>
      </c>
      <c r="W48" s="4"/>
      <c r="X48" s="4"/>
      <c r="AJ48" s="4"/>
    </row>
    <row r="49" spans="1:36">
      <c r="A49" t="str">
        <f t="shared" si="0"/>
        <v>Tanu4948</v>
      </c>
      <c r="B49">
        <v>48</v>
      </c>
      <c r="C49">
        <v>23</v>
      </c>
      <c r="D49">
        <v>10</v>
      </c>
      <c r="E49">
        <v>2021</v>
      </c>
      <c r="F49" s="1">
        <f t="shared" si="1"/>
        <v>44492</v>
      </c>
      <c r="G49" s="1" t="s">
        <v>18</v>
      </c>
      <c r="H49" s="2">
        <v>44525</v>
      </c>
      <c r="I49" t="s">
        <v>26</v>
      </c>
      <c r="J49">
        <v>7</v>
      </c>
      <c r="K49">
        <v>13496.52</v>
      </c>
      <c r="L49" t="s">
        <v>109</v>
      </c>
      <c r="M49">
        <v>49</v>
      </c>
      <c r="N49" t="s">
        <v>61</v>
      </c>
      <c r="O49" s="3" t="s">
        <v>22</v>
      </c>
      <c r="P49" t="s">
        <v>110</v>
      </c>
      <c r="Q49" t="s">
        <v>24</v>
      </c>
      <c r="R49">
        <v>5</v>
      </c>
      <c r="S49" t="s">
        <v>34</v>
      </c>
      <c r="T49" s="4">
        <f t="shared" si="2"/>
        <v>94475.64</v>
      </c>
      <c r="U49" s="4" t="str">
        <f t="shared" si="3"/>
        <v>Good</v>
      </c>
      <c r="V49" s="4" t="str">
        <f t="shared" si="4"/>
        <v>Average</v>
      </c>
      <c r="W49" s="4"/>
      <c r="X49" s="4"/>
      <c r="AJ49" s="4"/>
    </row>
    <row r="50" spans="1:36">
      <c r="A50" t="str">
        <f t="shared" si="0"/>
        <v>Moni4049</v>
      </c>
      <c r="B50">
        <v>49</v>
      </c>
      <c r="C50">
        <v>23</v>
      </c>
      <c r="D50">
        <v>10</v>
      </c>
      <c r="E50">
        <v>2021</v>
      </c>
      <c r="F50" s="1">
        <f t="shared" si="1"/>
        <v>44492</v>
      </c>
      <c r="G50" s="1" t="s">
        <v>18</v>
      </c>
      <c r="H50" s="2">
        <v>44526</v>
      </c>
      <c r="I50" t="s">
        <v>26</v>
      </c>
      <c r="J50">
        <v>2</v>
      </c>
      <c r="K50">
        <v>65269.760000000002</v>
      </c>
      <c r="L50" t="s">
        <v>111</v>
      </c>
      <c r="M50">
        <v>40</v>
      </c>
      <c r="N50" t="s">
        <v>21</v>
      </c>
      <c r="O50" s="3" t="s">
        <v>22</v>
      </c>
      <c r="P50" t="s">
        <v>33</v>
      </c>
      <c r="Q50" t="s">
        <v>24</v>
      </c>
      <c r="R50">
        <v>5</v>
      </c>
      <c r="S50" t="s">
        <v>31</v>
      </c>
      <c r="T50" s="4">
        <f t="shared" si="2"/>
        <v>130539.52</v>
      </c>
      <c r="U50" s="4" t="str">
        <f t="shared" si="3"/>
        <v>Good</v>
      </c>
      <c r="V50" s="4" t="str">
        <f t="shared" si="4"/>
        <v>Good</v>
      </c>
      <c r="W50" s="4"/>
      <c r="X50" s="4"/>
      <c r="AJ50" s="4"/>
    </row>
    <row r="51" spans="1:36">
      <c r="A51" t="str">
        <f t="shared" si="0"/>
        <v>Anan3450</v>
      </c>
      <c r="B51">
        <v>50</v>
      </c>
      <c r="C51">
        <v>24</v>
      </c>
      <c r="D51">
        <v>10</v>
      </c>
      <c r="E51">
        <v>2021</v>
      </c>
      <c r="F51" s="1">
        <f t="shared" si="1"/>
        <v>44493</v>
      </c>
      <c r="G51" s="1" t="s">
        <v>18</v>
      </c>
      <c r="H51" s="2">
        <v>44527</v>
      </c>
      <c r="I51" t="s">
        <v>43</v>
      </c>
      <c r="J51">
        <v>6</v>
      </c>
      <c r="K51">
        <v>62465.02</v>
      </c>
      <c r="L51" t="s">
        <v>112</v>
      </c>
      <c r="M51">
        <v>34</v>
      </c>
      <c r="N51" t="s">
        <v>21</v>
      </c>
      <c r="O51" s="3" t="s">
        <v>55</v>
      </c>
      <c r="P51" t="s">
        <v>59</v>
      </c>
      <c r="Q51" t="s">
        <v>24</v>
      </c>
      <c r="R51">
        <v>2</v>
      </c>
      <c r="S51" t="s">
        <v>46</v>
      </c>
      <c r="T51" s="4">
        <f t="shared" si="2"/>
        <v>374790.12</v>
      </c>
      <c r="U51" s="4" t="str">
        <f t="shared" si="3"/>
        <v>Average</v>
      </c>
      <c r="V51" s="4" t="str">
        <f t="shared" si="4"/>
        <v>Excellent</v>
      </c>
      <c r="W51" s="4"/>
      <c r="X51" s="4"/>
      <c r="AJ51" s="4"/>
    </row>
    <row r="52" spans="1:36">
      <c r="A52" t="str">
        <f t="shared" si="0"/>
        <v>Vino3751</v>
      </c>
      <c r="B52">
        <v>51</v>
      </c>
      <c r="C52">
        <v>24</v>
      </c>
      <c r="D52">
        <v>10</v>
      </c>
      <c r="E52">
        <v>2021</v>
      </c>
      <c r="F52" s="1">
        <f t="shared" si="1"/>
        <v>44493</v>
      </c>
      <c r="G52" s="1" t="s">
        <v>18</v>
      </c>
      <c r="H52" s="2">
        <v>44528</v>
      </c>
      <c r="I52" t="s">
        <v>26</v>
      </c>
      <c r="J52">
        <v>2</v>
      </c>
      <c r="K52">
        <v>44265.59</v>
      </c>
      <c r="L52" t="s">
        <v>113</v>
      </c>
      <c r="M52">
        <v>37</v>
      </c>
      <c r="N52" t="s">
        <v>21</v>
      </c>
      <c r="O52" s="3" t="s">
        <v>22</v>
      </c>
      <c r="P52" t="s">
        <v>114</v>
      </c>
      <c r="Q52" t="s">
        <v>56</v>
      </c>
      <c r="R52">
        <v>5</v>
      </c>
      <c r="S52" t="s">
        <v>67</v>
      </c>
      <c r="T52" s="4">
        <f t="shared" si="2"/>
        <v>88531.18</v>
      </c>
      <c r="U52" s="4" t="str">
        <f t="shared" si="3"/>
        <v>Good</v>
      </c>
      <c r="V52" s="4" t="str">
        <f t="shared" si="4"/>
        <v>Average</v>
      </c>
      <c r="W52" s="4"/>
      <c r="X52" s="4"/>
      <c r="AJ52" s="4"/>
    </row>
    <row r="53" spans="1:36">
      <c r="A53" t="str">
        <f t="shared" si="0"/>
        <v>Yoge5852</v>
      </c>
      <c r="B53">
        <v>52</v>
      </c>
      <c r="C53">
        <v>24</v>
      </c>
      <c r="D53">
        <v>10</v>
      </c>
      <c r="E53">
        <v>2021</v>
      </c>
      <c r="F53" s="1">
        <f t="shared" si="1"/>
        <v>44493</v>
      </c>
      <c r="G53" s="1" t="s">
        <v>18</v>
      </c>
      <c r="H53" s="2">
        <v>44529</v>
      </c>
      <c r="I53" t="s">
        <v>38</v>
      </c>
      <c r="J53">
        <v>1</v>
      </c>
      <c r="K53">
        <v>10539.92</v>
      </c>
      <c r="L53" t="s">
        <v>115</v>
      </c>
      <c r="M53">
        <v>58</v>
      </c>
      <c r="N53" t="s">
        <v>61</v>
      </c>
      <c r="O53" s="3" t="s">
        <v>22</v>
      </c>
      <c r="P53" t="s">
        <v>29</v>
      </c>
      <c r="Q53" t="s">
        <v>24</v>
      </c>
      <c r="R53">
        <v>5</v>
      </c>
      <c r="S53" t="s">
        <v>48</v>
      </c>
      <c r="T53" s="4">
        <f t="shared" si="2"/>
        <v>10539.92</v>
      </c>
      <c r="U53" s="4" t="str">
        <f t="shared" si="3"/>
        <v>Good</v>
      </c>
      <c r="V53" s="4" t="str">
        <f t="shared" si="4"/>
        <v>Low</v>
      </c>
      <c r="W53" s="4"/>
      <c r="X53" s="4"/>
      <c r="AJ53" s="4"/>
    </row>
    <row r="54" spans="1:36">
      <c r="A54" t="str">
        <f t="shared" si="0"/>
        <v>Kris3253</v>
      </c>
      <c r="B54">
        <v>53</v>
      </c>
      <c r="C54">
        <v>25</v>
      </c>
      <c r="D54">
        <v>10</v>
      </c>
      <c r="E54">
        <v>2021</v>
      </c>
      <c r="F54" s="1">
        <f t="shared" si="1"/>
        <v>44494</v>
      </c>
      <c r="G54" s="1" t="s">
        <v>18</v>
      </c>
      <c r="H54" s="2">
        <v>44530</v>
      </c>
      <c r="I54" t="s">
        <v>38</v>
      </c>
      <c r="J54">
        <v>7</v>
      </c>
      <c r="K54">
        <v>25468.65</v>
      </c>
      <c r="L54" t="s">
        <v>116</v>
      </c>
      <c r="M54">
        <v>32</v>
      </c>
      <c r="N54" t="s">
        <v>21</v>
      </c>
      <c r="O54" s="3" t="s">
        <v>22</v>
      </c>
      <c r="P54" t="s">
        <v>117</v>
      </c>
      <c r="Q54" t="s">
        <v>56</v>
      </c>
      <c r="R54">
        <v>5</v>
      </c>
      <c r="S54" t="s">
        <v>42</v>
      </c>
      <c r="T54" s="4">
        <f t="shared" si="2"/>
        <v>178280.55000000002</v>
      </c>
      <c r="U54" s="4" t="str">
        <f t="shared" si="3"/>
        <v>Good</v>
      </c>
      <c r="V54" s="4" t="str">
        <f t="shared" si="4"/>
        <v>Good</v>
      </c>
      <c r="W54" s="4"/>
      <c r="X54" s="4"/>
      <c r="AJ54" s="4"/>
    </row>
    <row r="55" spans="1:36">
      <c r="A55" t="str">
        <f t="shared" si="0"/>
        <v>Mala3954</v>
      </c>
      <c r="B55">
        <v>54</v>
      </c>
      <c r="C55">
        <v>25</v>
      </c>
      <c r="D55">
        <v>10</v>
      </c>
      <c r="E55">
        <v>2021</v>
      </c>
      <c r="F55" s="1">
        <f t="shared" si="1"/>
        <v>44494</v>
      </c>
      <c r="G55" s="1" t="s">
        <v>18</v>
      </c>
      <c r="H55" s="2">
        <v>44531</v>
      </c>
      <c r="I55" t="s">
        <v>43</v>
      </c>
      <c r="J55">
        <v>2</v>
      </c>
      <c r="K55">
        <v>34409.360000000001</v>
      </c>
      <c r="L55" t="s">
        <v>118</v>
      </c>
      <c r="M55">
        <v>39</v>
      </c>
      <c r="N55" t="s">
        <v>21</v>
      </c>
      <c r="O55" s="3" t="s">
        <v>55</v>
      </c>
      <c r="P55" t="s">
        <v>110</v>
      </c>
      <c r="Q55" t="s">
        <v>24</v>
      </c>
      <c r="R55">
        <v>2</v>
      </c>
      <c r="S55" t="s">
        <v>46</v>
      </c>
      <c r="T55" s="4">
        <f t="shared" si="2"/>
        <v>68818.720000000001</v>
      </c>
      <c r="U55" s="4" t="str">
        <f t="shared" si="3"/>
        <v>Average</v>
      </c>
      <c r="V55" s="4" t="str">
        <f t="shared" si="4"/>
        <v>Average</v>
      </c>
      <c r="W55" s="4"/>
      <c r="X55" s="4"/>
      <c r="AJ55" s="4"/>
    </row>
    <row r="56" spans="1:36">
      <c r="A56" t="str">
        <f t="shared" si="0"/>
        <v>Suni2355</v>
      </c>
      <c r="B56">
        <v>55</v>
      </c>
      <c r="C56">
        <v>25</v>
      </c>
      <c r="D56">
        <v>10</v>
      </c>
      <c r="E56">
        <v>2021</v>
      </c>
      <c r="F56" s="1">
        <f t="shared" si="1"/>
        <v>44494</v>
      </c>
      <c r="G56" s="1" t="s">
        <v>18</v>
      </c>
      <c r="H56" s="2">
        <v>44532</v>
      </c>
      <c r="I56" t="s">
        <v>26</v>
      </c>
      <c r="J56">
        <v>2</v>
      </c>
      <c r="K56">
        <v>37603.85</v>
      </c>
      <c r="L56" t="s">
        <v>119</v>
      </c>
      <c r="M56">
        <v>23</v>
      </c>
      <c r="N56" t="s">
        <v>36</v>
      </c>
      <c r="O56" s="3" t="s">
        <v>55</v>
      </c>
      <c r="P56" t="s">
        <v>33</v>
      </c>
      <c r="Q56" t="s">
        <v>41</v>
      </c>
      <c r="R56">
        <v>2</v>
      </c>
      <c r="S56" t="s">
        <v>31</v>
      </c>
      <c r="T56" s="4">
        <f t="shared" si="2"/>
        <v>75207.7</v>
      </c>
      <c r="U56" s="4" t="str">
        <f t="shared" si="3"/>
        <v>Average</v>
      </c>
      <c r="V56" s="4" t="str">
        <f t="shared" si="4"/>
        <v>Average</v>
      </c>
      <c r="W56" s="4"/>
      <c r="X56" s="4"/>
      <c r="AJ56" s="4"/>
    </row>
    <row r="57" spans="1:36">
      <c r="A57" t="str">
        <f t="shared" si="0"/>
        <v>Kavi2156</v>
      </c>
      <c r="B57">
        <v>56</v>
      </c>
      <c r="C57">
        <v>25</v>
      </c>
      <c r="D57">
        <v>10</v>
      </c>
      <c r="E57">
        <v>2021</v>
      </c>
      <c r="F57" s="1">
        <f t="shared" si="1"/>
        <v>44494</v>
      </c>
      <c r="G57" s="1" t="s">
        <v>18</v>
      </c>
      <c r="H57" s="2">
        <v>44533</v>
      </c>
      <c r="I57" t="s">
        <v>26</v>
      </c>
      <c r="J57">
        <v>5</v>
      </c>
      <c r="K57">
        <v>27860.73</v>
      </c>
      <c r="L57" t="s">
        <v>120</v>
      </c>
      <c r="M57">
        <v>21</v>
      </c>
      <c r="N57" t="s">
        <v>36</v>
      </c>
      <c r="O57" s="3" t="s">
        <v>22</v>
      </c>
      <c r="P57" t="s">
        <v>29</v>
      </c>
      <c r="Q57" t="s">
        <v>41</v>
      </c>
      <c r="R57">
        <v>5</v>
      </c>
      <c r="S57" t="s">
        <v>31</v>
      </c>
      <c r="T57" s="4">
        <f t="shared" si="2"/>
        <v>139303.65</v>
      </c>
      <c r="U57" s="4" t="str">
        <f t="shared" si="3"/>
        <v>Good</v>
      </c>
      <c r="V57" s="4" t="str">
        <f t="shared" si="4"/>
        <v>Good</v>
      </c>
      <c r="W57" s="4"/>
      <c r="X57" s="4"/>
      <c r="AJ57" s="4"/>
    </row>
    <row r="58" spans="1:36">
      <c r="A58" t="str">
        <f t="shared" si="0"/>
        <v>Anja4057</v>
      </c>
      <c r="B58">
        <v>57</v>
      </c>
      <c r="C58">
        <v>26</v>
      </c>
      <c r="D58">
        <v>10</v>
      </c>
      <c r="E58">
        <v>2021</v>
      </c>
      <c r="F58" s="1">
        <f t="shared" si="1"/>
        <v>44495</v>
      </c>
      <c r="G58" s="1" t="s">
        <v>18</v>
      </c>
      <c r="H58" s="2">
        <v>44534</v>
      </c>
      <c r="I58" t="s">
        <v>26</v>
      </c>
      <c r="J58">
        <v>5</v>
      </c>
      <c r="K58">
        <v>11976.87</v>
      </c>
      <c r="L58" t="s">
        <v>121</v>
      </c>
      <c r="M58">
        <v>40</v>
      </c>
      <c r="N58" t="s">
        <v>21</v>
      </c>
      <c r="O58" s="3" t="s">
        <v>22</v>
      </c>
      <c r="P58" t="s">
        <v>77</v>
      </c>
      <c r="Q58" t="s">
        <v>30</v>
      </c>
      <c r="R58">
        <v>5</v>
      </c>
      <c r="S58" t="s">
        <v>34</v>
      </c>
      <c r="T58" s="4">
        <f t="shared" si="2"/>
        <v>59884.350000000006</v>
      </c>
      <c r="U58" s="4" t="str">
        <f t="shared" si="3"/>
        <v>Good</v>
      </c>
      <c r="V58" s="4" t="str">
        <f t="shared" si="4"/>
        <v>Average</v>
      </c>
      <c r="W58" s="4"/>
      <c r="X58" s="4"/>
      <c r="AJ58" s="4"/>
    </row>
    <row r="59" spans="1:36">
      <c r="A59" t="str">
        <f t="shared" si="0"/>
        <v>Shru3658</v>
      </c>
      <c r="B59">
        <v>58</v>
      </c>
      <c r="C59">
        <v>26</v>
      </c>
      <c r="D59">
        <v>10</v>
      </c>
      <c r="E59">
        <v>2021</v>
      </c>
      <c r="F59" s="1">
        <f t="shared" si="1"/>
        <v>44495</v>
      </c>
      <c r="G59" s="1" t="s">
        <v>18</v>
      </c>
      <c r="H59" s="2">
        <v>44535</v>
      </c>
      <c r="I59" t="s">
        <v>49</v>
      </c>
      <c r="J59">
        <v>7</v>
      </c>
      <c r="K59">
        <v>45407.64</v>
      </c>
      <c r="L59" t="s">
        <v>122</v>
      </c>
      <c r="M59">
        <v>36</v>
      </c>
      <c r="N59" t="s">
        <v>21</v>
      </c>
      <c r="O59" s="3" t="s">
        <v>22</v>
      </c>
      <c r="P59" t="s">
        <v>29</v>
      </c>
      <c r="Q59" t="s">
        <v>56</v>
      </c>
      <c r="R59">
        <v>4</v>
      </c>
      <c r="S59" t="s">
        <v>52</v>
      </c>
      <c r="T59" s="4">
        <f t="shared" si="2"/>
        <v>317853.48</v>
      </c>
      <c r="U59" s="4" t="str">
        <f t="shared" si="3"/>
        <v>Good</v>
      </c>
      <c r="V59" s="4" t="str">
        <f t="shared" si="4"/>
        <v>Excellent</v>
      </c>
      <c r="W59" s="4"/>
      <c r="X59" s="4"/>
      <c r="AJ59" s="4"/>
    </row>
    <row r="60" spans="1:36">
      <c r="A60" t="str">
        <f t="shared" si="0"/>
        <v>Deve4859</v>
      </c>
      <c r="B60">
        <v>59</v>
      </c>
      <c r="C60">
        <v>26</v>
      </c>
      <c r="D60">
        <v>10</v>
      </c>
      <c r="E60">
        <v>2021</v>
      </c>
      <c r="F60" s="1">
        <f t="shared" si="1"/>
        <v>44495</v>
      </c>
      <c r="G60" s="1" t="s">
        <v>18</v>
      </c>
      <c r="H60" s="2">
        <v>44536</v>
      </c>
      <c r="I60" t="s">
        <v>19</v>
      </c>
      <c r="J60">
        <v>1</v>
      </c>
      <c r="K60">
        <v>41449.279999999999</v>
      </c>
      <c r="L60" t="s">
        <v>123</v>
      </c>
      <c r="M60">
        <v>48</v>
      </c>
      <c r="N60" t="s">
        <v>61</v>
      </c>
      <c r="O60" s="3" t="s">
        <v>22</v>
      </c>
      <c r="P60" t="s">
        <v>93</v>
      </c>
      <c r="Q60" t="s">
        <v>30</v>
      </c>
      <c r="R60">
        <v>5</v>
      </c>
      <c r="S60" t="s">
        <v>84</v>
      </c>
      <c r="T60" s="4">
        <f t="shared" si="2"/>
        <v>41449.279999999999</v>
      </c>
      <c r="U60" s="4" t="str">
        <f t="shared" si="3"/>
        <v>Good</v>
      </c>
      <c r="V60" s="4" t="str">
        <f t="shared" si="4"/>
        <v>Low</v>
      </c>
      <c r="W60" s="4"/>
      <c r="X60" s="4"/>
      <c r="AJ60" s="4"/>
    </row>
    <row r="61" spans="1:36">
      <c r="A61" t="str">
        <f t="shared" si="0"/>
        <v>Jyot2060</v>
      </c>
      <c r="B61">
        <v>60</v>
      </c>
      <c r="C61">
        <v>26</v>
      </c>
      <c r="D61">
        <v>10</v>
      </c>
      <c r="E61">
        <v>2021</v>
      </c>
      <c r="F61" s="1">
        <f t="shared" si="1"/>
        <v>44495</v>
      </c>
      <c r="G61" s="1" t="s">
        <v>18</v>
      </c>
      <c r="H61" s="2">
        <v>44537</v>
      </c>
      <c r="I61" t="s">
        <v>49</v>
      </c>
      <c r="J61">
        <v>8</v>
      </c>
      <c r="K61">
        <v>26980.04</v>
      </c>
      <c r="L61" t="s">
        <v>124</v>
      </c>
      <c r="M61">
        <v>20</v>
      </c>
      <c r="N61" t="s">
        <v>36</v>
      </c>
      <c r="O61" s="3" t="s">
        <v>55</v>
      </c>
      <c r="P61" t="s">
        <v>93</v>
      </c>
      <c r="Q61" t="s">
        <v>24</v>
      </c>
      <c r="R61">
        <v>2</v>
      </c>
      <c r="S61" t="s">
        <v>102</v>
      </c>
      <c r="T61" s="4">
        <f t="shared" si="2"/>
        <v>215840.32</v>
      </c>
      <c r="U61" s="4" t="str">
        <f t="shared" si="3"/>
        <v>Average</v>
      </c>
      <c r="V61" s="4" t="str">
        <f t="shared" si="4"/>
        <v>Excellent</v>
      </c>
      <c r="W61" s="4"/>
      <c r="X61" s="4"/>
      <c r="AJ61" s="4"/>
    </row>
    <row r="62" spans="1:36">
      <c r="A62" t="str">
        <f t="shared" si="0"/>
        <v>Kavi4561</v>
      </c>
      <c r="B62">
        <v>61</v>
      </c>
      <c r="C62">
        <v>27</v>
      </c>
      <c r="D62">
        <v>10</v>
      </c>
      <c r="E62">
        <v>2021</v>
      </c>
      <c r="F62" s="1">
        <f t="shared" si="1"/>
        <v>44496</v>
      </c>
      <c r="G62" s="1" t="s">
        <v>18</v>
      </c>
      <c r="H62" s="2">
        <v>44538</v>
      </c>
      <c r="I62" t="s">
        <v>19</v>
      </c>
      <c r="J62">
        <v>3</v>
      </c>
      <c r="K62">
        <v>12278.56</v>
      </c>
      <c r="L62" t="s">
        <v>125</v>
      </c>
      <c r="M62">
        <v>45</v>
      </c>
      <c r="N62" t="s">
        <v>21</v>
      </c>
      <c r="O62" s="3" t="s">
        <v>22</v>
      </c>
      <c r="P62" t="s">
        <v>33</v>
      </c>
      <c r="Q62" t="s">
        <v>24</v>
      </c>
      <c r="R62">
        <v>4</v>
      </c>
      <c r="S62" t="s">
        <v>25</v>
      </c>
      <c r="T62" s="4">
        <f t="shared" si="2"/>
        <v>36835.68</v>
      </c>
      <c r="U62" s="4" t="str">
        <f t="shared" si="3"/>
        <v>Good</v>
      </c>
      <c r="V62" s="4" t="str">
        <f t="shared" si="4"/>
        <v>Low</v>
      </c>
      <c r="W62" s="4"/>
      <c r="X62" s="4"/>
      <c r="AJ62" s="4"/>
    </row>
    <row r="63" spans="1:36">
      <c r="A63" t="str">
        <f t="shared" si="0"/>
        <v>Radh2062</v>
      </c>
      <c r="B63">
        <v>62</v>
      </c>
      <c r="C63">
        <v>27</v>
      </c>
      <c r="D63">
        <v>10</v>
      </c>
      <c r="E63">
        <v>2021</v>
      </c>
      <c r="F63" s="1">
        <f t="shared" si="1"/>
        <v>44496</v>
      </c>
      <c r="G63" s="1" t="s">
        <v>18</v>
      </c>
      <c r="H63" s="2">
        <v>44539</v>
      </c>
      <c r="I63" t="s">
        <v>26</v>
      </c>
      <c r="J63">
        <v>4</v>
      </c>
      <c r="K63">
        <v>69675.649999999994</v>
      </c>
      <c r="L63" t="s">
        <v>126</v>
      </c>
      <c r="M63">
        <v>20</v>
      </c>
      <c r="N63" t="s">
        <v>36</v>
      </c>
      <c r="O63" s="3" t="s">
        <v>22</v>
      </c>
      <c r="P63" t="s">
        <v>59</v>
      </c>
      <c r="Q63" t="s">
        <v>41</v>
      </c>
      <c r="R63">
        <v>5</v>
      </c>
      <c r="S63" t="s">
        <v>31</v>
      </c>
      <c r="T63" s="4">
        <f t="shared" si="2"/>
        <v>278702.59999999998</v>
      </c>
      <c r="U63" s="4" t="str">
        <f t="shared" si="3"/>
        <v>Good</v>
      </c>
      <c r="V63" s="4" t="str">
        <f t="shared" si="4"/>
        <v>Excellent</v>
      </c>
      <c r="W63" s="4"/>
      <c r="X63" s="4"/>
      <c r="AJ63" s="4"/>
    </row>
    <row r="64" spans="1:36">
      <c r="A64" t="str">
        <f t="shared" si="0"/>
        <v>Lata3163</v>
      </c>
      <c r="B64">
        <v>63</v>
      </c>
      <c r="C64">
        <v>27</v>
      </c>
      <c r="D64">
        <v>10</v>
      </c>
      <c r="E64">
        <v>2021</v>
      </c>
      <c r="F64" s="1">
        <f t="shared" si="1"/>
        <v>44496</v>
      </c>
      <c r="G64" s="1" t="s">
        <v>18</v>
      </c>
      <c r="H64" s="2">
        <v>44540</v>
      </c>
      <c r="I64" t="s">
        <v>26</v>
      </c>
      <c r="J64">
        <v>9</v>
      </c>
      <c r="K64">
        <v>38919.17</v>
      </c>
      <c r="L64" t="s">
        <v>127</v>
      </c>
      <c r="M64">
        <v>31</v>
      </c>
      <c r="N64" t="s">
        <v>21</v>
      </c>
      <c r="O64" s="3" t="s">
        <v>22</v>
      </c>
      <c r="P64" t="s">
        <v>40</v>
      </c>
      <c r="Q64" t="s">
        <v>30</v>
      </c>
      <c r="R64">
        <v>5</v>
      </c>
      <c r="S64" t="s">
        <v>67</v>
      </c>
      <c r="T64" s="4">
        <f t="shared" si="2"/>
        <v>350272.52999999997</v>
      </c>
      <c r="U64" s="4" t="str">
        <f t="shared" si="3"/>
        <v>Good</v>
      </c>
      <c r="V64" s="4" t="str">
        <f t="shared" si="4"/>
        <v>Excellent</v>
      </c>
      <c r="W64" s="4"/>
      <c r="X64" s="4"/>
      <c r="AJ64" s="4"/>
    </row>
    <row r="65" spans="1:36">
      <c r="A65" t="str">
        <f t="shared" si="0"/>
        <v>Sumi3564</v>
      </c>
      <c r="B65">
        <v>64</v>
      </c>
      <c r="C65">
        <v>27</v>
      </c>
      <c r="D65">
        <v>10</v>
      </c>
      <c r="E65">
        <v>2021</v>
      </c>
      <c r="F65" s="1">
        <f t="shared" si="1"/>
        <v>44496</v>
      </c>
      <c r="G65" s="1" t="s">
        <v>18</v>
      </c>
      <c r="H65" s="2">
        <v>44541</v>
      </c>
      <c r="I65" t="s">
        <v>49</v>
      </c>
      <c r="J65">
        <v>4</v>
      </c>
      <c r="K65">
        <v>55360.25</v>
      </c>
      <c r="L65" t="s">
        <v>128</v>
      </c>
      <c r="M65">
        <v>35</v>
      </c>
      <c r="N65" t="s">
        <v>21</v>
      </c>
      <c r="O65" s="3" t="s">
        <v>22</v>
      </c>
      <c r="P65" t="s">
        <v>23</v>
      </c>
      <c r="Q65" t="s">
        <v>24</v>
      </c>
      <c r="R65">
        <v>4</v>
      </c>
      <c r="S65" t="s">
        <v>88</v>
      </c>
      <c r="T65" s="4">
        <f t="shared" si="2"/>
        <v>221441</v>
      </c>
      <c r="U65" s="4" t="str">
        <f t="shared" si="3"/>
        <v>Good</v>
      </c>
      <c r="V65" s="4" t="str">
        <f t="shared" si="4"/>
        <v>Excellent</v>
      </c>
      <c r="W65" s="4"/>
      <c r="X65" s="4"/>
      <c r="AJ65" s="4"/>
    </row>
    <row r="66" spans="1:36">
      <c r="A66" t="str">
        <f t="shared" ref="A66:A129" si="6">LEFT(L66,4)&amp;M66&amp;B66</f>
        <v>Tanu4465</v>
      </c>
      <c r="B66">
        <v>65</v>
      </c>
      <c r="C66">
        <v>28</v>
      </c>
      <c r="D66">
        <v>10</v>
      </c>
      <c r="E66">
        <v>2021</v>
      </c>
      <c r="F66" s="1">
        <f t="shared" si="1"/>
        <v>44497</v>
      </c>
      <c r="G66" s="1" t="s">
        <v>18</v>
      </c>
      <c r="H66" s="2">
        <v>44542</v>
      </c>
      <c r="I66" t="s">
        <v>49</v>
      </c>
      <c r="J66">
        <v>5</v>
      </c>
      <c r="K66">
        <v>37138.839999999997</v>
      </c>
      <c r="L66" t="s">
        <v>129</v>
      </c>
      <c r="M66">
        <v>44</v>
      </c>
      <c r="N66" t="s">
        <v>21</v>
      </c>
      <c r="O66" s="3" t="s">
        <v>22</v>
      </c>
      <c r="P66" t="s">
        <v>93</v>
      </c>
      <c r="Q66" t="s">
        <v>24</v>
      </c>
      <c r="R66">
        <v>5</v>
      </c>
      <c r="S66" t="s">
        <v>88</v>
      </c>
      <c r="T66" s="4">
        <f t="shared" si="2"/>
        <v>185694.19999999998</v>
      </c>
      <c r="U66" s="4" t="str">
        <f t="shared" si="3"/>
        <v>Good</v>
      </c>
      <c r="V66" s="4" t="str">
        <f t="shared" si="4"/>
        <v>Good</v>
      </c>
      <c r="W66" s="4"/>
      <c r="X66" s="4"/>
      <c r="AJ66" s="4"/>
    </row>
    <row r="67" spans="1:36">
      <c r="A67" t="str">
        <f t="shared" si="6"/>
        <v>Rame2766</v>
      </c>
      <c r="B67">
        <v>66</v>
      </c>
      <c r="C67">
        <v>28</v>
      </c>
      <c r="D67">
        <v>10</v>
      </c>
      <c r="E67">
        <v>2021</v>
      </c>
      <c r="F67" s="1">
        <f t="shared" ref="F67:F130" si="7">DATE(E67,D67,C67)</f>
        <v>44497</v>
      </c>
      <c r="G67" s="1" t="s">
        <v>18</v>
      </c>
      <c r="H67" s="2">
        <v>44543</v>
      </c>
      <c r="I67" t="s">
        <v>19</v>
      </c>
      <c r="J67">
        <v>7</v>
      </c>
      <c r="K67">
        <v>12590.22</v>
      </c>
      <c r="L67" t="s">
        <v>130</v>
      </c>
      <c r="M67">
        <v>27</v>
      </c>
      <c r="N67" t="s">
        <v>36</v>
      </c>
      <c r="O67" s="3" t="s">
        <v>22</v>
      </c>
      <c r="P67" t="s">
        <v>23</v>
      </c>
      <c r="Q67" t="s">
        <v>56</v>
      </c>
      <c r="R67">
        <v>4</v>
      </c>
      <c r="S67" t="s">
        <v>84</v>
      </c>
      <c r="T67" s="4">
        <f t="shared" ref="T67:T130" si="8">J67*K67</f>
        <v>88131.54</v>
      </c>
      <c r="U67" s="4" t="str">
        <f t="shared" ref="U67:U130" si="9">IF(R67&gt;=4,"Good","Average")</f>
        <v>Good</v>
      </c>
      <c r="V67" s="4" t="str">
        <f t="shared" ref="V67:V130" si="10">IF(T67&gt;200000,"Excellent",IF(T67&gt;100000,"Good",IF(T67&gt;50000,"Average","Low")))</f>
        <v>Average</v>
      </c>
      <c r="W67" s="4"/>
      <c r="X67" s="4"/>
      <c r="AJ67" s="4"/>
    </row>
    <row r="68" spans="1:36">
      <c r="A68" t="str">
        <f t="shared" si="6"/>
        <v>Suni3267</v>
      </c>
      <c r="B68">
        <v>67</v>
      </c>
      <c r="C68">
        <v>28</v>
      </c>
      <c r="D68">
        <v>10</v>
      </c>
      <c r="E68">
        <v>2021</v>
      </c>
      <c r="F68" s="1">
        <f t="shared" si="7"/>
        <v>44497</v>
      </c>
      <c r="G68" s="1" t="s">
        <v>18</v>
      </c>
      <c r="H68" s="2">
        <v>44544</v>
      </c>
      <c r="I68" t="s">
        <v>38</v>
      </c>
      <c r="J68">
        <v>4</v>
      </c>
      <c r="K68">
        <v>28576.04</v>
      </c>
      <c r="L68" t="s">
        <v>131</v>
      </c>
      <c r="M68">
        <v>32</v>
      </c>
      <c r="N68" t="s">
        <v>21</v>
      </c>
      <c r="O68" s="3" t="s">
        <v>22</v>
      </c>
      <c r="P68" t="s">
        <v>132</v>
      </c>
      <c r="Q68" t="s">
        <v>24</v>
      </c>
      <c r="R68">
        <v>5</v>
      </c>
      <c r="S68" t="s">
        <v>48</v>
      </c>
      <c r="T68" s="4">
        <f t="shared" si="8"/>
        <v>114304.16</v>
      </c>
      <c r="U68" s="4" t="str">
        <f t="shared" si="9"/>
        <v>Good</v>
      </c>
      <c r="V68" s="4" t="str">
        <f t="shared" si="10"/>
        <v>Good</v>
      </c>
      <c r="W68" s="4"/>
      <c r="X68" s="4"/>
      <c r="AJ68" s="4"/>
    </row>
    <row r="69" spans="1:36">
      <c r="A69" t="str">
        <f t="shared" si="6"/>
        <v>Kavi3668</v>
      </c>
      <c r="B69">
        <v>68</v>
      </c>
      <c r="C69">
        <v>29</v>
      </c>
      <c r="D69">
        <v>10</v>
      </c>
      <c r="E69">
        <v>2021</v>
      </c>
      <c r="F69" s="1">
        <f t="shared" si="7"/>
        <v>44498</v>
      </c>
      <c r="G69" s="1" t="s">
        <v>18</v>
      </c>
      <c r="H69" s="2">
        <v>44545</v>
      </c>
      <c r="I69" t="s">
        <v>19</v>
      </c>
      <c r="J69">
        <v>1</v>
      </c>
      <c r="K69">
        <v>29206.61</v>
      </c>
      <c r="L69" t="s">
        <v>133</v>
      </c>
      <c r="M69">
        <v>36</v>
      </c>
      <c r="N69" t="s">
        <v>21</v>
      </c>
      <c r="O69" s="3" t="s">
        <v>22</v>
      </c>
      <c r="P69" t="s">
        <v>93</v>
      </c>
      <c r="Q69" t="s">
        <v>30</v>
      </c>
      <c r="R69">
        <v>5</v>
      </c>
      <c r="S69" t="s">
        <v>84</v>
      </c>
      <c r="T69" s="4">
        <f t="shared" si="8"/>
        <v>29206.61</v>
      </c>
      <c r="U69" s="4" t="str">
        <f t="shared" si="9"/>
        <v>Good</v>
      </c>
      <c r="V69" s="4" t="str">
        <f t="shared" si="10"/>
        <v>Low</v>
      </c>
      <c r="W69" s="4"/>
      <c r="X69" s="4"/>
      <c r="AJ69" s="4"/>
    </row>
    <row r="70" spans="1:36">
      <c r="A70" t="str">
        <f t="shared" si="6"/>
        <v>Meen2669</v>
      </c>
      <c r="B70">
        <v>69</v>
      </c>
      <c r="C70">
        <v>29</v>
      </c>
      <c r="D70">
        <v>10</v>
      </c>
      <c r="E70">
        <v>2021</v>
      </c>
      <c r="F70" s="1">
        <f t="shared" si="7"/>
        <v>44498</v>
      </c>
      <c r="G70" s="1" t="s">
        <v>18</v>
      </c>
      <c r="H70" s="2">
        <v>44546</v>
      </c>
      <c r="I70" t="s">
        <v>49</v>
      </c>
      <c r="J70">
        <v>9</v>
      </c>
      <c r="K70">
        <v>60301.17</v>
      </c>
      <c r="L70" t="s">
        <v>134</v>
      </c>
      <c r="M70">
        <v>26</v>
      </c>
      <c r="N70" t="s">
        <v>36</v>
      </c>
      <c r="O70" s="3" t="s">
        <v>22</v>
      </c>
      <c r="P70" t="s">
        <v>66</v>
      </c>
      <c r="Q70" t="s">
        <v>41</v>
      </c>
      <c r="R70">
        <v>5</v>
      </c>
      <c r="S70" t="s">
        <v>52</v>
      </c>
      <c r="T70" s="4">
        <f t="shared" si="8"/>
        <v>542710.53</v>
      </c>
      <c r="U70" s="4" t="str">
        <f t="shared" si="9"/>
        <v>Good</v>
      </c>
      <c r="V70" s="4" t="str">
        <f t="shared" si="10"/>
        <v>Excellent</v>
      </c>
      <c r="W70" s="4"/>
      <c r="X70" s="4"/>
      <c r="AJ70" s="4"/>
    </row>
    <row r="71" spans="1:36">
      <c r="A71" t="str">
        <f t="shared" si="6"/>
        <v>Pooj2170</v>
      </c>
      <c r="B71">
        <v>70</v>
      </c>
      <c r="C71">
        <v>29</v>
      </c>
      <c r="D71">
        <v>10</v>
      </c>
      <c r="E71">
        <v>2021</v>
      </c>
      <c r="F71" s="1">
        <f t="shared" si="7"/>
        <v>44498</v>
      </c>
      <c r="G71" s="1" t="s">
        <v>18</v>
      </c>
      <c r="H71" s="2">
        <v>44547</v>
      </c>
      <c r="I71" t="s">
        <v>49</v>
      </c>
      <c r="J71">
        <v>4</v>
      </c>
      <c r="K71">
        <v>49253.8</v>
      </c>
      <c r="L71" t="s">
        <v>135</v>
      </c>
      <c r="M71">
        <v>21</v>
      </c>
      <c r="N71" t="s">
        <v>36</v>
      </c>
      <c r="O71" s="3" t="s">
        <v>22</v>
      </c>
      <c r="P71" t="s">
        <v>29</v>
      </c>
      <c r="Q71" t="s">
        <v>41</v>
      </c>
      <c r="R71">
        <v>5</v>
      </c>
      <c r="S71" t="s">
        <v>52</v>
      </c>
      <c r="T71" s="4">
        <f t="shared" si="8"/>
        <v>197015.2</v>
      </c>
      <c r="U71" s="4" t="str">
        <f t="shared" si="9"/>
        <v>Good</v>
      </c>
      <c r="V71" s="4" t="str">
        <f t="shared" si="10"/>
        <v>Good</v>
      </c>
      <c r="W71" s="4"/>
      <c r="X71" s="4"/>
      <c r="AJ71" s="4"/>
    </row>
    <row r="72" spans="1:36">
      <c r="A72" t="str">
        <f t="shared" si="6"/>
        <v>Ayes3271</v>
      </c>
      <c r="B72">
        <v>71</v>
      </c>
      <c r="C72">
        <v>29</v>
      </c>
      <c r="D72">
        <v>10</v>
      </c>
      <c r="E72">
        <v>2021</v>
      </c>
      <c r="F72" s="1">
        <f t="shared" si="7"/>
        <v>44498</v>
      </c>
      <c r="G72" s="1" t="s">
        <v>18</v>
      </c>
      <c r="H72" s="2">
        <v>44548</v>
      </c>
      <c r="I72" t="s">
        <v>43</v>
      </c>
      <c r="J72">
        <v>9</v>
      </c>
      <c r="K72">
        <v>26525.79</v>
      </c>
      <c r="L72" t="s">
        <v>136</v>
      </c>
      <c r="M72">
        <v>32</v>
      </c>
      <c r="N72" t="s">
        <v>21</v>
      </c>
      <c r="O72" s="3" t="s">
        <v>28</v>
      </c>
      <c r="P72" t="s">
        <v>114</v>
      </c>
      <c r="Q72" t="s">
        <v>24</v>
      </c>
      <c r="R72">
        <v>3</v>
      </c>
      <c r="S72" t="s">
        <v>46</v>
      </c>
      <c r="T72" s="4">
        <f t="shared" si="8"/>
        <v>238732.11000000002</v>
      </c>
      <c r="U72" s="4" t="str">
        <f t="shared" si="9"/>
        <v>Average</v>
      </c>
      <c r="V72" s="4" t="str">
        <f t="shared" si="10"/>
        <v>Excellent</v>
      </c>
      <c r="W72" s="4"/>
      <c r="X72" s="4"/>
      <c r="AJ72" s="4"/>
    </row>
    <row r="73" spans="1:36">
      <c r="A73" t="str">
        <f t="shared" si="6"/>
        <v>Yoge2572</v>
      </c>
      <c r="B73">
        <v>72</v>
      </c>
      <c r="C73">
        <v>30</v>
      </c>
      <c r="D73">
        <v>10</v>
      </c>
      <c r="E73">
        <v>2021</v>
      </c>
      <c r="F73" s="1">
        <f t="shared" si="7"/>
        <v>44499</v>
      </c>
      <c r="G73" s="1" t="s">
        <v>18</v>
      </c>
      <c r="H73" s="2">
        <v>44549</v>
      </c>
      <c r="I73" t="s">
        <v>49</v>
      </c>
      <c r="J73">
        <v>6</v>
      </c>
      <c r="K73">
        <v>68064.399999999994</v>
      </c>
      <c r="L73" t="s">
        <v>81</v>
      </c>
      <c r="M73">
        <v>25</v>
      </c>
      <c r="N73" t="s">
        <v>36</v>
      </c>
      <c r="O73" s="3" t="s">
        <v>22</v>
      </c>
      <c r="P73" t="s">
        <v>137</v>
      </c>
      <c r="Q73" t="s">
        <v>24</v>
      </c>
      <c r="R73">
        <v>4</v>
      </c>
      <c r="S73" t="s">
        <v>52</v>
      </c>
      <c r="T73" s="4">
        <f t="shared" si="8"/>
        <v>408386.39999999997</v>
      </c>
      <c r="U73" s="4" t="str">
        <f t="shared" si="9"/>
        <v>Good</v>
      </c>
      <c r="V73" s="4" t="str">
        <f t="shared" si="10"/>
        <v>Excellent</v>
      </c>
      <c r="W73" s="4"/>
      <c r="X73" s="4"/>
      <c r="AJ73" s="4"/>
    </row>
    <row r="74" spans="1:36">
      <c r="A74" t="str">
        <f t="shared" si="6"/>
        <v>Nikh1873</v>
      </c>
      <c r="B74">
        <v>73</v>
      </c>
      <c r="C74">
        <v>30</v>
      </c>
      <c r="D74">
        <v>10</v>
      </c>
      <c r="E74">
        <v>2021</v>
      </c>
      <c r="F74" s="1">
        <f t="shared" si="7"/>
        <v>44499</v>
      </c>
      <c r="G74" s="1" t="s">
        <v>18</v>
      </c>
      <c r="H74" s="2">
        <v>44550</v>
      </c>
      <c r="I74" t="s">
        <v>43</v>
      </c>
      <c r="J74">
        <v>1</v>
      </c>
      <c r="K74">
        <v>29292.51</v>
      </c>
      <c r="L74" t="s">
        <v>138</v>
      </c>
      <c r="M74">
        <v>18</v>
      </c>
      <c r="N74" t="s">
        <v>36</v>
      </c>
      <c r="O74" s="3" t="s">
        <v>22</v>
      </c>
      <c r="P74" t="s">
        <v>29</v>
      </c>
      <c r="Q74" t="s">
        <v>24</v>
      </c>
      <c r="R74">
        <v>5</v>
      </c>
      <c r="S74" t="s">
        <v>46</v>
      </c>
      <c r="T74" s="4">
        <f t="shared" si="8"/>
        <v>29292.51</v>
      </c>
      <c r="U74" s="4" t="str">
        <f t="shared" si="9"/>
        <v>Good</v>
      </c>
      <c r="V74" s="4" t="str">
        <f t="shared" si="10"/>
        <v>Low</v>
      </c>
      <c r="W74" s="4"/>
      <c r="X74" s="4"/>
      <c r="AJ74" s="4"/>
    </row>
    <row r="75" spans="1:36">
      <c r="A75" t="str">
        <f t="shared" si="6"/>
        <v>Suni2474</v>
      </c>
      <c r="B75">
        <v>74</v>
      </c>
      <c r="C75">
        <v>30</v>
      </c>
      <c r="D75">
        <v>10</v>
      </c>
      <c r="E75">
        <v>2021</v>
      </c>
      <c r="F75" s="1">
        <f t="shared" si="7"/>
        <v>44499</v>
      </c>
      <c r="G75" s="1" t="s">
        <v>18</v>
      </c>
      <c r="H75" s="2">
        <v>44551</v>
      </c>
      <c r="I75" t="s">
        <v>38</v>
      </c>
      <c r="J75">
        <v>3</v>
      </c>
      <c r="K75">
        <v>69894.039999999994</v>
      </c>
      <c r="L75" t="s">
        <v>139</v>
      </c>
      <c r="M75">
        <v>24</v>
      </c>
      <c r="N75" t="s">
        <v>36</v>
      </c>
      <c r="O75" s="3" t="s">
        <v>22</v>
      </c>
      <c r="P75" t="s">
        <v>29</v>
      </c>
      <c r="Q75" t="s">
        <v>56</v>
      </c>
      <c r="R75">
        <v>4</v>
      </c>
      <c r="S75" t="s">
        <v>48</v>
      </c>
      <c r="T75" s="4">
        <f t="shared" si="8"/>
        <v>209682.12</v>
      </c>
      <c r="U75" s="4" t="str">
        <f t="shared" si="9"/>
        <v>Good</v>
      </c>
      <c r="V75" s="4" t="str">
        <f t="shared" si="10"/>
        <v>Excellent</v>
      </c>
      <c r="W75" s="4"/>
      <c r="X75" s="4"/>
      <c r="AJ75" s="4"/>
    </row>
    <row r="76" spans="1:36">
      <c r="A76" t="str">
        <f t="shared" si="6"/>
        <v>Shru4875</v>
      </c>
      <c r="B76">
        <v>75</v>
      </c>
      <c r="C76">
        <v>31</v>
      </c>
      <c r="D76">
        <v>10</v>
      </c>
      <c r="E76">
        <v>2021</v>
      </c>
      <c r="F76" s="1">
        <f t="shared" si="7"/>
        <v>44500</v>
      </c>
      <c r="G76" s="1" t="s">
        <v>18</v>
      </c>
      <c r="H76" s="2">
        <v>44552</v>
      </c>
      <c r="I76" t="s">
        <v>19</v>
      </c>
      <c r="J76">
        <v>2</v>
      </c>
      <c r="K76">
        <v>69769.820000000007</v>
      </c>
      <c r="L76" t="s">
        <v>140</v>
      </c>
      <c r="M76">
        <v>48</v>
      </c>
      <c r="N76" t="s">
        <v>61</v>
      </c>
      <c r="O76" s="3" t="s">
        <v>28</v>
      </c>
      <c r="P76" t="s">
        <v>33</v>
      </c>
      <c r="Q76" t="s">
        <v>24</v>
      </c>
      <c r="R76">
        <v>3</v>
      </c>
      <c r="S76" t="s">
        <v>25</v>
      </c>
      <c r="T76" s="4">
        <f t="shared" si="8"/>
        <v>139539.64000000001</v>
      </c>
      <c r="U76" s="4" t="str">
        <f t="shared" si="9"/>
        <v>Average</v>
      </c>
      <c r="V76" s="4" t="str">
        <f t="shared" si="10"/>
        <v>Good</v>
      </c>
      <c r="W76" s="4"/>
      <c r="X76" s="4"/>
      <c r="AJ76" s="4"/>
    </row>
    <row r="77" spans="1:36">
      <c r="A77" t="str">
        <f t="shared" si="6"/>
        <v>Suni3576</v>
      </c>
      <c r="B77">
        <v>76</v>
      </c>
      <c r="C77">
        <v>31</v>
      </c>
      <c r="D77">
        <v>10</v>
      </c>
      <c r="E77">
        <v>2021</v>
      </c>
      <c r="F77" s="1">
        <f t="shared" si="7"/>
        <v>44500</v>
      </c>
      <c r="G77" s="1" t="s">
        <v>18</v>
      </c>
      <c r="H77" s="2">
        <v>44553</v>
      </c>
      <c r="I77" t="s">
        <v>19</v>
      </c>
      <c r="J77">
        <v>9</v>
      </c>
      <c r="K77">
        <v>21472.63</v>
      </c>
      <c r="L77" t="s">
        <v>141</v>
      </c>
      <c r="M77">
        <v>35</v>
      </c>
      <c r="N77" t="s">
        <v>21</v>
      </c>
      <c r="O77" s="3" t="s">
        <v>22</v>
      </c>
      <c r="P77" t="s">
        <v>33</v>
      </c>
      <c r="Q77" t="s">
        <v>24</v>
      </c>
      <c r="R77">
        <v>5</v>
      </c>
      <c r="S77" t="s">
        <v>25</v>
      </c>
      <c r="T77" s="4">
        <f t="shared" si="8"/>
        <v>193253.67</v>
      </c>
      <c r="U77" s="4" t="str">
        <f t="shared" si="9"/>
        <v>Good</v>
      </c>
      <c r="V77" s="4" t="str">
        <f t="shared" si="10"/>
        <v>Good</v>
      </c>
      <c r="W77" s="4"/>
      <c r="X77" s="4"/>
      <c r="AJ77" s="4"/>
    </row>
    <row r="78" spans="1:36">
      <c r="A78" t="str">
        <f t="shared" si="6"/>
        <v>Deep2977</v>
      </c>
      <c r="B78">
        <v>77</v>
      </c>
      <c r="C78">
        <v>31</v>
      </c>
      <c r="D78">
        <v>10</v>
      </c>
      <c r="E78">
        <v>2021</v>
      </c>
      <c r="F78" s="1">
        <f t="shared" si="7"/>
        <v>44500</v>
      </c>
      <c r="G78" s="1" t="s">
        <v>18</v>
      </c>
      <c r="H78" s="2">
        <v>44554</v>
      </c>
      <c r="I78" t="s">
        <v>43</v>
      </c>
      <c r="J78">
        <v>1</v>
      </c>
      <c r="K78">
        <v>28764.47</v>
      </c>
      <c r="L78" t="s">
        <v>142</v>
      </c>
      <c r="M78">
        <v>29</v>
      </c>
      <c r="N78" t="s">
        <v>36</v>
      </c>
      <c r="O78" s="3" t="s">
        <v>28</v>
      </c>
      <c r="P78" t="s">
        <v>33</v>
      </c>
      <c r="Q78" t="s">
        <v>56</v>
      </c>
      <c r="R78">
        <v>3</v>
      </c>
      <c r="S78" t="s">
        <v>57</v>
      </c>
      <c r="T78" s="4">
        <f t="shared" si="8"/>
        <v>28764.47</v>
      </c>
      <c r="U78" s="4" t="str">
        <f t="shared" si="9"/>
        <v>Average</v>
      </c>
      <c r="V78" s="4" t="str">
        <f t="shared" si="10"/>
        <v>Low</v>
      </c>
      <c r="W78" s="4"/>
      <c r="X78" s="4"/>
      <c r="AJ78" s="4"/>
    </row>
    <row r="79" spans="1:36">
      <c r="A79" t="str">
        <f t="shared" si="6"/>
        <v>Kira4778</v>
      </c>
      <c r="B79">
        <v>78</v>
      </c>
      <c r="C79">
        <v>31</v>
      </c>
      <c r="D79">
        <v>10</v>
      </c>
      <c r="E79">
        <v>2021</v>
      </c>
      <c r="F79" s="1">
        <f t="shared" si="7"/>
        <v>44500</v>
      </c>
      <c r="G79" s="1" t="s">
        <v>18</v>
      </c>
      <c r="H79" s="2">
        <v>44555</v>
      </c>
      <c r="I79" t="s">
        <v>19</v>
      </c>
      <c r="J79">
        <v>9</v>
      </c>
      <c r="K79">
        <v>39162.65</v>
      </c>
      <c r="L79" t="s">
        <v>143</v>
      </c>
      <c r="M79">
        <v>47</v>
      </c>
      <c r="N79" t="s">
        <v>61</v>
      </c>
      <c r="O79" s="3" t="s">
        <v>55</v>
      </c>
      <c r="P79" t="s">
        <v>66</v>
      </c>
      <c r="Q79" t="s">
        <v>30</v>
      </c>
      <c r="R79">
        <v>2</v>
      </c>
      <c r="S79" t="s">
        <v>84</v>
      </c>
      <c r="T79" s="4">
        <f t="shared" si="8"/>
        <v>352463.85000000003</v>
      </c>
      <c r="U79" s="4" t="str">
        <f t="shared" si="9"/>
        <v>Average</v>
      </c>
      <c r="V79" s="4" t="str">
        <f t="shared" si="10"/>
        <v>Excellent</v>
      </c>
      <c r="W79" s="4"/>
      <c r="X79" s="4"/>
      <c r="AJ79" s="4"/>
    </row>
    <row r="80" spans="1:36">
      <c r="A80" t="str">
        <f t="shared" si="6"/>
        <v>Bina5079</v>
      </c>
      <c r="B80">
        <v>79</v>
      </c>
      <c r="C80">
        <v>1</v>
      </c>
      <c r="D80">
        <v>11</v>
      </c>
      <c r="E80">
        <v>2021</v>
      </c>
      <c r="F80" s="1">
        <f t="shared" si="7"/>
        <v>44501</v>
      </c>
      <c r="G80" s="1" t="s">
        <v>144</v>
      </c>
      <c r="H80" s="2">
        <v>44556</v>
      </c>
      <c r="I80" t="s">
        <v>49</v>
      </c>
      <c r="J80">
        <v>9</v>
      </c>
      <c r="K80">
        <v>49846.04</v>
      </c>
      <c r="L80" t="s">
        <v>145</v>
      </c>
      <c r="M80">
        <v>50</v>
      </c>
      <c r="N80" t="s">
        <v>61</v>
      </c>
      <c r="O80" s="3" t="s">
        <v>28</v>
      </c>
      <c r="P80" t="s">
        <v>117</v>
      </c>
      <c r="Q80" t="s">
        <v>56</v>
      </c>
      <c r="R80">
        <v>3</v>
      </c>
      <c r="S80" t="s">
        <v>88</v>
      </c>
      <c r="T80" s="4">
        <f t="shared" si="8"/>
        <v>448614.36</v>
      </c>
      <c r="U80" s="4" t="str">
        <f t="shared" si="9"/>
        <v>Average</v>
      </c>
      <c r="V80" s="4" t="str">
        <f t="shared" si="10"/>
        <v>Excellent</v>
      </c>
      <c r="W80" s="4"/>
      <c r="X80" s="4"/>
      <c r="AJ80" s="4"/>
    </row>
    <row r="81" spans="1:36">
      <c r="A81" t="str">
        <f t="shared" si="6"/>
        <v>Moni2480</v>
      </c>
      <c r="B81">
        <v>80</v>
      </c>
      <c r="C81">
        <v>1</v>
      </c>
      <c r="D81">
        <v>11</v>
      </c>
      <c r="E81">
        <v>2021</v>
      </c>
      <c r="F81" s="1">
        <f t="shared" si="7"/>
        <v>44501</v>
      </c>
      <c r="G81" s="1" t="s">
        <v>144</v>
      </c>
      <c r="H81" s="2">
        <v>44557</v>
      </c>
      <c r="I81" t="s">
        <v>26</v>
      </c>
      <c r="J81">
        <v>8</v>
      </c>
      <c r="K81">
        <v>41682.85</v>
      </c>
      <c r="L81" t="s">
        <v>146</v>
      </c>
      <c r="M81">
        <v>24</v>
      </c>
      <c r="N81" t="s">
        <v>36</v>
      </c>
      <c r="O81" s="3" t="s">
        <v>22</v>
      </c>
      <c r="P81" t="s">
        <v>66</v>
      </c>
      <c r="Q81" t="s">
        <v>41</v>
      </c>
      <c r="R81">
        <v>5</v>
      </c>
      <c r="S81" t="s">
        <v>31</v>
      </c>
      <c r="T81" s="4">
        <f t="shared" si="8"/>
        <v>333462.8</v>
      </c>
      <c r="U81" s="4" t="str">
        <f t="shared" si="9"/>
        <v>Good</v>
      </c>
      <c r="V81" s="4" t="str">
        <f t="shared" si="10"/>
        <v>Excellent</v>
      </c>
      <c r="W81" s="4"/>
      <c r="X81" s="4"/>
      <c r="AJ81" s="4"/>
    </row>
    <row r="82" spans="1:36">
      <c r="A82" t="str">
        <f t="shared" si="6"/>
        <v>Pras4581</v>
      </c>
      <c r="B82">
        <v>81</v>
      </c>
      <c r="C82">
        <v>1</v>
      </c>
      <c r="D82">
        <v>11</v>
      </c>
      <c r="E82">
        <v>2021</v>
      </c>
      <c r="F82" s="1">
        <f t="shared" si="7"/>
        <v>44501</v>
      </c>
      <c r="G82" s="1" t="s">
        <v>144</v>
      </c>
      <c r="H82" s="2">
        <v>44558</v>
      </c>
      <c r="I82" t="s">
        <v>43</v>
      </c>
      <c r="J82">
        <v>8</v>
      </c>
      <c r="K82">
        <v>68166.490000000005</v>
      </c>
      <c r="L82" t="s">
        <v>147</v>
      </c>
      <c r="M82">
        <v>45</v>
      </c>
      <c r="N82" t="s">
        <v>21</v>
      </c>
      <c r="O82" s="3" t="s">
        <v>22</v>
      </c>
      <c r="P82" t="s">
        <v>40</v>
      </c>
      <c r="Q82" t="s">
        <v>56</v>
      </c>
      <c r="R82">
        <v>5</v>
      </c>
      <c r="S82" t="s">
        <v>46</v>
      </c>
      <c r="T82" s="4">
        <f t="shared" si="8"/>
        <v>545331.92000000004</v>
      </c>
      <c r="U82" s="4" t="str">
        <f t="shared" si="9"/>
        <v>Good</v>
      </c>
      <c r="V82" s="4" t="str">
        <f t="shared" si="10"/>
        <v>Excellent</v>
      </c>
      <c r="W82" s="4"/>
      <c r="X82" s="4"/>
      <c r="AJ82" s="4"/>
    </row>
    <row r="83" spans="1:36">
      <c r="A83" t="str">
        <f t="shared" si="6"/>
        <v>Vino2082</v>
      </c>
      <c r="B83">
        <v>82</v>
      </c>
      <c r="C83">
        <v>1</v>
      </c>
      <c r="D83">
        <v>11</v>
      </c>
      <c r="E83">
        <v>2021</v>
      </c>
      <c r="F83" s="1">
        <f t="shared" si="7"/>
        <v>44501</v>
      </c>
      <c r="G83" s="1" t="s">
        <v>144</v>
      </c>
      <c r="H83" s="2">
        <v>44559</v>
      </c>
      <c r="I83" t="s">
        <v>19</v>
      </c>
      <c r="J83">
        <v>1</v>
      </c>
      <c r="K83">
        <v>53439.35</v>
      </c>
      <c r="L83" t="s">
        <v>85</v>
      </c>
      <c r="M83">
        <v>20</v>
      </c>
      <c r="N83" t="s">
        <v>36</v>
      </c>
      <c r="O83" s="3" t="s">
        <v>22</v>
      </c>
      <c r="P83" t="s">
        <v>110</v>
      </c>
      <c r="Q83" t="s">
        <v>56</v>
      </c>
      <c r="R83">
        <v>5</v>
      </c>
      <c r="S83" t="s">
        <v>25</v>
      </c>
      <c r="T83" s="4">
        <f t="shared" si="8"/>
        <v>53439.35</v>
      </c>
      <c r="U83" s="4" t="str">
        <f t="shared" si="9"/>
        <v>Good</v>
      </c>
      <c r="V83" s="4" t="str">
        <f t="shared" si="10"/>
        <v>Average</v>
      </c>
      <c r="W83" s="4"/>
      <c r="X83" s="4"/>
      <c r="AJ83" s="4"/>
    </row>
    <row r="84" spans="1:36">
      <c r="A84" t="str">
        <f t="shared" si="6"/>
        <v>Suni2383</v>
      </c>
      <c r="B84">
        <v>83</v>
      </c>
      <c r="C84">
        <v>2</v>
      </c>
      <c r="D84">
        <v>11</v>
      </c>
      <c r="E84">
        <v>2021</v>
      </c>
      <c r="F84" s="1">
        <f t="shared" si="7"/>
        <v>44502</v>
      </c>
      <c r="G84" s="1" t="s">
        <v>144</v>
      </c>
      <c r="H84" s="2">
        <v>44560</v>
      </c>
      <c r="I84" t="s">
        <v>43</v>
      </c>
      <c r="J84">
        <v>8</v>
      </c>
      <c r="K84">
        <v>22722.69</v>
      </c>
      <c r="L84" t="s">
        <v>131</v>
      </c>
      <c r="M84">
        <v>23</v>
      </c>
      <c r="N84" t="s">
        <v>36</v>
      </c>
      <c r="O84" s="3" t="s">
        <v>22</v>
      </c>
      <c r="P84" t="s">
        <v>29</v>
      </c>
      <c r="Q84" t="s">
        <v>30</v>
      </c>
      <c r="R84">
        <v>4</v>
      </c>
      <c r="S84" t="s">
        <v>57</v>
      </c>
      <c r="T84" s="4">
        <f t="shared" si="8"/>
        <v>181781.52</v>
      </c>
      <c r="U84" s="4" t="str">
        <f t="shared" si="9"/>
        <v>Good</v>
      </c>
      <c r="V84" s="4" t="str">
        <f t="shared" si="10"/>
        <v>Good</v>
      </c>
      <c r="W84" s="4"/>
      <c r="X84" s="4"/>
      <c r="AJ84" s="4"/>
    </row>
    <row r="85" spans="1:36">
      <c r="A85" t="str">
        <f t="shared" si="6"/>
        <v>Suni4884</v>
      </c>
      <c r="B85">
        <v>84</v>
      </c>
      <c r="C85">
        <v>2</v>
      </c>
      <c r="D85">
        <v>11</v>
      </c>
      <c r="E85">
        <v>2021</v>
      </c>
      <c r="F85" s="1">
        <f t="shared" si="7"/>
        <v>44502</v>
      </c>
      <c r="G85" s="1" t="s">
        <v>144</v>
      </c>
      <c r="H85" s="2">
        <v>44561</v>
      </c>
      <c r="I85" t="s">
        <v>43</v>
      </c>
      <c r="J85">
        <v>3</v>
      </c>
      <c r="K85">
        <v>16305.85</v>
      </c>
      <c r="L85" t="s">
        <v>148</v>
      </c>
      <c r="M85">
        <v>48</v>
      </c>
      <c r="N85" t="s">
        <v>61</v>
      </c>
      <c r="O85" s="3" t="s">
        <v>55</v>
      </c>
      <c r="P85" t="s">
        <v>29</v>
      </c>
      <c r="Q85" t="s">
        <v>30</v>
      </c>
      <c r="R85">
        <v>2</v>
      </c>
      <c r="S85" t="s">
        <v>95</v>
      </c>
      <c r="T85" s="4">
        <f t="shared" si="8"/>
        <v>48917.55</v>
      </c>
      <c r="U85" s="4" t="str">
        <f t="shared" si="9"/>
        <v>Average</v>
      </c>
      <c r="V85" s="4" t="str">
        <f t="shared" si="10"/>
        <v>Low</v>
      </c>
      <c r="W85" s="4"/>
      <c r="X85" s="4"/>
      <c r="AJ85" s="4"/>
    </row>
    <row r="86" spans="1:36">
      <c r="A86" t="str">
        <f t="shared" si="6"/>
        <v>Nami5585</v>
      </c>
      <c r="B86">
        <v>85</v>
      </c>
      <c r="C86">
        <v>2</v>
      </c>
      <c r="D86">
        <v>11</v>
      </c>
      <c r="E86">
        <v>2021</v>
      </c>
      <c r="F86" s="1">
        <f t="shared" si="7"/>
        <v>44502</v>
      </c>
      <c r="G86" s="1" t="s">
        <v>144</v>
      </c>
      <c r="H86" s="2">
        <v>44562</v>
      </c>
      <c r="I86" t="s">
        <v>26</v>
      </c>
      <c r="J86">
        <v>7</v>
      </c>
      <c r="K86">
        <v>51304.08</v>
      </c>
      <c r="L86" t="s">
        <v>60</v>
      </c>
      <c r="M86">
        <v>55</v>
      </c>
      <c r="N86" t="s">
        <v>61</v>
      </c>
      <c r="O86" s="3" t="s">
        <v>22</v>
      </c>
      <c r="P86" t="s">
        <v>29</v>
      </c>
      <c r="Q86" t="s">
        <v>24</v>
      </c>
      <c r="R86">
        <v>4</v>
      </c>
      <c r="S86" t="s">
        <v>34</v>
      </c>
      <c r="T86" s="4">
        <f t="shared" si="8"/>
        <v>359128.56</v>
      </c>
      <c r="U86" s="4" t="str">
        <f t="shared" si="9"/>
        <v>Good</v>
      </c>
      <c r="V86" s="4" t="str">
        <f t="shared" si="10"/>
        <v>Excellent</v>
      </c>
      <c r="W86" s="4"/>
      <c r="X86" s="4"/>
      <c r="AJ86" s="4"/>
    </row>
    <row r="87" spans="1:36">
      <c r="A87" t="str">
        <f t="shared" si="6"/>
        <v>Sneh3286</v>
      </c>
      <c r="B87">
        <v>86</v>
      </c>
      <c r="C87">
        <v>2</v>
      </c>
      <c r="D87">
        <v>11</v>
      </c>
      <c r="E87">
        <v>2021</v>
      </c>
      <c r="F87" s="1">
        <f t="shared" si="7"/>
        <v>44502</v>
      </c>
      <c r="G87" s="1" t="s">
        <v>144</v>
      </c>
      <c r="H87" s="2">
        <v>44563</v>
      </c>
      <c r="I87" t="s">
        <v>49</v>
      </c>
      <c r="J87">
        <v>1</v>
      </c>
      <c r="K87">
        <v>19507.150000000001</v>
      </c>
      <c r="L87" t="s">
        <v>149</v>
      </c>
      <c r="M87">
        <v>32</v>
      </c>
      <c r="N87" t="s">
        <v>21</v>
      </c>
      <c r="O87" s="3" t="s">
        <v>22</v>
      </c>
      <c r="P87" t="s">
        <v>150</v>
      </c>
      <c r="Q87" t="s">
        <v>56</v>
      </c>
      <c r="R87">
        <v>5</v>
      </c>
      <c r="S87" t="s">
        <v>88</v>
      </c>
      <c r="T87" s="4">
        <f t="shared" si="8"/>
        <v>19507.150000000001</v>
      </c>
      <c r="U87" s="4" t="str">
        <f t="shared" si="9"/>
        <v>Good</v>
      </c>
      <c r="V87" s="4" t="str">
        <f t="shared" si="10"/>
        <v>Low</v>
      </c>
      <c r="W87" s="4"/>
      <c r="X87" s="4"/>
      <c r="AJ87" s="4"/>
    </row>
    <row r="88" spans="1:36">
      <c r="A88" t="str">
        <f t="shared" si="6"/>
        <v>Sanj2487</v>
      </c>
      <c r="B88">
        <v>87</v>
      </c>
      <c r="C88">
        <v>3</v>
      </c>
      <c r="D88">
        <v>11</v>
      </c>
      <c r="E88">
        <v>2021</v>
      </c>
      <c r="F88" s="1">
        <f t="shared" si="7"/>
        <v>44503</v>
      </c>
      <c r="G88" s="1" t="s">
        <v>144</v>
      </c>
      <c r="H88" s="2">
        <v>44564</v>
      </c>
      <c r="I88" t="s">
        <v>43</v>
      </c>
      <c r="J88">
        <v>1</v>
      </c>
      <c r="K88">
        <v>57260.61</v>
      </c>
      <c r="L88" t="s">
        <v>151</v>
      </c>
      <c r="M88">
        <v>24</v>
      </c>
      <c r="N88" t="s">
        <v>36</v>
      </c>
      <c r="O88" s="3" t="s">
        <v>22</v>
      </c>
      <c r="P88" t="s">
        <v>137</v>
      </c>
      <c r="Q88" t="s">
        <v>30</v>
      </c>
      <c r="R88">
        <v>5</v>
      </c>
      <c r="S88" t="s">
        <v>57</v>
      </c>
      <c r="T88" s="4">
        <f t="shared" si="8"/>
        <v>57260.61</v>
      </c>
      <c r="U88" s="4" t="str">
        <f t="shared" si="9"/>
        <v>Good</v>
      </c>
      <c r="V88" s="4" t="str">
        <f t="shared" si="10"/>
        <v>Average</v>
      </c>
      <c r="W88" s="4"/>
      <c r="X88" s="4"/>
      <c r="AJ88" s="4"/>
    </row>
    <row r="89" spans="1:36">
      <c r="A89" t="str">
        <f t="shared" si="6"/>
        <v>Sneh4788</v>
      </c>
      <c r="B89">
        <v>88</v>
      </c>
      <c r="C89">
        <v>3</v>
      </c>
      <c r="D89">
        <v>11</v>
      </c>
      <c r="E89">
        <v>2021</v>
      </c>
      <c r="F89" s="1">
        <f t="shared" si="7"/>
        <v>44503</v>
      </c>
      <c r="G89" s="1" t="s">
        <v>144</v>
      </c>
      <c r="H89" s="2">
        <v>44565</v>
      </c>
      <c r="I89" t="s">
        <v>19</v>
      </c>
      <c r="J89">
        <v>5</v>
      </c>
      <c r="K89">
        <v>28662.2</v>
      </c>
      <c r="L89" t="s">
        <v>152</v>
      </c>
      <c r="M89">
        <v>47</v>
      </c>
      <c r="N89" t="s">
        <v>61</v>
      </c>
      <c r="O89" s="3" t="s">
        <v>28</v>
      </c>
      <c r="P89" t="s">
        <v>29</v>
      </c>
      <c r="Q89" t="s">
        <v>41</v>
      </c>
      <c r="R89">
        <v>3</v>
      </c>
      <c r="S89" t="s">
        <v>84</v>
      </c>
      <c r="T89" s="4">
        <f t="shared" si="8"/>
        <v>143311</v>
      </c>
      <c r="U89" s="4" t="str">
        <f t="shared" si="9"/>
        <v>Average</v>
      </c>
      <c r="V89" s="4" t="str">
        <f t="shared" si="10"/>
        <v>Good</v>
      </c>
      <c r="W89" s="4"/>
      <c r="X89" s="4"/>
      <c r="AJ89" s="4"/>
    </row>
    <row r="90" spans="1:36">
      <c r="A90" t="str">
        <f t="shared" si="6"/>
        <v>Nami4489</v>
      </c>
      <c r="B90">
        <v>89</v>
      </c>
      <c r="C90">
        <v>3</v>
      </c>
      <c r="D90">
        <v>11</v>
      </c>
      <c r="E90">
        <v>2021</v>
      </c>
      <c r="F90" s="1">
        <f t="shared" si="7"/>
        <v>44503</v>
      </c>
      <c r="G90" s="1" t="s">
        <v>144</v>
      </c>
      <c r="H90" s="2">
        <v>44566</v>
      </c>
      <c r="I90" t="s">
        <v>38</v>
      </c>
      <c r="J90">
        <v>5</v>
      </c>
      <c r="K90">
        <v>29613.599999999999</v>
      </c>
      <c r="L90" t="s">
        <v>153</v>
      </c>
      <c r="M90">
        <v>44</v>
      </c>
      <c r="N90" t="s">
        <v>21</v>
      </c>
      <c r="O90" s="3" t="s">
        <v>22</v>
      </c>
      <c r="P90" t="s">
        <v>29</v>
      </c>
      <c r="Q90" t="s">
        <v>24</v>
      </c>
      <c r="R90">
        <v>5</v>
      </c>
      <c r="S90" t="s">
        <v>48</v>
      </c>
      <c r="T90" s="4">
        <f t="shared" si="8"/>
        <v>148068</v>
      </c>
      <c r="U90" s="4" t="str">
        <f t="shared" si="9"/>
        <v>Good</v>
      </c>
      <c r="V90" s="4" t="str">
        <f t="shared" si="10"/>
        <v>Good</v>
      </c>
      <c r="W90" s="4"/>
      <c r="X90" s="4"/>
      <c r="AJ90" s="4"/>
    </row>
    <row r="91" spans="1:36">
      <c r="A91" t="str">
        <f t="shared" si="6"/>
        <v>Pooj3490</v>
      </c>
      <c r="B91">
        <v>90</v>
      </c>
      <c r="C91">
        <v>3</v>
      </c>
      <c r="D91">
        <v>11</v>
      </c>
      <c r="E91">
        <v>2021</v>
      </c>
      <c r="F91" s="1">
        <f t="shared" si="7"/>
        <v>44503</v>
      </c>
      <c r="G91" s="1" t="s">
        <v>144</v>
      </c>
      <c r="H91" s="2">
        <v>44567</v>
      </c>
      <c r="I91" t="s">
        <v>43</v>
      </c>
      <c r="J91">
        <v>8</v>
      </c>
      <c r="K91">
        <v>10647.9</v>
      </c>
      <c r="L91" t="s">
        <v>154</v>
      </c>
      <c r="M91">
        <v>34</v>
      </c>
      <c r="N91" t="s">
        <v>21</v>
      </c>
      <c r="O91" s="3" t="s">
        <v>22</v>
      </c>
      <c r="P91" t="s">
        <v>29</v>
      </c>
      <c r="Q91" t="s">
        <v>56</v>
      </c>
      <c r="R91">
        <v>5</v>
      </c>
      <c r="S91" t="s">
        <v>46</v>
      </c>
      <c r="T91" s="4">
        <f t="shared" si="8"/>
        <v>85183.2</v>
      </c>
      <c r="U91" s="4" t="str">
        <f t="shared" si="9"/>
        <v>Good</v>
      </c>
      <c r="V91" s="4" t="str">
        <f t="shared" si="10"/>
        <v>Average</v>
      </c>
      <c r="W91" s="4"/>
      <c r="X91" s="4"/>
      <c r="AJ91" s="4"/>
    </row>
    <row r="92" spans="1:36">
      <c r="A92" t="str">
        <f t="shared" si="6"/>
        <v>Deve3591</v>
      </c>
      <c r="B92">
        <v>91</v>
      </c>
      <c r="C92">
        <v>4</v>
      </c>
      <c r="D92">
        <v>11</v>
      </c>
      <c r="E92">
        <v>2021</v>
      </c>
      <c r="F92" s="1">
        <f t="shared" si="7"/>
        <v>44504</v>
      </c>
      <c r="G92" s="1" t="s">
        <v>144</v>
      </c>
      <c r="H92" s="2">
        <v>44568</v>
      </c>
      <c r="I92" t="s">
        <v>43</v>
      </c>
      <c r="J92">
        <v>7</v>
      </c>
      <c r="K92">
        <v>52060.68</v>
      </c>
      <c r="L92" t="s">
        <v>123</v>
      </c>
      <c r="M92">
        <v>35</v>
      </c>
      <c r="N92" t="s">
        <v>21</v>
      </c>
      <c r="O92" s="3" t="s">
        <v>22</v>
      </c>
      <c r="P92" t="s">
        <v>45</v>
      </c>
      <c r="Q92" t="s">
        <v>41</v>
      </c>
      <c r="R92">
        <v>5</v>
      </c>
      <c r="S92" t="s">
        <v>95</v>
      </c>
      <c r="T92" s="4">
        <f t="shared" si="8"/>
        <v>364424.76</v>
      </c>
      <c r="U92" s="4" t="str">
        <f t="shared" si="9"/>
        <v>Good</v>
      </c>
      <c r="V92" s="4" t="str">
        <f t="shared" si="10"/>
        <v>Excellent</v>
      </c>
      <c r="W92" s="4"/>
      <c r="X92" s="4"/>
      <c r="AJ92" s="4"/>
    </row>
    <row r="93" spans="1:36">
      <c r="A93" t="str">
        <f t="shared" si="6"/>
        <v>Neet3992</v>
      </c>
      <c r="B93">
        <v>92</v>
      </c>
      <c r="C93">
        <v>4</v>
      </c>
      <c r="D93">
        <v>11</v>
      </c>
      <c r="E93">
        <v>2021</v>
      </c>
      <c r="F93" s="1">
        <f t="shared" si="7"/>
        <v>44504</v>
      </c>
      <c r="G93" s="1" t="s">
        <v>144</v>
      </c>
      <c r="H93" s="2">
        <v>44569</v>
      </c>
      <c r="I93" t="s">
        <v>26</v>
      </c>
      <c r="J93">
        <v>8</v>
      </c>
      <c r="K93">
        <v>16796.189999999999</v>
      </c>
      <c r="L93" t="s">
        <v>155</v>
      </c>
      <c r="M93">
        <v>39</v>
      </c>
      <c r="N93" t="s">
        <v>21</v>
      </c>
      <c r="O93" s="3" t="s">
        <v>22</v>
      </c>
      <c r="P93" t="s">
        <v>150</v>
      </c>
      <c r="Q93" t="s">
        <v>30</v>
      </c>
      <c r="R93">
        <v>5</v>
      </c>
      <c r="S93" t="s">
        <v>34</v>
      </c>
      <c r="T93" s="4">
        <f t="shared" si="8"/>
        <v>134369.51999999999</v>
      </c>
      <c r="U93" s="4" t="str">
        <f t="shared" si="9"/>
        <v>Good</v>
      </c>
      <c r="V93" s="4" t="str">
        <f t="shared" si="10"/>
        <v>Good</v>
      </c>
      <c r="W93" s="4"/>
      <c r="X93" s="4"/>
      <c r="AJ93" s="4"/>
    </row>
    <row r="94" spans="1:36">
      <c r="A94" t="str">
        <f t="shared" si="6"/>
        <v>Sumi4393</v>
      </c>
      <c r="B94">
        <v>93</v>
      </c>
      <c r="C94">
        <v>4</v>
      </c>
      <c r="D94">
        <v>11</v>
      </c>
      <c r="E94">
        <v>2021</v>
      </c>
      <c r="F94" s="1">
        <f t="shared" si="7"/>
        <v>44504</v>
      </c>
      <c r="G94" s="1" t="s">
        <v>144</v>
      </c>
      <c r="H94" s="2">
        <v>44570</v>
      </c>
      <c r="I94" t="s">
        <v>49</v>
      </c>
      <c r="J94">
        <v>6</v>
      </c>
      <c r="K94">
        <v>56372.83</v>
      </c>
      <c r="L94" t="s">
        <v>156</v>
      </c>
      <c r="M94">
        <v>43</v>
      </c>
      <c r="N94" t="s">
        <v>21</v>
      </c>
      <c r="O94" s="3" t="s">
        <v>28</v>
      </c>
      <c r="P94" t="s">
        <v>132</v>
      </c>
      <c r="Q94" t="s">
        <v>24</v>
      </c>
      <c r="R94">
        <v>3</v>
      </c>
      <c r="S94" t="s">
        <v>102</v>
      </c>
      <c r="T94" s="4">
        <f t="shared" si="8"/>
        <v>338236.98</v>
      </c>
      <c r="U94" s="4" t="str">
        <f t="shared" si="9"/>
        <v>Average</v>
      </c>
      <c r="V94" s="4" t="str">
        <f t="shared" si="10"/>
        <v>Excellent</v>
      </c>
      <c r="W94" s="4"/>
      <c r="X94" s="4"/>
      <c r="AJ94" s="4"/>
    </row>
    <row r="95" spans="1:36">
      <c r="A95" t="str">
        <f t="shared" si="6"/>
        <v>Bina4494</v>
      </c>
      <c r="B95">
        <v>94</v>
      </c>
      <c r="C95">
        <v>4</v>
      </c>
      <c r="D95">
        <v>11</v>
      </c>
      <c r="E95">
        <v>2021</v>
      </c>
      <c r="F95" s="1">
        <f t="shared" si="7"/>
        <v>44504</v>
      </c>
      <c r="G95" s="1" t="s">
        <v>144</v>
      </c>
      <c r="H95" s="2">
        <v>44571</v>
      </c>
      <c r="I95" t="s">
        <v>38</v>
      </c>
      <c r="J95">
        <v>6</v>
      </c>
      <c r="K95">
        <v>39512.07</v>
      </c>
      <c r="L95" t="s">
        <v>157</v>
      </c>
      <c r="M95">
        <v>44</v>
      </c>
      <c r="N95" t="s">
        <v>21</v>
      </c>
      <c r="O95" s="3" t="s">
        <v>22</v>
      </c>
      <c r="P95" t="s">
        <v>33</v>
      </c>
      <c r="Q95" t="s">
        <v>41</v>
      </c>
      <c r="R95">
        <v>4</v>
      </c>
      <c r="S95" t="s">
        <v>99</v>
      </c>
      <c r="T95" s="4">
        <f t="shared" si="8"/>
        <v>237072.41999999998</v>
      </c>
      <c r="U95" s="4" t="str">
        <f t="shared" si="9"/>
        <v>Good</v>
      </c>
      <c r="V95" s="4" t="str">
        <f t="shared" si="10"/>
        <v>Excellent</v>
      </c>
      <c r="W95" s="4"/>
      <c r="X95" s="4"/>
      <c r="AJ95" s="4"/>
    </row>
    <row r="96" spans="1:36">
      <c r="A96" t="str">
        <f t="shared" si="6"/>
        <v>Ravi5795</v>
      </c>
      <c r="B96">
        <v>95</v>
      </c>
      <c r="C96">
        <v>5</v>
      </c>
      <c r="D96">
        <v>11</v>
      </c>
      <c r="E96">
        <v>2021</v>
      </c>
      <c r="F96" s="1">
        <f t="shared" si="7"/>
        <v>44505</v>
      </c>
      <c r="G96" s="1" t="s">
        <v>144</v>
      </c>
      <c r="H96" s="2">
        <v>44572</v>
      </c>
      <c r="I96" t="s">
        <v>19</v>
      </c>
      <c r="J96">
        <v>2</v>
      </c>
      <c r="K96">
        <v>57056.79</v>
      </c>
      <c r="L96" t="s">
        <v>158</v>
      </c>
      <c r="M96">
        <v>57</v>
      </c>
      <c r="N96" t="s">
        <v>61</v>
      </c>
      <c r="O96" s="3" t="s">
        <v>55</v>
      </c>
      <c r="P96" t="s">
        <v>33</v>
      </c>
      <c r="Q96" t="s">
        <v>56</v>
      </c>
      <c r="R96">
        <v>2</v>
      </c>
      <c r="S96" t="s">
        <v>84</v>
      </c>
      <c r="T96" s="4">
        <f t="shared" si="8"/>
        <v>114113.58</v>
      </c>
      <c r="U96" s="4" t="str">
        <f t="shared" si="9"/>
        <v>Average</v>
      </c>
      <c r="V96" s="4" t="str">
        <f t="shared" si="10"/>
        <v>Good</v>
      </c>
      <c r="W96" s="4"/>
      <c r="X96" s="4"/>
      <c r="AJ96" s="4"/>
    </row>
    <row r="97" spans="1:36">
      <c r="A97" t="str">
        <f t="shared" si="6"/>
        <v>Anja4196</v>
      </c>
      <c r="B97">
        <v>96</v>
      </c>
      <c r="C97">
        <v>5</v>
      </c>
      <c r="D97">
        <v>11</v>
      </c>
      <c r="E97">
        <v>2021</v>
      </c>
      <c r="F97" s="1">
        <f t="shared" si="7"/>
        <v>44505</v>
      </c>
      <c r="G97" s="1" t="s">
        <v>144</v>
      </c>
      <c r="H97" s="2">
        <v>44573</v>
      </c>
      <c r="I97" t="s">
        <v>38</v>
      </c>
      <c r="J97">
        <v>6</v>
      </c>
      <c r="K97">
        <v>45035.59</v>
      </c>
      <c r="L97" t="s">
        <v>159</v>
      </c>
      <c r="M97">
        <v>41</v>
      </c>
      <c r="N97" t="s">
        <v>21</v>
      </c>
      <c r="O97" s="3" t="s">
        <v>22</v>
      </c>
      <c r="P97" t="s">
        <v>114</v>
      </c>
      <c r="Q97" t="s">
        <v>41</v>
      </c>
      <c r="R97">
        <v>4</v>
      </c>
      <c r="S97" t="s">
        <v>48</v>
      </c>
      <c r="T97" s="4">
        <f t="shared" si="8"/>
        <v>270213.53999999998</v>
      </c>
      <c r="U97" s="4" t="str">
        <f t="shared" si="9"/>
        <v>Good</v>
      </c>
      <c r="V97" s="4" t="str">
        <f t="shared" si="10"/>
        <v>Excellent</v>
      </c>
      <c r="W97" s="4"/>
      <c r="X97" s="4"/>
      <c r="AJ97" s="4"/>
    </row>
    <row r="98" spans="1:36">
      <c r="A98" t="str">
        <f t="shared" si="6"/>
        <v>Raje2597</v>
      </c>
      <c r="B98">
        <v>97</v>
      </c>
      <c r="C98">
        <v>5</v>
      </c>
      <c r="D98">
        <v>11</v>
      </c>
      <c r="E98">
        <v>2021</v>
      </c>
      <c r="F98" s="1">
        <f t="shared" si="7"/>
        <v>44505</v>
      </c>
      <c r="G98" s="1" t="s">
        <v>144</v>
      </c>
      <c r="H98" s="2">
        <v>44574</v>
      </c>
      <c r="I98" t="s">
        <v>19</v>
      </c>
      <c r="J98">
        <v>5</v>
      </c>
      <c r="K98">
        <v>14946</v>
      </c>
      <c r="L98" t="s">
        <v>160</v>
      </c>
      <c r="M98">
        <v>25</v>
      </c>
      <c r="N98" t="s">
        <v>36</v>
      </c>
      <c r="O98" s="3" t="s">
        <v>28</v>
      </c>
      <c r="P98" t="s">
        <v>59</v>
      </c>
      <c r="Q98" t="s">
        <v>24</v>
      </c>
      <c r="R98">
        <v>3</v>
      </c>
      <c r="S98" t="s">
        <v>37</v>
      </c>
      <c r="T98" s="4">
        <f t="shared" si="8"/>
        <v>74730</v>
      </c>
      <c r="U98" s="4" t="str">
        <f t="shared" si="9"/>
        <v>Average</v>
      </c>
      <c r="V98" s="4" t="str">
        <f t="shared" si="10"/>
        <v>Average</v>
      </c>
      <c r="W98" s="4"/>
      <c r="X98" s="4"/>
      <c r="AJ98" s="4"/>
    </row>
    <row r="99" spans="1:36">
      <c r="A99" t="str">
        <f t="shared" si="6"/>
        <v>Reen3898</v>
      </c>
      <c r="B99">
        <v>98</v>
      </c>
      <c r="C99">
        <v>5</v>
      </c>
      <c r="D99">
        <v>11</v>
      </c>
      <c r="E99">
        <v>2021</v>
      </c>
      <c r="F99" s="1">
        <f t="shared" si="7"/>
        <v>44505</v>
      </c>
      <c r="G99" s="1" t="s">
        <v>144</v>
      </c>
      <c r="H99" s="2">
        <v>44575</v>
      </c>
      <c r="I99" t="s">
        <v>49</v>
      </c>
      <c r="J99">
        <v>3</v>
      </c>
      <c r="K99">
        <v>55939.14</v>
      </c>
      <c r="L99" t="s">
        <v>161</v>
      </c>
      <c r="M99">
        <v>38</v>
      </c>
      <c r="N99" t="s">
        <v>21</v>
      </c>
      <c r="O99" s="3" t="s">
        <v>22</v>
      </c>
      <c r="P99" t="s">
        <v>64</v>
      </c>
      <c r="Q99" t="s">
        <v>56</v>
      </c>
      <c r="R99">
        <v>5</v>
      </c>
      <c r="S99" t="s">
        <v>88</v>
      </c>
      <c r="T99" s="4">
        <f t="shared" si="8"/>
        <v>167817.41999999998</v>
      </c>
      <c r="U99" s="4" t="str">
        <f t="shared" si="9"/>
        <v>Good</v>
      </c>
      <c r="V99" s="4" t="str">
        <f t="shared" si="10"/>
        <v>Good</v>
      </c>
      <c r="W99" s="4"/>
      <c r="X99" s="4"/>
      <c r="AJ99" s="4"/>
    </row>
    <row r="100" spans="1:36">
      <c r="A100" t="str">
        <f t="shared" si="6"/>
        <v>Nikh4699</v>
      </c>
      <c r="B100">
        <v>99</v>
      </c>
      <c r="C100">
        <v>6</v>
      </c>
      <c r="D100">
        <v>11</v>
      </c>
      <c r="E100">
        <v>2021</v>
      </c>
      <c r="F100" s="1">
        <f t="shared" si="7"/>
        <v>44506</v>
      </c>
      <c r="G100" s="1" t="s">
        <v>144</v>
      </c>
      <c r="H100" s="2">
        <v>44576</v>
      </c>
      <c r="I100" t="s">
        <v>19</v>
      </c>
      <c r="J100">
        <v>6</v>
      </c>
      <c r="K100">
        <v>14187.97</v>
      </c>
      <c r="L100" t="s">
        <v>162</v>
      </c>
      <c r="M100">
        <v>46</v>
      </c>
      <c r="N100" t="s">
        <v>61</v>
      </c>
      <c r="O100" s="3" t="s">
        <v>22</v>
      </c>
      <c r="P100" t="s">
        <v>137</v>
      </c>
      <c r="Q100" t="s">
        <v>56</v>
      </c>
      <c r="R100">
        <v>4</v>
      </c>
      <c r="S100" t="s">
        <v>37</v>
      </c>
      <c r="T100" s="4">
        <f t="shared" si="8"/>
        <v>85127.819999999992</v>
      </c>
      <c r="U100" s="4" t="str">
        <f t="shared" si="9"/>
        <v>Good</v>
      </c>
      <c r="V100" s="4" t="str">
        <f t="shared" si="10"/>
        <v>Average</v>
      </c>
      <c r="W100" s="4"/>
      <c r="X100" s="4"/>
      <c r="AJ100" s="4"/>
    </row>
    <row r="101" spans="1:36">
      <c r="A101" t="str">
        <f t="shared" si="6"/>
        <v>Kris38100</v>
      </c>
      <c r="B101">
        <v>100</v>
      </c>
      <c r="C101">
        <v>6</v>
      </c>
      <c r="D101">
        <v>11</v>
      </c>
      <c r="E101">
        <v>2021</v>
      </c>
      <c r="F101" s="1">
        <f t="shared" si="7"/>
        <v>44506</v>
      </c>
      <c r="G101" s="1" t="s">
        <v>144</v>
      </c>
      <c r="H101" s="2">
        <v>44577</v>
      </c>
      <c r="I101" t="s">
        <v>26</v>
      </c>
      <c r="J101">
        <v>8</v>
      </c>
      <c r="K101">
        <v>38722.1</v>
      </c>
      <c r="L101" t="s">
        <v>163</v>
      </c>
      <c r="M101">
        <v>38</v>
      </c>
      <c r="N101" t="s">
        <v>21</v>
      </c>
      <c r="O101" s="3" t="s">
        <v>55</v>
      </c>
      <c r="P101" t="s">
        <v>40</v>
      </c>
      <c r="Q101" t="s">
        <v>41</v>
      </c>
      <c r="R101">
        <v>2</v>
      </c>
      <c r="S101" t="s">
        <v>34</v>
      </c>
      <c r="T101" s="4">
        <f t="shared" si="8"/>
        <v>309776.8</v>
      </c>
      <c r="U101" s="4" t="str">
        <f t="shared" si="9"/>
        <v>Average</v>
      </c>
      <c r="V101" s="4" t="str">
        <f t="shared" si="10"/>
        <v>Excellent</v>
      </c>
      <c r="W101" s="4"/>
      <c r="X101" s="4"/>
      <c r="AJ101" s="4"/>
    </row>
    <row r="102" spans="1:36">
      <c r="A102" t="str">
        <f t="shared" si="6"/>
        <v>Ayes20101</v>
      </c>
      <c r="B102">
        <v>101</v>
      </c>
      <c r="C102">
        <v>6</v>
      </c>
      <c r="D102">
        <v>11</v>
      </c>
      <c r="E102">
        <v>2021</v>
      </c>
      <c r="F102" s="1">
        <f t="shared" si="7"/>
        <v>44506</v>
      </c>
      <c r="G102" s="1" t="s">
        <v>144</v>
      </c>
      <c r="H102" s="2">
        <v>44578</v>
      </c>
      <c r="I102" t="s">
        <v>26</v>
      </c>
      <c r="J102">
        <v>9</v>
      </c>
      <c r="K102">
        <v>20340.95</v>
      </c>
      <c r="L102" t="s">
        <v>164</v>
      </c>
      <c r="M102">
        <v>20</v>
      </c>
      <c r="N102" t="s">
        <v>36</v>
      </c>
      <c r="O102" s="3" t="s">
        <v>28</v>
      </c>
      <c r="P102" t="s">
        <v>132</v>
      </c>
      <c r="Q102" t="s">
        <v>24</v>
      </c>
      <c r="R102">
        <v>3</v>
      </c>
      <c r="S102" t="s">
        <v>31</v>
      </c>
      <c r="T102" s="4">
        <f t="shared" si="8"/>
        <v>183068.55000000002</v>
      </c>
      <c r="U102" s="4" t="str">
        <f t="shared" si="9"/>
        <v>Average</v>
      </c>
      <c r="V102" s="4" t="str">
        <f t="shared" si="10"/>
        <v>Good</v>
      </c>
      <c r="W102" s="4"/>
      <c r="X102" s="4"/>
      <c r="AJ102" s="4"/>
    </row>
    <row r="103" spans="1:36">
      <c r="A103" t="str">
        <f t="shared" si="6"/>
        <v>Bina48102</v>
      </c>
      <c r="B103">
        <v>102</v>
      </c>
      <c r="C103">
        <v>6</v>
      </c>
      <c r="D103">
        <v>11</v>
      </c>
      <c r="E103">
        <v>2021</v>
      </c>
      <c r="F103" s="1">
        <f t="shared" si="7"/>
        <v>44506</v>
      </c>
      <c r="G103" s="1" t="s">
        <v>144</v>
      </c>
      <c r="H103" s="2">
        <v>44579</v>
      </c>
      <c r="I103" t="s">
        <v>26</v>
      </c>
      <c r="J103">
        <v>1</v>
      </c>
      <c r="K103">
        <v>55140.11</v>
      </c>
      <c r="L103" t="s">
        <v>165</v>
      </c>
      <c r="M103">
        <v>48</v>
      </c>
      <c r="N103" t="s">
        <v>61</v>
      </c>
      <c r="O103" s="3" t="s">
        <v>22</v>
      </c>
      <c r="P103" t="s">
        <v>23</v>
      </c>
      <c r="Q103" t="s">
        <v>56</v>
      </c>
      <c r="R103">
        <v>5</v>
      </c>
      <c r="S103" t="s">
        <v>34</v>
      </c>
      <c r="T103" s="4">
        <f t="shared" si="8"/>
        <v>55140.11</v>
      </c>
      <c r="U103" s="4" t="str">
        <f t="shared" si="9"/>
        <v>Good</v>
      </c>
      <c r="V103" s="4" t="str">
        <f t="shared" si="10"/>
        <v>Average</v>
      </c>
      <c r="W103" s="4"/>
      <c r="X103" s="4"/>
      <c r="AJ103" s="4"/>
    </row>
    <row r="104" spans="1:36">
      <c r="A104" t="str">
        <f t="shared" si="6"/>
        <v>Kris44103</v>
      </c>
      <c r="B104">
        <v>103</v>
      </c>
      <c r="C104">
        <v>7</v>
      </c>
      <c r="D104">
        <v>11</v>
      </c>
      <c r="E104">
        <v>2021</v>
      </c>
      <c r="F104" s="1">
        <f t="shared" si="7"/>
        <v>44507</v>
      </c>
      <c r="G104" s="1" t="s">
        <v>144</v>
      </c>
      <c r="H104" s="2">
        <v>44580</v>
      </c>
      <c r="I104" t="s">
        <v>26</v>
      </c>
      <c r="J104">
        <v>3</v>
      </c>
      <c r="K104">
        <v>64695.47</v>
      </c>
      <c r="L104" t="s">
        <v>166</v>
      </c>
      <c r="M104">
        <v>44</v>
      </c>
      <c r="N104" t="s">
        <v>21</v>
      </c>
      <c r="O104" s="3" t="s">
        <v>28</v>
      </c>
      <c r="P104" t="s">
        <v>51</v>
      </c>
      <c r="Q104" t="s">
        <v>24</v>
      </c>
      <c r="R104">
        <v>3</v>
      </c>
      <c r="S104" t="s">
        <v>31</v>
      </c>
      <c r="T104" s="4">
        <f t="shared" si="8"/>
        <v>194086.41</v>
      </c>
      <c r="U104" s="4" t="str">
        <f t="shared" si="9"/>
        <v>Average</v>
      </c>
      <c r="V104" s="4" t="str">
        <f t="shared" si="10"/>
        <v>Good</v>
      </c>
      <c r="W104" s="4"/>
      <c r="X104" s="4"/>
      <c r="AJ104" s="4"/>
    </row>
    <row r="105" spans="1:36">
      <c r="A105" t="str">
        <f t="shared" si="6"/>
        <v>Mala44104</v>
      </c>
      <c r="B105">
        <v>104</v>
      </c>
      <c r="C105">
        <v>7</v>
      </c>
      <c r="D105">
        <v>11</v>
      </c>
      <c r="E105">
        <v>2021</v>
      </c>
      <c r="F105" s="1">
        <f t="shared" si="7"/>
        <v>44507</v>
      </c>
      <c r="G105" s="1" t="s">
        <v>144</v>
      </c>
      <c r="H105" s="2">
        <v>44581</v>
      </c>
      <c r="I105" t="s">
        <v>38</v>
      </c>
      <c r="J105">
        <v>3</v>
      </c>
      <c r="K105">
        <v>43247.57</v>
      </c>
      <c r="L105" t="s">
        <v>167</v>
      </c>
      <c r="M105">
        <v>44</v>
      </c>
      <c r="N105" t="s">
        <v>21</v>
      </c>
      <c r="O105" s="3" t="s">
        <v>22</v>
      </c>
      <c r="P105" t="s">
        <v>40</v>
      </c>
      <c r="Q105" t="s">
        <v>30</v>
      </c>
      <c r="R105">
        <v>5</v>
      </c>
      <c r="S105" t="s">
        <v>42</v>
      </c>
      <c r="T105" s="4">
        <f t="shared" si="8"/>
        <v>129742.70999999999</v>
      </c>
      <c r="U105" s="4" t="str">
        <f t="shared" si="9"/>
        <v>Good</v>
      </c>
      <c r="V105" s="4" t="str">
        <f t="shared" si="10"/>
        <v>Good</v>
      </c>
      <c r="W105" s="4"/>
      <c r="X105" s="4"/>
      <c r="AJ105" s="4"/>
    </row>
    <row r="106" spans="1:36">
      <c r="A106" t="str">
        <f t="shared" si="6"/>
        <v>Anit26105</v>
      </c>
      <c r="B106">
        <v>105</v>
      </c>
      <c r="C106">
        <v>7</v>
      </c>
      <c r="D106">
        <v>11</v>
      </c>
      <c r="E106">
        <v>2021</v>
      </c>
      <c r="F106" s="1">
        <f t="shared" si="7"/>
        <v>44507</v>
      </c>
      <c r="G106" s="1" t="s">
        <v>144</v>
      </c>
      <c r="H106" s="2">
        <v>44582</v>
      </c>
      <c r="I106" t="s">
        <v>49</v>
      </c>
      <c r="J106">
        <v>8</v>
      </c>
      <c r="K106">
        <v>41628.839999999997</v>
      </c>
      <c r="L106" t="s">
        <v>168</v>
      </c>
      <c r="M106">
        <v>26</v>
      </c>
      <c r="N106" t="s">
        <v>36</v>
      </c>
      <c r="O106" s="3" t="s">
        <v>55</v>
      </c>
      <c r="P106" t="s">
        <v>114</v>
      </c>
      <c r="Q106" t="s">
        <v>41</v>
      </c>
      <c r="R106">
        <v>2</v>
      </c>
      <c r="S106" t="s">
        <v>88</v>
      </c>
      <c r="T106" s="4">
        <f t="shared" si="8"/>
        <v>333030.71999999997</v>
      </c>
      <c r="U106" s="4" t="str">
        <f t="shared" si="9"/>
        <v>Average</v>
      </c>
      <c r="V106" s="4" t="str">
        <f t="shared" si="10"/>
        <v>Excellent</v>
      </c>
      <c r="W106" s="4"/>
      <c r="X106" s="4"/>
      <c r="AJ106" s="4"/>
    </row>
    <row r="107" spans="1:36">
      <c r="A107" t="str">
        <f t="shared" si="6"/>
        <v>Nikh50106</v>
      </c>
      <c r="B107">
        <v>106</v>
      </c>
      <c r="C107">
        <v>7</v>
      </c>
      <c r="D107">
        <v>11</v>
      </c>
      <c r="E107">
        <v>2021</v>
      </c>
      <c r="F107" s="1">
        <f t="shared" si="7"/>
        <v>44507</v>
      </c>
      <c r="G107" s="1" t="s">
        <v>144</v>
      </c>
      <c r="H107" s="2">
        <v>44583</v>
      </c>
      <c r="I107" t="s">
        <v>19</v>
      </c>
      <c r="J107">
        <v>1</v>
      </c>
      <c r="K107">
        <v>55837.79</v>
      </c>
      <c r="L107" t="s">
        <v>169</v>
      </c>
      <c r="M107">
        <v>50</v>
      </c>
      <c r="N107" t="s">
        <v>61</v>
      </c>
      <c r="O107" s="3" t="s">
        <v>28</v>
      </c>
      <c r="P107" t="s">
        <v>33</v>
      </c>
      <c r="Q107" t="s">
        <v>24</v>
      </c>
      <c r="R107">
        <v>3</v>
      </c>
      <c r="S107" t="s">
        <v>84</v>
      </c>
      <c r="T107" s="4">
        <f t="shared" si="8"/>
        <v>55837.79</v>
      </c>
      <c r="U107" s="4" t="str">
        <f t="shared" si="9"/>
        <v>Average</v>
      </c>
      <c r="V107" s="4" t="str">
        <f t="shared" si="10"/>
        <v>Average</v>
      </c>
      <c r="W107" s="4"/>
      <c r="X107" s="4"/>
      <c r="AJ107" s="4"/>
    </row>
    <row r="108" spans="1:36">
      <c r="A108" t="str">
        <f t="shared" si="6"/>
        <v>Shru50107</v>
      </c>
      <c r="B108">
        <v>107</v>
      </c>
      <c r="C108">
        <v>8</v>
      </c>
      <c r="D108">
        <v>11</v>
      </c>
      <c r="E108">
        <v>2021</v>
      </c>
      <c r="F108" s="1">
        <f t="shared" si="7"/>
        <v>44508</v>
      </c>
      <c r="G108" s="1" t="s">
        <v>144</v>
      </c>
      <c r="H108" s="2">
        <v>44584</v>
      </c>
      <c r="I108" t="s">
        <v>19</v>
      </c>
      <c r="J108">
        <v>5</v>
      </c>
      <c r="K108">
        <v>10304.73</v>
      </c>
      <c r="L108" t="s">
        <v>92</v>
      </c>
      <c r="M108">
        <v>50</v>
      </c>
      <c r="N108" t="s">
        <v>61</v>
      </c>
      <c r="O108" s="3" t="s">
        <v>22</v>
      </c>
      <c r="P108" t="s">
        <v>132</v>
      </c>
      <c r="Q108" t="s">
        <v>30</v>
      </c>
      <c r="R108">
        <v>5</v>
      </c>
      <c r="S108" t="s">
        <v>37</v>
      </c>
      <c r="T108" s="4">
        <f t="shared" si="8"/>
        <v>51523.649999999994</v>
      </c>
      <c r="U108" s="4" t="str">
        <f t="shared" si="9"/>
        <v>Good</v>
      </c>
      <c r="V108" s="4" t="str">
        <f t="shared" si="10"/>
        <v>Average</v>
      </c>
      <c r="W108" s="4"/>
      <c r="X108" s="4"/>
      <c r="AJ108" s="4"/>
    </row>
    <row r="109" spans="1:36">
      <c r="A109" t="str">
        <f t="shared" si="6"/>
        <v>Kira43108</v>
      </c>
      <c r="B109">
        <v>108</v>
      </c>
      <c r="C109">
        <v>8</v>
      </c>
      <c r="D109">
        <v>11</v>
      </c>
      <c r="E109">
        <v>2021</v>
      </c>
      <c r="F109" s="1">
        <f t="shared" si="7"/>
        <v>44508</v>
      </c>
      <c r="G109" s="1" t="s">
        <v>144</v>
      </c>
      <c r="H109" s="2">
        <v>44585</v>
      </c>
      <c r="I109" t="s">
        <v>26</v>
      </c>
      <c r="J109">
        <v>3</v>
      </c>
      <c r="K109">
        <v>65065.52</v>
      </c>
      <c r="L109" t="s">
        <v>170</v>
      </c>
      <c r="M109">
        <v>43</v>
      </c>
      <c r="N109" t="s">
        <v>21</v>
      </c>
      <c r="O109" s="3" t="s">
        <v>22</v>
      </c>
      <c r="P109" t="s">
        <v>29</v>
      </c>
      <c r="Q109" t="s">
        <v>30</v>
      </c>
      <c r="R109">
        <v>5</v>
      </c>
      <c r="S109" t="s">
        <v>34</v>
      </c>
      <c r="T109" s="4">
        <f t="shared" si="8"/>
        <v>195196.56</v>
      </c>
      <c r="U109" s="4" t="str">
        <f t="shared" si="9"/>
        <v>Good</v>
      </c>
      <c r="V109" s="4" t="str">
        <f t="shared" si="10"/>
        <v>Good</v>
      </c>
      <c r="W109" s="4"/>
      <c r="X109" s="4"/>
      <c r="AJ109" s="4"/>
    </row>
    <row r="110" spans="1:36">
      <c r="A110" t="str">
        <f t="shared" si="6"/>
        <v>Kira45109</v>
      </c>
      <c r="B110">
        <v>109</v>
      </c>
      <c r="C110">
        <v>8</v>
      </c>
      <c r="D110">
        <v>11</v>
      </c>
      <c r="E110">
        <v>2021</v>
      </c>
      <c r="F110" s="1">
        <f t="shared" si="7"/>
        <v>44508</v>
      </c>
      <c r="G110" s="1" t="s">
        <v>144</v>
      </c>
      <c r="H110" s="2">
        <v>44586</v>
      </c>
      <c r="I110" t="s">
        <v>26</v>
      </c>
      <c r="J110">
        <v>2</v>
      </c>
      <c r="K110">
        <v>21846.93</v>
      </c>
      <c r="L110" t="s">
        <v>171</v>
      </c>
      <c r="M110">
        <v>45</v>
      </c>
      <c r="N110" t="s">
        <v>21</v>
      </c>
      <c r="O110" s="3" t="s">
        <v>28</v>
      </c>
      <c r="P110" t="s">
        <v>90</v>
      </c>
      <c r="Q110" t="s">
        <v>24</v>
      </c>
      <c r="R110">
        <v>3</v>
      </c>
      <c r="S110" t="s">
        <v>67</v>
      </c>
      <c r="T110" s="4">
        <f t="shared" si="8"/>
        <v>43693.86</v>
      </c>
      <c r="U110" s="4" t="str">
        <f t="shared" si="9"/>
        <v>Average</v>
      </c>
      <c r="V110" s="4" t="str">
        <f t="shared" si="10"/>
        <v>Low</v>
      </c>
      <c r="W110" s="4"/>
      <c r="X110" s="4"/>
      <c r="AJ110" s="4"/>
    </row>
    <row r="111" spans="1:36">
      <c r="A111" t="str">
        <f t="shared" si="6"/>
        <v>Suni48110</v>
      </c>
      <c r="B111">
        <v>110</v>
      </c>
      <c r="C111">
        <v>9</v>
      </c>
      <c r="D111">
        <v>11</v>
      </c>
      <c r="E111">
        <v>2021</v>
      </c>
      <c r="F111" s="1">
        <f t="shared" si="7"/>
        <v>44509</v>
      </c>
      <c r="G111" s="1" t="s">
        <v>144</v>
      </c>
      <c r="H111" s="2">
        <v>44587</v>
      </c>
      <c r="I111" t="s">
        <v>43</v>
      </c>
      <c r="J111">
        <v>8</v>
      </c>
      <c r="K111">
        <v>69047.13</v>
      </c>
      <c r="L111" t="s">
        <v>172</v>
      </c>
      <c r="M111">
        <v>48</v>
      </c>
      <c r="N111" t="s">
        <v>61</v>
      </c>
      <c r="O111" s="3" t="s">
        <v>22</v>
      </c>
      <c r="P111" t="s">
        <v>40</v>
      </c>
      <c r="Q111" t="s">
        <v>24</v>
      </c>
      <c r="R111">
        <v>5</v>
      </c>
      <c r="S111" t="s">
        <v>95</v>
      </c>
      <c r="T111" s="4">
        <f t="shared" si="8"/>
        <v>552377.04</v>
      </c>
      <c r="U111" s="4" t="str">
        <f t="shared" si="9"/>
        <v>Good</v>
      </c>
      <c r="V111" s="4" t="str">
        <f t="shared" si="10"/>
        <v>Excellent</v>
      </c>
      <c r="W111" s="4"/>
      <c r="X111" s="4"/>
      <c r="AJ111" s="4"/>
    </row>
    <row r="112" spans="1:36">
      <c r="A112" t="str">
        <f t="shared" si="6"/>
        <v>Mano18111</v>
      </c>
      <c r="B112">
        <v>111</v>
      </c>
      <c r="C112">
        <v>9</v>
      </c>
      <c r="D112">
        <v>11</v>
      </c>
      <c r="E112">
        <v>2021</v>
      </c>
      <c r="F112" s="1">
        <f t="shared" si="7"/>
        <v>44509</v>
      </c>
      <c r="G112" s="1" t="s">
        <v>144</v>
      </c>
      <c r="H112" s="2">
        <v>44588</v>
      </c>
      <c r="I112" t="s">
        <v>49</v>
      </c>
      <c r="J112">
        <v>3</v>
      </c>
      <c r="K112">
        <v>54175.24</v>
      </c>
      <c r="L112" t="s">
        <v>173</v>
      </c>
      <c r="M112">
        <v>18</v>
      </c>
      <c r="N112" t="s">
        <v>36</v>
      </c>
      <c r="O112" s="3" t="s">
        <v>28</v>
      </c>
      <c r="P112" t="s">
        <v>110</v>
      </c>
      <c r="Q112" t="s">
        <v>41</v>
      </c>
      <c r="R112">
        <v>3</v>
      </c>
      <c r="S112" t="s">
        <v>102</v>
      </c>
      <c r="T112" s="4">
        <f t="shared" si="8"/>
        <v>162525.72</v>
      </c>
      <c r="U112" s="4" t="str">
        <f t="shared" si="9"/>
        <v>Average</v>
      </c>
      <c r="V112" s="4" t="str">
        <f t="shared" si="10"/>
        <v>Good</v>
      </c>
      <c r="W112" s="4"/>
      <c r="X112" s="4"/>
      <c r="AJ112" s="4"/>
    </row>
    <row r="113" spans="1:36">
      <c r="A113" t="str">
        <f t="shared" si="6"/>
        <v>Tapa37112</v>
      </c>
      <c r="B113">
        <v>112</v>
      </c>
      <c r="C113">
        <v>9</v>
      </c>
      <c r="D113">
        <v>11</v>
      </c>
      <c r="E113">
        <v>2021</v>
      </c>
      <c r="F113" s="1">
        <f t="shared" si="7"/>
        <v>44509</v>
      </c>
      <c r="G113" s="1" t="s">
        <v>144</v>
      </c>
      <c r="H113" s="2">
        <v>44589</v>
      </c>
      <c r="I113" t="s">
        <v>38</v>
      </c>
      <c r="J113">
        <v>7</v>
      </c>
      <c r="K113">
        <v>56455.07</v>
      </c>
      <c r="L113" t="s">
        <v>174</v>
      </c>
      <c r="M113">
        <v>37</v>
      </c>
      <c r="N113" t="s">
        <v>21</v>
      </c>
      <c r="O113" s="3" t="s">
        <v>22</v>
      </c>
      <c r="P113" t="s">
        <v>40</v>
      </c>
      <c r="Q113" t="s">
        <v>41</v>
      </c>
      <c r="R113">
        <v>5</v>
      </c>
      <c r="S113" t="s">
        <v>99</v>
      </c>
      <c r="T113" s="4">
        <f t="shared" si="8"/>
        <v>395185.49</v>
      </c>
      <c r="U113" s="4" t="str">
        <f t="shared" si="9"/>
        <v>Good</v>
      </c>
      <c r="V113" s="4" t="str">
        <f t="shared" si="10"/>
        <v>Excellent</v>
      </c>
      <c r="W113" s="4"/>
      <c r="X113" s="4"/>
      <c r="AJ113" s="4"/>
    </row>
    <row r="114" spans="1:36">
      <c r="A114" t="str">
        <f t="shared" si="6"/>
        <v>Anja29113</v>
      </c>
      <c r="B114">
        <v>113</v>
      </c>
      <c r="C114">
        <v>10</v>
      </c>
      <c r="D114">
        <v>11</v>
      </c>
      <c r="E114">
        <v>2021</v>
      </c>
      <c r="F114" s="1">
        <f t="shared" si="7"/>
        <v>44510</v>
      </c>
      <c r="G114" s="1" t="s">
        <v>144</v>
      </c>
      <c r="H114" s="2">
        <v>44590</v>
      </c>
      <c r="I114" t="s">
        <v>19</v>
      </c>
      <c r="J114">
        <v>1</v>
      </c>
      <c r="K114">
        <v>49372.18</v>
      </c>
      <c r="L114" t="s">
        <v>159</v>
      </c>
      <c r="M114">
        <v>29</v>
      </c>
      <c r="N114" t="s">
        <v>36</v>
      </c>
      <c r="O114" s="3" t="s">
        <v>28</v>
      </c>
      <c r="P114" t="s">
        <v>29</v>
      </c>
      <c r="Q114" t="s">
        <v>56</v>
      </c>
      <c r="R114">
        <v>3</v>
      </c>
      <c r="S114" t="s">
        <v>84</v>
      </c>
      <c r="T114" s="4">
        <f t="shared" si="8"/>
        <v>49372.18</v>
      </c>
      <c r="U114" s="4" t="str">
        <f t="shared" si="9"/>
        <v>Average</v>
      </c>
      <c r="V114" s="4" t="str">
        <f t="shared" si="10"/>
        <v>Low</v>
      </c>
      <c r="W114" s="4"/>
      <c r="X114" s="4"/>
      <c r="AJ114" s="4"/>
    </row>
    <row r="115" spans="1:36">
      <c r="A115" t="str">
        <f t="shared" si="6"/>
        <v>Isha34114</v>
      </c>
      <c r="B115">
        <v>114</v>
      </c>
      <c r="C115">
        <v>10</v>
      </c>
      <c r="D115">
        <v>11</v>
      </c>
      <c r="E115">
        <v>2021</v>
      </c>
      <c r="F115" s="1">
        <f t="shared" si="7"/>
        <v>44510</v>
      </c>
      <c r="G115" s="1" t="s">
        <v>144</v>
      </c>
      <c r="H115" s="2">
        <v>44591</v>
      </c>
      <c r="I115" t="s">
        <v>43</v>
      </c>
      <c r="J115">
        <v>6</v>
      </c>
      <c r="K115">
        <v>38299.79</v>
      </c>
      <c r="L115" t="s">
        <v>82</v>
      </c>
      <c r="M115">
        <v>34</v>
      </c>
      <c r="N115" t="s">
        <v>21</v>
      </c>
      <c r="O115" s="3" t="s">
        <v>22</v>
      </c>
      <c r="P115" t="s">
        <v>93</v>
      </c>
      <c r="Q115" t="s">
        <v>41</v>
      </c>
      <c r="R115">
        <v>5</v>
      </c>
      <c r="S115" t="s">
        <v>46</v>
      </c>
      <c r="T115" s="4">
        <f t="shared" si="8"/>
        <v>229798.74</v>
      </c>
      <c r="U115" s="4" t="str">
        <f t="shared" si="9"/>
        <v>Good</v>
      </c>
      <c r="V115" s="4" t="str">
        <f t="shared" si="10"/>
        <v>Excellent</v>
      </c>
      <c r="W115" s="4"/>
      <c r="X115" s="4"/>
      <c r="AJ115" s="4"/>
    </row>
    <row r="116" spans="1:36">
      <c r="A116" t="str">
        <f t="shared" si="6"/>
        <v>Vino32115</v>
      </c>
      <c r="B116">
        <v>115</v>
      </c>
      <c r="C116">
        <v>10</v>
      </c>
      <c r="D116">
        <v>11</v>
      </c>
      <c r="E116">
        <v>2021</v>
      </c>
      <c r="F116" s="1">
        <f t="shared" si="7"/>
        <v>44510</v>
      </c>
      <c r="G116" s="1" t="s">
        <v>144</v>
      </c>
      <c r="H116" s="2">
        <v>44592</v>
      </c>
      <c r="I116" t="s">
        <v>43</v>
      </c>
      <c r="J116">
        <v>3</v>
      </c>
      <c r="K116">
        <v>44297.66</v>
      </c>
      <c r="L116" t="s">
        <v>175</v>
      </c>
      <c r="M116">
        <v>32</v>
      </c>
      <c r="N116" t="s">
        <v>21</v>
      </c>
      <c r="O116" s="3" t="s">
        <v>22</v>
      </c>
      <c r="P116" t="s">
        <v>33</v>
      </c>
      <c r="Q116" t="s">
        <v>24</v>
      </c>
      <c r="R116">
        <v>4</v>
      </c>
      <c r="S116" t="s">
        <v>95</v>
      </c>
      <c r="T116" s="4">
        <f t="shared" si="8"/>
        <v>132892.98000000001</v>
      </c>
      <c r="U116" s="4" t="str">
        <f t="shared" si="9"/>
        <v>Good</v>
      </c>
      <c r="V116" s="4" t="str">
        <f t="shared" si="10"/>
        <v>Good</v>
      </c>
      <c r="W116" s="4"/>
      <c r="X116" s="4"/>
      <c r="AJ116" s="4"/>
    </row>
    <row r="117" spans="1:36">
      <c r="A117" t="str">
        <f t="shared" si="6"/>
        <v>Kris51116</v>
      </c>
      <c r="B117">
        <v>116</v>
      </c>
      <c r="C117">
        <v>10</v>
      </c>
      <c r="D117">
        <v>11</v>
      </c>
      <c r="E117">
        <v>2021</v>
      </c>
      <c r="F117" s="1">
        <f t="shared" si="7"/>
        <v>44510</v>
      </c>
      <c r="G117" s="1" t="s">
        <v>144</v>
      </c>
      <c r="H117" s="2">
        <v>44593</v>
      </c>
      <c r="I117" t="s">
        <v>19</v>
      </c>
      <c r="J117">
        <v>8</v>
      </c>
      <c r="K117">
        <v>12784.17</v>
      </c>
      <c r="L117" t="s">
        <v>176</v>
      </c>
      <c r="M117">
        <v>51</v>
      </c>
      <c r="N117" t="s">
        <v>61</v>
      </c>
      <c r="O117" s="3" t="s">
        <v>28</v>
      </c>
      <c r="P117" t="s">
        <v>29</v>
      </c>
      <c r="Q117" t="s">
        <v>56</v>
      </c>
      <c r="R117">
        <v>3</v>
      </c>
      <c r="S117" t="s">
        <v>25</v>
      </c>
      <c r="T117" s="4">
        <f t="shared" si="8"/>
        <v>102273.36</v>
      </c>
      <c r="U117" s="4" t="str">
        <f t="shared" si="9"/>
        <v>Average</v>
      </c>
      <c r="V117" s="4" t="str">
        <f t="shared" si="10"/>
        <v>Good</v>
      </c>
      <c r="W117" s="4"/>
      <c r="X117" s="4"/>
      <c r="AJ117" s="4"/>
    </row>
    <row r="118" spans="1:36">
      <c r="A118" t="str">
        <f t="shared" si="6"/>
        <v>Jyot33117</v>
      </c>
      <c r="B118">
        <v>117</v>
      </c>
      <c r="C118">
        <v>11</v>
      </c>
      <c r="D118">
        <v>11</v>
      </c>
      <c r="E118">
        <v>2021</v>
      </c>
      <c r="F118" s="1">
        <f t="shared" si="7"/>
        <v>44511</v>
      </c>
      <c r="G118" s="1" t="s">
        <v>144</v>
      </c>
      <c r="H118" s="2">
        <v>44594</v>
      </c>
      <c r="I118" t="s">
        <v>38</v>
      </c>
      <c r="J118">
        <v>6</v>
      </c>
      <c r="K118">
        <v>47437.57</v>
      </c>
      <c r="L118" t="s">
        <v>177</v>
      </c>
      <c r="M118">
        <v>33</v>
      </c>
      <c r="N118" t="s">
        <v>21</v>
      </c>
      <c r="O118" s="3" t="s">
        <v>22</v>
      </c>
      <c r="P118" t="s">
        <v>29</v>
      </c>
      <c r="Q118" t="s">
        <v>30</v>
      </c>
      <c r="R118">
        <v>5</v>
      </c>
      <c r="S118" t="s">
        <v>48</v>
      </c>
      <c r="T118" s="4">
        <f t="shared" si="8"/>
        <v>284625.42</v>
      </c>
      <c r="U118" s="4" t="str">
        <f t="shared" si="9"/>
        <v>Good</v>
      </c>
      <c r="V118" s="4" t="str">
        <f t="shared" si="10"/>
        <v>Excellent</v>
      </c>
      <c r="W118" s="4"/>
      <c r="X118" s="4"/>
      <c r="AJ118" s="4"/>
    </row>
    <row r="119" spans="1:36">
      <c r="A119" t="str">
        <f t="shared" si="6"/>
        <v>Pank21118</v>
      </c>
      <c r="B119">
        <v>118</v>
      </c>
      <c r="C119">
        <v>11</v>
      </c>
      <c r="D119">
        <v>11</v>
      </c>
      <c r="E119">
        <v>2021</v>
      </c>
      <c r="F119" s="1">
        <f t="shared" si="7"/>
        <v>44511</v>
      </c>
      <c r="G119" s="1" t="s">
        <v>144</v>
      </c>
      <c r="H119" s="2">
        <v>44595</v>
      </c>
      <c r="I119" t="s">
        <v>43</v>
      </c>
      <c r="J119">
        <v>2</v>
      </c>
      <c r="K119">
        <v>47565.89</v>
      </c>
      <c r="L119" t="s">
        <v>178</v>
      </c>
      <c r="M119">
        <v>21</v>
      </c>
      <c r="N119" t="s">
        <v>36</v>
      </c>
      <c r="O119" s="3" t="s">
        <v>28</v>
      </c>
      <c r="P119" t="s">
        <v>29</v>
      </c>
      <c r="Q119" t="s">
        <v>30</v>
      </c>
      <c r="R119">
        <v>3</v>
      </c>
      <c r="S119" t="s">
        <v>95</v>
      </c>
      <c r="T119" s="4">
        <f t="shared" si="8"/>
        <v>95131.78</v>
      </c>
      <c r="U119" s="4" t="str">
        <f t="shared" si="9"/>
        <v>Average</v>
      </c>
      <c r="V119" s="4" t="str">
        <f t="shared" si="10"/>
        <v>Average</v>
      </c>
      <c r="W119" s="4"/>
      <c r="X119" s="4"/>
      <c r="AJ119" s="4"/>
    </row>
    <row r="120" spans="1:36">
      <c r="A120" t="str">
        <f t="shared" si="6"/>
        <v>Anja25119</v>
      </c>
      <c r="B120">
        <v>119</v>
      </c>
      <c r="C120">
        <v>11</v>
      </c>
      <c r="D120">
        <v>11</v>
      </c>
      <c r="E120">
        <v>2021</v>
      </c>
      <c r="F120" s="1">
        <f t="shared" si="7"/>
        <v>44511</v>
      </c>
      <c r="G120" s="1" t="s">
        <v>144</v>
      </c>
      <c r="H120" s="2">
        <v>44596</v>
      </c>
      <c r="I120" t="s">
        <v>43</v>
      </c>
      <c r="J120">
        <v>6</v>
      </c>
      <c r="K120">
        <v>63472.05</v>
      </c>
      <c r="L120" t="s">
        <v>179</v>
      </c>
      <c r="M120">
        <v>25</v>
      </c>
      <c r="N120" t="s">
        <v>36</v>
      </c>
      <c r="O120" s="3" t="s">
        <v>22</v>
      </c>
      <c r="P120" t="s">
        <v>40</v>
      </c>
      <c r="Q120" t="s">
        <v>24</v>
      </c>
      <c r="R120">
        <v>5</v>
      </c>
      <c r="S120" t="s">
        <v>46</v>
      </c>
      <c r="T120" s="4">
        <f t="shared" si="8"/>
        <v>380832.30000000005</v>
      </c>
      <c r="U120" s="4" t="str">
        <f t="shared" si="9"/>
        <v>Good</v>
      </c>
      <c r="V120" s="4" t="str">
        <f t="shared" si="10"/>
        <v>Excellent</v>
      </c>
      <c r="W120" s="4"/>
      <c r="X120" s="4"/>
      <c r="AJ120" s="4"/>
    </row>
    <row r="121" spans="1:36">
      <c r="A121" t="str">
        <f t="shared" si="6"/>
        <v>Anit51120</v>
      </c>
      <c r="B121">
        <v>120</v>
      </c>
      <c r="C121">
        <v>11</v>
      </c>
      <c r="D121">
        <v>11</v>
      </c>
      <c r="E121">
        <v>2021</v>
      </c>
      <c r="F121" s="1">
        <f t="shared" si="7"/>
        <v>44511</v>
      </c>
      <c r="G121" s="1" t="s">
        <v>144</v>
      </c>
      <c r="H121" s="2">
        <v>44597</v>
      </c>
      <c r="I121" t="s">
        <v>49</v>
      </c>
      <c r="J121">
        <v>7</v>
      </c>
      <c r="K121">
        <v>40339.379999999997</v>
      </c>
      <c r="L121" t="s">
        <v>180</v>
      </c>
      <c r="M121">
        <v>51</v>
      </c>
      <c r="N121" t="s">
        <v>61</v>
      </c>
      <c r="O121" s="3" t="s">
        <v>55</v>
      </c>
      <c r="P121" t="s">
        <v>66</v>
      </c>
      <c r="Q121" t="s">
        <v>56</v>
      </c>
      <c r="R121">
        <v>2</v>
      </c>
      <c r="S121" t="s">
        <v>88</v>
      </c>
      <c r="T121" s="4">
        <f t="shared" si="8"/>
        <v>282375.65999999997</v>
      </c>
      <c r="U121" s="4" t="str">
        <f t="shared" si="9"/>
        <v>Average</v>
      </c>
      <c r="V121" s="4" t="str">
        <f t="shared" si="10"/>
        <v>Excellent</v>
      </c>
      <c r="W121" s="4"/>
      <c r="X121" s="4"/>
      <c r="AJ121" s="4"/>
    </row>
    <row r="122" spans="1:36">
      <c r="A122" t="str">
        <f t="shared" si="6"/>
        <v>Arun42121</v>
      </c>
      <c r="B122">
        <v>121</v>
      </c>
      <c r="C122">
        <v>12</v>
      </c>
      <c r="D122">
        <v>11</v>
      </c>
      <c r="E122">
        <v>2021</v>
      </c>
      <c r="F122" s="1">
        <f t="shared" si="7"/>
        <v>44512</v>
      </c>
      <c r="G122" s="1" t="s">
        <v>144</v>
      </c>
      <c r="H122" s="2">
        <v>44598</v>
      </c>
      <c r="I122" t="s">
        <v>38</v>
      </c>
      <c r="J122">
        <v>5</v>
      </c>
      <c r="K122">
        <v>14628.66</v>
      </c>
      <c r="L122" t="s">
        <v>181</v>
      </c>
      <c r="M122">
        <v>42</v>
      </c>
      <c r="N122" t="s">
        <v>21</v>
      </c>
      <c r="O122" s="3" t="s">
        <v>28</v>
      </c>
      <c r="P122" t="s">
        <v>77</v>
      </c>
      <c r="Q122" t="s">
        <v>56</v>
      </c>
      <c r="R122">
        <v>3</v>
      </c>
      <c r="S122" t="s">
        <v>48</v>
      </c>
      <c r="T122" s="4">
        <f t="shared" si="8"/>
        <v>73143.3</v>
      </c>
      <c r="U122" s="4" t="str">
        <f t="shared" si="9"/>
        <v>Average</v>
      </c>
      <c r="V122" s="4" t="str">
        <f t="shared" si="10"/>
        <v>Average</v>
      </c>
      <c r="W122" s="4"/>
      <c r="X122" s="4"/>
      <c r="AJ122" s="4"/>
    </row>
    <row r="123" spans="1:36">
      <c r="A123" t="str">
        <f t="shared" si="6"/>
        <v>Yoge32122</v>
      </c>
      <c r="B123">
        <v>122</v>
      </c>
      <c r="C123">
        <v>12</v>
      </c>
      <c r="D123">
        <v>11</v>
      </c>
      <c r="E123">
        <v>2021</v>
      </c>
      <c r="F123" s="1">
        <f t="shared" si="7"/>
        <v>44512</v>
      </c>
      <c r="G123" s="1" t="s">
        <v>144</v>
      </c>
      <c r="H123" s="2">
        <v>44599</v>
      </c>
      <c r="I123" t="s">
        <v>43</v>
      </c>
      <c r="J123">
        <v>3</v>
      </c>
      <c r="K123">
        <v>28371.759999999998</v>
      </c>
      <c r="L123" t="s">
        <v>182</v>
      </c>
      <c r="M123">
        <v>32</v>
      </c>
      <c r="N123" t="s">
        <v>21</v>
      </c>
      <c r="O123" s="3" t="s">
        <v>22</v>
      </c>
      <c r="P123" t="s">
        <v>64</v>
      </c>
      <c r="Q123" t="s">
        <v>41</v>
      </c>
      <c r="R123">
        <v>5</v>
      </c>
      <c r="S123" t="s">
        <v>57</v>
      </c>
      <c r="T123" s="4">
        <f t="shared" si="8"/>
        <v>85115.28</v>
      </c>
      <c r="U123" s="4" t="str">
        <f t="shared" si="9"/>
        <v>Good</v>
      </c>
      <c r="V123" s="4" t="str">
        <f t="shared" si="10"/>
        <v>Average</v>
      </c>
      <c r="W123" s="4"/>
      <c r="X123" s="4"/>
      <c r="AJ123" s="4"/>
    </row>
    <row r="124" spans="1:36">
      <c r="A124" t="str">
        <f t="shared" si="6"/>
        <v>Sach45123</v>
      </c>
      <c r="B124">
        <v>123</v>
      </c>
      <c r="C124">
        <v>12</v>
      </c>
      <c r="D124">
        <v>11</v>
      </c>
      <c r="E124">
        <v>2021</v>
      </c>
      <c r="F124" s="1">
        <f t="shared" si="7"/>
        <v>44512</v>
      </c>
      <c r="G124" s="1" t="s">
        <v>144</v>
      </c>
      <c r="H124" s="2">
        <v>44600</v>
      </c>
      <c r="I124" t="s">
        <v>38</v>
      </c>
      <c r="J124">
        <v>4</v>
      </c>
      <c r="K124">
        <v>49337.760000000002</v>
      </c>
      <c r="L124" t="s">
        <v>183</v>
      </c>
      <c r="M124">
        <v>45</v>
      </c>
      <c r="N124" t="s">
        <v>21</v>
      </c>
      <c r="O124" s="3" t="s">
        <v>22</v>
      </c>
      <c r="P124" t="s">
        <v>33</v>
      </c>
      <c r="Q124" t="s">
        <v>30</v>
      </c>
      <c r="R124">
        <v>5</v>
      </c>
      <c r="S124" t="s">
        <v>99</v>
      </c>
      <c r="T124" s="4">
        <f t="shared" si="8"/>
        <v>197351.04000000001</v>
      </c>
      <c r="U124" s="4" t="str">
        <f t="shared" si="9"/>
        <v>Good</v>
      </c>
      <c r="V124" s="4" t="str">
        <f t="shared" si="10"/>
        <v>Good</v>
      </c>
      <c r="W124" s="4"/>
      <c r="X124" s="4"/>
      <c r="AJ124" s="4"/>
    </row>
    <row r="125" spans="1:36">
      <c r="A125" t="str">
        <f t="shared" si="6"/>
        <v>Sumi26124</v>
      </c>
      <c r="B125">
        <v>124</v>
      </c>
      <c r="C125">
        <v>12</v>
      </c>
      <c r="D125">
        <v>11</v>
      </c>
      <c r="E125">
        <v>2021</v>
      </c>
      <c r="F125" s="1">
        <f t="shared" si="7"/>
        <v>44512</v>
      </c>
      <c r="G125" s="1" t="s">
        <v>144</v>
      </c>
      <c r="H125" s="2">
        <v>44601</v>
      </c>
      <c r="I125" t="s">
        <v>19</v>
      </c>
      <c r="J125">
        <v>4</v>
      </c>
      <c r="K125">
        <v>24355.53</v>
      </c>
      <c r="L125" t="s">
        <v>184</v>
      </c>
      <c r="M125">
        <v>26</v>
      </c>
      <c r="N125" t="s">
        <v>36</v>
      </c>
      <c r="O125" s="3" t="s">
        <v>55</v>
      </c>
      <c r="P125" t="s">
        <v>29</v>
      </c>
      <c r="Q125" t="s">
        <v>30</v>
      </c>
      <c r="R125">
        <v>2</v>
      </c>
      <c r="S125" t="s">
        <v>84</v>
      </c>
      <c r="T125" s="4">
        <f t="shared" si="8"/>
        <v>97422.12</v>
      </c>
      <c r="U125" s="4" t="str">
        <f t="shared" si="9"/>
        <v>Average</v>
      </c>
      <c r="V125" s="4" t="str">
        <f t="shared" si="10"/>
        <v>Average</v>
      </c>
      <c r="W125" s="4"/>
      <c r="X125" s="4"/>
      <c r="AJ125" s="4"/>
    </row>
    <row r="126" spans="1:36">
      <c r="A126" t="str">
        <f t="shared" si="6"/>
        <v>Suni19125</v>
      </c>
      <c r="B126">
        <v>125</v>
      </c>
      <c r="C126">
        <v>13</v>
      </c>
      <c r="D126">
        <v>11</v>
      </c>
      <c r="E126">
        <v>2021</v>
      </c>
      <c r="F126" s="1">
        <f t="shared" si="7"/>
        <v>44513</v>
      </c>
      <c r="G126" s="1" t="s">
        <v>144</v>
      </c>
      <c r="H126" s="2">
        <v>44602</v>
      </c>
      <c r="I126" t="s">
        <v>26</v>
      </c>
      <c r="J126">
        <v>6</v>
      </c>
      <c r="K126">
        <v>26831.67</v>
      </c>
      <c r="L126" t="s">
        <v>185</v>
      </c>
      <c r="M126">
        <v>19</v>
      </c>
      <c r="N126" t="s">
        <v>36</v>
      </c>
      <c r="O126" s="3" t="s">
        <v>28</v>
      </c>
      <c r="P126" t="s">
        <v>29</v>
      </c>
      <c r="Q126" t="s">
        <v>41</v>
      </c>
      <c r="R126">
        <v>3</v>
      </c>
      <c r="S126" t="s">
        <v>34</v>
      </c>
      <c r="T126" s="4">
        <f t="shared" si="8"/>
        <v>160990.01999999999</v>
      </c>
      <c r="U126" s="4" t="str">
        <f t="shared" si="9"/>
        <v>Average</v>
      </c>
      <c r="V126" s="4" t="str">
        <f t="shared" si="10"/>
        <v>Good</v>
      </c>
      <c r="W126" s="4"/>
      <c r="X126" s="4"/>
      <c r="AJ126" s="4"/>
    </row>
    <row r="127" spans="1:36">
      <c r="A127" t="str">
        <f t="shared" si="6"/>
        <v>Pank34126</v>
      </c>
      <c r="B127">
        <v>126</v>
      </c>
      <c r="C127">
        <v>13</v>
      </c>
      <c r="D127">
        <v>11</v>
      </c>
      <c r="E127">
        <v>2021</v>
      </c>
      <c r="F127" s="1">
        <f t="shared" si="7"/>
        <v>44513</v>
      </c>
      <c r="G127" s="1" t="s">
        <v>144</v>
      </c>
      <c r="H127" s="2">
        <v>44603</v>
      </c>
      <c r="I127" t="s">
        <v>43</v>
      </c>
      <c r="J127">
        <v>1</v>
      </c>
      <c r="K127">
        <v>59228.14</v>
      </c>
      <c r="L127" t="s">
        <v>186</v>
      </c>
      <c r="M127">
        <v>34</v>
      </c>
      <c r="N127" t="s">
        <v>21</v>
      </c>
      <c r="O127" s="3" t="s">
        <v>22</v>
      </c>
      <c r="P127" t="s">
        <v>90</v>
      </c>
      <c r="Q127" t="s">
        <v>30</v>
      </c>
      <c r="R127">
        <v>4</v>
      </c>
      <c r="S127" t="s">
        <v>95</v>
      </c>
      <c r="T127" s="4">
        <f t="shared" si="8"/>
        <v>59228.14</v>
      </c>
      <c r="U127" s="4" t="str">
        <f t="shared" si="9"/>
        <v>Good</v>
      </c>
      <c r="V127" s="4" t="str">
        <f t="shared" si="10"/>
        <v>Average</v>
      </c>
      <c r="W127" s="4"/>
      <c r="X127" s="4"/>
      <c r="AJ127" s="4"/>
    </row>
    <row r="128" spans="1:36">
      <c r="A128" t="str">
        <f t="shared" si="6"/>
        <v>Kira27127</v>
      </c>
      <c r="B128">
        <v>127</v>
      </c>
      <c r="C128">
        <v>13</v>
      </c>
      <c r="D128">
        <v>11</v>
      </c>
      <c r="E128">
        <v>2021</v>
      </c>
      <c r="F128" s="1">
        <f t="shared" si="7"/>
        <v>44513</v>
      </c>
      <c r="G128" s="1" t="s">
        <v>144</v>
      </c>
      <c r="H128" s="2">
        <v>44604</v>
      </c>
      <c r="I128" t="s">
        <v>49</v>
      </c>
      <c r="J128">
        <v>4</v>
      </c>
      <c r="K128">
        <v>45059.18</v>
      </c>
      <c r="L128" t="s">
        <v>187</v>
      </c>
      <c r="M128">
        <v>27</v>
      </c>
      <c r="N128" t="s">
        <v>36</v>
      </c>
      <c r="O128" s="3" t="s">
        <v>22</v>
      </c>
      <c r="P128" t="s">
        <v>29</v>
      </c>
      <c r="Q128" t="s">
        <v>41</v>
      </c>
      <c r="R128">
        <v>5</v>
      </c>
      <c r="S128" t="s">
        <v>52</v>
      </c>
      <c r="T128" s="4">
        <f t="shared" si="8"/>
        <v>180236.72</v>
      </c>
      <c r="U128" s="4" t="str">
        <f t="shared" si="9"/>
        <v>Good</v>
      </c>
      <c r="V128" s="4" t="str">
        <f t="shared" si="10"/>
        <v>Good</v>
      </c>
      <c r="W128" s="4"/>
      <c r="X128" s="4"/>
      <c r="AJ128" s="4"/>
    </row>
    <row r="129" spans="1:36">
      <c r="A129" t="str">
        <f t="shared" si="6"/>
        <v>Pras26128</v>
      </c>
      <c r="B129">
        <v>128</v>
      </c>
      <c r="C129">
        <v>14</v>
      </c>
      <c r="D129">
        <v>11</v>
      </c>
      <c r="E129">
        <v>2021</v>
      </c>
      <c r="F129" s="1">
        <f t="shared" si="7"/>
        <v>44514</v>
      </c>
      <c r="G129" s="1" t="s">
        <v>144</v>
      </c>
      <c r="H129" s="2">
        <v>44605</v>
      </c>
      <c r="I129" t="s">
        <v>19</v>
      </c>
      <c r="J129">
        <v>4</v>
      </c>
      <c r="K129">
        <v>40511.65</v>
      </c>
      <c r="L129" t="s">
        <v>188</v>
      </c>
      <c r="M129">
        <v>26</v>
      </c>
      <c r="N129" t="s">
        <v>36</v>
      </c>
      <c r="O129" s="3" t="s">
        <v>22</v>
      </c>
      <c r="P129" t="s">
        <v>59</v>
      </c>
      <c r="Q129" t="s">
        <v>30</v>
      </c>
      <c r="R129">
        <v>5</v>
      </c>
      <c r="S129" t="s">
        <v>84</v>
      </c>
      <c r="T129" s="4">
        <f t="shared" si="8"/>
        <v>162046.6</v>
      </c>
      <c r="U129" s="4" t="str">
        <f t="shared" si="9"/>
        <v>Good</v>
      </c>
      <c r="V129" s="4" t="str">
        <f t="shared" si="10"/>
        <v>Good</v>
      </c>
      <c r="W129" s="4"/>
      <c r="X129" s="4"/>
      <c r="AJ129" s="4"/>
    </row>
    <row r="130" spans="1:36">
      <c r="A130" t="str">
        <f t="shared" ref="A130:A193" si="11">LEFT(L130,4)&amp;M130&amp;B130</f>
        <v>Meen48129</v>
      </c>
      <c r="B130">
        <v>129</v>
      </c>
      <c r="C130">
        <v>14</v>
      </c>
      <c r="D130">
        <v>11</v>
      </c>
      <c r="E130">
        <v>2021</v>
      </c>
      <c r="F130" s="1">
        <f t="shared" si="7"/>
        <v>44514</v>
      </c>
      <c r="G130" s="1" t="s">
        <v>144</v>
      </c>
      <c r="H130" s="2">
        <v>44606</v>
      </c>
      <c r="I130" t="s">
        <v>38</v>
      </c>
      <c r="J130">
        <v>1</v>
      </c>
      <c r="K130">
        <v>29107.119999999999</v>
      </c>
      <c r="L130" t="s">
        <v>87</v>
      </c>
      <c r="M130">
        <v>48</v>
      </c>
      <c r="N130" t="s">
        <v>61</v>
      </c>
      <c r="O130" s="3" t="s">
        <v>22</v>
      </c>
      <c r="P130" t="s">
        <v>90</v>
      </c>
      <c r="Q130" t="s">
        <v>30</v>
      </c>
      <c r="R130">
        <v>5</v>
      </c>
      <c r="S130" t="s">
        <v>99</v>
      </c>
      <c r="T130" s="4">
        <f t="shared" si="8"/>
        <v>29107.119999999999</v>
      </c>
      <c r="U130" s="4" t="str">
        <f t="shared" si="9"/>
        <v>Good</v>
      </c>
      <c r="V130" s="4" t="str">
        <f t="shared" si="10"/>
        <v>Low</v>
      </c>
      <c r="W130" s="4"/>
      <c r="X130" s="4"/>
      <c r="AJ130" s="4"/>
    </row>
    <row r="131" spans="1:36">
      <c r="A131" t="str">
        <f t="shared" si="11"/>
        <v>Kavi19130</v>
      </c>
      <c r="B131">
        <v>130</v>
      </c>
      <c r="C131">
        <v>14</v>
      </c>
      <c r="D131">
        <v>11</v>
      </c>
      <c r="E131">
        <v>2021</v>
      </c>
      <c r="F131" s="1">
        <f t="shared" ref="F131:F194" si="12">DATE(E131,D131,C131)</f>
        <v>44514</v>
      </c>
      <c r="G131" s="1" t="s">
        <v>144</v>
      </c>
      <c r="H131" s="2">
        <v>44607</v>
      </c>
      <c r="I131" t="s">
        <v>19</v>
      </c>
      <c r="J131">
        <v>9</v>
      </c>
      <c r="K131">
        <v>53855.68</v>
      </c>
      <c r="L131" t="s">
        <v>189</v>
      </c>
      <c r="M131">
        <v>19</v>
      </c>
      <c r="N131" t="s">
        <v>36</v>
      </c>
      <c r="O131" s="3" t="s">
        <v>22</v>
      </c>
      <c r="P131" t="s">
        <v>66</v>
      </c>
      <c r="Q131" t="s">
        <v>30</v>
      </c>
      <c r="R131">
        <v>5</v>
      </c>
      <c r="S131" t="s">
        <v>37</v>
      </c>
      <c r="T131" s="4">
        <f t="shared" ref="T131:T194" si="13">J131*K131</f>
        <v>484701.12</v>
      </c>
      <c r="U131" s="4" t="str">
        <f t="shared" ref="U131:U194" si="14">IF(R131&gt;=4,"Good","Average")</f>
        <v>Good</v>
      </c>
      <c r="V131" s="4" t="str">
        <f t="shared" ref="V131:V194" si="15">IF(T131&gt;200000,"Excellent",IF(T131&gt;100000,"Good",IF(T131&gt;50000,"Average","Low")))</f>
        <v>Excellent</v>
      </c>
      <c r="W131" s="4"/>
      <c r="X131" s="4"/>
      <c r="AJ131" s="4"/>
    </row>
    <row r="132" spans="1:36">
      <c r="A132" t="str">
        <f t="shared" si="11"/>
        <v>Sanj41131</v>
      </c>
      <c r="B132">
        <v>131</v>
      </c>
      <c r="C132">
        <v>14</v>
      </c>
      <c r="D132">
        <v>11</v>
      </c>
      <c r="E132">
        <v>2021</v>
      </c>
      <c r="F132" s="1">
        <f t="shared" si="12"/>
        <v>44514</v>
      </c>
      <c r="G132" s="1" t="s">
        <v>144</v>
      </c>
      <c r="H132" s="2">
        <v>44608</v>
      </c>
      <c r="I132" t="s">
        <v>43</v>
      </c>
      <c r="J132">
        <v>4</v>
      </c>
      <c r="K132">
        <v>27263.11</v>
      </c>
      <c r="L132" t="s">
        <v>190</v>
      </c>
      <c r="M132">
        <v>41</v>
      </c>
      <c r="N132" t="s">
        <v>21</v>
      </c>
      <c r="O132" s="3" t="s">
        <v>28</v>
      </c>
      <c r="P132" t="s">
        <v>45</v>
      </c>
      <c r="Q132" t="s">
        <v>41</v>
      </c>
      <c r="R132">
        <v>3</v>
      </c>
      <c r="S132" t="s">
        <v>46</v>
      </c>
      <c r="T132" s="4">
        <f t="shared" si="13"/>
        <v>109052.44</v>
      </c>
      <c r="U132" s="4" t="str">
        <f t="shared" si="14"/>
        <v>Average</v>
      </c>
      <c r="V132" s="4" t="str">
        <f t="shared" si="15"/>
        <v>Good</v>
      </c>
      <c r="W132" s="4"/>
      <c r="X132" s="4"/>
      <c r="AJ132" s="4"/>
    </row>
    <row r="133" spans="1:36">
      <c r="A133" t="str">
        <f t="shared" si="11"/>
        <v>Ravi36132</v>
      </c>
      <c r="B133">
        <v>132</v>
      </c>
      <c r="C133">
        <v>15</v>
      </c>
      <c r="D133">
        <v>11</v>
      </c>
      <c r="E133">
        <v>2021</v>
      </c>
      <c r="F133" s="1">
        <f t="shared" si="12"/>
        <v>44515</v>
      </c>
      <c r="G133" s="1" t="s">
        <v>144</v>
      </c>
      <c r="H133" s="2">
        <v>44609</v>
      </c>
      <c r="I133" t="s">
        <v>38</v>
      </c>
      <c r="J133">
        <v>7</v>
      </c>
      <c r="K133">
        <v>54223.81</v>
      </c>
      <c r="L133" t="s">
        <v>191</v>
      </c>
      <c r="M133">
        <v>36</v>
      </c>
      <c r="N133" t="s">
        <v>21</v>
      </c>
      <c r="O133" s="3" t="s">
        <v>22</v>
      </c>
      <c r="P133" t="s">
        <v>114</v>
      </c>
      <c r="Q133" t="s">
        <v>30</v>
      </c>
      <c r="R133">
        <v>5</v>
      </c>
      <c r="S133" t="s">
        <v>99</v>
      </c>
      <c r="T133" s="4">
        <f t="shared" si="13"/>
        <v>379566.67</v>
      </c>
      <c r="U133" s="4" t="str">
        <f t="shared" si="14"/>
        <v>Good</v>
      </c>
      <c r="V133" s="4" t="str">
        <f t="shared" si="15"/>
        <v>Excellent</v>
      </c>
      <c r="W133" s="4"/>
      <c r="X133" s="4"/>
      <c r="AJ133" s="4"/>
    </row>
    <row r="134" spans="1:36">
      <c r="A134" t="str">
        <f t="shared" si="11"/>
        <v>Vino34133</v>
      </c>
      <c r="B134">
        <v>133</v>
      </c>
      <c r="C134">
        <v>15</v>
      </c>
      <c r="D134">
        <v>11</v>
      </c>
      <c r="E134">
        <v>2021</v>
      </c>
      <c r="F134" s="1">
        <f t="shared" si="12"/>
        <v>44515</v>
      </c>
      <c r="G134" s="1" t="s">
        <v>144</v>
      </c>
      <c r="H134" s="2">
        <v>44610</v>
      </c>
      <c r="I134" t="s">
        <v>26</v>
      </c>
      <c r="J134">
        <v>3</v>
      </c>
      <c r="K134">
        <v>14206.09</v>
      </c>
      <c r="L134" t="s">
        <v>192</v>
      </c>
      <c r="M134">
        <v>34</v>
      </c>
      <c r="N134" t="s">
        <v>21</v>
      </c>
      <c r="O134" s="3" t="s">
        <v>28</v>
      </c>
      <c r="P134" t="s">
        <v>70</v>
      </c>
      <c r="Q134" t="s">
        <v>30</v>
      </c>
      <c r="R134">
        <v>3</v>
      </c>
      <c r="S134" t="s">
        <v>67</v>
      </c>
      <c r="T134" s="4">
        <f t="shared" si="13"/>
        <v>42618.270000000004</v>
      </c>
      <c r="U134" s="4" t="str">
        <f t="shared" si="14"/>
        <v>Average</v>
      </c>
      <c r="V134" s="4" t="str">
        <f t="shared" si="15"/>
        <v>Low</v>
      </c>
      <c r="W134" s="4"/>
      <c r="X134" s="4"/>
      <c r="AJ134" s="4"/>
    </row>
    <row r="135" spans="1:36">
      <c r="A135" t="str">
        <f t="shared" si="11"/>
        <v>Tanu27134</v>
      </c>
      <c r="B135">
        <v>134</v>
      </c>
      <c r="C135">
        <v>15</v>
      </c>
      <c r="D135">
        <v>11</v>
      </c>
      <c r="E135">
        <v>2021</v>
      </c>
      <c r="F135" s="1">
        <f t="shared" si="12"/>
        <v>44515</v>
      </c>
      <c r="G135" s="1" t="s">
        <v>144</v>
      </c>
      <c r="H135" s="2">
        <v>44611</v>
      </c>
      <c r="I135" t="s">
        <v>19</v>
      </c>
      <c r="J135">
        <v>3</v>
      </c>
      <c r="K135">
        <v>61872.480000000003</v>
      </c>
      <c r="L135" t="s">
        <v>193</v>
      </c>
      <c r="M135">
        <v>27</v>
      </c>
      <c r="N135" t="s">
        <v>36</v>
      </c>
      <c r="O135" s="3" t="s">
        <v>22</v>
      </c>
      <c r="P135" t="s">
        <v>33</v>
      </c>
      <c r="Q135" t="s">
        <v>56</v>
      </c>
      <c r="R135">
        <v>4</v>
      </c>
      <c r="S135" t="s">
        <v>37</v>
      </c>
      <c r="T135" s="4">
        <f t="shared" si="13"/>
        <v>185617.44</v>
      </c>
      <c r="U135" s="4" t="str">
        <f t="shared" si="14"/>
        <v>Good</v>
      </c>
      <c r="V135" s="4" t="str">
        <f t="shared" si="15"/>
        <v>Good</v>
      </c>
      <c r="W135" s="4"/>
      <c r="X135" s="4"/>
      <c r="AJ135" s="4"/>
    </row>
    <row r="136" spans="1:36">
      <c r="A136" t="str">
        <f t="shared" si="11"/>
        <v>Pank45135</v>
      </c>
      <c r="B136">
        <v>135</v>
      </c>
      <c r="C136">
        <v>16</v>
      </c>
      <c r="D136">
        <v>11</v>
      </c>
      <c r="E136">
        <v>2021</v>
      </c>
      <c r="F136" s="1">
        <f t="shared" si="12"/>
        <v>44516</v>
      </c>
      <c r="G136" s="1" t="s">
        <v>144</v>
      </c>
      <c r="H136" s="2">
        <v>44612</v>
      </c>
      <c r="I136" t="s">
        <v>43</v>
      </c>
      <c r="J136">
        <v>8</v>
      </c>
      <c r="K136">
        <v>39973.99</v>
      </c>
      <c r="L136" t="s">
        <v>186</v>
      </c>
      <c r="M136">
        <v>45</v>
      </c>
      <c r="N136" t="s">
        <v>21</v>
      </c>
      <c r="O136" s="3" t="s">
        <v>28</v>
      </c>
      <c r="P136" t="s">
        <v>33</v>
      </c>
      <c r="Q136" t="s">
        <v>30</v>
      </c>
      <c r="R136">
        <v>3</v>
      </c>
      <c r="S136" t="s">
        <v>46</v>
      </c>
      <c r="T136" s="4">
        <f t="shared" si="13"/>
        <v>319791.92</v>
      </c>
      <c r="U136" s="4" t="str">
        <f t="shared" si="14"/>
        <v>Average</v>
      </c>
      <c r="V136" s="4" t="str">
        <f t="shared" si="15"/>
        <v>Excellent</v>
      </c>
      <c r="W136" s="4"/>
      <c r="X136" s="4"/>
      <c r="AJ136" s="4"/>
    </row>
    <row r="137" spans="1:36">
      <c r="A137" t="str">
        <f t="shared" si="11"/>
        <v>Isha55136</v>
      </c>
      <c r="B137">
        <v>136</v>
      </c>
      <c r="C137">
        <v>16</v>
      </c>
      <c r="D137">
        <v>11</v>
      </c>
      <c r="E137">
        <v>2021</v>
      </c>
      <c r="F137" s="1">
        <f t="shared" si="12"/>
        <v>44516</v>
      </c>
      <c r="G137" s="1" t="s">
        <v>144</v>
      </c>
      <c r="H137" s="2">
        <v>44613</v>
      </c>
      <c r="I137" t="s">
        <v>49</v>
      </c>
      <c r="J137">
        <v>8</v>
      </c>
      <c r="K137">
        <v>36310.480000000003</v>
      </c>
      <c r="L137" t="s">
        <v>82</v>
      </c>
      <c r="M137">
        <v>55</v>
      </c>
      <c r="N137" t="s">
        <v>61</v>
      </c>
      <c r="O137" s="3" t="s">
        <v>28</v>
      </c>
      <c r="P137" t="s">
        <v>29</v>
      </c>
      <c r="Q137" t="s">
        <v>24</v>
      </c>
      <c r="R137">
        <v>3</v>
      </c>
      <c r="S137" t="s">
        <v>88</v>
      </c>
      <c r="T137" s="4">
        <f t="shared" si="13"/>
        <v>290483.84000000003</v>
      </c>
      <c r="U137" s="4" t="str">
        <f t="shared" si="14"/>
        <v>Average</v>
      </c>
      <c r="V137" s="4" t="str">
        <f t="shared" si="15"/>
        <v>Excellent</v>
      </c>
      <c r="W137" s="4"/>
      <c r="X137" s="4"/>
      <c r="AJ137" s="4"/>
    </row>
    <row r="138" spans="1:36">
      <c r="A138" t="str">
        <f t="shared" si="11"/>
        <v>Kris45137</v>
      </c>
      <c r="B138">
        <v>137</v>
      </c>
      <c r="C138">
        <v>16</v>
      </c>
      <c r="D138">
        <v>11</v>
      </c>
      <c r="E138">
        <v>2021</v>
      </c>
      <c r="F138" s="1">
        <f t="shared" si="12"/>
        <v>44516</v>
      </c>
      <c r="G138" s="1" t="s">
        <v>144</v>
      </c>
      <c r="H138" s="2">
        <v>44614</v>
      </c>
      <c r="I138" t="s">
        <v>38</v>
      </c>
      <c r="J138">
        <v>1</v>
      </c>
      <c r="K138">
        <v>46661.4</v>
      </c>
      <c r="L138" t="s">
        <v>194</v>
      </c>
      <c r="M138">
        <v>45</v>
      </c>
      <c r="N138" t="s">
        <v>21</v>
      </c>
      <c r="O138" s="3" t="s">
        <v>28</v>
      </c>
      <c r="P138" t="s">
        <v>150</v>
      </c>
      <c r="Q138" t="s">
        <v>30</v>
      </c>
      <c r="R138">
        <v>3</v>
      </c>
      <c r="S138" t="s">
        <v>99</v>
      </c>
      <c r="T138" s="4">
        <f t="shared" si="13"/>
        <v>46661.4</v>
      </c>
      <c r="U138" s="4" t="str">
        <f t="shared" si="14"/>
        <v>Average</v>
      </c>
      <c r="V138" s="4" t="str">
        <f t="shared" si="15"/>
        <v>Low</v>
      </c>
      <c r="W138" s="4"/>
      <c r="X138" s="4"/>
      <c r="AJ138" s="4"/>
    </row>
    <row r="139" spans="1:36">
      <c r="A139" t="str">
        <f t="shared" si="11"/>
        <v>Tanu18138</v>
      </c>
      <c r="B139">
        <v>138</v>
      </c>
      <c r="C139">
        <v>17</v>
      </c>
      <c r="D139">
        <v>11</v>
      </c>
      <c r="E139">
        <v>2021</v>
      </c>
      <c r="F139" s="1">
        <f t="shared" si="12"/>
        <v>44517</v>
      </c>
      <c r="G139" s="1" t="s">
        <v>144</v>
      </c>
      <c r="H139" s="2">
        <v>44615</v>
      </c>
      <c r="I139" t="s">
        <v>19</v>
      </c>
      <c r="J139">
        <v>2</v>
      </c>
      <c r="K139">
        <v>47451.519999999997</v>
      </c>
      <c r="L139" t="s">
        <v>195</v>
      </c>
      <c r="M139">
        <v>18</v>
      </c>
      <c r="N139" t="s">
        <v>36</v>
      </c>
      <c r="O139" s="3" t="s">
        <v>22</v>
      </c>
      <c r="P139" t="s">
        <v>29</v>
      </c>
      <c r="Q139" t="s">
        <v>30</v>
      </c>
      <c r="R139">
        <v>5</v>
      </c>
      <c r="S139" t="s">
        <v>37</v>
      </c>
      <c r="T139" s="4">
        <f t="shared" si="13"/>
        <v>94903.039999999994</v>
      </c>
      <c r="U139" s="4" t="str">
        <f t="shared" si="14"/>
        <v>Good</v>
      </c>
      <c r="V139" s="4" t="str">
        <f t="shared" si="15"/>
        <v>Average</v>
      </c>
      <c r="W139" s="4"/>
      <c r="X139" s="4"/>
      <c r="AJ139" s="4"/>
    </row>
    <row r="140" spans="1:36">
      <c r="A140" t="str">
        <f t="shared" si="11"/>
        <v>Anan20139</v>
      </c>
      <c r="B140">
        <v>139</v>
      </c>
      <c r="C140">
        <v>17</v>
      </c>
      <c r="D140">
        <v>11</v>
      </c>
      <c r="E140">
        <v>2021</v>
      </c>
      <c r="F140" s="1">
        <f t="shared" si="12"/>
        <v>44517</v>
      </c>
      <c r="G140" s="1" t="s">
        <v>144</v>
      </c>
      <c r="H140" s="2">
        <v>44616</v>
      </c>
      <c r="I140" t="s">
        <v>19</v>
      </c>
      <c r="J140">
        <v>8</v>
      </c>
      <c r="K140">
        <v>17922.11</v>
      </c>
      <c r="L140" t="s">
        <v>196</v>
      </c>
      <c r="M140">
        <v>20</v>
      </c>
      <c r="N140" t="s">
        <v>36</v>
      </c>
      <c r="O140" s="3" t="s">
        <v>55</v>
      </c>
      <c r="P140" t="s">
        <v>33</v>
      </c>
      <c r="Q140" t="s">
        <v>56</v>
      </c>
      <c r="R140">
        <v>2</v>
      </c>
      <c r="S140" t="s">
        <v>37</v>
      </c>
      <c r="T140" s="4">
        <f t="shared" si="13"/>
        <v>143376.88</v>
      </c>
      <c r="U140" s="4" t="str">
        <f t="shared" si="14"/>
        <v>Average</v>
      </c>
      <c r="V140" s="4" t="str">
        <f t="shared" si="15"/>
        <v>Good</v>
      </c>
      <c r="W140" s="4"/>
      <c r="X140" s="4"/>
      <c r="AJ140" s="4"/>
    </row>
    <row r="141" spans="1:36">
      <c r="A141" t="str">
        <f t="shared" si="11"/>
        <v>Neet32140</v>
      </c>
      <c r="B141">
        <v>140</v>
      </c>
      <c r="C141">
        <v>17</v>
      </c>
      <c r="D141">
        <v>11</v>
      </c>
      <c r="E141">
        <v>2021</v>
      </c>
      <c r="F141" s="1">
        <f t="shared" si="12"/>
        <v>44517</v>
      </c>
      <c r="G141" s="1" t="s">
        <v>144</v>
      </c>
      <c r="H141" s="2">
        <v>44617</v>
      </c>
      <c r="I141" t="s">
        <v>26</v>
      </c>
      <c r="J141">
        <v>1</v>
      </c>
      <c r="K141">
        <v>55374.02</v>
      </c>
      <c r="L141" t="s">
        <v>197</v>
      </c>
      <c r="M141">
        <v>32</v>
      </c>
      <c r="N141" t="s">
        <v>21</v>
      </c>
      <c r="O141" s="3" t="s">
        <v>22</v>
      </c>
      <c r="P141" t="s">
        <v>33</v>
      </c>
      <c r="Q141" t="s">
        <v>56</v>
      </c>
      <c r="R141">
        <v>5</v>
      </c>
      <c r="S141" t="s">
        <v>31</v>
      </c>
      <c r="T141" s="4">
        <f t="shared" si="13"/>
        <v>55374.02</v>
      </c>
      <c r="U141" s="4" t="str">
        <f t="shared" si="14"/>
        <v>Good</v>
      </c>
      <c r="V141" s="4" t="str">
        <f t="shared" si="15"/>
        <v>Average</v>
      </c>
      <c r="W141" s="4"/>
      <c r="X141" s="4"/>
      <c r="AJ141" s="4"/>
    </row>
    <row r="142" spans="1:36">
      <c r="A142" t="str">
        <f t="shared" si="11"/>
        <v>Sach27141</v>
      </c>
      <c r="B142">
        <v>141</v>
      </c>
      <c r="C142">
        <v>18</v>
      </c>
      <c r="D142">
        <v>11</v>
      </c>
      <c r="E142">
        <v>2021</v>
      </c>
      <c r="F142" s="1">
        <f t="shared" si="12"/>
        <v>44518</v>
      </c>
      <c r="G142" s="1" t="s">
        <v>144</v>
      </c>
      <c r="H142" s="2">
        <v>44618</v>
      </c>
      <c r="I142" t="s">
        <v>26</v>
      </c>
      <c r="J142">
        <v>8</v>
      </c>
      <c r="K142">
        <v>26555.7</v>
      </c>
      <c r="L142" t="s">
        <v>198</v>
      </c>
      <c r="M142">
        <v>27</v>
      </c>
      <c r="N142" t="s">
        <v>36</v>
      </c>
      <c r="O142" s="3" t="s">
        <v>22</v>
      </c>
      <c r="P142" t="s">
        <v>117</v>
      </c>
      <c r="Q142" t="s">
        <v>41</v>
      </c>
      <c r="R142">
        <v>5</v>
      </c>
      <c r="S142" t="s">
        <v>67</v>
      </c>
      <c r="T142" s="4">
        <f t="shared" si="13"/>
        <v>212445.6</v>
      </c>
      <c r="U142" s="4" t="str">
        <f t="shared" si="14"/>
        <v>Good</v>
      </c>
      <c r="V142" s="4" t="str">
        <f t="shared" si="15"/>
        <v>Excellent</v>
      </c>
      <c r="W142" s="4"/>
      <c r="X142" s="4"/>
      <c r="AJ142" s="4"/>
    </row>
    <row r="143" spans="1:36">
      <c r="A143" t="str">
        <f t="shared" si="11"/>
        <v>Sumi38142</v>
      </c>
      <c r="B143">
        <v>142</v>
      </c>
      <c r="C143">
        <v>18</v>
      </c>
      <c r="D143">
        <v>11</v>
      </c>
      <c r="E143">
        <v>2021</v>
      </c>
      <c r="F143" s="1">
        <f t="shared" si="12"/>
        <v>44518</v>
      </c>
      <c r="G143" s="1" t="s">
        <v>144</v>
      </c>
      <c r="H143" s="2">
        <v>44619</v>
      </c>
      <c r="I143" t="s">
        <v>49</v>
      </c>
      <c r="J143">
        <v>8</v>
      </c>
      <c r="K143">
        <v>64297.71</v>
      </c>
      <c r="L143" t="s">
        <v>199</v>
      </c>
      <c r="M143">
        <v>38</v>
      </c>
      <c r="N143" t="s">
        <v>21</v>
      </c>
      <c r="O143" s="3" t="s">
        <v>22</v>
      </c>
      <c r="P143" t="s">
        <v>137</v>
      </c>
      <c r="Q143" t="s">
        <v>41</v>
      </c>
      <c r="R143">
        <v>5</v>
      </c>
      <c r="S143" t="s">
        <v>88</v>
      </c>
      <c r="T143" s="4">
        <f t="shared" si="13"/>
        <v>514381.68</v>
      </c>
      <c r="U143" s="4" t="str">
        <f t="shared" si="14"/>
        <v>Good</v>
      </c>
      <c r="V143" s="4" t="str">
        <f t="shared" si="15"/>
        <v>Excellent</v>
      </c>
      <c r="W143" s="4"/>
      <c r="X143" s="4"/>
      <c r="AJ143" s="4"/>
    </row>
    <row r="144" spans="1:36">
      <c r="A144" t="str">
        <f t="shared" si="11"/>
        <v>Kavi54143</v>
      </c>
      <c r="B144">
        <v>143</v>
      </c>
      <c r="C144">
        <v>18</v>
      </c>
      <c r="D144">
        <v>11</v>
      </c>
      <c r="E144">
        <v>2021</v>
      </c>
      <c r="F144" s="1">
        <f t="shared" si="12"/>
        <v>44518</v>
      </c>
      <c r="G144" s="1" t="s">
        <v>144</v>
      </c>
      <c r="H144" s="2">
        <v>44620</v>
      </c>
      <c r="I144" t="s">
        <v>49</v>
      </c>
      <c r="J144">
        <v>2</v>
      </c>
      <c r="K144">
        <v>59071.040000000001</v>
      </c>
      <c r="L144" t="s">
        <v>200</v>
      </c>
      <c r="M144">
        <v>54</v>
      </c>
      <c r="N144" t="s">
        <v>61</v>
      </c>
      <c r="O144" s="3" t="s">
        <v>22</v>
      </c>
      <c r="P144" t="s">
        <v>77</v>
      </c>
      <c r="Q144" t="s">
        <v>24</v>
      </c>
      <c r="R144">
        <v>5</v>
      </c>
      <c r="S144" t="s">
        <v>52</v>
      </c>
      <c r="T144" s="4">
        <f t="shared" si="13"/>
        <v>118142.08</v>
      </c>
      <c r="U144" s="4" t="str">
        <f t="shared" si="14"/>
        <v>Good</v>
      </c>
      <c r="V144" s="4" t="str">
        <f t="shared" si="15"/>
        <v>Good</v>
      </c>
      <c r="W144" s="4"/>
      <c r="X144" s="4"/>
      <c r="AJ144" s="4"/>
    </row>
    <row r="145" spans="1:36">
      <c r="A145" t="str">
        <f t="shared" si="11"/>
        <v>Reen32144</v>
      </c>
      <c r="B145">
        <v>144</v>
      </c>
      <c r="C145">
        <v>19</v>
      </c>
      <c r="D145">
        <v>11</v>
      </c>
      <c r="E145">
        <v>2021</v>
      </c>
      <c r="F145" s="1">
        <f t="shared" si="12"/>
        <v>44519</v>
      </c>
      <c r="G145" s="1" t="s">
        <v>144</v>
      </c>
      <c r="H145" s="2">
        <v>44621</v>
      </c>
      <c r="I145" t="s">
        <v>43</v>
      </c>
      <c r="J145">
        <v>4</v>
      </c>
      <c r="K145">
        <v>30775.96</v>
      </c>
      <c r="L145" t="s">
        <v>201</v>
      </c>
      <c r="M145">
        <v>32</v>
      </c>
      <c r="N145" t="s">
        <v>21</v>
      </c>
      <c r="O145" s="3" t="s">
        <v>22</v>
      </c>
      <c r="P145" t="s">
        <v>40</v>
      </c>
      <c r="Q145" t="s">
        <v>56</v>
      </c>
      <c r="R145">
        <v>5</v>
      </c>
      <c r="S145" t="s">
        <v>57</v>
      </c>
      <c r="T145" s="4">
        <f t="shared" si="13"/>
        <v>123103.84</v>
      </c>
      <c r="U145" s="4" t="str">
        <f t="shared" si="14"/>
        <v>Good</v>
      </c>
      <c r="V145" s="4" t="str">
        <f t="shared" si="15"/>
        <v>Good</v>
      </c>
      <c r="W145" s="4"/>
      <c r="X145" s="4"/>
      <c r="AJ145" s="4"/>
    </row>
    <row r="146" spans="1:36">
      <c r="A146" t="str">
        <f t="shared" si="11"/>
        <v>Anja40145</v>
      </c>
      <c r="B146">
        <v>145</v>
      </c>
      <c r="C146">
        <v>19</v>
      </c>
      <c r="D146">
        <v>11</v>
      </c>
      <c r="E146">
        <v>2021</v>
      </c>
      <c r="F146" s="1">
        <f t="shared" si="12"/>
        <v>44519</v>
      </c>
      <c r="G146" s="1" t="s">
        <v>144</v>
      </c>
      <c r="H146" s="2">
        <v>44622</v>
      </c>
      <c r="I146" t="s">
        <v>43</v>
      </c>
      <c r="J146">
        <v>6</v>
      </c>
      <c r="K146">
        <v>58464.36</v>
      </c>
      <c r="L146" t="s">
        <v>202</v>
      </c>
      <c r="M146">
        <v>40</v>
      </c>
      <c r="N146" t="s">
        <v>21</v>
      </c>
      <c r="O146" s="3" t="s">
        <v>22</v>
      </c>
      <c r="P146" t="s">
        <v>33</v>
      </c>
      <c r="Q146" t="s">
        <v>41</v>
      </c>
      <c r="R146">
        <v>5</v>
      </c>
      <c r="S146" t="s">
        <v>57</v>
      </c>
      <c r="T146" s="4">
        <f t="shared" si="13"/>
        <v>350786.16000000003</v>
      </c>
      <c r="U146" s="4" t="str">
        <f t="shared" si="14"/>
        <v>Good</v>
      </c>
      <c r="V146" s="4" t="str">
        <f t="shared" si="15"/>
        <v>Excellent</v>
      </c>
      <c r="W146" s="4"/>
      <c r="X146" s="4"/>
      <c r="AJ146" s="4"/>
    </row>
    <row r="147" spans="1:36">
      <c r="A147" t="str">
        <f t="shared" si="11"/>
        <v>Pras31146</v>
      </c>
      <c r="B147">
        <v>146</v>
      </c>
      <c r="C147">
        <v>19</v>
      </c>
      <c r="D147">
        <v>11</v>
      </c>
      <c r="E147">
        <v>2021</v>
      </c>
      <c r="F147" s="1">
        <f t="shared" si="12"/>
        <v>44519</v>
      </c>
      <c r="G147" s="1" t="s">
        <v>144</v>
      </c>
      <c r="H147" s="2">
        <v>44623</v>
      </c>
      <c r="I147" t="s">
        <v>49</v>
      </c>
      <c r="J147">
        <v>9</v>
      </c>
      <c r="K147">
        <v>31383.43</v>
      </c>
      <c r="L147" t="s">
        <v>203</v>
      </c>
      <c r="M147">
        <v>31</v>
      </c>
      <c r="N147" t="s">
        <v>21</v>
      </c>
      <c r="O147" s="3" t="s">
        <v>22</v>
      </c>
      <c r="P147" t="s">
        <v>33</v>
      </c>
      <c r="Q147" t="s">
        <v>41</v>
      </c>
      <c r="R147">
        <v>5</v>
      </c>
      <c r="S147" t="s">
        <v>88</v>
      </c>
      <c r="T147" s="4">
        <f t="shared" si="13"/>
        <v>282450.87</v>
      </c>
      <c r="U147" s="4" t="str">
        <f t="shared" si="14"/>
        <v>Good</v>
      </c>
      <c r="V147" s="4" t="str">
        <f t="shared" si="15"/>
        <v>Excellent</v>
      </c>
      <c r="W147" s="4"/>
      <c r="X147" s="4"/>
      <c r="AJ147" s="4"/>
    </row>
    <row r="148" spans="1:36">
      <c r="A148" t="str">
        <f t="shared" si="11"/>
        <v>Raje32147</v>
      </c>
      <c r="B148">
        <v>147</v>
      </c>
      <c r="C148">
        <v>20</v>
      </c>
      <c r="D148">
        <v>11</v>
      </c>
      <c r="E148">
        <v>2021</v>
      </c>
      <c r="F148" s="1">
        <f t="shared" si="12"/>
        <v>44520</v>
      </c>
      <c r="G148" s="1" t="s">
        <v>144</v>
      </c>
      <c r="H148" s="2">
        <v>44624</v>
      </c>
      <c r="I148" t="s">
        <v>49</v>
      </c>
      <c r="J148">
        <v>8</v>
      </c>
      <c r="K148">
        <v>16056.86</v>
      </c>
      <c r="L148" t="s">
        <v>204</v>
      </c>
      <c r="M148">
        <v>32</v>
      </c>
      <c r="N148" t="s">
        <v>21</v>
      </c>
      <c r="O148" s="3" t="s">
        <v>22</v>
      </c>
      <c r="P148" t="s">
        <v>132</v>
      </c>
      <c r="Q148" t="s">
        <v>41</v>
      </c>
      <c r="R148">
        <v>5</v>
      </c>
      <c r="S148" t="s">
        <v>88</v>
      </c>
      <c r="T148" s="4">
        <f t="shared" si="13"/>
        <v>128454.88</v>
      </c>
      <c r="U148" s="4" t="str">
        <f t="shared" si="14"/>
        <v>Good</v>
      </c>
      <c r="V148" s="4" t="str">
        <f t="shared" si="15"/>
        <v>Good</v>
      </c>
      <c r="W148" s="4"/>
      <c r="X148" s="4"/>
      <c r="AJ148" s="4"/>
    </row>
    <row r="149" spans="1:36">
      <c r="A149" t="str">
        <f t="shared" si="11"/>
        <v>Anit27148</v>
      </c>
      <c r="B149">
        <v>148</v>
      </c>
      <c r="C149">
        <v>20</v>
      </c>
      <c r="D149">
        <v>11</v>
      </c>
      <c r="E149">
        <v>2021</v>
      </c>
      <c r="F149" s="1">
        <f t="shared" si="12"/>
        <v>44520</v>
      </c>
      <c r="G149" s="1" t="s">
        <v>144</v>
      </c>
      <c r="H149" s="2">
        <v>44625</v>
      </c>
      <c r="I149" t="s">
        <v>38</v>
      </c>
      <c r="J149">
        <v>8</v>
      </c>
      <c r="K149">
        <v>67713.289999999994</v>
      </c>
      <c r="L149" t="s">
        <v>205</v>
      </c>
      <c r="M149">
        <v>27</v>
      </c>
      <c r="N149" t="s">
        <v>36</v>
      </c>
      <c r="O149" s="3" t="s">
        <v>28</v>
      </c>
      <c r="P149" t="s">
        <v>23</v>
      </c>
      <c r="Q149" t="s">
        <v>56</v>
      </c>
      <c r="R149">
        <v>3</v>
      </c>
      <c r="S149" t="s">
        <v>42</v>
      </c>
      <c r="T149" s="4">
        <f t="shared" si="13"/>
        <v>541706.31999999995</v>
      </c>
      <c r="U149" s="4" t="str">
        <f t="shared" si="14"/>
        <v>Average</v>
      </c>
      <c r="V149" s="4" t="str">
        <f t="shared" si="15"/>
        <v>Excellent</v>
      </c>
      <c r="W149" s="4"/>
      <c r="X149" s="4"/>
      <c r="AJ149" s="4"/>
    </row>
    <row r="150" spans="1:36">
      <c r="A150" t="str">
        <f t="shared" si="11"/>
        <v>Mala26149</v>
      </c>
      <c r="B150">
        <v>149</v>
      </c>
      <c r="C150">
        <v>20</v>
      </c>
      <c r="D150">
        <v>11</v>
      </c>
      <c r="E150">
        <v>2021</v>
      </c>
      <c r="F150" s="1">
        <f t="shared" si="12"/>
        <v>44520</v>
      </c>
      <c r="G150" s="1" t="s">
        <v>144</v>
      </c>
      <c r="H150" s="2">
        <v>44626</v>
      </c>
      <c r="I150" t="s">
        <v>26</v>
      </c>
      <c r="J150">
        <v>7</v>
      </c>
      <c r="K150">
        <v>49156.12</v>
      </c>
      <c r="L150" t="s">
        <v>206</v>
      </c>
      <c r="M150">
        <v>26</v>
      </c>
      <c r="N150" t="s">
        <v>36</v>
      </c>
      <c r="O150" s="3" t="s">
        <v>22</v>
      </c>
      <c r="P150" t="s">
        <v>29</v>
      </c>
      <c r="Q150" t="s">
        <v>56</v>
      </c>
      <c r="R150">
        <v>5</v>
      </c>
      <c r="S150" t="s">
        <v>34</v>
      </c>
      <c r="T150" s="4">
        <f t="shared" si="13"/>
        <v>344092.84</v>
      </c>
      <c r="U150" s="4" t="str">
        <f t="shared" si="14"/>
        <v>Good</v>
      </c>
      <c r="V150" s="4" t="str">
        <f t="shared" si="15"/>
        <v>Excellent</v>
      </c>
      <c r="W150" s="4"/>
      <c r="X150" s="4"/>
      <c r="AJ150" s="4"/>
    </row>
    <row r="151" spans="1:36">
      <c r="A151" t="str">
        <f t="shared" si="11"/>
        <v>Tanu56150</v>
      </c>
      <c r="B151">
        <v>150</v>
      </c>
      <c r="C151">
        <v>20</v>
      </c>
      <c r="D151">
        <v>11</v>
      </c>
      <c r="E151">
        <v>2021</v>
      </c>
      <c r="F151" s="1">
        <f t="shared" si="12"/>
        <v>44520</v>
      </c>
      <c r="G151" s="1" t="s">
        <v>144</v>
      </c>
      <c r="H151" s="2">
        <v>44627</v>
      </c>
      <c r="I151" t="s">
        <v>43</v>
      </c>
      <c r="J151">
        <v>9</v>
      </c>
      <c r="K151">
        <v>37365.97</v>
      </c>
      <c r="L151" t="s">
        <v>193</v>
      </c>
      <c r="M151">
        <v>56</v>
      </c>
      <c r="N151" t="s">
        <v>61</v>
      </c>
      <c r="O151" s="3" t="s">
        <v>22</v>
      </c>
      <c r="P151" t="s">
        <v>29</v>
      </c>
      <c r="Q151" t="s">
        <v>24</v>
      </c>
      <c r="R151">
        <v>4</v>
      </c>
      <c r="S151" t="s">
        <v>46</v>
      </c>
      <c r="T151" s="4">
        <f t="shared" si="13"/>
        <v>336293.73</v>
      </c>
      <c r="U151" s="4" t="str">
        <f t="shared" si="14"/>
        <v>Good</v>
      </c>
      <c r="V151" s="4" t="str">
        <f t="shared" si="15"/>
        <v>Excellent</v>
      </c>
      <c r="W151" s="4"/>
      <c r="X151" s="4"/>
      <c r="AJ151" s="4"/>
    </row>
    <row r="152" spans="1:36">
      <c r="A152" t="str">
        <f t="shared" si="11"/>
        <v>Reen22151</v>
      </c>
      <c r="B152">
        <v>151</v>
      </c>
      <c r="C152">
        <v>21</v>
      </c>
      <c r="D152">
        <v>11</v>
      </c>
      <c r="E152">
        <v>2021</v>
      </c>
      <c r="F152" s="1">
        <f t="shared" si="12"/>
        <v>44521</v>
      </c>
      <c r="G152" s="1" t="s">
        <v>144</v>
      </c>
      <c r="H152" s="2">
        <v>44628</v>
      </c>
      <c r="I152" t="s">
        <v>26</v>
      </c>
      <c r="J152">
        <v>2</v>
      </c>
      <c r="K152">
        <v>33866.400000000001</v>
      </c>
      <c r="L152" t="s">
        <v>207</v>
      </c>
      <c r="M152">
        <v>22</v>
      </c>
      <c r="N152" t="s">
        <v>36</v>
      </c>
      <c r="O152" s="3" t="s">
        <v>22</v>
      </c>
      <c r="P152" t="s">
        <v>114</v>
      </c>
      <c r="Q152" t="s">
        <v>56</v>
      </c>
      <c r="R152">
        <v>5</v>
      </c>
      <c r="S152" t="s">
        <v>31</v>
      </c>
      <c r="T152" s="4">
        <f t="shared" si="13"/>
        <v>67732.800000000003</v>
      </c>
      <c r="U152" s="4" t="str">
        <f t="shared" si="14"/>
        <v>Good</v>
      </c>
      <c r="V152" s="4" t="str">
        <f t="shared" si="15"/>
        <v>Average</v>
      </c>
      <c r="W152" s="4"/>
      <c r="X152" s="4"/>
      <c r="AJ152" s="4"/>
    </row>
    <row r="153" spans="1:36">
      <c r="A153" t="str">
        <f t="shared" si="11"/>
        <v>Tanu42152</v>
      </c>
      <c r="B153">
        <v>152</v>
      </c>
      <c r="C153">
        <v>21</v>
      </c>
      <c r="D153">
        <v>11</v>
      </c>
      <c r="E153">
        <v>2021</v>
      </c>
      <c r="F153" s="1">
        <f t="shared" si="12"/>
        <v>44521</v>
      </c>
      <c r="G153" s="1" t="s">
        <v>144</v>
      </c>
      <c r="H153" s="2">
        <v>44629</v>
      </c>
      <c r="I153" t="s">
        <v>26</v>
      </c>
      <c r="J153">
        <v>3</v>
      </c>
      <c r="K153">
        <v>29482.32</v>
      </c>
      <c r="L153" t="s">
        <v>208</v>
      </c>
      <c r="M153">
        <v>42</v>
      </c>
      <c r="N153" t="s">
        <v>21</v>
      </c>
      <c r="O153" s="3" t="s">
        <v>22</v>
      </c>
      <c r="P153" t="s">
        <v>70</v>
      </c>
      <c r="Q153" t="s">
        <v>56</v>
      </c>
      <c r="R153">
        <v>5</v>
      </c>
      <c r="S153" t="s">
        <v>34</v>
      </c>
      <c r="T153" s="4">
        <f t="shared" si="13"/>
        <v>88446.959999999992</v>
      </c>
      <c r="U153" s="4" t="str">
        <f t="shared" si="14"/>
        <v>Good</v>
      </c>
      <c r="V153" s="4" t="str">
        <f t="shared" si="15"/>
        <v>Average</v>
      </c>
      <c r="W153" s="4"/>
      <c r="X153" s="4"/>
      <c r="AJ153" s="4"/>
    </row>
    <row r="154" spans="1:36">
      <c r="A154" t="str">
        <f t="shared" si="11"/>
        <v>Radh59153</v>
      </c>
      <c r="B154">
        <v>153</v>
      </c>
      <c r="C154">
        <v>21</v>
      </c>
      <c r="D154">
        <v>11</v>
      </c>
      <c r="E154">
        <v>2021</v>
      </c>
      <c r="F154" s="1">
        <f t="shared" si="12"/>
        <v>44521</v>
      </c>
      <c r="G154" s="1" t="s">
        <v>144</v>
      </c>
      <c r="H154" s="2">
        <v>44630</v>
      </c>
      <c r="I154" t="s">
        <v>49</v>
      </c>
      <c r="J154">
        <v>8</v>
      </c>
      <c r="K154">
        <v>68886.86</v>
      </c>
      <c r="L154" t="s">
        <v>209</v>
      </c>
      <c r="M154">
        <v>59</v>
      </c>
      <c r="N154" t="s">
        <v>61</v>
      </c>
      <c r="O154" s="3" t="s">
        <v>22</v>
      </c>
      <c r="P154" t="s">
        <v>64</v>
      </c>
      <c r="Q154" t="s">
        <v>56</v>
      </c>
      <c r="R154">
        <v>5</v>
      </c>
      <c r="S154" t="s">
        <v>102</v>
      </c>
      <c r="T154" s="4">
        <f t="shared" si="13"/>
        <v>551094.88</v>
      </c>
      <c r="U154" s="4" t="str">
        <f t="shared" si="14"/>
        <v>Good</v>
      </c>
      <c r="V154" s="4" t="str">
        <f t="shared" si="15"/>
        <v>Excellent</v>
      </c>
      <c r="W154" s="4"/>
      <c r="X154" s="4"/>
      <c r="AJ154" s="4"/>
    </row>
    <row r="155" spans="1:36">
      <c r="A155" t="str">
        <f t="shared" si="11"/>
        <v>Moni43154</v>
      </c>
      <c r="B155">
        <v>154</v>
      </c>
      <c r="C155">
        <v>21</v>
      </c>
      <c r="D155">
        <v>11</v>
      </c>
      <c r="E155">
        <v>2021</v>
      </c>
      <c r="F155" s="1">
        <f t="shared" si="12"/>
        <v>44521</v>
      </c>
      <c r="G155" s="1" t="s">
        <v>144</v>
      </c>
      <c r="H155" s="2">
        <v>44631</v>
      </c>
      <c r="I155" t="s">
        <v>38</v>
      </c>
      <c r="J155">
        <v>6</v>
      </c>
      <c r="K155">
        <v>18084.84</v>
      </c>
      <c r="L155" t="s">
        <v>210</v>
      </c>
      <c r="M155">
        <v>43</v>
      </c>
      <c r="N155" t="s">
        <v>21</v>
      </c>
      <c r="O155" s="3" t="s">
        <v>22</v>
      </c>
      <c r="P155" t="s">
        <v>29</v>
      </c>
      <c r="Q155" t="s">
        <v>24</v>
      </c>
      <c r="R155">
        <v>5</v>
      </c>
      <c r="S155" t="s">
        <v>99</v>
      </c>
      <c r="T155" s="4">
        <f t="shared" si="13"/>
        <v>108509.04000000001</v>
      </c>
      <c r="U155" s="4" t="str">
        <f t="shared" si="14"/>
        <v>Good</v>
      </c>
      <c r="V155" s="4" t="str">
        <f t="shared" si="15"/>
        <v>Good</v>
      </c>
      <c r="W155" s="4"/>
      <c r="X155" s="4"/>
      <c r="AJ155" s="4"/>
    </row>
    <row r="156" spans="1:36">
      <c r="A156" t="str">
        <f t="shared" si="11"/>
        <v>Kavi25155</v>
      </c>
      <c r="B156">
        <v>155</v>
      </c>
      <c r="C156">
        <v>22</v>
      </c>
      <c r="D156">
        <v>11</v>
      </c>
      <c r="E156">
        <v>2021</v>
      </c>
      <c r="F156" s="1">
        <f t="shared" si="12"/>
        <v>44522</v>
      </c>
      <c r="G156" s="1" t="s">
        <v>144</v>
      </c>
      <c r="H156" s="2">
        <v>44632</v>
      </c>
      <c r="I156" t="s">
        <v>19</v>
      </c>
      <c r="J156">
        <v>9</v>
      </c>
      <c r="K156">
        <v>28888.3</v>
      </c>
      <c r="L156" t="s">
        <v>211</v>
      </c>
      <c r="M156">
        <v>25</v>
      </c>
      <c r="N156" t="s">
        <v>36</v>
      </c>
      <c r="O156" s="3" t="s">
        <v>22</v>
      </c>
      <c r="P156" t="s">
        <v>23</v>
      </c>
      <c r="Q156" t="s">
        <v>30</v>
      </c>
      <c r="R156">
        <v>5</v>
      </c>
      <c r="S156" t="s">
        <v>84</v>
      </c>
      <c r="T156" s="4">
        <f t="shared" si="13"/>
        <v>259994.69999999998</v>
      </c>
      <c r="U156" s="4" t="str">
        <f t="shared" si="14"/>
        <v>Good</v>
      </c>
      <c r="V156" s="4" t="str">
        <f t="shared" si="15"/>
        <v>Excellent</v>
      </c>
      <c r="W156" s="4"/>
      <c r="X156" s="4"/>
      <c r="AJ156" s="4"/>
    </row>
    <row r="157" spans="1:36">
      <c r="A157" t="str">
        <f t="shared" si="11"/>
        <v>Priy39156</v>
      </c>
      <c r="B157">
        <v>156</v>
      </c>
      <c r="C157">
        <v>22</v>
      </c>
      <c r="D157">
        <v>11</v>
      </c>
      <c r="E157">
        <v>2021</v>
      </c>
      <c r="F157" s="1">
        <f t="shared" si="12"/>
        <v>44522</v>
      </c>
      <c r="G157" s="1" t="s">
        <v>144</v>
      </c>
      <c r="H157" s="2">
        <v>44633</v>
      </c>
      <c r="I157" t="s">
        <v>38</v>
      </c>
      <c r="J157">
        <v>4</v>
      </c>
      <c r="K157">
        <v>39129.86</v>
      </c>
      <c r="L157" t="s">
        <v>212</v>
      </c>
      <c r="M157">
        <v>39</v>
      </c>
      <c r="N157" t="s">
        <v>21</v>
      </c>
      <c r="O157" s="3" t="s">
        <v>22</v>
      </c>
      <c r="P157" t="s">
        <v>70</v>
      </c>
      <c r="Q157" t="s">
        <v>30</v>
      </c>
      <c r="R157">
        <v>5</v>
      </c>
      <c r="S157" t="s">
        <v>48</v>
      </c>
      <c r="T157" s="4">
        <f t="shared" si="13"/>
        <v>156519.44</v>
      </c>
      <c r="U157" s="4" t="str">
        <f t="shared" si="14"/>
        <v>Good</v>
      </c>
      <c r="V157" s="4" t="str">
        <f t="shared" si="15"/>
        <v>Good</v>
      </c>
      <c r="W157" s="4"/>
      <c r="X157" s="4"/>
      <c r="AJ157" s="4"/>
    </row>
    <row r="158" spans="1:36">
      <c r="A158" t="str">
        <f t="shared" si="11"/>
        <v>Pooj42157</v>
      </c>
      <c r="B158">
        <v>157</v>
      </c>
      <c r="C158">
        <v>22</v>
      </c>
      <c r="D158">
        <v>11</v>
      </c>
      <c r="E158">
        <v>2021</v>
      </c>
      <c r="F158" s="1">
        <f t="shared" si="12"/>
        <v>44522</v>
      </c>
      <c r="G158" s="1" t="s">
        <v>144</v>
      </c>
      <c r="H158" s="2">
        <v>44634</v>
      </c>
      <c r="I158" t="s">
        <v>38</v>
      </c>
      <c r="J158">
        <v>8</v>
      </c>
      <c r="K158">
        <v>38679.97</v>
      </c>
      <c r="L158" t="s">
        <v>213</v>
      </c>
      <c r="M158">
        <v>42</v>
      </c>
      <c r="N158" t="s">
        <v>21</v>
      </c>
      <c r="O158" s="3" t="s">
        <v>22</v>
      </c>
      <c r="P158" t="s">
        <v>29</v>
      </c>
      <c r="Q158" t="s">
        <v>41</v>
      </c>
      <c r="R158">
        <v>5</v>
      </c>
      <c r="S158" t="s">
        <v>48</v>
      </c>
      <c r="T158" s="4">
        <f t="shared" si="13"/>
        <v>309439.76</v>
      </c>
      <c r="U158" s="4" t="str">
        <f t="shared" si="14"/>
        <v>Good</v>
      </c>
      <c r="V158" s="4" t="str">
        <f t="shared" si="15"/>
        <v>Excellent</v>
      </c>
      <c r="W158" s="4"/>
      <c r="X158" s="4"/>
      <c r="AJ158" s="4"/>
    </row>
    <row r="159" spans="1:36">
      <c r="A159" t="str">
        <f t="shared" si="11"/>
        <v>Nami29158</v>
      </c>
      <c r="B159">
        <v>158</v>
      </c>
      <c r="C159">
        <v>22</v>
      </c>
      <c r="D159">
        <v>11</v>
      </c>
      <c r="E159">
        <v>2021</v>
      </c>
      <c r="F159" s="1">
        <f t="shared" si="12"/>
        <v>44522</v>
      </c>
      <c r="G159" s="1" t="s">
        <v>144</v>
      </c>
      <c r="H159" s="2">
        <v>44635</v>
      </c>
      <c r="I159" t="s">
        <v>26</v>
      </c>
      <c r="J159">
        <v>3</v>
      </c>
      <c r="K159">
        <v>38281.99</v>
      </c>
      <c r="L159" t="s">
        <v>214</v>
      </c>
      <c r="M159">
        <v>29</v>
      </c>
      <c r="N159" t="s">
        <v>36</v>
      </c>
      <c r="O159" s="3" t="s">
        <v>22</v>
      </c>
      <c r="P159" t="s">
        <v>40</v>
      </c>
      <c r="Q159" t="s">
        <v>30</v>
      </c>
      <c r="R159">
        <v>5</v>
      </c>
      <c r="S159" t="s">
        <v>67</v>
      </c>
      <c r="T159" s="4">
        <f t="shared" si="13"/>
        <v>114845.97</v>
      </c>
      <c r="U159" s="4" t="str">
        <f t="shared" si="14"/>
        <v>Good</v>
      </c>
      <c r="V159" s="4" t="str">
        <f t="shared" si="15"/>
        <v>Good</v>
      </c>
      <c r="W159" s="4"/>
      <c r="X159" s="4"/>
      <c r="AJ159" s="4"/>
    </row>
    <row r="160" spans="1:36">
      <c r="A160" t="str">
        <f t="shared" si="11"/>
        <v>Nikh26159</v>
      </c>
      <c r="B160">
        <v>159</v>
      </c>
      <c r="C160">
        <v>23</v>
      </c>
      <c r="D160">
        <v>11</v>
      </c>
      <c r="E160">
        <v>2021</v>
      </c>
      <c r="F160" s="1">
        <f t="shared" si="12"/>
        <v>44523</v>
      </c>
      <c r="G160" s="1" t="s">
        <v>144</v>
      </c>
      <c r="H160" s="2">
        <v>44636</v>
      </c>
      <c r="I160" t="s">
        <v>38</v>
      </c>
      <c r="J160">
        <v>3</v>
      </c>
      <c r="K160">
        <v>20547.03</v>
      </c>
      <c r="L160" t="s">
        <v>215</v>
      </c>
      <c r="M160">
        <v>26</v>
      </c>
      <c r="N160" t="s">
        <v>36</v>
      </c>
      <c r="O160" s="3" t="s">
        <v>28</v>
      </c>
      <c r="P160" t="s">
        <v>77</v>
      </c>
      <c r="Q160" t="s">
        <v>30</v>
      </c>
      <c r="R160">
        <v>3</v>
      </c>
      <c r="S160" t="s">
        <v>48</v>
      </c>
      <c r="T160" s="4">
        <f t="shared" si="13"/>
        <v>61641.09</v>
      </c>
      <c r="U160" s="4" t="str">
        <f t="shared" si="14"/>
        <v>Average</v>
      </c>
      <c r="V160" s="4" t="str">
        <f t="shared" si="15"/>
        <v>Average</v>
      </c>
      <c r="W160" s="4"/>
      <c r="X160" s="4"/>
      <c r="AJ160" s="4"/>
    </row>
    <row r="161" spans="1:36">
      <c r="A161" t="str">
        <f t="shared" si="11"/>
        <v>Sanj27160</v>
      </c>
      <c r="B161">
        <v>160</v>
      </c>
      <c r="C161">
        <v>23</v>
      </c>
      <c r="D161">
        <v>11</v>
      </c>
      <c r="E161">
        <v>2021</v>
      </c>
      <c r="F161" s="1">
        <f t="shared" si="12"/>
        <v>44523</v>
      </c>
      <c r="G161" s="1" t="s">
        <v>144</v>
      </c>
      <c r="H161" s="2">
        <v>44637</v>
      </c>
      <c r="I161" t="s">
        <v>43</v>
      </c>
      <c r="J161">
        <v>8</v>
      </c>
      <c r="K161">
        <v>18695.95</v>
      </c>
      <c r="L161" t="s">
        <v>216</v>
      </c>
      <c r="M161">
        <v>27</v>
      </c>
      <c r="N161" t="s">
        <v>36</v>
      </c>
      <c r="O161" s="3" t="s">
        <v>22</v>
      </c>
      <c r="P161" t="s">
        <v>137</v>
      </c>
      <c r="Q161" t="s">
        <v>24</v>
      </c>
      <c r="R161">
        <v>4</v>
      </c>
      <c r="S161" t="s">
        <v>57</v>
      </c>
      <c r="T161" s="4">
        <f t="shared" si="13"/>
        <v>149567.6</v>
      </c>
      <c r="U161" s="4" t="str">
        <f t="shared" si="14"/>
        <v>Good</v>
      </c>
      <c r="V161" s="4" t="str">
        <f t="shared" si="15"/>
        <v>Good</v>
      </c>
      <c r="W161" s="4"/>
      <c r="X161" s="4"/>
      <c r="AJ161" s="4"/>
    </row>
    <row r="162" spans="1:36">
      <c r="A162" t="str">
        <f t="shared" si="11"/>
        <v>Radh27161</v>
      </c>
      <c r="B162">
        <v>161</v>
      </c>
      <c r="C162">
        <v>23</v>
      </c>
      <c r="D162">
        <v>11</v>
      </c>
      <c r="E162">
        <v>2021</v>
      </c>
      <c r="F162" s="1">
        <f t="shared" si="12"/>
        <v>44523</v>
      </c>
      <c r="G162" s="1" t="s">
        <v>144</v>
      </c>
      <c r="H162" s="2">
        <v>44638</v>
      </c>
      <c r="I162" t="s">
        <v>26</v>
      </c>
      <c r="J162">
        <v>5</v>
      </c>
      <c r="K162">
        <v>25286.06</v>
      </c>
      <c r="L162" t="s">
        <v>217</v>
      </c>
      <c r="M162">
        <v>27</v>
      </c>
      <c r="N162" t="s">
        <v>36</v>
      </c>
      <c r="O162" s="3" t="s">
        <v>22</v>
      </c>
      <c r="P162" t="s">
        <v>59</v>
      </c>
      <c r="Q162" t="s">
        <v>24</v>
      </c>
      <c r="R162">
        <v>5</v>
      </c>
      <c r="S162" t="s">
        <v>67</v>
      </c>
      <c r="T162" s="4">
        <f t="shared" si="13"/>
        <v>126430.3</v>
      </c>
      <c r="U162" s="4" t="str">
        <f t="shared" si="14"/>
        <v>Good</v>
      </c>
      <c r="V162" s="4" t="str">
        <f t="shared" si="15"/>
        <v>Good</v>
      </c>
      <c r="W162" s="4"/>
      <c r="X162" s="4"/>
      <c r="AJ162" s="4"/>
    </row>
    <row r="163" spans="1:36">
      <c r="A163" t="str">
        <f t="shared" si="11"/>
        <v>Lata26162</v>
      </c>
      <c r="B163">
        <v>162</v>
      </c>
      <c r="C163">
        <v>23</v>
      </c>
      <c r="D163">
        <v>11</v>
      </c>
      <c r="E163">
        <v>2021</v>
      </c>
      <c r="F163" s="1">
        <f t="shared" si="12"/>
        <v>44523</v>
      </c>
      <c r="G163" s="1" t="s">
        <v>144</v>
      </c>
      <c r="H163" s="2">
        <v>44639</v>
      </c>
      <c r="I163" t="s">
        <v>43</v>
      </c>
      <c r="J163">
        <v>3</v>
      </c>
      <c r="K163">
        <v>64871.57</v>
      </c>
      <c r="L163" t="s">
        <v>218</v>
      </c>
      <c r="M163">
        <v>26</v>
      </c>
      <c r="N163" t="s">
        <v>36</v>
      </c>
      <c r="O163" s="3" t="s">
        <v>22</v>
      </c>
      <c r="P163" t="s">
        <v>33</v>
      </c>
      <c r="Q163" t="s">
        <v>30</v>
      </c>
      <c r="R163">
        <v>5</v>
      </c>
      <c r="S163" t="s">
        <v>46</v>
      </c>
      <c r="T163" s="4">
        <f t="shared" si="13"/>
        <v>194614.71</v>
      </c>
      <c r="U163" s="4" t="str">
        <f t="shared" si="14"/>
        <v>Good</v>
      </c>
      <c r="V163" s="4" t="str">
        <f t="shared" si="15"/>
        <v>Good</v>
      </c>
      <c r="W163" s="4"/>
      <c r="X163" s="4"/>
      <c r="AJ163" s="4"/>
    </row>
    <row r="164" spans="1:36">
      <c r="A164" t="str">
        <f t="shared" si="11"/>
        <v>Ravi43163</v>
      </c>
      <c r="B164">
        <v>163</v>
      </c>
      <c r="C164">
        <v>24</v>
      </c>
      <c r="D164">
        <v>11</v>
      </c>
      <c r="E164">
        <v>2021</v>
      </c>
      <c r="F164" s="1">
        <f t="shared" si="12"/>
        <v>44524</v>
      </c>
      <c r="G164" s="1" t="s">
        <v>144</v>
      </c>
      <c r="H164" s="2">
        <v>44640</v>
      </c>
      <c r="I164" t="s">
        <v>19</v>
      </c>
      <c r="J164">
        <v>1</v>
      </c>
      <c r="K164">
        <v>16783.18</v>
      </c>
      <c r="L164" t="s">
        <v>158</v>
      </c>
      <c r="M164">
        <v>43</v>
      </c>
      <c r="N164" t="s">
        <v>21</v>
      </c>
      <c r="O164" s="3" t="s">
        <v>28</v>
      </c>
      <c r="P164" t="s">
        <v>33</v>
      </c>
      <c r="Q164" t="s">
        <v>30</v>
      </c>
      <c r="R164">
        <v>3</v>
      </c>
      <c r="S164" t="s">
        <v>25</v>
      </c>
      <c r="T164" s="4">
        <f t="shared" si="13"/>
        <v>16783.18</v>
      </c>
      <c r="U164" s="4" t="str">
        <f t="shared" si="14"/>
        <v>Average</v>
      </c>
      <c r="V164" s="4" t="str">
        <f t="shared" si="15"/>
        <v>Low</v>
      </c>
      <c r="W164" s="4"/>
      <c r="X164" s="4"/>
      <c r="AJ164" s="4"/>
    </row>
    <row r="165" spans="1:36">
      <c r="A165" t="str">
        <f t="shared" si="11"/>
        <v>Nami52164</v>
      </c>
      <c r="B165">
        <v>164</v>
      </c>
      <c r="C165">
        <v>24</v>
      </c>
      <c r="D165">
        <v>11</v>
      </c>
      <c r="E165">
        <v>2021</v>
      </c>
      <c r="F165" s="1">
        <f t="shared" si="12"/>
        <v>44524</v>
      </c>
      <c r="G165" s="1" t="s">
        <v>144</v>
      </c>
      <c r="H165" s="2">
        <v>44641</v>
      </c>
      <c r="I165" t="s">
        <v>26</v>
      </c>
      <c r="J165">
        <v>3</v>
      </c>
      <c r="K165">
        <v>55445.51</v>
      </c>
      <c r="L165" t="s">
        <v>219</v>
      </c>
      <c r="M165">
        <v>52</v>
      </c>
      <c r="N165" t="s">
        <v>61</v>
      </c>
      <c r="O165" s="3" t="s">
        <v>22</v>
      </c>
      <c r="P165" t="s">
        <v>33</v>
      </c>
      <c r="Q165" t="s">
        <v>30</v>
      </c>
      <c r="R165">
        <v>5</v>
      </c>
      <c r="S165" t="s">
        <v>31</v>
      </c>
      <c r="T165" s="4">
        <f t="shared" si="13"/>
        <v>166336.53</v>
      </c>
      <c r="U165" s="4" t="str">
        <f t="shared" si="14"/>
        <v>Good</v>
      </c>
      <c r="V165" s="4" t="str">
        <f t="shared" si="15"/>
        <v>Good</v>
      </c>
      <c r="W165" s="4"/>
      <c r="X165" s="4"/>
      <c r="AJ165" s="4"/>
    </row>
    <row r="166" spans="1:36">
      <c r="A166" t="str">
        <f t="shared" si="11"/>
        <v>Pooj44165</v>
      </c>
      <c r="B166">
        <v>165</v>
      </c>
      <c r="C166">
        <v>24</v>
      </c>
      <c r="D166">
        <v>11</v>
      </c>
      <c r="E166">
        <v>2021</v>
      </c>
      <c r="F166" s="1">
        <f t="shared" si="12"/>
        <v>44524</v>
      </c>
      <c r="G166" s="1" t="s">
        <v>144</v>
      </c>
      <c r="H166" s="2">
        <v>44642</v>
      </c>
      <c r="I166" t="s">
        <v>19</v>
      </c>
      <c r="J166">
        <v>9</v>
      </c>
      <c r="K166">
        <v>55452.9</v>
      </c>
      <c r="L166" t="s">
        <v>220</v>
      </c>
      <c r="M166">
        <v>44</v>
      </c>
      <c r="N166" t="s">
        <v>21</v>
      </c>
      <c r="O166" s="3" t="s">
        <v>22</v>
      </c>
      <c r="P166" t="s">
        <v>23</v>
      </c>
      <c r="Q166" t="s">
        <v>41</v>
      </c>
      <c r="R166">
        <v>5</v>
      </c>
      <c r="S166" t="s">
        <v>25</v>
      </c>
      <c r="T166" s="4">
        <f t="shared" si="13"/>
        <v>499076.10000000003</v>
      </c>
      <c r="U166" s="4" t="str">
        <f t="shared" si="14"/>
        <v>Good</v>
      </c>
      <c r="V166" s="4" t="str">
        <f t="shared" si="15"/>
        <v>Excellent</v>
      </c>
      <c r="W166" s="4"/>
      <c r="X166" s="4"/>
      <c r="AJ166" s="4"/>
    </row>
    <row r="167" spans="1:36">
      <c r="A167" t="str">
        <f t="shared" si="11"/>
        <v>Reen48166</v>
      </c>
      <c r="B167">
        <v>166</v>
      </c>
      <c r="C167">
        <v>24</v>
      </c>
      <c r="D167">
        <v>11</v>
      </c>
      <c r="E167">
        <v>2021</v>
      </c>
      <c r="F167" s="1">
        <f t="shared" si="12"/>
        <v>44524</v>
      </c>
      <c r="G167" s="1" t="s">
        <v>144</v>
      </c>
      <c r="H167" s="2">
        <v>44643</v>
      </c>
      <c r="I167" t="s">
        <v>26</v>
      </c>
      <c r="J167">
        <v>5</v>
      </c>
      <c r="K167">
        <v>58586.22</v>
      </c>
      <c r="L167" t="s">
        <v>221</v>
      </c>
      <c r="M167">
        <v>48</v>
      </c>
      <c r="N167" t="s">
        <v>61</v>
      </c>
      <c r="O167" s="3" t="s">
        <v>22</v>
      </c>
      <c r="P167" t="s">
        <v>29</v>
      </c>
      <c r="Q167" t="s">
        <v>24</v>
      </c>
      <c r="R167">
        <v>5</v>
      </c>
      <c r="S167" t="s">
        <v>34</v>
      </c>
      <c r="T167" s="4">
        <f t="shared" si="13"/>
        <v>292931.09999999998</v>
      </c>
      <c r="U167" s="4" t="str">
        <f t="shared" si="14"/>
        <v>Good</v>
      </c>
      <c r="V167" s="4" t="str">
        <f t="shared" si="15"/>
        <v>Excellent</v>
      </c>
      <c r="W167" s="4"/>
      <c r="X167" s="4"/>
      <c r="AJ167" s="4"/>
    </row>
    <row r="168" spans="1:36">
      <c r="A168" t="str">
        <f t="shared" si="11"/>
        <v>Pooj36167</v>
      </c>
      <c r="B168">
        <v>167</v>
      </c>
      <c r="C168">
        <v>25</v>
      </c>
      <c r="D168">
        <v>11</v>
      </c>
      <c r="E168">
        <v>2021</v>
      </c>
      <c r="F168" s="1">
        <f t="shared" si="12"/>
        <v>44525</v>
      </c>
      <c r="G168" s="1" t="s">
        <v>144</v>
      </c>
      <c r="H168" s="2">
        <v>44644</v>
      </c>
      <c r="I168" t="s">
        <v>49</v>
      </c>
      <c r="J168">
        <v>2</v>
      </c>
      <c r="K168">
        <v>63196.93</v>
      </c>
      <c r="L168" t="s">
        <v>222</v>
      </c>
      <c r="M168">
        <v>36</v>
      </c>
      <c r="N168" t="s">
        <v>21</v>
      </c>
      <c r="O168" s="3" t="s">
        <v>22</v>
      </c>
      <c r="P168" t="s">
        <v>29</v>
      </c>
      <c r="Q168" t="s">
        <v>30</v>
      </c>
      <c r="R168">
        <v>5</v>
      </c>
      <c r="S168" t="s">
        <v>52</v>
      </c>
      <c r="T168" s="4">
        <f t="shared" si="13"/>
        <v>126393.86</v>
      </c>
      <c r="U168" s="4" t="str">
        <f t="shared" si="14"/>
        <v>Good</v>
      </c>
      <c r="V168" s="4" t="str">
        <f t="shared" si="15"/>
        <v>Good</v>
      </c>
      <c r="W168" s="4"/>
      <c r="X168" s="4"/>
      <c r="AJ168" s="4"/>
    </row>
    <row r="169" spans="1:36">
      <c r="A169" t="str">
        <f t="shared" si="11"/>
        <v>Bhav55168</v>
      </c>
      <c r="B169">
        <v>168</v>
      </c>
      <c r="C169">
        <v>25</v>
      </c>
      <c r="D169">
        <v>11</v>
      </c>
      <c r="E169">
        <v>2021</v>
      </c>
      <c r="F169" s="1">
        <f t="shared" si="12"/>
        <v>44525</v>
      </c>
      <c r="G169" s="1" t="s">
        <v>144</v>
      </c>
      <c r="H169" s="2">
        <v>44645</v>
      </c>
      <c r="I169" t="s">
        <v>38</v>
      </c>
      <c r="J169">
        <v>7</v>
      </c>
      <c r="K169">
        <v>25782.17</v>
      </c>
      <c r="L169" t="s">
        <v>223</v>
      </c>
      <c r="M169">
        <v>55</v>
      </c>
      <c r="N169" t="s">
        <v>61</v>
      </c>
      <c r="O169" s="3" t="s">
        <v>22</v>
      </c>
      <c r="P169" t="s">
        <v>33</v>
      </c>
      <c r="Q169" t="s">
        <v>56</v>
      </c>
      <c r="R169">
        <v>5</v>
      </c>
      <c r="S169" t="s">
        <v>48</v>
      </c>
      <c r="T169" s="4">
        <f t="shared" si="13"/>
        <v>180475.19</v>
      </c>
      <c r="U169" s="4" t="str">
        <f t="shared" si="14"/>
        <v>Good</v>
      </c>
      <c r="V169" s="4" t="str">
        <f t="shared" si="15"/>
        <v>Good</v>
      </c>
      <c r="W169" s="4"/>
      <c r="X169" s="4"/>
      <c r="AJ169" s="4"/>
    </row>
    <row r="170" spans="1:36">
      <c r="A170" t="str">
        <f t="shared" si="11"/>
        <v>Nami23169</v>
      </c>
      <c r="B170">
        <v>169</v>
      </c>
      <c r="C170">
        <v>25</v>
      </c>
      <c r="D170">
        <v>11</v>
      </c>
      <c r="E170">
        <v>2021</v>
      </c>
      <c r="F170" s="1">
        <f t="shared" si="12"/>
        <v>44525</v>
      </c>
      <c r="G170" s="1" t="s">
        <v>144</v>
      </c>
      <c r="H170" s="2">
        <v>44646</v>
      </c>
      <c r="I170" t="s">
        <v>49</v>
      </c>
      <c r="J170">
        <v>2</v>
      </c>
      <c r="K170">
        <v>23473.57</v>
      </c>
      <c r="L170" t="s">
        <v>219</v>
      </c>
      <c r="M170">
        <v>23</v>
      </c>
      <c r="N170" t="s">
        <v>36</v>
      </c>
      <c r="O170" s="3" t="s">
        <v>22</v>
      </c>
      <c r="P170" t="s">
        <v>117</v>
      </c>
      <c r="Q170" t="s">
        <v>30</v>
      </c>
      <c r="R170">
        <v>5</v>
      </c>
      <c r="S170" t="s">
        <v>102</v>
      </c>
      <c r="T170" s="4">
        <f t="shared" si="13"/>
        <v>46947.14</v>
      </c>
      <c r="U170" s="4" t="str">
        <f t="shared" si="14"/>
        <v>Good</v>
      </c>
      <c r="V170" s="4" t="str">
        <f t="shared" si="15"/>
        <v>Low</v>
      </c>
      <c r="W170" s="4"/>
      <c r="X170" s="4"/>
      <c r="AJ170" s="4"/>
    </row>
    <row r="171" spans="1:36">
      <c r="A171" t="str">
        <f t="shared" si="11"/>
        <v>Amit32170</v>
      </c>
      <c r="B171">
        <v>170</v>
      </c>
      <c r="C171">
        <v>26</v>
      </c>
      <c r="D171">
        <v>11</v>
      </c>
      <c r="E171">
        <v>2021</v>
      </c>
      <c r="F171" s="1">
        <f t="shared" si="12"/>
        <v>44526</v>
      </c>
      <c r="G171" s="1" t="s">
        <v>144</v>
      </c>
      <c r="H171" s="2">
        <v>44647</v>
      </c>
      <c r="I171" t="s">
        <v>19</v>
      </c>
      <c r="J171">
        <v>4</v>
      </c>
      <c r="K171">
        <v>37930.339999999997</v>
      </c>
      <c r="L171" t="s">
        <v>224</v>
      </c>
      <c r="M171">
        <v>32</v>
      </c>
      <c r="N171" t="s">
        <v>21</v>
      </c>
      <c r="O171" s="3" t="s">
        <v>22</v>
      </c>
      <c r="P171" t="s">
        <v>51</v>
      </c>
      <c r="Q171" t="s">
        <v>56</v>
      </c>
      <c r="R171">
        <v>5</v>
      </c>
      <c r="S171" t="s">
        <v>84</v>
      </c>
      <c r="T171" s="4">
        <f t="shared" si="13"/>
        <v>151721.35999999999</v>
      </c>
      <c r="U171" s="4" t="str">
        <f t="shared" si="14"/>
        <v>Good</v>
      </c>
      <c r="V171" s="4" t="str">
        <f t="shared" si="15"/>
        <v>Good</v>
      </c>
      <c r="W171" s="4"/>
      <c r="X171" s="4"/>
      <c r="AJ171" s="4"/>
    </row>
    <row r="172" spans="1:36">
      <c r="A172" t="str">
        <f t="shared" si="11"/>
        <v>Sanj46171</v>
      </c>
      <c r="B172">
        <v>171</v>
      </c>
      <c r="C172">
        <v>26</v>
      </c>
      <c r="D172">
        <v>11</v>
      </c>
      <c r="E172">
        <v>2021</v>
      </c>
      <c r="F172" s="1">
        <f t="shared" si="12"/>
        <v>44526</v>
      </c>
      <c r="G172" s="1" t="s">
        <v>144</v>
      </c>
      <c r="H172" s="2">
        <v>44648</v>
      </c>
      <c r="I172" t="s">
        <v>38</v>
      </c>
      <c r="J172">
        <v>7</v>
      </c>
      <c r="K172">
        <v>25905.35</v>
      </c>
      <c r="L172" t="s">
        <v>151</v>
      </c>
      <c r="M172">
        <v>46</v>
      </c>
      <c r="N172" t="s">
        <v>61</v>
      </c>
      <c r="O172" s="3" t="s">
        <v>22</v>
      </c>
      <c r="P172" t="s">
        <v>29</v>
      </c>
      <c r="Q172" t="s">
        <v>41</v>
      </c>
      <c r="R172">
        <v>5</v>
      </c>
      <c r="S172" t="s">
        <v>42</v>
      </c>
      <c r="T172" s="4">
        <f t="shared" si="13"/>
        <v>181337.44999999998</v>
      </c>
      <c r="U172" s="4" t="str">
        <f t="shared" si="14"/>
        <v>Good</v>
      </c>
      <c r="V172" s="4" t="str">
        <f t="shared" si="15"/>
        <v>Good</v>
      </c>
      <c r="W172" s="4"/>
      <c r="X172" s="4"/>
      <c r="AJ172" s="4"/>
    </row>
    <row r="173" spans="1:36">
      <c r="A173" t="str">
        <f t="shared" si="11"/>
        <v>Shru22172</v>
      </c>
      <c r="B173">
        <v>172</v>
      </c>
      <c r="C173">
        <v>26</v>
      </c>
      <c r="D173">
        <v>11</v>
      </c>
      <c r="E173">
        <v>2021</v>
      </c>
      <c r="F173" s="1">
        <f t="shared" si="12"/>
        <v>44526</v>
      </c>
      <c r="G173" s="1" t="s">
        <v>144</v>
      </c>
      <c r="H173" s="2">
        <v>44649</v>
      </c>
      <c r="I173" t="s">
        <v>26</v>
      </c>
      <c r="J173">
        <v>4</v>
      </c>
      <c r="K173">
        <v>54058.6</v>
      </c>
      <c r="L173" t="s">
        <v>225</v>
      </c>
      <c r="M173">
        <v>22</v>
      </c>
      <c r="N173" t="s">
        <v>36</v>
      </c>
      <c r="O173" s="3" t="s">
        <v>22</v>
      </c>
      <c r="P173" t="s">
        <v>29</v>
      </c>
      <c r="Q173" t="s">
        <v>56</v>
      </c>
      <c r="R173">
        <v>5</v>
      </c>
      <c r="S173" t="s">
        <v>67</v>
      </c>
      <c r="T173" s="4">
        <f t="shared" si="13"/>
        <v>216234.4</v>
      </c>
      <c r="U173" s="4" t="str">
        <f t="shared" si="14"/>
        <v>Good</v>
      </c>
      <c r="V173" s="4" t="str">
        <f t="shared" si="15"/>
        <v>Excellent</v>
      </c>
      <c r="W173" s="4"/>
      <c r="X173" s="4"/>
      <c r="AJ173" s="4"/>
    </row>
    <row r="174" spans="1:36">
      <c r="A174" t="str">
        <f t="shared" si="11"/>
        <v>Sumi31173</v>
      </c>
      <c r="B174">
        <v>173</v>
      </c>
      <c r="C174">
        <v>26</v>
      </c>
      <c r="D174">
        <v>11</v>
      </c>
      <c r="E174">
        <v>2021</v>
      </c>
      <c r="F174" s="1">
        <f t="shared" si="12"/>
        <v>44526</v>
      </c>
      <c r="G174" s="1" t="s">
        <v>144</v>
      </c>
      <c r="H174" s="2">
        <v>44650</v>
      </c>
      <c r="I174" t="s">
        <v>38</v>
      </c>
      <c r="J174">
        <v>7</v>
      </c>
      <c r="K174">
        <v>48156.37</v>
      </c>
      <c r="L174" t="s">
        <v>226</v>
      </c>
      <c r="M174">
        <v>31</v>
      </c>
      <c r="N174" t="s">
        <v>21</v>
      </c>
      <c r="O174" s="3" t="s">
        <v>22</v>
      </c>
      <c r="P174" t="s">
        <v>137</v>
      </c>
      <c r="Q174" t="s">
        <v>24</v>
      </c>
      <c r="R174">
        <v>5</v>
      </c>
      <c r="S174" t="s">
        <v>99</v>
      </c>
      <c r="T174" s="4">
        <f t="shared" si="13"/>
        <v>337094.59</v>
      </c>
      <c r="U174" s="4" t="str">
        <f t="shared" si="14"/>
        <v>Good</v>
      </c>
      <c r="V174" s="4" t="str">
        <f t="shared" si="15"/>
        <v>Excellent</v>
      </c>
      <c r="W174" s="4"/>
      <c r="X174" s="4"/>
      <c r="AJ174" s="4"/>
    </row>
    <row r="175" spans="1:36">
      <c r="A175" t="str">
        <f t="shared" si="11"/>
        <v>Bina19174</v>
      </c>
      <c r="B175">
        <v>174</v>
      </c>
      <c r="C175">
        <v>27</v>
      </c>
      <c r="D175">
        <v>11</v>
      </c>
      <c r="E175">
        <v>2021</v>
      </c>
      <c r="F175" s="1">
        <f t="shared" si="12"/>
        <v>44527</v>
      </c>
      <c r="G175" s="1" t="s">
        <v>144</v>
      </c>
      <c r="H175" s="2">
        <v>44651</v>
      </c>
      <c r="I175" t="s">
        <v>43</v>
      </c>
      <c r="J175">
        <v>7</v>
      </c>
      <c r="K175">
        <v>62499.26</v>
      </c>
      <c r="L175" t="s">
        <v>227</v>
      </c>
      <c r="M175">
        <v>19</v>
      </c>
      <c r="N175" t="s">
        <v>36</v>
      </c>
      <c r="O175" s="3" t="s">
        <v>22</v>
      </c>
      <c r="P175" t="s">
        <v>132</v>
      </c>
      <c r="Q175" t="s">
        <v>41</v>
      </c>
      <c r="R175">
        <v>5</v>
      </c>
      <c r="S175" t="s">
        <v>57</v>
      </c>
      <c r="T175" s="4">
        <f t="shared" si="13"/>
        <v>437494.82</v>
      </c>
      <c r="U175" s="4" t="str">
        <f t="shared" si="14"/>
        <v>Good</v>
      </c>
      <c r="V175" s="4" t="str">
        <f t="shared" si="15"/>
        <v>Excellent</v>
      </c>
      <c r="W175" s="4"/>
      <c r="X175" s="4"/>
      <c r="AJ175" s="4"/>
    </row>
    <row r="176" spans="1:36">
      <c r="A176" t="str">
        <f t="shared" si="11"/>
        <v>Anit40175</v>
      </c>
      <c r="B176">
        <v>175</v>
      </c>
      <c r="C176">
        <v>27</v>
      </c>
      <c r="D176">
        <v>11</v>
      </c>
      <c r="E176">
        <v>2021</v>
      </c>
      <c r="F176" s="1">
        <f t="shared" si="12"/>
        <v>44527</v>
      </c>
      <c r="G176" s="1" t="s">
        <v>144</v>
      </c>
      <c r="H176" s="2">
        <v>44652</v>
      </c>
      <c r="I176" t="s">
        <v>38</v>
      </c>
      <c r="J176">
        <v>1</v>
      </c>
      <c r="K176">
        <v>14964.3</v>
      </c>
      <c r="L176" t="s">
        <v>205</v>
      </c>
      <c r="M176">
        <v>40</v>
      </c>
      <c r="N176" t="s">
        <v>21</v>
      </c>
      <c r="O176" s="3" t="s">
        <v>22</v>
      </c>
      <c r="P176" t="s">
        <v>66</v>
      </c>
      <c r="Q176" t="s">
        <v>41</v>
      </c>
      <c r="R176">
        <v>5</v>
      </c>
      <c r="S176" t="s">
        <v>99</v>
      </c>
      <c r="T176" s="4">
        <f t="shared" si="13"/>
        <v>14964.3</v>
      </c>
      <c r="U176" s="4" t="str">
        <f t="shared" si="14"/>
        <v>Good</v>
      </c>
      <c r="V176" s="4" t="str">
        <f t="shared" si="15"/>
        <v>Low</v>
      </c>
      <c r="W176" s="4"/>
      <c r="X176" s="4"/>
      <c r="AJ176" s="4"/>
    </row>
    <row r="177" spans="1:36">
      <c r="A177" t="str">
        <f t="shared" si="11"/>
        <v>Reen36176</v>
      </c>
      <c r="B177">
        <v>176</v>
      </c>
      <c r="C177">
        <v>27</v>
      </c>
      <c r="D177">
        <v>11</v>
      </c>
      <c r="E177">
        <v>2021</v>
      </c>
      <c r="F177" s="1">
        <f t="shared" si="12"/>
        <v>44527</v>
      </c>
      <c r="G177" s="1" t="s">
        <v>144</v>
      </c>
      <c r="H177" s="2">
        <v>44653</v>
      </c>
      <c r="I177" t="s">
        <v>43</v>
      </c>
      <c r="J177">
        <v>6</v>
      </c>
      <c r="K177">
        <v>64905</v>
      </c>
      <c r="L177" t="s">
        <v>228</v>
      </c>
      <c r="M177">
        <v>36</v>
      </c>
      <c r="N177" t="s">
        <v>21</v>
      </c>
      <c r="O177" s="3" t="s">
        <v>22</v>
      </c>
      <c r="P177" t="s">
        <v>150</v>
      </c>
      <c r="Q177" t="s">
        <v>30</v>
      </c>
      <c r="R177">
        <v>5</v>
      </c>
      <c r="S177" t="s">
        <v>57</v>
      </c>
      <c r="T177" s="4">
        <f t="shared" si="13"/>
        <v>389430</v>
      </c>
      <c r="U177" s="4" t="str">
        <f t="shared" si="14"/>
        <v>Good</v>
      </c>
      <c r="V177" s="4" t="str">
        <f t="shared" si="15"/>
        <v>Excellent</v>
      </c>
      <c r="W177" s="4"/>
      <c r="X177" s="4"/>
      <c r="AJ177" s="4"/>
    </row>
    <row r="178" spans="1:36">
      <c r="A178" t="str">
        <f t="shared" si="11"/>
        <v>Vive41177</v>
      </c>
      <c r="B178">
        <v>177</v>
      </c>
      <c r="C178">
        <v>27</v>
      </c>
      <c r="D178">
        <v>11</v>
      </c>
      <c r="E178">
        <v>2021</v>
      </c>
      <c r="F178" s="1">
        <f t="shared" si="12"/>
        <v>44527</v>
      </c>
      <c r="G178" s="1" t="s">
        <v>144</v>
      </c>
      <c r="H178" s="2">
        <v>44654</v>
      </c>
      <c r="I178" t="s">
        <v>38</v>
      </c>
      <c r="J178">
        <v>9</v>
      </c>
      <c r="K178">
        <v>27600.92</v>
      </c>
      <c r="L178" t="s">
        <v>229</v>
      </c>
      <c r="M178">
        <v>41</v>
      </c>
      <c r="N178" t="s">
        <v>21</v>
      </c>
      <c r="O178" s="3" t="s">
        <v>28</v>
      </c>
      <c r="P178" t="s">
        <v>70</v>
      </c>
      <c r="Q178" t="s">
        <v>41</v>
      </c>
      <c r="R178">
        <v>3</v>
      </c>
      <c r="S178" t="s">
        <v>48</v>
      </c>
      <c r="T178" s="4">
        <f t="shared" si="13"/>
        <v>248408.27999999997</v>
      </c>
      <c r="U178" s="4" t="str">
        <f t="shared" si="14"/>
        <v>Average</v>
      </c>
      <c r="V178" s="4" t="str">
        <f t="shared" si="15"/>
        <v>Excellent</v>
      </c>
      <c r="W178" s="4"/>
      <c r="X178" s="4"/>
      <c r="AJ178" s="4"/>
    </row>
    <row r="179" spans="1:36">
      <c r="A179" t="str">
        <f t="shared" si="11"/>
        <v>Kavi37178</v>
      </c>
      <c r="B179">
        <v>178</v>
      </c>
      <c r="C179">
        <v>28</v>
      </c>
      <c r="D179">
        <v>11</v>
      </c>
      <c r="E179">
        <v>2021</v>
      </c>
      <c r="F179" s="1">
        <f t="shared" si="12"/>
        <v>44528</v>
      </c>
      <c r="G179" s="1" t="s">
        <v>144</v>
      </c>
      <c r="H179" s="2">
        <v>44655</v>
      </c>
      <c r="I179" t="s">
        <v>43</v>
      </c>
      <c r="J179">
        <v>2</v>
      </c>
      <c r="K179">
        <v>39441.660000000003</v>
      </c>
      <c r="L179" t="s">
        <v>230</v>
      </c>
      <c r="M179">
        <v>37</v>
      </c>
      <c r="N179" t="s">
        <v>21</v>
      </c>
      <c r="O179" s="3" t="s">
        <v>22</v>
      </c>
      <c r="P179" t="s">
        <v>29</v>
      </c>
      <c r="Q179" t="s">
        <v>41</v>
      </c>
      <c r="R179">
        <v>5</v>
      </c>
      <c r="S179" t="s">
        <v>46</v>
      </c>
      <c r="T179" s="4">
        <f t="shared" si="13"/>
        <v>78883.320000000007</v>
      </c>
      <c r="U179" s="4" t="str">
        <f t="shared" si="14"/>
        <v>Good</v>
      </c>
      <c r="V179" s="4" t="str">
        <f t="shared" si="15"/>
        <v>Average</v>
      </c>
      <c r="W179" s="4"/>
      <c r="X179" s="4"/>
      <c r="AJ179" s="4"/>
    </row>
    <row r="180" spans="1:36">
      <c r="A180" t="str">
        <f t="shared" si="11"/>
        <v>Anja44179</v>
      </c>
      <c r="B180">
        <v>179</v>
      </c>
      <c r="C180">
        <v>28</v>
      </c>
      <c r="D180">
        <v>11</v>
      </c>
      <c r="E180">
        <v>2021</v>
      </c>
      <c r="F180" s="1">
        <f t="shared" si="12"/>
        <v>44528</v>
      </c>
      <c r="G180" s="1" t="s">
        <v>144</v>
      </c>
      <c r="H180" s="2">
        <v>44656</v>
      </c>
      <c r="I180" t="s">
        <v>19</v>
      </c>
      <c r="J180">
        <v>3</v>
      </c>
      <c r="K180">
        <v>36316.69</v>
      </c>
      <c r="L180" t="s">
        <v>231</v>
      </c>
      <c r="M180">
        <v>44</v>
      </c>
      <c r="N180" t="s">
        <v>21</v>
      </c>
      <c r="O180" s="3" t="s">
        <v>22</v>
      </c>
      <c r="P180" t="s">
        <v>33</v>
      </c>
      <c r="Q180" t="s">
        <v>56</v>
      </c>
      <c r="R180">
        <v>5</v>
      </c>
      <c r="S180" t="s">
        <v>37</v>
      </c>
      <c r="T180" s="4">
        <f t="shared" si="13"/>
        <v>108950.07</v>
      </c>
      <c r="U180" s="4" t="str">
        <f t="shared" si="14"/>
        <v>Good</v>
      </c>
      <c r="V180" s="4" t="str">
        <f t="shared" si="15"/>
        <v>Good</v>
      </c>
      <c r="W180" s="4"/>
      <c r="X180" s="4"/>
      <c r="AJ180" s="4"/>
    </row>
    <row r="181" spans="1:36">
      <c r="A181" t="str">
        <f t="shared" si="11"/>
        <v>Vija41180</v>
      </c>
      <c r="B181">
        <v>180</v>
      </c>
      <c r="C181">
        <v>28</v>
      </c>
      <c r="D181">
        <v>11</v>
      </c>
      <c r="E181">
        <v>2021</v>
      </c>
      <c r="F181" s="1">
        <f t="shared" si="12"/>
        <v>44528</v>
      </c>
      <c r="G181" s="1" t="s">
        <v>144</v>
      </c>
      <c r="H181" s="2">
        <v>44657</v>
      </c>
      <c r="I181" t="s">
        <v>49</v>
      </c>
      <c r="J181">
        <v>5</v>
      </c>
      <c r="K181">
        <v>55618.7</v>
      </c>
      <c r="L181" t="s">
        <v>232</v>
      </c>
      <c r="M181">
        <v>41</v>
      </c>
      <c r="N181" t="s">
        <v>21</v>
      </c>
      <c r="O181" s="3" t="s">
        <v>22</v>
      </c>
      <c r="P181" t="s">
        <v>29</v>
      </c>
      <c r="Q181" t="s">
        <v>30</v>
      </c>
      <c r="R181">
        <v>4</v>
      </c>
      <c r="S181" t="s">
        <v>88</v>
      </c>
      <c r="T181" s="4">
        <f t="shared" si="13"/>
        <v>278093.5</v>
      </c>
      <c r="U181" s="4" t="str">
        <f t="shared" si="14"/>
        <v>Good</v>
      </c>
      <c r="V181" s="4" t="str">
        <f t="shared" si="15"/>
        <v>Excellent</v>
      </c>
      <c r="W181" s="4"/>
      <c r="X181" s="4"/>
      <c r="AJ181" s="4"/>
    </row>
    <row r="182" spans="1:36">
      <c r="A182" t="str">
        <f t="shared" si="11"/>
        <v>Vive34181</v>
      </c>
      <c r="B182">
        <v>181</v>
      </c>
      <c r="C182">
        <v>29</v>
      </c>
      <c r="D182">
        <v>11</v>
      </c>
      <c r="E182">
        <v>2021</v>
      </c>
      <c r="F182" s="1">
        <f t="shared" si="12"/>
        <v>44529</v>
      </c>
      <c r="G182" s="1" t="s">
        <v>144</v>
      </c>
      <c r="H182" s="2">
        <v>44658</v>
      </c>
      <c r="I182" t="s">
        <v>26</v>
      </c>
      <c r="J182">
        <v>9</v>
      </c>
      <c r="K182">
        <v>35220</v>
      </c>
      <c r="L182" t="s">
        <v>233</v>
      </c>
      <c r="M182">
        <v>34</v>
      </c>
      <c r="N182" t="s">
        <v>21</v>
      </c>
      <c r="O182" s="3" t="s">
        <v>22</v>
      </c>
      <c r="P182" t="s">
        <v>40</v>
      </c>
      <c r="Q182" t="s">
        <v>24</v>
      </c>
      <c r="R182">
        <v>5</v>
      </c>
      <c r="S182" t="s">
        <v>31</v>
      </c>
      <c r="T182" s="4">
        <f t="shared" si="13"/>
        <v>316980</v>
      </c>
      <c r="U182" s="4" t="str">
        <f t="shared" si="14"/>
        <v>Good</v>
      </c>
      <c r="V182" s="4" t="str">
        <f t="shared" si="15"/>
        <v>Excellent</v>
      </c>
      <c r="W182" s="4"/>
      <c r="X182" s="4"/>
      <c r="AJ182" s="4"/>
    </row>
    <row r="183" spans="1:36">
      <c r="A183" t="str">
        <f t="shared" si="11"/>
        <v>Sneh42182</v>
      </c>
      <c r="B183">
        <v>182</v>
      </c>
      <c r="C183">
        <v>29</v>
      </c>
      <c r="D183">
        <v>11</v>
      </c>
      <c r="E183">
        <v>2021</v>
      </c>
      <c r="F183" s="1">
        <f t="shared" si="12"/>
        <v>44529</v>
      </c>
      <c r="G183" s="1" t="s">
        <v>144</v>
      </c>
      <c r="H183" s="2">
        <v>44659</v>
      </c>
      <c r="I183" t="s">
        <v>38</v>
      </c>
      <c r="J183">
        <v>4</v>
      </c>
      <c r="K183">
        <v>66613.19</v>
      </c>
      <c r="L183" t="s">
        <v>234</v>
      </c>
      <c r="M183">
        <v>42</v>
      </c>
      <c r="N183" t="s">
        <v>21</v>
      </c>
      <c r="O183" s="3" t="s">
        <v>22</v>
      </c>
      <c r="P183" t="s">
        <v>29</v>
      </c>
      <c r="Q183" t="s">
        <v>30</v>
      </c>
      <c r="R183">
        <v>4</v>
      </c>
      <c r="S183" t="s">
        <v>48</v>
      </c>
      <c r="T183" s="4">
        <f t="shared" si="13"/>
        <v>266452.76</v>
      </c>
      <c r="U183" s="4" t="str">
        <f t="shared" si="14"/>
        <v>Good</v>
      </c>
      <c r="V183" s="4" t="str">
        <f t="shared" si="15"/>
        <v>Excellent</v>
      </c>
      <c r="W183" s="4"/>
      <c r="X183" s="4"/>
      <c r="AJ183" s="4"/>
    </row>
    <row r="184" spans="1:36">
      <c r="A184" t="str">
        <f t="shared" si="11"/>
        <v>Nikh48183</v>
      </c>
      <c r="B184">
        <v>183</v>
      </c>
      <c r="C184">
        <v>29</v>
      </c>
      <c r="D184">
        <v>11</v>
      </c>
      <c r="E184">
        <v>2021</v>
      </c>
      <c r="F184" s="1">
        <f t="shared" si="12"/>
        <v>44529</v>
      </c>
      <c r="G184" s="1" t="s">
        <v>144</v>
      </c>
      <c r="H184" s="2">
        <v>44660</v>
      </c>
      <c r="I184" t="s">
        <v>49</v>
      </c>
      <c r="J184">
        <v>1</v>
      </c>
      <c r="K184">
        <v>64152.03</v>
      </c>
      <c r="L184" t="s">
        <v>162</v>
      </c>
      <c r="M184">
        <v>48</v>
      </c>
      <c r="N184" t="s">
        <v>61</v>
      </c>
      <c r="O184" s="3" t="s">
        <v>28</v>
      </c>
      <c r="P184" t="s">
        <v>117</v>
      </c>
      <c r="Q184" t="s">
        <v>24</v>
      </c>
      <c r="R184">
        <v>3</v>
      </c>
      <c r="S184" t="s">
        <v>102</v>
      </c>
      <c r="T184" s="4">
        <f t="shared" si="13"/>
        <v>64152.03</v>
      </c>
      <c r="U184" s="4" t="str">
        <f t="shared" si="14"/>
        <v>Average</v>
      </c>
      <c r="V184" s="4" t="str">
        <f t="shared" si="15"/>
        <v>Average</v>
      </c>
      <c r="W184" s="4"/>
      <c r="X184" s="4"/>
      <c r="AJ184" s="4"/>
    </row>
    <row r="185" spans="1:36">
      <c r="A185" t="str">
        <f t="shared" si="11"/>
        <v>Mano45184</v>
      </c>
      <c r="B185">
        <v>184</v>
      </c>
      <c r="C185">
        <v>29</v>
      </c>
      <c r="D185">
        <v>11</v>
      </c>
      <c r="E185">
        <v>2021</v>
      </c>
      <c r="F185" s="1">
        <f t="shared" si="12"/>
        <v>44529</v>
      </c>
      <c r="G185" s="1" t="s">
        <v>144</v>
      </c>
      <c r="H185" s="2">
        <v>44661</v>
      </c>
      <c r="I185" t="s">
        <v>26</v>
      </c>
      <c r="J185">
        <v>4</v>
      </c>
      <c r="K185">
        <v>62329.67</v>
      </c>
      <c r="L185" t="s">
        <v>235</v>
      </c>
      <c r="M185">
        <v>45</v>
      </c>
      <c r="N185" t="s">
        <v>21</v>
      </c>
      <c r="O185" s="3" t="s">
        <v>22</v>
      </c>
      <c r="P185" t="s">
        <v>29</v>
      </c>
      <c r="Q185" t="s">
        <v>56</v>
      </c>
      <c r="R185">
        <v>5</v>
      </c>
      <c r="S185" t="s">
        <v>31</v>
      </c>
      <c r="T185" s="4">
        <f t="shared" si="13"/>
        <v>249318.68</v>
      </c>
      <c r="U185" s="4" t="str">
        <f t="shared" si="14"/>
        <v>Good</v>
      </c>
      <c r="V185" s="4" t="str">
        <f t="shared" si="15"/>
        <v>Excellent</v>
      </c>
      <c r="W185" s="4"/>
      <c r="X185" s="4"/>
      <c r="AJ185" s="4"/>
    </row>
    <row r="186" spans="1:36">
      <c r="A186" t="str">
        <f t="shared" si="11"/>
        <v>Lali45185</v>
      </c>
      <c r="B186">
        <v>185</v>
      </c>
      <c r="C186">
        <v>30</v>
      </c>
      <c r="D186">
        <v>11</v>
      </c>
      <c r="E186">
        <v>2021</v>
      </c>
      <c r="F186" s="1">
        <f t="shared" si="12"/>
        <v>44530</v>
      </c>
      <c r="G186" s="1" t="s">
        <v>144</v>
      </c>
      <c r="H186" s="2">
        <v>44662</v>
      </c>
      <c r="I186" t="s">
        <v>26</v>
      </c>
      <c r="J186">
        <v>6</v>
      </c>
      <c r="K186">
        <v>14275.5</v>
      </c>
      <c r="L186" t="s">
        <v>236</v>
      </c>
      <c r="M186">
        <v>45</v>
      </c>
      <c r="N186" t="s">
        <v>21</v>
      </c>
      <c r="O186" s="3" t="s">
        <v>28</v>
      </c>
      <c r="P186" t="s">
        <v>77</v>
      </c>
      <c r="Q186" t="s">
        <v>41</v>
      </c>
      <c r="R186">
        <v>3</v>
      </c>
      <c r="S186" t="s">
        <v>31</v>
      </c>
      <c r="T186" s="4">
        <f t="shared" si="13"/>
        <v>85653</v>
      </c>
      <c r="U186" s="4" t="str">
        <f t="shared" si="14"/>
        <v>Average</v>
      </c>
      <c r="V186" s="4" t="str">
        <f t="shared" si="15"/>
        <v>Average</v>
      </c>
      <c r="W186" s="4"/>
      <c r="X186" s="4"/>
      <c r="AJ186" s="4"/>
    </row>
    <row r="187" spans="1:36">
      <c r="A187" t="str">
        <f t="shared" si="11"/>
        <v>Nikh39186</v>
      </c>
      <c r="B187">
        <v>186</v>
      </c>
      <c r="C187">
        <v>30</v>
      </c>
      <c r="D187">
        <v>11</v>
      </c>
      <c r="E187">
        <v>2021</v>
      </c>
      <c r="F187" s="1">
        <f t="shared" si="12"/>
        <v>44530</v>
      </c>
      <c r="G187" s="1" t="s">
        <v>144</v>
      </c>
      <c r="H187" s="2">
        <v>44663</v>
      </c>
      <c r="I187" t="s">
        <v>43</v>
      </c>
      <c r="J187">
        <v>5</v>
      </c>
      <c r="K187">
        <v>61255.48</v>
      </c>
      <c r="L187" t="s">
        <v>237</v>
      </c>
      <c r="M187">
        <v>39</v>
      </c>
      <c r="N187" t="s">
        <v>21</v>
      </c>
      <c r="O187" s="3" t="s">
        <v>22</v>
      </c>
      <c r="P187" t="s">
        <v>137</v>
      </c>
      <c r="Q187" t="s">
        <v>41</v>
      </c>
      <c r="R187">
        <v>5</v>
      </c>
      <c r="S187" t="s">
        <v>95</v>
      </c>
      <c r="T187" s="4">
        <f t="shared" si="13"/>
        <v>306277.40000000002</v>
      </c>
      <c r="U187" s="4" t="str">
        <f t="shared" si="14"/>
        <v>Good</v>
      </c>
      <c r="V187" s="4" t="str">
        <f t="shared" si="15"/>
        <v>Excellent</v>
      </c>
      <c r="W187" s="4"/>
      <c r="X187" s="4"/>
      <c r="AJ187" s="4"/>
    </row>
    <row r="188" spans="1:36">
      <c r="A188" t="str">
        <f t="shared" si="11"/>
        <v>Lata22187</v>
      </c>
      <c r="B188">
        <v>187</v>
      </c>
      <c r="C188">
        <v>30</v>
      </c>
      <c r="D188">
        <v>11</v>
      </c>
      <c r="E188">
        <v>2021</v>
      </c>
      <c r="F188" s="1">
        <f t="shared" si="12"/>
        <v>44530</v>
      </c>
      <c r="G188" s="1" t="s">
        <v>144</v>
      </c>
      <c r="H188" s="2">
        <v>44664</v>
      </c>
      <c r="I188" t="s">
        <v>19</v>
      </c>
      <c r="J188">
        <v>1</v>
      </c>
      <c r="K188">
        <v>56898.13</v>
      </c>
      <c r="L188" t="s">
        <v>238</v>
      </c>
      <c r="M188">
        <v>22</v>
      </c>
      <c r="N188" t="s">
        <v>36</v>
      </c>
      <c r="O188" s="3" t="s">
        <v>22</v>
      </c>
      <c r="P188" t="s">
        <v>29</v>
      </c>
      <c r="Q188" t="s">
        <v>30</v>
      </c>
      <c r="R188">
        <v>5</v>
      </c>
      <c r="S188" t="s">
        <v>37</v>
      </c>
      <c r="T188" s="4">
        <f t="shared" si="13"/>
        <v>56898.13</v>
      </c>
      <c r="U188" s="4" t="str">
        <f t="shared" si="14"/>
        <v>Good</v>
      </c>
      <c r="V188" s="4" t="str">
        <f t="shared" si="15"/>
        <v>Average</v>
      </c>
      <c r="W188" s="4"/>
      <c r="X188" s="4"/>
      <c r="AJ188" s="4"/>
    </row>
    <row r="189" spans="1:36">
      <c r="A189" t="str">
        <f t="shared" si="11"/>
        <v>Neet59188</v>
      </c>
      <c r="B189">
        <v>188</v>
      </c>
      <c r="C189">
        <v>1</v>
      </c>
      <c r="D189">
        <v>12</v>
      </c>
      <c r="E189">
        <v>2021</v>
      </c>
      <c r="F189" s="1">
        <f t="shared" si="12"/>
        <v>44531</v>
      </c>
      <c r="G189" s="1" t="s">
        <v>239</v>
      </c>
      <c r="H189" s="2">
        <v>44665</v>
      </c>
      <c r="I189" t="s">
        <v>19</v>
      </c>
      <c r="J189">
        <v>4</v>
      </c>
      <c r="K189">
        <v>16210.78</v>
      </c>
      <c r="L189" t="s">
        <v>240</v>
      </c>
      <c r="M189">
        <v>59</v>
      </c>
      <c r="N189" t="s">
        <v>61</v>
      </c>
      <c r="O189" s="3" t="s">
        <v>28</v>
      </c>
      <c r="P189" t="s">
        <v>45</v>
      </c>
      <c r="Q189" t="s">
        <v>30</v>
      </c>
      <c r="R189">
        <v>3</v>
      </c>
      <c r="S189" t="s">
        <v>25</v>
      </c>
      <c r="T189" s="4">
        <f t="shared" si="13"/>
        <v>64843.12</v>
      </c>
      <c r="U189" s="4" t="str">
        <f t="shared" si="14"/>
        <v>Average</v>
      </c>
      <c r="V189" s="4" t="str">
        <f t="shared" si="15"/>
        <v>Average</v>
      </c>
      <c r="W189" s="4"/>
      <c r="X189" s="4"/>
      <c r="AJ189" s="4"/>
    </row>
    <row r="190" spans="1:36">
      <c r="A190" t="str">
        <f t="shared" si="11"/>
        <v>Sach25189</v>
      </c>
      <c r="B190">
        <v>189</v>
      </c>
      <c r="C190">
        <v>1</v>
      </c>
      <c r="D190">
        <v>12</v>
      </c>
      <c r="E190">
        <v>2021</v>
      </c>
      <c r="F190" s="1">
        <f t="shared" si="12"/>
        <v>44531</v>
      </c>
      <c r="G190" s="1" t="s">
        <v>239</v>
      </c>
      <c r="H190" s="2">
        <v>44666</v>
      </c>
      <c r="I190" t="s">
        <v>49</v>
      </c>
      <c r="J190">
        <v>6</v>
      </c>
      <c r="K190">
        <v>16444.86</v>
      </c>
      <c r="L190" t="s">
        <v>241</v>
      </c>
      <c r="M190">
        <v>25</v>
      </c>
      <c r="N190" t="s">
        <v>36</v>
      </c>
      <c r="O190" s="3" t="s">
        <v>28</v>
      </c>
      <c r="P190" t="s">
        <v>66</v>
      </c>
      <c r="Q190" t="s">
        <v>30</v>
      </c>
      <c r="R190">
        <v>3</v>
      </c>
      <c r="S190" t="s">
        <v>88</v>
      </c>
      <c r="T190" s="4">
        <f t="shared" si="13"/>
        <v>98669.16</v>
      </c>
      <c r="U190" s="4" t="str">
        <f t="shared" si="14"/>
        <v>Average</v>
      </c>
      <c r="V190" s="4" t="str">
        <f t="shared" si="15"/>
        <v>Average</v>
      </c>
      <c r="W190" s="4"/>
      <c r="X190" s="4"/>
      <c r="AJ190" s="4"/>
    </row>
    <row r="191" spans="1:36">
      <c r="A191" t="str">
        <f t="shared" si="11"/>
        <v>Sach55190</v>
      </c>
      <c r="B191">
        <v>190</v>
      </c>
      <c r="C191">
        <v>1</v>
      </c>
      <c r="D191">
        <v>12</v>
      </c>
      <c r="E191">
        <v>2021</v>
      </c>
      <c r="F191" s="1">
        <f t="shared" si="12"/>
        <v>44531</v>
      </c>
      <c r="G191" s="1" t="s">
        <v>239</v>
      </c>
      <c r="H191" s="2">
        <v>44667</v>
      </c>
      <c r="I191" t="s">
        <v>19</v>
      </c>
      <c r="J191">
        <v>4</v>
      </c>
      <c r="K191">
        <v>16069.83</v>
      </c>
      <c r="L191" t="s">
        <v>242</v>
      </c>
      <c r="M191">
        <v>55</v>
      </c>
      <c r="N191" t="s">
        <v>61</v>
      </c>
      <c r="O191" s="3" t="s">
        <v>28</v>
      </c>
      <c r="P191" t="s">
        <v>150</v>
      </c>
      <c r="Q191" t="s">
        <v>41</v>
      </c>
      <c r="R191">
        <v>3</v>
      </c>
      <c r="S191" t="s">
        <v>84</v>
      </c>
      <c r="T191" s="4">
        <f t="shared" si="13"/>
        <v>64279.32</v>
      </c>
      <c r="U191" s="4" t="str">
        <f t="shared" si="14"/>
        <v>Average</v>
      </c>
      <c r="V191" s="4" t="str">
        <f t="shared" si="15"/>
        <v>Average</v>
      </c>
      <c r="W191" s="4"/>
      <c r="X191" s="4"/>
      <c r="AJ191" s="4"/>
    </row>
    <row r="192" spans="1:36">
      <c r="A192" t="str">
        <f t="shared" si="11"/>
        <v>Shru45191</v>
      </c>
      <c r="B192">
        <v>191</v>
      </c>
      <c r="C192">
        <v>1</v>
      </c>
      <c r="D192">
        <v>12</v>
      </c>
      <c r="E192">
        <v>2021</v>
      </c>
      <c r="F192" s="1">
        <f t="shared" si="12"/>
        <v>44531</v>
      </c>
      <c r="G192" s="1" t="s">
        <v>239</v>
      </c>
      <c r="H192" s="2">
        <v>44668</v>
      </c>
      <c r="I192" t="s">
        <v>38</v>
      </c>
      <c r="J192">
        <v>9</v>
      </c>
      <c r="K192">
        <v>10679.96</v>
      </c>
      <c r="L192" t="s">
        <v>225</v>
      </c>
      <c r="M192">
        <v>45</v>
      </c>
      <c r="N192" t="s">
        <v>21</v>
      </c>
      <c r="O192" s="3" t="s">
        <v>22</v>
      </c>
      <c r="P192" t="s">
        <v>45</v>
      </c>
      <c r="Q192" t="s">
        <v>41</v>
      </c>
      <c r="R192">
        <v>5</v>
      </c>
      <c r="S192" t="s">
        <v>99</v>
      </c>
      <c r="T192" s="4">
        <f t="shared" si="13"/>
        <v>96119.639999999985</v>
      </c>
      <c r="U192" s="4" t="str">
        <f t="shared" si="14"/>
        <v>Good</v>
      </c>
      <c r="V192" s="4" t="str">
        <f t="shared" si="15"/>
        <v>Average</v>
      </c>
      <c r="W192" s="4"/>
      <c r="X192" s="4"/>
      <c r="AJ192" s="4"/>
    </row>
    <row r="193" spans="1:36">
      <c r="A193" t="str">
        <f t="shared" si="11"/>
        <v>Sneh29192</v>
      </c>
      <c r="B193">
        <v>192</v>
      </c>
      <c r="C193">
        <v>2</v>
      </c>
      <c r="D193">
        <v>12</v>
      </c>
      <c r="E193">
        <v>2021</v>
      </c>
      <c r="F193" s="1">
        <f t="shared" si="12"/>
        <v>44532</v>
      </c>
      <c r="G193" s="1" t="s">
        <v>239</v>
      </c>
      <c r="H193" s="2">
        <v>44669</v>
      </c>
      <c r="I193" t="s">
        <v>19</v>
      </c>
      <c r="J193">
        <v>5</v>
      </c>
      <c r="K193">
        <v>42918.06</v>
      </c>
      <c r="L193" t="s">
        <v>243</v>
      </c>
      <c r="M193">
        <v>29</v>
      </c>
      <c r="N193" t="s">
        <v>36</v>
      </c>
      <c r="O193" s="3" t="s">
        <v>22</v>
      </c>
      <c r="P193" t="s">
        <v>29</v>
      </c>
      <c r="Q193" t="s">
        <v>56</v>
      </c>
      <c r="R193">
        <v>5</v>
      </c>
      <c r="S193" t="s">
        <v>25</v>
      </c>
      <c r="T193" s="4">
        <f t="shared" si="13"/>
        <v>214590.3</v>
      </c>
      <c r="U193" s="4" t="str">
        <f t="shared" si="14"/>
        <v>Good</v>
      </c>
      <c r="V193" s="4" t="str">
        <f t="shared" si="15"/>
        <v>Excellent</v>
      </c>
      <c r="W193" s="4"/>
      <c r="X193" s="4"/>
      <c r="AJ193" s="4"/>
    </row>
    <row r="194" spans="1:36">
      <c r="A194" t="str">
        <f t="shared" ref="A194:A257" si="16">LEFT(L194,4)&amp;M194&amp;B194</f>
        <v>Suni42193</v>
      </c>
      <c r="B194">
        <v>193</v>
      </c>
      <c r="C194">
        <v>2</v>
      </c>
      <c r="D194">
        <v>12</v>
      </c>
      <c r="E194">
        <v>2021</v>
      </c>
      <c r="F194" s="1">
        <f t="shared" si="12"/>
        <v>44532</v>
      </c>
      <c r="G194" s="1" t="s">
        <v>239</v>
      </c>
      <c r="H194" s="2">
        <v>44670</v>
      </c>
      <c r="I194" t="s">
        <v>49</v>
      </c>
      <c r="J194">
        <v>8</v>
      </c>
      <c r="K194">
        <v>68403.66</v>
      </c>
      <c r="L194" t="s">
        <v>244</v>
      </c>
      <c r="M194">
        <v>42</v>
      </c>
      <c r="N194" t="s">
        <v>21</v>
      </c>
      <c r="O194" s="3" t="s">
        <v>22</v>
      </c>
      <c r="P194" t="s">
        <v>66</v>
      </c>
      <c r="Q194" t="s">
        <v>24</v>
      </c>
      <c r="R194">
        <v>5</v>
      </c>
      <c r="S194" t="s">
        <v>88</v>
      </c>
      <c r="T194" s="4">
        <f t="shared" si="13"/>
        <v>547229.28</v>
      </c>
      <c r="U194" s="4" t="str">
        <f t="shared" si="14"/>
        <v>Good</v>
      </c>
      <c r="V194" s="4" t="str">
        <f t="shared" si="15"/>
        <v>Excellent</v>
      </c>
      <c r="W194" s="4"/>
      <c r="X194" s="4"/>
      <c r="AJ194" s="4"/>
    </row>
    <row r="195" spans="1:36">
      <c r="A195" t="str">
        <f t="shared" si="16"/>
        <v>Kris55194</v>
      </c>
      <c r="B195">
        <v>194</v>
      </c>
      <c r="C195">
        <v>2</v>
      </c>
      <c r="D195">
        <v>12</v>
      </c>
      <c r="E195">
        <v>2021</v>
      </c>
      <c r="F195" s="1">
        <f t="shared" ref="F195:F258" si="17">DATE(E195,D195,C195)</f>
        <v>44532</v>
      </c>
      <c r="G195" s="1" t="s">
        <v>239</v>
      </c>
      <c r="H195" s="2">
        <v>44671</v>
      </c>
      <c r="I195" t="s">
        <v>19</v>
      </c>
      <c r="J195">
        <v>9</v>
      </c>
      <c r="K195">
        <v>36321.08</v>
      </c>
      <c r="L195" t="s">
        <v>245</v>
      </c>
      <c r="M195">
        <v>55</v>
      </c>
      <c r="N195" t="s">
        <v>61</v>
      </c>
      <c r="O195" s="3" t="s">
        <v>22</v>
      </c>
      <c r="P195" t="s">
        <v>45</v>
      </c>
      <c r="Q195" t="s">
        <v>30</v>
      </c>
      <c r="R195">
        <v>5</v>
      </c>
      <c r="S195" t="s">
        <v>25</v>
      </c>
      <c r="T195" s="4">
        <f t="shared" ref="T195:T258" si="18">J195*K195</f>
        <v>326889.72000000003</v>
      </c>
      <c r="U195" s="4" t="str">
        <f t="shared" ref="U195:U258" si="19">IF(R195&gt;=4,"Good","Average")</f>
        <v>Good</v>
      </c>
      <c r="V195" s="4" t="str">
        <f t="shared" ref="V195:V258" si="20">IF(T195&gt;200000,"Excellent",IF(T195&gt;100000,"Good",IF(T195&gt;50000,"Average","Low")))</f>
        <v>Excellent</v>
      </c>
      <c r="W195" s="4"/>
      <c r="X195" s="4"/>
      <c r="AJ195" s="4"/>
    </row>
    <row r="196" spans="1:36">
      <c r="A196" t="str">
        <f t="shared" si="16"/>
        <v>Vino32195</v>
      </c>
      <c r="B196">
        <v>195</v>
      </c>
      <c r="C196">
        <v>3</v>
      </c>
      <c r="D196">
        <v>12</v>
      </c>
      <c r="E196">
        <v>2021</v>
      </c>
      <c r="F196" s="1">
        <f t="shared" si="17"/>
        <v>44533</v>
      </c>
      <c r="G196" s="1" t="s">
        <v>239</v>
      </c>
      <c r="H196" s="2">
        <v>44672</v>
      </c>
      <c r="I196" t="s">
        <v>38</v>
      </c>
      <c r="J196">
        <v>5</v>
      </c>
      <c r="K196">
        <v>42445.45</v>
      </c>
      <c r="L196" t="s">
        <v>246</v>
      </c>
      <c r="M196">
        <v>32</v>
      </c>
      <c r="N196" t="s">
        <v>21</v>
      </c>
      <c r="O196" s="3" t="s">
        <v>22</v>
      </c>
      <c r="P196" t="s">
        <v>33</v>
      </c>
      <c r="Q196" t="s">
        <v>41</v>
      </c>
      <c r="R196">
        <v>5</v>
      </c>
      <c r="S196" t="s">
        <v>42</v>
      </c>
      <c r="T196" s="4">
        <f t="shared" si="18"/>
        <v>212227.25</v>
      </c>
      <c r="U196" s="4" t="str">
        <f t="shared" si="19"/>
        <v>Good</v>
      </c>
      <c r="V196" s="4" t="str">
        <f t="shared" si="20"/>
        <v>Excellent</v>
      </c>
      <c r="W196" s="4"/>
      <c r="X196" s="4"/>
      <c r="AJ196" s="4"/>
    </row>
    <row r="197" spans="1:36">
      <c r="A197" t="str">
        <f t="shared" si="16"/>
        <v>Sanj58196</v>
      </c>
      <c r="B197">
        <v>196</v>
      </c>
      <c r="C197">
        <v>3</v>
      </c>
      <c r="D197">
        <v>12</v>
      </c>
      <c r="E197">
        <v>2021</v>
      </c>
      <c r="F197" s="1">
        <f t="shared" si="17"/>
        <v>44533</v>
      </c>
      <c r="G197" s="1" t="s">
        <v>239</v>
      </c>
      <c r="H197" s="2">
        <v>44673</v>
      </c>
      <c r="I197" t="s">
        <v>43</v>
      </c>
      <c r="J197">
        <v>6</v>
      </c>
      <c r="K197">
        <v>68078.19</v>
      </c>
      <c r="L197" t="s">
        <v>247</v>
      </c>
      <c r="M197">
        <v>58</v>
      </c>
      <c r="N197" t="s">
        <v>61</v>
      </c>
      <c r="O197" s="3" t="s">
        <v>22</v>
      </c>
      <c r="P197" t="s">
        <v>45</v>
      </c>
      <c r="Q197" t="s">
        <v>24</v>
      </c>
      <c r="R197">
        <v>5</v>
      </c>
      <c r="S197" t="s">
        <v>57</v>
      </c>
      <c r="T197" s="4">
        <f t="shared" si="18"/>
        <v>408469.14</v>
      </c>
      <c r="U197" s="4" t="str">
        <f t="shared" si="19"/>
        <v>Good</v>
      </c>
      <c r="V197" s="4" t="str">
        <f t="shared" si="20"/>
        <v>Excellent</v>
      </c>
      <c r="W197" s="4"/>
      <c r="X197" s="4"/>
      <c r="AJ197" s="4"/>
    </row>
    <row r="198" spans="1:36">
      <c r="A198" t="str">
        <f t="shared" si="16"/>
        <v>Neet51197</v>
      </c>
      <c r="B198">
        <v>197</v>
      </c>
      <c r="C198">
        <v>3</v>
      </c>
      <c r="D198">
        <v>12</v>
      </c>
      <c r="E198">
        <v>2021</v>
      </c>
      <c r="F198" s="1">
        <f t="shared" si="17"/>
        <v>44533</v>
      </c>
      <c r="G198" s="1" t="s">
        <v>239</v>
      </c>
      <c r="H198" s="2">
        <v>44674</v>
      </c>
      <c r="I198" t="s">
        <v>49</v>
      </c>
      <c r="J198">
        <v>1</v>
      </c>
      <c r="K198">
        <v>25310.93</v>
      </c>
      <c r="L198" t="s">
        <v>240</v>
      </c>
      <c r="M198">
        <v>51</v>
      </c>
      <c r="N198" t="s">
        <v>61</v>
      </c>
      <c r="O198" s="3" t="s">
        <v>28</v>
      </c>
      <c r="P198" t="s">
        <v>29</v>
      </c>
      <c r="Q198" t="s">
        <v>30</v>
      </c>
      <c r="R198">
        <v>3</v>
      </c>
      <c r="S198" t="s">
        <v>52</v>
      </c>
      <c r="T198" s="4">
        <f t="shared" si="18"/>
        <v>25310.93</v>
      </c>
      <c r="U198" s="4" t="str">
        <f t="shared" si="19"/>
        <v>Average</v>
      </c>
      <c r="V198" s="4" t="str">
        <f t="shared" si="20"/>
        <v>Low</v>
      </c>
      <c r="W198" s="4"/>
      <c r="X198" s="4"/>
      <c r="AJ198" s="4"/>
    </row>
    <row r="199" spans="1:36">
      <c r="A199" t="str">
        <f t="shared" si="16"/>
        <v>Anan30198</v>
      </c>
      <c r="B199">
        <v>198</v>
      </c>
      <c r="C199">
        <v>3</v>
      </c>
      <c r="D199">
        <v>12</v>
      </c>
      <c r="E199">
        <v>2021</v>
      </c>
      <c r="F199" s="1">
        <f t="shared" si="17"/>
        <v>44533</v>
      </c>
      <c r="G199" s="1" t="s">
        <v>239</v>
      </c>
      <c r="H199" s="2">
        <v>44675</v>
      </c>
      <c r="I199" t="s">
        <v>43</v>
      </c>
      <c r="J199">
        <v>7</v>
      </c>
      <c r="K199">
        <v>61508.22</v>
      </c>
      <c r="L199" t="s">
        <v>248</v>
      </c>
      <c r="M199">
        <v>30</v>
      </c>
      <c r="N199" t="s">
        <v>36</v>
      </c>
      <c r="O199" s="3" t="s">
        <v>22</v>
      </c>
      <c r="P199" t="s">
        <v>29</v>
      </c>
      <c r="Q199" t="s">
        <v>30</v>
      </c>
      <c r="R199">
        <v>4</v>
      </c>
      <c r="S199" t="s">
        <v>95</v>
      </c>
      <c r="T199" s="4">
        <f t="shared" si="18"/>
        <v>430557.54000000004</v>
      </c>
      <c r="U199" s="4" t="str">
        <f t="shared" si="19"/>
        <v>Good</v>
      </c>
      <c r="V199" s="4" t="str">
        <f t="shared" si="20"/>
        <v>Excellent</v>
      </c>
      <c r="W199" s="4"/>
      <c r="X199" s="4"/>
      <c r="AJ199" s="4"/>
    </row>
    <row r="200" spans="1:36">
      <c r="A200" t="str">
        <f t="shared" si="16"/>
        <v>Tanu25199</v>
      </c>
      <c r="B200">
        <v>199</v>
      </c>
      <c r="C200">
        <v>4</v>
      </c>
      <c r="D200">
        <v>12</v>
      </c>
      <c r="E200">
        <v>2021</v>
      </c>
      <c r="F200" s="1">
        <f t="shared" si="17"/>
        <v>44534</v>
      </c>
      <c r="G200" s="1" t="s">
        <v>239</v>
      </c>
      <c r="H200" s="2">
        <v>44676</v>
      </c>
      <c r="I200" t="s">
        <v>43</v>
      </c>
      <c r="J200">
        <v>4</v>
      </c>
      <c r="K200">
        <v>42783.43</v>
      </c>
      <c r="L200" t="s">
        <v>249</v>
      </c>
      <c r="M200">
        <v>25</v>
      </c>
      <c r="N200" t="s">
        <v>36</v>
      </c>
      <c r="O200" s="3" t="s">
        <v>22</v>
      </c>
      <c r="P200" t="s">
        <v>33</v>
      </c>
      <c r="Q200" t="s">
        <v>24</v>
      </c>
      <c r="R200">
        <v>5</v>
      </c>
      <c r="S200" t="s">
        <v>57</v>
      </c>
      <c r="T200" s="4">
        <f t="shared" si="18"/>
        <v>171133.72</v>
      </c>
      <c r="U200" s="4" t="str">
        <f t="shared" si="19"/>
        <v>Good</v>
      </c>
      <c r="V200" s="4" t="str">
        <f t="shared" si="20"/>
        <v>Good</v>
      </c>
      <c r="W200" s="4"/>
      <c r="X200" s="4"/>
      <c r="AJ200" s="4"/>
    </row>
    <row r="201" spans="1:36">
      <c r="A201" t="str">
        <f t="shared" si="16"/>
        <v>Navi30200</v>
      </c>
      <c r="B201">
        <v>200</v>
      </c>
      <c r="C201">
        <v>4</v>
      </c>
      <c r="D201">
        <v>12</v>
      </c>
      <c r="E201">
        <v>2021</v>
      </c>
      <c r="F201" s="1">
        <f t="shared" si="17"/>
        <v>44534</v>
      </c>
      <c r="G201" s="1" t="s">
        <v>239</v>
      </c>
      <c r="H201" s="2">
        <v>44677</v>
      </c>
      <c r="I201" t="s">
        <v>43</v>
      </c>
      <c r="J201">
        <v>2</v>
      </c>
      <c r="K201">
        <v>44168.59</v>
      </c>
      <c r="L201" t="s">
        <v>250</v>
      </c>
      <c r="M201">
        <v>30</v>
      </c>
      <c r="N201" t="s">
        <v>36</v>
      </c>
      <c r="O201" s="3" t="s">
        <v>22</v>
      </c>
      <c r="P201" t="s">
        <v>59</v>
      </c>
      <c r="Q201" t="s">
        <v>24</v>
      </c>
      <c r="R201">
        <v>5</v>
      </c>
      <c r="S201" t="s">
        <v>46</v>
      </c>
      <c r="T201" s="4">
        <f t="shared" si="18"/>
        <v>88337.18</v>
      </c>
      <c r="U201" s="4" t="str">
        <f t="shared" si="19"/>
        <v>Good</v>
      </c>
      <c r="V201" s="4" t="str">
        <f t="shared" si="20"/>
        <v>Average</v>
      </c>
      <c r="W201" s="4"/>
      <c r="X201" s="4"/>
      <c r="AJ201" s="4"/>
    </row>
    <row r="202" spans="1:36">
      <c r="A202" t="str">
        <f t="shared" si="16"/>
        <v>Bhav53201</v>
      </c>
      <c r="B202">
        <v>201</v>
      </c>
      <c r="C202">
        <v>4</v>
      </c>
      <c r="D202">
        <v>12</v>
      </c>
      <c r="E202">
        <v>2021</v>
      </c>
      <c r="F202" s="1">
        <f t="shared" si="17"/>
        <v>44534</v>
      </c>
      <c r="G202" s="1" t="s">
        <v>239</v>
      </c>
      <c r="H202" s="2">
        <v>44678</v>
      </c>
      <c r="I202" t="s">
        <v>26</v>
      </c>
      <c r="J202">
        <v>5</v>
      </c>
      <c r="K202">
        <v>30590.43</v>
      </c>
      <c r="L202" t="s">
        <v>251</v>
      </c>
      <c r="M202">
        <v>53</v>
      </c>
      <c r="N202" t="s">
        <v>61</v>
      </c>
      <c r="O202" s="3" t="s">
        <v>22</v>
      </c>
      <c r="P202" t="s">
        <v>40</v>
      </c>
      <c r="Q202" t="s">
        <v>24</v>
      </c>
      <c r="R202">
        <v>5</v>
      </c>
      <c r="S202" t="s">
        <v>31</v>
      </c>
      <c r="T202" s="4">
        <f t="shared" si="18"/>
        <v>152952.15</v>
      </c>
      <c r="U202" s="4" t="str">
        <f t="shared" si="19"/>
        <v>Good</v>
      </c>
      <c r="V202" s="4" t="str">
        <f t="shared" si="20"/>
        <v>Good</v>
      </c>
      <c r="W202" s="4"/>
      <c r="X202" s="4"/>
      <c r="AJ202" s="4"/>
    </row>
    <row r="203" spans="1:36">
      <c r="A203" t="str">
        <f t="shared" si="16"/>
        <v>Neet23202</v>
      </c>
      <c r="B203">
        <v>202</v>
      </c>
      <c r="C203">
        <v>4</v>
      </c>
      <c r="D203">
        <v>12</v>
      </c>
      <c r="E203">
        <v>2021</v>
      </c>
      <c r="F203" s="1">
        <f t="shared" si="17"/>
        <v>44534</v>
      </c>
      <c r="G203" s="1" t="s">
        <v>239</v>
      </c>
      <c r="H203" s="2">
        <v>44679</v>
      </c>
      <c r="I203" t="s">
        <v>26</v>
      </c>
      <c r="J203">
        <v>3</v>
      </c>
      <c r="K203">
        <v>43695.06</v>
      </c>
      <c r="L203" t="s">
        <v>252</v>
      </c>
      <c r="M203">
        <v>23</v>
      </c>
      <c r="N203" t="s">
        <v>36</v>
      </c>
      <c r="O203" s="3" t="s">
        <v>22</v>
      </c>
      <c r="P203" t="s">
        <v>117</v>
      </c>
      <c r="Q203" t="s">
        <v>41</v>
      </c>
      <c r="R203">
        <v>5</v>
      </c>
      <c r="S203" t="s">
        <v>67</v>
      </c>
      <c r="T203" s="4">
        <f t="shared" si="18"/>
        <v>131085.18</v>
      </c>
      <c r="U203" s="4" t="str">
        <f t="shared" si="19"/>
        <v>Good</v>
      </c>
      <c r="V203" s="4" t="str">
        <f t="shared" si="20"/>
        <v>Good</v>
      </c>
      <c r="W203" s="4"/>
      <c r="X203" s="4"/>
      <c r="AJ203" s="4"/>
    </row>
    <row r="204" spans="1:36">
      <c r="A204" t="str">
        <f t="shared" si="16"/>
        <v>Umes55203</v>
      </c>
      <c r="B204">
        <v>203</v>
      </c>
      <c r="C204">
        <v>5</v>
      </c>
      <c r="D204">
        <v>12</v>
      </c>
      <c r="E204">
        <v>2021</v>
      </c>
      <c r="F204" s="1">
        <f t="shared" si="17"/>
        <v>44535</v>
      </c>
      <c r="G204" s="1" t="s">
        <v>239</v>
      </c>
      <c r="H204" s="2">
        <v>44680</v>
      </c>
      <c r="I204" t="s">
        <v>43</v>
      </c>
      <c r="J204">
        <v>6</v>
      </c>
      <c r="K204">
        <v>14388.55</v>
      </c>
      <c r="L204" t="s">
        <v>253</v>
      </c>
      <c r="M204">
        <v>55</v>
      </c>
      <c r="N204" t="s">
        <v>61</v>
      </c>
      <c r="O204" s="3" t="s">
        <v>22</v>
      </c>
      <c r="P204" t="s">
        <v>64</v>
      </c>
      <c r="Q204" t="s">
        <v>56</v>
      </c>
      <c r="R204">
        <v>5</v>
      </c>
      <c r="S204" t="s">
        <v>46</v>
      </c>
      <c r="T204" s="4">
        <f t="shared" si="18"/>
        <v>86331.299999999988</v>
      </c>
      <c r="U204" s="4" t="str">
        <f t="shared" si="19"/>
        <v>Good</v>
      </c>
      <c r="V204" s="4" t="str">
        <f t="shared" si="20"/>
        <v>Average</v>
      </c>
      <c r="W204" s="4"/>
      <c r="X204" s="4"/>
      <c r="AJ204" s="4"/>
    </row>
    <row r="205" spans="1:36">
      <c r="A205" t="str">
        <f t="shared" si="16"/>
        <v>Lali49204</v>
      </c>
      <c r="B205">
        <v>204</v>
      </c>
      <c r="C205">
        <v>5</v>
      </c>
      <c r="D205">
        <v>12</v>
      </c>
      <c r="E205">
        <v>2021</v>
      </c>
      <c r="F205" s="1">
        <f t="shared" si="17"/>
        <v>44535</v>
      </c>
      <c r="G205" s="1" t="s">
        <v>239</v>
      </c>
      <c r="H205" s="2">
        <v>44681</v>
      </c>
      <c r="I205" t="s">
        <v>49</v>
      </c>
      <c r="J205">
        <v>8</v>
      </c>
      <c r="K205">
        <v>55878.61</v>
      </c>
      <c r="L205" t="s">
        <v>254</v>
      </c>
      <c r="M205">
        <v>49</v>
      </c>
      <c r="N205" t="s">
        <v>61</v>
      </c>
      <c r="O205" s="3" t="s">
        <v>22</v>
      </c>
      <c r="P205" t="s">
        <v>110</v>
      </c>
      <c r="Q205" t="s">
        <v>30</v>
      </c>
      <c r="R205">
        <v>4</v>
      </c>
      <c r="S205" t="s">
        <v>88</v>
      </c>
      <c r="T205" s="4">
        <f t="shared" si="18"/>
        <v>447028.88</v>
      </c>
      <c r="U205" s="4" t="str">
        <f t="shared" si="19"/>
        <v>Good</v>
      </c>
      <c r="V205" s="4" t="str">
        <f t="shared" si="20"/>
        <v>Excellent</v>
      </c>
      <c r="W205" s="4"/>
      <c r="X205" s="4"/>
      <c r="AJ205" s="4"/>
    </row>
    <row r="206" spans="1:36">
      <c r="A206" t="str">
        <f t="shared" si="16"/>
        <v>Kira38205</v>
      </c>
      <c r="B206">
        <v>205</v>
      </c>
      <c r="C206">
        <v>5</v>
      </c>
      <c r="D206">
        <v>12</v>
      </c>
      <c r="E206">
        <v>2021</v>
      </c>
      <c r="F206" s="1">
        <f t="shared" si="17"/>
        <v>44535</v>
      </c>
      <c r="G206" s="1" t="s">
        <v>239</v>
      </c>
      <c r="H206" s="2">
        <v>44682</v>
      </c>
      <c r="I206" t="s">
        <v>38</v>
      </c>
      <c r="J206">
        <v>7</v>
      </c>
      <c r="K206">
        <v>27081.27</v>
      </c>
      <c r="L206" t="s">
        <v>255</v>
      </c>
      <c r="M206">
        <v>38</v>
      </c>
      <c r="N206" t="s">
        <v>21</v>
      </c>
      <c r="O206" s="3" t="s">
        <v>22</v>
      </c>
      <c r="P206" t="s">
        <v>29</v>
      </c>
      <c r="Q206" t="s">
        <v>30</v>
      </c>
      <c r="R206">
        <v>5</v>
      </c>
      <c r="S206" t="s">
        <v>48</v>
      </c>
      <c r="T206" s="4">
        <f t="shared" si="18"/>
        <v>189568.89</v>
      </c>
      <c r="U206" s="4" t="str">
        <f t="shared" si="19"/>
        <v>Good</v>
      </c>
      <c r="V206" s="4" t="str">
        <f t="shared" si="20"/>
        <v>Good</v>
      </c>
      <c r="W206" s="4"/>
      <c r="X206" s="4"/>
      <c r="AJ206" s="4"/>
    </row>
    <row r="207" spans="1:36">
      <c r="A207" t="str">
        <f t="shared" si="16"/>
        <v>Sumi24206</v>
      </c>
      <c r="B207">
        <v>206</v>
      </c>
      <c r="C207">
        <v>6</v>
      </c>
      <c r="D207">
        <v>12</v>
      </c>
      <c r="E207">
        <v>2021</v>
      </c>
      <c r="F207" s="1">
        <f t="shared" si="17"/>
        <v>44536</v>
      </c>
      <c r="G207" s="1" t="s">
        <v>239</v>
      </c>
      <c r="H207" s="2">
        <v>44683</v>
      </c>
      <c r="I207" t="s">
        <v>38</v>
      </c>
      <c r="J207">
        <v>3</v>
      </c>
      <c r="K207">
        <v>63256.5</v>
      </c>
      <c r="L207" t="s">
        <v>256</v>
      </c>
      <c r="M207">
        <v>24</v>
      </c>
      <c r="N207" t="s">
        <v>36</v>
      </c>
      <c r="O207" s="3" t="s">
        <v>22</v>
      </c>
      <c r="P207" t="s">
        <v>33</v>
      </c>
      <c r="Q207" t="s">
        <v>24</v>
      </c>
      <c r="R207">
        <v>5</v>
      </c>
      <c r="S207" t="s">
        <v>48</v>
      </c>
      <c r="T207" s="4">
        <f t="shared" si="18"/>
        <v>189769.5</v>
      </c>
      <c r="U207" s="4" t="str">
        <f t="shared" si="19"/>
        <v>Good</v>
      </c>
      <c r="V207" s="4" t="str">
        <f t="shared" si="20"/>
        <v>Good</v>
      </c>
      <c r="W207" s="4"/>
      <c r="X207" s="4"/>
      <c r="AJ207" s="4"/>
    </row>
    <row r="208" spans="1:36">
      <c r="A208" t="str">
        <f t="shared" si="16"/>
        <v>Sneh43207</v>
      </c>
      <c r="B208">
        <v>207</v>
      </c>
      <c r="C208">
        <v>6</v>
      </c>
      <c r="D208">
        <v>12</v>
      </c>
      <c r="E208">
        <v>2021</v>
      </c>
      <c r="F208" s="1">
        <f t="shared" si="17"/>
        <v>44536</v>
      </c>
      <c r="G208" s="1" t="s">
        <v>239</v>
      </c>
      <c r="H208" s="2">
        <v>44684</v>
      </c>
      <c r="I208" t="s">
        <v>19</v>
      </c>
      <c r="J208">
        <v>8</v>
      </c>
      <c r="K208">
        <v>32071.040000000001</v>
      </c>
      <c r="L208" t="s">
        <v>234</v>
      </c>
      <c r="M208">
        <v>43</v>
      </c>
      <c r="N208" t="s">
        <v>21</v>
      </c>
      <c r="O208" s="3" t="s">
        <v>22</v>
      </c>
      <c r="P208" t="s">
        <v>90</v>
      </c>
      <c r="Q208" t="s">
        <v>41</v>
      </c>
      <c r="R208">
        <v>5</v>
      </c>
      <c r="S208" t="s">
        <v>25</v>
      </c>
      <c r="T208" s="4">
        <f t="shared" si="18"/>
        <v>256568.32000000001</v>
      </c>
      <c r="U208" s="4" t="str">
        <f t="shared" si="19"/>
        <v>Good</v>
      </c>
      <c r="V208" s="4" t="str">
        <f t="shared" si="20"/>
        <v>Excellent</v>
      </c>
      <c r="W208" s="4"/>
      <c r="X208" s="4"/>
      <c r="AJ208" s="4"/>
    </row>
    <row r="209" spans="1:36">
      <c r="A209" t="str">
        <f t="shared" si="16"/>
        <v>Sanj32208</v>
      </c>
      <c r="B209">
        <v>208</v>
      </c>
      <c r="C209">
        <v>6</v>
      </c>
      <c r="D209">
        <v>12</v>
      </c>
      <c r="E209">
        <v>2021</v>
      </c>
      <c r="F209" s="1">
        <f t="shared" si="17"/>
        <v>44536</v>
      </c>
      <c r="G209" s="1" t="s">
        <v>239</v>
      </c>
      <c r="H209" s="2">
        <v>44685</v>
      </c>
      <c r="I209" t="s">
        <v>49</v>
      </c>
      <c r="J209">
        <v>2</v>
      </c>
      <c r="K209">
        <v>18569.45</v>
      </c>
      <c r="L209" t="s">
        <v>190</v>
      </c>
      <c r="M209">
        <v>32</v>
      </c>
      <c r="N209" t="s">
        <v>21</v>
      </c>
      <c r="O209" s="3" t="s">
        <v>22</v>
      </c>
      <c r="P209" t="s">
        <v>29</v>
      </c>
      <c r="Q209" t="s">
        <v>24</v>
      </c>
      <c r="R209">
        <v>4</v>
      </c>
      <c r="S209" t="s">
        <v>88</v>
      </c>
      <c r="T209" s="4">
        <f t="shared" si="18"/>
        <v>37138.9</v>
      </c>
      <c r="U209" s="4" t="str">
        <f t="shared" si="19"/>
        <v>Good</v>
      </c>
      <c r="V209" s="4" t="str">
        <f t="shared" si="20"/>
        <v>Low</v>
      </c>
      <c r="W209" s="4"/>
      <c r="X209" s="4"/>
      <c r="AJ209" s="4"/>
    </row>
    <row r="210" spans="1:36">
      <c r="A210" t="str">
        <f t="shared" si="16"/>
        <v>Bhav59209</v>
      </c>
      <c r="B210">
        <v>209</v>
      </c>
      <c r="C210">
        <v>7</v>
      </c>
      <c r="D210">
        <v>12</v>
      </c>
      <c r="E210">
        <v>2021</v>
      </c>
      <c r="F210" s="1">
        <f t="shared" si="17"/>
        <v>44537</v>
      </c>
      <c r="G210" s="1" t="s">
        <v>239</v>
      </c>
      <c r="H210" s="2">
        <v>44686</v>
      </c>
      <c r="I210" t="s">
        <v>26</v>
      </c>
      <c r="J210">
        <v>9</v>
      </c>
      <c r="K210">
        <v>51752.89</v>
      </c>
      <c r="L210" t="s">
        <v>257</v>
      </c>
      <c r="M210">
        <v>59</v>
      </c>
      <c r="N210" t="s">
        <v>61</v>
      </c>
      <c r="O210" s="3" t="s">
        <v>22</v>
      </c>
      <c r="P210" t="s">
        <v>29</v>
      </c>
      <c r="Q210" t="s">
        <v>41</v>
      </c>
      <c r="R210">
        <v>5</v>
      </c>
      <c r="S210" t="s">
        <v>67</v>
      </c>
      <c r="T210" s="4">
        <f t="shared" si="18"/>
        <v>465776.01</v>
      </c>
      <c r="U210" s="4" t="str">
        <f t="shared" si="19"/>
        <v>Good</v>
      </c>
      <c r="V210" s="4" t="str">
        <f t="shared" si="20"/>
        <v>Excellent</v>
      </c>
      <c r="W210" s="4"/>
      <c r="X210" s="4"/>
      <c r="AJ210" s="4"/>
    </row>
    <row r="211" spans="1:36">
      <c r="A211" t="str">
        <f t="shared" si="16"/>
        <v>Sanj40210</v>
      </c>
      <c r="B211">
        <v>210</v>
      </c>
      <c r="C211">
        <v>7</v>
      </c>
      <c r="D211">
        <v>12</v>
      </c>
      <c r="E211">
        <v>2021</v>
      </c>
      <c r="F211" s="1">
        <f t="shared" si="17"/>
        <v>44537</v>
      </c>
      <c r="G211" s="1" t="s">
        <v>239</v>
      </c>
      <c r="H211" s="2">
        <v>44687</v>
      </c>
      <c r="I211" t="s">
        <v>43</v>
      </c>
      <c r="J211">
        <v>4</v>
      </c>
      <c r="K211">
        <v>19874.689999999999</v>
      </c>
      <c r="L211" t="s">
        <v>216</v>
      </c>
      <c r="M211">
        <v>40</v>
      </c>
      <c r="N211" t="s">
        <v>21</v>
      </c>
      <c r="O211" s="3" t="s">
        <v>22</v>
      </c>
      <c r="P211" t="s">
        <v>114</v>
      </c>
      <c r="Q211" t="s">
        <v>56</v>
      </c>
      <c r="R211">
        <v>5</v>
      </c>
      <c r="S211" t="s">
        <v>95</v>
      </c>
      <c r="T211" s="4">
        <f t="shared" si="18"/>
        <v>79498.759999999995</v>
      </c>
      <c r="U211" s="4" t="str">
        <f t="shared" si="19"/>
        <v>Good</v>
      </c>
      <c r="V211" s="4" t="str">
        <f t="shared" si="20"/>
        <v>Average</v>
      </c>
      <c r="W211" s="4"/>
      <c r="X211" s="4"/>
      <c r="AJ211" s="4"/>
    </row>
    <row r="212" spans="1:36">
      <c r="A212" t="str">
        <f t="shared" si="16"/>
        <v>Navi55211</v>
      </c>
      <c r="B212">
        <v>211</v>
      </c>
      <c r="C212">
        <v>7</v>
      </c>
      <c r="D212">
        <v>12</v>
      </c>
      <c r="E212">
        <v>2021</v>
      </c>
      <c r="F212" s="1">
        <f t="shared" si="17"/>
        <v>44537</v>
      </c>
      <c r="G212" s="1" t="s">
        <v>239</v>
      </c>
      <c r="H212" s="2">
        <v>44688</v>
      </c>
      <c r="I212" t="s">
        <v>19</v>
      </c>
      <c r="J212">
        <v>1</v>
      </c>
      <c r="K212">
        <v>55220.83</v>
      </c>
      <c r="L212" t="s">
        <v>258</v>
      </c>
      <c r="M212">
        <v>55</v>
      </c>
      <c r="N212" t="s">
        <v>61</v>
      </c>
      <c r="O212" s="3" t="s">
        <v>22</v>
      </c>
      <c r="P212" t="s">
        <v>114</v>
      </c>
      <c r="Q212" t="s">
        <v>30</v>
      </c>
      <c r="R212">
        <v>5</v>
      </c>
      <c r="S212" t="s">
        <v>84</v>
      </c>
      <c r="T212" s="4">
        <f t="shared" si="18"/>
        <v>55220.83</v>
      </c>
      <c r="U212" s="4" t="str">
        <f t="shared" si="19"/>
        <v>Good</v>
      </c>
      <c r="V212" s="4" t="str">
        <f t="shared" si="20"/>
        <v>Average</v>
      </c>
      <c r="W212" s="4"/>
      <c r="X212" s="4"/>
      <c r="AJ212" s="4"/>
    </row>
    <row r="213" spans="1:36">
      <c r="A213" t="str">
        <f t="shared" si="16"/>
        <v>Priy58212</v>
      </c>
      <c r="B213">
        <v>212</v>
      </c>
      <c r="C213">
        <v>8</v>
      </c>
      <c r="D213">
        <v>12</v>
      </c>
      <c r="E213">
        <v>2021</v>
      </c>
      <c r="F213" s="1">
        <f t="shared" si="17"/>
        <v>44538</v>
      </c>
      <c r="G213" s="1" t="s">
        <v>239</v>
      </c>
      <c r="H213" s="2">
        <v>44689</v>
      </c>
      <c r="I213" t="s">
        <v>38</v>
      </c>
      <c r="J213">
        <v>8</v>
      </c>
      <c r="K213">
        <v>68086.73</v>
      </c>
      <c r="L213" t="s">
        <v>259</v>
      </c>
      <c r="M213">
        <v>58</v>
      </c>
      <c r="N213" t="s">
        <v>61</v>
      </c>
      <c r="O213" s="3" t="s">
        <v>22</v>
      </c>
      <c r="P213" t="s">
        <v>29</v>
      </c>
      <c r="Q213" t="s">
        <v>30</v>
      </c>
      <c r="R213">
        <v>4</v>
      </c>
      <c r="S213" t="s">
        <v>48</v>
      </c>
      <c r="T213" s="4">
        <f t="shared" si="18"/>
        <v>544693.84</v>
      </c>
      <c r="U213" s="4" t="str">
        <f t="shared" si="19"/>
        <v>Good</v>
      </c>
      <c r="V213" s="4" t="str">
        <f t="shared" si="20"/>
        <v>Excellent</v>
      </c>
      <c r="W213" s="4"/>
      <c r="X213" s="4"/>
      <c r="AJ213" s="4"/>
    </row>
    <row r="214" spans="1:36">
      <c r="A214" t="str">
        <f t="shared" si="16"/>
        <v>Suni32213</v>
      </c>
      <c r="B214">
        <v>213</v>
      </c>
      <c r="C214">
        <v>8</v>
      </c>
      <c r="D214">
        <v>12</v>
      </c>
      <c r="E214">
        <v>2021</v>
      </c>
      <c r="F214" s="1">
        <f t="shared" si="17"/>
        <v>44538</v>
      </c>
      <c r="G214" s="1" t="s">
        <v>239</v>
      </c>
      <c r="H214" s="2">
        <v>44690</v>
      </c>
      <c r="I214" t="s">
        <v>26</v>
      </c>
      <c r="J214">
        <v>7</v>
      </c>
      <c r="K214">
        <v>56773.17</v>
      </c>
      <c r="L214" t="s">
        <v>260</v>
      </c>
      <c r="M214">
        <v>32</v>
      </c>
      <c r="N214" t="s">
        <v>21</v>
      </c>
      <c r="O214" s="3" t="s">
        <v>22</v>
      </c>
      <c r="P214" t="s">
        <v>66</v>
      </c>
      <c r="Q214" t="s">
        <v>41</v>
      </c>
      <c r="R214">
        <v>5</v>
      </c>
      <c r="S214" t="s">
        <v>67</v>
      </c>
      <c r="T214" s="4">
        <f t="shared" si="18"/>
        <v>397412.19</v>
      </c>
      <c r="U214" s="4" t="str">
        <f t="shared" si="19"/>
        <v>Good</v>
      </c>
      <c r="V214" s="4" t="str">
        <f t="shared" si="20"/>
        <v>Excellent</v>
      </c>
      <c r="W214" s="4"/>
      <c r="X214" s="4"/>
      <c r="AJ214" s="4"/>
    </row>
    <row r="215" spans="1:36">
      <c r="A215" t="str">
        <f t="shared" si="16"/>
        <v>Priy57214</v>
      </c>
      <c r="B215">
        <v>214</v>
      </c>
      <c r="C215">
        <v>8</v>
      </c>
      <c r="D215">
        <v>12</v>
      </c>
      <c r="E215">
        <v>2021</v>
      </c>
      <c r="F215" s="1">
        <f t="shared" si="17"/>
        <v>44538</v>
      </c>
      <c r="G215" s="1" t="s">
        <v>239</v>
      </c>
      <c r="H215" s="2">
        <v>44691</v>
      </c>
      <c r="I215" t="s">
        <v>26</v>
      </c>
      <c r="J215">
        <v>5</v>
      </c>
      <c r="K215">
        <v>11346.95</v>
      </c>
      <c r="L215" t="s">
        <v>261</v>
      </c>
      <c r="M215">
        <v>57</v>
      </c>
      <c r="N215" t="s">
        <v>61</v>
      </c>
      <c r="O215" s="3" t="s">
        <v>22</v>
      </c>
      <c r="P215" t="s">
        <v>110</v>
      </c>
      <c r="Q215" t="s">
        <v>56</v>
      </c>
      <c r="R215">
        <v>4</v>
      </c>
      <c r="S215" t="s">
        <v>34</v>
      </c>
      <c r="T215" s="4">
        <f t="shared" si="18"/>
        <v>56734.75</v>
      </c>
      <c r="U215" s="4" t="str">
        <f t="shared" si="19"/>
        <v>Good</v>
      </c>
      <c r="V215" s="4" t="str">
        <f t="shared" si="20"/>
        <v>Average</v>
      </c>
      <c r="W215" s="4"/>
      <c r="X215" s="4"/>
      <c r="AJ215" s="4"/>
    </row>
    <row r="216" spans="1:36">
      <c r="A216" t="str">
        <f t="shared" si="16"/>
        <v>Ravi33215</v>
      </c>
      <c r="B216">
        <v>215</v>
      </c>
      <c r="C216">
        <v>9</v>
      </c>
      <c r="D216">
        <v>12</v>
      </c>
      <c r="E216">
        <v>2021</v>
      </c>
      <c r="F216" s="1">
        <f t="shared" si="17"/>
        <v>44539</v>
      </c>
      <c r="G216" s="1" t="s">
        <v>239</v>
      </c>
      <c r="H216" s="2">
        <v>44692</v>
      </c>
      <c r="I216" t="s">
        <v>43</v>
      </c>
      <c r="J216">
        <v>5</v>
      </c>
      <c r="K216">
        <v>45993.15</v>
      </c>
      <c r="L216" t="s">
        <v>262</v>
      </c>
      <c r="M216">
        <v>33</v>
      </c>
      <c r="N216" t="s">
        <v>21</v>
      </c>
      <c r="O216" s="3" t="s">
        <v>28</v>
      </c>
      <c r="P216" t="s">
        <v>33</v>
      </c>
      <c r="Q216" t="s">
        <v>56</v>
      </c>
      <c r="R216">
        <v>3</v>
      </c>
      <c r="S216" t="s">
        <v>46</v>
      </c>
      <c r="T216" s="4">
        <f t="shared" si="18"/>
        <v>229965.75</v>
      </c>
      <c r="U216" s="4" t="str">
        <f t="shared" si="19"/>
        <v>Average</v>
      </c>
      <c r="V216" s="4" t="str">
        <f t="shared" si="20"/>
        <v>Excellent</v>
      </c>
      <c r="W216" s="4"/>
      <c r="X216" s="4"/>
      <c r="AJ216" s="4"/>
    </row>
    <row r="217" spans="1:36">
      <c r="A217" t="str">
        <f t="shared" si="16"/>
        <v>Lali49216</v>
      </c>
      <c r="B217">
        <v>216</v>
      </c>
      <c r="C217">
        <v>9</v>
      </c>
      <c r="D217">
        <v>12</v>
      </c>
      <c r="E217">
        <v>2021</v>
      </c>
      <c r="F217" s="1">
        <f t="shared" si="17"/>
        <v>44539</v>
      </c>
      <c r="G217" s="1" t="s">
        <v>239</v>
      </c>
      <c r="H217" s="2">
        <v>44693</v>
      </c>
      <c r="I217" t="s">
        <v>38</v>
      </c>
      <c r="J217">
        <v>7</v>
      </c>
      <c r="K217">
        <v>51724.639999999999</v>
      </c>
      <c r="L217" t="s">
        <v>263</v>
      </c>
      <c r="M217">
        <v>49</v>
      </c>
      <c r="N217" t="s">
        <v>61</v>
      </c>
      <c r="O217" s="3" t="s">
        <v>22</v>
      </c>
      <c r="P217" t="s">
        <v>59</v>
      </c>
      <c r="Q217" t="s">
        <v>30</v>
      </c>
      <c r="R217">
        <v>5</v>
      </c>
      <c r="S217" t="s">
        <v>42</v>
      </c>
      <c r="T217" s="4">
        <f t="shared" si="18"/>
        <v>362072.48</v>
      </c>
      <c r="U217" s="4" t="str">
        <f t="shared" si="19"/>
        <v>Good</v>
      </c>
      <c r="V217" s="4" t="str">
        <f t="shared" si="20"/>
        <v>Excellent</v>
      </c>
      <c r="W217" s="4"/>
      <c r="X217" s="4"/>
      <c r="AJ217" s="4"/>
    </row>
    <row r="218" spans="1:36">
      <c r="A218" t="str">
        <f t="shared" si="16"/>
        <v>Radh54217</v>
      </c>
      <c r="B218">
        <v>217</v>
      </c>
      <c r="C218">
        <v>9</v>
      </c>
      <c r="D218">
        <v>12</v>
      </c>
      <c r="E218">
        <v>2021</v>
      </c>
      <c r="F218" s="1">
        <f t="shared" si="17"/>
        <v>44539</v>
      </c>
      <c r="G218" s="1" t="s">
        <v>239</v>
      </c>
      <c r="H218" s="2">
        <v>44694</v>
      </c>
      <c r="I218" t="s">
        <v>49</v>
      </c>
      <c r="J218">
        <v>5</v>
      </c>
      <c r="K218">
        <v>59527.5</v>
      </c>
      <c r="L218" t="s">
        <v>209</v>
      </c>
      <c r="M218">
        <v>54</v>
      </c>
      <c r="N218" t="s">
        <v>61</v>
      </c>
      <c r="O218" s="3" t="s">
        <v>22</v>
      </c>
      <c r="P218" t="s">
        <v>150</v>
      </c>
      <c r="Q218" t="s">
        <v>30</v>
      </c>
      <c r="R218">
        <v>5</v>
      </c>
      <c r="S218" t="s">
        <v>52</v>
      </c>
      <c r="T218" s="4">
        <f t="shared" si="18"/>
        <v>297637.5</v>
      </c>
      <c r="U218" s="4" t="str">
        <f t="shared" si="19"/>
        <v>Good</v>
      </c>
      <c r="V218" s="4" t="str">
        <f t="shared" si="20"/>
        <v>Excellent</v>
      </c>
      <c r="W218" s="4"/>
      <c r="X218" s="4"/>
      <c r="AJ218" s="4"/>
    </row>
    <row r="219" spans="1:36">
      <c r="A219" t="str">
        <f t="shared" si="16"/>
        <v>Lali35218</v>
      </c>
      <c r="B219">
        <v>218</v>
      </c>
      <c r="C219">
        <v>10</v>
      </c>
      <c r="D219">
        <v>12</v>
      </c>
      <c r="E219">
        <v>2021</v>
      </c>
      <c r="F219" s="1">
        <f t="shared" si="17"/>
        <v>44540</v>
      </c>
      <c r="G219" s="1" t="s">
        <v>239</v>
      </c>
      <c r="H219" s="2">
        <v>44695</v>
      </c>
      <c r="I219" t="s">
        <v>26</v>
      </c>
      <c r="J219">
        <v>8</v>
      </c>
      <c r="K219">
        <v>13360.14</v>
      </c>
      <c r="L219" t="s">
        <v>20</v>
      </c>
      <c r="M219">
        <v>35</v>
      </c>
      <c r="N219" t="s">
        <v>21</v>
      </c>
      <c r="O219" s="3" t="s">
        <v>22</v>
      </c>
      <c r="P219" t="s">
        <v>29</v>
      </c>
      <c r="Q219" t="s">
        <v>24</v>
      </c>
      <c r="R219">
        <v>5</v>
      </c>
      <c r="S219" t="s">
        <v>34</v>
      </c>
      <c r="T219" s="4">
        <f t="shared" si="18"/>
        <v>106881.12</v>
      </c>
      <c r="U219" s="4" t="str">
        <f t="shared" si="19"/>
        <v>Good</v>
      </c>
      <c r="V219" s="4" t="str">
        <f t="shared" si="20"/>
        <v>Good</v>
      </c>
      <c r="W219" s="4"/>
      <c r="X219" s="4"/>
      <c r="AJ219" s="4"/>
    </row>
    <row r="220" spans="1:36">
      <c r="A220" t="str">
        <f t="shared" si="16"/>
        <v>Adit37219</v>
      </c>
      <c r="B220">
        <v>219</v>
      </c>
      <c r="C220">
        <v>10</v>
      </c>
      <c r="D220">
        <v>12</v>
      </c>
      <c r="E220">
        <v>2021</v>
      </c>
      <c r="F220" s="1">
        <f t="shared" si="17"/>
        <v>44540</v>
      </c>
      <c r="G220" s="1" t="s">
        <v>239</v>
      </c>
      <c r="H220" s="2">
        <v>44696</v>
      </c>
      <c r="I220" t="s">
        <v>43</v>
      </c>
      <c r="J220">
        <v>6</v>
      </c>
      <c r="K220">
        <v>38806.47</v>
      </c>
      <c r="L220" t="s">
        <v>264</v>
      </c>
      <c r="M220">
        <v>37</v>
      </c>
      <c r="N220" t="s">
        <v>21</v>
      </c>
      <c r="O220" s="3" t="s">
        <v>22</v>
      </c>
      <c r="P220" t="s">
        <v>45</v>
      </c>
      <c r="Q220" t="s">
        <v>41</v>
      </c>
      <c r="R220">
        <v>4</v>
      </c>
      <c r="S220" t="s">
        <v>57</v>
      </c>
      <c r="T220" s="4">
        <f t="shared" si="18"/>
        <v>232838.82</v>
      </c>
      <c r="U220" s="4" t="str">
        <f t="shared" si="19"/>
        <v>Good</v>
      </c>
      <c r="V220" s="4" t="str">
        <f t="shared" si="20"/>
        <v>Excellent</v>
      </c>
      <c r="W220" s="4"/>
      <c r="X220" s="4"/>
      <c r="AJ220" s="4"/>
    </row>
    <row r="221" spans="1:36">
      <c r="A221" t="str">
        <f t="shared" si="16"/>
        <v>Sumi19220</v>
      </c>
      <c r="B221">
        <v>220</v>
      </c>
      <c r="C221">
        <v>10</v>
      </c>
      <c r="D221">
        <v>12</v>
      </c>
      <c r="E221">
        <v>2021</v>
      </c>
      <c r="F221" s="1">
        <f t="shared" si="17"/>
        <v>44540</v>
      </c>
      <c r="G221" s="1" t="s">
        <v>239</v>
      </c>
      <c r="H221" s="2">
        <v>44697</v>
      </c>
      <c r="I221" t="s">
        <v>49</v>
      </c>
      <c r="J221">
        <v>5</v>
      </c>
      <c r="K221">
        <v>42122.25</v>
      </c>
      <c r="L221" t="s">
        <v>199</v>
      </c>
      <c r="M221">
        <v>19</v>
      </c>
      <c r="N221" t="s">
        <v>36</v>
      </c>
      <c r="O221" s="3" t="s">
        <v>22</v>
      </c>
      <c r="P221" t="s">
        <v>45</v>
      </c>
      <c r="Q221" t="s">
        <v>30</v>
      </c>
      <c r="R221">
        <v>4</v>
      </c>
      <c r="S221" t="s">
        <v>52</v>
      </c>
      <c r="T221" s="4">
        <f t="shared" si="18"/>
        <v>210611.25</v>
      </c>
      <c r="U221" s="4" t="str">
        <f t="shared" si="19"/>
        <v>Good</v>
      </c>
      <c r="V221" s="4" t="str">
        <f t="shared" si="20"/>
        <v>Excellent</v>
      </c>
      <c r="W221" s="4"/>
      <c r="X221" s="4"/>
      <c r="AJ221" s="4"/>
    </row>
    <row r="222" spans="1:36">
      <c r="A222" t="str">
        <f t="shared" si="16"/>
        <v>Kira40221</v>
      </c>
      <c r="B222">
        <v>221</v>
      </c>
      <c r="C222">
        <v>11</v>
      </c>
      <c r="D222">
        <v>12</v>
      </c>
      <c r="E222">
        <v>2021</v>
      </c>
      <c r="F222" s="1">
        <f t="shared" si="17"/>
        <v>44541</v>
      </c>
      <c r="G222" s="1" t="s">
        <v>239</v>
      </c>
      <c r="H222" s="2">
        <v>44698</v>
      </c>
      <c r="I222" t="s">
        <v>38</v>
      </c>
      <c r="J222">
        <v>9</v>
      </c>
      <c r="K222">
        <v>20147.490000000002</v>
      </c>
      <c r="L222" t="s">
        <v>265</v>
      </c>
      <c r="M222">
        <v>40</v>
      </c>
      <c r="N222" t="s">
        <v>21</v>
      </c>
      <c r="O222" s="3" t="s">
        <v>22</v>
      </c>
      <c r="P222" t="s">
        <v>66</v>
      </c>
      <c r="Q222" t="s">
        <v>56</v>
      </c>
      <c r="R222">
        <v>4</v>
      </c>
      <c r="S222" t="s">
        <v>42</v>
      </c>
      <c r="T222" s="4">
        <f t="shared" si="18"/>
        <v>181327.41</v>
      </c>
      <c r="U222" s="4" t="str">
        <f t="shared" si="19"/>
        <v>Good</v>
      </c>
      <c r="V222" s="4" t="str">
        <f t="shared" si="20"/>
        <v>Good</v>
      </c>
      <c r="W222" s="4"/>
      <c r="X222" s="4"/>
      <c r="AJ222" s="4"/>
    </row>
    <row r="223" spans="1:36">
      <c r="A223" t="str">
        <f t="shared" si="16"/>
        <v>Kris47222</v>
      </c>
      <c r="B223">
        <v>222</v>
      </c>
      <c r="C223">
        <v>11</v>
      </c>
      <c r="D223">
        <v>12</v>
      </c>
      <c r="E223">
        <v>2021</v>
      </c>
      <c r="F223" s="1">
        <f t="shared" si="17"/>
        <v>44541</v>
      </c>
      <c r="G223" s="1" t="s">
        <v>239</v>
      </c>
      <c r="H223" s="2">
        <v>44699</v>
      </c>
      <c r="I223" t="s">
        <v>26</v>
      </c>
      <c r="J223">
        <v>2</v>
      </c>
      <c r="K223">
        <v>29346.99</v>
      </c>
      <c r="L223" t="s">
        <v>266</v>
      </c>
      <c r="M223">
        <v>47</v>
      </c>
      <c r="N223" t="s">
        <v>61</v>
      </c>
      <c r="O223" s="3" t="s">
        <v>22</v>
      </c>
      <c r="P223" t="s">
        <v>114</v>
      </c>
      <c r="Q223" t="s">
        <v>56</v>
      </c>
      <c r="R223">
        <v>5</v>
      </c>
      <c r="S223" t="s">
        <v>67</v>
      </c>
      <c r="T223" s="4">
        <f t="shared" si="18"/>
        <v>58693.98</v>
      </c>
      <c r="U223" s="4" t="str">
        <f t="shared" si="19"/>
        <v>Good</v>
      </c>
      <c r="V223" s="4" t="str">
        <f t="shared" si="20"/>
        <v>Average</v>
      </c>
      <c r="W223" s="4"/>
      <c r="X223" s="4"/>
      <c r="AJ223" s="4"/>
    </row>
    <row r="224" spans="1:36">
      <c r="A224" t="str">
        <f t="shared" si="16"/>
        <v>Pank20223</v>
      </c>
      <c r="B224">
        <v>223</v>
      </c>
      <c r="C224">
        <v>11</v>
      </c>
      <c r="D224">
        <v>12</v>
      </c>
      <c r="E224">
        <v>2021</v>
      </c>
      <c r="F224" s="1">
        <f t="shared" si="17"/>
        <v>44541</v>
      </c>
      <c r="G224" s="1" t="s">
        <v>239</v>
      </c>
      <c r="H224" s="2">
        <v>44700</v>
      </c>
      <c r="I224" t="s">
        <v>49</v>
      </c>
      <c r="J224">
        <v>1</v>
      </c>
      <c r="K224">
        <v>36413.300000000003</v>
      </c>
      <c r="L224" t="s">
        <v>178</v>
      </c>
      <c r="M224">
        <v>20</v>
      </c>
      <c r="N224" t="s">
        <v>36</v>
      </c>
      <c r="O224" s="3" t="s">
        <v>22</v>
      </c>
      <c r="P224" t="s">
        <v>40</v>
      </c>
      <c r="Q224" t="s">
        <v>30</v>
      </c>
      <c r="R224">
        <v>5</v>
      </c>
      <c r="S224" t="s">
        <v>88</v>
      </c>
      <c r="T224" s="4">
        <f t="shared" si="18"/>
        <v>36413.300000000003</v>
      </c>
      <c r="U224" s="4" t="str">
        <f t="shared" si="19"/>
        <v>Good</v>
      </c>
      <c r="V224" s="4" t="str">
        <f t="shared" si="20"/>
        <v>Low</v>
      </c>
      <c r="W224" s="4"/>
      <c r="X224" s="4"/>
      <c r="AJ224" s="4"/>
    </row>
    <row r="225" spans="1:36">
      <c r="A225" t="str">
        <f t="shared" si="16"/>
        <v>Sanj56224</v>
      </c>
      <c r="B225">
        <v>224</v>
      </c>
      <c r="C225">
        <v>12</v>
      </c>
      <c r="D225">
        <v>12</v>
      </c>
      <c r="E225">
        <v>2021</v>
      </c>
      <c r="F225" s="1">
        <f t="shared" si="17"/>
        <v>44542</v>
      </c>
      <c r="G225" s="1" t="s">
        <v>239</v>
      </c>
      <c r="H225" s="2">
        <v>44701</v>
      </c>
      <c r="I225" t="s">
        <v>49</v>
      </c>
      <c r="J225">
        <v>8</v>
      </c>
      <c r="K225">
        <v>59992.58</v>
      </c>
      <c r="L225" t="s">
        <v>97</v>
      </c>
      <c r="M225">
        <v>56</v>
      </c>
      <c r="N225" t="s">
        <v>61</v>
      </c>
      <c r="O225" s="3" t="s">
        <v>22</v>
      </c>
      <c r="P225" t="s">
        <v>23</v>
      </c>
      <c r="Q225" t="s">
        <v>56</v>
      </c>
      <c r="R225">
        <v>5</v>
      </c>
      <c r="S225" t="s">
        <v>52</v>
      </c>
      <c r="T225" s="4">
        <f t="shared" si="18"/>
        <v>479940.64</v>
      </c>
      <c r="U225" s="4" t="str">
        <f t="shared" si="19"/>
        <v>Good</v>
      </c>
      <c r="V225" s="4" t="str">
        <f t="shared" si="20"/>
        <v>Excellent</v>
      </c>
      <c r="W225" s="4"/>
      <c r="X225" s="4"/>
      <c r="AJ225" s="4"/>
    </row>
    <row r="226" spans="1:36">
      <c r="A226" t="str">
        <f t="shared" si="16"/>
        <v>Pank18225</v>
      </c>
      <c r="B226">
        <v>225</v>
      </c>
      <c r="C226">
        <v>12</v>
      </c>
      <c r="D226">
        <v>12</v>
      </c>
      <c r="E226">
        <v>2021</v>
      </c>
      <c r="F226" s="1">
        <f t="shared" si="17"/>
        <v>44542</v>
      </c>
      <c r="G226" s="1" t="s">
        <v>239</v>
      </c>
      <c r="H226" s="2">
        <v>44702</v>
      </c>
      <c r="I226" t="s">
        <v>49</v>
      </c>
      <c r="J226">
        <v>3</v>
      </c>
      <c r="K226">
        <v>65764.45</v>
      </c>
      <c r="L226" t="s">
        <v>94</v>
      </c>
      <c r="M226">
        <v>18</v>
      </c>
      <c r="N226" t="s">
        <v>36</v>
      </c>
      <c r="O226" s="3" t="s">
        <v>22</v>
      </c>
      <c r="P226" t="s">
        <v>29</v>
      </c>
      <c r="Q226" t="s">
        <v>41</v>
      </c>
      <c r="R226">
        <v>5</v>
      </c>
      <c r="S226" t="s">
        <v>102</v>
      </c>
      <c r="T226" s="4">
        <f t="shared" si="18"/>
        <v>197293.34999999998</v>
      </c>
      <c r="U226" s="4" t="str">
        <f t="shared" si="19"/>
        <v>Good</v>
      </c>
      <c r="V226" s="4" t="str">
        <f t="shared" si="20"/>
        <v>Good</v>
      </c>
      <c r="W226" s="4"/>
      <c r="X226" s="4"/>
      <c r="AJ226" s="4"/>
    </row>
    <row r="227" spans="1:36">
      <c r="A227" t="str">
        <f t="shared" si="16"/>
        <v>Moni58226</v>
      </c>
      <c r="B227">
        <v>226</v>
      </c>
      <c r="C227">
        <v>12</v>
      </c>
      <c r="D227">
        <v>12</v>
      </c>
      <c r="E227">
        <v>2021</v>
      </c>
      <c r="F227" s="1">
        <f t="shared" si="17"/>
        <v>44542</v>
      </c>
      <c r="G227" s="1" t="s">
        <v>239</v>
      </c>
      <c r="H227" s="2">
        <v>44703</v>
      </c>
      <c r="I227" t="s">
        <v>26</v>
      </c>
      <c r="J227">
        <v>7</v>
      </c>
      <c r="K227">
        <v>47705.37</v>
      </c>
      <c r="L227" t="s">
        <v>267</v>
      </c>
      <c r="M227">
        <v>58</v>
      </c>
      <c r="N227" t="s">
        <v>61</v>
      </c>
      <c r="O227" s="3" t="s">
        <v>22</v>
      </c>
      <c r="P227" t="s">
        <v>150</v>
      </c>
      <c r="Q227" t="s">
        <v>56</v>
      </c>
      <c r="R227">
        <v>4</v>
      </c>
      <c r="S227" t="s">
        <v>31</v>
      </c>
      <c r="T227" s="4">
        <f t="shared" si="18"/>
        <v>333937.59000000003</v>
      </c>
      <c r="U227" s="4" t="str">
        <f t="shared" si="19"/>
        <v>Good</v>
      </c>
      <c r="V227" s="4" t="str">
        <f t="shared" si="20"/>
        <v>Excellent</v>
      </c>
      <c r="W227" s="4"/>
      <c r="X227" s="4"/>
      <c r="AJ227" s="4"/>
    </row>
    <row r="228" spans="1:36">
      <c r="A228" t="str">
        <f t="shared" si="16"/>
        <v>Bhav39227</v>
      </c>
      <c r="B228">
        <v>227</v>
      </c>
      <c r="C228">
        <v>13</v>
      </c>
      <c r="D228">
        <v>12</v>
      </c>
      <c r="E228">
        <v>2021</v>
      </c>
      <c r="F228" s="1">
        <f t="shared" si="17"/>
        <v>44543</v>
      </c>
      <c r="G228" s="1" t="s">
        <v>239</v>
      </c>
      <c r="H228" s="2">
        <v>44704</v>
      </c>
      <c r="I228" t="s">
        <v>26</v>
      </c>
      <c r="J228">
        <v>8</v>
      </c>
      <c r="K228">
        <v>33696.71</v>
      </c>
      <c r="L228" t="s">
        <v>268</v>
      </c>
      <c r="M228">
        <v>39</v>
      </c>
      <c r="N228" t="s">
        <v>21</v>
      </c>
      <c r="O228" s="3" t="s">
        <v>28</v>
      </c>
      <c r="P228" t="s">
        <v>29</v>
      </c>
      <c r="Q228" t="s">
        <v>56</v>
      </c>
      <c r="R228">
        <v>3</v>
      </c>
      <c r="S228" t="s">
        <v>34</v>
      </c>
      <c r="T228" s="4">
        <f t="shared" si="18"/>
        <v>269573.68</v>
      </c>
      <c r="U228" s="4" t="str">
        <f t="shared" si="19"/>
        <v>Average</v>
      </c>
      <c r="V228" s="4" t="str">
        <f t="shared" si="20"/>
        <v>Excellent</v>
      </c>
      <c r="W228" s="4"/>
      <c r="X228" s="4"/>
      <c r="AJ228" s="4"/>
    </row>
    <row r="229" spans="1:36">
      <c r="A229" t="str">
        <f t="shared" si="16"/>
        <v>Rame46228</v>
      </c>
      <c r="B229">
        <v>228</v>
      </c>
      <c r="C229">
        <v>13</v>
      </c>
      <c r="D229">
        <v>12</v>
      </c>
      <c r="E229">
        <v>2021</v>
      </c>
      <c r="F229" s="1">
        <f t="shared" si="17"/>
        <v>44543</v>
      </c>
      <c r="G229" s="1" t="s">
        <v>239</v>
      </c>
      <c r="H229" s="2">
        <v>44705</v>
      </c>
      <c r="I229" t="s">
        <v>19</v>
      </c>
      <c r="J229">
        <v>6</v>
      </c>
      <c r="K229">
        <v>25241.86</v>
      </c>
      <c r="L229" t="s">
        <v>269</v>
      </c>
      <c r="M229">
        <v>46</v>
      </c>
      <c r="N229" t="s">
        <v>61</v>
      </c>
      <c r="O229" s="3" t="s">
        <v>22</v>
      </c>
      <c r="P229" t="s">
        <v>29</v>
      </c>
      <c r="Q229" t="s">
        <v>30</v>
      </c>
      <c r="R229">
        <v>5</v>
      </c>
      <c r="S229" t="s">
        <v>25</v>
      </c>
      <c r="T229" s="4">
        <f t="shared" si="18"/>
        <v>151451.16</v>
      </c>
      <c r="U229" s="4" t="str">
        <f t="shared" si="19"/>
        <v>Good</v>
      </c>
      <c r="V229" s="4" t="str">
        <f t="shared" si="20"/>
        <v>Good</v>
      </c>
      <c r="W229" s="4"/>
      <c r="X229" s="4"/>
      <c r="AJ229" s="4"/>
    </row>
    <row r="230" spans="1:36">
      <c r="A230" t="str">
        <f t="shared" si="16"/>
        <v>Suni31229</v>
      </c>
      <c r="B230">
        <v>229</v>
      </c>
      <c r="C230">
        <v>13</v>
      </c>
      <c r="D230">
        <v>12</v>
      </c>
      <c r="E230">
        <v>2021</v>
      </c>
      <c r="F230" s="1">
        <f t="shared" si="17"/>
        <v>44543</v>
      </c>
      <c r="G230" s="1" t="s">
        <v>239</v>
      </c>
      <c r="H230" s="2">
        <v>44706</v>
      </c>
      <c r="I230" t="s">
        <v>38</v>
      </c>
      <c r="J230">
        <v>9</v>
      </c>
      <c r="K230">
        <v>68928.11</v>
      </c>
      <c r="L230" t="s">
        <v>270</v>
      </c>
      <c r="M230">
        <v>31</v>
      </c>
      <c r="N230" t="s">
        <v>21</v>
      </c>
      <c r="O230" s="3" t="s">
        <v>22</v>
      </c>
      <c r="P230" t="s">
        <v>29</v>
      </c>
      <c r="Q230" t="s">
        <v>41</v>
      </c>
      <c r="R230">
        <v>4</v>
      </c>
      <c r="S230" t="s">
        <v>42</v>
      </c>
      <c r="T230" s="4">
        <f t="shared" si="18"/>
        <v>620352.99</v>
      </c>
      <c r="U230" s="4" t="str">
        <f t="shared" si="19"/>
        <v>Good</v>
      </c>
      <c r="V230" s="4" t="str">
        <f t="shared" si="20"/>
        <v>Excellent</v>
      </c>
      <c r="W230" s="4"/>
      <c r="X230" s="4"/>
      <c r="AJ230" s="4"/>
    </row>
    <row r="231" spans="1:36">
      <c r="A231" t="str">
        <f t="shared" si="16"/>
        <v>Nikh45230</v>
      </c>
      <c r="B231">
        <v>230</v>
      </c>
      <c r="C231">
        <v>13</v>
      </c>
      <c r="D231">
        <v>12</v>
      </c>
      <c r="E231">
        <v>2021</v>
      </c>
      <c r="F231" s="1">
        <f t="shared" si="17"/>
        <v>44543</v>
      </c>
      <c r="G231" s="1" t="s">
        <v>239</v>
      </c>
      <c r="H231" s="2">
        <v>44707</v>
      </c>
      <c r="I231" t="s">
        <v>43</v>
      </c>
      <c r="J231">
        <v>7</v>
      </c>
      <c r="K231">
        <v>68981.2</v>
      </c>
      <c r="L231" t="s">
        <v>271</v>
      </c>
      <c r="M231">
        <v>45</v>
      </c>
      <c r="N231" t="s">
        <v>21</v>
      </c>
      <c r="O231" s="3" t="s">
        <v>22</v>
      </c>
      <c r="P231" t="s">
        <v>45</v>
      </c>
      <c r="Q231" t="s">
        <v>41</v>
      </c>
      <c r="R231">
        <v>5</v>
      </c>
      <c r="S231" t="s">
        <v>46</v>
      </c>
      <c r="T231" s="4">
        <f t="shared" si="18"/>
        <v>482868.39999999997</v>
      </c>
      <c r="U231" s="4" t="str">
        <f t="shared" si="19"/>
        <v>Good</v>
      </c>
      <c r="V231" s="4" t="str">
        <f t="shared" si="20"/>
        <v>Excellent</v>
      </c>
      <c r="W231" s="4"/>
      <c r="X231" s="4"/>
      <c r="AJ231" s="4"/>
    </row>
    <row r="232" spans="1:36">
      <c r="A232" t="str">
        <f t="shared" si="16"/>
        <v>Vija38231</v>
      </c>
      <c r="B232">
        <v>231</v>
      </c>
      <c r="C232">
        <v>14</v>
      </c>
      <c r="D232">
        <v>12</v>
      </c>
      <c r="E232">
        <v>2021</v>
      </c>
      <c r="F232" s="1">
        <f t="shared" si="17"/>
        <v>44544</v>
      </c>
      <c r="G232" s="1" t="s">
        <v>239</v>
      </c>
      <c r="H232" s="2">
        <v>44708</v>
      </c>
      <c r="I232" t="s">
        <v>49</v>
      </c>
      <c r="J232">
        <v>5</v>
      </c>
      <c r="K232">
        <v>65498.62</v>
      </c>
      <c r="L232" t="s">
        <v>272</v>
      </c>
      <c r="M232">
        <v>38</v>
      </c>
      <c r="N232" t="s">
        <v>21</v>
      </c>
      <c r="O232" s="3" t="s">
        <v>22</v>
      </c>
      <c r="P232" t="s">
        <v>132</v>
      </c>
      <c r="Q232" t="s">
        <v>24</v>
      </c>
      <c r="R232">
        <v>4</v>
      </c>
      <c r="S232" t="s">
        <v>52</v>
      </c>
      <c r="T232" s="4">
        <f t="shared" si="18"/>
        <v>327493.10000000003</v>
      </c>
      <c r="U232" s="4" t="str">
        <f t="shared" si="19"/>
        <v>Good</v>
      </c>
      <c r="V232" s="4" t="str">
        <f t="shared" si="20"/>
        <v>Excellent</v>
      </c>
      <c r="W232" s="4"/>
      <c r="X232" s="4"/>
      <c r="AJ232" s="4"/>
    </row>
    <row r="233" spans="1:36">
      <c r="A233" t="str">
        <f t="shared" si="16"/>
        <v>Bhav49232</v>
      </c>
      <c r="B233">
        <v>232</v>
      </c>
      <c r="C233">
        <v>14</v>
      </c>
      <c r="D233">
        <v>12</v>
      </c>
      <c r="E233">
        <v>2021</v>
      </c>
      <c r="F233" s="1">
        <f t="shared" si="17"/>
        <v>44544</v>
      </c>
      <c r="G233" s="1" t="s">
        <v>239</v>
      </c>
      <c r="H233" s="2">
        <v>44709</v>
      </c>
      <c r="I233" t="s">
        <v>19</v>
      </c>
      <c r="J233">
        <v>8</v>
      </c>
      <c r="K233">
        <v>57140.15</v>
      </c>
      <c r="L233" t="s">
        <v>268</v>
      </c>
      <c r="M233">
        <v>49</v>
      </c>
      <c r="N233" t="s">
        <v>61</v>
      </c>
      <c r="O233" s="3" t="s">
        <v>22</v>
      </c>
      <c r="P233" t="s">
        <v>29</v>
      </c>
      <c r="Q233" t="s">
        <v>41</v>
      </c>
      <c r="R233">
        <v>5</v>
      </c>
      <c r="S233" t="s">
        <v>84</v>
      </c>
      <c r="T233" s="4">
        <f t="shared" si="18"/>
        <v>457121.2</v>
      </c>
      <c r="U233" s="4" t="str">
        <f t="shared" si="19"/>
        <v>Good</v>
      </c>
      <c r="V233" s="4" t="str">
        <f t="shared" si="20"/>
        <v>Excellent</v>
      </c>
      <c r="W233" s="4"/>
      <c r="X233" s="4"/>
      <c r="AJ233" s="4"/>
    </row>
    <row r="234" spans="1:36">
      <c r="A234" t="str">
        <f t="shared" si="16"/>
        <v>Vive23233</v>
      </c>
      <c r="B234">
        <v>233</v>
      </c>
      <c r="C234">
        <v>14</v>
      </c>
      <c r="D234">
        <v>12</v>
      </c>
      <c r="E234">
        <v>2021</v>
      </c>
      <c r="F234" s="1">
        <f t="shared" si="17"/>
        <v>44544</v>
      </c>
      <c r="G234" s="1" t="s">
        <v>239</v>
      </c>
      <c r="H234" s="2">
        <v>44710</v>
      </c>
      <c r="I234" t="s">
        <v>43</v>
      </c>
      <c r="J234">
        <v>2</v>
      </c>
      <c r="K234">
        <v>29546.77</v>
      </c>
      <c r="L234" t="s">
        <v>273</v>
      </c>
      <c r="M234">
        <v>23</v>
      </c>
      <c r="N234" t="s">
        <v>36</v>
      </c>
      <c r="O234" s="3" t="s">
        <v>22</v>
      </c>
      <c r="P234" t="s">
        <v>29</v>
      </c>
      <c r="Q234" t="s">
        <v>24</v>
      </c>
      <c r="R234">
        <v>5</v>
      </c>
      <c r="S234" t="s">
        <v>57</v>
      </c>
      <c r="T234" s="4">
        <f t="shared" si="18"/>
        <v>59093.54</v>
      </c>
      <c r="U234" s="4" t="str">
        <f t="shared" si="19"/>
        <v>Good</v>
      </c>
      <c r="V234" s="4" t="str">
        <f t="shared" si="20"/>
        <v>Average</v>
      </c>
      <c r="W234" s="4"/>
      <c r="X234" s="4"/>
      <c r="AJ234" s="4"/>
    </row>
    <row r="235" spans="1:36">
      <c r="A235" t="str">
        <f t="shared" si="16"/>
        <v>Mano18234</v>
      </c>
      <c r="B235">
        <v>234</v>
      </c>
      <c r="C235">
        <v>14</v>
      </c>
      <c r="D235">
        <v>12</v>
      </c>
      <c r="E235">
        <v>2021</v>
      </c>
      <c r="F235" s="1">
        <f t="shared" si="17"/>
        <v>44544</v>
      </c>
      <c r="G235" s="1" t="s">
        <v>239</v>
      </c>
      <c r="H235" s="2">
        <v>44711</v>
      </c>
      <c r="I235" t="s">
        <v>19</v>
      </c>
      <c r="J235">
        <v>7</v>
      </c>
      <c r="K235">
        <v>59020.03</v>
      </c>
      <c r="L235" t="s">
        <v>65</v>
      </c>
      <c r="M235">
        <v>18</v>
      </c>
      <c r="N235" t="s">
        <v>36</v>
      </c>
      <c r="O235" s="3" t="s">
        <v>22</v>
      </c>
      <c r="P235" t="s">
        <v>29</v>
      </c>
      <c r="Q235" t="s">
        <v>30</v>
      </c>
      <c r="R235">
        <v>5</v>
      </c>
      <c r="S235" t="s">
        <v>84</v>
      </c>
      <c r="T235" s="4">
        <f t="shared" si="18"/>
        <v>413140.20999999996</v>
      </c>
      <c r="U235" s="4" t="str">
        <f t="shared" si="19"/>
        <v>Good</v>
      </c>
      <c r="V235" s="4" t="str">
        <f t="shared" si="20"/>
        <v>Excellent</v>
      </c>
      <c r="W235" s="4"/>
      <c r="X235" s="4"/>
      <c r="AJ235" s="4"/>
    </row>
    <row r="236" spans="1:36">
      <c r="A236" t="str">
        <f t="shared" si="16"/>
        <v>Isha38235</v>
      </c>
      <c r="B236">
        <v>235</v>
      </c>
      <c r="C236">
        <v>15</v>
      </c>
      <c r="D236">
        <v>12</v>
      </c>
      <c r="E236">
        <v>2021</v>
      </c>
      <c r="F236" s="1">
        <f t="shared" si="17"/>
        <v>44545</v>
      </c>
      <c r="G236" s="1" t="s">
        <v>239</v>
      </c>
      <c r="H236" s="2">
        <v>44712</v>
      </c>
      <c r="I236" t="s">
        <v>26</v>
      </c>
      <c r="J236">
        <v>4</v>
      </c>
      <c r="K236">
        <v>34527.58</v>
      </c>
      <c r="L236" t="s">
        <v>274</v>
      </c>
      <c r="M236">
        <v>38</v>
      </c>
      <c r="N236" t="s">
        <v>21</v>
      </c>
      <c r="O236" s="3" t="s">
        <v>22</v>
      </c>
      <c r="P236" t="s">
        <v>114</v>
      </c>
      <c r="Q236" t="s">
        <v>56</v>
      </c>
      <c r="R236">
        <v>5</v>
      </c>
      <c r="S236" t="s">
        <v>67</v>
      </c>
      <c r="T236" s="4">
        <f t="shared" si="18"/>
        <v>138110.32</v>
      </c>
      <c r="U236" s="4" t="str">
        <f t="shared" si="19"/>
        <v>Good</v>
      </c>
      <c r="V236" s="4" t="str">
        <f t="shared" si="20"/>
        <v>Good</v>
      </c>
      <c r="W236" s="4"/>
      <c r="X236" s="4"/>
      <c r="AJ236" s="4"/>
    </row>
    <row r="237" spans="1:36">
      <c r="A237" t="str">
        <f t="shared" si="16"/>
        <v>Mala21236</v>
      </c>
      <c r="B237">
        <v>236</v>
      </c>
      <c r="C237">
        <v>15</v>
      </c>
      <c r="D237">
        <v>12</v>
      </c>
      <c r="E237">
        <v>2021</v>
      </c>
      <c r="F237" s="1">
        <f t="shared" si="17"/>
        <v>44545</v>
      </c>
      <c r="G237" s="1" t="s">
        <v>239</v>
      </c>
      <c r="H237" s="2">
        <v>44713</v>
      </c>
      <c r="I237" t="s">
        <v>49</v>
      </c>
      <c r="J237">
        <v>9</v>
      </c>
      <c r="K237">
        <v>29606.39</v>
      </c>
      <c r="L237" t="s">
        <v>167</v>
      </c>
      <c r="M237">
        <v>21</v>
      </c>
      <c r="N237" t="s">
        <v>36</v>
      </c>
      <c r="O237" s="3" t="s">
        <v>22</v>
      </c>
      <c r="P237" t="s">
        <v>33</v>
      </c>
      <c r="Q237" t="s">
        <v>41</v>
      </c>
      <c r="R237">
        <v>5</v>
      </c>
      <c r="S237" t="s">
        <v>52</v>
      </c>
      <c r="T237" s="4">
        <f t="shared" si="18"/>
        <v>266457.51</v>
      </c>
      <c r="U237" s="4" t="str">
        <f t="shared" si="19"/>
        <v>Good</v>
      </c>
      <c r="V237" s="4" t="str">
        <f t="shared" si="20"/>
        <v>Excellent</v>
      </c>
      <c r="W237" s="4"/>
      <c r="X237" s="4"/>
      <c r="AJ237" s="4"/>
    </row>
    <row r="238" spans="1:36">
      <c r="A238" t="str">
        <f t="shared" si="16"/>
        <v>Kuna20237</v>
      </c>
      <c r="B238">
        <v>237</v>
      </c>
      <c r="C238">
        <v>15</v>
      </c>
      <c r="D238">
        <v>12</v>
      </c>
      <c r="E238">
        <v>2021</v>
      </c>
      <c r="F238" s="1">
        <f t="shared" si="17"/>
        <v>44545</v>
      </c>
      <c r="G238" s="1" t="s">
        <v>239</v>
      </c>
      <c r="H238" s="2">
        <v>44714</v>
      </c>
      <c r="I238" t="s">
        <v>43</v>
      </c>
      <c r="J238">
        <v>1</v>
      </c>
      <c r="K238">
        <v>54691.92</v>
      </c>
      <c r="L238" t="s">
        <v>275</v>
      </c>
      <c r="M238">
        <v>20</v>
      </c>
      <c r="N238" t="s">
        <v>36</v>
      </c>
      <c r="O238" s="3" t="s">
        <v>22</v>
      </c>
      <c r="P238" t="s">
        <v>23</v>
      </c>
      <c r="Q238" t="s">
        <v>24</v>
      </c>
      <c r="R238">
        <v>5</v>
      </c>
      <c r="S238" t="s">
        <v>46</v>
      </c>
      <c r="T238" s="4">
        <f t="shared" si="18"/>
        <v>54691.92</v>
      </c>
      <c r="U238" s="4" t="str">
        <f t="shared" si="19"/>
        <v>Good</v>
      </c>
      <c r="V238" s="4" t="str">
        <f t="shared" si="20"/>
        <v>Average</v>
      </c>
      <c r="W238" s="4"/>
      <c r="X238" s="4"/>
      <c r="AJ238" s="4"/>
    </row>
    <row r="239" spans="1:36">
      <c r="A239" t="str">
        <f t="shared" si="16"/>
        <v>Suni47238</v>
      </c>
      <c r="B239">
        <v>238</v>
      </c>
      <c r="C239">
        <v>16</v>
      </c>
      <c r="D239">
        <v>12</v>
      </c>
      <c r="E239">
        <v>2021</v>
      </c>
      <c r="F239" s="1">
        <f t="shared" si="17"/>
        <v>44546</v>
      </c>
      <c r="G239" s="1" t="s">
        <v>239</v>
      </c>
      <c r="H239" s="2">
        <v>44715</v>
      </c>
      <c r="I239" t="s">
        <v>43</v>
      </c>
      <c r="J239">
        <v>7</v>
      </c>
      <c r="K239">
        <v>14779.24</v>
      </c>
      <c r="L239" t="s">
        <v>119</v>
      </c>
      <c r="M239">
        <v>47</v>
      </c>
      <c r="N239" t="s">
        <v>61</v>
      </c>
      <c r="O239" s="3" t="s">
        <v>22</v>
      </c>
      <c r="P239" t="s">
        <v>137</v>
      </c>
      <c r="Q239" t="s">
        <v>41</v>
      </c>
      <c r="R239">
        <v>5</v>
      </c>
      <c r="S239" t="s">
        <v>46</v>
      </c>
      <c r="T239" s="4">
        <f t="shared" si="18"/>
        <v>103454.68</v>
      </c>
      <c r="U239" s="4" t="str">
        <f t="shared" si="19"/>
        <v>Good</v>
      </c>
      <c r="V239" s="4" t="str">
        <f t="shared" si="20"/>
        <v>Good</v>
      </c>
      <c r="W239" s="4"/>
      <c r="X239" s="4"/>
      <c r="AJ239" s="4"/>
    </row>
    <row r="240" spans="1:36">
      <c r="A240" t="str">
        <f t="shared" si="16"/>
        <v>Yoge48239</v>
      </c>
      <c r="B240">
        <v>239</v>
      </c>
      <c r="C240">
        <v>16</v>
      </c>
      <c r="D240">
        <v>12</v>
      </c>
      <c r="E240">
        <v>2021</v>
      </c>
      <c r="F240" s="1">
        <f t="shared" si="17"/>
        <v>44546</v>
      </c>
      <c r="G240" s="1" t="s">
        <v>239</v>
      </c>
      <c r="H240" s="2">
        <v>44716</v>
      </c>
      <c r="I240" t="s">
        <v>43</v>
      </c>
      <c r="J240">
        <v>6</v>
      </c>
      <c r="K240">
        <v>12913.76</v>
      </c>
      <c r="L240" t="s">
        <v>276</v>
      </c>
      <c r="M240">
        <v>48</v>
      </c>
      <c r="N240" t="s">
        <v>61</v>
      </c>
      <c r="O240" s="3" t="s">
        <v>28</v>
      </c>
      <c r="P240" t="s">
        <v>29</v>
      </c>
      <c r="Q240" t="s">
        <v>30</v>
      </c>
      <c r="R240">
        <v>3</v>
      </c>
      <c r="S240" t="s">
        <v>57</v>
      </c>
      <c r="T240" s="4">
        <f t="shared" si="18"/>
        <v>77482.559999999998</v>
      </c>
      <c r="U240" s="4" t="str">
        <f t="shared" si="19"/>
        <v>Average</v>
      </c>
      <c r="V240" s="4" t="str">
        <f t="shared" si="20"/>
        <v>Average</v>
      </c>
      <c r="W240" s="4"/>
      <c r="X240" s="4"/>
      <c r="AJ240" s="4"/>
    </row>
    <row r="241" spans="1:36">
      <c r="A241" t="str">
        <f t="shared" si="16"/>
        <v>Isha51240</v>
      </c>
      <c r="B241">
        <v>240</v>
      </c>
      <c r="C241">
        <v>16</v>
      </c>
      <c r="D241">
        <v>12</v>
      </c>
      <c r="E241">
        <v>2021</v>
      </c>
      <c r="F241" s="1">
        <f t="shared" si="17"/>
        <v>44546</v>
      </c>
      <c r="G241" s="1" t="s">
        <v>239</v>
      </c>
      <c r="H241" s="2">
        <v>44717</v>
      </c>
      <c r="I241" t="s">
        <v>43</v>
      </c>
      <c r="J241">
        <v>8</v>
      </c>
      <c r="K241">
        <v>36877.22</v>
      </c>
      <c r="L241" t="s">
        <v>277</v>
      </c>
      <c r="M241">
        <v>51</v>
      </c>
      <c r="N241" t="s">
        <v>61</v>
      </c>
      <c r="O241" s="3" t="s">
        <v>22</v>
      </c>
      <c r="P241" t="s">
        <v>29</v>
      </c>
      <c r="Q241" t="s">
        <v>24</v>
      </c>
      <c r="R241">
        <v>5</v>
      </c>
      <c r="S241" t="s">
        <v>95</v>
      </c>
      <c r="T241" s="4">
        <f t="shared" si="18"/>
        <v>295017.76</v>
      </c>
      <c r="U241" s="4" t="str">
        <f t="shared" si="19"/>
        <v>Good</v>
      </c>
      <c r="V241" s="4" t="str">
        <f t="shared" si="20"/>
        <v>Excellent</v>
      </c>
      <c r="W241" s="4"/>
      <c r="X241" s="4"/>
      <c r="AJ241" s="4"/>
    </row>
    <row r="242" spans="1:36">
      <c r="A242" t="str">
        <f t="shared" si="16"/>
        <v>Kris36241</v>
      </c>
      <c r="B242">
        <v>241</v>
      </c>
      <c r="C242">
        <v>16</v>
      </c>
      <c r="D242">
        <v>12</v>
      </c>
      <c r="E242">
        <v>2021</v>
      </c>
      <c r="F242" s="1">
        <f t="shared" si="17"/>
        <v>44546</v>
      </c>
      <c r="G242" s="1" t="s">
        <v>239</v>
      </c>
      <c r="H242" s="2">
        <v>44718</v>
      </c>
      <c r="I242" t="s">
        <v>43</v>
      </c>
      <c r="J242">
        <v>5</v>
      </c>
      <c r="K242">
        <v>36738.33</v>
      </c>
      <c r="L242" t="s">
        <v>176</v>
      </c>
      <c r="M242">
        <v>36</v>
      </c>
      <c r="N242" t="s">
        <v>21</v>
      </c>
      <c r="O242" s="3" t="s">
        <v>22</v>
      </c>
      <c r="P242" t="s">
        <v>29</v>
      </c>
      <c r="Q242" t="s">
        <v>24</v>
      </c>
      <c r="R242">
        <v>5</v>
      </c>
      <c r="S242" t="s">
        <v>95</v>
      </c>
      <c r="T242" s="4">
        <f t="shared" si="18"/>
        <v>183691.65000000002</v>
      </c>
      <c r="U242" s="4" t="str">
        <f t="shared" si="19"/>
        <v>Good</v>
      </c>
      <c r="V242" s="4" t="str">
        <f t="shared" si="20"/>
        <v>Good</v>
      </c>
      <c r="W242" s="4"/>
      <c r="X242" s="4"/>
      <c r="AJ242" s="4"/>
    </row>
    <row r="243" spans="1:36">
      <c r="A243" t="str">
        <f t="shared" si="16"/>
        <v>Kris37242</v>
      </c>
      <c r="B243">
        <v>242</v>
      </c>
      <c r="C243">
        <v>17</v>
      </c>
      <c r="D243">
        <v>12</v>
      </c>
      <c r="E243">
        <v>2021</v>
      </c>
      <c r="F243" s="1">
        <f t="shared" si="17"/>
        <v>44547</v>
      </c>
      <c r="G243" s="1" t="s">
        <v>239</v>
      </c>
      <c r="H243" s="2">
        <v>44719</v>
      </c>
      <c r="I243" t="s">
        <v>19</v>
      </c>
      <c r="J243">
        <v>1</v>
      </c>
      <c r="K243">
        <v>63738.65</v>
      </c>
      <c r="L243" t="s">
        <v>278</v>
      </c>
      <c r="M243">
        <v>37</v>
      </c>
      <c r="N243" t="s">
        <v>21</v>
      </c>
      <c r="O243" s="3" t="s">
        <v>22</v>
      </c>
      <c r="P243" t="s">
        <v>33</v>
      </c>
      <c r="Q243" t="s">
        <v>24</v>
      </c>
      <c r="R243">
        <v>5</v>
      </c>
      <c r="S243" t="s">
        <v>84</v>
      </c>
      <c r="T243" s="4">
        <f t="shared" si="18"/>
        <v>63738.65</v>
      </c>
      <c r="U243" s="4" t="str">
        <f t="shared" si="19"/>
        <v>Good</v>
      </c>
      <c r="V243" s="4" t="str">
        <f t="shared" si="20"/>
        <v>Average</v>
      </c>
      <c r="W243" s="4"/>
      <c r="X243" s="4"/>
      <c r="AJ243" s="4"/>
    </row>
    <row r="244" spans="1:36">
      <c r="A244" t="str">
        <f t="shared" si="16"/>
        <v>Mano40243</v>
      </c>
      <c r="B244">
        <v>243</v>
      </c>
      <c r="C244">
        <v>17</v>
      </c>
      <c r="D244">
        <v>12</v>
      </c>
      <c r="E244">
        <v>2021</v>
      </c>
      <c r="F244" s="1">
        <f t="shared" si="17"/>
        <v>44547</v>
      </c>
      <c r="G244" s="1" t="s">
        <v>239</v>
      </c>
      <c r="H244" s="2">
        <v>44720</v>
      </c>
      <c r="I244" t="s">
        <v>49</v>
      </c>
      <c r="J244">
        <v>1</v>
      </c>
      <c r="K244">
        <v>17569.189999999999</v>
      </c>
      <c r="L244" t="s">
        <v>279</v>
      </c>
      <c r="M244">
        <v>40</v>
      </c>
      <c r="N244" t="s">
        <v>21</v>
      </c>
      <c r="O244" s="3" t="s">
        <v>22</v>
      </c>
      <c r="P244" t="s">
        <v>137</v>
      </c>
      <c r="Q244" t="s">
        <v>30</v>
      </c>
      <c r="R244">
        <v>4</v>
      </c>
      <c r="S244" t="s">
        <v>88</v>
      </c>
      <c r="T244" s="4">
        <f t="shared" si="18"/>
        <v>17569.189999999999</v>
      </c>
      <c r="U244" s="4" t="str">
        <f t="shared" si="19"/>
        <v>Good</v>
      </c>
      <c r="V244" s="4" t="str">
        <f t="shared" si="20"/>
        <v>Low</v>
      </c>
      <c r="W244" s="4"/>
      <c r="X244" s="4"/>
      <c r="AJ244" s="4"/>
    </row>
    <row r="245" spans="1:36">
      <c r="A245" t="str">
        <f t="shared" si="16"/>
        <v>Reen57244</v>
      </c>
      <c r="B245">
        <v>244</v>
      </c>
      <c r="C245">
        <v>17</v>
      </c>
      <c r="D245">
        <v>12</v>
      </c>
      <c r="E245">
        <v>2021</v>
      </c>
      <c r="F245" s="1">
        <f t="shared" si="17"/>
        <v>44547</v>
      </c>
      <c r="G245" s="1" t="s">
        <v>239</v>
      </c>
      <c r="H245" s="2">
        <v>44721</v>
      </c>
      <c r="I245" t="s">
        <v>26</v>
      </c>
      <c r="J245">
        <v>9</v>
      </c>
      <c r="K245">
        <v>17397.04</v>
      </c>
      <c r="L245" t="s">
        <v>207</v>
      </c>
      <c r="M245">
        <v>57</v>
      </c>
      <c r="N245" t="s">
        <v>61</v>
      </c>
      <c r="O245" s="3" t="s">
        <v>22</v>
      </c>
      <c r="P245" t="s">
        <v>93</v>
      </c>
      <c r="Q245" t="s">
        <v>24</v>
      </c>
      <c r="R245">
        <v>5</v>
      </c>
      <c r="S245" t="s">
        <v>31</v>
      </c>
      <c r="T245" s="4">
        <f t="shared" si="18"/>
        <v>156573.36000000002</v>
      </c>
      <c r="U245" s="4" t="str">
        <f t="shared" si="19"/>
        <v>Good</v>
      </c>
      <c r="V245" s="4" t="str">
        <f t="shared" si="20"/>
        <v>Good</v>
      </c>
      <c r="W245" s="4"/>
      <c r="X245" s="4"/>
      <c r="AJ245" s="4"/>
    </row>
    <row r="246" spans="1:36">
      <c r="A246" t="str">
        <f t="shared" si="16"/>
        <v>Anja42245</v>
      </c>
      <c r="B246">
        <v>245</v>
      </c>
      <c r="C246">
        <v>17</v>
      </c>
      <c r="D246">
        <v>12</v>
      </c>
      <c r="E246">
        <v>2021</v>
      </c>
      <c r="F246" s="1">
        <f t="shared" si="17"/>
        <v>44547</v>
      </c>
      <c r="G246" s="1" t="s">
        <v>239</v>
      </c>
      <c r="H246" s="2">
        <v>44722</v>
      </c>
      <c r="I246" t="s">
        <v>26</v>
      </c>
      <c r="J246">
        <v>6</v>
      </c>
      <c r="K246">
        <v>18847.16</v>
      </c>
      <c r="L246" t="s">
        <v>280</v>
      </c>
      <c r="M246">
        <v>42</v>
      </c>
      <c r="N246" t="s">
        <v>21</v>
      </c>
      <c r="O246" s="3" t="s">
        <v>22</v>
      </c>
      <c r="P246" t="s">
        <v>93</v>
      </c>
      <c r="Q246" t="s">
        <v>56</v>
      </c>
      <c r="R246">
        <v>5</v>
      </c>
      <c r="S246" t="s">
        <v>31</v>
      </c>
      <c r="T246" s="4">
        <f t="shared" si="18"/>
        <v>113082.95999999999</v>
      </c>
      <c r="U246" s="4" t="str">
        <f t="shared" si="19"/>
        <v>Good</v>
      </c>
      <c r="V246" s="4" t="str">
        <f t="shared" si="20"/>
        <v>Good</v>
      </c>
      <c r="W246" s="4"/>
      <c r="X246" s="4"/>
      <c r="AJ246" s="4"/>
    </row>
    <row r="247" spans="1:36">
      <c r="A247" t="str">
        <f t="shared" si="16"/>
        <v>Pooj32246</v>
      </c>
      <c r="B247">
        <v>246</v>
      </c>
      <c r="C247">
        <v>18</v>
      </c>
      <c r="D247">
        <v>12</v>
      </c>
      <c r="E247">
        <v>2021</v>
      </c>
      <c r="F247" s="1">
        <f t="shared" si="17"/>
        <v>44548</v>
      </c>
      <c r="G247" s="1" t="s">
        <v>239</v>
      </c>
      <c r="H247" s="2">
        <v>44723</v>
      </c>
      <c r="I247" t="s">
        <v>26</v>
      </c>
      <c r="J247">
        <v>5</v>
      </c>
      <c r="K247">
        <v>11784.18</v>
      </c>
      <c r="L247" t="s">
        <v>108</v>
      </c>
      <c r="M247">
        <v>32</v>
      </c>
      <c r="N247" t="s">
        <v>21</v>
      </c>
      <c r="O247" s="3" t="s">
        <v>28</v>
      </c>
      <c r="P247" t="s">
        <v>29</v>
      </c>
      <c r="Q247" t="s">
        <v>30</v>
      </c>
      <c r="R247">
        <v>3</v>
      </c>
      <c r="S247" t="s">
        <v>34</v>
      </c>
      <c r="T247" s="4">
        <f t="shared" si="18"/>
        <v>58920.9</v>
      </c>
      <c r="U247" s="4" t="str">
        <f t="shared" si="19"/>
        <v>Average</v>
      </c>
      <c r="V247" s="4" t="str">
        <f t="shared" si="20"/>
        <v>Average</v>
      </c>
      <c r="W247" s="4"/>
      <c r="X247" s="4"/>
      <c r="AJ247" s="4"/>
    </row>
    <row r="248" spans="1:36">
      <c r="A248" t="str">
        <f t="shared" si="16"/>
        <v>Jyot55247</v>
      </c>
      <c r="B248">
        <v>247</v>
      </c>
      <c r="C248">
        <v>18</v>
      </c>
      <c r="D248">
        <v>12</v>
      </c>
      <c r="E248">
        <v>2021</v>
      </c>
      <c r="F248" s="1">
        <f t="shared" si="17"/>
        <v>44548</v>
      </c>
      <c r="G248" s="1" t="s">
        <v>239</v>
      </c>
      <c r="H248" s="2">
        <v>44724</v>
      </c>
      <c r="I248" t="s">
        <v>26</v>
      </c>
      <c r="J248">
        <v>1</v>
      </c>
      <c r="K248">
        <v>14303.9</v>
      </c>
      <c r="L248" t="s">
        <v>281</v>
      </c>
      <c r="M248">
        <v>55</v>
      </c>
      <c r="N248" t="s">
        <v>61</v>
      </c>
      <c r="O248" s="3" t="s">
        <v>22</v>
      </c>
      <c r="P248" t="s">
        <v>33</v>
      </c>
      <c r="Q248" t="s">
        <v>56</v>
      </c>
      <c r="R248">
        <v>5</v>
      </c>
      <c r="S248" t="s">
        <v>67</v>
      </c>
      <c r="T248" s="4">
        <f t="shared" si="18"/>
        <v>14303.9</v>
      </c>
      <c r="U248" s="4" t="str">
        <f t="shared" si="19"/>
        <v>Good</v>
      </c>
      <c r="V248" s="4" t="str">
        <f t="shared" si="20"/>
        <v>Low</v>
      </c>
      <c r="W248" s="4"/>
      <c r="X248" s="4"/>
      <c r="AJ248" s="4"/>
    </row>
    <row r="249" spans="1:36">
      <c r="A249" t="str">
        <f t="shared" si="16"/>
        <v>Tapa40248</v>
      </c>
      <c r="B249">
        <v>248</v>
      </c>
      <c r="C249">
        <v>18</v>
      </c>
      <c r="D249">
        <v>12</v>
      </c>
      <c r="E249">
        <v>2021</v>
      </c>
      <c r="F249" s="1">
        <f t="shared" si="17"/>
        <v>44548</v>
      </c>
      <c r="G249" s="1" t="s">
        <v>239</v>
      </c>
      <c r="H249" s="2">
        <v>44725</v>
      </c>
      <c r="I249" t="s">
        <v>19</v>
      </c>
      <c r="J249">
        <v>6</v>
      </c>
      <c r="K249">
        <v>49592.19</v>
      </c>
      <c r="L249" t="s">
        <v>282</v>
      </c>
      <c r="M249">
        <v>40</v>
      </c>
      <c r="N249" t="s">
        <v>21</v>
      </c>
      <c r="O249" s="3" t="s">
        <v>22</v>
      </c>
      <c r="P249" t="s">
        <v>29</v>
      </c>
      <c r="Q249" t="s">
        <v>56</v>
      </c>
      <c r="R249">
        <v>4</v>
      </c>
      <c r="S249" t="s">
        <v>37</v>
      </c>
      <c r="T249" s="4">
        <f t="shared" si="18"/>
        <v>297553.14</v>
      </c>
      <c r="U249" s="4" t="str">
        <f t="shared" si="19"/>
        <v>Good</v>
      </c>
      <c r="V249" s="4" t="str">
        <f t="shared" si="20"/>
        <v>Excellent</v>
      </c>
      <c r="W249" s="4"/>
      <c r="X249" s="4"/>
      <c r="AJ249" s="4"/>
    </row>
    <row r="250" spans="1:36">
      <c r="A250" t="str">
        <f t="shared" si="16"/>
        <v>Pooj19249</v>
      </c>
      <c r="B250">
        <v>249</v>
      </c>
      <c r="C250">
        <v>18</v>
      </c>
      <c r="D250">
        <v>12</v>
      </c>
      <c r="E250">
        <v>2021</v>
      </c>
      <c r="F250" s="1">
        <f t="shared" si="17"/>
        <v>44548</v>
      </c>
      <c r="G250" s="1" t="s">
        <v>239</v>
      </c>
      <c r="H250" s="2">
        <v>44726</v>
      </c>
      <c r="I250" t="s">
        <v>38</v>
      </c>
      <c r="J250">
        <v>6</v>
      </c>
      <c r="K250">
        <v>35895.06</v>
      </c>
      <c r="L250" t="s">
        <v>108</v>
      </c>
      <c r="M250">
        <v>19</v>
      </c>
      <c r="N250" t="s">
        <v>36</v>
      </c>
      <c r="O250" s="3" t="s">
        <v>22</v>
      </c>
      <c r="P250" t="s">
        <v>150</v>
      </c>
      <c r="Q250" t="s">
        <v>30</v>
      </c>
      <c r="R250">
        <v>5</v>
      </c>
      <c r="S250" t="s">
        <v>48</v>
      </c>
      <c r="T250" s="4">
        <f t="shared" si="18"/>
        <v>215370.36</v>
      </c>
      <c r="U250" s="4" t="str">
        <f t="shared" si="19"/>
        <v>Good</v>
      </c>
      <c r="V250" s="4" t="str">
        <f t="shared" si="20"/>
        <v>Excellent</v>
      </c>
      <c r="W250" s="4"/>
      <c r="X250" s="4"/>
      <c r="AJ250" s="4"/>
    </row>
    <row r="251" spans="1:36">
      <c r="A251" t="str">
        <f t="shared" si="16"/>
        <v>Bhav32250</v>
      </c>
      <c r="B251">
        <v>250</v>
      </c>
      <c r="C251">
        <v>19</v>
      </c>
      <c r="D251">
        <v>12</v>
      </c>
      <c r="E251">
        <v>2021</v>
      </c>
      <c r="F251" s="1">
        <f t="shared" si="17"/>
        <v>44549</v>
      </c>
      <c r="G251" s="1" t="s">
        <v>239</v>
      </c>
      <c r="H251" s="2">
        <v>44727</v>
      </c>
      <c r="I251" t="s">
        <v>49</v>
      </c>
      <c r="J251">
        <v>3</v>
      </c>
      <c r="K251">
        <v>55816.18</v>
      </c>
      <c r="L251" t="s">
        <v>283</v>
      </c>
      <c r="M251">
        <v>32</v>
      </c>
      <c r="N251" t="s">
        <v>21</v>
      </c>
      <c r="O251" s="3" t="s">
        <v>22</v>
      </c>
      <c r="P251" t="s">
        <v>110</v>
      </c>
      <c r="Q251" t="s">
        <v>41</v>
      </c>
      <c r="R251">
        <v>5</v>
      </c>
      <c r="S251" t="s">
        <v>52</v>
      </c>
      <c r="T251" s="4">
        <f t="shared" si="18"/>
        <v>167448.54</v>
      </c>
      <c r="U251" s="4" t="str">
        <f t="shared" si="19"/>
        <v>Good</v>
      </c>
      <c r="V251" s="4" t="str">
        <f t="shared" si="20"/>
        <v>Good</v>
      </c>
      <c r="W251" s="4"/>
      <c r="X251" s="4"/>
      <c r="AJ251" s="4"/>
    </row>
    <row r="252" spans="1:36">
      <c r="A252" t="str">
        <f t="shared" si="16"/>
        <v>Mano52251</v>
      </c>
      <c r="B252">
        <v>251</v>
      </c>
      <c r="C252">
        <v>19</v>
      </c>
      <c r="D252">
        <v>12</v>
      </c>
      <c r="E252">
        <v>2021</v>
      </c>
      <c r="F252" s="1">
        <f t="shared" si="17"/>
        <v>44549</v>
      </c>
      <c r="G252" s="1" t="s">
        <v>239</v>
      </c>
      <c r="H252" s="2">
        <v>44728</v>
      </c>
      <c r="I252" t="s">
        <v>43</v>
      </c>
      <c r="J252">
        <v>8</v>
      </c>
      <c r="K252">
        <v>69555.86</v>
      </c>
      <c r="L252" t="s">
        <v>284</v>
      </c>
      <c r="M252">
        <v>52</v>
      </c>
      <c r="N252" t="s">
        <v>61</v>
      </c>
      <c r="O252" s="3" t="s">
        <v>22</v>
      </c>
      <c r="P252" t="s">
        <v>93</v>
      </c>
      <c r="Q252" t="s">
        <v>56</v>
      </c>
      <c r="R252">
        <v>5</v>
      </c>
      <c r="S252" t="s">
        <v>57</v>
      </c>
      <c r="T252" s="4">
        <f t="shared" si="18"/>
        <v>556446.88</v>
      </c>
      <c r="U252" s="4" t="str">
        <f t="shared" si="19"/>
        <v>Good</v>
      </c>
      <c r="V252" s="4" t="str">
        <f t="shared" si="20"/>
        <v>Excellent</v>
      </c>
      <c r="W252" s="4"/>
      <c r="X252" s="4"/>
      <c r="AJ252" s="4"/>
    </row>
    <row r="253" spans="1:36">
      <c r="A253" t="str">
        <f t="shared" si="16"/>
        <v>Raje27252</v>
      </c>
      <c r="B253">
        <v>252</v>
      </c>
      <c r="C253">
        <v>19</v>
      </c>
      <c r="D253">
        <v>12</v>
      </c>
      <c r="E253">
        <v>2021</v>
      </c>
      <c r="F253" s="1">
        <f t="shared" si="17"/>
        <v>44549</v>
      </c>
      <c r="G253" s="1" t="s">
        <v>239</v>
      </c>
      <c r="H253" s="2">
        <v>44729</v>
      </c>
      <c r="I253" t="s">
        <v>38</v>
      </c>
      <c r="J253">
        <v>1</v>
      </c>
      <c r="K253">
        <v>49542.080000000002</v>
      </c>
      <c r="L253" t="s">
        <v>285</v>
      </c>
      <c r="M253">
        <v>27</v>
      </c>
      <c r="N253" t="s">
        <v>36</v>
      </c>
      <c r="O253" s="3" t="s">
        <v>22</v>
      </c>
      <c r="P253" t="s">
        <v>40</v>
      </c>
      <c r="Q253" t="s">
        <v>30</v>
      </c>
      <c r="R253">
        <v>5</v>
      </c>
      <c r="S253" t="s">
        <v>42</v>
      </c>
      <c r="T253" s="4">
        <f t="shared" si="18"/>
        <v>49542.080000000002</v>
      </c>
      <c r="U253" s="4" t="str">
        <f t="shared" si="19"/>
        <v>Good</v>
      </c>
      <c r="V253" s="4" t="str">
        <f t="shared" si="20"/>
        <v>Low</v>
      </c>
      <c r="W253" s="4"/>
      <c r="X253" s="4"/>
      <c r="AJ253" s="4"/>
    </row>
    <row r="254" spans="1:36">
      <c r="A254" t="str">
        <f t="shared" si="16"/>
        <v>Bina31253</v>
      </c>
      <c r="B254">
        <v>253</v>
      </c>
      <c r="C254">
        <v>19</v>
      </c>
      <c r="D254">
        <v>12</v>
      </c>
      <c r="E254">
        <v>2021</v>
      </c>
      <c r="F254" s="1">
        <f t="shared" si="17"/>
        <v>44549</v>
      </c>
      <c r="G254" s="1" t="s">
        <v>239</v>
      </c>
      <c r="H254" s="2">
        <v>44730</v>
      </c>
      <c r="I254" t="s">
        <v>26</v>
      </c>
      <c r="J254">
        <v>1</v>
      </c>
      <c r="K254">
        <v>13027.33</v>
      </c>
      <c r="L254" t="s">
        <v>286</v>
      </c>
      <c r="M254">
        <v>31</v>
      </c>
      <c r="N254" t="s">
        <v>21</v>
      </c>
      <c r="O254" s="3" t="s">
        <v>22</v>
      </c>
      <c r="P254" t="s">
        <v>70</v>
      </c>
      <c r="Q254" t="s">
        <v>56</v>
      </c>
      <c r="R254">
        <v>4</v>
      </c>
      <c r="S254" t="s">
        <v>31</v>
      </c>
      <c r="T254" s="4">
        <f t="shared" si="18"/>
        <v>13027.33</v>
      </c>
      <c r="U254" s="4" t="str">
        <f t="shared" si="19"/>
        <v>Good</v>
      </c>
      <c r="V254" s="4" t="str">
        <f t="shared" si="20"/>
        <v>Low</v>
      </c>
      <c r="W254" s="4"/>
      <c r="X254" s="4"/>
      <c r="AJ254" s="4"/>
    </row>
    <row r="255" spans="1:36">
      <c r="A255" t="str">
        <f t="shared" si="16"/>
        <v>Priy44254</v>
      </c>
      <c r="B255">
        <v>254</v>
      </c>
      <c r="C255">
        <v>20</v>
      </c>
      <c r="D255">
        <v>12</v>
      </c>
      <c r="E255">
        <v>2021</v>
      </c>
      <c r="F255" s="1">
        <f t="shared" si="17"/>
        <v>44550</v>
      </c>
      <c r="G255" s="1" t="s">
        <v>239</v>
      </c>
      <c r="H255" s="2">
        <v>44731</v>
      </c>
      <c r="I255" t="s">
        <v>38</v>
      </c>
      <c r="J255">
        <v>6</v>
      </c>
      <c r="K255">
        <v>16273.77</v>
      </c>
      <c r="L255" t="s">
        <v>259</v>
      </c>
      <c r="M255">
        <v>44</v>
      </c>
      <c r="N255" t="s">
        <v>21</v>
      </c>
      <c r="O255" s="3" t="s">
        <v>22</v>
      </c>
      <c r="P255" t="s">
        <v>29</v>
      </c>
      <c r="Q255" t="s">
        <v>24</v>
      </c>
      <c r="R255">
        <v>5</v>
      </c>
      <c r="S255" t="s">
        <v>42</v>
      </c>
      <c r="T255" s="4">
        <f t="shared" si="18"/>
        <v>97642.62</v>
      </c>
      <c r="U255" s="4" t="str">
        <f t="shared" si="19"/>
        <v>Good</v>
      </c>
      <c r="V255" s="4" t="str">
        <f t="shared" si="20"/>
        <v>Average</v>
      </c>
      <c r="W255" s="4"/>
      <c r="X255" s="4"/>
      <c r="AJ255" s="4"/>
    </row>
    <row r="256" spans="1:36">
      <c r="A256" t="str">
        <f t="shared" si="16"/>
        <v>Neet31255</v>
      </c>
      <c r="B256">
        <v>255</v>
      </c>
      <c r="C256">
        <v>20</v>
      </c>
      <c r="D256">
        <v>12</v>
      </c>
      <c r="E256">
        <v>2021</v>
      </c>
      <c r="F256" s="1">
        <f t="shared" si="17"/>
        <v>44550</v>
      </c>
      <c r="G256" s="1" t="s">
        <v>239</v>
      </c>
      <c r="H256" s="2">
        <v>44732</v>
      </c>
      <c r="I256" t="s">
        <v>49</v>
      </c>
      <c r="J256">
        <v>1</v>
      </c>
      <c r="K256">
        <v>62860.25</v>
      </c>
      <c r="L256" t="s">
        <v>287</v>
      </c>
      <c r="M256">
        <v>31</v>
      </c>
      <c r="N256" t="s">
        <v>21</v>
      </c>
      <c r="O256" s="3" t="s">
        <v>22</v>
      </c>
      <c r="P256" t="s">
        <v>114</v>
      </c>
      <c r="Q256" t="s">
        <v>56</v>
      </c>
      <c r="R256">
        <v>5</v>
      </c>
      <c r="S256" t="s">
        <v>52</v>
      </c>
      <c r="T256" s="4">
        <f t="shared" si="18"/>
        <v>62860.25</v>
      </c>
      <c r="U256" s="4" t="str">
        <f t="shared" si="19"/>
        <v>Good</v>
      </c>
      <c r="V256" s="4" t="str">
        <f t="shared" si="20"/>
        <v>Average</v>
      </c>
      <c r="W256" s="4"/>
      <c r="X256" s="4"/>
      <c r="AJ256" s="4"/>
    </row>
    <row r="257" spans="1:36">
      <c r="A257" t="str">
        <f t="shared" si="16"/>
        <v>Pank52256</v>
      </c>
      <c r="B257">
        <v>256</v>
      </c>
      <c r="C257">
        <v>20</v>
      </c>
      <c r="D257">
        <v>12</v>
      </c>
      <c r="E257">
        <v>2021</v>
      </c>
      <c r="F257" s="1">
        <f t="shared" si="17"/>
        <v>44550</v>
      </c>
      <c r="G257" s="1" t="s">
        <v>239</v>
      </c>
      <c r="H257" s="2">
        <v>44733</v>
      </c>
      <c r="I257" t="s">
        <v>43</v>
      </c>
      <c r="J257">
        <v>6</v>
      </c>
      <c r="K257">
        <v>41649.760000000002</v>
      </c>
      <c r="L257" t="s">
        <v>288</v>
      </c>
      <c r="M257">
        <v>52</v>
      </c>
      <c r="N257" t="s">
        <v>61</v>
      </c>
      <c r="O257" s="3" t="s">
        <v>22</v>
      </c>
      <c r="P257" t="s">
        <v>77</v>
      </c>
      <c r="Q257" t="s">
        <v>56</v>
      </c>
      <c r="R257">
        <v>5</v>
      </c>
      <c r="S257" t="s">
        <v>57</v>
      </c>
      <c r="T257" s="4">
        <f t="shared" si="18"/>
        <v>249898.56</v>
      </c>
      <c r="U257" s="4" t="str">
        <f t="shared" si="19"/>
        <v>Good</v>
      </c>
      <c r="V257" s="4" t="str">
        <f t="shared" si="20"/>
        <v>Excellent</v>
      </c>
      <c r="W257" s="4"/>
      <c r="X257" s="4"/>
      <c r="AJ257" s="4"/>
    </row>
    <row r="258" spans="1:36">
      <c r="A258" t="str">
        <f t="shared" ref="A258:A321" si="21">LEFT(L258,4)&amp;M258&amp;B258</f>
        <v>Bina50257</v>
      </c>
      <c r="B258">
        <v>257</v>
      </c>
      <c r="C258">
        <v>21</v>
      </c>
      <c r="D258">
        <v>12</v>
      </c>
      <c r="E258">
        <v>2021</v>
      </c>
      <c r="F258" s="1">
        <f t="shared" si="17"/>
        <v>44551</v>
      </c>
      <c r="G258" s="1" t="s">
        <v>239</v>
      </c>
      <c r="H258" s="2">
        <v>44734</v>
      </c>
      <c r="I258" t="s">
        <v>43</v>
      </c>
      <c r="J258">
        <v>1</v>
      </c>
      <c r="K258">
        <v>59490.23</v>
      </c>
      <c r="L258" t="s">
        <v>145</v>
      </c>
      <c r="M258">
        <v>50</v>
      </c>
      <c r="N258" t="s">
        <v>61</v>
      </c>
      <c r="O258" s="3" t="s">
        <v>22</v>
      </c>
      <c r="P258" t="s">
        <v>29</v>
      </c>
      <c r="Q258" t="s">
        <v>56</v>
      </c>
      <c r="R258">
        <v>5</v>
      </c>
      <c r="S258" t="s">
        <v>95</v>
      </c>
      <c r="T258" s="4">
        <f t="shared" si="18"/>
        <v>59490.23</v>
      </c>
      <c r="U258" s="4" t="str">
        <f t="shared" si="19"/>
        <v>Good</v>
      </c>
      <c r="V258" s="4" t="str">
        <f t="shared" si="20"/>
        <v>Average</v>
      </c>
      <c r="W258" s="4"/>
      <c r="X258" s="4"/>
      <c r="AJ258" s="4"/>
    </row>
    <row r="259" spans="1:36">
      <c r="A259" t="str">
        <f t="shared" si="21"/>
        <v>Yoge18258</v>
      </c>
      <c r="B259">
        <v>258</v>
      </c>
      <c r="C259">
        <v>21</v>
      </c>
      <c r="D259">
        <v>12</v>
      </c>
      <c r="E259">
        <v>2021</v>
      </c>
      <c r="F259" s="1">
        <f t="shared" ref="F259:F322" si="22">DATE(E259,D259,C259)</f>
        <v>44551</v>
      </c>
      <c r="G259" s="1" t="s">
        <v>239</v>
      </c>
      <c r="H259" s="2">
        <v>44735</v>
      </c>
      <c r="I259" t="s">
        <v>49</v>
      </c>
      <c r="J259">
        <v>6</v>
      </c>
      <c r="K259">
        <v>61396.74</v>
      </c>
      <c r="L259" t="s">
        <v>289</v>
      </c>
      <c r="M259">
        <v>18</v>
      </c>
      <c r="N259" t="s">
        <v>36</v>
      </c>
      <c r="O259" s="3" t="s">
        <v>22</v>
      </c>
      <c r="P259" t="s">
        <v>33</v>
      </c>
      <c r="Q259" t="s">
        <v>24</v>
      </c>
      <c r="R259">
        <v>5</v>
      </c>
      <c r="S259" t="s">
        <v>102</v>
      </c>
      <c r="T259" s="4">
        <f t="shared" ref="T259:T322" si="23">J259*K259</f>
        <v>368380.44</v>
      </c>
      <c r="U259" s="4" t="str">
        <f t="shared" ref="U259:U322" si="24">IF(R259&gt;=4,"Good","Average")</f>
        <v>Good</v>
      </c>
      <c r="V259" s="4" t="str">
        <f t="shared" ref="V259:V322" si="25">IF(T259&gt;200000,"Excellent",IF(T259&gt;100000,"Good",IF(T259&gt;50000,"Average","Low")))</f>
        <v>Excellent</v>
      </c>
      <c r="W259" s="4"/>
      <c r="X259" s="4"/>
      <c r="AJ259" s="4"/>
    </row>
    <row r="260" spans="1:36">
      <c r="A260" t="str">
        <f t="shared" si="21"/>
        <v>Vija51259</v>
      </c>
      <c r="B260">
        <v>259</v>
      </c>
      <c r="C260">
        <v>21</v>
      </c>
      <c r="D260">
        <v>12</v>
      </c>
      <c r="E260">
        <v>2021</v>
      </c>
      <c r="F260" s="1">
        <f t="shared" si="22"/>
        <v>44551</v>
      </c>
      <c r="G260" s="1" t="s">
        <v>239</v>
      </c>
      <c r="H260" s="2">
        <v>44736</v>
      </c>
      <c r="I260" t="s">
        <v>49</v>
      </c>
      <c r="J260">
        <v>3</v>
      </c>
      <c r="K260">
        <v>65660.47</v>
      </c>
      <c r="L260" t="s">
        <v>290</v>
      </c>
      <c r="M260">
        <v>51</v>
      </c>
      <c r="N260" t="s">
        <v>61</v>
      </c>
      <c r="O260" s="3" t="s">
        <v>22</v>
      </c>
      <c r="P260" t="s">
        <v>93</v>
      </c>
      <c r="Q260" t="s">
        <v>56</v>
      </c>
      <c r="R260">
        <v>4</v>
      </c>
      <c r="S260" t="s">
        <v>88</v>
      </c>
      <c r="T260" s="4">
        <f t="shared" si="23"/>
        <v>196981.41</v>
      </c>
      <c r="U260" s="4" t="str">
        <f t="shared" si="24"/>
        <v>Good</v>
      </c>
      <c r="V260" s="4" t="str">
        <f t="shared" si="25"/>
        <v>Good</v>
      </c>
      <c r="W260" s="4"/>
      <c r="X260" s="4"/>
      <c r="AJ260" s="4"/>
    </row>
    <row r="261" spans="1:36">
      <c r="A261" t="str">
        <f t="shared" si="21"/>
        <v>Anit36260</v>
      </c>
      <c r="B261">
        <v>260</v>
      </c>
      <c r="C261">
        <v>21</v>
      </c>
      <c r="D261">
        <v>12</v>
      </c>
      <c r="E261">
        <v>2021</v>
      </c>
      <c r="F261" s="1">
        <f t="shared" si="22"/>
        <v>44551</v>
      </c>
      <c r="G261" s="1" t="s">
        <v>239</v>
      </c>
      <c r="H261" s="2">
        <v>44737</v>
      </c>
      <c r="I261" t="s">
        <v>26</v>
      </c>
      <c r="J261">
        <v>8</v>
      </c>
      <c r="K261">
        <v>66989.75</v>
      </c>
      <c r="L261" t="s">
        <v>291</v>
      </c>
      <c r="M261">
        <v>36</v>
      </c>
      <c r="N261" t="s">
        <v>21</v>
      </c>
      <c r="O261" s="3" t="s">
        <v>22</v>
      </c>
      <c r="P261" t="s">
        <v>110</v>
      </c>
      <c r="Q261" t="s">
        <v>30</v>
      </c>
      <c r="R261">
        <v>5</v>
      </c>
      <c r="S261" t="s">
        <v>34</v>
      </c>
      <c r="T261" s="4">
        <f t="shared" si="23"/>
        <v>535918</v>
      </c>
      <c r="U261" s="4" t="str">
        <f t="shared" si="24"/>
        <v>Good</v>
      </c>
      <c r="V261" s="4" t="str">
        <f t="shared" si="25"/>
        <v>Excellent</v>
      </c>
      <c r="W261" s="4"/>
      <c r="X261" s="4"/>
      <c r="AJ261" s="4"/>
    </row>
    <row r="262" spans="1:36">
      <c r="A262" t="str">
        <f t="shared" si="21"/>
        <v>Kavi41261</v>
      </c>
      <c r="B262">
        <v>261</v>
      </c>
      <c r="C262">
        <v>22</v>
      </c>
      <c r="D262">
        <v>12</v>
      </c>
      <c r="E262">
        <v>2021</v>
      </c>
      <c r="F262" s="1">
        <f t="shared" si="22"/>
        <v>44552</v>
      </c>
      <c r="G262" s="1" t="s">
        <v>239</v>
      </c>
      <c r="H262" s="2">
        <v>44738</v>
      </c>
      <c r="I262" t="s">
        <v>43</v>
      </c>
      <c r="J262">
        <v>6</v>
      </c>
      <c r="K262">
        <v>43289.55</v>
      </c>
      <c r="L262" t="s">
        <v>292</v>
      </c>
      <c r="M262">
        <v>41</v>
      </c>
      <c r="N262" t="s">
        <v>21</v>
      </c>
      <c r="O262" s="3" t="s">
        <v>22</v>
      </c>
      <c r="P262" t="s">
        <v>29</v>
      </c>
      <c r="Q262" t="s">
        <v>56</v>
      </c>
      <c r="R262">
        <v>5</v>
      </c>
      <c r="S262" t="s">
        <v>57</v>
      </c>
      <c r="T262" s="4">
        <f t="shared" si="23"/>
        <v>259737.30000000002</v>
      </c>
      <c r="U262" s="4" t="str">
        <f t="shared" si="24"/>
        <v>Good</v>
      </c>
      <c r="V262" s="4" t="str">
        <f t="shared" si="25"/>
        <v>Excellent</v>
      </c>
      <c r="W262" s="4"/>
      <c r="X262" s="4"/>
      <c r="AJ262" s="4"/>
    </row>
    <row r="263" spans="1:36">
      <c r="A263" t="str">
        <f t="shared" si="21"/>
        <v>Mano59262</v>
      </c>
      <c r="B263">
        <v>262</v>
      </c>
      <c r="C263">
        <v>22</v>
      </c>
      <c r="D263">
        <v>12</v>
      </c>
      <c r="E263">
        <v>2021</v>
      </c>
      <c r="F263" s="1">
        <f t="shared" si="22"/>
        <v>44552</v>
      </c>
      <c r="G263" s="1" t="s">
        <v>239</v>
      </c>
      <c r="H263" s="2">
        <v>44739</v>
      </c>
      <c r="I263" t="s">
        <v>38</v>
      </c>
      <c r="J263">
        <v>1</v>
      </c>
      <c r="K263">
        <v>30461.21</v>
      </c>
      <c r="L263" t="s">
        <v>293</v>
      </c>
      <c r="M263">
        <v>59</v>
      </c>
      <c r="N263" t="s">
        <v>61</v>
      </c>
      <c r="O263" s="3" t="s">
        <v>22</v>
      </c>
      <c r="P263" t="s">
        <v>33</v>
      </c>
      <c r="Q263" t="s">
        <v>30</v>
      </c>
      <c r="R263">
        <v>4</v>
      </c>
      <c r="S263" t="s">
        <v>48</v>
      </c>
      <c r="T263" s="4">
        <f t="shared" si="23"/>
        <v>30461.21</v>
      </c>
      <c r="U263" s="4" t="str">
        <f t="shared" si="24"/>
        <v>Good</v>
      </c>
      <c r="V263" s="4" t="str">
        <f t="shared" si="25"/>
        <v>Low</v>
      </c>
      <c r="W263" s="4"/>
      <c r="X263" s="4"/>
      <c r="AJ263" s="4"/>
    </row>
    <row r="264" spans="1:36">
      <c r="A264" t="str">
        <f t="shared" si="21"/>
        <v>Deep21263</v>
      </c>
      <c r="B264">
        <v>263</v>
      </c>
      <c r="C264">
        <v>22</v>
      </c>
      <c r="D264">
        <v>12</v>
      </c>
      <c r="E264">
        <v>2021</v>
      </c>
      <c r="F264" s="1">
        <f t="shared" si="22"/>
        <v>44552</v>
      </c>
      <c r="G264" s="1" t="s">
        <v>239</v>
      </c>
      <c r="H264" s="2">
        <v>44740</v>
      </c>
      <c r="I264" t="s">
        <v>19</v>
      </c>
      <c r="J264">
        <v>5</v>
      </c>
      <c r="K264">
        <v>67711.89</v>
      </c>
      <c r="L264" t="s">
        <v>294</v>
      </c>
      <c r="M264">
        <v>21</v>
      </c>
      <c r="N264" t="s">
        <v>36</v>
      </c>
      <c r="O264" s="3" t="s">
        <v>22</v>
      </c>
      <c r="P264" t="s">
        <v>33</v>
      </c>
      <c r="Q264" t="s">
        <v>56</v>
      </c>
      <c r="R264">
        <v>4</v>
      </c>
      <c r="S264" t="s">
        <v>84</v>
      </c>
      <c r="T264" s="4">
        <f t="shared" si="23"/>
        <v>338559.45</v>
      </c>
      <c r="U264" s="4" t="str">
        <f t="shared" si="24"/>
        <v>Good</v>
      </c>
      <c r="V264" s="4" t="str">
        <f t="shared" si="25"/>
        <v>Excellent</v>
      </c>
      <c r="W264" s="4"/>
      <c r="X264" s="4"/>
      <c r="AJ264" s="4"/>
    </row>
    <row r="265" spans="1:36">
      <c r="A265" t="str">
        <f t="shared" si="21"/>
        <v>Roha53264</v>
      </c>
      <c r="B265">
        <v>264</v>
      </c>
      <c r="C265">
        <v>23</v>
      </c>
      <c r="D265">
        <v>12</v>
      </c>
      <c r="E265">
        <v>2021</v>
      </c>
      <c r="F265" s="1">
        <f t="shared" si="22"/>
        <v>44553</v>
      </c>
      <c r="G265" s="1" t="s">
        <v>239</v>
      </c>
      <c r="H265" s="2">
        <v>44741</v>
      </c>
      <c r="I265" t="s">
        <v>19</v>
      </c>
      <c r="J265">
        <v>8</v>
      </c>
      <c r="K265">
        <v>42844.38</v>
      </c>
      <c r="L265" t="s">
        <v>295</v>
      </c>
      <c r="M265">
        <v>53</v>
      </c>
      <c r="N265" t="s">
        <v>61</v>
      </c>
      <c r="O265" s="3" t="s">
        <v>22</v>
      </c>
      <c r="P265" t="s">
        <v>29</v>
      </c>
      <c r="Q265" t="s">
        <v>56</v>
      </c>
      <c r="R265">
        <v>4</v>
      </c>
      <c r="S265" t="s">
        <v>84</v>
      </c>
      <c r="T265" s="4">
        <f t="shared" si="23"/>
        <v>342755.04</v>
      </c>
      <c r="U265" s="4" t="str">
        <f t="shared" si="24"/>
        <v>Good</v>
      </c>
      <c r="V265" s="4" t="str">
        <f t="shared" si="25"/>
        <v>Excellent</v>
      </c>
      <c r="W265" s="4"/>
      <c r="X265" s="4"/>
      <c r="AJ265" s="4"/>
    </row>
    <row r="266" spans="1:36">
      <c r="A266" t="str">
        <f t="shared" si="21"/>
        <v>Bhav30265</v>
      </c>
      <c r="B266">
        <v>265</v>
      </c>
      <c r="C266">
        <v>23</v>
      </c>
      <c r="D266">
        <v>12</v>
      </c>
      <c r="E266">
        <v>2021</v>
      </c>
      <c r="F266" s="1">
        <f t="shared" si="22"/>
        <v>44553</v>
      </c>
      <c r="G266" s="1" t="s">
        <v>239</v>
      </c>
      <c r="H266" s="2">
        <v>44742</v>
      </c>
      <c r="I266" t="s">
        <v>49</v>
      </c>
      <c r="J266">
        <v>3</v>
      </c>
      <c r="K266">
        <v>13855.16</v>
      </c>
      <c r="L266" t="s">
        <v>86</v>
      </c>
      <c r="M266">
        <v>30</v>
      </c>
      <c r="N266" t="s">
        <v>36</v>
      </c>
      <c r="O266" s="3" t="s">
        <v>22</v>
      </c>
      <c r="P266" t="s">
        <v>132</v>
      </c>
      <c r="Q266" t="s">
        <v>56</v>
      </c>
      <c r="R266">
        <v>5</v>
      </c>
      <c r="S266" t="s">
        <v>88</v>
      </c>
      <c r="T266" s="4">
        <f t="shared" si="23"/>
        <v>41565.479999999996</v>
      </c>
      <c r="U266" s="4" t="str">
        <f t="shared" si="24"/>
        <v>Good</v>
      </c>
      <c r="V266" s="4" t="str">
        <f t="shared" si="25"/>
        <v>Low</v>
      </c>
      <c r="W266" s="4"/>
      <c r="X266" s="4"/>
      <c r="AJ266" s="4"/>
    </row>
    <row r="267" spans="1:36">
      <c r="A267" t="str">
        <f t="shared" si="21"/>
        <v>Ravi49266</v>
      </c>
      <c r="B267">
        <v>266</v>
      </c>
      <c r="C267">
        <v>23</v>
      </c>
      <c r="D267">
        <v>12</v>
      </c>
      <c r="E267">
        <v>2021</v>
      </c>
      <c r="F267" s="1">
        <f t="shared" si="22"/>
        <v>44553</v>
      </c>
      <c r="G267" s="1" t="s">
        <v>239</v>
      </c>
      <c r="H267" s="2">
        <v>44743</v>
      </c>
      <c r="I267" t="s">
        <v>26</v>
      </c>
      <c r="J267">
        <v>6</v>
      </c>
      <c r="K267">
        <v>48566.59</v>
      </c>
      <c r="L267" t="s">
        <v>158</v>
      </c>
      <c r="M267">
        <v>49</v>
      </c>
      <c r="N267" t="s">
        <v>61</v>
      </c>
      <c r="O267" s="3" t="s">
        <v>22</v>
      </c>
      <c r="P267" t="s">
        <v>29</v>
      </c>
      <c r="Q267" t="s">
        <v>41</v>
      </c>
      <c r="R267">
        <v>4</v>
      </c>
      <c r="S267" t="s">
        <v>31</v>
      </c>
      <c r="T267" s="4">
        <f t="shared" si="23"/>
        <v>291399.53999999998</v>
      </c>
      <c r="U267" s="4" t="str">
        <f t="shared" si="24"/>
        <v>Good</v>
      </c>
      <c r="V267" s="4" t="str">
        <f t="shared" si="25"/>
        <v>Excellent</v>
      </c>
      <c r="W267" s="4"/>
      <c r="X267" s="4"/>
      <c r="AJ267" s="4"/>
    </row>
    <row r="268" spans="1:36">
      <c r="A268" t="str">
        <f t="shared" si="21"/>
        <v>Suni26267</v>
      </c>
      <c r="B268">
        <v>267</v>
      </c>
      <c r="C268">
        <v>23</v>
      </c>
      <c r="D268">
        <v>12</v>
      </c>
      <c r="E268">
        <v>2021</v>
      </c>
      <c r="F268" s="1">
        <f t="shared" si="22"/>
        <v>44553</v>
      </c>
      <c r="G268" s="1" t="s">
        <v>239</v>
      </c>
      <c r="H268" s="2">
        <v>44744</v>
      </c>
      <c r="I268" t="s">
        <v>19</v>
      </c>
      <c r="J268">
        <v>5</v>
      </c>
      <c r="K268">
        <v>45261.09</v>
      </c>
      <c r="L268" t="s">
        <v>148</v>
      </c>
      <c r="M268">
        <v>26</v>
      </c>
      <c r="N268" t="s">
        <v>36</v>
      </c>
      <c r="O268" s="3" t="s">
        <v>28</v>
      </c>
      <c r="P268" t="s">
        <v>77</v>
      </c>
      <c r="Q268" t="s">
        <v>41</v>
      </c>
      <c r="R268">
        <v>3</v>
      </c>
      <c r="S268" t="s">
        <v>37</v>
      </c>
      <c r="T268" s="4">
        <f t="shared" si="23"/>
        <v>226305.44999999998</v>
      </c>
      <c r="U268" s="4" t="str">
        <f t="shared" si="24"/>
        <v>Average</v>
      </c>
      <c r="V268" s="4" t="str">
        <f t="shared" si="25"/>
        <v>Excellent</v>
      </c>
      <c r="W268" s="4"/>
      <c r="X268" s="4"/>
      <c r="AJ268" s="4"/>
    </row>
    <row r="269" spans="1:36">
      <c r="A269" t="str">
        <f t="shared" si="21"/>
        <v>Amit56268</v>
      </c>
      <c r="B269">
        <v>268</v>
      </c>
      <c r="C269">
        <v>24</v>
      </c>
      <c r="D269">
        <v>12</v>
      </c>
      <c r="E269">
        <v>2021</v>
      </c>
      <c r="F269" s="1">
        <f t="shared" si="22"/>
        <v>44554</v>
      </c>
      <c r="G269" s="1" t="s">
        <v>239</v>
      </c>
      <c r="H269" s="2">
        <v>44745</v>
      </c>
      <c r="I269" t="s">
        <v>43</v>
      </c>
      <c r="J269">
        <v>6</v>
      </c>
      <c r="K269">
        <v>63747.57</v>
      </c>
      <c r="L269" t="s">
        <v>296</v>
      </c>
      <c r="M269">
        <v>56</v>
      </c>
      <c r="N269" t="s">
        <v>61</v>
      </c>
      <c r="O269" s="3" t="s">
        <v>22</v>
      </c>
      <c r="P269" t="s">
        <v>23</v>
      </c>
      <c r="Q269" t="s">
        <v>24</v>
      </c>
      <c r="R269">
        <v>5</v>
      </c>
      <c r="S269" t="s">
        <v>57</v>
      </c>
      <c r="T269" s="4">
        <f t="shared" si="23"/>
        <v>382485.42</v>
      </c>
      <c r="U269" s="4" t="str">
        <f t="shared" si="24"/>
        <v>Good</v>
      </c>
      <c r="V269" s="4" t="str">
        <f t="shared" si="25"/>
        <v>Excellent</v>
      </c>
      <c r="W269" s="4"/>
      <c r="X269" s="4"/>
      <c r="AJ269" s="4"/>
    </row>
    <row r="270" spans="1:36">
      <c r="A270" t="str">
        <f t="shared" si="21"/>
        <v>Pooj33269</v>
      </c>
      <c r="B270">
        <v>269</v>
      </c>
      <c r="C270">
        <v>24</v>
      </c>
      <c r="D270">
        <v>12</v>
      </c>
      <c r="E270">
        <v>2021</v>
      </c>
      <c r="F270" s="1">
        <f t="shared" si="22"/>
        <v>44554</v>
      </c>
      <c r="G270" s="1" t="s">
        <v>239</v>
      </c>
      <c r="H270" s="2">
        <v>44746</v>
      </c>
      <c r="I270" t="s">
        <v>49</v>
      </c>
      <c r="J270">
        <v>1</v>
      </c>
      <c r="K270">
        <v>49191.23</v>
      </c>
      <c r="L270" t="s">
        <v>108</v>
      </c>
      <c r="M270">
        <v>33</v>
      </c>
      <c r="N270" t="s">
        <v>21</v>
      </c>
      <c r="O270" s="3" t="s">
        <v>22</v>
      </c>
      <c r="P270" t="s">
        <v>93</v>
      </c>
      <c r="Q270" t="s">
        <v>30</v>
      </c>
      <c r="R270">
        <v>4</v>
      </c>
      <c r="S270" t="s">
        <v>52</v>
      </c>
      <c r="T270" s="4">
        <f t="shared" si="23"/>
        <v>49191.23</v>
      </c>
      <c r="U270" s="4" t="str">
        <f t="shared" si="24"/>
        <v>Good</v>
      </c>
      <c r="V270" s="4" t="str">
        <f t="shared" si="25"/>
        <v>Low</v>
      </c>
      <c r="W270" s="4"/>
      <c r="X270" s="4"/>
      <c r="AJ270" s="4"/>
    </row>
    <row r="271" spans="1:36">
      <c r="A271" t="str">
        <f t="shared" si="21"/>
        <v>Mano20270</v>
      </c>
      <c r="B271">
        <v>270</v>
      </c>
      <c r="C271">
        <v>24</v>
      </c>
      <c r="D271">
        <v>12</v>
      </c>
      <c r="E271">
        <v>2021</v>
      </c>
      <c r="F271" s="1">
        <f t="shared" si="22"/>
        <v>44554</v>
      </c>
      <c r="G271" s="1" t="s">
        <v>239</v>
      </c>
      <c r="H271" s="2">
        <v>44747</v>
      </c>
      <c r="I271" t="s">
        <v>38</v>
      </c>
      <c r="J271">
        <v>7</v>
      </c>
      <c r="K271">
        <v>30943.15</v>
      </c>
      <c r="L271" t="s">
        <v>105</v>
      </c>
      <c r="M271">
        <v>20</v>
      </c>
      <c r="N271" t="s">
        <v>36</v>
      </c>
      <c r="O271" s="3" t="s">
        <v>55</v>
      </c>
      <c r="P271" t="s">
        <v>33</v>
      </c>
      <c r="Q271" t="s">
        <v>24</v>
      </c>
      <c r="R271">
        <v>2</v>
      </c>
      <c r="S271" t="s">
        <v>48</v>
      </c>
      <c r="T271" s="4">
        <f t="shared" si="23"/>
        <v>216602.05000000002</v>
      </c>
      <c r="U271" s="4" t="str">
        <f t="shared" si="24"/>
        <v>Average</v>
      </c>
      <c r="V271" s="4" t="str">
        <f t="shared" si="25"/>
        <v>Excellent</v>
      </c>
      <c r="W271" s="4"/>
      <c r="X271" s="4"/>
      <c r="AJ271" s="4"/>
    </row>
    <row r="272" spans="1:36">
      <c r="A272" t="str">
        <f t="shared" si="21"/>
        <v>Rame37271</v>
      </c>
      <c r="B272">
        <v>271</v>
      </c>
      <c r="C272">
        <v>24</v>
      </c>
      <c r="D272">
        <v>12</v>
      </c>
      <c r="E272">
        <v>2021</v>
      </c>
      <c r="F272" s="1">
        <f t="shared" si="22"/>
        <v>44554</v>
      </c>
      <c r="G272" s="1" t="s">
        <v>239</v>
      </c>
      <c r="H272" s="2">
        <v>44748</v>
      </c>
      <c r="I272" t="s">
        <v>49</v>
      </c>
      <c r="J272">
        <v>9</v>
      </c>
      <c r="K272">
        <v>67973.539999999994</v>
      </c>
      <c r="L272" t="s">
        <v>269</v>
      </c>
      <c r="M272">
        <v>37</v>
      </c>
      <c r="N272" t="s">
        <v>21</v>
      </c>
      <c r="O272" s="3" t="s">
        <v>28</v>
      </c>
      <c r="P272" t="s">
        <v>70</v>
      </c>
      <c r="Q272" t="s">
        <v>30</v>
      </c>
      <c r="R272">
        <v>3</v>
      </c>
      <c r="S272" t="s">
        <v>88</v>
      </c>
      <c r="T272" s="4">
        <f t="shared" si="23"/>
        <v>611761.86</v>
      </c>
      <c r="U272" s="4" t="str">
        <f t="shared" si="24"/>
        <v>Average</v>
      </c>
      <c r="V272" s="4" t="str">
        <f t="shared" si="25"/>
        <v>Excellent</v>
      </c>
      <c r="W272" s="4"/>
      <c r="X272" s="4"/>
      <c r="AJ272" s="4"/>
    </row>
    <row r="273" spans="1:36">
      <c r="A273" t="str">
        <f t="shared" si="21"/>
        <v>Kira27272</v>
      </c>
      <c r="B273">
        <v>272</v>
      </c>
      <c r="C273">
        <v>25</v>
      </c>
      <c r="D273">
        <v>12</v>
      </c>
      <c r="E273">
        <v>2021</v>
      </c>
      <c r="F273" s="1">
        <f t="shared" si="22"/>
        <v>44555</v>
      </c>
      <c r="G273" s="1" t="s">
        <v>239</v>
      </c>
      <c r="H273" s="2">
        <v>44749</v>
      </c>
      <c r="I273" t="s">
        <v>38</v>
      </c>
      <c r="J273">
        <v>2</v>
      </c>
      <c r="K273">
        <v>58097.17</v>
      </c>
      <c r="L273" t="s">
        <v>297</v>
      </c>
      <c r="M273">
        <v>27</v>
      </c>
      <c r="N273" t="s">
        <v>36</v>
      </c>
      <c r="O273" s="3" t="s">
        <v>55</v>
      </c>
      <c r="P273" t="s">
        <v>93</v>
      </c>
      <c r="Q273" t="s">
        <v>24</v>
      </c>
      <c r="R273">
        <v>2</v>
      </c>
      <c r="S273" t="s">
        <v>48</v>
      </c>
      <c r="T273" s="4">
        <f t="shared" si="23"/>
        <v>116194.34</v>
      </c>
      <c r="U273" s="4" t="str">
        <f t="shared" si="24"/>
        <v>Average</v>
      </c>
      <c r="V273" s="4" t="str">
        <f t="shared" si="25"/>
        <v>Good</v>
      </c>
      <c r="W273" s="4"/>
      <c r="X273" s="4"/>
      <c r="AJ273" s="4"/>
    </row>
    <row r="274" spans="1:36">
      <c r="A274" t="str">
        <f t="shared" si="21"/>
        <v>Pooj39273</v>
      </c>
      <c r="B274">
        <v>273</v>
      </c>
      <c r="C274">
        <v>25</v>
      </c>
      <c r="D274">
        <v>12</v>
      </c>
      <c r="E274">
        <v>2021</v>
      </c>
      <c r="F274" s="1">
        <f t="shared" si="22"/>
        <v>44555</v>
      </c>
      <c r="G274" s="1" t="s">
        <v>239</v>
      </c>
      <c r="H274" s="2">
        <v>44750</v>
      </c>
      <c r="I274" t="s">
        <v>49</v>
      </c>
      <c r="J274">
        <v>5</v>
      </c>
      <c r="K274">
        <v>47825.06</v>
      </c>
      <c r="L274" t="s">
        <v>108</v>
      </c>
      <c r="M274">
        <v>39</v>
      </c>
      <c r="N274" t="s">
        <v>21</v>
      </c>
      <c r="O274" s="3" t="s">
        <v>22</v>
      </c>
      <c r="P274" t="s">
        <v>33</v>
      </c>
      <c r="Q274" t="s">
        <v>24</v>
      </c>
      <c r="R274">
        <v>5</v>
      </c>
      <c r="S274" t="s">
        <v>52</v>
      </c>
      <c r="T274" s="4">
        <f t="shared" si="23"/>
        <v>239125.3</v>
      </c>
      <c r="U274" s="4" t="str">
        <f t="shared" si="24"/>
        <v>Good</v>
      </c>
      <c r="V274" s="4" t="str">
        <f t="shared" si="25"/>
        <v>Excellent</v>
      </c>
      <c r="W274" s="4"/>
      <c r="X274" s="4"/>
      <c r="AJ274" s="4"/>
    </row>
    <row r="275" spans="1:36">
      <c r="A275" t="str">
        <f t="shared" si="21"/>
        <v>Arun20274</v>
      </c>
      <c r="B275">
        <v>274</v>
      </c>
      <c r="C275">
        <v>25</v>
      </c>
      <c r="D275">
        <v>12</v>
      </c>
      <c r="E275">
        <v>2021</v>
      </c>
      <c r="F275" s="1">
        <f t="shared" si="22"/>
        <v>44555</v>
      </c>
      <c r="G275" s="1" t="s">
        <v>239</v>
      </c>
      <c r="H275" s="2">
        <v>44751</v>
      </c>
      <c r="I275" t="s">
        <v>49</v>
      </c>
      <c r="J275">
        <v>4</v>
      </c>
      <c r="K275">
        <v>27575.51</v>
      </c>
      <c r="L275" t="s">
        <v>298</v>
      </c>
      <c r="M275">
        <v>20</v>
      </c>
      <c r="N275" t="s">
        <v>36</v>
      </c>
      <c r="O275" s="3" t="s">
        <v>22</v>
      </c>
      <c r="P275" t="s">
        <v>51</v>
      </c>
      <c r="Q275" t="s">
        <v>56</v>
      </c>
      <c r="R275">
        <v>5</v>
      </c>
      <c r="S275" t="s">
        <v>102</v>
      </c>
      <c r="T275" s="4">
        <f t="shared" si="23"/>
        <v>110302.04</v>
      </c>
      <c r="U275" s="4" t="str">
        <f t="shared" si="24"/>
        <v>Good</v>
      </c>
      <c r="V275" s="4" t="str">
        <f t="shared" si="25"/>
        <v>Good</v>
      </c>
      <c r="W275" s="4"/>
      <c r="X275" s="4"/>
      <c r="AJ275" s="4"/>
    </row>
    <row r="276" spans="1:36">
      <c r="A276" t="str">
        <f t="shared" si="21"/>
        <v>Pooj28275</v>
      </c>
      <c r="B276">
        <v>275</v>
      </c>
      <c r="C276">
        <v>25</v>
      </c>
      <c r="D276">
        <v>12</v>
      </c>
      <c r="E276">
        <v>2021</v>
      </c>
      <c r="F276" s="1">
        <f t="shared" si="22"/>
        <v>44555</v>
      </c>
      <c r="G276" s="1" t="s">
        <v>239</v>
      </c>
      <c r="H276" s="2">
        <v>44752</v>
      </c>
      <c r="I276" t="s">
        <v>49</v>
      </c>
      <c r="J276">
        <v>6</v>
      </c>
      <c r="K276">
        <v>32412.42</v>
      </c>
      <c r="L276" t="s">
        <v>220</v>
      </c>
      <c r="M276">
        <v>28</v>
      </c>
      <c r="N276" t="s">
        <v>36</v>
      </c>
      <c r="O276" s="3" t="s">
        <v>22</v>
      </c>
      <c r="P276" t="s">
        <v>29</v>
      </c>
      <c r="Q276" t="s">
        <v>56</v>
      </c>
      <c r="R276">
        <v>5</v>
      </c>
      <c r="S276" t="s">
        <v>52</v>
      </c>
      <c r="T276" s="4">
        <f t="shared" si="23"/>
        <v>194474.52</v>
      </c>
      <c r="U276" s="4" t="str">
        <f t="shared" si="24"/>
        <v>Good</v>
      </c>
      <c r="V276" s="4" t="str">
        <f t="shared" si="25"/>
        <v>Good</v>
      </c>
      <c r="W276" s="4"/>
      <c r="X276" s="4"/>
      <c r="AJ276" s="4"/>
    </row>
    <row r="277" spans="1:36">
      <c r="A277" t="str">
        <f t="shared" si="21"/>
        <v>Adit42276</v>
      </c>
      <c r="B277">
        <v>276</v>
      </c>
      <c r="C277">
        <v>26</v>
      </c>
      <c r="D277">
        <v>12</v>
      </c>
      <c r="E277">
        <v>2021</v>
      </c>
      <c r="F277" s="1">
        <f t="shared" si="22"/>
        <v>44556</v>
      </c>
      <c r="G277" s="1" t="s">
        <v>239</v>
      </c>
      <c r="H277" s="2">
        <v>44753</v>
      </c>
      <c r="I277" t="s">
        <v>38</v>
      </c>
      <c r="J277">
        <v>6</v>
      </c>
      <c r="K277">
        <v>50198.2</v>
      </c>
      <c r="L277" t="s">
        <v>299</v>
      </c>
      <c r="M277">
        <v>42</v>
      </c>
      <c r="N277" t="s">
        <v>21</v>
      </c>
      <c r="O277" s="3" t="s">
        <v>22</v>
      </c>
      <c r="P277" t="s">
        <v>137</v>
      </c>
      <c r="Q277" t="s">
        <v>56</v>
      </c>
      <c r="R277">
        <v>5</v>
      </c>
      <c r="S277" t="s">
        <v>42</v>
      </c>
      <c r="T277" s="4">
        <f t="shared" si="23"/>
        <v>301189.19999999995</v>
      </c>
      <c r="U277" s="4" t="str">
        <f t="shared" si="24"/>
        <v>Good</v>
      </c>
      <c r="V277" s="4" t="str">
        <f t="shared" si="25"/>
        <v>Excellent</v>
      </c>
      <c r="W277" s="4"/>
      <c r="X277" s="4"/>
      <c r="AJ277" s="4"/>
    </row>
    <row r="278" spans="1:36">
      <c r="A278" t="str">
        <f t="shared" si="21"/>
        <v>Pooj59277</v>
      </c>
      <c r="B278">
        <v>277</v>
      </c>
      <c r="C278">
        <v>26</v>
      </c>
      <c r="D278">
        <v>12</v>
      </c>
      <c r="E278">
        <v>2021</v>
      </c>
      <c r="F278" s="1">
        <f t="shared" si="22"/>
        <v>44556</v>
      </c>
      <c r="G278" s="1" t="s">
        <v>239</v>
      </c>
      <c r="H278" s="2">
        <v>44754</v>
      </c>
      <c r="I278" t="s">
        <v>38</v>
      </c>
      <c r="J278">
        <v>2</v>
      </c>
      <c r="K278">
        <v>14318.85</v>
      </c>
      <c r="L278" t="s">
        <v>300</v>
      </c>
      <c r="M278">
        <v>59</v>
      </c>
      <c r="N278" t="s">
        <v>61</v>
      </c>
      <c r="O278" s="3" t="s">
        <v>22</v>
      </c>
      <c r="P278" t="s">
        <v>29</v>
      </c>
      <c r="Q278" t="s">
        <v>56</v>
      </c>
      <c r="R278">
        <v>5</v>
      </c>
      <c r="S278" t="s">
        <v>42</v>
      </c>
      <c r="T278" s="4">
        <f t="shared" si="23"/>
        <v>28637.7</v>
      </c>
      <c r="U278" s="4" t="str">
        <f t="shared" si="24"/>
        <v>Good</v>
      </c>
      <c r="V278" s="4" t="str">
        <f t="shared" si="25"/>
        <v>Low</v>
      </c>
      <c r="W278" s="4"/>
      <c r="X278" s="4"/>
      <c r="AJ278" s="4"/>
    </row>
    <row r="279" spans="1:36">
      <c r="A279" t="str">
        <f t="shared" si="21"/>
        <v>Anit25278</v>
      </c>
      <c r="B279">
        <v>278</v>
      </c>
      <c r="C279">
        <v>26</v>
      </c>
      <c r="D279">
        <v>12</v>
      </c>
      <c r="E279">
        <v>2021</v>
      </c>
      <c r="F279" s="1">
        <f t="shared" si="22"/>
        <v>44556</v>
      </c>
      <c r="G279" s="1" t="s">
        <v>239</v>
      </c>
      <c r="H279" s="2">
        <v>44755</v>
      </c>
      <c r="I279" t="s">
        <v>49</v>
      </c>
      <c r="J279">
        <v>2</v>
      </c>
      <c r="K279">
        <v>25400.84</v>
      </c>
      <c r="L279" t="s">
        <v>168</v>
      </c>
      <c r="M279">
        <v>25</v>
      </c>
      <c r="N279" t="s">
        <v>36</v>
      </c>
      <c r="O279" s="3" t="s">
        <v>22</v>
      </c>
      <c r="P279" t="s">
        <v>29</v>
      </c>
      <c r="Q279" t="s">
        <v>56</v>
      </c>
      <c r="R279">
        <v>5</v>
      </c>
      <c r="S279" t="s">
        <v>52</v>
      </c>
      <c r="T279" s="4">
        <f t="shared" si="23"/>
        <v>50801.68</v>
      </c>
      <c r="U279" s="4" t="str">
        <f t="shared" si="24"/>
        <v>Good</v>
      </c>
      <c r="V279" s="4" t="str">
        <f t="shared" si="25"/>
        <v>Average</v>
      </c>
      <c r="W279" s="4"/>
      <c r="X279" s="4"/>
      <c r="AJ279" s="4"/>
    </row>
    <row r="280" spans="1:36">
      <c r="A280" t="str">
        <f t="shared" si="21"/>
        <v>Moni26279</v>
      </c>
      <c r="B280">
        <v>279</v>
      </c>
      <c r="C280">
        <v>27</v>
      </c>
      <c r="D280">
        <v>12</v>
      </c>
      <c r="E280">
        <v>2021</v>
      </c>
      <c r="F280" s="1">
        <f t="shared" si="22"/>
        <v>44557</v>
      </c>
      <c r="G280" s="1" t="s">
        <v>239</v>
      </c>
      <c r="H280" s="2">
        <v>44756</v>
      </c>
      <c r="I280" t="s">
        <v>19</v>
      </c>
      <c r="J280">
        <v>4</v>
      </c>
      <c r="K280">
        <v>52834.06</v>
      </c>
      <c r="L280" t="s">
        <v>301</v>
      </c>
      <c r="M280">
        <v>26</v>
      </c>
      <c r="N280" t="s">
        <v>36</v>
      </c>
      <c r="O280" s="3" t="s">
        <v>28</v>
      </c>
      <c r="P280" t="s">
        <v>29</v>
      </c>
      <c r="Q280" t="s">
        <v>24</v>
      </c>
      <c r="R280">
        <v>3</v>
      </c>
      <c r="S280" t="s">
        <v>84</v>
      </c>
      <c r="T280" s="4">
        <f t="shared" si="23"/>
        <v>211336.24</v>
      </c>
      <c r="U280" s="4" t="str">
        <f t="shared" si="24"/>
        <v>Average</v>
      </c>
      <c r="V280" s="4" t="str">
        <f t="shared" si="25"/>
        <v>Excellent</v>
      </c>
      <c r="W280" s="4"/>
      <c r="X280" s="4"/>
      <c r="AJ280" s="4"/>
    </row>
    <row r="281" spans="1:36">
      <c r="A281" t="str">
        <f t="shared" si="21"/>
        <v>Kira32280</v>
      </c>
      <c r="B281">
        <v>280</v>
      </c>
      <c r="C281">
        <v>27</v>
      </c>
      <c r="D281">
        <v>12</v>
      </c>
      <c r="E281">
        <v>2021</v>
      </c>
      <c r="F281" s="1">
        <f t="shared" si="22"/>
        <v>44557</v>
      </c>
      <c r="G281" s="1" t="s">
        <v>239</v>
      </c>
      <c r="H281" s="2">
        <v>44757</v>
      </c>
      <c r="I281" t="s">
        <v>26</v>
      </c>
      <c r="J281">
        <v>1</v>
      </c>
      <c r="K281">
        <v>38801.11</v>
      </c>
      <c r="L281" t="s">
        <v>302</v>
      </c>
      <c r="M281">
        <v>32</v>
      </c>
      <c r="N281" t="s">
        <v>21</v>
      </c>
      <c r="O281" s="3" t="s">
        <v>22</v>
      </c>
      <c r="P281" t="s">
        <v>93</v>
      </c>
      <c r="Q281" t="s">
        <v>30</v>
      </c>
      <c r="R281">
        <v>5</v>
      </c>
      <c r="S281" t="s">
        <v>31</v>
      </c>
      <c r="T281" s="4">
        <f t="shared" si="23"/>
        <v>38801.11</v>
      </c>
      <c r="U281" s="4" t="str">
        <f t="shared" si="24"/>
        <v>Good</v>
      </c>
      <c r="V281" s="4" t="str">
        <f t="shared" si="25"/>
        <v>Low</v>
      </c>
      <c r="W281" s="4"/>
      <c r="X281" s="4"/>
      <c r="AJ281" s="4"/>
    </row>
    <row r="282" spans="1:36">
      <c r="A282" t="str">
        <f t="shared" si="21"/>
        <v>Umes49281</v>
      </c>
      <c r="B282">
        <v>281</v>
      </c>
      <c r="C282">
        <v>27</v>
      </c>
      <c r="D282">
        <v>12</v>
      </c>
      <c r="E282">
        <v>2021</v>
      </c>
      <c r="F282" s="1">
        <f t="shared" si="22"/>
        <v>44557</v>
      </c>
      <c r="G282" s="1" t="s">
        <v>239</v>
      </c>
      <c r="H282" s="2">
        <v>44758</v>
      </c>
      <c r="I282" t="s">
        <v>26</v>
      </c>
      <c r="J282">
        <v>9</v>
      </c>
      <c r="K282">
        <v>34143.61</v>
      </c>
      <c r="L282" t="s">
        <v>303</v>
      </c>
      <c r="M282">
        <v>49</v>
      </c>
      <c r="N282" t="s">
        <v>61</v>
      </c>
      <c r="O282" s="3" t="s">
        <v>28</v>
      </c>
      <c r="P282" t="s">
        <v>33</v>
      </c>
      <c r="Q282" t="s">
        <v>41</v>
      </c>
      <c r="R282">
        <v>3</v>
      </c>
      <c r="S282" t="s">
        <v>67</v>
      </c>
      <c r="T282" s="4">
        <f t="shared" si="23"/>
        <v>307292.49</v>
      </c>
      <c r="U282" s="4" t="str">
        <f t="shared" si="24"/>
        <v>Average</v>
      </c>
      <c r="V282" s="4" t="str">
        <f t="shared" si="25"/>
        <v>Excellent</v>
      </c>
      <c r="W282" s="4"/>
      <c r="X282" s="4"/>
      <c r="AJ282" s="4"/>
    </row>
    <row r="283" spans="1:36">
      <c r="A283" t="str">
        <f t="shared" si="21"/>
        <v>Tapa20282</v>
      </c>
      <c r="B283">
        <v>282</v>
      </c>
      <c r="C283">
        <v>27</v>
      </c>
      <c r="D283">
        <v>12</v>
      </c>
      <c r="E283">
        <v>2021</v>
      </c>
      <c r="F283" s="1">
        <f t="shared" si="22"/>
        <v>44557</v>
      </c>
      <c r="G283" s="1" t="s">
        <v>239</v>
      </c>
      <c r="H283" s="2">
        <v>44759</v>
      </c>
      <c r="I283" t="s">
        <v>26</v>
      </c>
      <c r="J283">
        <v>7</v>
      </c>
      <c r="K283">
        <v>19087.46</v>
      </c>
      <c r="L283" t="s">
        <v>304</v>
      </c>
      <c r="M283">
        <v>20</v>
      </c>
      <c r="N283" t="s">
        <v>36</v>
      </c>
      <c r="O283" s="3" t="s">
        <v>22</v>
      </c>
      <c r="P283" t="s">
        <v>93</v>
      </c>
      <c r="Q283" t="s">
        <v>41</v>
      </c>
      <c r="R283">
        <v>4</v>
      </c>
      <c r="S283" t="s">
        <v>31</v>
      </c>
      <c r="T283" s="4">
        <f t="shared" si="23"/>
        <v>133612.22</v>
      </c>
      <c r="U283" s="4" t="str">
        <f t="shared" si="24"/>
        <v>Good</v>
      </c>
      <c r="V283" s="4" t="str">
        <f t="shared" si="25"/>
        <v>Good</v>
      </c>
      <c r="W283" s="4"/>
      <c r="X283" s="4"/>
      <c r="AJ283" s="4"/>
    </row>
    <row r="284" spans="1:36">
      <c r="A284" t="str">
        <f t="shared" si="21"/>
        <v>Isha21283</v>
      </c>
      <c r="B284">
        <v>283</v>
      </c>
      <c r="C284">
        <v>28</v>
      </c>
      <c r="D284">
        <v>12</v>
      </c>
      <c r="E284">
        <v>2021</v>
      </c>
      <c r="F284" s="1">
        <f t="shared" si="22"/>
        <v>44558</v>
      </c>
      <c r="G284" s="1" t="s">
        <v>239</v>
      </c>
      <c r="H284" s="2">
        <v>44760</v>
      </c>
      <c r="I284" t="s">
        <v>38</v>
      </c>
      <c r="J284">
        <v>7</v>
      </c>
      <c r="K284">
        <v>36510.94</v>
      </c>
      <c r="L284" t="s">
        <v>305</v>
      </c>
      <c r="M284">
        <v>21</v>
      </c>
      <c r="N284" t="s">
        <v>36</v>
      </c>
      <c r="O284" s="3" t="s">
        <v>28</v>
      </c>
      <c r="P284" t="s">
        <v>66</v>
      </c>
      <c r="Q284" t="s">
        <v>30</v>
      </c>
      <c r="R284">
        <v>3</v>
      </c>
      <c r="S284" t="s">
        <v>48</v>
      </c>
      <c r="T284" s="4">
        <f t="shared" si="23"/>
        <v>255576.58000000002</v>
      </c>
      <c r="U284" s="4" t="str">
        <f t="shared" si="24"/>
        <v>Average</v>
      </c>
      <c r="V284" s="4" t="str">
        <f t="shared" si="25"/>
        <v>Excellent</v>
      </c>
      <c r="W284" s="4"/>
      <c r="X284" s="4"/>
      <c r="AJ284" s="4"/>
    </row>
    <row r="285" spans="1:36">
      <c r="A285" t="str">
        <f t="shared" si="21"/>
        <v>Jyot47284</v>
      </c>
      <c r="B285">
        <v>284</v>
      </c>
      <c r="C285">
        <v>28</v>
      </c>
      <c r="D285">
        <v>12</v>
      </c>
      <c r="E285">
        <v>2021</v>
      </c>
      <c r="F285" s="1">
        <f t="shared" si="22"/>
        <v>44558</v>
      </c>
      <c r="G285" s="1" t="s">
        <v>239</v>
      </c>
      <c r="H285" s="2">
        <v>44761</v>
      </c>
      <c r="I285" t="s">
        <v>38</v>
      </c>
      <c r="J285">
        <v>3</v>
      </c>
      <c r="K285">
        <v>56241.52</v>
      </c>
      <c r="L285" t="s">
        <v>306</v>
      </c>
      <c r="M285">
        <v>47</v>
      </c>
      <c r="N285" t="s">
        <v>61</v>
      </c>
      <c r="O285" s="3" t="s">
        <v>22</v>
      </c>
      <c r="P285" t="s">
        <v>117</v>
      </c>
      <c r="Q285" t="s">
        <v>41</v>
      </c>
      <c r="R285">
        <v>5</v>
      </c>
      <c r="S285" t="s">
        <v>48</v>
      </c>
      <c r="T285" s="4">
        <f t="shared" si="23"/>
        <v>168724.56</v>
      </c>
      <c r="U285" s="4" t="str">
        <f t="shared" si="24"/>
        <v>Good</v>
      </c>
      <c r="V285" s="4" t="str">
        <f t="shared" si="25"/>
        <v>Good</v>
      </c>
      <c r="W285" s="4"/>
      <c r="X285" s="4"/>
      <c r="AJ285" s="4"/>
    </row>
    <row r="286" spans="1:36">
      <c r="A286" t="str">
        <f t="shared" si="21"/>
        <v>Moni30285</v>
      </c>
      <c r="B286">
        <v>285</v>
      </c>
      <c r="C286">
        <v>28</v>
      </c>
      <c r="D286">
        <v>12</v>
      </c>
      <c r="E286">
        <v>2021</v>
      </c>
      <c r="F286" s="1">
        <f t="shared" si="22"/>
        <v>44558</v>
      </c>
      <c r="G286" s="1" t="s">
        <v>239</v>
      </c>
      <c r="H286" s="2">
        <v>44762</v>
      </c>
      <c r="I286" t="s">
        <v>19</v>
      </c>
      <c r="J286">
        <v>3</v>
      </c>
      <c r="K286">
        <v>25840.77</v>
      </c>
      <c r="L286" t="s">
        <v>307</v>
      </c>
      <c r="M286">
        <v>30</v>
      </c>
      <c r="N286" t="s">
        <v>36</v>
      </c>
      <c r="O286" s="3" t="s">
        <v>22</v>
      </c>
      <c r="P286" t="s">
        <v>29</v>
      </c>
      <c r="Q286" t="s">
        <v>24</v>
      </c>
      <c r="R286">
        <v>5</v>
      </c>
      <c r="S286" t="s">
        <v>37</v>
      </c>
      <c r="T286" s="4">
        <f t="shared" si="23"/>
        <v>77522.31</v>
      </c>
      <c r="U286" s="4" t="str">
        <f t="shared" si="24"/>
        <v>Good</v>
      </c>
      <c r="V286" s="4" t="str">
        <f t="shared" si="25"/>
        <v>Average</v>
      </c>
      <c r="W286" s="4"/>
      <c r="X286" s="4"/>
      <c r="AJ286" s="4"/>
    </row>
    <row r="287" spans="1:36">
      <c r="A287" t="str">
        <f t="shared" si="21"/>
        <v>Nikh38286</v>
      </c>
      <c r="B287">
        <v>286</v>
      </c>
      <c r="C287">
        <v>29</v>
      </c>
      <c r="D287">
        <v>12</v>
      </c>
      <c r="E287">
        <v>2021</v>
      </c>
      <c r="F287" s="1">
        <f t="shared" si="22"/>
        <v>44559</v>
      </c>
      <c r="G287" s="1" t="s">
        <v>239</v>
      </c>
      <c r="H287" s="2">
        <v>44763</v>
      </c>
      <c r="I287" t="s">
        <v>26</v>
      </c>
      <c r="J287">
        <v>1</v>
      </c>
      <c r="K287">
        <v>10323.91</v>
      </c>
      <c r="L287" t="s">
        <v>215</v>
      </c>
      <c r="M287">
        <v>38</v>
      </c>
      <c r="N287" t="s">
        <v>21</v>
      </c>
      <c r="O287" s="3" t="s">
        <v>28</v>
      </c>
      <c r="P287" t="s">
        <v>150</v>
      </c>
      <c r="Q287" t="s">
        <v>30</v>
      </c>
      <c r="R287">
        <v>3</v>
      </c>
      <c r="S287" t="s">
        <v>34</v>
      </c>
      <c r="T287" s="4">
        <f t="shared" si="23"/>
        <v>10323.91</v>
      </c>
      <c r="U287" s="4" t="str">
        <f t="shared" si="24"/>
        <v>Average</v>
      </c>
      <c r="V287" s="4" t="str">
        <f t="shared" si="25"/>
        <v>Low</v>
      </c>
      <c r="W287" s="4"/>
      <c r="X287" s="4"/>
      <c r="AJ287" s="4"/>
    </row>
    <row r="288" spans="1:36">
      <c r="A288" t="str">
        <f t="shared" si="21"/>
        <v>Deve58287</v>
      </c>
      <c r="B288">
        <v>287</v>
      </c>
      <c r="C288">
        <v>29</v>
      </c>
      <c r="D288">
        <v>12</v>
      </c>
      <c r="E288">
        <v>2021</v>
      </c>
      <c r="F288" s="1">
        <f t="shared" si="22"/>
        <v>44559</v>
      </c>
      <c r="G288" s="1" t="s">
        <v>239</v>
      </c>
      <c r="H288" s="2">
        <v>44764</v>
      </c>
      <c r="I288" t="s">
        <v>26</v>
      </c>
      <c r="J288">
        <v>3</v>
      </c>
      <c r="K288">
        <v>50110.29</v>
      </c>
      <c r="L288" t="s">
        <v>308</v>
      </c>
      <c r="M288">
        <v>58</v>
      </c>
      <c r="N288" t="s">
        <v>61</v>
      </c>
      <c r="O288" s="3" t="s">
        <v>22</v>
      </c>
      <c r="P288" t="s">
        <v>45</v>
      </c>
      <c r="Q288" t="s">
        <v>30</v>
      </c>
      <c r="R288">
        <v>5</v>
      </c>
      <c r="S288" t="s">
        <v>31</v>
      </c>
      <c r="T288" s="4">
        <f t="shared" si="23"/>
        <v>150330.87</v>
      </c>
      <c r="U288" s="4" t="str">
        <f t="shared" si="24"/>
        <v>Good</v>
      </c>
      <c r="V288" s="4" t="str">
        <f t="shared" si="25"/>
        <v>Good</v>
      </c>
      <c r="W288" s="4"/>
      <c r="X288" s="4"/>
      <c r="AJ288" s="4"/>
    </row>
    <row r="289" spans="1:36">
      <c r="A289" t="str">
        <f t="shared" si="21"/>
        <v>Mano36288</v>
      </c>
      <c r="B289">
        <v>288</v>
      </c>
      <c r="C289">
        <v>29</v>
      </c>
      <c r="D289">
        <v>12</v>
      </c>
      <c r="E289">
        <v>2021</v>
      </c>
      <c r="F289" s="1">
        <f t="shared" si="22"/>
        <v>44559</v>
      </c>
      <c r="G289" s="1" t="s">
        <v>239</v>
      </c>
      <c r="H289" s="2">
        <v>44765</v>
      </c>
      <c r="I289" t="s">
        <v>49</v>
      </c>
      <c r="J289">
        <v>3</v>
      </c>
      <c r="K289">
        <v>68357.600000000006</v>
      </c>
      <c r="L289" t="s">
        <v>309</v>
      </c>
      <c r="M289">
        <v>36</v>
      </c>
      <c r="N289" t="s">
        <v>21</v>
      </c>
      <c r="O289" s="3" t="s">
        <v>28</v>
      </c>
      <c r="P289" t="s">
        <v>64</v>
      </c>
      <c r="Q289" t="s">
        <v>41</v>
      </c>
      <c r="R289">
        <v>3</v>
      </c>
      <c r="S289" t="s">
        <v>52</v>
      </c>
      <c r="T289" s="4">
        <f t="shared" si="23"/>
        <v>205072.80000000002</v>
      </c>
      <c r="U289" s="4" t="str">
        <f t="shared" si="24"/>
        <v>Average</v>
      </c>
      <c r="V289" s="4" t="str">
        <f t="shared" si="25"/>
        <v>Excellent</v>
      </c>
      <c r="W289" s="4"/>
      <c r="X289" s="4"/>
      <c r="AJ289" s="4"/>
    </row>
    <row r="290" spans="1:36">
      <c r="A290" t="str">
        <f t="shared" si="21"/>
        <v>Anit56289</v>
      </c>
      <c r="B290">
        <v>289</v>
      </c>
      <c r="C290">
        <v>29</v>
      </c>
      <c r="D290">
        <v>12</v>
      </c>
      <c r="E290">
        <v>2021</v>
      </c>
      <c r="F290" s="1">
        <f t="shared" si="22"/>
        <v>44559</v>
      </c>
      <c r="G290" s="1" t="s">
        <v>239</v>
      </c>
      <c r="H290" s="2">
        <v>44766</v>
      </c>
      <c r="I290" t="s">
        <v>38</v>
      </c>
      <c r="J290">
        <v>4</v>
      </c>
      <c r="K290">
        <v>46409.59</v>
      </c>
      <c r="L290" t="s">
        <v>310</v>
      </c>
      <c r="M290">
        <v>56</v>
      </c>
      <c r="N290" t="s">
        <v>61</v>
      </c>
      <c r="O290" s="3" t="s">
        <v>22</v>
      </c>
      <c r="P290" t="s">
        <v>93</v>
      </c>
      <c r="Q290" t="s">
        <v>41</v>
      </c>
      <c r="R290">
        <v>5</v>
      </c>
      <c r="S290" t="s">
        <v>48</v>
      </c>
      <c r="T290" s="4">
        <f t="shared" si="23"/>
        <v>185638.36</v>
      </c>
      <c r="U290" s="4" t="str">
        <f t="shared" si="24"/>
        <v>Good</v>
      </c>
      <c r="V290" s="4" t="str">
        <f t="shared" si="25"/>
        <v>Good</v>
      </c>
      <c r="W290" s="4"/>
      <c r="X290" s="4"/>
      <c r="AJ290" s="4"/>
    </row>
    <row r="291" spans="1:36">
      <c r="A291" t="str">
        <f t="shared" si="21"/>
        <v>Shru39290</v>
      </c>
      <c r="B291">
        <v>290</v>
      </c>
      <c r="C291">
        <v>30</v>
      </c>
      <c r="D291">
        <v>12</v>
      </c>
      <c r="E291">
        <v>2021</v>
      </c>
      <c r="F291" s="1">
        <f t="shared" si="22"/>
        <v>44560</v>
      </c>
      <c r="G291" s="1" t="s">
        <v>239</v>
      </c>
      <c r="H291" s="2">
        <v>44767</v>
      </c>
      <c r="I291" t="s">
        <v>26</v>
      </c>
      <c r="J291">
        <v>4</v>
      </c>
      <c r="K291">
        <v>17195.310000000001</v>
      </c>
      <c r="L291" t="s">
        <v>311</v>
      </c>
      <c r="M291">
        <v>39</v>
      </c>
      <c r="N291" t="s">
        <v>21</v>
      </c>
      <c r="O291" s="3" t="s">
        <v>22</v>
      </c>
      <c r="P291" t="s">
        <v>29</v>
      </c>
      <c r="Q291" t="s">
        <v>24</v>
      </c>
      <c r="R291">
        <v>5</v>
      </c>
      <c r="S291" t="s">
        <v>34</v>
      </c>
      <c r="T291" s="4">
        <f t="shared" si="23"/>
        <v>68781.240000000005</v>
      </c>
      <c r="U291" s="4" t="str">
        <f t="shared" si="24"/>
        <v>Good</v>
      </c>
      <c r="V291" s="4" t="str">
        <f t="shared" si="25"/>
        <v>Average</v>
      </c>
      <c r="W291" s="4"/>
      <c r="X291" s="4"/>
      <c r="AJ291" s="4"/>
    </row>
    <row r="292" spans="1:36">
      <c r="A292" t="str">
        <f t="shared" si="21"/>
        <v>Pooj37291</v>
      </c>
      <c r="B292">
        <v>291</v>
      </c>
      <c r="C292">
        <v>30</v>
      </c>
      <c r="D292">
        <v>12</v>
      </c>
      <c r="E292">
        <v>2021</v>
      </c>
      <c r="F292" s="1">
        <f t="shared" si="22"/>
        <v>44560</v>
      </c>
      <c r="G292" s="1" t="s">
        <v>239</v>
      </c>
      <c r="H292" s="2">
        <v>44768</v>
      </c>
      <c r="I292" t="s">
        <v>19</v>
      </c>
      <c r="J292">
        <v>3</v>
      </c>
      <c r="K292">
        <v>29243.99</v>
      </c>
      <c r="L292" t="s">
        <v>135</v>
      </c>
      <c r="M292">
        <v>37</v>
      </c>
      <c r="N292" t="s">
        <v>21</v>
      </c>
      <c r="O292" s="3" t="s">
        <v>28</v>
      </c>
      <c r="P292" t="s">
        <v>33</v>
      </c>
      <c r="Q292" t="s">
        <v>56</v>
      </c>
      <c r="R292">
        <v>3</v>
      </c>
      <c r="S292" t="s">
        <v>37</v>
      </c>
      <c r="T292" s="4">
        <f t="shared" si="23"/>
        <v>87731.97</v>
      </c>
      <c r="U292" s="4" t="str">
        <f t="shared" si="24"/>
        <v>Average</v>
      </c>
      <c r="V292" s="4" t="str">
        <f t="shared" si="25"/>
        <v>Average</v>
      </c>
      <c r="W292" s="4"/>
      <c r="X292" s="4"/>
      <c r="AJ292" s="4"/>
    </row>
    <row r="293" spans="1:36">
      <c r="A293" t="str">
        <f t="shared" si="21"/>
        <v>Tapa54292</v>
      </c>
      <c r="B293">
        <v>292</v>
      </c>
      <c r="C293">
        <v>30</v>
      </c>
      <c r="D293">
        <v>12</v>
      </c>
      <c r="E293">
        <v>2021</v>
      </c>
      <c r="F293" s="1">
        <f t="shared" si="22"/>
        <v>44560</v>
      </c>
      <c r="G293" s="1" t="s">
        <v>239</v>
      </c>
      <c r="H293" s="2">
        <v>44769</v>
      </c>
      <c r="I293" t="s">
        <v>19</v>
      </c>
      <c r="J293">
        <v>8</v>
      </c>
      <c r="K293">
        <v>62058.5</v>
      </c>
      <c r="L293" t="s">
        <v>312</v>
      </c>
      <c r="M293">
        <v>54</v>
      </c>
      <c r="N293" t="s">
        <v>61</v>
      </c>
      <c r="O293" s="3" t="s">
        <v>22</v>
      </c>
      <c r="P293" t="s">
        <v>40</v>
      </c>
      <c r="Q293" t="s">
        <v>30</v>
      </c>
      <c r="R293">
        <v>5</v>
      </c>
      <c r="S293" t="s">
        <v>84</v>
      </c>
      <c r="T293" s="4">
        <f t="shared" si="23"/>
        <v>496468</v>
      </c>
      <c r="U293" s="4" t="str">
        <f t="shared" si="24"/>
        <v>Good</v>
      </c>
      <c r="V293" s="4" t="str">
        <f t="shared" si="25"/>
        <v>Excellent</v>
      </c>
      <c r="W293" s="4"/>
      <c r="X293" s="4"/>
      <c r="AJ293" s="4"/>
    </row>
    <row r="294" spans="1:36">
      <c r="A294" t="str">
        <f t="shared" si="21"/>
        <v>Sumi48293</v>
      </c>
      <c r="B294">
        <v>293</v>
      </c>
      <c r="C294">
        <v>31</v>
      </c>
      <c r="D294">
        <v>12</v>
      </c>
      <c r="E294">
        <v>2021</v>
      </c>
      <c r="F294" s="1">
        <f t="shared" si="22"/>
        <v>44561</v>
      </c>
      <c r="G294" s="1" t="s">
        <v>239</v>
      </c>
      <c r="H294" s="2">
        <v>44770</v>
      </c>
      <c r="I294" t="s">
        <v>26</v>
      </c>
      <c r="J294">
        <v>8</v>
      </c>
      <c r="K294">
        <v>23954.080000000002</v>
      </c>
      <c r="L294" t="s">
        <v>313</v>
      </c>
      <c r="M294">
        <v>48</v>
      </c>
      <c r="N294" t="s">
        <v>61</v>
      </c>
      <c r="O294" s="3" t="s">
        <v>22</v>
      </c>
      <c r="P294" t="s">
        <v>51</v>
      </c>
      <c r="Q294" t="s">
        <v>56</v>
      </c>
      <c r="R294">
        <v>5</v>
      </c>
      <c r="S294" t="s">
        <v>67</v>
      </c>
      <c r="T294" s="4">
        <f t="shared" si="23"/>
        <v>191632.64000000001</v>
      </c>
      <c r="U294" s="4" t="str">
        <f t="shared" si="24"/>
        <v>Good</v>
      </c>
      <c r="V294" s="4" t="str">
        <f t="shared" si="25"/>
        <v>Good</v>
      </c>
      <c r="W294" s="4"/>
      <c r="X294" s="4"/>
      <c r="AJ294" s="4"/>
    </row>
    <row r="295" spans="1:36">
      <c r="A295" t="str">
        <f t="shared" si="21"/>
        <v>Lata27294</v>
      </c>
      <c r="B295">
        <v>294</v>
      </c>
      <c r="C295">
        <v>31</v>
      </c>
      <c r="D295">
        <v>12</v>
      </c>
      <c r="E295">
        <v>2021</v>
      </c>
      <c r="F295" s="1">
        <f t="shared" si="22"/>
        <v>44561</v>
      </c>
      <c r="G295" s="1" t="s">
        <v>239</v>
      </c>
      <c r="H295" s="2">
        <v>44771</v>
      </c>
      <c r="I295" t="s">
        <v>38</v>
      </c>
      <c r="J295">
        <v>1</v>
      </c>
      <c r="K295">
        <v>46461.75</v>
      </c>
      <c r="L295" t="s">
        <v>314</v>
      </c>
      <c r="M295">
        <v>27</v>
      </c>
      <c r="N295" t="s">
        <v>36</v>
      </c>
      <c r="O295" s="3" t="s">
        <v>22</v>
      </c>
      <c r="P295" t="s">
        <v>150</v>
      </c>
      <c r="Q295" t="s">
        <v>41</v>
      </c>
      <c r="R295">
        <v>5</v>
      </c>
      <c r="S295" t="s">
        <v>48</v>
      </c>
      <c r="T295" s="4">
        <f t="shared" si="23"/>
        <v>46461.75</v>
      </c>
      <c r="U295" s="4" t="str">
        <f t="shared" si="24"/>
        <v>Good</v>
      </c>
      <c r="V295" s="4" t="str">
        <f t="shared" si="25"/>
        <v>Low</v>
      </c>
      <c r="W295" s="4"/>
      <c r="X295" s="4"/>
      <c r="AJ295" s="4"/>
    </row>
    <row r="296" spans="1:36">
      <c r="A296" t="str">
        <f t="shared" si="21"/>
        <v>Sneh35295</v>
      </c>
      <c r="B296">
        <v>295</v>
      </c>
      <c r="C296">
        <v>31</v>
      </c>
      <c r="D296">
        <v>12</v>
      </c>
      <c r="E296">
        <v>2021</v>
      </c>
      <c r="F296" s="1">
        <f t="shared" si="22"/>
        <v>44561</v>
      </c>
      <c r="G296" s="1" t="s">
        <v>239</v>
      </c>
      <c r="H296" s="2">
        <v>44772</v>
      </c>
      <c r="I296" t="s">
        <v>19</v>
      </c>
      <c r="J296">
        <v>7</v>
      </c>
      <c r="K296">
        <v>34160.269999999997</v>
      </c>
      <c r="L296" t="s">
        <v>234</v>
      </c>
      <c r="M296">
        <v>35</v>
      </c>
      <c r="N296" t="s">
        <v>21</v>
      </c>
      <c r="O296" s="3" t="s">
        <v>22</v>
      </c>
      <c r="P296" t="s">
        <v>93</v>
      </c>
      <c r="Q296" t="s">
        <v>30</v>
      </c>
      <c r="R296">
        <v>5</v>
      </c>
      <c r="S296" t="s">
        <v>84</v>
      </c>
      <c r="T296" s="4">
        <f t="shared" si="23"/>
        <v>239121.88999999998</v>
      </c>
      <c r="U296" s="4" t="str">
        <f t="shared" si="24"/>
        <v>Good</v>
      </c>
      <c r="V296" s="4" t="str">
        <f t="shared" si="25"/>
        <v>Excellent</v>
      </c>
      <c r="W296" s="4"/>
      <c r="X296" s="4"/>
      <c r="AJ296" s="4"/>
    </row>
    <row r="297" spans="1:36">
      <c r="A297" t="str">
        <f t="shared" si="21"/>
        <v>Gita56296</v>
      </c>
      <c r="B297">
        <v>296</v>
      </c>
      <c r="C297">
        <v>31</v>
      </c>
      <c r="D297">
        <v>12</v>
      </c>
      <c r="E297">
        <v>2021</v>
      </c>
      <c r="F297" s="1">
        <f t="shared" si="22"/>
        <v>44561</v>
      </c>
      <c r="G297" s="1" t="s">
        <v>239</v>
      </c>
      <c r="H297" s="2">
        <v>44773</v>
      </c>
      <c r="I297" t="s">
        <v>49</v>
      </c>
      <c r="J297">
        <v>2</v>
      </c>
      <c r="K297">
        <v>22470.62</v>
      </c>
      <c r="L297" t="s">
        <v>315</v>
      </c>
      <c r="M297">
        <v>56</v>
      </c>
      <c r="N297" t="s">
        <v>61</v>
      </c>
      <c r="O297" s="3" t="s">
        <v>28</v>
      </c>
      <c r="P297" t="s">
        <v>64</v>
      </c>
      <c r="Q297" t="s">
        <v>56</v>
      </c>
      <c r="R297">
        <v>3</v>
      </c>
      <c r="S297" t="s">
        <v>88</v>
      </c>
      <c r="T297" s="4">
        <f t="shared" si="23"/>
        <v>44941.24</v>
      </c>
      <c r="U297" s="4" t="str">
        <f t="shared" si="24"/>
        <v>Average</v>
      </c>
      <c r="V297" s="4" t="str">
        <f t="shared" si="25"/>
        <v>Low</v>
      </c>
      <c r="W297" s="4"/>
      <c r="X297" s="4"/>
      <c r="AJ297" s="4"/>
    </row>
    <row r="298" spans="1:36">
      <c r="A298" t="str">
        <f t="shared" si="21"/>
        <v>Priy37297</v>
      </c>
      <c r="B298">
        <v>297</v>
      </c>
      <c r="C298">
        <v>1</v>
      </c>
      <c r="D298">
        <v>1</v>
      </c>
      <c r="E298">
        <v>2022</v>
      </c>
      <c r="F298" s="1">
        <f t="shared" si="22"/>
        <v>44562</v>
      </c>
      <c r="G298" s="1" t="s">
        <v>316</v>
      </c>
      <c r="H298" s="2">
        <v>44774</v>
      </c>
      <c r="I298" t="s">
        <v>19</v>
      </c>
      <c r="J298">
        <v>1</v>
      </c>
      <c r="K298">
        <v>58804.41</v>
      </c>
      <c r="L298" t="s">
        <v>317</v>
      </c>
      <c r="M298">
        <v>37</v>
      </c>
      <c r="N298" t="s">
        <v>21</v>
      </c>
      <c r="O298" s="3" t="s">
        <v>22</v>
      </c>
      <c r="P298" t="s">
        <v>114</v>
      </c>
      <c r="Q298" t="s">
        <v>24</v>
      </c>
      <c r="R298">
        <v>5</v>
      </c>
      <c r="S298" t="s">
        <v>37</v>
      </c>
      <c r="T298" s="4">
        <f t="shared" si="23"/>
        <v>58804.41</v>
      </c>
      <c r="U298" s="4" t="str">
        <f t="shared" si="24"/>
        <v>Good</v>
      </c>
      <c r="V298" s="4" t="str">
        <f t="shared" si="25"/>
        <v>Average</v>
      </c>
      <c r="W298" s="4"/>
      <c r="X298" s="4"/>
      <c r="AJ298" s="4"/>
    </row>
    <row r="299" spans="1:36">
      <c r="A299" t="str">
        <f t="shared" si="21"/>
        <v>Kavi35298</v>
      </c>
      <c r="B299">
        <v>298</v>
      </c>
      <c r="C299">
        <v>1</v>
      </c>
      <c r="D299">
        <v>1</v>
      </c>
      <c r="E299">
        <v>2022</v>
      </c>
      <c r="F299" s="1">
        <f t="shared" si="22"/>
        <v>44562</v>
      </c>
      <c r="G299" s="1" t="s">
        <v>316</v>
      </c>
      <c r="H299" s="2">
        <v>44775</v>
      </c>
      <c r="I299" t="s">
        <v>43</v>
      </c>
      <c r="J299">
        <v>3</v>
      </c>
      <c r="K299">
        <v>54569.88</v>
      </c>
      <c r="L299" t="s">
        <v>318</v>
      </c>
      <c r="M299">
        <v>35</v>
      </c>
      <c r="N299" t="s">
        <v>21</v>
      </c>
      <c r="O299" s="3" t="s">
        <v>22</v>
      </c>
      <c r="P299" t="s">
        <v>29</v>
      </c>
      <c r="Q299" t="s">
        <v>24</v>
      </c>
      <c r="R299">
        <v>5</v>
      </c>
      <c r="S299" t="s">
        <v>95</v>
      </c>
      <c r="T299" s="4">
        <f t="shared" si="23"/>
        <v>163709.63999999998</v>
      </c>
      <c r="U299" s="4" t="str">
        <f t="shared" si="24"/>
        <v>Good</v>
      </c>
      <c r="V299" s="4" t="str">
        <f t="shared" si="25"/>
        <v>Good</v>
      </c>
      <c r="W299" s="4"/>
      <c r="X299" s="4"/>
      <c r="AJ299" s="4"/>
    </row>
    <row r="300" spans="1:36">
      <c r="A300" t="str">
        <f t="shared" si="21"/>
        <v>Meen28299</v>
      </c>
      <c r="B300">
        <v>299</v>
      </c>
      <c r="C300">
        <v>1</v>
      </c>
      <c r="D300">
        <v>1</v>
      </c>
      <c r="E300">
        <v>2022</v>
      </c>
      <c r="F300" s="1">
        <f t="shared" si="22"/>
        <v>44562</v>
      </c>
      <c r="G300" s="1" t="s">
        <v>316</v>
      </c>
      <c r="H300" s="2">
        <v>44776</v>
      </c>
      <c r="I300" t="s">
        <v>43</v>
      </c>
      <c r="J300">
        <v>4</v>
      </c>
      <c r="K300">
        <v>49695.46</v>
      </c>
      <c r="L300" t="s">
        <v>319</v>
      </c>
      <c r="M300">
        <v>28</v>
      </c>
      <c r="N300" t="s">
        <v>36</v>
      </c>
      <c r="O300" s="3" t="s">
        <v>22</v>
      </c>
      <c r="P300" t="s">
        <v>77</v>
      </c>
      <c r="Q300" t="s">
        <v>24</v>
      </c>
      <c r="R300">
        <v>4</v>
      </c>
      <c r="S300" t="s">
        <v>95</v>
      </c>
      <c r="T300" s="4">
        <f t="shared" si="23"/>
        <v>198781.84</v>
      </c>
      <c r="U300" s="4" t="str">
        <f t="shared" si="24"/>
        <v>Good</v>
      </c>
      <c r="V300" s="4" t="str">
        <f t="shared" si="25"/>
        <v>Good</v>
      </c>
      <c r="W300" s="4"/>
      <c r="X300" s="4"/>
      <c r="AJ300" s="4"/>
    </row>
    <row r="301" spans="1:36">
      <c r="A301" t="str">
        <f t="shared" si="21"/>
        <v>Vive39300</v>
      </c>
      <c r="B301">
        <v>300</v>
      </c>
      <c r="C301">
        <v>2</v>
      </c>
      <c r="D301">
        <v>1</v>
      </c>
      <c r="E301">
        <v>2022</v>
      </c>
      <c r="F301" s="1">
        <f t="shared" si="22"/>
        <v>44563</v>
      </c>
      <c r="G301" s="1" t="s">
        <v>316</v>
      </c>
      <c r="H301" s="2">
        <v>44777</v>
      </c>
      <c r="I301" t="s">
        <v>38</v>
      </c>
      <c r="J301">
        <v>6</v>
      </c>
      <c r="K301">
        <v>24180.2</v>
      </c>
      <c r="L301" t="s">
        <v>320</v>
      </c>
      <c r="M301">
        <v>39</v>
      </c>
      <c r="N301" t="s">
        <v>21</v>
      </c>
      <c r="O301" s="3" t="s">
        <v>22</v>
      </c>
      <c r="P301" t="s">
        <v>33</v>
      </c>
      <c r="Q301" t="s">
        <v>30</v>
      </c>
      <c r="R301">
        <v>5</v>
      </c>
      <c r="S301" t="s">
        <v>48</v>
      </c>
      <c r="T301" s="4">
        <f t="shared" si="23"/>
        <v>145081.20000000001</v>
      </c>
      <c r="U301" s="4" t="str">
        <f t="shared" si="24"/>
        <v>Good</v>
      </c>
      <c r="V301" s="4" t="str">
        <f t="shared" si="25"/>
        <v>Good</v>
      </c>
      <c r="W301" s="4"/>
      <c r="X301" s="4"/>
      <c r="AJ301" s="4"/>
    </row>
    <row r="302" spans="1:36">
      <c r="A302" t="str">
        <f t="shared" si="21"/>
        <v>Deep35301</v>
      </c>
      <c r="B302">
        <v>301</v>
      </c>
      <c r="C302">
        <v>2</v>
      </c>
      <c r="D302">
        <v>1</v>
      </c>
      <c r="E302">
        <v>2022</v>
      </c>
      <c r="F302" s="1">
        <f t="shared" si="22"/>
        <v>44563</v>
      </c>
      <c r="G302" s="1" t="s">
        <v>316</v>
      </c>
      <c r="H302" s="2">
        <v>44778</v>
      </c>
      <c r="I302" t="s">
        <v>26</v>
      </c>
      <c r="J302">
        <v>5</v>
      </c>
      <c r="K302">
        <v>15871.42</v>
      </c>
      <c r="L302" t="s">
        <v>321</v>
      </c>
      <c r="M302">
        <v>35</v>
      </c>
      <c r="N302" t="s">
        <v>21</v>
      </c>
      <c r="O302" s="3" t="s">
        <v>22</v>
      </c>
      <c r="P302" t="s">
        <v>33</v>
      </c>
      <c r="Q302" t="s">
        <v>30</v>
      </c>
      <c r="R302">
        <v>5</v>
      </c>
      <c r="S302" t="s">
        <v>34</v>
      </c>
      <c r="T302" s="4">
        <f t="shared" si="23"/>
        <v>79357.100000000006</v>
      </c>
      <c r="U302" s="4" t="str">
        <f t="shared" si="24"/>
        <v>Good</v>
      </c>
      <c r="V302" s="4" t="str">
        <f t="shared" si="25"/>
        <v>Average</v>
      </c>
      <c r="W302" s="4"/>
      <c r="X302" s="4"/>
      <c r="AJ302" s="4"/>
    </row>
    <row r="303" spans="1:36">
      <c r="A303" t="str">
        <f t="shared" si="21"/>
        <v>Anit51302</v>
      </c>
      <c r="B303">
        <v>302</v>
      </c>
      <c r="C303">
        <v>2</v>
      </c>
      <c r="D303">
        <v>1</v>
      </c>
      <c r="E303">
        <v>2022</v>
      </c>
      <c r="F303" s="1">
        <f t="shared" si="22"/>
        <v>44563</v>
      </c>
      <c r="G303" s="1" t="s">
        <v>316</v>
      </c>
      <c r="H303" s="2">
        <v>44779</v>
      </c>
      <c r="I303" t="s">
        <v>38</v>
      </c>
      <c r="J303">
        <v>4</v>
      </c>
      <c r="K303">
        <v>44569.56</v>
      </c>
      <c r="L303" t="s">
        <v>322</v>
      </c>
      <c r="M303">
        <v>51</v>
      </c>
      <c r="N303" t="s">
        <v>61</v>
      </c>
      <c r="O303" s="3" t="s">
        <v>22</v>
      </c>
      <c r="P303" t="s">
        <v>117</v>
      </c>
      <c r="Q303" t="s">
        <v>30</v>
      </c>
      <c r="R303">
        <v>5</v>
      </c>
      <c r="S303" t="s">
        <v>99</v>
      </c>
      <c r="T303" s="4">
        <f t="shared" si="23"/>
        <v>178278.24</v>
      </c>
      <c r="U303" s="4" t="str">
        <f t="shared" si="24"/>
        <v>Good</v>
      </c>
      <c r="V303" s="4" t="str">
        <f t="shared" si="25"/>
        <v>Good</v>
      </c>
      <c r="W303" s="4"/>
      <c r="X303" s="4"/>
      <c r="AJ303" s="4"/>
    </row>
    <row r="304" spans="1:36">
      <c r="A304" t="str">
        <f t="shared" si="21"/>
        <v>Anit40303</v>
      </c>
      <c r="B304">
        <v>303</v>
      </c>
      <c r="C304">
        <v>3</v>
      </c>
      <c r="D304">
        <v>1</v>
      </c>
      <c r="E304">
        <v>2022</v>
      </c>
      <c r="F304" s="1">
        <f t="shared" si="22"/>
        <v>44564</v>
      </c>
      <c r="G304" s="1" t="s">
        <v>316</v>
      </c>
      <c r="H304" s="2">
        <v>44780</v>
      </c>
      <c r="I304" t="s">
        <v>38</v>
      </c>
      <c r="J304">
        <v>8</v>
      </c>
      <c r="K304">
        <v>43220.67</v>
      </c>
      <c r="L304" t="s">
        <v>168</v>
      </c>
      <c r="M304">
        <v>40</v>
      </c>
      <c r="N304" t="s">
        <v>21</v>
      </c>
      <c r="O304" s="3" t="s">
        <v>22</v>
      </c>
      <c r="P304" t="s">
        <v>137</v>
      </c>
      <c r="Q304" t="s">
        <v>30</v>
      </c>
      <c r="R304">
        <v>5</v>
      </c>
      <c r="S304" t="s">
        <v>42</v>
      </c>
      <c r="T304" s="4">
        <f t="shared" si="23"/>
        <v>345765.36</v>
      </c>
      <c r="U304" s="4" t="str">
        <f t="shared" si="24"/>
        <v>Good</v>
      </c>
      <c r="V304" s="4" t="str">
        <f t="shared" si="25"/>
        <v>Excellent</v>
      </c>
      <c r="W304" s="4"/>
      <c r="X304" s="4"/>
      <c r="AJ304" s="4"/>
    </row>
    <row r="305" spans="1:36">
      <c r="A305" t="str">
        <f t="shared" si="21"/>
        <v>Raje18304</v>
      </c>
      <c r="B305">
        <v>304</v>
      </c>
      <c r="C305">
        <v>3</v>
      </c>
      <c r="D305">
        <v>1</v>
      </c>
      <c r="E305">
        <v>2022</v>
      </c>
      <c r="F305" s="1">
        <f t="shared" si="22"/>
        <v>44564</v>
      </c>
      <c r="G305" s="1" t="s">
        <v>316</v>
      </c>
      <c r="H305" s="2">
        <v>44781</v>
      </c>
      <c r="I305" t="s">
        <v>38</v>
      </c>
      <c r="J305">
        <v>4</v>
      </c>
      <c r="K305">
        <v>21303.1</v>
      </c>
      <c r="L305" t="s">
        <v>323</v>
      </c>
      <c r="M305">
        <v>18</v>
      </c>
      <c r="N305" t="s">
        <v>36</v>
      </c>
      <c r="O305" s="3" t="s">
        <v>22</v>
      </c>
      <c r="P305" t="s">
        <v>29</v>
      </c>
      <c r="Q305" t="s">
        <v>30</v>
      </c>
      <c r="R305">
        <v>5</v>
      </c>
      <c r="S305" t="s">
        <v>48</v>
      </c>
      <c r="T305" s="4">
        <f t="shared" si="23"/>
        <v>85212.4</v>
      </c>
      <c r="U305" s="4" t="str">
        <f t="shared" si="24"/>
        <v>Good</v>
      </c>
      <c r="V305" s="4" t="str">
        <f t="shared" si="25"/>
        <v>Average</v>
      </c>
      <c r="W305" s="4"/>
      <c r="X305" s="4"/>
      <c r="AJ305" s="4"/>
    </row>
    <row r="306" spans="1:36">
      <c r="A306" t="str">
        <f t="shared" si="21"/>
        <v>Adit27305</v>
      </c>
      <c r="B306">
        <v>305</v>
      </c>
      <c r="C306">
        <v>3</v>
      </c>
      <c r="D306">
        <v>1</v>
      </c>
      <c r="E306">
        <v>2022</v>
      </c>
      <c r="F306" s="1">
        <f t="shared" si="22"/>
        <v>44564</v>
      </c>
      <c r="G306" s="1" t="s">
        <v>316</v>
      </c>
      <c r="H306" s="2">
        <v>44782</v>
      </c>
      <c r="I306" t="s">
        <v>38</v>
      </c>
      <c r="J306">
        <v>2</v>
      </c>
      <c r="K306">
        <v>13374.8</v>
      </c>
      <c r="L306" t="s">
        <v>324</v>
      </c>
      <c r="M306">
        <v>27</v>
      </c>
      <c r="N306" t="s">
        <v>36</v>
      </c>
      <c r="O306" s="3" t="s">
        <v>22</v>
      </c>
      <c r="P306" t="s">
        <v>114</v>
      </c>
      <c r="Q306" t="s">
        <v>56</v>
      </c>
      <c r="R306">
        <v>5</v>
      </c>
      <c r="S306" t="s">
        <v>42</v>
      </c>
      <c r="T306" s="4">
        <f t="shared" si="23"/>
        <v>26749.599999999999</v>
      </c>
      <c r="U306" s="4" t="str">
        <f t="shared" si="24"/>
        <v>Good</v>
      </c>
      <c r="V306" s="4" t="str">
        <f t="shared" si="25"/>
        <v>Low</v>
      </c>
      <c r="W306" s="4"/>
      <c r="X306" s="4"/>
      <c r="AJ306" s="4"/>
    </row>
    <row r="307" spans="1:36">
      <c r="A307" t="str">
        <f t="shared" si="21"/>
        <v>Suni18306</v>
      </c>
      <c r="B307">
        <v>306</v>
      </c>
      <c r="C307">
        <v>3</v>
      </c>
      <c r="D307">
        <v>1</v>
      </c>
      <c r="E307">
        <v>2022</v>
      </c>
      <c r="F307" s="1">
        <f t="shared" si="22"/>
        <v>44564</v>
      </c>
      <c r="G307" s="1" t="s">
        <v>316</v>
      </c>
      <c r="H307" s="2">
        <v>44783</v>
      </c>
      <c r="I307" t="s">
        <v>49</v>
      </c>
      <c r="J307">
        <v>3</v>
      </c>
      <c r="K307">
        <v>14842.51</v>
      </c>
      <c r="L307" t="s">
        <v>131</v>
      </c>
      <c r="M307">
        <v>18</v>
      </c>
      <c r="N307" t="s">
        <v>36</v>
      </c>
      <c r="O307" s="3" t="s">
        <v>22</v>
      </c>
      <c r="P307" t="s">
        <v>33</v>
      </c>
      <c r="Q307" t="s">
        <v>56</v>
      </c>
      <c r="R307">
        <v>5</v>
      </c>
      <c r="S307" t="s">
        <v>88</v>
      </c>
      <c r="T307" s="4">
        <f t="shared" si="23"/>
        <v>44527.53</v>
      </c>
      <c r="U307" s="4" t="str">
        <f t="shared" si="24"/>
        <v>Good</v>
      </c>
      <c r="V307" s="4" t="str">
        <f t="shared" si="25"/>
        <v>Low</v>
      </c>
      <c r="W307" s="4"/>
      <c r="X307" s="4"/>
      <c r="AJ307" s="4"/>
    </row>
    <row r="308" spans="1:36">
      <c r="A308" t="str">
        <f t="shared" si="21"/>
        <v>Isha55307</v>
      </c>
      <c r="B308">
        <v>307</v>
      </c>
      <c r="C308">
        <v>4</v>
      </c>
      <c r="D308">
        <v>1</v>
      </c>
      <c r="E308">
        <v>2022</v>
      </c>
      <c r="F308" s="1">
        <f t="shared" si="22"/>
        <v>44565</v>
      </c>
      <c r="G308" s="1" t="s">
        <v>316</v>
      </c>
      <c r="H308" s="2">
        <v>44784</v>
      </c>
      <c r="I308" t="s">
        <v>49</v>
      </c>
      <c r="J308">
        <v>6</v>
      </c>
      <c r="K308">
        <v>69566.259999999995</v>
      </c>
      <c r="L308" t="s">
        <v>325</v>
      </c>
      <c r="M308">
        <v>55</v>
      </c>
      <c r="N308" t="s">
        <v>61</v>
      </c>
      <c r="O308" s="3" t="s">
        <v>22</v>
      </c>
      <c r="P308" t="s">
        <v>29</v>
      </c>
      <c r="Q308" t="s">
        <v>24</v>
      </c>
      <c r="R308">
        <v>5</v>
      </c>
      <c r="S308" t="s">
        <v>88</v>
      </c>
      <c r="T308" s="4">
        <f t="shared" si="23"/>
        <v>417397.55999999994</v>
      </c>
      <c r="U308" s="4" t="str">
        <f t="shared" si="24"/>
        <v>Good</v>
      </c>
      <c r="V308" s="4" t="str">
        <f t="shared" si="25"/>
        <v>Excellent</v>
      </c>
      <c r="W308" s="4"/>
      <c r="X308" s="4"/>
      <c r="AJ308" s="4"/>
    </row>
    <row r="309" spans="1:36">
      <c r="A309" t="str">
        <f t="shared" si="21"/>
        <v>Bhav56308</v>
      </c>
      <c r="B309">
        <v>308</v>
      </c>
      <c r="C309">
        <v>4</v>
      </c>
      <c r="D309">
        <v>1</v>
      </c>
      <c r="E309">
        <v>2022</v>
      </c>
      <c r="F309" s="1">
        <f t="shared" si="22"/>
        <v>44565</v>
      </c>
      <c r="G309" s="1" t="s">
        <v>316</v>
      </c>
      <c r="H309" s="2">
        <v>44785</v>
      </c>
      <c r="I309" t="s">
        <v>19</v>
      </c>
      <c r="J309">
        <v>8</v>
      </c>
      <c r="K309">
        <v>57015.03</v>
      </c>
      <c r="L309" t="s">
        <v>326</v>
      </c>
      <c r="M309">
        <v>56</v>
      </c>
      <c r="N309" t="s">
        <v>61</v>
      </c>
      <c r="O309" s="3" t="s">
        <v>22</v>
      </c>
      <c r="P309" t="s">
        <v>117</v>
      </c>
      <c r="Q309" t="s">
        <v>56</v>
      </c>
      <c r="R309">
        <v>5</v>
      </c>
      <c r="S309" t="s">
        <v>37</v>
      </c>
      <c r="T309" s="4">
        <f t="shared" si="23"/>
        <v>456120.24</v>
      </c>
      <c r="U309" s="4" t="str">
        <f t="shared" si="24"/>
        <v>Good</v>
      </c>
      <c r="V309" s="4" t="str">
        <f t="shared" si="25"/>
        <v>Excellent</v>
      </c>
      <c r="W309" s="4"/>
      <c r="X309" s="4"/>
      <c r="AJ309" s="4"/>
    </row>
    <row r="310" spans="1:36">
      <c r="A310" t="str">
        <f t="shared" si="21"/>
        <v>Vino26309</v>
      </c>
      <c r="B310">
        <v>309</v>
      </c>
      <c r="C310">
        <v>4</v>
      </c>
      <c r="D310">
        <v>1</v>
      </c>
      <c r="E310">
        <v>2022</v>
      </c>
      <c r="F310" s="1">
        <f t="shared" si="22"/>
        <v>44565</v>
      </c>
      <c r="G310" s="1" t="s">
        <v>316</v>
      </c>
      <c r="H310" s="2">
        <v>44786</v>
      </c>
      <c r="I310" t="s">
        <v>43</v>
      </c>
      <c r="J310">
        <v>8</v>
      </c>
      <c r="K310">
        <v>65319.25</v>
      </c>
      <c r="L310" t="s">
        <v>113</v>
      </c>
      <c r="M310">
        <v>26</v>
      </c>
      <c r="N310" t="s">
        <v>36</v>
      </c>
      <c r="O310" s="3" t="s">
        <v>22</v>
      </c>
      <c r="P310" t="s">
        <v>117</v>
      </c>
      <c r="Q310" t="s">
        <v>56</v>
      </c>
      <c r="R310">
        <v>4</v>
      </c>
      <c r="S310" t="s">
        <v>95</v>
      </c>
      <c r="T310" s="4">
        <f t="shared" si="23"/>
        <v>522554</v>
      </c>
      <c r="U310" s="4" t="str">
        <f t="shared" si="24"/>
        <v>Good</v>
      </c>
      <c r="V310" s="4" t="str">
        <f t="shared" si="25"/>
        <v>Excellent</v>
      </c>
      <c r="W310" s="4"/>
      <c r="X310" s="4"/>
      <c r="AJ310" s="4"/>
    </row>
    <row r="311" spans="1:36">
      <c r="A311" t="str">
        <f t="shared" si="21"/>
        <v>Anit48310</v>
      </c>
      <c r="B311">
        <v>310</v>
      </c>
      <c r="C311">
        <v>5</v>
      </c>
      <c r="D311">
        <v>1</v>
      </c>
      <c r="E311">
        <v>2022</v>
      </c>
      <c r="F311" s="1">
        <f t="shared" si="22"/>
        <v>44566</v>
      </c>
      <c r="G311" s="1" t="s">
        <v>316</v>
      </c>
      <c r="H311" s="2">
        <v>44787</v>
      </c>
      <c r="I311" t="s">
        <v>38</v>
      </c>
      <c r="J311">
        <v>9</v>
      </c>
      <c r="K311">
        <v>21703.279999999999</v>
      </c>
      <c r="L311" t="s">
        <v>327</v>
      </c>
      <c r="M311">
        <v>48</v>
      </c>
      <c r="N311" t="s">
        <v>61</v>
      </c>
      <c r="O311" s="3" t="s">
        <v>28</v>
      </c>
      <c r="P311" t="s">
        <v>110</v>
      </c>
      <c r="Q311" t="s">
        <v>24</v>
      </c>
      <c r="R311">
        <v>3</v>
      </c>
      <c r="S311" t="s">
        <v>42</v>
      </c>
      <c r="T311" s="4">
        <f t="shared" si="23"/>
        <v>195329.52</v>
      </c>
      <c r="U311" s="4" t="str">
        <f t="shared" si="24"/>
        <v>Average</v>
      </c>
      <c r="V311" s="4" t="str">
        <f t="shared" si="25"/>
        <v>Good</v>
      </c>
      <c r="W311" s="4"/>
      <c r="X311" s="4"/>
      <c r="AJ311" s="4"/>
    </row>
    <row r="312" spans="1:36">
      <c r="A312" t="str">
        <f t="shared" si="21"/>
        <v>Radh24311</v>
      </c>
      <c r="B312">
        <v>311</v>
      </c>
      <c r="C312">
        <v>5</v>
      </c>
      <c r="D312">
        <v>1</v>
      </c>
      <c r="E312">
        <v>2022</v>
      </c>
      <c r="F312" s="1">
        <f t="shared" si="22"/>
        <v>44566</v>
      </c>
      <c r="G312" s="1" t="s">
        <v>316</v>
      </c>
      <c r="H312" s="2">
        <v>44788</v>
      </c>
      <c r="I312" t="s">
        <v>19</v>
      </c>
      <c r="J312">
        <v>7</v>
      </c>
      <c r="K312">
        <v>67634.11</v>
      </c>
      <c r="L312" t="s">
        <v>328</v>
      </c>
      <c r="M312">
        <v>24</v>
      </c>
      <c r="N312" t="s">
        <v>36</v>
      </c>
      <c r="O312" s="3" t="s">
        <v>22</v>
      </c>
      <c r="P312" t="s">
        <v>33</v>
      </c>
      <c r="Q312" t="s">
        <v>24</v>
      </c>
      <c r="R312">
        <v>5</v>
      </c>
      <c r="S312" t="s">
        <v>84</v>
      </c>
      <c r="T312" s="4">
        <f t="shared" si="23"/>
        <v>473438.77</v>
      </c>
      <c r="U312" s="4" t="str">
        <f t="shared" si="24"/>
        <v>Good</v>
      </c>
      <c r="V312" s="4" t="str">
        <f t="shared" si="25"/>
        <v>Excellent</v>
      </c>
      <c r="W312" s="4"/>
      <c r="X312" s="4"/>
      <c r="AJ312" s="4"/>
    </row>
    <row r="313" spans="1:36">
      <c r="A313" t="str">
        <f t="shared" si="21"/>
        <v>Tanu34312</v>
      </c>
      <c r="B313">
        <v>312</v>
      </c>
      <c r="C313">
        <v>5</v>
      </c>
      <c r="D313">
        <v>1</v>
      </c>
      <c r="E313">
        <v>2022</v>
      </c>
      <c r="F313" s="1">
        <f t="shared" si="22"/>
        <v>44566</v>
      </c>
      <c r="G313" s="1" t="s">
        <v>316</v>
      </c>
      <c r="H313" s="2">
        <v>44789</v>
      </c>
      <c r="I313" t="s">
        <v>43</v>
      </c>
      <c r="J313">
        <v>2</v>
      </c>
      <c r="K313">
        <v>18559.259999999998</v>
      </c>
      <c r="L313" t="s">
        <v>329</v>
      </c>
      <c r="M313">
        <v>34</v>
      </c>
      <c r="N313" t="s">
        <v>21</v>
      </c>
      <c r="O313" s="3" t="s">
        <v>22</v>
      </c>
      <c r="P313" t="s">
        <v>29</v>
      </c>
      <c r="Q313" t="s">
        <v>41</v>
      </c>
      <c r="R313">
        <v>5</v>
      </c>
      <c r="S313" t="s">
        <v>57</v>
      </c>
      <c r="T313" s="4">
        <f t="shared" si="23"/>
        <v>37118.519999999997</v>
      </c>
      <c r="U313" s="4" t="str">
        <f t="shared" si="24"/>
        <v>Good</v>
      </c>
      <c r="V313" s="4" t="str">
        <f t="shared" si="25"/>
        <v>Low</v>
      </c>
      <c r="W313" s="4"/>
      <c r="X313" s="4"/>
      <c r="AJ313" s="4"/>
    </row>
    <row r="314" spans="1:36">
      <c r="A314" t="str">
        <f t="shared" si="21"/>
        <v>Nami52313</v>
      </c>
      <c r="B314">
        <v>313</v>
      </c>
      <c r="C314">
        <v>5</v>
      </c>
      <c r="D314">
        <v>1</v>
      </c>
      <c r="E314">
        <v>2022</v>
      </c>
      <c r="F314" s="1">
        <f t="shared" si="22"/>
        <v>44566</v>
      </c>
      <c r="G314" s="1" t="s">
        <v>316</v>
      </c>
      <c r="H314" s="2">
        <v>44790</v>
      </c>
      <c r="I314" t="s">
        <v>26</v>
      </c>
      <c r="J314">
        <v>8</v>
      </c>
      <c r="K314">
        <v>40544.910000000003</v>
      </c>
      <c r="L314" t="s">
        <v>330</v>
      </c>
      <c r="M314">
        <v>52</v>
      </c>
      <c r="N314" t="s">
        <v>61</v>
      </c>
      <c r="O314" s="3" t="s">
        <v>22</v>
      </c>
      <c r="P314" t="s">
        <v>45</v>
      </c>
      <c r="Q314" t="s">
        <v>24</v>
      </c>
      <c r="R314">
        <v>5</v>
      </c>
      <c r="S314" t="s">
        <v>31</v>
      </c>
      <c r="T314" s="4">
        <f t="shared" si="23"/>
        <v>324359.28000000003</v>
      </c>
      <c r="U314" s="4" t="str">
        <f t="shared" si="24"/>
        <v>Good</v>
      </c>
      <c r="V314" s="4" t="str">
        <f t="shared" si="25"/>
        <v>Excellent</v>
      </c>
      <c r="W314" s="4"/>
      <c r="X314" s="4"/>
      <c r="AJ314" s="4"/>
    </row>
    <row r="315" spans="1:36">
      <c r="A315" t="str">
        <f t="shared" si="21"/>
        <v>Roha54314</v>
      </c>
      <c r="B315">
        <v>314</v>
      </c>
      <c r="C315">
        <v>6</v>
      </c>
      <c r="D315">
        <v>1</v>
      </c>
      <c r="E315">
        <v>2022</v>
      </c>
      <c r="F315" s="1">
        <f t="shared" si="22"/>
        <v>44567</v>
      </c>
      <c r="G315" s="1" t="s">
        <v>316</v>
      </c>
      <c r="H315" s="2">
        <v>44791</v>
      </c>
      <c r="I315" t="s">
        <v>49</v>
      </c>
      <c r="J315">
        <v>7</v>
      </c>
      <c r="K315">
        <v>59781.74</v>
      </c>
      <c r="L315" t="s">
        <v>331</v>
      </c>
      <c r="M315">
        <v>54</v>
      </c>
      <c r="N315" t="s">
        <v>61</v>
      </c>
      <c r="O315" s="3" t="s">
        <v>22</v>
      </c>
      <c r="P315" t="s">
        <v>23</v>
      </c>
      <c r="Q315" t="s">
        <v>56</v>
      </c>
      <c r="R315">
        <v>5</v>
      </c>
      <c r="S315" t="s">
        <v>88</v>
      </c>
      <c r="T315" s="4">
        <f t="shared" si="23"/>
        <v>418472.18</v>
      </c>
      <c r="U315" s="4" t="str">
        <f t="shared" si="24"/>
        <v>Good</v>
      </c>
      <c r="V315" s="4" t="str">
        <f t="shared" si="25"/>
        <v>Excellent</v>
      </c>
      <c r="W315" s="4"/>
      <c r="X315" s="4"/>
      <c r="AJ315" s="4"/>
    </row>
    <row r="316" spans="1:36">
      <c r="A316" t="str">
        <f t="shared" si="21"/>
        <v>Priy35315</v>
      </c>
      <c r="B316">
        <v>315</v>
      </c>
      <c r="C316">
        <v>6</v>
      </c>
      <c r="D316">
        <v>1</v>
      </c>
      <c r="E316">
        <v>2022</v>
      </c>
      <c r="F316" s="1">
        <f t="shared" si="22"/>
        <v>44567</v>
      </c>
      <c r="G316" s="1" t="s">
        <v>316</v>
      </c>
      <c r="H316" s="2">
        <v>44792</v>
      </c>
      <c r="I316" t="s">
        <v>43</v>
      </c>
      <c r="J316">
        <v>8</v>
      </c>
      <c r="K316">
        <v>30988.2</v>
      </c>
      <c r="L316" t="s">
        <v>332</v>
      </c>
      <c r="M316">
        <v>35</v>
      </c>
      <c r="N316" t="s">
        <v>21</v>
      </c>
      <c r="O316" s="3" t="s">
        <v>22</v>
      </c>
      <c r="P316" t="s">
        <v>132</v>
      </c>
      <c r="Q316" t="s">
        <v>30</v>
      </c>
      <c r="R316">
        <v>5</v>
      </c>
      <c r="S316" t="s">
        <v>95</v>
      </c>
      <c r="T316" s="4">
        <f t="shared" si="23"/>
        <v>247905.6</v>
      </c>
      <c r="U316" s="4" t="str">
        <f t="shared" si="24"/>
        <v>Good</v>
      </c>
      <c r="V316" s="4" t="str">
        <f t="shared" si="25"/>
        <v>Excellent</v>
      </c>
      <c r="W316" s="4"/>
      <c r="X316" s="4"/>
      <c r="AJ316" s="4"/>
    </row>
    <row r="317" spans="1:36">
      <c r="A317" t="str">
        <f t="shared" si="21"/>
        <v>Anit50316</v>
      </c>
      <c r="B317">
        <v>316</v>
      </c>
      <c r="C317">
        <v>6</v>
      </c>
      <c r="D317">
        <v>1</v>
      </c>
      <c r="E317">
        <v>2022</v>
      </c>
      <c r="F317" s="1">
        <f t="shared" si="22"/>
        <v>44567</v>
      </c>
      <c r="G317" s="1" t="s">
        <v>316</v>
      </c>
      <c r="H317" s="2">
        <v>44793</v>
      </c>
      <c r="I317" t="s">
        <v>26</v>
      </c>
      <c r="J317">
        <v>3</v>
      </c>
      <c r="K317">
        <v>35489.71</v>
      </c>
      <c r="L317" t="s">
        <v>333</v>
      </c>
      <c r="M317">
        <v>50</v>
      </c>
      <c r="N317" t="s">
        <v>61</v>
      </c>
      <c r="O317" s="3" t="s">
        <v>22</v>
      </c>
      <c r="P317" t="s">
        <v>51</v>
      </c>
      <c r="Q317" t="s">
        <v>24</v>
      </c>
      <c r="R317">
        <v>5</v>
      </c>
      <c r="S317" t="s">
        <v>31</v>
      </c>
      <c r="T317" s="4">
        <f t="shared" si="23"/>
        <v>106469.13</v>
      </c>
      <c r="U317" s="4" t="str">
        <f t="shared" si="24"/>
        <v>Good</v>
      </c>
      <c r="V317" s="4" t="str">
        <f t="shared" si="25"/>
        <v>Good</v>
      </c>
      <c r="W317" s="4"/>
      <c r="X317" s="4"/>
      <c r="AJ317" s="4"/>
    </row>
    <row r="318" spans="1:36">
      <c r="A318" t="str">
        <f t="shared" si="21"/>
        <v>Vive21317</v>
      </c>
      <c r="B318">
        <v>317</v>
      </c>
      <c r="C318">
        <v>6</v>
      </c>
      <c r="D318">
        <v>1</v>
      </c>
      <c r="E318">
        <v>2022</v>
      </c>
      <c r="F318" s="1">
        <f t="shared" si="22"/>
        <v>44567</v>
      </c>
      <c r="G318" s="1" t="s">
        <v>316</v>
      </c>
      <c r="H318" s="2">
        <v>44794</v>
      </c>
      <c r="I318" t="s">
        <v>43</v>
      </c>
      <c r="J318">
        <v>7</v>
      </c>
      <c r="K318">
        <v>17691.11</v>
      </c>
      <c r="L318" t="s">
        <v>334</v>
      </c>
      <c r="M318">
        <v>21</v>
      </c>
      <c r="N318" t="s">
        <v>36</v>
      </c>
      <c r="O318" s="3" t="s">
        <v>22</v>
      </c>
      <c r="P318" t="s">
        <v>59</v>
      </c>
      <c r="Q318" t="s">
        <v>41</v>
      </c>
      <c r="R318">
        <v>4</v>
      </c>
      <c r="S318" t="s">
        <v>95</v>
      </c>
      <c r="T318" s="4">
        <f t="shared" si="23"/>
        <v>123837.77</v>
      </c>
      <c r="U318" s="4" t="str">
        <f t="shared" si="24"/>
        <v>Good</v>
      </c>
      <c r="V318" s="4" t="str">
        <f t="shared" si="25"/>
        <v>Good</v>
      </c>
      <c r="W318" s="4"/>
      <c r="X318" s="4"/>
      <c r="AJ318" s="4"/>
    </row>
    <row r="319" spans="1:36">
      <c r="A319" t="str">
        <f t="shared" si="21"/>
        <v>Anan40318</v>
      </c>
      <c r="B319">
        <v>318</v>
      </c>
      <c r="C319">
        <v>7</v>
      </c>
      <c r="D319">
        <v>1</v>
      </c>
      <c r="E319">
        <v>2022</v>
      </c>
      <c r="F319" s="1">
        <f t="shared" si="22"/>
        <v>44568</v>
      </c>
      <c r="G319" s="1" t="s">
        <v>316</v>
      </c>
      <c r="H319" s="2">
        <v>44795</v>
      </c>
      <c r="I319" t="s">
        <v>49</v>
      </c>
      <c r="J319">
        <v>9</v>
      </c>
      <c r="K319">
        <v>17375.310000000001</v>
      </c>
      <c r="L319" t="s">
        <v>335</v>
      </c>
      <c r="M319">
        <v>40</v>
      </c>
      <c r="N319" t="s">
        <v>21</v>
      </c>
      <c r="O319" s="3" t="s">
        <v>22</v>
      </c>
      <c r="P319" t="s">
        <v>110</v>
      </c>
      <c r="Q319" t="s">
        <v>56</v>
      </c>
      <c r="R319">
        <v>5</v>
      </c>
      <c r="S319" t="s">
        <v>102</v>
      </c>
      <c r="T319" s="4">
        <f t="shared" si="23"/>
        <v>156377.79</v>
      </c>
      <c r="U319" s="4" t="str">
        <f t="shared" si="24"/>
        <v>Good</v>
      </c>
      <c r="V319" s="4" t="str">
        <f t="shared" si="25"/>
        <v>Good</v>
      </c>
      <c r="W319" s="4"/>
      <c r="X319" s="4"/>
      <c r="AJ319" s="4"/>
    </row>
    <row r="320" spans="1:36">
      <c r="A320" t="str">
        <f t="shared" si="21"/>
        <v>Jyot28319</v>
      </c>
      <c r="B320">
        <v>319</v>
      </c>
      <c r="C320">
        <v>7</v>
      </c>
      <c r="D320">
        <v>1</v>
      </c>
      <c r="E320">
        <v>2022</v>
      </c>
      <c r="F320" s="1">
        <f t="shared" si="22"/>
        <v>44568</v>
      </c>
      <c r="G320" s="1" t="s">
        <v>316</v>
      </c>
      <c r="H320" s="2">
        <v>44796</v>
      </c>
      <c r="I320" t="s">
        <v>49</v>
      </c>
      <c r="J320">
        <v>3</v>
      </c>
      <c r="K320">
        <v>47174.09</v>
      </c>
      <c r="L320" t="s">
        <v>103</v>
      </c>
      <c r="M320">
        <v>28</v>
      </c>
      <c r="N320" t="s">
        <v>36</v>
      </c>
      <c r="O320" s="3" t="s">
        <v>28</v>
      </c>
      <c r="P320" t="s">
        <v>29</v>
      </c>
      <c r="Q320" t="s">
        <v>41</v>
      </c>
      <c r="R320">
        <v>3</v>
      </c>
      <c r="S320" t="s">
        <v>52</v>
      </c>
      <c r="T320" s="4">
        <f t="shared" si="23"/>
        <v>141522.26999999999</v>
      </c>
      <c r="U320" s="4" t="str">
        <f t="shared" si="24"/>
        <v>Average</v>
      </c>
      <c r="V320" s="4" t="str">
        <f t="shared" si="25"/>
        <v>Good</v>
      </c>
      <c r="W320" s="4"/>
      <c r="X320" s="4"/>
      <c r="AJ320" s="4"/>
    </row>
    <row r="321" spans="1:36">
      <c r="A321" t="str">
        <f t="shared" si="21"/>
        <v>Kris26320</v>
      </c>
      <c r="B321">
        <v>320</v>
      </c>
      <c r="C321">
        <v>7</v>
      </c>
      <c r="D321">
        <v>1</v>
      </c>
      <c r="E321">
        <v>2022</v>
      </c>
      <c r="F321" s="1">
        <f t="shared" si="22"/>
        <v>44568</v>
      </c>
      <c r="G321" s="1" t="s">
        <v>316</v>
      </c>
      <c r="H321" s="2">
        <v>44797</v>
      </c>
      <c r="I321" t="s">
        <v>19</v>
      </c>
      <c r="J321">
        <v>6</v>
      </c>
      <c r="K321">
        <v>50531.94</v>
      </c>
      <c r="L321" t="s">
        <v>194</v>
      </c>
      <c r="M321">
        <v>26</v>
      </c>
      <c r="N321" t="s">
        <v>36</v>
      </c>
      <c r="O321" s="3" t="s">
        <v>22</v>
      </c>
      <c r="P321" t="s">
        <v>77</v>
      </c>
      <c r="Q321" t="s">
        <v>41</v>
      </c>
      <c r="R321">
        <v>4</v>
      </c>
      <c r="S321" t="s">
        <v>84</v>
      </c>
      <c r="T321" s="4">
        <f t="shared" si="23"/>
        <v>303191.64</v>
      </c>
      <c r="U321" s="4" t="str">
        <f t="shared" si="24"/>
        <v>Good</v>
      </c>
      <c r="V321" s="4" t="str">
        <f t="shared" si="25"/>
        <v>Excellent</v>
      </c>
      <c r="W321" s="4"/>
      <c r="X321" s="4"/>
      <c r="AJ321" s="4"/>
    </row>
    <row r="322" spans="1:36">
      <c r="A322" t="str">
        <f t="shared" ref="A322:A385" si="26">LEFT(L322,4)&amp;M322&amp;B322</f>
        <v>Sneh47321</v>
      </c>
      <c r="B322">
        <v>321</v>
      </c>
      <c r="C322">
        <v>7</v>
      </c>
      <c r="D322">
        <v>1</v>
      </c>
      <c r="E322">
        <v>2022</v>
      </c>
      <c r="F322" s="1">
        <f t="shared" si="22"/>
        <v>44568</v>
      </c>
      <c r="G322" s="1" t="s">
        <v>316</v>
      </c>
      <c r="H322" s="2">
        <v>44798</v>
      </c>
      <c r="I322" t="s">
        <v>38</v>
      </c>
      <c r="J322">
        <v>2</v>
      </c>
      <c r="K322">
        <v>56639.95</v>
      </c>
      <c r="L322" t="s">
        <v>336</v>
      </c>
      <c r="M322">
        <v>47</v>
      </c>
      <c r="N322" t="s">
        <v>61</v>
      </c>
      <c r="O322" s="3" t="s">
        <v>28</v>
      </c>
      <c r="P322" t="s">
        <v>23</v>
      </c>
      <c r="Q322" t="s">
        <v>56</v>
      </c>
      <c r="R322">
        <v>3</v>
      </c>
      <c r="S322" t="s">
        <v>42</v>
      </c>
      <c r="T322" s="4">
        <f t="shared" si="23"/>
        <v>113279.9</v>
      </c>
      <c r="U322" s="4" t="str">
        <f t="shared" si="24"/>
        <v>Average</v>
      </c>
      <c r="V322" s="4" t="str">
        <f t="shared" si="25"/>
        <v>Good</v>
      </c>
      <c r="W322" s="4"/>
      <c r="X322" s="4"/>
      <c r="AJ322" s="4"/>
    </row>
    <row r="323" spans="1:36">
      <c r="A323" t="str">
        <f t="shared" si="26"/>
        <v>Bhav25322</v>
      </c>
      <c r="B323">
        <v>322</v>
      </c>
      <c r="C323">
        <v>8</v>
      </c>
      <c r="D323">
        <v>1</v>
      </c>
      <c r="E323">
        <v>2022</v>
      </c>
      <c r="F323" s="1">
        <f t="shared" ref="F323:F386" si="27">DATE(E323,D323,C323)</f>
        <v>44569</v>
      </c>
      <c r="G323" s="1" t="s">
        <v>316</v>
      </c>
      <c r="H323" s="2">
        <v>44799</v>
      </c>
      <c r="I323" t="s">
        <v>43</v>
      </c>
      <c r="J323">
        <v>2</v>
      </c>
      <c r="K323">
        <v>43400.92</v>
      </c>
      <c r="L323" t="s">
        <v>337</v>
      </c>
      <c r="M323">
        <v>25</v>
      </c>
      <c r="N323" t="s">
        <v>36</v>
      </c>
      <c r="O323" s="3" t="s">
        <v>22</v>
      </c>
      <c r="P323" t="s">
        <v>59</v>
      </c>
      <c r="Q323" t="s">
        <v>41</v>
      </c>
      <c r="R323">
        <v>5</v>
      </c>
      <c r="S323" t="s">
        <v>95</v>
      </c>
      <c r="T323" s="4">
        <f t="shared" ref="T323:T386" si="28">J323*K323</f>
        <v>86801.84</v>
      </c>
      <c r="U323" s="4" t="str">
        <f t="shared" ref="U323:U386" si="29">IF(R323&gt;=4,"Good","Average")</f>
        <v>Good</v>
      </c>
      <c r="V323" s="4" t="str">
        <f t="shared" ref="V323:V386" si="30">IF(T323&gt;200000,"Excellent",IF(T323&gt;100000,"Good",IF(T323&gt;50000,"Average","Low")))</f>
        <v>Average</v>
      </c>
      <c r="W323" s="4"/>
      <c r="X323" s="4"/>
      <c r="AJ323" s="4"/>
    </row>
    <row r="324" spans="1:36">
      <c r="A324" t="str">
        <f t="shared" si="26"/>
        <v>Rame57323</v>
      </c>
      <c r="B324">
        <v>323</v>
      </c>
      <c r="C324">
        <v>8</v>
      </c>
      <c r="D324">
        <v>1</v>
      </c>
      <c r="E324">
        <v>2022</v>
      </c>
      <c r="F324" s="1">
        <f t="shared" si="27"/>
        <v>44569</v>
      </c>
      <c r="G324" s="1" t="s">
        <v>316</v>
      </c>
      <c r="H324" s="2">
        <v>44800</v>
      </c>
      <c r="I324" t="s">
        <v>43</v>
      </c>
      <c r="J324">
        <v>5</v>
      </c>
      <c r="K324">
        <v>48745.56</v>
      </c>
      <c r="L324" t="s">
        <v>338</v>
      </c>
      <c r="M324">
        <v>57</v>
      </c>
      <c r="N324" t="s">
        <v>61</v>
      </c>
      <c r="O324" s="3" t="s">
        <v>22</v>
      </c>
      <c r="P324" t="s">
        <v>45</v>
      </c>
      <c r="Q324" t="s">
        <v>56</v>
      </c>
      <c r="R324">
        <v>5</v>
      </c>
      <c r="S324" t="s">
        <v>46</v>
      </c>
      <c r="T324" s="4">
        <f t="shared" si="28"/>
        <v>243727.8</v>
      </c>
      <c r="U324" s="4" t="str">
        <f t="shared" si="29"/>
        <v>Good</v>
      </c>
      <c r="V324" s="4" t="str">
        <f t="shared" si="30"/>
        <v>Excellent</v>
      </c>
      <c r="W324" s="4"/>
      <c r="X324" s="4"/>
      <c r="AJ324" s="4"/>
    </row>
    <row r="325" spans="1:36">
      <c r="A325" t="str">
        <f t="shared" si="26"/>
        <v>Yoge22324</v>
      </c>
      <c r="B325">
        <v>324</v>
      </c>
      <c r="C325">
        <v>8</v>
      </c>
      <c r="D325">
        <v>1</v>
      </c>
      <c r="E325">
        <v>2022</v>
      </c>
      <c r="F325" s="1">
        <f t="shared" si="27"/>
        <v>44569</v>
      </c>
      <c r="G325" s="1" t="s">
        <v>316</v>
      </c>
      <c r="H325" s="2">
        <v>44801</v>
      </c>
      <c r="I325" t="s">
        <v>26</v>
      </c>
      <c r="J325">
        <v>5</v>
      </c>
      <c r="K325">
        <v>10811.04</v>
      </c>
      <c r="L325" t="s">
        <v>54</v>
      </c>
      <c r="M325">
        <v>22</v>
      </c>
      <c r="N325" t="s">
        <v>36</v>
      </c>
      <c r="O325" s="3" t="s">
        <v>22</v>
      </c>
      <c r="P325" t="s">
        <v>110</v>
      </c>
      <c r="Q325" t="s">
        <v>41</v>
      </c>
      <c r="R325">
        <v>4</v>
      </c>
      <c r="S325" t="s">
        <v>67</v>
      </c>
      <c r="T325" s="4">
        <f t="shared" si="28"/>
        <v>54055.200000000004</v>
      </c>
      <c r="U325" s="4" t="str">
        <f t="shared" si="29"/>
        <v>Good</v>
      </c>
      <c r="V325" s="4" t="str">
        <f t="shared" si="30"/>
        <v>Average</v>
      </c>
      <c r="W325" s="4"/>
      <c r="X325" s="4"/>
      <c r="AJ325" s="4"/>
    </row>
    <row r="326" spans="1:36">
      <c r="A326" t="str">
        <f t="shared" si="26"/>
        <v>Anja29325</v>
      </c>
      <c r="B326">
        <v>325</v>
      </c>
      <c r="C326">
        <v>8</v>
      </c>
      <c r="D326">
        <v>1</v>
      </c>
      <c r="E326">
        <v>2022</v>
      </c>
      <c r="F326" s="1">
        <f t="shared" si="27"/>
        <v>44569</v>
      </c>
      <c r="G326" s="1" t="s">
        <v>316</v>
      </c>
      <c r="H326" s="2">
        <v>44802</v>
      </c>
      <c r="I326" t="s">
        <v>49</v>
      </c>
      <c r="J326">
        <v>7</v>
      </c>
      <c r="K326">
        <v>19730.240000000002</v>
      </c>
      <c r="L326" t="s">
        <v>339</v>
      </c>
      <c r="M326">
        <v>29</v>
      </c>
      <c r="N326" t="s">
        <v>36</v>
      </c>
      <c r="O326" s="3" t="s">
        <v>28</v>
      </c>
      <c r="P326" t="s">
        <v>66</v>
      </c>
      <c r="Q326" t="s">
        <v>30</v>
      </c>
      <c r="R326">
        <v>3</v>
      </c>
      <c r="S326" t="s">
        <v>88</v>
      </c>
      <c r="T326" s="4">
        <f t="shared" si="28"/>
        <v>138111.68000000002</v>
      </c>
      <c r="U326" s="4" t="str">
        <f t="shared" si="29"/>
        <v>Average</v>
      </c>
      <c r="V326" s="4" t="str">
        <f t="shared" si="30"/>
        <v>Good</v>
      </c>
      <c r="W326" s="4"/>
      <c r="X326" s="4"/>
      <c r="AJ326" s="4"/>
    </row>
    <row r="327" spans="1:36">
      <c r="A327" t="str">
        <f t="shared" si="26"/>
        <v>Pras18326</v>
      </c>
      <c r="B327">
        <v>326</v>
      </c>
      <c r="C327">
        <v>9</v>
      </c>
      <c r="D327">
        <v>1</v>
      </c>
      <c r="E327">
        <v>2022</v>
      </c>
      <c r="F327" s="1">
        <f t="shared" si="27"/>
        <v>44570</v>
      </c>
      <c r="G327" s="1" t="s">
        <v>316</v>
      </c>
      <c r="H327" s="2">
        <v>44803</v>
      </c>
      <c r="I327" t="s">
        <v>43</v>
      </c>
      <c r="J327">
        <v>2</v>
      </c>
      <c r="K327">
        <v>69094.89</v>
      </c>
      <c r="L327" t="s">
        <v>203</v>
      </c>
      <c r="M327">
        <v>18</v>
      </c>
      <c r="N327" t="s">
        <v>36</v>
      </c>
      <c r="O327" s="3" t="s">
        <v>22</v>
      </c>
      <c r="P327" t="s">
        <v>70</v>
      </c>
      <c r="Q327" t="s">
        <v>24</v>
      </c>
      <c r="R327">
        <v>5</v>
      </c>
      <c r="S327" t="s">
        <v>46</v>
      </c>
      <c r="T327" s="4">
        <f t="shared" si="28"/>
        <v>138189.78</v>
      </c>
      <c r="U327" s="4" t="str">
        <f t="shared" si="29"/>
        <v>Good</v>
      </c>
      <c r="V327" s="4" t="str">
        <f t="shared" si="30"/>
        <v>Good</v>
      </c>
      <c r="W327" s="4"/>
      <c r="X327" s="4"/>
      <c r="AJ327" s="4"/>
    </row>
    <row r="328" spans="1:36">
      <c r="A328" t="str">
        <f t="shared" si="26"/>
        <v>Pooj32327</v>
      </c>
      <c r="B328">
        <v>327</v>
      </c>
      <c r="C328">
        <v>9</v>
      </c>
      <c r="D328">
        <v>1</v>
      </c>
      <c r="E328">
        <v>2022</v>
      </c>
      <c r="F328" s="1">
        <f t="shared" si="27"/>
        <v>44570</v>
      </c>
      <c r="G328" s="1" t="s">
        <v>316</v>
      </c>
      <c r="H328" s="2">
        <v>44804</v>
      </c>
      <c r="I328" t="s">
        <v>49</v>
      </c>
      <c r="J328">
        <v>7</v>
      </c>
      <c r="K328">
        <v>14559.61</v>
      </c>
      <c r="L328" t="s">
        <v>340</v>
      </c>
      <c r="M328">
        <v>32</v>
      </c>
      <c r="N328" t="s">
        <v>21</v>
      </c>
      <c r="O328" s="3" t="s">
        <v>22</v>
      </c>
      <c r="P328" t="s">
        <v>132</v>
      </c>
      <c r="Q328" t="s">
        <v>30</v>
      </c>
      <c r="R328">
        <v>5</v>
      </c>
      <c r="S328" t="s">
        <v>102</v>
      </c>
      <c r="T328" s="4">
        <f t="shared" si="28"/>
        <v>101917.27</v>
      </c>
      <c r="U328" s="4" t="str">
        <f t="shared" si="29"/>
        <v>Good</v>
      </c>
      <c r="V328" s="4" t="str">
        <f t="shared" si="30"/>
        <v>Good</v>
      </c>
      <c r="W328" s="4"/>
      <c r="X328" s="4"/>
      <c r="AJ328" s="4"/>
    </row>
    <row r="329" spans="1:36">
      <c r="A329" t="str">
        <f t="shared" si="26"/>
        <v>Neet42328</v>
      </c>
      <c r="B329">
        <v>328</v>
      </c>
      <c r="C329">
        <v>9</v>
      </c>
      <c r="D329">
        <v>1</v>
      </c>
      <c r="E329">
        <v>2022</v>
      </c>
      <c r="F329" s="1">
        <f t="shared" si="27"/>
        <v>44570</v>
      </c>
      <c r="G329" s="1" t="s">
        <v>316</v>
      </c>
      <c r="H329" s="2">
        <v>44805</v>
      </c>
      <c r="I329" t="s">
        <v>43</v>
      </c>
      <c r="J329">
        <v>5</v>
      </c>
      <c r="K329">
        <v>50727.29</v>
      </c>
      <c r="L329" t="s">
        <v>341</v>
      </c>
      <c r="M329">
        <v>42</v>
      </c>
      <c r="N329" t="s">
        <v>21</v>
      </c>
      <c r="O329" s="3" t="s">
        <v>22</v>
      </c>
      <c r="P329" t="s">
        <v>29</v>
      </c>
      <c r="Q329" t="s">
        <v>30</v>
      </c>
      <c r="R329">
        <v>5</v>
      </c>
      <c r="S329" t="s">
        <v>95</v>
      </c>
      <c r="T329" s="4">
        <f t="shared" si="28"/>
        <v>253636.45</v>
      </c>
      <c r="U329" s="4" t="str">
        <f t="shared" si="29"/>
        <v>Good</v>
      </c>
      <c r="V329" s="4" t="str">
        <f t="shared" si="30"/>
        <v>Excellent</v>
      </c>
      <c r="W329" s="4"/>
      <c r="X329" s="4"/>
      <c r="AJ329" s="4"/>
    </row>
    <row r="330" spans="1:36">
      <c r="A330" t="str">
        <f t="shared" si="26"/>
        <v>Kris35329</v>
      </c>
      <c r="B330">
        <v>329</v>
      </c>
      <c r="C330">
        <v>9</v>
      </c>
      <c r="D330">
        <v>1</v>
      </c>
      <c r="E330">
        <v>2022</v>
      </c>
      <c r="F330" s="1">
        <f t="shared" si="27"/>
        <v>44570</v>
      </c>
      <c r="G330" s="1" t="s">
        <v>316</v>
      </c>
      <c r="H330" s="2">
        <v>44806</v>
      </c>
      <c r="I330" t="s">
        <v>19</v>
      </c>
      <c r="J330">
        <v>6</v>
      </c>
      <c r="K330">
        <v>20564.96</v>
      </c>
      <c r="L330" t="s">
        <v>266</v>
      </c>
      <c r="M330">
        <v>35</v>
      </c>
      <c r="N330" t="s">
        <v>21</v>
      </c>
      <c r="O330" s="3" t="s">
        <v>22</v>
      </c>
      <c r="P330" t="s">
        <v>66</v>
      </c>
      <c r="Q330" t="s">
        <v>41</v>
      </c>
      <c r="R330">
        <v>5</v>
      </c>
      <c r="S330" t="s">
        <v>37</v>
      </c>
      <c r="T330" s="4">
        <f t="shared" si="28"/>
        <v>123389.75999999999</v>
      </c>
      <c r="U330" s="4" t="str">
        <f t="shared" si="29"/>
        <v>Good</v>
      </c>
      <c r="V330" s="4" t="str">
        <f t="shared" si="30"/>
        <v>Good</v>
      </c>
      <c r="W330" s="4"/>
      <c r="X330" s="4"/>
      <c r="AJ330" s="4"/>
    </row>
    <row r="331" spans="1:36">
      <c r="A331" t="str">
        <f t="shared" si="26"/>
        <v>Reen55330</v>
      </c>
      <c r="B331">
        <v>330</v>
      </c>
      <c r="C331">
        <v>10</v>
      </c>
      <c r="D331">
        <v>1</v>
      </c>
      <c r="E331">
        <v>2022</v>
      </c>
      <c r="F331" s="1">
        <f t="shared" si="27"/>
        <v>44571</v>
      </c>
      <c r="G331" s="1" t="s">
        <v>316</v>
      </c>
      <c r="H331" s="2">
        <v>44807</v>
      </c>
      <c r="I331" t="s">
        <v>38</v>
      </c>
      <c r="J331">
        <v>8</v>
      </c>
      <c r="K331">
        <v>53003.12</v>
      </c>
      <c r="L331" t="s">
        <v>342</v>
      </c>
      <c r="M331">
        <v>55</v>
      </c>
      <c r="N331" t="s">
        <v>61</v>
      </c>
      <c r="O331" s="3" t="s">
        <v>22</v>
      </c>
      <c r="P331" t="s">
        <v>29</v>
      </c>
      <c r="Q331" t="s">
        <v>24</v>
      </c>
      <c r="R331">
        <v>5</v>
      </c>
      <c r="S331" t="s">
        <v>48</v>
      </c>
      <c r="T331" s="4">
        <f t="shared" si="28"/>
        <v>424024.96</v>
      </c>
      <c r="U331" s="4" t="str">
        <f t="shared" si="29"/>
        <v>Good</v>
      </c>
      <c r="V331" s="4" t="str">
        <f t="shared" si="30"/>
        <v>Excellent</v>
      </c>
      <c r="W331" s="4"/>
      <c r="X331" s="4"/>
      <c r="AJ331" s="4"/>
    </row>
    <row r="332" spans="1:36">
      <c r="A332" t="str">
        <f t="shared" si="26"/>
        <v>Rame59331</v>
      </c>
      <c r="B332">
        <v>331</v>
      </c>
      <c r="C332">
        <v>10</v>
      </c>
      <c r="D332">
        <v>1</v>
      </c>
      <c r="E332">
        <v>2022</v>
      </c>
      <c r="F332" s="1">
        <f t="shared" si="27"/>
        <v>44571</v>
      </c>
      <c r="G332" s="1" t="s">
        <v>316</v>
      </c>
      <c r="H332" s="2">
        <v>44808</v>
      </c>
      <c r="I332" t="s">
        <v>43</v>
      </c>
      <c r="J332">
        <v>4</v>
      </c>
      <c r="K332">
        <v>52359.42</v>
      </c>
      <c r="L332" t="s">
        <v>343</v>
      </c>
      <c r="M332">
        <v>59</v>
      </c>
      <c r="N332" t="s">
        <v>61</v>
      </c>
      <c r="O332" s="3" t="s">
        <v>28</v>
      </c>
      <c r="P332" t="s">
        <v>33</v>
      </c>
      <c r="Q332" t="s">
        <v>24</v>
      </c>
      <c r="R332">
        <v>3</v>
      </c>
      <c r="S332" t="s">
        <v>95</v>
      </c>
      <c r="T332" s="4">
        <f t="shared" si="28"/>
        <v>209437.68</v>
      </c>
      <c r="U332" s="4" t="str">
        <f t="shared" si="29"/>
        <v>Average</v>
      </c>
      <c r="V332" s="4" t="str">
        <f t="shared" si="30"/>
        <v>Excellent</v>
      </c>
      <c r="W332" s="4"/>
      <c r="X332" s="4"/>
      <c r="AJ332" s="4"/>
    </row>
    <row r="333" spans="1:36">
      <c r="A333" t="str">
        <f t="shared" si="26"/>
        <v>Hari43332</v>
      </c>
      <c r="B333">
        <v>332</v>
      </c>
      <c r="C333">
        <v>10</v>
      </c>
      <c r="D333">
        <v>1</v>
      </c>
      <c r="E333">
        <v>2022</v>
      </c>
      <c r="F333" s="1">
        <f t="shared" si="27"/>
        <v>44571</v>
      </c>
      <c r="G333" s="1" t="s">
        <v>316</v>
      </c>
      <c r="H333" s="2">
        <v>44809</v>
      </c>
      <c r="I333" t="s">
        <v>49</v>
      </c>
      <c r="J333">
        <v>7</v>
      </c>
      <c r="K333">
        <v>24051.94</v>
      </c>
      <c r="L333" t="s">
        <v>344</v>
      </c>
      <c r="M333">
        <v>43</v>
      </c>
      <c r="N333" t="s">
        <v>21</v>
      </c>
      <c r="O333" s="3" t="s">
        <v>28</v>
      </c>
      <c r="P333" t="s">
        <v>33</v>
      </c>
      <c r="Q333" t="s">
        <v>24</v>
      </c>
      <c r="R333">
        <v>3</v>
      </c>
      <c r="S333" t="s">
        <v>88</v>
      </c>
      <c r="T333" s="4">
        <f t="shared" si="28"/>
        <v>168363.58</v>
      </c>
      <c r="U333" s="4" t="str">
        <f t="shared" si="29"/>
        <v>Average</v>
      </c>
      <c r="V333" s="4" t="str">
        <f t="shared" si="30"/>
        <v>Good</v>
      </c>
      <c r="W333" s="4"/>
      <c r="X333" s="4"/>
      <c r="AJ333" s="4"/>
    </row>
    <row r="334" spans="1:36">
      <c r="A334" t="str">
        <f t="shared" si="26"/>
        <v>Bina57333</v>
      </c>
      <c r="B334">
        <v>333</v>
      </c>
      <c r="C334">
        <v>10</v>
      </c>
      <c r="D334">
        <v>1</v>
      </c>
      <c r="E334">
        <v>2022</v>
      </c>
      <c r="F334" s="1">
        <f t="shared" si="27"/>
        <v>44571</v>
      </c>
      <c r="G334" s="1" t="s">
        <v>316</v>
      </c>
      <c r="H334" s="2">
        <v>44810</v>
      </c>
      <c r="I334" t="s">
        <v>19</v>
      </c>
      <c r="J334">
        <v>6</v>
      </c>
      <c r="K334">
        <v>26178.06</v>
      </c>
      <c r="L334" t="s">
        <v>345</v>
      </c>
      <c r="M334">
        <v>57</v>
      </c>
      <c r="N334" t="s">
        <v>61</v>
      </c>
      <c r="O334" s="3" t="s">
        <v>22</v>
      </c>
      <c r="P334" t="s">
        <v>33</v>
      </c>
      <c r="Q334" t="s">
        <v>41</v>
      </c>
      <c r="R334">
        <v>5</v>
      </c>
      <c r="S334" t="s">
        <v>25</v>
      </c>
      <c r="T334" s="4">
        <f t="shared" si="28"/>
        <v>157068.36000000002</v>
      </c>
      <c r="U334" s="4" t="str">
        <f t="shared" si="29"/>
        <v>Good</v>
      </c>
      <c r="V334" s="4" t="str">
        <f t="shared" si="30"/>
        <v>Good</v>
      </c>
      <c r="W334" s="4"/>
      <c r="X334" s="4"/>
      <c r="AJ334" s="4"/>
    </row>
    <row r="335" spans="1:36">
      <c r="A335" t="str">
        <f t="shared" si="26"/>
        <v>Suni20334</v>
      </c>
      <c r="B335">
        <v>334</v>
      </c>
      <c r="C335">
        <v>11</v>
      </c>
      <c r="D335">
        <v>1</v>
      </c>
      <c r="E335">
        <v>2022</v>
      </c>
      <c r="F335" s="1">
        <f t="shared" si="27"/>
        <v>44572</v>
      </c>
      <c r="G335" s="1" t="s">
        <v>316</v>
      </c>
      <c r="H335" s="2">
        <v>44811</v>
      </c>
      <c r="I335" t="s">
        <v>43</v>
      </c>
      <c r="J335">
        <v>2</v>
      </c>
      <c r="K335">
        <v>49286.239999999998</v>
      </c>
      <c r="L335" t="s">
        <v>346</v>
      </c>
      <c r="M335">
        <v>20</v>
      </c>
      <c r="N335" t="s">
        <v>36</v>
      </c>
      <c r="O335" s="3" t="s">
        <v>28</v>
      </c>
      <c r="P335" t="s">
        <v>29</v>
      </c>
      <c r="Q335" t="s">
        <v>30</v>
      </c>
      <c r="R335">
        <v>3</v>
      </c>
      <c r="S335" t="s">
        <v>95</v>
      </c>
      <c r="T335" s="4">
        <f t="shared" si="28"/>
        <v>98572.479999999996</v>
      </c>
      <c r="U335" s="4" t="str">
        <f t="shared" si="29"/>
        <v>Average</v>
      </c>
      <c r="V335" s="4" t="str">
        <f t="shared" si="30"/>
        <v>Average</v>
      </c>
      <c r="W335" s="4"/>
      <c r="X335" s="4"/>
      <c r="AJ335" s="4"/>
    </row>
    <row r="336" spans="1:36">
      <c r="A336" t="str">
        <f t="shared" si="26"/>
        <v>Navi39335</v>
      </c>
      <c r="B336">
        <v>335</v>
      </c>
      <c r="C336">
        <v>11</v>
      </c>
      <c r="D336">
        <v>1</v>
      </c>
      <c r="E336">
        <v>2022</v>
      </c>
      <c r="F336" s="1">
        <f t="shared" si="27"/>
        <v>44572</v>
      </c>
      <c r="G336" s="1" t="s">
        <v>316</v>
      </c>
      <c r="H336" s="2">
        <v>44812</v>
      </c>
      <c r="I336" t="s">
        <v>26</v>
      </c>
      <c r="J336">
        <v>8</v>
      </c>
      <c r="K336">
        <v>33405.160000000003</v>
      </c>
      <c r="L336" t="s">
        <v>347</v>
      </c>
      <c r="M336">
        <v>39</v>
      </c>
      <c r="N336" t="s">
        <v>21</v>
      </c>
      <c r="O336" s="3" t="s">
        <v>22</v>
      </c>
      <c r="P336" t="s">
        <v>114</v>
      </c>
      <c r="Q336" t="s">
        <v>56</v>
      </c>
      <c r="R336">
        <v>5</v>
      </c>
      <c r="S336" t="s">
        <v>31</v>
      </c>
      <c r="T336" s="4">
        <f t="shared" si="28"/>
        <v>267241.28000000003</v>
      </c>
      <c r="U336" s="4" t="str">
        <f t="shared" si="29"/>
        <v>Good</v>
      </c>
      <c r="V336" s="4" t="str">
        <f t="shared" si="30"/>
        <v>Excellent</v>
      </c>
      <c r="W336" s="4"/>
      <c r="X336" s="4"/>
      <c r="AJ336" s="4"/>
    </row>
    <row r="337" spans="1:36">
      <c r="A337" t="str">
        <f t="shared" si="26"/>
        <v>Kavi43336</v>
      </c>
      <c r="B337">
        <v>336</v>
      </c>
      <c r="C337">
        <v>11</v>
      </c>
      <c r="D337">
        <v>1</v>
      </c>
      <c r="E337">
        <v>2022</v>
      </c>
      <c r="F337" s="1">
        <f t="shared" si="27"/>
        <v>44572</v>
      </c>
      <c r="G337" s="1" t="s">
        <v>316</v>
      </c>
      <c r="H337" s="2">
        <v>44813</v>
      </c>
      <c r="I337" t="s">
        <v>38</v>
      </c>
      <c r="J337">
        <v>9</v>
      </c>
      <c r="K337">
        <v>21672.880000000001</v>
      </c>
      <c r="L337" t="s">
        <v>348</v>
      </c>
      <c r="M337">
        <v>43</v>
      </c>
      <c r="N337" t="s">
        <v>21</v>
      </c>
      <c r="O337" s="3" t="s">
        <v>22</v>
      </c>
      <c r="P337" t="s">
        <v>59</v>
      </c>
      <c r="Q337" t="s">
        <v>56</v>
      </c>
      <c r="R337">
        <v>5</v>
      </c>
      <c r="S337" t="s">
        <v>99</v>
      </c>
      <c r="T337" s="4">
        <f t="shared" si="28"/>
        <v>195055.92</v>
      </c>
      <c r="U337" s="4" t="str">
        <f t="shared" si="29"/>
        <v>Good</v>
      </c>
      <c r="V337" s="4" t="str">
        <f t="shared" si="30"/>
        <v>Good</v>
      </c>
      <c r="W337" s="4"/>
      <c r="X337" s="4"/>
      <c r="AJ337" s="4"/>
    </row>
    <row r="338" spans="1:36">
      <c r="A338" t="str">
        <f t="shared" si="26"/>
        <v>Priy36337</v>
      </c>
      <c r="B338">
        <v>337</v>
      </c>
      <c r="C338">
        <v>11</v>
      </c>
      <c r="D338">
        <v>1</v>
      </c>
      <c r="E338">
        <v>2022</v>
      </c>
      <c r="F338" s="1">
        <f t="shared" si="27"/>
        <v>44572</v>
      </c>
      <c r="G338" s="1" t="s">
        <v>316</v>
      </c>
      <c r="H338" s="2">
        <v>44814</v>
      </c>
      <c r="I338" t="s">
        <v>43</v>
      </c>
      <c r="J338">
        <v>5</v>
      </c>
      <c r="K338">
        <v>53900.78</v>
      </c>
      <c r="L338" t="s">
        <v>349</v>
      </c>
      <c r="M338">
        <v>36</v>
      </c>
      <c r="N338" t="s">
        <v>21</v>
      </c>
      <c r="O338" s="3" t="s">
        <v>22</v>
      </c>
      <c r="P338" t="s">
        <v>29</v>
      </c>
      <c r="Q338" t="s">
        <v>56</v>
      </c>
      <c r="R338">
        <v>5</v>
      </c>
      <c r="S338" t="s">
        <v>46</v>
      </c>
      <c r="T338" s="4">
        <f t="shared" si="28"/>
        <v>269503.90000000002</v>
      </c>
      <c r="U338" s="4" t="str">
        <f t="shared" si="29"/>
        <v>Good</v>
      </c>
      <c r="V338" s="4" t="str">
        <f t="shared" si="30"/>
        <v>Excellent</v>
      </c>
      <c r="W338" s="4"/>
      <c r="X338" s="4"/>
      <c r="AJ338" s="4"/>
    </row>
    <row r="339" spans="1:36">
      <c r="A339" t="str">
        <f t="shared" si="26"/>
        <v>Anan56338</v>
      </c>
      <c r="B339">
        <v>338</v>
      </c>
      <c r="C339">
        <v>12</v>
      </c>
      <c r="D339">
        <v>1</v>
      </c>
      <c r="E339">
        <v>2022</v>
      </c>
      <c r="F339" s="1">
        <f t="shared" si="27"/>
        <v>44573</v>
      </c>
      <c r="G339" s="1" t="s">
        <v>316</v>
      </c>
      <c r="H339" s="2">
        <v>44815</v>
      </c>
      <c r="I339" t="s">
        <v>19</v>
      </c>
      <c r="J339">
        <v>4</v>
      </c>
      <c r="K339">
        <v>19248.849999999999</v>
      </c>
      <c r="L339" t="s">
        <v>248</v>
      </c>
      <c r="M339">
        <v>56</v>
      </c>
      <c r="N339" t="s">
        <v>61</v>
      </c>
      <c r="O339" s="3" t="s">
        <v>22</v>
      </c>
      <c r="P339" t="s">
        <v>150</v>
      </c>
      <c r="Q339" t="s">
        <v>24</v>
      </c>
      <c r="R339">
        <v>5</v>
      </c>
      <c r="S339" t="s">
        <v>25</v>
      </c>
      <c r="T339" s="4">
        <f t="shared" si="28"/>
        <v>76995.399999999994</v>
      </c>
      <c r="U339" s="4" t="str">
        <f t="shared" si="29"/>
        <v>Good</v>
      </c>
      <c r="V339" s="4" t="str">
        <f t="shared" si="30"/>
        <v>Average</v>
      </c>
      <c r="W339" s="4"/>
      <c r="X339" s="4"/>
      <c r="AJ339" s="4"/>
    </row>
    <row r="340" spans="1:36">
      <c r="A340" t="str">
        <f t="shared" si="26"/>
        <v>Roha53339</v>
      </c>
      <c r="B340">
        <v>339</v>
      </c>
      <c r="C340">
        <v>12</v>
      </c>
      <c r="D340">
        <v>1</v>
      </c>
      <c r="E340">
        <v>2022</v>
      </c>
      <c r="F340" s="1">
        <f t="shared" si="27"/>
        <v>44573</v>
      </c>
      <c r="G340" s="1" t="s">
        <v>316</v>
      </c>
      <c r="H340" s="2">
        <v>44816</v>
      </c>
      <c r="I340" t="s">
        <v>26</v>
      </c>
      <c r="J340">
        <v>6</v>
      </c>
      <c r="K340">
        <v>61338.62</v>
      </c>
      <c r="L340" t="s">
        <v>350</v>
      </c>
      <c r="M340">
        <v>53</v>
      </c>
      <c r="N340" t="s">
        <v>61</v>
      </c>
      <c r="O340" s="3" t="s">
        <v>22</v>
      </c>
      <c r="P340" t="s">
        <v>137</v>
      </c>
      <c r="Q340" t="s">
        <v>56</v>
      </c>
      <c r="R340">
        <v>5</v>
      </c>
      <c r="S340" t="s">
        <v>31</v>
      </c>
      <c r="T340" s="4">
        <f t="shared" si="28"/>
        <v>368031.72000000003</v>
      </c>
      <c r="U340" s="4" t="str">
        <f t="shared" si="29"/>
        <v>Good</v>
      </c>
      <c r="V340" s="4" t="str">
        <f t="shared" si="30"/>
        <v>Excellent</v>
      </c>
      <c r="W340" s="4"/>
      <c r="X340" s="4"/>
      <c r="AJ340" s="4"/>
    </row>
    <row r="341" spans="1:36">
      <c r="A341" t="str">
        <f t="shared" si="26"/>
        <v>Deve38340</v>
      </c>
      <c r="B341">
        <v>340</v>
      </c>
      <c r="C341">
        <v>12</v>
      </c>
      <c r="D341">
        <v>1</v>
      </c>
      <c r="E341">
        <v>2022</v>
      </c>
      <c r="F341" s="1">
        <f t="shared" si="27"/>
        <v>44573</v>
      </c>
      <c r="G341" s="1" t="s">
        <v>316</v>
      </c>
      <c r="H341" s="2">
        <v>44817</v>
      </c>
      <c r="I341" t="s">
        <v>19</v>
      </c>
      <c r="J341">
        <v>8</v>
      </c>
      <c r="K341">
        <v>40880.17</v>
      </c>
      <c r="L341" t="s">
        <v>351</v>
      </c>
      <c r="M341">
        <v>38</v>
      </c>
      <c r="N341" t="s">
        <v>21</v>
      </c>
      <c r="O341" s="3" t="s">
        <v>28</v>
      </c>
      <c r="P341" t="s">
        <v>29</v>
      </c>
      <c r="Q341" t="s">
        <v>30</v>
      </c>
      <c r="R341">
        <v>3</v>
      </c>
      <c r="S341" t="s">
        <v>84</v>
      </c>
      <c r="T341" s="4">
        <f t="shared" si="28"/>
        <v>327041.36</v>
      </c>
      <c r="U341" s="4" t="str">
        <f t="shared" si="29"/>
        <v>Average</v>
      </c>
      <c r="V341" s="4" t="str">
        <f t="shared" si="30"/>
        <v>Excellent</v>
      </c>
      <c r="W341" s="4"/>
      <c r="X341" s="4"/>
      <c r="AJ341" s="4"/>
    </row>
    <row r="342" spans="1:36">
      <c r="A342" t="str">
        <f t="shared" si="26"/>
        <v>Reen58341</v>
      </c>
      <c r="B342">
        <v>341</v>
      </c>
      <c r="C342">
        <v>12</v>
      </c>
      <c r="D342">
        <v>1</v>
      </c>
      <c r="E342">
        <v>2022</v>
      </c>
      <c r="F342" s="1">
        <f t="shared" si="27"/>
        <v>44573</v>
      </c>
      <c r="G342" s="1" t="s">
        <v>316</v>
      </c>
      <c r="H342" s="2">
        <v>44818</v>
      </c>
      <c r="I342" t="s">
        <v>19</v>
      </c>
      <c r="J342">
        <v>3</v>
      </c>
      <c r="K342">
        <v>16342.04</v>
      </c>
      <c r="L342" t="s">
        <v>352</v>
      </c>
      <c r="M342">
        <v>58</v>
      </c>
      <c r="N342" t="s">
        <v>61</v>
      </c>
      <c r="O342" s="3" t="s">
        <v>28</v>
      </c>
      <c r="P342" t="s">
        <v>29</v>
      </c>
      <c r="Q342" t="s">
        <v>56</v>
      </c>
      <c r="R342">
        <v>3</v>
      </c>
      <c r="S342" t="s">
        <v>37</v>
      </c>
      <c r="T342" s="4">
        <f t="shared" si="28"/>
        <v>49026.12</v>
      </c>
      <c r="U342" s="4" t="str">
        <f t="shared" si="29"/>
        <v>Average</v>
      </c>
      <c r="V342" s="4" t="str">
        <f t="shared" si="30"/>
        <v>Low</v>
      </c>
      <c r="W342" s="4"/>
      <c r="X342" s="4"/>
      <c r="AJ342" s="4"/>
    </row>
    <row r="343" spans="1:36">
      <c r="A343" t="str">
        <f t="shared" si="26"/>
        <v>Pank43342</v>
      </c>
      <c r="B343">
        <v>342</v>
      </c>
      <c r="C343">
        <v>13</v>
      </c>
      <c r="D343">
        <v>1</v>
      </c>
      <c r="E343">
        <v>2022</v>
      </c>
      <c r="F343" s="1">
        <f t="shared" si="27"/>
        <v>44574</v>
      </c>
      <c r="G343" s="1" t="s">
        <v>316</v>
      </c>
      <c r="H343" s="2">
        <v>44819</v>
      </c>
      <c r="I343" t="s">
        <v>26</v>
      </c>
      <c r="J343">
        <v>1</v>
      </c>
      <c r="K343">
        <v>51644.34</v>
      </c>
      <c r="L343" t="s">
        <v>353</v>
      </c>
      <c r="M343">
        <v>43</v>
      </c>
      <c r="N343" t="s">
        <v>21</v>
      </c>
      <c r="O343" s="3" t="s">
        <v>22</v>
      </c>
      <c r="P343" t="s">
        <v>29</v>
      </c>
      <c r="Q343" t="s">
        <v>24</v>
      </c>
      <c r="R343">
        <v>5</v>
      </c>
      <c r="S343" t="s">
        <v>34</v>
      </c>
      <c r="T343" s="4">
        <f t="shared" si="28"/>
        <v>51644.34</v>
      </c>
      <c r="U343" s="4" t="str">
        <f t="shared" si="29"/>
        <v>Good</v>
      </c>
      <c r="V343" s="4" t="str">
        <f t="shared" si="30"/>
        <v>Average</v>
      </c>
      <c r="W343" s="4"/>
      <c r="X343" s="4"/>
      <c r="AJ343" s="4"/>
    </row>
    <row r="344" spans="1:36">
      <c r="A344" t="str">
        <f t="shared" si="26"/>
        <v>Pooj30343</v>
      </c>
      <c r="B344">
        <v>343</v>
      </c>
      <c r="C344">
        <v>13</v>
      </c>
      <c r="D344">
        <v>1</v>
      </c>
      <c r="E344">
        <v>2022</v>
      </c>
      <c r="F344" s="1">
        <f t="shared" si="27"/>
        <v>44574</v>
      </c>
      <c r="G344" s="1" t="s">
        <v>316</v>
      </c>
      <c r="H344" s="2">
        <v>44820</v>
      </c>
      <c r="I344" t="s">
        <v>19</v>
      </c>
      <c r="J344">
        <v>4</v>
      </c>
      <c r="K344">
        <v>41149.78</v>
      </c>
      <c r="L344" t="s">
        <v>220</v>
      </c>
      <c r="M344">
        <v>30</v>
      </c>
      <c r="N344" t="s">
        <v>36</v>
      </c>
      <c r="O344" s="3" t="s">
        <v>22</v>
      </c>
      <c r="P344" t="s">
        <v>29</v>
      </c>
      <c r="Q344" t="s">
        <v>24</v>
      </c>
      <c r="R344">
        <v>5</v>
      </c>
      <c r="S344" t="s">
        <v>37</v>
      </c>
      <c r="T344" s="4">
        <f t="shared" si="28"/>
        <v>164599.12</v>
      </c>
      <c r="U344" s="4" t="str">
        <f t="shared" si="29"/>
        <v>Good</v>
      </c>
      <c r="V344" s="4" t="str">
        <f t="shared" si="30"/>
        <v>Good</v>
      </c>
      <c r="W344" s="4"/>
      <c r="X344" s="4"/>
      <c r="AJ344" s="4"/>
    </row>
    <row r="345" spans="1:36">
      <c r="A345" t="str">
        <f t="shared" si="26"/>
        <v>Priy53344</v>
      </c>
      <c r="B345">
        <v>344</v>
      </c>
      <c r="C345">
        <v>13</v>
      </c>
      <c r="D345">
        <v>1</v>
      </c>
      <c r="E345">
        <v>2022</v>
      </c>
      <c r="F345" s="1">
        <f t="shared" si="27"/>
        <v>44574</v>
      </c>
      <c r="G345" s="1" t="s">
        <v>316</v>
      </c>
      <c r="H345" s="2">
        <v>44821</v>
      </c>
      <c r="I345" t="s">
        <v>26</v>
      </c>
      <c r="J345">
        <v>4</v>
      </c>
      <c r="K345">
        <v>27883.45</v>
      </c>
      <c r="L345" t="s">
        <v>354</v>
      </c>
      <c r="M345">
        <v>53</v>
      </c>
      <c r="N345" t="s">
        <v>61</v>
      </c>
      <c r="O345" s="3" t="s">
        <v>22</v>
      </c>
      <c r="P345" t="s">
        <v>132</v>
      </c>
      <c r="Q345" t="s">
        <v>56</v>
      </c>
      <c r="R345">
        <v>5</v>
      </c>
      <c r="S345" t="s">
        <v>67</v>
      </c>
      <c r="T345" s="4">
        <f t="shared" si="28"/>
        <v>111533.8</v>
      </c>
      <c r="U345" s="4" t="str">
        <f t="shared" si="29"/>
        <v>Good</v>
      </c>
      <c r="V345" s="4" t="str">
        <f t="shared" si="30"/>
        <v>Good</v>
      </c>
      <c r="W345" s="4"/>
      <c r="X345" s="4"/>
      <c r="AJ345" s="4"/>
    </row>
    <row r="346" spans="1:36">
      <c r="A346" t="str">
        <f t="shared" si="26"/>
        <v>Bhav41345</v>
      </c>
      <c r="B346">
        <v>345</v>
      </c>
      <c r="C346">
        <v>13</v>
      </c>
      <c r="D346">
        <v>1</v>
      </c>
      <c r="E346">
        <v>2022</v>
      </c>
      <c r="F346" s="1">
        <f t="shared" si="27"/>
        <v>44574</v>
      </c>
      <c r="G346" s="1" t="s">
        <v>316</v>
      </c>
      <c r="H346" s="2">
        <v>44822</v>
      </c>
      <c r="I346" t="s">
        <v>43</v>
      </c>
      <c r="J346">
        <v>1</v>
      </c>
      <c r="K346">
        <v>35352.36</v>
      </c>
      <c r="L346" t="s">
        <v>355</v>
      </c>
      <c r="M346">
        <v>41</v>
      </c>
      <c r="N346" t="s">
        <v>21</v>
      </c>
      <c r="O346" s="3" t="s">
        <v>22</v>
      </c>
      <c r="P346" t="s">
        <v>29</v>
      </c>
      <c r="Q346" t="s">
        <v>24</v>
      </c>
      <c r="R346">
        <v>5</v>
      </c>
      <c r="S346" t="s">
        <v>46</v>
      </c>
      <c r="T346" s="4">
        <f t="shared" si="28"/>
        <v>35352.36</v>
      </c>
      <c r="U346" s="4" t="str">
        <f t="shared" si="29"/>
        <v>Good</v>
      </c>
      <c r="V346" s="4" t="str">
        <f t="shared" si="30"/>
        <v>Low</v>
      </c>
      <c r="W346" s="4"/>
      <c r="X346" s="4"/>
      <c r="AJ346" s="4"/>
    </row>
    <row r="347" spans="1:36">
      <c r="A347" t="str">
        <f t="shared" si="26"/>
        <v>Pooj58346</v>
      </c>
      <c r="B347">
        <v>346</v>
      </c>
      <c r="C347">
        <v>14</v>
      </c>
      <c r="D347">
        <v>1</v>
      </c>
      <c r="E347">
        <v>2022</v>
      </c>
      <c r="F347" s="1">
        <f t="shared" si="27"/>
        <v>44575</v>
      </c>
      <c r="G347" s="1" t="s">
        <v>316</v>
      </c>
      <c r="H347" s="2">
        <v>44823</v>
      </c>
      <c r="I347" t="s">
        <v>26</v>
      </c>
      <c r="J347">
        <v>9</v>
      </c>
      <c r="K347">
        <v>27900.26</v>
      </c>
      <c r="L347" t="s">
        <v>356</v>
      </c>
      <c r="M347">
        <v>58</v>
      </c>
      <c r="N347" t="s">
        <v>61</v>
      </c>
      <c r="O347" s="3" t="s">
        <v>22</v>
      </c>
      <c r="P347" t="s">
        <v>29</v>
      </c>
      <c r="Q347" t="s">
        <v>56</v>
      </c>
      <c r="R347">
        <v>4</v>
      </c>
      <c r="S347" t="s">
        <v>34</v>
      </c>
      <c r="T347" s="4">
        <f t="shared" si="28"/>
        <v>251102.34</v>
      </c>
      <c r="U347" s="4" t="str">
        <f t="shared" si="29"/>
        <v>Good</v>
      </c>
      <c r="V347" s="4" t="str">
        <f t="shared" si="30"/>
        <v>Excellent</v>
      </c>
      <c r="W347" s="4"/>
      <c r="X347" s="4"/>
      <c r="AJ347" s="4"/>
    </row>
    <row r="348" spans="1:36">
      <c r="A348" t="str">
        <f t="shared" si="26"/>
        <v>Mano43347</v>
      </c>
      <c r="B348">
        <v>347</v>
      </c>
      <c r="C348">
        <v>14</v>
      </c>
      <c r="D348">
        <v>1</v>
      </c>
      <c r="E348">
        <v>2022</v>
      </c>
      <c r="F348" s="1">
        <f t="shared" si="27"/>
        <v>44575</v>
      </c>
      <c r="G348" s="1" t="s">
        <v>316</v>
      </c>
      <c r="H348" s="2">
        <v>44824</v>
      </c>
      <c r="I348" t="s">
        <v>26</v>
      </c>
      <c r="J348">
        <v>3</v>
      </c>
      <c r="K348">
        <v>25781.55</v>
      </c>
      <c r="L348" t="s">
        <v>357</v>
      </c>
      <c r="M348">
        <v>43</v>
      </c>
      <c r="N348" t="s">
        <v>21</v>
      </c>
      <c r="O348" s="3" t="s">
        <v>22</v>
      </c>
      <c r="P348" t="s">
        <v>45</v>
      </c>
      <c r="Q348" t="s">
        <v>24</v>
      </c>
      <c r="R348">
        <v>4</v>
      </c>
      <c r="S348" t="s">
        <v>34</v>
      </c>
      <c r="T348" s="4">
        <f t="shared" si="28"/>
        <v>77344.649999999994</v>
      </c>
      <c r="U348" s="4" t="str">
        <f t="shared" si="29"/>
        <v>Good</v>
      </c>
      <c r="V348" s="4" t="str">
        <f t="shared" si="30"/>
        <v>Average</v>
      </c>
      <c r="W348" s="4"/>
      <c r="X348" s="4"/>
      <c r="AJ348" s="4"/>
    </row>
    <row r="349" spans="1:36">
      <c r="A349" t="str">
        <f t="shared" si="26"/>
        <v>Lata38348</v>
      </c>
      <c r="B349">
        <v>348</v>
      </c>
      <c r="C349">
        <v>14</v>
      </c>
      <c r="D349">
        <v>1</v>
      </c>
      <c r="E349">
        <v>2022</v>
      </c>
      <c r="F349" s="1">
        <f t="shared" si="27"/>
        <v>44575</v>
      </c>
      <c r="G349" s="1" t="s">
        <v>316</v>
      </c>
      <c r="H349" s="2">
        <v>44825</v>
      </c>
      <c r="I349" t="s">
        <v>38</v>
      </c>
      <c r="J349">
        <v>5</v>
      </c>
      <c r="K349">
        <v>19816.509999999998</v>
      </c>
      <c r="L349" t="s">
        <v>314</v>
      </c>
      <c r="M349">
        <v>38</v>
      </c>
      <c r="N349" t="s">
        <v>21</v>
      </c>
      <c r="O349" s="3" t="s">
        <v>28</v>
      </c>
      <c r="P349" t="s">
        <v>150</v>
      </c>
      <c r="Q349" t="s">
        <v>41</v>
      </c>
      <c r="R349">
        <v>3</v>
      </c>
      <c r="S349" t="s">
        <v>99</v>
      </c>
      <c r="T349" s="4">
        <f t="shared" si="28"/>
        <v>99082.549999999988</v>
      </c>
      <c r="U349" s="4" t="str">
        <f t="shared" si="29"/>
        <v>Average</v>
      </c>
      <c r="V349" s="4" t="str">
        <f t="shared" si="30"/>
        <v>Average</v>
      </c>
      <c r="W349" s="4"/>
      <c r="X349" s="4"/>
      <c r="AJ349" s="4"/>
    </row>
    <row r="350" spans="1:36">
      <c r="A350" t="str">
        <f t="shared" si="26"/>
        <v>Priy35349</v>
      </c>
      <c r="B350">
        <v>349</v>
      </c>
      <c r="C350">
        <v>14</v>
      </c>
      <c r="D350">
        <v>1</v>
      </c>
      <c r="E350">
        <v>2022</v>
      </c>
      <c r="F350" s="1">
        <f t="shared" si="27"/>
        <v>44575</v>
      </c>
      <c r="G350" s="1" t="s">
        <v>316</v>
      </c>
      <c r="H350" s="2">
        <v>44826</v>
      </c>
      <c r="I350" t="s">
        <v>26</v>
      </c>
      <c r="J350">
        <v>6</v>
      </c>
      <c r="K350">
        <v>31766.03</v>
      </c>
      <c r="L350" t="s">
        <v>358</v>
      </c>
      <c r="M350">
        <v>35</v>
      </c>
      <c r="N350" t="s">
        <v>21</v>
      </c>
      <c r="O350" s="3" t="s">
        <v>22</v>
      </c>
      <c r="P350" t="s">
        <v>29</v>
      </c>
      <c r="Q350" t="s">
        <v>41</v>
      </c>
      <c r="R350">
        <v>4</v>
      </c>
      <c r="S350" t="s">
        <v>34</v>
      </c>
      <c r="T350" s="4">
        <f t="shared" si="28"/>
        <v>190596.18</v>
      </c>
      <c r="U350" s="4" t="str">
        <f t="shared" si="29"/>
        <v>Good</v>
      </c>
      <c r="V350" s="4" t="str">
        <f t="shared" si="30"/>
        <v>Good</v>
      </c>
      <c r="W350" s="4"/>
      <c r="X350" s="4"/>
      <c r="AJ350" s="4"/>
    </row>
    <row r="351" spans="1:36">
      <c r="A351" t="str">
        <f t="shared" si="26"/>
        <v>Navi32350</v>
      </c>
      <c r="B351">
        <v>350</v>
      </c>
      <c r="C351">
        <v>15</v>
      </c>
      <c r="D351">
        <v>1</v>
      </c>
      <c r="E351">
        <v>2022</v>
      </c>
      <c r="F351" s="1">
        <f t="shared" si="27"/>
        <v>44576</v>
      </c>
      <c r="G351" s="1" t="s">
        <v>316</v>
      </c>
      <c r="H351" s="2">
        <v>44827</v>
      </c>
      <c r="I351" t="s">
        <v>26</v>
      </c>
      <c r="J351">
        <v>8</v>
      </c>
      <c r="K351">
        <v>25059.23</v>
      </c>
      <c r="L351" t="s">
        <v>359</v>
      </c>
      <c r="M351">
        <v>32</v>
      </c>
      <c r="N351" t="s">
        <v>21</v>
      </c>
      <c r="O351" s="3" t="s">
        <v>22</v>
      </c>
      <c r="P351" t="s">
        <v>114</v>
      </c>
      <c r="Q351" t="s">
        <v>30</v>
      </c>
      <c r="R351">
        <v>4</v>
      </c>
      <c r="S351" t="s">
        <v>67</v>
      </c>
      <c r="T351" s="4">
        <f t="shared" si="28"/>
        <v>200473.84</v>
      </c>
      <c r="U351" s="4" t="str">
        <f t="shared" si="29"/>
        <v>Good</v>
      </c>
      <c r="V351" s="4" t="str">
        <f t="shared" si="30"/>
        <v>Excellent</v>
      </c>
      <c r="W351" s="4"/>
      <c r="X351" s="4"/>
      <c r="AJ351" s="4"/>
    </row>
    <row r="352" spans="1:36">
      <c r="A352" t="str">
        <f t="shared" si="26"/>
        <v>Kavi32351</v>
      </c>
      <c r="B352">
        <v>351</v>
      </c>
      <c r="C352">
        <v>15</v>
      </c>
      <c r="D352">
        <v>1</v>
      </c>
      <c r="E352">
        <v>2022</v>
      </c>
      <c r="F352" s="1">
        <f t="shared" si="27"/>
        <v>44576</v>
      </c>
      <c r="G352" s="1" t="s">
        <v>316</v>
      </c>
      <c r="H352" s="2">
        <v>44828</v>
      </c>
      <c r="I352" t="s">
        <v>43</v>
      </c>
      <c r="J352">
        <v>6</v>
      </c>
      <c r="K352">
        <v>51006.07</v>
      </c>
      <c r="L352" t="s">
        <v>360</v>
      </c>
      <c r="M352">
        <v>32</v>
      </c>
      <c r="N352" t="s">
        <v>21</v>
      </c>
      <c r="O352" s="3" t="s">
        <v>22</v>
      </c>
      <c r="P352" t="s">
        <v>59</v>
      </c>
      <c r="Q352" t="s">
        <v>41</v>
      </c>
      <c r="R352">
        <v>5</v>
      </c>
      <c r="S352" t="s">
        <v>46</v>
      </c>
      <c r="T352" s="4">
        <f t="shared" si="28"/>
        <v>306036.42</v>
      </c>
      <c r="U352" s="4" t="str">
        <f t="shared" si="29"/>
        <v>Good</v>
      </c>
      <c r="V352" s="4" t="str">
        <f t="shared" si="30"/>
        <v>Excellent</v>
      </c>
      <c r="W352" s="4"/>
      <c r="X352" s="4"/>
      <c r="AJ352" s="4"/>
    </row>
    <row r="353" spans="1:36">
      <c r="A353" t="str">
        <f t="shared" si="26"/>
        <v>Anan23352</v>
      </c>
      <c r="B353">
        <v>352</v>
      </c>
      <c r="C353">
        <v>15</v>
      </c>
      <c r="D353">
        <v>1</v>
      </c>
      <c r="E353">
        <v>2022</v>
      </c>
      <c r="F353" s="1">
        <f t="shared" si="27"/>
        <v>44576</v>
      </c>
      <c r="G353" s="1" t="s">
        <v>316</v>
      </c>
      <c r="H353" s="2">
        <v>44829</v>
      </c>
      <c r="I353" t="s">
        <v>38</v>
      </c>
      <c r="J353">
        <v>3</v>
      </c>
      <c r="K353">
        <v>51032.6</v>
      </c>
      <c r="L353" t="s">
        <v>361</v>
      </c>
      <c r="M353">
        <v>23</v>
      </c>
      <c r="N353" t="s">
        <v>36</v>
      </c>
      <c r="O353" s="3" t="s">
        <v>22</v>
      </c>
      <c r="P353" t="s">
        <v>40</v>
      </c>
      <c r="Q353" t="s">
        <v>56</v>
      </c>
      <c r="R353">
        <v>5</v>
      </c>
      <c r="S353" t="s">
        <v>48</v>
      </c>
      <c r="T353" s="4">
        <f t="shared" si="28"/>
        <v>153097.79999999999</v>
      </c>
      <c r="U353" s="4" t="str">
        <f t="shared" si="29"/>
        <v>Good</v>
      </c>
      <c r="V353" s="4" t="str">
        <f t="shared" si="30"/>
        <v>Good</v>
      </c>
      <c r="W353" s="4"/>
      <c r="X353" s="4"/>
      <c r="AJ353" s="4"/>
    </row>
    <row r="354" spans="1:36">
      <c r="A354" t="str">
        <f t="shared" si="26"/>
        <v>Vija48353</v>
      </c>
      <c r="B354">
        <v>353</v>
      </c>
      <c r="C354">
        <v>15</v>
      </c>
      <c r="D354">
        <v>1</v>
      </c>
      <c r="E354">
        <v>2022</v>
      </c>
      <c r="F354" s="1">
        <f t="shared" si="27"/>
        <v>44576</v>
      </c>
      <c r="G354" s="1" t="s">
        <v>316</v>
      </c>
      <c r="H354" s="2">
        <v>44830</v>
      </c>
      <c r="I354" t="s">
        <v>49</v>
      </c>
      <c r="J354">
        <v>6</v>
      </c>
      <c r="K354">
        <v>40110.410000000003</v>
      </c>
      <c r="L354" t="s">
        <v>362</v>
      </c>
      <c r="M354">
        <v>48</v>
      </c>
      <c r="N354" t="s">
        <v>61</v>
      </c>
      <c r="O354" s="3" t="s">
        <v>22</v>
      </c>
      <c r="P354" t="s">
        <v>23</v>
      </c>
      <c r="Q354" t="s">
        <v>24</v>
      </c>
      <c r="R354">
        <v>5</v>
      </c>
      <c r="S354" t="s">
        <v>102</v>
      </c>
      <c r="T354" s="4">
        <f t="shared" si="28"/>
        <v>240662.46000000002</v>
      </c>
      <c r="U354" s="4" t="str">
        <f t="shared" si="29"/>
        <v>Good</v>
      </c>
      <c r="V354" s="4" t="str">
        <f t="shared" si="30"/>
        <v>Excellent</v>
      </c>
      <c r="W354" s="4"/>
      <c r="X354" s="4"/>
      <c r="AJ354" s="4"/>
    </row>
    <row r="355" spans="1:36">
      <c r="A355" t="str">
        <f t="shared" si="26"/>
        <v>Umes45354</v>
      </c>
      <c r="B355">
        <v>354</v>
      </c>
      <c r="C355">
        <v>16</v>
      </c>
      <c r="D355">
        <v>1</v>
      </c>
      <c r="E355">
        <v>2022</v>
      </c>
      <c r="F355" s="1">
        <f t="shared" si="27"/>
        <v>44577</v>
      </c>
      <c r="G355" s="1" t="s">
        <v>316</v>
      </c>
      <c r="H355" s="2">
        <v>44831</v>
      </c>
      <c r="I355" t="s">
        <v>43</v>
      </c>
      <c r="J355">
        <v>1</v>
      </c>
      <c r="K355">
        <v>56676.67</v>
      </c>
      <c r="L355" t="s">
        <v>363</v>
      </c>
      <c r="M355">
        <v>45</v>
      </c>
      <c r="N355" t="s">
        <v>21</v>
      </c>
      <c r="O355" s="3" t="s">
        <v>22</v>
      </c>
      <c r="P355" t="s">
        <v>90</v>
      </c>
      <c r="Q355" t="s">
        <v>30</v>
      </c>
      <c r="R355">
        <v>5</v>
      </c>
      <c r="S355" t="s">
        <v>46</v>
      </c>
      <c r="T355" s="4">
        <f t="shared" si="28"/>
        <v>56676.67</v>
      </c>
      <c r="U355" s="4" t="str">
        <f t="shared" si="29"/>
        <v>Good</v>
      </c>
      <c r="V355" s="4" t="str">
        <f t="shared" si="30"/>
        <v>Average</v>
      </c>
      <c r="W355" s="4"/>
      <c r="X355" s="4"/>
      <c r="AJ355" s="4"/>
    </row>
    <row r="356" spans="1:36">
      <c r="A356" t="str">
        <f t="shared" si="26"/>
        <v>Mano25355</v>
      </c>
      <c r="B356">
        <v>355</v>
      </c>
      <c r="C356">
        <v>16</v>
      </c>
      <c r="D356">
        <v>1</v>
      </c>
      <c r="E356">
        <v>2022</v>
      </c>
      <c r="F356" s="1">
        <f t="shared" si="27"/>
        <v>44577</v>
      </c>
      <c r="G356" s="1" t="s">
        <v>316</v>
      </c>
      <c r="H356" s="2">
        <v>44832</v>
      </c>
      <c r="I356" t="s">
        <v>43</v>
      </c>
      <c r="J356">
        <v>4</v>
      </c>
      <c r="K356">
        <v>60480.38</v>
      </c>
      <c r="L356" t="s">
        <v>364</v>
      </c>
      <c r="M356">
        <v>25</v>
      </c>
      <c r="N356" t="s">
        <v>36</v>
      </c>
      <c r="O356" s="3" t="s">
        <v>22</v>
      </c>
      <c r="P356" t="s">
        <v>40</v>
      </c>
      <c r="Q356" t="s">
        <v>56</v>
      </c>
      <c r="R356">
        <v>5</v>
      </c>
      <c r="S356" t="s">
        <v>46</v>
      </c>
      <c r="T356" s="4">
        <f t="shared" si="28"/>
        <v>241921.52</v>
      </c>
      <c r="U356" s="4" t="str">
        <f t="shared" si="29"/>
        <v>Good</v>
      </c>
      <c r="V356" s="4" t="str">
        <f t="shared" si="30"/>
        <v>Excellent</v>
      </c>
      <c r="W356" s="4"/>
      <c r="X356" s="4"/>
      <c r="AJ356" s="4"/>
    </row>
    <row r="357" spans="1:36">
      <c r="A357" t="str">
        <f t="shared" si="26"/>
        <v>Vive46356</v>
      </c>
      <c r="B357">
        <v>356</v>
      </c>
      <c r="C357">
        <v>16</v>
      </c>
      <c r="D357">
        <v>1</v>
      </c>
      <c r="E357">
        <v>2022</v>
      </c>
      <c r="F357" s="1">
        <f t="shared" si="27"/>
        <v>44577</v>
      </c>
      <c r="G357" s="1" t="s">
        <v>316</v>
      </c>
      <c r="H357" s="2">
        <v>44833</v>
      </c>
      <c r="I357" t="s">
        <v>49</v>
      </c>
      <c r="J357">
        <v>6</v>
      </c>
      <c r="K357">
        <v>44785.99</v>
      </c>
      <c r="L357" t="s">
        <v>365</v>
      </c>
      <c r="M357">
        <v>46</v>
      </c>
      <c r="N357" t="s">
        <v>61</v>
      </c>
      <c r="O357" s="3" t="s">
        <v>22</v>
      </c>
      <c r="P357" t="s">
        <v>33</v>
      </c>
      <c r="Q357" t="s">
        <v>56</v>
      </c>
      <c r="R357">
        <v>5</v>
      </c>
      <c r="S357" t="s">
        <v>102</v>
      </c>
      <c r="T357" s="4">
        <f t="shared" si="28"/>
        <v>268715.94</v>
      </c>
      <c r="U357" s="4" t="str">
        <f t="shared" si="29"/>
        <v>Good</v>
      </c>
      <c r="V357" s="4" t="str">
        <f t="shared" si="30"/>
        <v>Excellent</v>
      </c>
      <c r="W357" s="4"/>
      <c r="X357" s="4"/>
      <c r="AJ357" s="4"/>
    </row>
    <row r="358" spans="1:36">
      <c r="A358" t="str">
        <f t="shared" si="26"/>
        <v>Adit38357</v>
      </c>
      <c r="B358">
        <v>357</v>
      </c>
      <c r="C358">
        <v>17</v>
      </c>
      <c r="D358">
        <v>1</v>
      </c>
      <c r="E358">
        <v>2022</v>
      </c>
      <c r="F358" s="1">
        <f t="shared" si="27"/>
        <v>44578</v>
      </c>
      <c r="G358" s="1" t="s">
        <v>316</v>
      </c>
      <c r="H358" s="2">
        <v>44834</v>
      </c>
      <c r="I358" t="s">
        <v>26</v>
      </c>
      <c r="J358">
        <v>7</v>
      </c>
      <c r="K358">
        <v>47136.11</v>
      </c>
      <c r="L358" t="s">
        <v>366</v>
      </c>
      <c r="M358">
        <v>38</v>
      </c>
      <c r="N358" t="s">
        <v>21</v>
      </c>
      <c r="O358" s="3" t="s">
        <v>22</v>
      </c>
      <c r="P358" t="s">
        <v>90</v>
      </c>
      <c r="Q358" t="s">
        <v>30</v>
      </c>
      <c r="R358">
        <v>5</v>
      </c>
      <c r="S358" t="s">
        <v>31</v>
      </c>
      <c r="T358" s="4">
        <f t="shared" si="28"/>
        <v>329952.77</v>
      </c>
      <c r="U358" s="4" t="str">
        <f t="shared" si="29"/>
        <v>Good</v>
      </c>
      <c r="V358" s="4" t="str">
        <f t="shared" si="30"/>
        <v>Excellent</v>
      </c>
      <c r="W358" s="4"/>
      <c r="X358" s="4"/>
      <c r="AJ358" s="4"/>
    </row>
    <row r="359" spans="1:36">
      <c r="A359" t="str">
        <f t="shared" si="26"/>
        <v>Hari34358</v>
      </c>
      <c r="B359">
        <v>358</v>
      </c>
      <c r="C359">
        <v>17</v>
      </c>
      <c r="D359">
        <v>1</v>
      </c>
      <c r="E359">
        <v>2022</v>
      </c>
      <c r="F359" s="1">
        <f t="shared" si="27"/>
        <v>44578</v>
      </c>
      <c r="G359" s="1" t="s">
        <v>316</v>
      </c>
      <c r="H359" s="2">
        <v>44835</v>
      </c>
      <c r="I359" t="s">
        <v>19</v>
      </c>
      <c r="J359">
        <v>3</v>
      </c>
      <c r="K359">
        <v>26973.15</v>
      </c>
      <c r="L359" t="s">
        <v>344</v>
      </c>
      <c r="M359">
        <v>34</v>
      </c>
      <c r="N359" t="s">
        <v>21</v>
      </c>
      <c r="O359" s="3" t="s">
        <v>22</v>
      </c>
      <c r="P359" t="s">
        <v>33</v>
      </c>
      <c r="Q359" t="s">
        <v>30</v>
      </c>
      <c r="R359">
        <v>4</v>
      </c>
      <c r="S359" t="s">
        <v>25</v>
      </c>
      <c r="T359" s="4">
        <f t="shared" si="28"/>
        <v>80919.450000000012</v>
      </c>
      <c r="U359" s="4" t="str">
        <f t="shared" si="29"/>
        <v>Good</v>
      </c>
      <c r="V359" s="4" t="str">
        <f t="shared" si="30"/>
        <v>Average</v>
      </c>
      <c r="W359" s="4"/>
      <c r="X359" s="4"/>
      <c r="AJ359" s="4"/>
    </row>
    <row r="360" spans="1:36">
      <c r="A360" t="str">
        <f t="shared" si="26"/>
        <v>Sumi41359</v>
      </c>
      <c r="B360">
        <v>359</v>
      </c>
      <c r="C360">
        <v>17</v>
      </c>
      <c r="D360">
        <v>1</v>
      </c>
      <c r="E360">
        <v>2022</v>
      </c>
      <c r="F360" s="1">
        <f t="shared" si="27"/>
        <v>44578</v>
      </c>
      <c r="G360" s="1" t="s">
        <v>316</v>
      </c>
      <c r="H360" s="2">
        <v>44836</v>
      </c>
      <c r="I360" t="s">
        <v>38</v>
      </c>
      <c r="J360">
        <v>9</v>
      </c>
      <c r="K360">
        <v>63692.15</v>
      </c>
      <c r="L360" t="s">
        <v>367</v>
      </c>
      <c r="M360">
        <v>41</v>
      </c>
      <c r="N360" t="s">
        <v>21</v>
      </c>
      <c r="O360" s="3" t="s">
        <v>22</v>
      </c>
      <c r="P360" t="s">
        <v>33</v>
      </c>
      <c r="Q360" t="s">
        <v>56</v>
      </c>
      <c r="R360">
        <v>5</v>
      </c>
      <c r="S360" t="s">
        <v>99</v>
      </c>
      <c r="T360" s="4">
        <f t="shared" si="28"/>
        <v>573229.35</v>
      </c>
      <c r="U360" s="4" t="str">
        <f t="shared" si="29"/>
        <v>Good</v>
      </c>
      <c r="V360" s="4" t="str">
        <f t="shared" si="30"/>
        <v>Excellent</v>
      </c>
      <c r="W360" s="4"/>
      <c r="X360" s="4"/>
      <c r="AJ360" s="4"/>
    </row>
    <row r="361" spans="1:36">
      <c r="A361" t="str">
        <f t="shared" si="26"/>
        <v>Bhav53360</v>
      </c>
      <c r="B361">
        <v>360</v>
      </c>
      <c r="C361">
        <v>18</v>
      </c>
      <c r="D361">
        <v>1</v>
      </c>
      <c r="E361">
        <v>2022</v>
      </c>
      <c r="F361" s="1">
        <f t="shared" si="27"/>
        <v>44579</v>
      </c>
      <c r="G361" s="1" t="s">
        <v>316</v>
      </c>
      <c r="H361" s="2">
        <v>44837</v>
      </c>
      <c r="I361" t="s">
        <v>19</v>
      </c>
      <c r="J361">
        <v>7</v>
      </c>
      <c r="K361">
        <v>11452.36</v>
      </c>
      <c r="L361" t="s">
        <v>368</v>
      </c>
      <c r="M361">
        <v>53</v>
      </c>
      <c r="N361" t="s">
        <v>61</v>
      </c>
      <c r="O361" s="3" t="s">
        <v>22</v>
      </c>
      <c r="P361" t="s">
        <v>29</v>
      </c>
      <c r="Q361" t="s">
        <v>24</v>
      </c>
      <c r="R361">
        <v>5</v>
      </c>
      <c r="S361" t="s">
        <v>25</v>
      </c>
      <c r="T361" s="4">
        <f t="shared" si="28"/>
        <v>80166.52</v>
      </c>
      <c r="U361" s="4" t="str">
        <f t="shared" si="29"/>
        <v>Good</v>
      </c>
      <c r="V361" s="4" t="str">
        <f t="shared" si="30"/>
        <v>Average</v>
      </c>
      <c r="W361" s="4"/>
      <c r="X361" s="4"/>
      <c r="AJ361" s="4"/>
    </row>
    <row r="362" spans="1:36">
      <c r="A362" t="str">
        <f t="shared" si="26"/>
        <v>Ravi48361</v>
      </c>
      <c r="B362">
        <v>361</v>
      </c>
      <c r="C362">
        <v>18</v>
      </c>
      <c r="D362">
        <v>1</v>
      </c>
      <c r="E362">
        <v>2022</v>
      </c>
      <c r="F362" s="1">
        <f t="shared" si="27"/>
        <v>44579</v>
      </c>
      <c r="G362" s="1" t="s">
        <v>316</v>
      </c>
      <c r="H362" s="2">
        <v>44838</v>
      </c>
      <c r="I362" t="s">
        <v>49</v>
      </c>
      <c r="J362">
        <v>1</v>
      </c>
      <c r="K362">
        <v>30916.15</v>
      </c>
      <c r="L362" t="s">
        <v>369</v>
      </c>
      <c r="M362">
        <v>48</v>
      </c>
      <c r="N362" t="s">
        <v>61</v>
      </c>
      <c r="O362" s="3" t="s">
        <v>22</v>
      </c>
      <c r="P362" t="s">
        <v>117</v>
      </c>
      <c r="Q362" t="s">
        <v>56</v>
      </c>
      <c r="R362">
        <v>4</v>
      </c>
      <c r="S362" t="s">
        <v>102</v>
      </c>
      <c r="T362" s="4">
        <f t="shared" si="28"/>
        <v>30916.15</v>
      </c>
      <c r="U362" s="4" t="str">
        <f t="shared" si="29"/>
        <v>Good</v>
      </c>
      <c r="V362" s="4" t="str">
        <f t="shared" si="30"/>
        <v>Low</v>
      </c>
      <c r="W362" s="4"/>
      <c r="X362" s="4"/>
      <c r="AJ362" s="4"/>
    </row>
    <row r="363" spans="1:36">
      <c r="A363" t="str">
        <f t="shared" si="26"/>
        <v>Ravi51362</v>
      </c>
      <c r="B363">
        <v>362</v>
      </c>
      <c r="C363">
        <v>18</v>
      </c>
      <c r="D363">
        <v>1</v>
      </c>
      <c r="E363">
        <v>2022</v>
      </c>
      <c r="F363" s="1">
        <f t="shared" si="27"/>
        <v>44579</v>
      </c>
      <c r="G363" s="1" t="s">
        <v>316</v>
      </c>
      <c r="H363" s="2">
        <v>44839</v>
      </c>
      <c r="I363" t="s">
        <v>43</v>
      </c>
      <c r="J363">
        <v>2</v>
      </c>
      <c r="K363">
        <v>53308.03</v>
      </c>
      <c r="L363" t="s">
        <v>370</v>
      </c>
      <c r="M363">
        <v>51</v>
      </c>
      <c r="N363" t="s">
        <v>61</v>
      </c>
      <c r="O363" s="3" t="s">
        <v>28</v>
      </c>
      <c r="P363" t="s">
        <v>93</v>
      </c>
      <c r="Q363" t="s">
        <v>24</v>
      </c>
      <c r="R363">
        <v>3</v>
      </c>
      <c r="S363" t="s">
        <v>57</v>
      </c>
      <c r="T363" s="4">
        <f t="shared" si="28"/>
        <v>106616.06</v>
      </c>
      <c r="U363" s="4" t="str">
        <f t="shared" si="29"/>
        <v>Average</v>
      </c>
      <c r="V363" s="4" t="str">
        <f t="shared" si="30"/>
        <v>Good</v>
      </c>
      <c r="W363" s="4"/>
      <c r="X363" s="4"/>
      <c r="AJ363" s="4"/>
    </row>
    <row r="364" spans="1:36">
      <c r="A364" t="str">
        <f t="shared" si="26"/>
        <v>Tapa19363</v>
      </c>
      <c r="B364">
        <v>363</v>
      </c>
      <c r="C364">
        <v>18</v>
      </c>
      <c r="D364">
        <v>1</v>
      </c>
      <c r="E364">
        <v>2022</v>
      </c>
      <c r="F364" s="1">
        <f t="shared" si="27"/>
        <v>44579</v>
      </c>
      <c r="G364" s="1" t="s">
        <v>316</v>
      </c>
      <c r="H364" s="2">
        <v>44840</v>
      </c>
      <c r="I364" t="s">
        <v>43</v>
      </c>
      <c r="J364">
        <v>1</v>
      </c>
      <c r="K364">
        <v>14805.37</v>
      </c>
      <c r="L364" t="s">
        <v>371</v>
      </c>
      <c r="M364">
        <v>19</v>
      </c>
      <c r="N364" t="s">
        <v>36</v>
      </c>
      <c r="O364" s="3" t="s">
        <v>22</v>
      </c>
      <c r="P364" t="s">
        <v>29</v>
      </c>
      <c r="Q364" t="s">
        <v>30</v>
      </c>
      <c r="R364">
        <v>5</v>
      </c>
      <c r="S364" t="s">
        <v>46</v>
      </c>
      <c r="T364" s="4">
        <f t="shared" si="28"/>
        <v>14805.37</v>
      </c>
      <c r="U364" s="4" t="str">
        <f t="shared" si="29"/>
        <v>Good</v>
      </c>
      <c r="V364" s="4" t="str">
        <f t="shared" si="30"/>
        <v>Low</v>
      </c>
      <c r="W364" s="4"/>
      <c r="X364" s="4"/>
      <c r="AJ364" s="4"/>
    </row>
    <row r="365" spans="1:36">
      <c r="A365" t="str">
        <f t="shared" si="26"/>
        <v>Mala59364</v>
      </c>
      <c r="B365">
        <v>364</v>
      </c>
      <c r="C365">
        <v>19</v>
      </c>
      <c r="D365">
        <v>1</v>
      </c>
      <c r="E365">
        <v>2022</v>
      </c>
      <c r="F365" s="1">
        <f t="shared" si="27"/>
        <v>44580</v>
      </c>
      <c r="G365" s="1" t="s">
        <v>316</v>
      </c>
      <c r="H365" s="2">
        <v>44841</v>
      </c>
      <c r="I365" t="s">
        <v>38</v>
      </c>
      <c r="J365">
        <v>9</v>
      </c>
      <c r="K365">
        <v>20990.17</v>
      </c>
      <c r="L365" t="s">
        <v>372</v>
      </c>
      <c r="M365">
        <v>59</v>
      </c>
      <c r="N365" t="s">
        <v>61</v>
      </c>
      <c r="O365" s="3" t="s">
        <v>22</v>
      </c>
      <c r="P365" t="s">
        <v>150</v>
      </c>
      <c r="Q365" t="s">
        <v>56</v>
      </c>
      <c r="R365">
        <v>5</v>
      </c>
      <c r="S365" t="s">
        <v>99</v>
      </c>
      <c r="T365" s="4">
        <f t="shared" si="28"/>
        <v>188911.52999999997</v>
      </c>
      <c r="U365" s="4" t="str">
        <f t="shared" si="29"/>
        <v>Good</v>
      </c>
      <c r="V365" s="4" t="str">
        <f t="shared" si="30"/>
        <v>Good</v>
      </c>
      <c r="W365" s="4"/>
      <c r="X365" s="4"/>
      <c r="AJ365" s="4"/>
    </row>
    <row r="366" spans="1:36">
      <c r="A366" t="str">
        <f t="shared" si="26"/>
        <v>Gita20365</v>
      </c>
      <c r="B366">
        <v>365</v>
      </c>
      <c r="C366">
        <v>19</v>
      </c>
      <c r="D366">
        <v>1</v>
      </c>
      <c r="E366">
        <v>2022</v>
      </c>
      <c r="F366" s="1">
        <f t="shared" si="27"/>
        <v>44580</v>
      </c>
      <c r="G366" s="1" t="s">
        <v>316</v>
      </c>
      <c r="H366" s="2">
        <v>44842</v>
      </c>
      <c r="I366" t="s">
        <v>43</v>
      </c>
      <c r="J366">
        <v>9</v>
      </c>
      <c r="K366">
        <v>45357.14</v>
      </c>
      <c r="L366" t="s">
        <v>373</v>
      </c>
      <c r="M366">
        <v>20</v>
      </c>
      <c r="N366" t="s">
        <v>36</v>
      </c>
      <c r="O366" s="3" t="s">
        <v>28</v>
      </c>
      <c r="P366" t="s">
        <v>110</v>
      </c>
      <c r="Q366" t="s">
        <v>41</v>
      </c>
      <c r="R366">
        <v>3</v>
      </c>
      <c r="S366" t="s">
        <v>57</v>
      </c>
      <c r="T366" s="4">
        <f t="shared" si="28"/>
        <v>408214.26</v>
      </c>
      <c r="U366" s="4" t="str">
        <f t="shared" si="29"/>
        <v>Average</v>
      </c>
      <c r="V366" s="4" t="str">
        <f t="shared" si="30"/>
        <v>Excellent</v>
      </c>
      <c r="W366" s="4"/>
      <c r="X366" s="4"/>
      <c r="AJ366" s="4"/>
    </row>
    <row r="367" spans="1:36">
      <c r="A367" t="str">
        <f t="shared" si="26"/>
        <v>Vive47366</v>
      </c>
      <c r="B367">
        <v>366</v>
      </c>
      <c r="C367">
        <v>19</v>
      </c>
      <c r="D367">
        <v>1</v>
      </c>
      <c r="E367">
        <v>2022</v>
      </c>
      <c r="F367" s="1">
        <f t="shared" si="27"/>
        <v>44580</v>
      </c>
      <c r="G367" s="1" t="s">
        <v>316</v>
      </c>
      <c r="H367" s="2">
        <v>44843</v>
      </c>
      <c r="I367" t="s">
        <v>43</v>
      </c>
      <c r="J367">
        <v>7</v>
      </c>
      <c r="K367">
        <v>43599.62</v>
      </c>
      <c r="L367" t="s">
        <v>374</v>
      </c>
      <c r="M367">
        <v>47</v>
      </c>
      <c r="N367" t="s">
        <v>61</v>
      </c>
      <c r="O367" s="3" t="s">
        <v>22</v>
      </c>
      <c r="P367" t="s">
        <v>33</v>
      </c>
      <c r="Q367" t="s">
        <v>56</v>
      </c>
      <c r="R367">
        <v>4</v>
      </c>
      <c r="S367" t="s">
        <v>95</v>
      </c>
      <c r="T367" s="4">
        <f t="shared" si="28"/>
        <v>305197.34000000003</v>
      </c>
      <c r="U367" s="4" t="str">
        <f t="shared" si="29"/>
        <v>Good</v>
      </c>
      <c r="V367" s="4" t="str">
        <f t="shared" si="30"/>
        <v>Excellent</v>
      </c>
      <c r="W367" s="4"/>
      <c r="X367" s="4"/>
      <c r="AJ367" s="4"/>
    </row>
    <row r="368" spans="1:36">
      <c r="A368" t="str">
        <f t="shared" si="26"/>
        <v>Anit25367</v>
      </c>
      <c r="B368">
        <v>367</v>
      </c>
      <c r="C368">
        <v>19</v>
      </c>
      <c r="D368">
        <v>1</v>
      </c>
      <c r="E368">
        <v>2022</v>
      </c>
      <c r="F368" s="1">
        <f t="shared" si="27"/>
        <v>44580</v>
      </c>
      <c r="G368" s="1" t="s">
        <v>316</v>
      </c>
      <c r="H368" s="2">
        <v>44844</v>
      </c>
      <c r="I368" t="s">
        <v>38</v>
      </c>
      <c r="J368">
        <v>3</v>
      </c>
      <c r="K368">
        <v>54335.7</v>
      </c>
      <c r="L368" t="s">
        <v>375</v>
      </c>
      <c r="M368">
        <v>25</v>
      </c>
      <c r="N368" t="s">
        <v>36</v>
      </c>
      <c r="O368" s="3" t="s">
        <v>22</v>
      </c>
      <c r="P368" t="s">
        <v>114</v>
      </c>
      <c r="Q368" t="s">
        <v>24</v>
      </c>
      <c r="R368">
        <v>5</v>
      </c>
      <c r="S368" t="s">
        <v>42</v>
      </c>
      <c r="T368" s="4">
        <f t="shared" si="28"/>
        <v>163007.09999999998</v>
      </c>
      <c r="U368" s="4" t="str">
        <f t="shared" si="29"/>
        <v>Good</v>
      </c>
      <c r="V368" s="4" t="str">
        <f t="shared" si="30"/>
        <v>Good</v>
      </c>
      <c r="W368" s="4"/>
      <c r="X368" s="4"/>
      <c r="AJ368" s="4"/>
    </row>
    <row r="369" spans="1:36">
      <c r="A369" t="str">
        <f t="shared" si="26"/>
        <v>Tapa24368</v>
      </c>
      <c r="B369">
        <v>368</v>
      </c>
      <c r="C369">
        <v>20</v>
      </c>
      <c r="D369">
        <v>1</v>
      </c>
      <c r="E369">
        <v>2022</v>
      </c>
      <c r="F369" s="1">
        <f t="shared" si="27"/>
        <v>44581</v>
      </c>
      <c r="G369" s="1" t="s">
        <v>316</v>
      </c>
      <c r="H369" s="2">
        <v>44845</v>
      </c>
      <c r="I369" t="s">
        <v>38</v>
      </c>
      <c r="J369">
        <v>5</v>
      </c>
      <c r="K369">
        <v>58756.76</v>
      </c>
      <c r="L369" t="s">
        <v>376</v>
      </c>
      <c r="M369">
        <v>24</v>
      </c>
      <c r="N369" t="s">
        <v>36</v>
      </c>
      <c r="O369" s="3" t="s">
        <v>22</v>
      </c>
      <c r="P369" t="s">
        <v>29</v>
      </c>
      <c r="Q369" t="s">
        <v>56</v>
      </c>
      <c r="R369">
        <v>4</v>
      </c>
      <c r="S369" t="s">
        <v>42</v>
      </c>
      <c r="T369" s="4">
        <f t="shared" si="28"/>
        <v>293783.8</v>
      </c>
      <c r="U369" s="4" t="str">
        <f t="shared" si="29"/>
        <v>Good</v>
      </c>
      <c r="V369" s="4" t="str">
        <f t="shared" si="30"/>
        <v>Excellent</v>
      </c>
      <c r="W369" s="4"/>
      <c r="X369" s="4"/>
      <c r="AJ369" s="4"/>
    </row>
    <row r="370" spans="1:36">
      <c r="A370" t="str">
        <f t="shared" si="26"/>
        <v>Shru29369</v>
      </c>
      <c r="B370">
        <v>369</v>
      </c>
      <c r="C370">
        <v>20</v>
      </c>
      <c r="D370">
        <v>1</v>
      </c>
      <c r="E370">
        <v>2022</v>
      </c>
      <c r="F370" s="1">
        <f t="shared" si="27"/>
        <v>44581</v>
      </c>
      <c r="G370" s="1" t="s">
        <v>316</v>
      </c>
      <c r="H370" s="2">
        <v>44846</v>
      </c>
      <c r="I370" t="s">
        <v>49</v>
      </c>
      <c r="J370">
        <v>4</v>
      </c>
      <c r="K370">
        <v>17714.77</v>
      </c>
      <c r="L370" t="s">
        <v>377</v>
      </c>
      <c r="M370">
        <v>29</v>
      </c>
      <c r="N370" t="s">
        <v>36</v>
      </c>
      <c r="O370" s="3" t="s">
        <v>22</v>
      </c>
      <c r="P370" t="s">
        <v>90</v>
      </c>
      <c r="Q370" t="s">
        <v>24</v>
      </c>
      <c r="R370">
        <v>4</v>
      </c>
      <c r="S370" t="s">
        <v>52</v>
      </c>
      <c r="T370" s="4">
        <f t="shared" si="28"/>
        <v>70859.08</v>
      </c>
      <c r="U370" s="4" t="str">
        <f t="shared" si="29"/>
        <v>Good</v>
      </c>
      <c r="V370" s="4" t="str">
        <f t="shared" si="30"/>
        <v>Average</v>
      </c>
      <c r="W370" s="4"/>
      <c r="X370" s="4"/>
      <c r="AJ370" s="4"/>
    </row>
    <row r="371" spans="1:36">
      <c r="A371" t="str">
        <f t="shared" si="26"/>
        <v>Reen36370</v>
      </c>
      <c r="B371">
        <v>370</v>
      </c>
      <c r="C371">
        <v>20</v>
      </c>
      <c r="D371">
        <v>1</v>
      </c>
      <c r="E371">
        <v>2022</v>
      </c>
      <c r="F371" s="1">
        <f t="shared" si="27"/>
        <v>44581</v>
      </c>
      <c r="G371" s="1" t="s">
        <v>316</v>
      </c>
      <c r="H371" s="2">
        <v>44847</v>
      </c>
      <c r="I371" t="s">
        <v>43</v>
      </c>
      <c r="J371">
        <v>7</v>
      </c>
      <c r="K371">
        <v>11102.86</v>
      </c>
      <c r="L371" t="s">
        <v>79</v>
      </c>
      <c r="M371">
        <v>36</v>
      </c>
      <c r="N371" t="s">
        <v>21</v>
      </c>
      <c r="O371" s="3" t="s">
        <v>22</v>
      </c>
      <c r="P371" t="s">
        <v>29</v>
      </c>
      <c r="Q371" t="s">
        <v>41</v>
      </c>
      <c r="R371">
        <v>4</v>
      </c>
      <c r="S371" t="s">
        <v>57</v>
      </c>
      <c r="T371" s="4">
        <f t="shared" si="28"/>
        <v>77720.02</v>
      </c>
      <c r="U371" s="4" t="str">
        <f t="shared" si="29"/>
        <v>Good</v>
      </c>
      <c r="V371" s="4" t="str">
        <f t="shared" si="30"/>
        <v>Average</v>
      </c>
      <c r="W371" s="4"/>
      <c r="X371" s="4"/>
      <c r="AJ371" s="4"/>
    </row>
    <row r="372" spans="1:36">
      <c r="A372" t="str">
        <f t="shared" si="26"/>
        <v>Isha43371</v>
      </c>
      <c r="B372">
        <v>371</v>
      </c>
      <c r="C372">
        <v>20</v>
      </c>
      <c r="D372">
        <v>1</v>
      </c>
      <c r="E372">
        <v>2022</v>
      </c>
      <c r="F372" s="1">
        <f t="shared" si="27"/>
        <v>44581</v>
      </c>
      <c r="G372" s="1" t="s">
        <v>316</v>
      </c>
      <c r="H372" s="2">
        <v>44848</v>
      </c>
      <c r="I372" t="s">
        <v>43</v>
      </c>
      <c r="J372">
        <v>9</v>
      </c>
      <c r="K372">
        <v>51378.31</v>
      </c>
      <c r="L372" t="s">
        <v>325</v>
      </c>
      <c r="M372">
        <v>43</v>
      </c>
      <c r="N372" t="s">
        <v>21</v>
      </c>
      <c r="O372" s="3" t="s">
        <v>22</v>
      </c>
      <c r="P372" t="s">
        <v>66</v>
      </c>
      <c r="Q372" t="s">
        <v>30</v>
      </c>
      <c r="R372">
        <v>5</v>
      </c>
      <c r="S372" t="s">
        <v>95</v>
      </c>
      <c r="T372" s="4">
        <f t="shared" si="28"/>
        <v>462404.79</v>
      </c>
      <c r="U372" s="4" t="str">
        <f t="shared" si="29"/>
        <v>Good</v>
      </c>
      <c r="V372" s="4" t="str">
        <f t="shared" si="30"/>
        <v>Excellent</v>
      </c>
      <c r="W372" s="4"/>
      <c r="X372" s="4"/>
      <c r="AJ372" s="4"/>
    </row>
    <row r="373" spans="1:36">
      <c r="A373" t="str">
        <f t="shared" si="26"/>
        <v>Mano45372</v>
      </c>
      <c r="B373">
        <v>372</v>
      </c>
      <c r="C373">
        <v>21</v>
      </c>
      <c r="D373">
        <v>1</v>
      </c>
      <c r="E373">
        <v>2022</v>
      </c>
      <c r="F373" s="1">
        <f t="shared" si="27"/>
        <v>44582</v>
      </c>
      <c r="G373" s="1" t="s">
        <v>316</v>
      </c>
      <c r="H373" s="2">
        <v>44849</v>
      </c>
      <c r="I373" t="s">
        <v>49</v>
      </c>
      <c r="J373">
        <v>2</v>
      </c>
      <c r="K373">
        <v>28083.51</v>
      </c>
      <c r="L373" t="s">
        <v>309</v>
      </c>
      <c r="M373">
        <v>45</v>
      </c>
      <c r="N373" t="s">
        <v>21</v>
      </c>
      <c r="O373" s="3" t="s">
        <v>28</v>
      </c>
      <c r="P373" t="s">
        <v>51</v>
      </c>
      <c r="Q373" t="s">
        <v>41</v>
      </c>
      <c r="R373">
        <v>3</v>
      </c>
      <c r="S373" t="s">
        <v>52</v>
      </c>
      <c r="T373" s="4">
        <f t="shared" si="28"/>
        <v>56167.02</v>
      </c>
      <c r="U373" s="4" t="str">
        <f t="shared" si="29"/>
        <v>Average</v>
      </c>
      <c r="V373" s="4" t="str">
        <f t="shared" si="30"/>
        <v>Average</v>
      </c>
      <c r="W373" s="4"/>
      <c r="X373" s="4"/>
      <c r="AJ373" s="4"/>
    </row>
    <row r="374" spans="1:36">
      <c r="A374" t="str">
        <f t="shared" si="26"/>
        <v>Tapa32373</v>
      </c>
      <c r="B374">
        <v>373</v>
      </c>
      <c r="C374">
        <v>21</v>
      </c>
      <c r="D374">
        <v>1</v>
      </c>
      <c r="E374">
        <v>2022</v>
      </c>
      <c r="F374" s="1">
        <f t="shared" si="27"/>
        <v>44582</v>
      </c>
      <c r="G374" s="1" t="s">
        <v>316</v>
      </c>
      <c r="H374" s="2">
        <v>44850</v>
      </c>
      <c r="I374" t="s">
        <v>26</v>
      </c>
      <c r="J374">
        <v>8</v>
      </c>
      <c r="K374">
        <v>47559.03</v>
      </c>
      <c r="L374" t="s">
        <v>378</v>
      </c>
      <c r="M374">
        <v>32</v>
      </c>
      <c r="N374" t="s">
        <v>21</v>
      </c>
      <c r="O374" s="3" t="s">
        <v>28</v>
      </c>
      <c r="P374" t="s">
        <v>64</v>
      </c>
      <c r="Q374" t="s">
        <v>24</v>
      </c>
      <c r="R374">
        <v>3</v>
      </c>
      <c r="S374" t="s">
        <v>67</v>
      </c>
      <c r="T374" s="4">
        <f t="shared" si="28"/>
        <v>380472.24</v>
      </c>
      <c r="U374" s="4" t="str">
        <f t="shared" si="29"/>
        <v>Average</v>
      </c>
      <c r="V374" s="4" t="str">
        <f t="shared" si="30"/>
        <v>Excellent</v>
      </c>
      <c r="W374" s="4"/>
      <c r="X374" s="4"/>
      <c r="AJ374" s="4"/>
    </row>
    <row r="375" spans="1:36">
      <c r="A375" t="str">
        <f t="shared" si="26"/>
        <v>Anja31374</v>
      </c>
      <c r="B375">
        <v>374</v>
      </c>
      <c r="C375">
        <v>21</v>
      </c>
      <c r="D375">
        <v>1</v>
      </c>
      <c r="E375">
        <v>2022</v>
      </c>
      <c r="F375" s="1">
        <f t="shared" si="27"/>
        <v>44582</v>
      </c>
      <c r="G375" s="1" t="s">
        <v>316</v>
      </c>
      <c r="H375" s="2">
        <v>44851</v>
      </c>
      <c r="I375" t="s">
        <v>26</v>
      </c>
      <c r="J375">
        <v>9</v>
      </c>
      <c r="K375">
        <v>19032.68</v>
      </c>
      <c r="L375" t="s">
        <v>179</v>
      </c>
      <c r="M375">
        <v>31</v>
      </c>
      <c r="N375" t="s">
        <v>21</v>
      </c>
      <c r="O375" s="3" t="s">
        <v>22</v>
      </c>
      <c r="P375" t="s">
        <v>66</v>
      </c>
      <c r="Q375" t="s">
        <v>30</v>
      </c>
      <c r="R375">
        <v>5</v>
      </c>
      <c r="S375" t="s">
        <v>67</v>
      </c>
      <c r="T375" s="4">
        <f t="shared" si="28"/>
        <v>171294.12</v>
      </c>
      <c r="U375" s="4" t="str">
        <f t="shared" si="29"/>
        <v>Good</v>
      </c>
      <c r="V375" s="4" t="str">
        <f t="shared" si="30"/>
        <v>Good</v>
      </c>
      <c r="W375" s="4"/>
      <c r="X375" s="4"/>
      <c r="AJ375" s="4"/>
    </row>
    <row r="376" spans="1:36">
      <c r="A376" t="str">
        <f t="shared" si="26"/>
        <v>Anan31375</v>
      </c>
      <c r="B376">
        <v>375</v>
      </c>
      <c r="C376">
        <v>21</v>
      </c>
      <c r="D376">
        <v>1</v>
      </c>
      <c r="E376">
        <v>2022</v>
      </c>
      <c r="F376" s="1">
        <f t="shared" si="27"/>
        <v>44582</v>
      </c>
      <c r="G376" s="1" t="s">
        <v>316</v>
      </c>
      <c r="H376" s="2">
        <v>44852</v>
      </c>
      <c r="I376" t="s">
        <v>26</v>
      </c>
      <c r="J376">
        <v>9</v>
      </c>
      <c r="K376">
        <v>38142.400000000001</v>
      </c>
      <c r="L376" t="s">
        <v>379</v>
      </c>
      <c r="M376">
        <v>31</v>
      </c>
      <c r="N376" t="s">
        <v>21</v>
      </c>
      <c r="O376" s="3" t="s">
        <v>22</v>
      </c>
      <c r="P376" t="s">
        <v>40</v>
      </c>
      <c r="Q376" t="s">
        <v>30</v>
      </c>
      <c r="R376">
        <v>5</v>
      </c>
      <c r="S376" t="s">
        <v>67</v>
      </c>
      <c r="T376" s="4">
        <f t="shared" si="28"/>
        <v>343281.60000000003</v>
      </c>
      <c r="U376" s="4" t="str">
        <f t="shared" si="29"/>
        <v>Good</v>
      </c>
      <c r="V376" s="4" t="str">
        <f t="shared" si="30"/>
        <v>Excellent</v>
      </c>
      <c r="W376" s="4"/>
      <c r="X376" s="4"/>
      <c r="AJ376" s="4"/>
    </row>
    <row r="377" spans="1:36">
      <c r="A377" t="str">
        <f t="shared" si="26"/>
        <v>Bhav20376</v>
      </c>
      <c r="B377">
        <v>376</v>
      </c>
      <c r="C377">
        <v>22</v>
      </c>
      <c r="D377">
        <v>1</v>
      </c>
      <c r="E377">
        <v>2022</v>
      </c>
      <c r="F377" s="1">
        <f t="shared" si="27"/>
        <v>44583</v>
      </c>
      <c r="G377" s="1" t="s">
        <v>316</v>
      </c>
      <c r="H377" s="2">
        <v>44853</v>
      </c>
      <c r="I377" t="s">
        <v>49</v>
      </c>
      <c r="J377">
        <v>7</v>
      </c>
      <c r="K377">
        <v>40265.480000000003</v>
      </c>
      <c r="L377" t="s">
        <v>268</v>
      </c>
      <c r="M377">
        <v>20</v>
      </c>
      <c r="N377" t="s">
        <v>36</v>
      </c>
      <c r="O377" s="3" t="s">
        <v>22</v>
      </c>
      <c r="P377" t="s">
        <v>40</v>
      </c>
      <c r="Q377" t="s">
        <v>56</v>
      </c>
      <c r="R377">
        <v>4</v>
      </c>
      <c r="S377" t="s">
        <v>102</v>
      </c>
      <c r="T377" s="4">
        <f t="shared" si="28"/>
        <v>281858.36000000004</v>
      </c>
      <c r="U377" s="4" t="str">
        <f t="shared" si="29"/>
        <v>Good</v>
      </c>
      <c r="V377" s="4" t="str">
        <f t="shared" si="30"/>
        <v>Excellent</v>
      </c>
      <c r="W377" s="4"/>
      <c r="X377" s="4"/>
      <c r="AJ377" s="4"/>
    </row>
    <row r="378" spans="1:36">
      <c r="A378" t="str">
        <f t="shared" si="26"/>
        <v>Tapa46377</v>
      </c>
      <c r="B378">
        <v>377</v>
      </c>
      <c r="C378">
        <v>22</v>
      </c>
      <c r="D378">
        <v>1</v>
      </c>
      <c r="E378">
        <v>2022</v>
      </c>
      <c r="F378" s="1">
        <f t="shared" si="27"/>
        <v>44583</v>
      </c>
      <c r="G378" s="1" t="s">
        <v>316</v>
      </c>
      <c r="H378" s="2">
        <v>44854</v>
      </c>
      <c r="I378" t="s">
        <v>43</v>
      </c>
      <c r="J378">
        <v>9</v>
      </c>
      <c r="K378">
        <v>45104.67</v>
      </c>
      <c r="L378" t="s">
        <v>380</v>
      </c>
      <c r="M378">
        <v>46</v>
      </c>
      <c r="N378" t="s">
        <v>61</v>
      </c>
      <c r="O378" s="3" t="s">
        <v>22</v>
      </c>
      <c r="P378" t="s">
        <v>29</v>
      </c>
      <c r="Q378" t="s">
        <v>41</v>
      </c>
      <c r="R378">
        <v>5</v>
      </c>
      <c r="S378" t="s">
        <v>46</v>
      </c>
      <c r="T378" s="4">
        <f t="shared" si="28"/>
        <v>405942.02999999997</v>
      </c>
      <c r="U378" s="4" t="str">
        <f t="shared" si="29"/>
        <v>Good</v>
      </c>
      <c r="V378" s="4" t="str">
        <f t="shared" si="30"/>
        <v>Excellent</v>
      </c>
      <c r="W378" s="4"/>
      <c r="X378" s="4"/>
      <c r="AJ378" s="4"/>
    </row>
    <row r="379" spans="1:36">
      <c r="A379" t="str">
        <f t="shared" si="26"/>
        <v>Nami23378</v>
      </c>
      <c r="B379">
        <v>378</v>
      </c>
      <c r="C379">
        <v>22</v>
      </c>
      <c r="D379">
        <v>1</v>
      </c>
      <c r="E379">
        <v>2022</v>
      </c>
      <c r="F379" s="1">
        <f t="shared" si="27"/>
        <v>44583</v>
      </c>
      <c r="G379" s="1" t="s">
        <v>316</v>
      </c>
      <c r="H379" s="2">
        <v>44855</v>
      </c>
      <c r="I379" t="s">
        <v>49</v>
      </c>
      <c r="J379">
        <v>9</v>
      </c>
      <c r="K379">
        <v>40790.199999999997</v>
      </c>
      <c r="L379" t="s">
        <v>381</v>
      </c>
      <c r="M379">
        <v>23</v>
      </c>
      <c r="N379" t="s">
        <v>36</v>
      </c>
      <c r="O379" s="3" t="s">
        <v>28</v>
      </c>
      <c r="P379" t="s">
        <v>150</v>
      </c>
      <c r="Q379" t="s">
        <v>24</v>
      </c>
      <c r="R379">
        <v>3</v>
      </c>
      <c r="S379" t="s">
        <v>52</v>
      </c>
      <c r="T379" s="4">
        <f t="shared" si="28"/>
        <v>367111.8</v>
      </c>
      <c r="U379" s="4" t="str">
        <f t="shared" si="29"/>
        <v>Average</v>
      </c>
      <c r="V379" s="4" t="str">
        <f t="shared" si="30"/>
        <v>Excellent</v>
      </c>
      <c r="W379" s="4"/>
      <c r="X379" s="4"/>
      <c r="AJ379" s="4"/>
    </row>
    <row r="380" spans="1:36">
      <c r="A380" t="str">
        <f t="shared" si="26"/>
        <v>Arun40379</v>
      </c>
      <c r="B380">
        <v>379</v>
      </c>
      <c r="C380">
        <v>22</v>
      </c>
      <c r="D380">
        <v>1</v>
      </c>
      <c r="E380">
        <v>2022</v>
      </c>
      <c r="F380" s="1">
        <f t="shared" si="27"/>
        <v>44583</v>
      </c>
      <c r="G380" s="1" t="s">
        <v>316</v>
      </c>
      <c r="H380" s="2">
        <v>44856</v>
      </c>
      <c r="I380" t="s">
        <v>49</v>
      </c>
      <c r="J380">
        <v>3</v>
      </c>
      <c r="K380">
        <v>39741.449999999997</v>
      </c>
      <c r="L380" t="s">
        <v>382</v>
      </c>
      <c r="M380">
        <v>40</v>
      </c>
      <c r="N380" t="s">
        <v>21</v>
      </c>
      <c r="O380" s="3" t="s">
        <v>28</v>
      </c>
      <c r="P380" t="s">
        <v>29</v>
      </c>
      <c r="Q380" t="s">
        <v>24</v>
      </c>
      <c r="R380">
        <v>3</v>
      </c>
      <c r="S380" t="s">
        <v>88</v>
      </c>
      <c r="T380" s="4">
        <f t="shared" si="28"/>
        <v>119224.34999999999</v>
      </c>
      <c r="U380" s="4" t="str">
        <f t="shared" si="29"/>
        <v>Average</v>
      </c>
      <c r="V380" s="4" t="str">
        <f t="shared" si="30"/>
        <v>Good</v>
      </c>
      <c r="W380" s="4"/>
      <c r="X380" s="4"/>
      <c r="AJ380" s="4"/>
    </row>
    <row r="381" spans="1:36">
      <c r="A381" t="str">
        <f t="shared" si="26"/>
        <v>Mala45380</v>
      </c>
      <c r="B381">
        <v>380</v>
      </c>
      <c r="C381">
        <v>23</v>
      </c>
      <c r="D381">
        <v>1</v>
      </c>
      <c r="E381">
        <v>2022</v>
      </c>
      <c r="F381" s="1">
        <f t="shared" si="27"/>
        <v>44584</v>
      </c>
      <c r="G381" s="1" t="s">
        <v>316</v>
      </c>
      <c r="H381" s="2">
        <v>44857</v>
      </c>
      <c r="I381" t="s">
        <v>26</v>
      </c>
      <c r="J381">
        <v>4</v>
      </c>
      <c r="K381">
        <v>29964.05</v>
      </c>
      <c r="L381" t="s">
        <v>383</v>
      </c>
      <c r="M381">
        <v>45</v>
      </c>
      <c r="N381" t="s">
        <v>21</v>
      </c>
      <c r="O381" s="3" t="s">
        <v>22</v>
      </c>
      <c r="P381" t="s">
        <v>45</v>
      </c>
      <c r="Q381" t="s">
        <v>30</v>
      </c>
      <c r="R381">
        <v>4</v>
      </c>
      <c r="S381" t="s">
        <v>34</v>
      </c>
      <c r="T381" s="4">
        <f t="shared" si="28"/>
        <v>119856.2</v>
      </c>
      <c r="U381" s="4" t="str">
        <f t="shared" si="29"/>
        <v>Good</v>
      </c>
      <c r="V381" s="4" t="str">
        <f t="shared" si="30"/>
        <v>Good</v>
      </c>
      <c r="W381" s="4"/>
      <c r="X381" s="4"/>
      <c r="AJ381" s="4"/>
    </row>
    <row r="382" spans="1:36">
      <c r="A382" t="str">
        <f t="shared" si="26"/>
        <v>Deve31381</v>
      </c>
      <c r="B382">
        <v>381</v>
      </c>
      <c r="C382">
        <v>23</v>
      </c>
      <c r="D382">
        <v>1</v>
      </c>
      <c r="E382">
        <v>2022</v>
      </c>
      <c r="F382" s="1">
        <f t="shared" si="27"/>
        <v>44584</v>
      </c>
      <c r="G382" s="1" t="s">
        <v>316</v>
      </c>
      <c r="H382" s="2">
        <v>44858</v>
      </c>
      <c r="I382" t="s">
        <v>19</v>
      </c>
      <c r="J382">
        <v>2</v>
      </c>
      <c r="K382">
        <v>14270.81</v>
      </c>
      <c r="L382" t="s">
        <v>384</v>
      </c>
      <c r="M382">
        <v>31</v>
      </c>
      <c r="N382" t="s">
        <v>21</v>
      </c>
      <c r="O382" s="3" t="s">
        <v>22</v>
      </c>
      <c r="P382" t="s">
        <v>33</v>
      </c>
      <c r="Q382" t="s">
        <v>56</v>
      </c>
      <c r="R382">
        <v>5</v>
      </c>
      <c r="S382" t="s">
        <v>37</v>
      </c>
      <c r="T382" s="4">
        <f t="shared" si="28"/>
        <v>28541.62</v>
      </c>
      <c r="U382" s="4" t="str">
        <f t="shared" si="29"/>
        <v>Good</v>
      </c>
      <c r="V382" s="4" t="str">
        <f t="shared" si="30"/>
        <v>Low</v>
      </c>
      <c r="W382" s="4"/>
      <c r="X382" s="4"/>
      <c r="AJ382" s="4"/>
    </row>
    <row r="383" spans="1:36">
      <c r="A383" t="str">
        <f t="shared" si="26"/>
        <v>Ravi31382</v>
      </c>
      <c r="B383">
        <v>382</v>
      </c>
      <c r="C383">
        <v>23</v>
      </c>
      <c r="D383">
        <v>1</v>
      </c>
      <c r="E383">
        <v>2022</v>
      </c>
      <c r="F383" s="1">
        <f t="shared" si="27"/>
        <v>44584</v>
      </c>
      <c r="G383" s="1" t="s">
        <v>316</v>
      </c>
      <c r="H383" s="2">
        <v>44859</v>
      </c>
      <c r="I383" t="s">
        <v>43</v>
      </c>
      <c r="J383">
        <v>3</v>
      </c>
      <c r="K383">
        <v>15371.21</v>
      </c>
      <c r="L383" t="s">
        <v>385</v>
      </c>
      <c r="M383">
        <v>31</v>
      </c>
      <c r="N383" t="s">
        <v>21</v>
      </c>
      <c r="O383" s="3" t="s">
        <v>22</v>
      </c>
      <c r="P383" t="s">
        <v>29</v>
      </c>
      <c r="Q383" t="s">
        <v>24</v>
      </c>
      <c r="R383">
        <v>4</v>
      </c>
      <c r="S383" t="s">
        <v>57</v>
      </c>
      <c r="T383" s="4">
        <f t="shared" si="28"/>
        <v>46113.63</v>
      </c>
      <c r="U383" s="4" t="str">
        <f t="shared" si="29"/>
        <v>Good</v>
      </c>
      <c r="V383" s="4" t="str">
        <f t="shared" si="30"/>
        <v>Low</v>
      </c>
      <c r="W383" s="4"/>
      <c r="X383" s="4"/>
      <c r="AJ383" s="4"/>
    </row>
    <row r="384" spans="1:36">
      <c r="A384" t="str">
        <f t="shared" si="26"/>
        <v>Rame37383</v>
      </c>
      <c r="B384">
        <v>383</v>
      </c>
      <c r="C384">
        <v>23</v>
      </c>
      <c r="D384">
        <v>1</v>
      </c>
      <c r="E384">
        <v>2022</v>
      </c>
      <c r="F384" s="1">
        <f t="shared" si="27"/>
        <v>44584</v>
      </c>
      <c r="G384" s="1" t="s">
        <v>316</v>
      </c>
      <c r="H384" s="2">
        <v>44860</v>
      </c>
      <c r="I384" t="s">
        <v>26</v>
      </c>
      <c r="J384">
        <v>5</v>
      </c>
      <c r="K384">
        <v>36026.699999999997</v>
      </c>
      <c r="L384" t="s">
        <v>386</v>
      </c>
      <c r="M384">
        <v>37</v>
      </c>
      <c r="N384" t="s">
        <v>21</v>
      </c>
      <c r="O384" s="3" t="s">
        <v>22</v>
      </c>
      <c r="P384" t="s">
        <v>51</v>
      </c>
      <c r="Q384" t="s">
        <v>56</v>
      </c>
      <c r="R384">
        <v>4</v>
      </c>
      <c r="S384" t="s">
        <v>31</v>
      </c>
      <c r="T384" s="4">
        <f t="shared" si="28"/>
        <v>180133.5</v>
      </c>
      <c r="U384" s="4" t="str">
        <f t="shared" si="29"/>
        <v>Good</v>
      </c>
      <c r="V384" s="4" t="str">
        <f t="shared" si="30"/>
        <v>Good</v>
      </c>
      <c r="W384" s="4"/>
      <c r="X384" s="4"/>
      <c r="AJ384" s="4"/>
    </row>
    <row r="385" spans="1:36">
      <c r="A385" t="str">
        <f t="shared" si="26"/>
        <v>Priy30384</v>
      </c>
      <c r="B385">
        <v>384</v>
      </c>
      <c r="C385">
        <v>24</v>
      </c>
      <c r="D385">
        <v>1</v>
      </c>
      <c r="E385">
        <v>2022</v>
      </c>
      <c r="F385" s="1">
        <f t="shared" si="27"/>
        <v>44585</v>
      </c>
      <c r="G385" s="1" t="s">
        <v>316</v>
      </c>
      <c r="H385" s="2">
        <v>44861</v>
      </c>
      <c r="I385" t="s">
        <v>19</v>
      </c>
      <c r="J385">
        <v>5</v>
      </c>
      <c r="K385">
        <v>31347.59</v>
      </c>
      <c r="L385" t="s">
        <v>212</v>
      </c>
      <c r="M385">
        <v>30</v>
      </c>
      <c r="N385" t="s">
        <v>36</v>
      </c>
      <c r="O385" s="3" t="s">
        <v>22</v>
      </c>
      <c r="P385" t="s">
        <v>64</v>
      </c>
      <c r="Q385" t="s">
        <v>30</v>
      </c>
      <c r="R385">
        <v>5</v>
      </c>
      <c r="S385" t="s">
        <v>25</v>
      </c>
      <c r="T385" s="4">
        <f t="shared" si="28"/>
        <v>156737.95000000001</v>
      </c>
      <c r="U385" s="4" t="str">
        <f t="shared" si="29"/>
        <v>Good</v>
      </c>
      <c r="V385" s="4" t="str">
        <f t="shared" si="30"/>
        <v>Good</v>
      </c>
      <c r="W385" s="4"/>
      <c r="X385" s="4"/>
      <c r="AJ385" s="4"/>
    </row>
    <row r="386" spans="1:36">
      <c r="A386" t="str">
        <f t="shared" ref="A386:A449" si="31">LEFT(L386,4)&amp;M386&amp;B386</f>
        <v>Sumi44385</v>
      </c>
      <c r="B386">
        <v>385</v>
      </c>
      <c r="C386">
        <v>24</v>
      </c>
      <c r="D386">
        <v>1</v>
      </c>
      <c r="E386">
        <v>2022</v>
      </c>
      <c r="F386" s="1">
        <f t="shared" si="27"/>
        <v>44585</v>
      </c>
      <c r="G386" s="1" t="s">
        <v>316</v>
      </c>
      <c r="H386" s="2">
        <v>44862</v>
      </c>
      <c r="I386" t="s">
        <v>19</v>
      </c>
      <c r="J386">
        <v>6</v>
      </c>
      <c r="K386">
        <v>40968.089999999997</v>
      </c>
      <c r="L386" t="s">
        <v>367</v>
      </c>
      <c r="M386">
        <v>44</v>
      </c>
      <c r="N386" t="s">
        <v>21</v>
      </c>
      <c r="O386" s="3" t="s">
        <v>22</v>
      </c>
      <c r="P386" t="s">
        <v>29</v>
      </c>
      <c r="Q386" t="s">
        <v>30</v>
      </c>
      <c r="R386">
        <v>5</v>
      </c>
      <c r="S386" t="s">
        <v>25</v>
      </c>
      <c r="T386" s="4">
        <f t="shared" si="28"/>
        <v>245808.53999999998</v>
      </c>
      <c r="U386" s="4" t="str">
        <f t="shared" si="29"/>
        <v>Good</v>
      </c>
      <c r="V386" s="4" t="str">
        <f t="shared" si="30"/>
        <v>Excellent</v>
      </c>
      <c r="W386" s="4"/>
      <c r="X386" s="4"/>
      <c r="AJ386" s="4"/>
    </row>
    <row r="387" spans="1:36">
      <c r="A387" t="str">
        <f t="shared" si="31"/>
        <v>Bina52386</v>
      </c>
      <c r="B387">
        <v>386</v>
      </c>
      <c r="C387">
        <v>24</v>
      </c>
      <c r="D387">
        <v>1</v>
      </c>
      <c r="E387">
        <v>2022</v>
      </c>
      <c r="F387" s="1">
        <f t="shared" ref="F387:F450" si="32">DATE(E387,D387,C387)</f>
        <v>44585</v>
      </c>
      <c r="G387" s="1" t="s">
        <v>316</v>
      </c>
      <c r="H387" s="2">
        <v>44863</v>
      </c>
      <c r="I387" t="s">
        <v>38</v>
      </c>
      <c r="J387">
        <v>7</v>
      </c>
      <c r="K387">
        <v>28290.29</v>
      </c>
      <c r="L387" t="s">
        <v>387</v>
      </c>
      <c r="M387">
        <v>52</v>
      </c>
      <c r="N387" t="s">
        <v>61</v>
      </c>
      <c r="O387" s="3" t="s">
        <v>22</v>
      </c>
      <c r="P387" t="s">
        <v>77</v>
      </c>
      <c r="Q387" t="s">
        <v>30</v>
      </c>
      <c r="R387">
        <v>5</v>
      </c>
      <c r="S387" t="s">
        <v>48</v>
      </c>
      <c r="T387" s="4">
        <f t="shared" ref="T387:T450" si="33">J387*K387</f>
        <v>198032.03</v>
      </c>
      <c r="U387" s="4" t="str">
        <f t="shared" ref="U387:U450" si="34">IF(R387&gt;=4,"Good","Average")</f>
        <v>Good</v>
      </c>
      <c r="V387" s="4" t="str">
        <f t="shared" ref="V387:V450" si="35">IF(T387&gt;200000,"Excellent",IF(T387&gt;100000,"Good",IF(T387&gt;50000,"Average","Low")))</f>
        <v>Good</v>
      </c>
      <c r="W387" s="4"/>
      <c r="X387" s="4"/>
      <c r="AJ387" s="4"/>
    </row>
    <row r="388" spans="1:36">
      <c r="A388" t="str">
        <f t="shared" si="31"/>
        <v>Kira19387</v>
      </c>
      <c r="B388">
        <v>387</v>
      </c>
      <c r="C388">
        <v>24</v>
      </c>
      <c r="D388">
        <v>1</v>
      </c>
      <c r="E388">
        <v>2022</v>
      </c>
      <c r="F388" s="1">
        <f t="shared" si="32"/>
        <v>44585</v>
      </c>
      <c r="G388" s="1" t="s">
        <v>316</v>
      </c>
      <c r="H388" s="2">
        <v>44864</v>
      </c>
      <c r="I388" t="s">
        <v>43</v>
      </c>
      <c r="J388">
        <v>7</v>
      </c>
      <c r="K388">
        <v>51274.61</v>
      </c>
      <c r="L388" t="s">
        <v>265</v>
      </c>
      <c r="M388">
        <v>19</v>
      </c>
      <c r="N388" t="s">
        <v>36</v>
      </c>
      <c r="O388" s="3" t="s">
        <v>22</v>
      </c>
      <c r="P388" t="s">
        <v>45</v>
      </c>
      <c r="Q388" t="s">
        <v>56</v>
      </c>
      <c r="R388">
        <v>5</v>
      </c>
      <c r="S388" t="s">
        <v>57</v>
      </c>
      <c r="T388" s="4">
        <f t="shared" si="33"/>
        <v>358922.27</v>
      </c>
      <c r="U388" s="4" t="str">
        <f t="shared" si="34"/>
        <v>Good</v>
      </c>
      <c r="V388" s="4" t="str">
        <f t="shared" si="35"/>
        <v>Excellent</v>
      </c>
      <c r="W388" s="4"/>
      <c r="X388" s="4"/>
      <c r="AJ388" s="4"/>
    </row>
    <row r="389" spans="1:36">
      <c r="A389" t="str">
        <f t="shared" si="31"/>
        <v>Kuna58388</v>
      </c>
      <c r="B389">
        <v>388</v>
      </c>
      <c r="C389">
        <v>25</v>
      </c>
      <c r="D389">
        <v>1</v>
      </c>
      <c r="E389">
        <v>2022</v>
      </c>
      <c r="F389" s="1">
        <f t="shared" si="32"/>
        <v>44586</v>
      </c>
      <c r="G389" s="1" t="s">
        <v>316</v>
      </c>
      <c r="H389" s="2">
        <v>44865</v>
      </c>
      <c r="I389" t="s">
        <v>19</v>
      </c>
      <c r="J389">
        <v>1</v>
      </c>
      <c r="K389">
        <v>61837.29</v>
      </c>
      <c r="L389" t="s">
        <v>388</v>
      </c>
      <c r="M389">
        <v>58</v>
      </c>
      <c r="N389" t="s">
        <v>61</v>
      </c>
      <c r="O389" s="3" t="s">
        <v>22</v>
      </c>
      <c r="P389" t="s">
        <v>117</v>
      </c>
      <c r="Q389" t="s">
        <v>24</v>
      </c>
      <c r="R389">
        <v>4</v>
      </c>
      <c r="S389" t="s">
        <v>84</v>
      </c>
      <c r="T389" s="4">
        <f t="shared" si="33"/>
        <v>61837.29</v>
      </c>
      <c r="U389" s="4" t="str">
        <f t="shared" si="34"/>
        <v>Good</v>
      </c>
      <c r="V389" s="4" t="str">
        <f t="shared" si="35"/>
        <v>Average</v>
      </c>
      <c r="W389" s="4"/>
      <c r="X389" s="4"/>
      <c r="AJ389" s="4"/>
    </row>
    <row r="390" spans="1:36">
      <c r="A390" t="str">
        <f t="shared" si="31"/>
        <v>Vino57389</v>
      </c>
      <c r="B390">
        <v>389</v>
      </c>
      <c r="C390">
        <v>25</v>
      </c>
      <c r="D390">
        <v>1</v>
      </c>
      <c r="E390">
        <v>2022</v>
      </c>
      <c r="F390" s="1">
        <f t="shared" si="32"/>
        <v>44586</v>
      </c>
      <c r="G390" s="1" t="s">
        <v>316</v>
      </c>
      <c r="H390" s="2">
        <v>44866</v>
      </c>
      <c r="I390" t="s">
        <v>26</v>
      </c>
      <c r="J390">
        <v>2</v>
      </c>
      <c r="K390">
        <v>27931.79</v>
      </c>
      <c r="L390" t="s">
        <v>389</v>
      </c>
      <c r="M390">
        <v>57</v>
      </c>
      <c r="N390" t="s">
        <v>61</v>
      </c>
      <c r="O390" s="3" t="s">
        <v>22</v>
      </c>
      <c r="P390" t="s">
        <v>77</v>
      </c>
      <c r="Q390" t="s">
        <v>41</v>
      </c>
      <c r="R390">
        <v>4</v>
      </c>
      <c r="S390" t="s">
        <v>67</v>
      </c>
      <c r="T390" s="4">
        <f t="shared" si="33"/>
        <v>55863.58</v>
      </c>
      <c r="U390" s="4" t="str">
        <f t="shared" si="34"/>
        <v>Good</v>
      </c>
      <c r="V390" s="4" t="str">
        <f t="shared" si="35"/>
        <v>Average</v>
      </c>
      <c r="W390" s="4"/>
      <c r="X390" s="4"/>
      <c r="AJ390" s="4"/>
    </row>
    <row r="391" spans="1:36">
      <c r="A391" t="str">
        <f t="shared" si="31"/>
        <v>Sneh41390</v>
      </c>
      <c r="B391">
        <v>390</v>
      </c>
      <c r="C391">
        <v>25</v>
      </c>
      <c r="D391">
        <v>1</v>
      </c>
      <c r="E391">
        <v>2022</v>
      </c>
      <c r="F391" s="1">
        <f t="shared" si="32"/>
        <v>44586</v>
      </c>
      <c r="G391" s="1" t="s">
        <v>316</v>
      </c>
      <c r="H391" s="2">
        <v>44867</v>
      </c>
      <c r="I391" t="s">
        <v>38</v>
      </c>
      <c r="J391">
        <v>9</v>
      </c>
      <c r="K391">
        <v>21579.040000000001</v>
      </c>
      <c r="L391" t="s">
        <v>390</v>
      </c>
      <c r="M391">
        <v>41</v>
      </c>
      <c r="N391" t="s">
        <v>21</v>
      </c>
      <c r="O391" s="3" t="s">
        <v>22</v>
      </c>
      <c r="P391" t="s">
        <v>23</v>
      </c>
      <c r="Q391" t="s">
        <v>56</v>
      </c>
      <c r="R391">
        <v>4</v>
      </c>
      <c r="S391" t="s">
        <v>42</v>
      </c>
      <c r="T391" s="4">
        <f t="shared" si="33"/>
        <v>194211.36000000002</v>
      </c>
      <c r="U391" s="4" t="str">
        <f t="shared" si="34"/>
        <v>Good</v>
      </c>
      <c r="V391" s="4" t="str">
        <f t="shared" si="35"/>
        <v>Good</v>
      </c>
      <c r="W391" s="4"/>
      <c r="X391" s="4"/>
      <c r="AJ391" s="4"/>
    </row>
    <row r="392" spans="1:36">
      <c r="A392" t="str">
        <f t="shared" si="31"/>
        <v>Deve46391</v>
      </c>
      <c r="B392">
        <v>391</v>
      </c>
      <c r="C392">
        <v>25</v>
      </c>
      <c r="D392">
        <v>1</v>
      </c>
      <c r="E392">
        <v>2022</v>
      </c>
      <c r="F392" s="1">
        <f t="shared" si="32"/>
        <v>44586</v>
      </c>
      <c r="G392" s="1" t="s">
        <v>316</v>
      </c>
      <c r="H392" s="2">
        <v>44868</v>
      </c>
      <c r="I392" t="s">
        <v>43</v>
      </c>
      <c r="J392">
        <v>2</v>
      </c>
      <c r="K392">
        <v>16970.830000000002</v>
      </c>
      <c r="L392" t="s">
        <v>308</v>
      </c>
      <c r="M392">
        <v>46</v>
      </c>
      <c r="N392" t="s">
        <v>61</v>
      </c>
      <c r="O392" s="3" t="s">
        <v>22</v>
      </c>
      <c r="P392" t="s">
        <v>33</v>
      </c>
      <c r="Q392" t="s">
        <v>30</v>
      </c>
      <c r="R392">
        <v>4</v>
      </c>
      <c r="S392" t="s">
        <v>57</v>
      </c>
      <c r="T392" s="4">
        <f t="shared" si="33"/>
        <v>33941.660000000003</v>
      </c>
      <c r="U392" s="4" t="str">
        <f t="shared" si="34"/>
        <v>Good</v>
      </c>
      <c r="V392" s="4" t="str">
        <f t="shared" si="35"/>
        <v>Low</v>
      </c>
      <c r="W392" s="4"/>
      <c r="X392" s="4"/>
      <c r="AJ392" s="4"/>
    </row>
    <row r="393" spans="1:36">
      <c r="A393" t="str">
        <f t="shared" si="31"/>
        <v>Radh20392</v>
      </c>
      <c r="B393">
        <v>392</v>
      </c>
      <c r="C393">
        <v>26</v>
      </c>
      <c r="D393">
        <v>1</v>
      </c>
      <c r="E393">
        <v>2022</v>
      </c>
      <c r="F393" s="1">
        <f t="shared" si="32"/>
        <v>44587</v>
      </c>
      <c r="G393" s="1" t="s">
        <v>316</v>
      </c>
      <c r="H393" s="2">
        <v>44869</v>
      </c>
      <c r="I393" t="s">
        <v>49</v>
      </c>
      <c r="J393">
        <v>6</v>
      </c>
      <c r="K393">
        <v>46975.24</v>
      </c>
      <c r="L393" t="s">
        <v>391</v>
      </c>
      <c r="M393">
        <v>20</v>
      </c>
      <c r="N393" t="s">
        <v>36</v>
      </c>
      <c r="O393" s="3" t="s">
        <v>22</v>
      </c>
      <c r="P393" t="s">
        <v>64</v>
      </c>
      <c r="Q393" t="s">
        <v>41</v>
      </c>
      <c r="R393">
        <v>4</v>
      </c>
      <c r="S393" t="s">
        <v>88</v>
      </c>
      <c r="T393" s="4">
        <f t="shared" si="33"/>
        <v>281851.44</v>
      </c>
      <c r="U393" s="4" t="str">
        <f t="shared" si="34"/>
        <v>Good</v>
      </c>
      <c r="V393" s="4" t="str">
        <f t="shared" si="35"/>
        <v>Excellent</v>
      </c>
      <c r="W393" s="4"/>
      <c r="X393" s="4"/>
      <c r="AJ393" s="4"/>
    </row>
    <row r="394" spans="1:36">
      <c r="A394" t="str">
        <f t="shared" si="31"/>
        <v>Kris21393</v>
      </c>
      <c r="B394">
        <v>393</v>
      </c>
      <c r="C394">
        <v>26</v>
      </c>
      <c r="D394">
        <v>1</v>
      </c>
      <c r="E394">
        <v>2022</v>
      </c>
      <c r="F394" s="1">
        <f t="shared" si="32"/>
        <v>44587</v>
      </c>
      <c r="G394" s="1" t="s">
        <v>316</v>
      </c>
      <c r="H394" s="2">
        <v>44870</v>
      </c>
      <c r="I394" t="s">
        <v>26</v>
      </c>
      <c r="J394">
        <v>1</v>
      </c>
      <c r="K394">
        <v>36631.360000000001</v>
      </c>
      <c r="L394" t="s">
        <v>392</v>
      </c>
      <c r="M394">
        <v>21</v>
      </c>
      <c r="N394" t="s">
        <v>36</v>
      </c>
      <c r="O394" s="3" t="s">
        <v>22</v>
      </c>
      <c r="P394" t="s">
        <v>40</v>
      </c>
      <c r="Q394" t="s">
        <v>41</v>
      </c>
      <c r="R394">
        <v>5</v>
      </c>
      <c r="S394" t="s">
        <v>34</v>
      </c>
      <c r="T394" s="4">
        <f t="shared" si="33"/>
        <v>36631.360000000001</v>
      </c>
      <c r="U394" s="4" t="str">
        <f t="shared" si="34"/>
        <v>Good</v>
      </c>
      <c r="V394" s="4" t="str">
        <f t="shared" si="35"/>
        <v>Low</v>
      </c>
      <c r="W394" s="4"/>
      <c r="X394" s="4"/>
      <c r="AJ394" s="4"/>
    </row>
    <row r="395" spans="1:36">
      <c r="A395" t="str">
        <f t="shared" si="31"/>
        <v>Vija19394</v>
      </c>
      <c r="B395">
        <v>394</v>
      </c>
      <c r="C395">
        <v>26</v>
      </c>
      <c r="D395">
        <v>1</v>
      </c>
      <c r="E395">
        <v>2022</v>
      </c>
      <c r="F395" s="1">
        <f t="shared" si="32"/>
        <v>44587</v>
      </c>
      <c r="G395" s="1" t="s">
        <v>316</v>
      </c>
      <c r="H395" s="2">
        <v>44871</v>
      </c>
      <c r="I395" t="s">
        <v>19</v>
      </c>
      <c r="J395">
        <v>3</v>
      </c>
      <c r="K395">
        <v>21280.94</v>
      </c>
      <c r="L395" t="s">
        <v>393</v>
      </c>
      <c r="M395">
        <v>19</v>
      </c>
      <c r="N395" t="s">
        <v>36</v>
      </c>
      <c r="O395" s="3" t="s">
        <v>22</v>
      </c>
      <c r="P395" t="s">
        <v>40</v>
      </c>
      <c r="Q395" t="s">
        <v>41</v>
      </c>
      <c r="R395">
        <v>4</v>
      </c>
      <c r="S395" t="s">
        <v>84</v>
      </c>
      <c r="T395" s="4">
        <f t="shared" si="33"/>
        <v>63842.819999999992</v>
      </c>
      <c r="U395" s="4" t="str">
        <f t="shared" si="34"/>
        <v>Good</v>
      </c>
      <c r="V395" s="4" t="str">
        <f t="shared" si="35"/>
        <v>Average</v>
      </c>
      <c r="W395" s="4"/>
      <c r="X395" s="4"/>
      <c r="AJ395" s="4"/>
    </row>
    <row r="396" spans="1:36">
      <c r="A396" t="str">
        <f t="shared" si="31"/>
        <v>Reen37395</v>
      </c>
      <c r="B396">
        <v>395</v>
      </c>
      <c r="C396">
        <v>27</v>
      </c>
      <c r="D396">
        <v>1</v>
      </c>
      <c r="E396">
        <v>2022</v>
      </c>
      <c r="F396" s="1">
        <f t="shared" si="32"/>
        <v>44588</v>
      </c>
      <c r="G396" s="1" t="s">
        <v>316</v>
      </c>
      <c r="H396" s="2">
        <v>44872</v>
      </c>
      <c r="I396" t="s">
        <v>19</v>
      </c>
      <c r="J396">
        <v>2</v>
      </c>
      <c r="K396">
        <v>49188.2</v>
      </c>
      <c r="L396" t="s">
        <v>221</v>
      </c>
      <c r="M396">
        <v>37</v>
      </c>
      <c r="N396" t="s">
        <v>21</v>
      </c>
      <c r="O396" s="3" t="s">
        <v>28</v>
      </c>
      <c r="P396" t="s">
        <v>33</v>
      </c>
      <c r="Q396" t="s">
        <v>41</v>
      </c>
      <c r="R396">
        <v>3</v>
      </c>
      <c r="S396" t="s">
        <v>37</v>
      </c>
      <c r="T396" s="4">
        <f t="shared" si="33"/>
        <v>98376.4</v>
      </c>
      <c r="U396" s="4" t="str">
        <f t="shared" si="34"/>
        <v>Average</v>
      </c>
      <c r="V396" s="4" t="str">
        <f t="shared" si="35"/>
        <v>Average</v>
      </c>
      <c r="W396" s="4"/>
      <c r="X396" s="4"/>
      <c r="AJ396" s="4"/>
    </row>
    <row r="397" spans="1:36">
      <c r="A397" t="str">
        <f t="shared" si="31"/>
        <v>Yoge32396</v>
      </c>
      <c r="B397">
        <v>396</v>
      </c>
      <c r="C397">
        <v>27</v>
      </c>
      <c r="D397">
        <v>1</v>
      </c>
      <c r="E397">
        <v>2022</v>
      </c>
      <c r="F397" s="1">
        <f t="shared" si="32"/>
        <v>44588</v>
      </c>
      <c r="G397" s="1" t="s">
        <v>316</v>
      </c>
      <c r="H397" s="2">
        <v>44873</v>
      </c>
      <c r="I397" t="s">
        <v>26</v>
      </c>
      <c r="J397">
        <v>3</v>
      </c>
      <c r="K397">
        <v>18908.990000000002</v>
      </c>
      <c r="L397" t="s">
        <v>394</v>
      </c>
      <c r="M397">
        <v>32</v>
      </c>
      <c r="N397" t="s">
        <v>21</v>
      </c>
      <c r="O397" s="3" t="s">
        <v>28</v>
      </c>
      <c r="P397" t="s">
        <v>51</v>
      </c>
      <c r="Q397" t="s">
        <v>41</v>
      </c>
      <c r="R397">
        <v>3</v>
      </c>
      <c r="S397" t="s">
        <v>34</v>
      </c>
      <c r="T397" s="4">
        <f t="shared" si="33"/>
        <v>56726.97</v>
      </c>
      <c r="U397" s="4" t="str">
        <f t="shared" si="34"/>
        <v>Average</v>
      </c>
      <c r="V397" s="4" t="str">
        <f t="shared" si="35"/>
        <v>Average</v>
      </c>
      <c r="W397" s="4"/>
      <c r="X397" s="4"/>
      <c r="AJ397" s="4"/>
    </row>
    <row r="398" spans="1:36">
      <c r="A398" t="str">
        <f t="shared" si="31"/>
        <v>Sanj49397</v>
      </c>
      <c r="B398">
        <v>397</v>
      </c>
      <c r="C398">
        <v>27</v>
      </c>
      <c r="D398">
        <v>1</v>
      </c>
      <c r="E398">
        <v>2022</v>
      </c>
      <c r="F398" s="1">
        <f t="shared" si="32"/>
        <v>44588</v>
      </c>
      <c r="G398" s="1" t="s">
        <v>316</v>
      </c>
      <c r="H398" s="2">
        <v>44874</v>
      </c>
      <c r="I398" t="s">
        <v>19</v>
      </c>
      <c r="J398">
        <v>5</v>
      </c>
      <c r="K398">
        <v>43258.04</v>
      </c>
      <c r="L398" t="s">
        <v>395</v>
      </c>
      <c r="M398">
        <v>49</v>
      </c>
      <c r="N398" t="s">
        <v>61</v>
      </c>
      <c r="O398" s="3" t="s">
        <v>22</v>
      </c>
      <c r="P398" t="s">
        <v>90</v>
      </c>
      <c r="Q398" t="s">
        <v>30</v>
      </c>
      <c r="R398">
        <v>5</v>
      </c>
      <c r="S398" t="s">
        <v>84</v>
      </c>
      <c r="T398" s="4">
        <f t="shared" si="33"/>
        <v>216290.2</v>
      </c>
      <c r="U398" s="4" t="str">
        <f t="shared" si="34"/>
        <v>Good</v>
      </c>
      <c r="V398" s="4" t="str">
        <f t="shared" si="35"/>
        <v>Excellent</v>
      </c>
      <c r="W398" s="4"/>
      <c r="X398" s="4"/>
      <c r="AJ398" s="4"/>
    </row>
    <row r="399" spans="1:36">
      <c r="A399" t="str">
        <f t="shared" si="31"/>
        <v>Neet59398</v>
      </c>
      <c r="B399">
        <v>398</v>
      </c>
      <c r="C399">
        <v>27</v>
      </c>
      <c r="D399">
        <v>1</v>
      </c>
      <c r="E399">
        <v>2022</v>
      </c>
      <c r="F399" s="1">
        <f t="shared" si="32"/>
        <v>44588</v>
      </c>
      <c r="G399" s="1" t="s">
        <v>316</v>
      </c>
      <c r="H399" s="2">
        <v>44875</v>
      </c>
      <c r="I399" t="s">
        <v>38</v>
      </c>
      <c r="J399">
        <v>6</v>
      </c>
      <c r="K399">
        <v>41628.9</v>
      </c>
      <c r="L399" t="s">
        <v>396</v>
      </c>
      <c r="M399">
        <v>59</v>
      </c>
      <c r="N399" t="s">
        <v>61</v>
      </c>
      <c r="O399" s="3" t="s">
        <v>22</v>
      </c>
      <c r="P399" t="s">
        <v>70</v>
      </c>
      <c r="Q399" t="s">
        <v>24</v>
      </c>
      <c r="R399">
        <v>5</v>
      </c>
      <c r="S399" t="s">
        <v>99</v>
      </c>
      <c r="T399" s="4">
        <f t="shared" si="33"/>
        <v>249773.40000000002</v>
      </c>
      <c r="U399" s="4" t="str">
        <f t="shared" si="34"/>
        <v>Good</v>
      </c>
      <c r="V399" s="4" t="str">
        <f t="shared" si="35"/>
        <v>Excellent</v>
      </c>
      <c r="W399" s="4"/>
      <c r="X399" s="4"/>
      <c r="AJ399" s="4"/>
    </row>
    <row r="400" spans="1:36">
      <c r="A400" t="str">
        <f t="shared" si="31"/>
        <v>Gita18399</v>
      </c>
      <c r="B400">
        <v>399</v>
      </c>
      <c r="C400">
        <v>28</v>
      </c>
      <c r="D400">
        <v>1</v>
      </c>
      <c r="E400">
        <v>2022</v>
      </c>
      <c r="F400" s="1">
        <f t="shared" si="32"/>
        <v>44589</v>
      </c>
      <c r="G400" s="1" t="s">
        <v>316</v>
      </c>
      <c r="H400" s="2">
        <v>44876</v>
      </c>
      <c r="I400" t="s">
        <v>43</v>
      </c>
      <c r="J400">
        <v>9</v>
      </c>
      <c r="K400">
        <v>54053.67</v>
      </c>
      <c r="L400" t="s">
        <v>397</v>
      </c>
      <c r="M400">
        <v>18</v>
      </c>
      <c r="N400" t="s">
        <v>36</v>
      </c>
      <c r="O400" s="3" t="s">
        <v>28</v>
      </c>
      <c r="P400" t="s">
        <v>29</v>
      </c>
      <c r="Q400" t="s">
        <v>41</v>
      </c>
      <c r="R400">
        <v>3</v>
      </c>
      <c r="S400" t="s">
        <v>46</v>
      </c>
      <c r="T400" s="4">
        <f t="shared" si="33"/>
        <v>486483.02999999997</v>
      </c>
      <c r="U400" s="4" t="str">
        <f t="shared" si="34"/>
        <v>Average</v>
      </c>
      <c r="V400" s="4" t="str">
        <f t="shared" si="35"/>
        <v>Excellent</v>
      </c>
      <c r="W400" s="4"/>
      <c r="X400" s="4"/>
      <c r="AJ400" s="4"/>
    </row>
    <row r="401" spans="1:36">
      <c r="A401" t="str">
        <f t="shared" si="31"/>
        <v>Vino55400</v>
      </c>
      <c r="B401">
        <v>400</v>
      </c>
      <c r="C401">
        <v>28</v>
      </c>
      <c r="D401">
        <v>1</v>
      </c>
      <c r="E401">
        <v>2022</v>
      </c>
      <c r="F401" s="1">
        <f t="shared" si="32"/>
        <v>44589</v>
      </c>
      <c r="G401" s="1" t="s">
        <v>316</v>
      </c>
      <c r="H401" s="2">
        <v>44877</v>
      </c>
      <c r="I401" t="s">
        <v>38</v>
      </c>
      <c r="J401">
        <v>4</v>
      </c>
      <c r="K401">
        <v>13306.58</v>
      </c>
      <c r="L401" t="s">
        <v>398</v>
      </c>
      <c r="M401">
        <v>55</v>
      </c>
      <c r="N401" t="s">
        <v>61</v>
      </c>
      <c r="O401" s="3" t="s">
        <v>22</v>
      </c>
      <c r="P401" t="s">
        <v>33</v>
      </c>
      <c r="Q401" t="s">
        <v>24</v>
      </c>
      <c r="R401">
        <v>5</v>
      </c>
      <c r="S401" t="s">
        <v>99</v>
      </c>
      <c r="T401" s="4">
        <f t="shared" si="33"/>
        <v>53226.32</v>
      </c>
      <c r="U401" s="4" t="str">
        <f t="shared" si="34"/>
        <v>Good</v>
      </c>
      <c r="V401" s="4" t="str">
        <f t="shared" si="35"/>
        <v>Average</v>
      </c>
      <c r="W401" s="4"/>
      <c r="X401" s="4"/>
      <c r="AJ401" s="4"/>
    </row>
    <row r="402" spans="1:36">
      <c r="A402" t="str">
        <f t="shared" si="31"/>
        <v>Hari52401</v>
      </c>
      <c r="B402">
        <v>401</v>
      </c>
      <c r="C402">
        <v>28</v>
      </c>
      <c r="D402">
        <v>1</v>
      </c>
      <c r="E402">
        <v>2022</v>
      </c>
      <c r="F402" s="1">
        <f t="shared" si="32"/>
        <v>44589</v>
      </c>
      <c r="G402" s="1" t="s">
        <v>316</v>
      </c>
      <c r="H402" s="2">
        <v>44878</v>
      </c>
      <c r="I402" t="s">
        <v>19</v>
      </c>
      <c r="J402">
        <v>7</v>
      </c>
      <c r="K402">
        <v>63272.38</v>
      </c>
      <c r="L402" t="s">
        <v>399</v>
      </c>
      <c r="M402">
        <v>52</v>
      </c>
      <c r="N402" t="s">
        <v>61</v>
      </c>
      <c r="O402" s="3" t="s">
        <v>22</v>
      </c>
      <c r="P402" t="s">
        <v>51</v>
      </c>
      <c r="Q402" t="s">
        <v>24</v>
      </c>
      <c r="R402">
        <v>5</v>
      </c>
      <c r="S402" t="s">
        <v>37</v>
      </c>
      <c r="T402" s="4">
        <f t="shared" si="33"/>
        <v>442906.66</v>
      </c>
      <c r="U402" s="4" t="str">
        <f t="shared" si="34"/>
        <v>Good</v>
      </c>
      <c r="V402" s="4" t="str">
        <f t="shared" si="35"/>
        <v>Excellent</v>
      </c>
      <c r="W402" s="4"/>
      <c r="X402" s="4"/>
      <c r="AJ402" s="4"/>
    </row>
    <row r="403" spans="1:36">
      <c r="A403" t="str">
        <f t="shared" si="31"/>
        <v>Sneh24402</v>
      </c>
      <c r="B403">
        <v>402</v>
      </c>
      <c r="C403">
        <v>29</v>
      </c>
      <c r="D403">
        <v>1</v>
      </c>
      <c r="E403">
        <v>2022</v>
      </c>
      <c r="F403" s="1">
        <f t="shared" si="32"/>
        <v>44590</v>
      </c>
      <c r="G403" s="1" t="s">
        <v>316</v>
      </c>
      <c r="H403" s="2">
        <v>44879</v>
      </c>
      <c r="I403" t="s">
        <v>49</v>
      </c>
      <c r="J403">
        <v>6</v>
      </c>
      <c r="K403">
        <v>52179.5</v>
      </c>
      <c r="L403" t="s">
        <v>400</v>
      </c>
      <c r="M403">
        <v>24</v>
      </c>
      <c r="N403" t="s">
        <v>36</v>
      </c>
      <c r="O403" s="3" t="s">
        <v>22</v>
      </c>
      <c r="P403" t="s">
        <v>64</v>
      </c>
      <c r="Q403" t="s">
        <v>56</v>
      </c>
      <c r="R403">
        <v>5</v>
      </c>
      <c r="S403" t="s">
        <v>88</v>
      </c>
      <c r="T403" s="4">
        <f t="shared" si="33"/>
        <v>313077</v>
      </c>
      <c r="U403" s="4" t="str">
        <f t="shared" si="34"/>
        <v>Good</v>
      </c>
      <c r="V403" s="4" t="str">
        <f t="shared" si="35"/>
        <v>Excellent</v>
      </c>
      <c r="W403" s="4"/>
      <c r="X403" s="4"/>
      <c r="AJ403" s="4"/>
    </row>
    <row r="404" spans="1:36">
      <c r="A404" t="str">
        <f t="shared" si="31"/>
        <v>Shru30403</v>
      </c>
      <c r="B404">
        <v>403</v>
      </c>
      <c r="C404">
        <v>29</v>
      </c>
      <c r="D404">
        <v>1</v>
      </c>
      <c r="E404">
        <v>2022</v>
      </c>
      <c r="F404" s="1">
        <f t="shared" si="32"/>
        <v>44590</v>
      </c>
      <c r="G404" s="1" t="s">
        <v>316</v>
      </c>
      <c r="H404" s="2">
        <v>44880</v>
      </c>
      <c r="I404" t="s">
        <v>43</v>
      </c>
      <c r="J404">
        <v>2</v>
      </c>
      <c r="K404">
        <v>22967.56</v>
      </c>
      <c r="L404" t="s">
        <v>140</v>
      </c>
      <c r="M404">
        <v>30</v>
      </c>
      <c r="N404" t="s">
        <v>36</v>
      </c>
      <c r="O404" s="3" t="s">
        <v>22</v>
      </c>
      <c r="P404" t="s">
        <v>29</v>
      </c>
      <c r="Q404" t="s">
        <v>30</v>
      </c>
      <c r="R404">
        <v>4</v>
      </c>
      <c r="S404" t="s">
        <v>95</v>
      </c>
      <c r="T404" s="4">
        <f t="shared" si="33"/>
        <v>45935.12</v>
      </c>
      <c r="U404" s="4" t="str">
        <f t="shared" si="34"/>
        <v>Good</v>
      </c>
      <c r="V404" s="4" t="str">
        <f t="shared" si="35"/>
        <v>Low</v>
      </c>
      <c r="W404" s="4"/>
      <c r="X404" s="4"/>
      <c r="AJ404" s="4"/>
    </row>
    <row r="405" spans="1:36">
      <c r="A405" t="str">
        <f t="shared" si="31"/>
        <v>Vive18404</v>
      </c>
      <c r="B405">
        <v>404</v>
      </c>
      <c r="C405">
        <v>29</v>
      </c>
      <c r="D405">
        <v>1</v>
      </c>
      <c r="E405">
        <v>2022</v>
      </c>
      <c r="F405" s="1">
        <f t="shared" si="32"/>
        <v>44590</v>
      </c>
      <c r="G405" s="1" t="s">
        <v>316</v>
      </c>
      <c r="H405" s="2">
        <v>44881</v>
      </c>
      <c r="I405" t="s">
        <v>43</v>
      </c>
      <c r="J405">
        <v>8</v>
      </c>
      <c r="K405">
        <v>21004.32</v>
      </c>
      <c r="L405" t="s">
        <v>401</v>
      </c>
      <c r="M405">
        <v>18</v>
      </c>
      <c r="N405" t="s">
        <v>36</v>
      </c>
      <c r="O405" s="3" t="s">
        <v>22</v>
      </c>
      <c r="P405" t="s">
        <v>77</v>
      </c>
      <c r="Q405" t="s">
        <v>41</v>
      </c>
      <c r="R405">
        <v>4</v>
      </c>
      <c r="S405" t="s">
        <v>95</v>
      </c>
      <c r="T405" s="4">
        <f t="shared" si="33"/>
        <v>168034.56</v>
      </c>
      <c r="U405" s="4" t="str">
        <f t="shared" si="34"/>
        <v>Good</v>
      </c>
      <c r="V405" s="4" t="str">
        <f t="shared" si="35"/>
        <v>Good</v>
      </c>
      <c r="W405" s="4"/>
      <c r="X405" s="4"/>
      <c r="AJ405" s="4"/>
    </row>
    <row r="406" spans="1:36">
      <c r="A406" t="str">
        <f t="shared" si="31"/>
        <v>Ravi31405</v>
      </c>
      <c r="B406">
        <v>405</v>
      </c>
      <c r="C406">
        <v>29</v>
      </c>
      <c r="D406">
        <v>1</v>
      </c>
      <c r="E406">
        <v>2022</v>
      </c>
      <c r="F406" s="1">
        <f t="shared" si="32"/>
        <v>44590</v>
      </c>
      <c r="G406" s="1" t="s">
        <v>316</v>
      </c>
      <c r="H406" s="2">
        <v>44882</v>
      </c>
      <c r="I406" t="s">
        <v>26</v>
      </c>
      <c r="J406">
        <v>7</v>
      </c>
      <c r="K406">
        <v>35899.61</v>
      </c>
      <c r="L406" t="s">
        <v>402</v>
      </c>
      <c r="M406">
        <v>31</v>
      </c>
      <c r="N406" t="s">
        <v>21</v>
      </c>
      <c r="O406" s="3" t="s">
        <v>22</v>
      </c>
      <c r="P406" t="s">
        <v>90</v>
      </c>
      <c r="Q406" t="s">
        <v>24</v>
      </c>
      <c r="R406">
        <v>5</v>
      </c>
      <c r="S406" t="s">
        <v>67</v>
      </c>
      <c r="T406" s="4">
        <f t="shared" si="33"/>
        <v>251297.27000000002</v>
      </c>
      <c r="U406" s="4" t="str">
        <f t="shared" si="34"/>
        <v>Good</v>
      </c>
      <c r="V406" s="4" t="str">
        <f t="shared" si="35"/>
        <v>Excellent</v>
      </c>
      <c r="W406" s="4"/>
      <c r="X406" s="4"/>
      <c r="AJ406" s="4"/>
    </row>
    <row r="407" spans="1:36">
      <c r="A407" t="str">
        <f t="shared" si="31"/>
        <v>Anan46406</v>
      </c>
      <c r="B407">
        <v>406</v>
      </c>
      <c r="C407">
        <v>30</v>
      </c>
      <c r="D407">
        <v>1</v>
      </c>
      <c r="E407">
        <v>2022</v>
      </c>
      <c r="F407" s="1">
        <f t="shared" si="32"/>
        <v>44591</v>
      </c>
      <c r="G407" s="1" t="s">
        <v>316</v>
      </c>
      <c r="H407" s="2">
        <v>44883</v>
      </c>
      <c r="I407" t="s">
        <v>26</v>
      </c>
      <c r="J407">
        <v>7</v>
      </c>
      <c r="K407">
        <v>59053.919999999998</v>
      </c>
      <c r="L407" t="s">
        <v>403</v>
      </c>
      <c r="M407">
        <v>46</v>
      </c>
      <c r="N407" t="s">
        <v>61</v>
      </c>
      <c r="O407" s="3" t="s">
        <v>22</v>
      </c>
      <c r="P407" t="s">
        <v>33</v>
      </c>
      <c r="Q407" t="s">
        <v>56</v>
      </c>
      <c r="R407">
        <v>5</v>
      </c>
      <c r="S407" t="s">
        <v>67</v>
      </c>
      <c r="T407" s="4">
        <f t="shared" si="33"/>
        <v>413377.44</v>
      </c>
      <c r="U407" s="4" t="str">
        <f t="shared" si="34"/>
        <v>Good</v>
      </c>
      <c r="V407" s="4" t="str">
        <f t="shared" si="35"/>
        <v>Excellent</v>
      </c>
      <c r="W407" s="4"/>
      <c r="X407" s="4"/>
      <c r="AJ407" s="4"/>
    </row>
    <row r="408" spans="1:36">
      <c r="A408" t="str">
        <f t="shared" si="31"/>
        <v>Jyot20407</v>
      </c>
      <c r="B408">
        <v>407</v>
      </c>
      <c r="C408">
        <v>30</v>
      </c>
      <c r="D408">
        <v>1</v>
      </c>
      <c r="E408">
        <v>2022</v>
      </c>
      <c r="F408" s="1">
        <f t="shared" si="32"/>
        <v>44591</v>
      </c>
      <c r="G408" s="1" t="s">
        <v>316</v>
      </c>
      <c r="H408" s="2">
        <v>44884</v>
      </c>
      <c r="I408" t="s">
        <v>49</v>
      </c>
      <c r="J408">
        <v>8</v>
      </c>
      <c r="K408">
        <v>60577</v>
      </c>
      <c r="L408" t="s">
        <v>404</v>
      </c>
      <c r="M408">
        <v>20</v>
      </c>
      <c r="N408" t="s">
        <v>36</v>
      </c>
      <c r="O408" s="3" t="s">
        <v>28</v>
      </c>
      <c r="P408" t="s">
        <v>150</v>
      </c>
      <c r="Q408" t="s">
        <v>24</v>
      </c>
      <c r="R408">
        <v>3</v>
      </c>
      <c r="S408" t="s">
        <v>52</v>
      </c>
      <c r="T408" s="4">
        <f t="shared" si="33"/>
        <v>484616</v>
      </c>
      <c r="U408" s="4" t="str">
        <f t="shared" si="34"/>
        <v>Average</v>
      </c>
      <c r="V408" s="4" t="str">
        <f t="shared" si="35"/>
        <v>Excellent</v>
      </c>
      <c r="W408" s="4"/>
      <c r="X408" s="4"/>
      <c r="AJ408" s="4"/>
    </row>
    <row r="409" spans="1:36">
      <c r="A409" t="str">
        <f t="shared" si="31"/>
        <v>Kris41408</v>
      </c>
      <c r="B409">
        <v>408</v>
      </c>
      <c r="C409">
        <v>30</v>
      </c>
      <c r="D409">
        <v>1</v>
      </c>
      <c r="E409">
        <v>2022</v>
      </c>
      <c r="F409" s="1">
        <f t="shared" si="32"/>
        <v>44591</v>
      </c>
      <c r="G409" s="1" t="s">
        <v>316</v>
      </c>
      <c r="H409" s="2">
        <v>44885</v>
      </c>
      <c r="I409" t="s">
        <v>43</v>
      </c>
      <c r="J409">
        <v>1</v>
      </c>
      <c r="K409">
        <v>41227.370000000003</v>
      </c>
      <c r="L409" t="s">
        <v>405</v>
      </c>
      <c r="M409">
        <v>41</v>
      </c>
      <c r="N409" t="s">
        <v>21</v>
      </c>
      <c r="O409" s="3" t="s">
        <v>22</v>
      </c>
      <c r="P409" t="s">
        <v>23</v>
      </c>
      <c r="Q409" t="s">
        <v>41</v>
      </c>
      <c r="R409">
        <v>5</v>
      </c>
      <c r="S409" t="s">
        <v>95</v>
      </c>
      <c r="T409" s="4">
        <f t="shared" si="33"/>
        <v>41227.370000000003</v>
      </c>
      <c r="U409" s="4" t="str">
        <f t="shared" si="34"/>
        <v>Good</v>
      </c>
      <c r="V409" s="4" t="str">
        <f t="shared" si="35"/>
        <v>Low</v>
      </c>
      <c r="W409" s="4"/>
      <c r="X409" s="4"/>
      <c r="AJ409" s="4"/>
    </row>
    <row r="410" spans="1:36">
      <c r="A410" t="str">
        <f t="shared" si="31"/>
        <v>Adit18409</v>
      </c>
      <c r="B410">
        <v>409</v>
      </c>
      <c r="C410">
        <v>30</v>
      </c>
      <c r="D410">
        <v>1</v>
      </c>
      <c r="E410">
        <v>2022</v>
      </c>
      <c r="F410" s="1">
        <f t="shared" si="32"/>
        <v>44591</v>
      </c>
      <c r="G410" s="1" t="s">
        <v>316</v>
      </c>
      <c r="H410" s="2">
        <v>44886</v>
      </c>
      <c r="I410" t="s">
        <v>49</v>
      </c>
      <c r="J410">
        <v>1</v>
      </c>
      <c r="K410">
        <v>61648.65</v>
      </c>
      <c r="L410" t="s">
        <v>406</v>
      </c>
      <c r="M410">
        <v>18</v>
      </c>
      <c r="N410" t="s">
        <v>36</v>
      </c>
      <c r="O410" s="3" t="s">
        <v>22</v>
      </c>
      <c r="P410" t="s">
        <v>90</v>
      </c>
      <c r="Q410" t="s">
        <v>30</v>
      </c>
      <c r="R410">
        <v>5</v>
      </c>
      <c r="S410" t="s">
        <v>102</v>
      </c>
      <c r="T410" s="4">
        <f t="shared" si="33"/>
        <v>61648.65</v>
      </c>
      <c r="U410" s="4" t="str">
        <f t="shared" si="34"/>
        <v>Good</v>
      </c>
      <c r="V410" s="4" t="str">
        <f t="shared" si="35"/>
        <v>Average</v>
      </c>
      <c r="W410" s="4"/>
      <c r="X410" s="4"/>
      <c r="AJ410" s="4"/>
    </row>
    <row r="411" spans="1:36">
      <c r="A411" t="str">
        <f t="shared" si="31"/>
        <v>Anit27410</v>
      </c>
      <c r="B411">
        <v>410</v>
      </c>
      <c r="C411">
        <v>31</v>
      </c>
      <c r="D411">
        <v>1</v>
      </c>
      <c r="E411">
        <v>2022</v>
      </c>
      <c r="F411" s="1">
        <f t="shared" si="32"/>
        <v>44592</v>
      </c>
      <c r="G411" s="1" t="s">
        <v>316</v>
      </c>
      <c r="H411" s="2">
        <v>44887</v>
      </c>
      <c r="I411" t="s">
        <v>26</v>
      </c>
      <c r="J411">
        <v>8</v>
      </c>
      <c r="K411">
        <v>10326.620000000001</v>
      </c>
      <c r="L411" t="s">
        <v>407</v>
      </c>
      <c r="M411">
        <v>27</v>
      </c>
      <c r="N411" t="s">
        <v>36</v>
      </c>
      <c r="O411" s="3" t="s">
        <v>22</v>
      </c>
      <c r="P411" t="s">
        <v>114</v>
      </c>
      <c r="Q411" t="s">
        <v>30</v>
      </c>
      <c r="R411">
        <v>5</v>
      </c>
      <c r="S411" t="s">
        <v>31</v>
      </c>
      <c r="T411" s="4">
        <f t="shared" si="33"/>
        <v>82612.960000000006</v>
      </c>
      <c r="U411" s="4" t="str">
        <f t="shared" si="34"/>
        <v>Good</v>
      </c>
      <c r="V411" s="4" t="str">
        <f t="shared" si="35"/>
        <v>Average</v>
      </c>
      <c r="W411" s="4"/>
      <c r="X411" s="4"/>
      <c r="AJ411" s="4"/>
    </row>
    <row r="412" spans="1:36">
      <c r="A412" t="str">
        <f t="shared" si="31"/>
        <v>Tanu30411</v>
      </c>
      <c r="B412">
        <v>411</v>
      </c>
      <c r="C412">
        <v>31</v>
      </c>
      <c r="D412">
        <v>1</v>
      </c>
      <c r="E412">
        <v>2022</v>
      </c>
      <c r="F412" s="1">
        <f t="shared" si="32"/>
        <v>44592</v>
      </c>
      <c r="G412" s="1" t="s">
        <v>316</v>
      </c>
      <c r="H412" s="2">
        <v>44888</v>
      </c>
      <c r="I412" t="s">
        <v>26</v>
      </c>
      <c r="J412">
        <v>4</v>
      </c>
      <c r="K412">
        <v>12110.48</v>
      </c>
      <c r="L412" t="s">
        <v>329</v>
      </c>
      <c r="M412">
        <v>30</v>
      </c>
      <c r="N412" t="s">
        <v>36</v>
      </c>
      <c r="O412" s="3" t="s">
        <v>28</v>
      </c>
      <c r="P412" t="s">
        <v>33</v>
      </c>
      <c r="Q412" t="s">
        <v>41</v>
      </c>
      <c r="R412">
        <v>3</v>
      </c>
      <c r="S412" t="s">
        <v>67</v>
      </c>
      <c r="T412" s="4">
        <f t="shared" si="33"/>
        <v>48441.919999999998</v>
      </c>
      <c r="U412" s="4" t="str">
        <f t="shared" si="34"/>
        <v>Average</v>
      </c>
      <c r="V412" s="4" t="str">
        <f t="shared" si="35"/>
        <v>Low</v>
      </c>
      <c r="W412" s="4"/>
      <c r="X412" s="4"/>
      <c r="AJ412" s="4"/>
    </row>
    <row r="413" spans="1:36">
      <c r="A413" t="str">
        <f t="shared" si="31"/>
        <v>Kavi53412</v>
      </c>
      <c r="B413">
        <v>412</v>
      </c>
      <c r="C413">
        <v>31</v>
      </c>
      <c r="D413">
        <v>1</v>
      </c>
      <c r="E413">
        <v>2022</v>
      </c>
      <c r="F413" s="1">
        <f t="shared" si="32"/>
        <v>44592</v>
      </c>
      <c r="G413" s="1" t="s">
        <v>316</v>
      </c>
      <c r="H413" s="2">
        <v>44889</v>
      </c>
      <c r="I413" t="s">
        <v>43</v>
      </c>
      <c r="J413">
        <v>5</v>
      </c>
      <c r="K413">
        <v>64709.3</v>
      </c>
      <c r="L413" t="s">
        <v>348</v>
      </c>
      <c r="M413">
        <v>53</v>
      </c>
      <c r="N413" t="s">
        <v>61</v>
      </c>
      <c r="O413" s="3" t="s">
        <v>22</v>
      </c>
      <c r="P413" t="s">
        <v>93</v>
      </c>
      <c r="Q413" t="s">
        <v>24</v>
      </c>
      <c r="R413">
        <v>5</v>
      </c>
      <c r="S413" t="s">
        <v>57</v>
      </c>
      <c r="T413" s="4">
        <f t="shared" si="33"/>
        <v>323546.5</v>
      </c>
      <c r="U413" s="4" t="str">
        <f t="shared" si="34"/>
        <v>Good</v>
      </c>
      <c r="V413" s="4" t="str">
        <f t="shared" si="35"/>
        <v>Excellent</v>
      </c>
      <c r="W413" s="4"/>
      <c r="X413" s="4"/>
      <c r="AJ413" s="4"/>
    </row>
    <row r="414" spans="1:36">
      <c r="A414" t="str">
        <f t="shared" si="31"/>
        <v>Hari26413</v>
      </c>
      <c r="B414">
        <v>413</v>
      </c>
      <c r="C414">
        <v>1</v>
      </c>
      <c r="D414">
        <v>2</v>
      </c>
      <c r="E414">
        <v>2022</v>
      </c>
      <c r="F414" s="1">
        <f t="shared" si="32"/>
        <v>44593</v>
      </c>
      <c r="G414" s="1" t="s">
        <v>408</v>
      </c>
      <c r="H414" s="2">
        <v>44890</v>
      </c>
      <c r="I414" t="s">
        <v>38</v>
      </c>
      <c r="J414">
        <v>8</v>
      </c>
      <c r="K414">
        <v>56519.92</v>
      </c>
      <c r="L414" t="s">
        <v>409</v>
      </c>
      <c r="M414">
        <v>26</v>
      </c>
      <c r="N414" t="s">
        <v>36</v>
      </c>
      <c r="O414" s="3" t="s">
        <v>22</v>
      </c>
      <c r="P414" t="s">
        <v>66</v>
      </c>
      <c r="Q414" t="s">
        <v>56</v>
      </c>
      <c r="R414">
        <v>5</v>
      </c>
      <c r="S414" t="s">
        <v>48</v>
      </c>
      <c r="T414" s="4">
        <f t="shared" si="33"/>
        <v>452159.36</v>
      </c>
      <c r="U414" s="4" t="str">
        <f t="shared" si="34"/>
        <v>Good</v>
      </c>
      <c r="V414" s="4" t="str">
        <f t="shared" si="35"/>
        <v>Excellent</v>
      </c>
      <c r="W414" s="4"/>
      <c r="X414" s="4"/>
      <c r="AJ414" s="4"/>
    </row>
    <row r="415" spans="1:36">
      <c r="A415" t="str">
        <f t="shared" si="31"/>
        <v>Anja31414</v>
      </c>
      <c r="B415">
        <v>414</v>
      </c>
      <c r="C415">
        <v>1</v>
      </c>
      <c r="D415">
        <v>2</v>
      </c>
      <c r="E415">
        <v>2022</v>
      </c>
      <c r="F415" s="1">
        <f t="shared" si="32"/>
        <v>44593</v>
      </c>
      <c r="G415" s="1" t="s">
        <v>408</v>
      </c>
      <c r="H415" s="2">
        <v>44891</v>
      </c>
      <c r="I415" t="s">
        <v>19</v>
      </c>
      <c r="J415">
        <v>5</v>
      </c>
      <c r="K415">
        <v>37042.36</v>
      </c>
      <c r="L415" t="s">
        <v>339</v>
      </c>
      <c r="M415">
        <v>31</v>
      </c>
      <c r="N415" t="s">
        <v>21</v>
      </c>
      <c r="O415" s="3" t="s">
        <v>28</v>
      </c>
      <c r="P415" t="s">
        <v>33</v>
      </c>
      <c r="Q415" t="s">
        <v>30</v>
      </c>
      <c r="R415">
        <v>3</v>
      </c>
      <c r="S415" t="s">
        <v>25</v>
      </c>
      <c r="T415" s="4">
        <f t="shared" si="33"/>
        <v>185211.8</v>
      </c>
      <c r="U415" s="4" t="str">
        <f t="shared" si="34"/>
        <v>Average</v>
      </c>
      <c r="V415" s="4" t="str">
        <f t="shared" si="35"/>
        <v>Good</v>
      </c>
      <c r="W415" s="4"/>
      <c r="X415" s="4"/>
      <c r="AJ415" s="4"/>
    </row>
    <row r="416" spans="1:36">
      <c r="A416" t="str">
        <f t="shared" si="31"/>
        <v>Gita53415</v>
      </c>
      <c r="B416">
        <v>415</v>
      </c>
      <c r="C416">
        <v>1</v>
      </c>
      <c r="D416">
        <v>2</v>
      </c>
      <c r="E416">
        <v>2022</v>
      </c>
      <c r="F416" s="1">
        <f t="shared" si="32"/>
        <v>44593</v>
      </c>
      <c r="G416" s="1" t="s">
        <v>408</v>
      </c>
      <c r="H416" s="2">
        <v>44892</v>
      </c>
      <c r="I416" t="s">
        <v>26</v>
      </c>
      <c r="J416">
        <v>4</v>
      </c>
      <c r="K416">
        <v>55216.61</v>
      </c>
      <c r="L416" t="s">
        <v>410</v>
      </c>
      <c r="M416">
        <v>53</v>
      </c>
      <c r="N416" t="s">
        <v>61</v>
      </c>
      <c r="O416" s="3" t="s">
        <v>22</v>
      </c>
      <c r="P416" t="s">
        <v>29</v>
      </c>
      <c r="Q416" t="s">
        <v>30</v>
      </c>
      <c r="R416">
        <v>5</v>
      </c>
      <c r="S416" t="s">
        <v>34</v>
      </c>
      <c r="T416" s="4">
        <f t="shared" si="33"/>
        <v>220866.44</v>
      </c>
      <c r="U416" s="4" t="str">
        <f t="shared" si="34"/>
        <v>Good</v>
      </c>
      <c r="V416" s="4" t="str">
        <f t="shared" si="35"/>
        <v>Excellent</v>
      </c>
      <c r="W416" s="4"/>
      <c r="X416" s="4"/>
      <c r="AJ416" s="4"/>
    </row>
    <row r="417" spans="1:36">
      <c r="A417" t="str">
        <f t="shared" si="31"/>
        <v>Anit27416</v>
      </c>
      <c r="B417">
        <v>416</v>
      </c>
      <c r="C417">
        <v>1</v>
      </c>
      <c r="D417">
        <v>2</v>
      </c>
      <c r="E417">
        <v>2022</v>
      </c>
      <c r="F417" s="1">
        <f t="shared" si="32"/>
        <v>44593</v>
      </c>
      <c r="G417" s="1" t="s">
        <v>408</v>
      </c>
      <c r="H417" s="2">
        <v>44893</v>
      </c>
      <c r="I417" t="s">
        <v>26</v>
      </c>
      <c r="J417">
        <v>6</v>
      </c>
      <c r="K417">
        <v>67338.37</v>
      </c>
      <c r="L417" t="s">
        <v>310</v>
      </c>
      <c r="M417">
        <v>27</v>
      </c>
      <c r="N417" t="s">
        <v>36</v>
      </c>
      <c r="O417" s="3" t="s">
        <v>22</v>
      </c>
      <c r="P417" t="s">
        <v>33</v>
      </c>
      <c r="Q417" t="s">
        <v>24</v>
      </c>
      <c r="R417">
        <v>5</v>
      </c>
      <c r="S417" t="s">
        <v>31</v>
      </c>
      <c r="T417" s="4">
        <f t="shared" si="33"/>
        <v>404030.22</v>
      </c>
      <c r="U417" s="4" t="str">
        <f t="shared" si="34"/>
        <v>Good</v>
      </c>
      <c r="V417" s="4" t="str">
        <f t="shared" si="35"/>
        <v>Excellent</v>
      </c>
      <c r="W417" s="4"/>
      <c r="X417" s="4"/>
      <c r="AJ417" s="4"/>
    </row>
    <row r="418" spans="1:36">
      <c r="A418" t="str">
        <f t="shared" si="31"/>
        <v>Adit57417</v>
      </c>
      <c r="B418">
        <v>417</v>
      </c>
      <c r="C418">
        <v>2</v>
      </c>
      <c r="D418">
        <v>2</v>
      </c>
      <c r="E418">
        <v>2022</v>
      </c>
      <c r="F418" s="1">
        <f t="shared" si="32"/>
        <v>44594</v>
      </c>
      <c r="G418" s="1" t="s">
        <v>408</v>
      </c>
      <c r="H418" s="2">
        <v>44894</v>
      </c>
      <c r="I418" t="s">
        <v>38</v>
      </c>
      <c r="J418">
        <v>5</v>
      </c>
      <c r="K418">
        <v>56325.37</v>
      </c>
      <c r="L418" t="s">
        <v>299</v>
      </c>
      <c r="M418">
        <v>57</v>
      </c>
      <c r="N418" t="s">
        <v>61</v>
      </c>
      <c r="O418" s="3" t="s">
        <v>55</v>
      </c>
      <c r="P418" t="s">
        <v>117</v>
      </c>
      <c r="Q418" t="s">
        <v>24</v>
      </c>
      <c r="R418">
        <v>2</v>
      </c>
      <c r="S418" t="s">
        <v>99</v>
      </c>
      <c r="T418" s="4">
        <f t="shared" si="33"/>
        <v>281626.85000000003</v>
      </c>
      <c r="U418" s="4" t="str">
        <f t="shared" si="34"/>
        <v>Average</v>
      </c>
      <c r="V418" s="4" t="str">
        <f t="shared" si="35"/>
        <v>Excellent</v>
      </c>
      <c r="W418" s="4"/>
      <c r="X418" s="4"/>
      <c r="AJ418" s="4"/>
    </row>
    <row r="419" spans="1:36">
      <c r="A419" t="str">
        <f t="shared" si="31"/>
        <v>Amit40418</v>
      </c>
      <c r="B419">
        <v>418</v>
      </c>
      <c r="C419">
        <v>2</v>
      </c>
      <c r="D419">
        <v>2</v>
      </c>
      <c r="E419">
        <v>2022</v>
      </c>
      <c r="F419" s="1">
        <f t="shared" si="32"/>
        <v>44594</v>
      </c>
      <c r="G419" s="1" t="s">
        <v>408</v>
      </c>
      <c r="H419" s="2">
        <v>44895</v>
      </c>
      <c r="I419" t="s">
        <v>38</v>
      </c>
      <c r="J419">
        <v>7</v>
      </c>
      <c r="K419">
        <v>60542.28</v>
      </c>
      <c r="L419" t="s">
        <v>411</v>
      </c>
      <c r="M419">
        <v>40</v>
      </c>
      <c r="N419" t="s">
        <v>21</v>
      </c>
      <c r="O419" s="3" t="s">
        <v>22</v>
      </c>
      <c r="P419" t="s">
        <v>23</v>
      </c>
      <c r="Q419" t="s">
        <v>24</v>
      </c>
      <c r="R419">
        <v>4</v>
      </c>
      <c r="S419" t="s">
        <v>48</v>
      </c>
      <c r="T419" s="4">
        <f t="shared" si="33"/>
        <v>423795.95999999996</v>
      </c>
      <c r="U419" s="4" t="str">
        <f t="shared" si="34"/>
        <v>Good</v>
      </c>
      <c r="V419" s="4" t="str">
        <f t="shared" si="35"/>
        <v>Excellent</v>
      </c>
      <c r="W419" s="4"/>
      <c r="X419" s="4"/>
      <c r="AJ419" s="4"/>
    </row>
    <row r="420" spans="1:36">
      <c r="A420" t="str">
        <f t="shared" si="31"/>
        <v>Ayes52419</v>
      </c>
      <c r="B420">
        <v>419</v>
      </c>
      <c r="C420">
        <v>2</v>
      </c>
      <c r="D420">
        <v>2</v>
      </c>
      <c r="E420">
        <v>2022</v>
      </c>
      <c r="F420" s="1">
        <f t="shared" si="32"/>
        <v>44594</v>
      </c>
      <c r="G420" s="1" t="s">
        <v>408</v>
      </c>
      <c r="H420" s="2">
        <v>44896</v>
      </c>
      <c r="I420" t="s">
        <v>49</v>
      </c>
      <c r="J420">
        <v>7</v>
      </c>
      <c r="K420">
        <v>55636.39</v>
      </c>
      <c r="L420" t="s">
        <v>412</v>
      </c>
      <c r="M420">
        <v>52</v>
      </c>
      <c r="N420" t="s">
        <v>61</v>
      </c>
      <c r="O420" s="3" t="s">
        <v>28</v>
      </c>
      <c r="P420" t="s">
        <v>51</v>
      </c>
      <c r="Q420" t="s">
        <v>56</v>
      </c>
      <c r="R420">
        <v>3</v>
      </c>
      <c r="S420" t="s">
        <v>52</v>
      </c>
      <c r="T420" s="4">
        <f t="shared" si="33"/>
        <v>389454.73</v>
      </c>
      <c r="U420" s="4" t="str">
        <f t="shared" si="34"/>
        <v>Average</v>
      </c>
      <c r="V420" s="4" t="str">
        <f t="shared" si="35"/>
        <v>Excellent</v>
      </c>
      <c r="W420" s="4"/>
      <c r="X420" s="4"/>
      <c r="AJ420" s="4"/>
    </row>
    <row r="421" spans="1:36">
      <c r="A421" t="str">
        <f t="shared" si="31"/>
        <v>Vive24420</v>
      </c>
      <c r="B421">
        <v>420</v>
      </c>
      <c r="C421">
        <v>3</v>
      </c>
      <c r="D421">
        <v>2</v>
      </c>
      <c r="E421">
        <v>2022</v>
      </c>
      <c r="F421" s="1">
        <f t="shared" si="32"/>
        <v>44595</v>
      </c>
      <c r="G421" s="1" t="s">
        <v>408</v>
      </c>
      <c r="H421" s="2">
        <v>44897</v>
      </c>
      <c r="I421" t="s">
        <v>49</v>
      </c>
      <c r="J421">
        <v>4</v>
      </c>
      <c r="K421">
        <v>20092.669999999998</v>
      </c>
      <c r="L421" t="s">
        <v>413</v>
      </c>
      <c r="M421">
        <v>24</v>
      </c>
      <c r="N421" t="s">
        <v>36</v>
      </c>
      <c r="O421" s="3" t="s">
        <v>22</v>
      </c>
      <c r="P421" t="s">
        <v>51</v>
      </c>
      <c r="Q421" t="s">
        <v>24</v>
      </c>
      <c r="R421">
        <v>5</v>
      </c>
      <c r="S421" t="s">
        <v>102</v>
      </c>
      <c r="T421" s="4">
        <f t="shared" si="33"/>
        <v>80370.679999999993</v>
      </c>
      <c r="U421" s="4" t="str">
        <f t="shared" si="34"/>
        <v>Good</v>
      </c>
      <c r="V421" s="4" t="str">
        <f t="shared" si="35"/>
        <v>Average</v>
      </c>
      <c r="W421" s="4"/>
      <c r="X421" s="4"/>
      <c r="AJ421" s="4"/>
    </row>
    <row r="422" spans="1:36">
      <c r="A422" t="str">
        <f t="shared" si="31"/>
        <v>Tapa59421</v>
      </c>
      <c r="B422">
        <v>421</v>
      </c>
      <c r="C422">
        <v>3</v>
      </c>
      <c r="D422">
        <v>2</v>
      </c>
      <c r="E422">
        <v>2022</v>
      </c>
      <c r="F422" s="1">
        <f t="shared" si="32"/>
        <v>44595</v>
      </c>
      <c r="G422" s="1" t="s">
        <v>408</v>
      </c>
      <c r="H422" s="2">
        <v>44898</v>
      </c>
      <c r="I422" t="s">
        <v>19</v>
      </c>
      <c r="J422">
        <v>5</v>
      </c>
      <c r="K422">
        <v>60014.45</v>
      </c>
      <c r="L422" t="s">
        <v>414</v>
      </c>
      <c r="M422">
        <v>59</v>
      </c>
      <c r="N422" t="s">
        <v>61</v>
      </c>
      <c r="O422" s="3" t="s">
        <v>22</v>
      </c>
      <c r="P422" t="s">
        <v>33</v>
      </c>
      <c r="Q422" t="s">
        <v>56</v>
      </c>
      <c r="R422">
        <v>5</v>
      </c>
      <c r="S422" t="s">
        <v>84</v>
      </c>
      <c r="T422" s="4">
        <f t="shared" si="33"/>
        <v>300072.25</v>
      </c>
      <c r="U422" s="4" t="str">
        <f t="shared" si="34"/>
        <v>Good</v>
      </c>
      <c r="V422" s="4" t="str">
        <f t="shared" si="35"/>
        <v>Excellent</v>
      </c>
      <c r="W422" s="4"/>
      <c r="X422" s="4"/>
      <c r="AJ422" s="4"/>
    </row>
    <row r="423" spans="1:36">
      <c r="A423" t="str">
        <f t="shared" si="31"/>
        <v>Sneh52422</v>
      </c>
      <c r="B423">
        <v>422</v>
      </c>
      <c r="C423">
        <v>3</v>
      </c>
      <c r="D423">
        <v>2</v>
      </c>
      <c r="E423">
        <v>2022</v>
      </c>
      <c r="F423" s="1">
        <f t="shared" si="32"/>
        <v>44595</v>
      </c>
      <c r="G423" s="1" t="s">
        <v>408</v>
      </c>
      <c r="H423" s="2">
        <v>44899</v>
      </c>
      <c r="I423" t="s">
        <v>19</v>
      </c>
      <c r="J423">
        <v>3</v>
      </c>
      <c r="K423">
        <v>21706.53</v>
      </c>
      <c r="L423" t="s">
        <v>415</v>
      </c>
      <c r="M423">
        <v>52</v>
      </c>
      <c r="N423" t="s">
        <v>61</v>
      </c>
      <c r="O423" s="3" t="s">
        <v>22</v>
      </c>
      <c r="P423" t="s">
        <v>64</v>
      </c>
      <c r="Q423" t="s">
        <v>41</v>
      </c>
      <c r="R423">
        <v>5</v>
      </c>
      <c r="S423" t="s">
        <v>84</v>
      </c>
      <c r="T423" s="4">
        <f t="shared" si="33"/>
        <v>65119.59</v>
      </c>
      <c r="U423" s="4" t="str">
        <f t="shared" si="34"/>
        <v>Good</v>
      </c>
      <c r="V423" s="4" t="str">
        <f t="shared" si="35"/>
        <v>Average</v>
      </c>
      <c r="W423" s="4"/>
      <c r="X423" s="4"/>
      <c r="AJ423" s="4"/>
    </row>
    <row r="424" spans="1:36">
      <c r="A424" t="str">
        <f t="shared" si="31"/>
        <v>Amit19423</v>
      </c>
      <c r="B424">
        <v>423</v>
      </c>
      <c r="C424">
        <v>3</v>
      </c>
      <c r="D424">
        <v>2</v>
      </c>
      <c r="E424">
        <v>2022</v>
      </c>
      <c r="F424" s="1">
        <f t="shared" si="32"/>
        <v>44595</v>
      </c>
      <c r="G424" s="1" t="s">
        <v>408</v>
      </c>
      <c r="H424" s="2">
        <v>44900</v>
      </c>
      <c r="I424" t="s">
        <v>43</v>
      </c>
      <c r="J424">
        <v>4</v>
      </c>
      <c r="K424">
        <v>63556.68</v>
      </c>
      <c r="L424" t="s">
        <v>416</v>
      </c>
      <c r="M424">
        <v>19</v>
      </c>
      <c r="N424" t="s">
        <v>36</v>
      </c>
      <c r="O424" s="3" t="s">
        <v>22</v>
      </c>
      <c r="P424" t="s">
        <v>110</v>
      </c>
      <c r="Q424" t="s">
        <v>56</v>
      </c>
      <c r="R424">
        <v>5</v>
      </c>
      <c r="S424" t="s">
        <v>46</v>
      </c>
      <c r="T424" s="4">
        <f t="shared" si="33"/>
        <v>254226.72</v>
      </c>
      <c r="U424" s="4" t="str">
        <f t="shared" si="34"/>
        <v>Good</v>
      </c>
      <c r="V424" s="4" t="str">
        <f t="shared" si="35"/>
        <v>Excellent</v>
      </c>
      <c r="W424" s="4"/>
      <c r="X424" s="4"/>
      <c r="AJ424" s="4"/>
    </row>
    <row r="425" spans="1:36">
      <c r="A425" t="str">
        <f t="shared" si="31"/>
        <v>Sumi32424</v>
      </c>
      <c r="B425">
        <v>424</v>
      </c>
      <c r="C425">
        <v>4</v>
      </c>
      <c r="D425">
        <v>2</v>
      </c>
      <c r="E425">
        <v>2022</v>
      </c>
      <c r="F425" s="1">
        <f t="shared" si="32"/>
        <v>44596</v>
      </c>
      <c r="G425" s="1" t="s">
        <v>408</v>
      </c>
      <c r="H425" s="2">
        <v>44901</v>
      </c>
      <c r="I425" t="s">
        <v>49</v>
      </c>
      <c r="J425">
        <v>4</v>
      </c>
      <c r="K425">
        <v>37518.99</v>
      </c>
      <c r="L425" t="s">
        <v>417</v>
      </c>
      <c r="M425">
        <v>32</v>
      </c>
      <c r="N425" t="s">
        <v>21</v>
      </c>
      <c r="O425" s="3" t="s">
        <v>22</v>
      </c>
      <c r="P425" t="s">
        <v>29</v>
      </c>
      <c r="Q425" t="s">
        <v>24</v>
      </c>
      <c r="R425">
        <v>4</v>
      </c>
      <c r="S425" t="s">
        <v>102</v>
      </c>
      <c r="T425" s="4">
        <f t="shared" si="33"/>
        <v>150075.96</v>
      </c>
      <c r="U425" s="4" t="str">
        <f t="shared" si="34"/>
        <v>Good</v>
      </c>
      <c r="V425" s="4" t="str">
        <f t="shared" si="35"/>
        <v>Good</v>
      </c>
      <c r="W425" s="4"/>
      <c r="X425" s="4"/>
      <c r="AJ425" s="4"/>
    </row>
    <row r="426" spans="1:36">
      <c r="A426" t="str">
        <f t="shared" si="31"/>
        <v>Anan26425</v>
      </c>
      <c r="B426">
        <v>425</v>
      </c>
      <c r="C426">
        <v>4</v>
      </c>
      <c r="D426">
        <v>2</v>
      </c>
      <c r="E426">
        <v>2022</v>
      </c>
      <c r="F426" s="1">
        <f t="shared" si="32"/>
        <v>44596</v>
      </c>
      <c r="G426" s="1" t="s">
        <v>408</v>
      </c>
      <c r="H426" s="2">
        <v>44902</v>
      </c>
      <c r="I426" t="s">
        <v>26</v>
      </c>
      <c r="J426">
        <v>3</v>
      </c>
      <c r="K426">
        <v>50618.61</v>
      </c>
      <c r="L426" t="s">
        <v>418</v>
      </c>
      <c r="M426">
        <v>26</v>
      </c>
      <c r="N426" t="s">
        <v>36</v>
      </c>
      <c r="O426" s="3" t="s">
        <v>22</v>
      </c>
      <c r="P426" t="s">
        <v>117</v>
      </c>
      <c r="Q426" t="s">
        <v>56</v>
      </c>
      <c r="R426">
        <v>5</v>
      </c>
      <c r="S426" t="s">
        <v>67</v>
      </c>
      <c r="T426" s="4">
        <f t="shared" si="33"/>
        <v>151855.83000000002</v>
      </c>
      <c r="U426" s="4" t="str">
        <f t="shared" si="34"/>
        <v>Good</v>
      </c>
      <c r="V426" s="4" t="str">
        <f t="shared" si="35"/>
        <v>Good</v>
      </c>
      <c r="W426" s="4"/>
      <c r="X426" s="4"/>
      <c r="AJ426" s="4"/>
    </row>
    <row r="427" spans="1:36">
      <c r="A427" t="str">
        <f t="shared" si="31"/>
        <v>Nami34426</v>
      </c>
      <c r="B427">
        <v>426</v>
      </c>
      <c r="C427">
        <v>4</v>
      </c>
      <c r="D427">
        <v>2</v>
      </c>
      <c r="E427">
        <v>2022</v>
      </c>
      <c r="F427" s="1">
        <f t="shared" si="32"/>
        <v>44596</v>
      </c>
      <c r="G427" s="1" t="s">
        <v>408</v>
      </c>
      <c r="H427" s="2">
        <v>44903</v>
      </c>
      <c r="I427" t="s">
        <v>49</v>
      </c>
      <c r="J427">
        <v>5</v>
      </c>
      <c r="K427">
        <v>39834.449999999997</v>
      </c>
      <c r="L427" t="s">
        <v>419</v>
      </c>
      <c r="M427">
        <v>34</v>
      </c>
      <c r="N427" t="s">
        <v>21</v>
      </c>
      <c r="O427" s="3" t="s">
        <v>22</v>
      </c>
      <c r="P427" t="s">
        <v>29</v>
      </c>
      <c r="Q427" t="s">
        <v>56</v>
      </c>
      <c r="R427">
        <v>4</v>
      </c>
      <c r="S427" t="s">
        <v>88</v>
      </c>
      <c r="T427" s="4">
        <f t="shared" si="33"/>
        <v>199172.25</v>
      </c>
      <c r="U427" s="4" t="str">
        <f t="shared" si="34"/>
        <v>Good</v>
      </c>
      <c r="V427" s="4" t="str">
        <f t="shared" si="35"/>
        <v>Good</v>
      </c>
      <c r="W427" s="4"/>
      <c r="X427" s="4"/>
      <c r="AJ427" s="4"/>
    </row>
    <row r="428" spans="1:36">
      <c r="A428" t="str">
        <f t="shared" si="31"/>
        <v>Vive56427</v>
      </c>
      <c r="B428">
        <v>427</v>
      </c>
      <c r="C428">
        <v>4</v>
      </c>
      <c r="D428">
        <v>2</v>
      </c>
      <c r="E428">
        <v>2022</v>
      </c>
      <c r="F428" s="1">
        <f t="shared" si="32"/>
        <v>44596</v>
      </c>
      <c r="G428" s="1" t="s">
        <v>408</v>
      </c>
      <c r="H428" s="2">
        <v>44904</v>
      </c>
      <c r="I428" t="s">
        <v>26</v>
      </c>
      <c r="J428">
        <v>5</v>
      </c>
      <c r="K428">
        <v>15639.46</v>
      </c>
      <c r="L428" t="s">
        <v>420</v>
      </c>
      <c r="M428">
        <v>56</v>
      </c>
      <c r="N428" t="s">
        <v>61</v>
      </c>
      <c r="O428" s="3" t="s">
        <v>55</v>
      </c>
      <c r="P428" t="s">
        <v>70</v>
      </c>
      <c r="Q428" t="s">
        <v>56</v>
      </c>
      <c r="R428">
        <v>2</v>
      </c>
      <c r="S428" t="s">
        <v>67</v>
      </c>
      <c r="T428" s="4">
        <f t="shared" si="33"/>
        <v>78197.299999999988</v>
      </c>
      <c r="U428" s="4" t="str">
        <f t="shared" si="34"/>
        <v>Average</v>
      </c>
      <c r="V428" s="4" t="str">
        <f t="shared" si="35"/>
        <v>Average</v>
      </c>
      <c r="W428" s="4"/>
      <c r="X428" s="4"/>
      <c r="AJ428" s="4"/>
    </row>
    <row r="429" spans="1:36">
      <c r="A429" t="str">
        <f t="shared" si="31"/>
        <v>Navi35428</v>
      </c>
      <c r="B429">
        <v>428</v>
      </c>
      <c r="C429">
        <v>5</v>
      </c>
      <c r="D429">
        <v>2</v>
      </c>
      <c r="E429">
        <v>2022</v>
      </c>
      <c r="F429" s="1">
        <f t="shared" si="32"/>
        <v>44597</v>
      </c>
      <c r="G429" s="1" t="s">
        <v>408</v>
      </c>
      <c r="H429" s="2">
        <v>44905</v>
      </c>
      <c r="I429" t="s">
        <v>38</v>
      </c>
      <c r="J429">
        <v>7</v>
      </c>
      <c r="K429">
        <v>27443.34</v>
      </c>
      <c r="L429" t="s">
        <v>421</v>
      </c>
      <c r="M429">
        <v>35</v>
      </c>
      <c r="N429" t="s">
        <v>21</v>
      </c>
      <c r="O429" s="3" t="s">
        <v>55</v>
      </c>
      <c r="P429" t="s">
        <v>90</v>
      </c>
      <c r="Q429" t="s">
        <v>30</v>
      </c>
      <c r="R429">
        <v>2</v>
      </c>
      <c r="S429" t="s">
        <v>99</v>
      </c>
      <c r="T429" s="4">
        <f t="shared" si="33"/>
        <v>192103.38</v>
      </c>
      <c r="U429" s="4" t="str">
        <f t="shared" si="34"/>
        <v>Average</v>
      </c>
      <c r="V429" s="4" t="str">
        <f t="shared" si="35"/>
        <v>Good</v>
      </c>
      <c r="W429" s="4"/>
      <c r="X429" s="4"/>
      <c r="AJ429" s="4"/>
    </row>
    <row r="430" spans="1:36">
      <c r="A430" t="str">
        <f t="shared" si="31"/>
        <v>Deve32429</v>
      </c>
      <c r="B430">
        <v>429</v>
      </c>
      <c r="C430">
        <v>5</v>
      </c>
      <c r="D430">
        <v>2</v>
      </c>
      <c r="E430">
        <v>2022</v>
      </c>
      <c r="F430" s="1">
        <f t="shared" si="32"/>
        <v>44597</v>
      </c>
      <c r="G430" s="1" t="s">
        <v>408</v>
      </c>
      <c r="H430" s="2">
        <v>44906</v>
      </c>
      <c r="I430" t="s">
        <v>49</v>
      </c>
      <c r="J430">
        <v>4</v>
      </c>
      <c r="K430">
        <v>69023.91</v>
      </c>
      <c r="L430" t="s">
        <v>422</v>
      </c>
      <c r="M430">
        <v>32</v>
      </c>
      <c r="N430" t="s">
        <v>21</v>
      </c>
      <c r="O430" s="3" t="s">
        <v>22</v>
      </c>
      <c r="P430" t="s">
        <v>29</v>
      </c>
      <c r="Q430" t="s">
        <v>24</v>
      </c>
      <c r="R430">
        <v>5</v>
      </c>
      <c r="S430" t="s">
        <v>88</v>
      </c>
      <c r="T430" s="4">
        <f t="shared" si="33"/>
        <v>276095.64</v>
      </c>
      <c r="U430" s="4" t="str">
        <f t="shared" si="34"/>
        <v>Good</v>
      </c>
      <c r="V430" s="4" t="str">
        <f t="shared" si="35"/>
        <v>Excellent</v>
      </c>
      <c r="W430" s="4"/>
      <c r="X430" s="4"/>
      <c r="AJ430" s="4"/>
    </row>
    <row r="431" spans="1:36">
      <c r="A431" t="str">
        <f t="shared" si="31"/>
        <v>Isha35430</v>
      </c>
      <c r="B431">
        <v>430</v>
      </c>
      <c r="C431">
        <v>5</v>
      </c>
      <c r="D431">
        <v>2</v>
      </c>
      <c r="E431">
        <v>2022</v>
      </c>
      <c r="F431" s="1">
        <f t="shared" si="32"/>
        <v>44597</v>
      </c>
      <c r="G431" s="1" t="s">
        <v>408</v>
      </c>
      <c r="H431" s="2">
        <v>44907</v>
      </c>
      <c r="I431" t="s">
        <v>38</v>
      </c>
      <c r="J431">
        <v>4</v>
      </c>
      <c r="K431">
        <v>67642.89</v>
      </c>
      <c r="L431" t="s">
        <v>423</v>
      </c>
      <c r="M431">
        <v>35</v>
      </c>
      <c r="N431" t="s">
        <v>21</v>
      </c>
      <c r="O431" s="3" t="s">
        <v>22</v>
      </c>
      <c r="P431" t="s">
        <v>29</v>
      </c>
      <c r="Q431" t="s">
        <v>56</v>
      </c>
      <c r="R431">
        <v>4</v>
      </c>
      <c r="S431" t="s">
        <v>99</v>
      </c>
      <c r="T431" s="4">
        <f t="shared" si="33"/>
        <v>270571.56</v>
      </c>
      <c r="U431" s="4" t="str">
        <f t="shared" si="34"/>
        <v>Good</v>
      </c>
      <c r="V431" s="4" t="str">
        <f t="shared" si="35"/>
        <v>Excellent</v>
      </c>
      <c r="W431" s="4"/>
      <c r="X431" s="4"/>
      <c r="AJ431" s="4"/>
    </row>
    <row r="432" spans="1:36">
      <c r="A432" t="str">
        <f t="shared" si="31"/>
        <v>Pank41431</v>
      </c>
      <c r="B432">
        <v>431</v>
      </c>
      <c r="C432">
        <v>6</v>
      </c>
      <c r="D432">
        <v>2</v>
      </c>
      <c r="E432">
        <v>2022</v>
      </c>
      <c r="F432" s="1">
        <f t="shared" si="32"/>
        <v>44598</v>
      </c>
      <c r="G432" s="1" t="s">
        <v>408</v>
      </c>
      <c r="H432" s="2">
        <v>44908</v>
      </c>
      <c r="I432" t="s">
        <v>19</v>
      </c>
      <c r="J432">
        <v>9</v>
      </c>
      <c r="K432">
        <v>29229.21</v>
      </c>
      <c r="L432" t="s">
        <v>424</v>
      </c>
      <c r="M432">
        <v>41</v>
      </c>
      <c r="N432" t="s">
        <v>21</v>
      </c>
      <c r="O432" s="3" t="s">
        <v>28</v>
      </c>
      <c r="P432" t="s">
        <v>93</v>
      </c>
      <c r="Q432" t="s">
        <v>24</v>
      </c>
      <c r="R432">
        <v>3</v>
      </c>
      <c r="S432" t="s">
        <v>37</v>
      </c>
      <c r="T432" s="4">
        <f t="shared" si="33"/>
        <v>263062.89</v>
      </c>
      <c r="U432" s="4" t="str">
        <f t="shared" si="34"/>
        <v>Average</v>
      </c>
      <c r="V432" s="4" t="str">
        <f t="shared" si="35"/>
        <v>Excellent</v>
      </c>
      <c r="W432" s="4"/>
      <c r="X432" s="4"/>
      <c r="AJ432" s="4"/>
    </row>
    <row r="433" spans="1:36">
      <c r="A433" t="str">
        <f t="shared" si="31"/>
        <v>Sach40432</v>
      </c>
      <c r="B433">
        <v>432</v>
      </c>
      <c r="C433">
        <v>6</v>
      </c>
      <c r="D433">
        <v>2</v>
      </c>
      <c r="E433">
        <v>2022</v>
      </c>
      <c r="F433" s="1">
        <f t="shared" si="32"/>
        <v>44598</v>
      </c>
      <c r="G433" s="1" t="s">
        <v>408</v>
      </c>
      <c r="H433" s="2">
        <v>44909</v>
      </c>
      <c r="I433" t="s">
        <v>19</v>
      </c>
      <c r="J433">
        <v>6</v>
      </c>
      <c r="K433">
        <v>69777.81</v>
      </c>
      <c r="L433" t="s">
        <v>104</v>
      </c>
      <c r="M433">
        <v>40</v>
      </c>
      <c r="N433" t="s">
        <v>21</v>
      </c>
      <c r="O433" s="3" t="s">
        <v>22</v>
      </c>
      <c r="P433" t="s">
        <v>90</v>
      </c>
      <c r="Q433" t="s">
        <v>41</v>
      </c>
      <c r="R433">
        <v>5</v>
      </c>
      <c r="S433" t="s">
        <v>37</v>
      </c>
      <c r="T433" s="4">
        <f t="shared" si="33"/>
        <v>418666.86</v>
      </c>
      <c r="U433" s="4" t="str">
        <f t="shared" si="34"/>
        <v>Good</v>
      </c>
      <c r="V433" s="4" t="str">
        <f t="shared" si="35"/>
        <v>Excellent</v>
      </c>
      <c r="W433" s="4"/>
      <c r="X433" s="4"/>
      <c r="AJ433" s="4"/>
    </row>
    <row r="434" spans="1:36">
      <c r="A434" t="str">
        <f t="shared" si="31"/>
        <v>Kira29433</v>
      </c>
      <c r="B434">
        <v>433</v>
      </c>
      <c r="C434">
        <v>6</v>
      </c>
      <c r="D434">
        <v>2</v>
      </c>
      <c r="E434">
        <v>2022</v>
      </c>
      <c r="F434" s="1">
        <f t="shared" si="32"/>
        <v>44598</v>
      </c>
      <c r="G434" s="1" t="s">
        <v>408</v>
      </c>
      <c r="H434" s="2">
        <v>44910</v>
      </c>
      <c r="I434" t="s">
        <v>43</v>
      </c>
      <c r="J434">
        <v>4</v>
      </c>
      <c r="K434">
        <v>60733.07</v>
      </c>
      <c r="L434" t="s">
        <v>143</v>
      </c>
      <c r="M434">
        <v>29</v>
      </c>
      <c r="N434" t="s">
        <v>36</v>
      </c>
      <c r="O434" s="3" t="s">
        <v>22</v>
      </c>
      <c r="P434" t="s">
        <v>29</v>
      </c>
      <c r="Q434" t="s">
        <v>56</v>
      </c>
      <c r="R434">
        <v>5</v>
      </c>
      <c r="S434" t="s">
        <v>95</v>
      </c>
      <c r="T434" s="4">
        <f t="shared" si="33"/>
        <v>242932.28</v>
      </c>
      <c r="U434" s="4" t="str">
        <f t="shared" si="34"/>
        <v>Good</v>
      </c>
      <c r="V434" s="4" t="str">
        <f t="shared" si="35"/>
        <v>Excellent</v>
      </c>
      <c r="W434" s="4"/>
      <c r="X434" s="4"/>
      <c r="AJ434" s="4"/>
    </row>
    <row r="435" spans="1:36">
      <c r="A435" t="str">
        <f t="shared" si="31"/>
        <v>Kira40434</v>
      </c>
      <c r="B435">
        <v>434</v>
      </c>
      <c r="C435">
        <v>6</v>
      </c>
      <c r="D435">
        <v>2</v>
      </c>
      <c r="E435">
        <v>2022</v>
      </c>
      <c r="F435" s="1">
        <f t="shared" si="32"/>
        <v>44598</v>
      </c>
      <c r="G435" s="1" t="s">
        <v>408</v>
      </c>
      <c r="H435" s="2">
        <v>44911</v>
      </c>
      <c r="I435" t="s">
        <v>49</v>
      </c>
      <c r="J435">
        <v>2</v>
      </c>
      <c r="K435">
        <v>46657.57</v>
      </c>
      <c r="L435" t="s">
        <v>425</v>
      </c>
      <c r="M435">
        <v>40</v>
      </c>
      <c r="N435" t="s">
        <v>21</v>
      </c>
      <c r="O435" s="3" t="s">
        <v>55</v>
      </c>
      <c r="P435" t="s">
        <v>29</v>
      </c>
      <c r="Q435" t="s">
        <v>56</v>
      </c>
      <c r="R435">
        <v>2</v>
      </c>
      <c r="S435" t="s">
        <v>102</v>
      </c>
      <c r="T435" s="4">
        <f t="shared" si="33"/>
        <v>93315.14</v>
      </c>
      <c r="U435" s="4" t="str">
        <f t="shared" si="34"/>
        <v>Average</v>
      </c>
      <c r="V435" s="4" t="str">
        <f t="shared" si="35"/>
        <v>Average</v>
      </c>
      <c r="W435" s="4"/>
      <c r="X435" s="4"/>
      <c r="AJ435" s="4"/>
    </row>
    <row r="436" spans="1:36">
      <c r="A436" t="str">
        <f t="shared" si="31"/>
        <v>Arun38435</v>
      </c>
      <c r="B436">
        <v>435</v>
      </c>
      <c r="C436">
        <v>7</v>
      </c>
      <c r="D436">
        <v>2</v>
      </c>
      <c r="E436">
        <v>2022</v>
      </c>
      <c r="F436" s="1">
        <f t="shared" si="32"/>
        <v>44599</v>
      </c>
      <c r="G436" s="1" t="s">
        <v>408</v>
      </c>
      <c r="H436" s="2">
        <v>44912</v>
      </c>
      <c r="I436" t="s">
        <v>38</v>
      </c>
      <c r="J436">
        <v>6</v>
      </c>
      <c r="K436">
        <v>12407.48</v>
      </c>
      <c r="L436" t="s">
        <v>426</v>
      </c>
      <c r="M436">
        <v>38</v>
      </c>
      <c r="N436" t="s">
        <v>21</v>
      </c>
      <c r="O436" s="3" t="s">
        <v>55</v>
      </c>
      <c r="P436" t="s">
        <v>45</v>
      </c>
      <c r="Q436" t="s">
        <v>41</v>
      </c>
      <c r="R436">
        <v>2</v>
      </c>
      <c r="S436" t="s">
        <v>42</v>
      </c>
      <c r="T436" s="4">
        <f t="shared" si="33"/>
        <v>74444.88</v>
      </c>
      <c r="U436" s="4" t="str">
        <f t="shared" si="34"/>
        <v>Average</v>
      </c>
      <c r="V436" s="4" t="str">
        <f t="shared" si="35"/>
        <v>Average</v>
      </c>
      <c r="W436" s="4"/>
      <c r="X436" s="4"/>
      <c r="AJ436" s="4"/>
    </row>
    <row r="437" spans="1:36">
      <c r="A437" t="str">
        <f t="shared" si="31"/>
        <v>Hari43436</v>
      </c>
      <c r="B437">
        <v>436</v>
      </c>
      <c r="C437">
        <v>7</v>
      </c>
      <c r="D437">
        <v>2</v>
      </c>
      <c r="E437">
        <v>2022</v>
      </c>
      <c r="F437" s="1">
        <f t="shared" si="32"/>
        <v>44599</v>
      </c>
      <c r="G437" s="1" t="s">
        <v>408</v>
      </c>
      <c r="H437" s="2">
        <v>44913</v>
      </c>
      <c r="I437" t="s">
        <v>26</v>
      </c>
      <c r="J437">
        <v>2</v>
      </c>
      <c r="K437">
        <v>64086.81</v>
      </c>
      <c r="L437" t="s">
        <v>409</v>
      </c>
      <c r="M437">
        <v>43</v>
      </c>
      <c r="N437" t="s">
        <v>21</v>
      </c>
      <c r="O437" s="3" t="s">
        <v>28</v>
      </c>
      <c r="P437" t="s">
        <v>93</v>
      </c>
      <c r="Q437" t="s">
        <v>24</v>
      </c>
      <c r="R437">
        <v>3</v>
      </c>
      <c r="S437" t="s">
        <v>31</v>
      </c>
      <c r="T437" s="4">
        <f t="shared" si="33"/>
        <v>128173.62</v>
      </c>
      <c r="U437" s="4" t="str">
        <f t="shared" si="34"/>
        <v>Average</v>
      </c>
      <c r="V437" s="4" t="str">
        <f t="shared" si="35"/>
        <v>Good</v>
      </c>
      <c r="W437" s="4"/>
      <c r="X437" s="4"/>
      <c r="AJ437" s="4"/>
    </row>
    <row r="438" spans="1:36">
      <c r="A438" t="str">
        <f t="shared" si="31"/>
        <v>Vija25437</v>
      </c>
      <c r="B438">
        <v>437</v>
      </c>
      <c r="C438">
        <v>7</v>
      </c>
      <c r="D438">
        <v>2</v>
      </c>
      <c r="E438">
        <v>2022</v>
      </c>
      <c r="F438" s="1">
        <f t="shared" si="32"/>
        <v>44599</v>
      </c>
      <c r="G438" s="1" t="s">
        <v>408</v>
      </c>
      <c r="H438" s="2">
        <v>44914</v>
      </c>
      <c r="I438" t="s">
        <v>19</v>
      </c>
      <c r="J438">
        <v>5</v>
      </c>
      <c r="K438">
        <v>43445.760000000002</v>
      </c>
      <c r="L438" t="s">
        <v>427</v>
      </c>
      <c r="M438">
        <v>25</v>
      </c>
      <c r="N438" t="s">
        <v>36</v>
      </c>
      <c r="O438" s="3" t="s">
        <v>22</v>
      </c>
      <c r="P438" t="s">
        <v>93</v>
      </c>
      <c r="Q438" t="s">
        <v>41</v>
      </c>
      <c r="R438">
        <v>5</v>
      </c>
      <c r="S438" t="s">
        <v>37</v>
      </c>
      <c r="T438" s="4">
        <f t="shared" si="33"/>
        <v>217228.80000000002</v>
      </c>
      <c r="U438" s="4" t="str">
        <f t="shared" si="34"/>
        <v>Good</v>
      </c>
      <c r="V438" s="4" t="str">
        <f t="shared" si="35"/>
        <v>Excellent</v>
      </c>
      <c r="W438" s="4"/>
      <c r="X438" s="4"/>
      <c r="AJ438" s="4"/>
    </row>
    <row r="439" spans="1:36">
      <c r="A439" t="str">
        <f t="shared" si="31"/>
        <v>Arun47438</v>
      </c>
      <c r="B439">
        <v>438</v>
      </c>
      <c r="C439">
        <v>8</v>
      </c>
      <c r="D439">
        <v>2</v>
      </c>
      <c r="E439">
        <v>2022</v>
      </c>
      <c r="F439" s="1">
        <f t="shared" si="32"/>
        <v>44600</v>
      </c>
      <c r="G439" s="1" t="s">
        <v>408</v>
      </c>
      <c r="H439" s="2">
        <v>44915</v>
      </c>
      <c r="I439" t="s">
        <v>19</v>
      </c>
      <c r="J439">
        <v>6</v>
      </c>
      <c r="K439">
        <v>62108.57</v>
      </c>
      <c r="L439" t="s">
        <v>428</v>
      </c>
      <c r="M439">
        <v>47</v>
      </c>
      <c r="N439" t="s">
        <v>61</v>
      </c>
      <c r="O439" s="3" t="s">
        <v>22</v>
      </c>
      <c r="P439" t="s">
        <v>33</v>
      </c>
      <c r="Q439" t="s">
        <v>41</v>
      </c>
      <c r="R439">
        <v>4</v>
      </c>
      <c r="S439" t="s">
        <v>84</v>
      </c>
      <c r="T439" s="4">
        <f t="shared" si="33"/>
        <v>372651.42</v>
      </c>
      <c r="U439" s="4" t="str">
        <f t="shared" si="34"/>
        <v>Good</v>
      </c>
      <c r="V439" s="4" t="str">
        <f t="shared" si="35"/>
        <v>Excellent</v>
      </c>
      <c r="W439" s="4"/>
      <c r="X439" s="4"/>
      <c r="AJ439" s="4"/>
    </row>
    <row r="440" spans="1:36">
      <c r="A440" t="str">
        <f t="shared" si="31"/>
        <v>Hari51439</v>
      </c>
      <c r="B440">
        <v>439</v>
      </c>
      <c r="C440">
        <v>8</v>
      </c>
      <c r="D440">
        <v>2</v>
      </c>
      <c r="E440">
        <v>2022</v>
      </c>
      <c r="F440" s="1">
        <f t="shared" si="32"/>
        <v>44600</v>
      </c>
      <c r="G440" s="1" t="s">
        <v>408</v>
      </c>
      <c r="H440" s="2">
        <v>44916</v>
      </c>
      <c r="I440" t="s">
        <v>26</v>
      </c>
      <c r="J440">
        <v>4</v>
      </c>
      <c r="K440">
        <v>60065.75</v>
      </c>
      <c r="L440" t="s">
        <v>429</v>
      </c>
      <c r="M440">
        <v>51</v>
      </c>
      <c r="N440" t="s">
        <v>61</v>
      </c>
      <c r="O440" s="3" t="s">
        <v>55</v>
      </c>
      <c r="P440" t="s">
        <v>33</v>
      </c>
      <c r="Q440" t="s">
        <v>41</v>
      </c>
      <c r="R440">
        <v>2</v>
      </c>
      <c r="S440" t="s">
        <v>31</v>
      </c>
      <c r="T440" s="4">
        <f t="shared" si="33"/>
        <v>240263</v>
      </c>
      <c r="U440" s="4" t="str">
        <f t="shared" si="34"/>
        <v>Average</v>
      </c>
      <c r="V440" s="4" t="str">
        <f t="shared" si="35"/>
        <v>Excellent</v>
      </c>
      <c r="W440" s="4"/>
      <c r="X440" s="4"/>
      <c r="AJ440" s="4"/>
    </row>
    <row r="441" spans="1:36">
      <c r="A441" t="str">
        <f t="shared" si="31"/>
        <v>Suni19440</v>
      </c>
      <c r="B441">
        <v>440</v>
      </c>
      <c r="C441">
        <v>8</v>
      </c>
      <c r="D441">
        <v>2</v>
      </c>
      <c r="E441">
        <v>2022</v>
      </c>
      <c r="F441" s="1">
        <f t="shared" si="32"/>
        <v>44600</v>
      </c>
      <c r="G441" s="1" t="s">
        <v>408</v>
      </c>
      <c r="H441" s="2">
        <v>44917</v>
      </c>
      <c r="I441" t="s">
        <v>38</v>
      </c>
      <c r="J441">
        <v>3</v>
      </c>
      <c r="K441">
        <v>59980.37</v>
      </c>
      <c r="L441" t="s">
        <v>430</v>
      </c>
      <c r="M441">
        <v>19</v>
      </c>
      <c r="N441" t="s">
        <v>36</v>
      </c>
      <c r="O441" s="3" t="s">
        <v>22</v>
      </c>
      <c r="P441" t="s">
        <v>29</v>
      </c>
      <c r="Q441" t="s">
        <v>41</v>
      </c>
      <c r="R441">
        <v>5</v>
      </c>
      <c r="S441" t="s">
        <v>48</v>
      </c>
      <c r="T441" s="4">
        <f t="shared" si="33"/>
        <v>179941.11000000002</v>
      </c>
      <c r="U441" s="4" t="str">
        <f t="shared" si="34"/>
        <v>Good</v>
      </c>
      <c r="V441" s="4" t="str">
        <f t="shared" si="35"/>
        <v>Good</v>
      </c>
      <c r="W441" s="4"/>
      <c r="X441" s="4"/>
      <c r="AJ441" s="4"/>
    </row>
    <row r="442" spans="1:36">
      <c r="A442" t="str">
        <f t="shared" si="31"/>
        <v>Vino22441</v>
      </c>
      <c r="B442">
        <v>441</v>
      </c>
      <c r="C442">
        <v>8</v>
      </c>
      <c r="D442">
        <v>2</v>
      </c>
      <c r="E442">
        <v>2022</v>
      </c>
      <c r="F442" s="1">
        <f t="shared" si="32"/>
        <v>44600</v>
      </c>
      <c r="G442" s="1" t="s">
        <v>408</v>
      </c>
      <c r="H442" s="2">
        <v>44918</v>
      </c>
      <c r="I442" t="s">
        <v>38</v>
      </c>
      <c r="J442">
        <v>7</v>
      </c>
      <c r="K442">
        <v>51890.43</v>
      </c>
      <c r="L442" t="s">
        <v>431</v>
      </c>
      <c r="M442">
        <v>22</v>
      </c>
      <c r="N442" t="s">
        <v>36</v>
      </c>
      <c r="O442" s="3" t="s">
        <v>28</v>
      </c>
      <c r="P442" t="s">
        <v>117</v>
      </c>
      <c r="Q442" t="s">
        <v>24</v>
      </c>
      <c r="R442">
        <v>3</v>
      </c>
      <c r="S442" t="s">
        <v>48</v>
      </c>
      <c r="T442" s="4">
        <f t="shared" si="33"/>
        <v>363233.01</v>
      </c>
      <c r="U442" s="4" t="str">
        <f t="shared" si="34"/>
        <v>Average</v>
      </c>
      <c r="V442" s="4" t="str">
        <f t="shared" si="35"/>
        <v>Excellent</v>
      </c>
      <c r="W442" s="4"/>
      <c r="X442" s="4"/>
      <c r="AJ442" s="4"/>
    </row>
    <row r="443" spans="1:36">
      <c r="A443" t="str">
        <f t="shared" si="31"/>
        <v>Meen48442</v>
      </c>
      <c r="B443">
        <v>442</v>
      </c>
      <c r="C443">
        <v>9</v>
      </c>
      <c r="D443">
        <v>2</v>
      </c>
      <c r="E443">
        <v>2022</v>
      </c>
      <c r="F443" s="1">
        <f t="shared" si="32"/>
        <v>44601</v>
      </c>
      <c r="G443" s="1" t="s">
        <v>408</v>
      </c>
      <c r="H443" s="2">
        <v>44919</v>
      </c>
      <c r="I443" t="s">
        <v>49</v>
      </c>
      <c r="J443">
        <v>2</v>
      </c>
      <c r="K443">
        <v>27484.91</v>
      </c>
      <c r="L443" t="s">
        <v>432</v>
      </c>
      <c r="M443">
        <v>48</v>
      </c>
      <c r="N443" t="s">
        <v>61</v>
      </c>
      <c r="O443" s="3" t="s">
        <v>28</v>
      </c>
      <c r="P443" t="s">
        <v>33</v>
      </c>
      <c r="Q443" t="s">
        <v>56</v>
      </c>
      <c r="R443">
        <v>3</v>
      </c>
      <c r="S443" t="s">
        <v>52</v>
      </c>
      <c r="T443" s="4">
        <f t="shared" si="33"/>
        <v>54969.82</v>
      </c>
      <c r="U443" s="4" t="str">
        <f t="shared" si="34"/>
        <v>Average</v>
      </c>
      <c r="V443" s="4" t="str">
        <f t="shared" si="35"/>
        <v>Average</v>
      </c>
      <c r="W443" s="4"/>
      <c r="X443" s="4"/>
      <c r="AJ443" s="4"/>
    </row>
    <row r="444" spans="1:36">
      <c r="A444" t="str">
        <f t="shared" si="31"/>
        <v>Arun50443</v>
      </c>
      <c r="B444">
        <v>443</v>
      </c>
      <c r="C444">
        <v>9</v>
      </c>
      <c r="D444">
        <v>2</v>
      </c>
      <c r="E444">
        <v>2022</v>
      </c>
      <c r="F444" s="1">
        <f t="shared" si="32"/>
        <v>44601</v>
      </c>
      <c r="G444" s="1" t="s">
        <v>408</v>
      </c>
      <c r="H444" s="2">
        <v>44920</v>
      </c>
      <c r="I444" t="s">
        <v>49</v>
      </c>
      <c r="J444">
        <v>6</v>
      </c>
      <c r="K444">
        <v>30169.62</v>
      </c>
      <c r="L444" t="s">
        <v>298</v>
      </c>
      <c r="M444">
        <v>50</v>
      </c>
      <c r="N444" t="s">
        <v>61</v>
      </c>
      <c r="O444" s="3" t="s">
        <v>28</v>
      </c>
      <c r="P444" t="s">
        <v>93</v>
      </c>
      <c r="Q444" t="s">
        <v>41</v>
      </c>
      <c r="R444">
        <v>3</v>
      </c>
      <c r="S444" t="s">
        <v>88</v>
      </c>
      <c r="T444" s="4">
        <f t="shared" si="33"/>
        <v>181017.72</v>
      </c>
      <c r="U444" s="4" t="str">
        <f t="shared" si="34"/>
        <v>Average</v>
      </c>
      <c r="V444" s="4" t="str">
        <f t="shared" si="35"/>
        <v>Good</v>
      </c>
      <c r="W444" s="4"/>
      <c r="X444" s="4"/>
      <c r="AJ444" s="4"/>
    </row>
    <row r="445" spans="1:36">
      <c r="A445" t="str">
        <f t="shared" si="31"/>
        <v>Bhav21444</v>
      </c>
      <c r="B445">
        <v>444</v>
      </c>
      <c r="C445">
        <v>9</v>
      </c>
      <c r="D445">
        <v>2</v>
      </c>
      <c r="E445">
        <v>2022</v>
      </c>
      <c r="F445" s="1">
        <f t="shared" si="32"/>
        <v>44601</v>
      </c>
      <c r="G445" s="1" t="s">
        <v>408</v>
      </c>
      <c r="H445" s="2">
        <v>44921</v>
      </c>
      <c r="I445" t="s">
        <v>43</v>
      </c>
      <c r="J445">
        <v>4</v>
      </c>
      <c r="K445">
        <v>28508.15</v>
      </c>
      <c r="L445" t="s">
        <v>433</v>
      </c>
      <c r="M445">
        <v>21</v>
      </c>
      <c r="N445" t="s">
        <v>36</v>
      </c>
      <c r="O445" s="3" t="s">
        <v>22</v>
      </c>
      <c r="P445" t="s">
        <v>33</v>
      </c>
      <c r="Q445" t="s">
        <v>41</v>
      </c>
      <c r="R445">
        <v>5</v>
      </c>
      <c r="S445" t="s">
        <v>57</v>
      </c>
      <c r="T445" s="4">
        <f t="shared" si="33"/>
        <v>114032.6</v>
      </c>
      <c r="U445" s="4" t="str">
        <f t="shared" si="34"/>
        <v>Good</v>
      </c>
      <c r="V445" s="4" t="str">
        <f t="shared" si="35"/>
        <v>Good</v>
      </c>
      <c r="W445" s="4"/>
      <c r="X445" s="4"/>
      <c r="AJ445" s="4"/>
    </row>
    <row r="446" spans="1:36">
      <c r="A446" t="str">
        <f t="shared" si="31"/>
        <v>Bhav23445</v>
      </c>
      <c r="B446">
        <v>445</v>
      </c>
      <c r="C446">
        <v>10</v>
      </c>
      <c r="D446">
        <v>2</v>
      </c>
      <c r="E446">
        <v>2022</v>
      </c>
      <c r="F446" s="1">
        <f t="shared" si="32"/>
        <v>44602</v>
      </c>
      <c r="G446" s="1" t="s">
        <v>408</v>
      </c>
      <c r="H446" s="2">
        <v>44922</v>
      </c>
      <c r="I446" t="s">
        <v>19</v>
      </c>
      <c r="J446">
        <v>6</v>
      </c>
      <c r="K446">
        <v>11202.76</v>
      </c>
      <c r="L446" t="s">
        <v>251</v>
      </c>
      <c r="M446">
        <v>23</v>
      </c>
      <c r="N446" t="s">
        <v>36</v>
      </c>
      <c r="O446" s="3" t="s">
        <v>28</v>
      </c>
      <c r="P446" t="s">
        <v>59</v>
      </c>
      <c r="Q446" t="s">
        <v>30</v>
      </c>
      <c r="R446">
        <v>3</v>
      </c>
      <c r="S446" t="s">
        <v>37</v>
      </c>
      <c r="T446" s="4">
        <f t="shared" si="33"/>
        <v>67216.56</v>
      </c>
      <c r="U446" s="4" t="str">
        <f t="shared" si="34"/>
        <v>Average</v>
      </c>
      <c r="V446" s="4" t="str">
        <f t="shared" si="35"/>
        <v>Average</v>
      </c>
      <c r="W446" s="4"/>
      <c r="X446" s="4"/>
      <c r="AJ446" s="4"/>
    </row>
    <row r="447" spans="1:36">
      <c r="A447" t="str">
        <f t="shared" si="31"/>
        <v>Lata40446</v>
      </c>
      <c r="B447">
        <v>446</v>
      </c>
      <c r="C447">
        <v>10</v>
      </c>
      <c r="D447">
        <v>2</v>
      </c>
      <c r="E447">
        <v>2022</v>
      </c>
      <c r="F447" s="1">
        <f t="shared" si="32"/>
        <v>44602</v>
      </c>
      <c r="G447" s="1" t="s">
        <v>408</v>
      </c>
      <c r="H447" s="2">
        <v>44923</v>
      </c>
      <c r="I447" t="s">
        <v>49</v>
      </c>
      <c r="J447">
        <v>4</v>
      </c>
      <c r="K447">
        <v>44954.13</v>
      </c>
      <c r="L447" t="s">
        <v>127</v>
      </c>
      <c r="M447">
        <v>40</v>
      </c>
      <c r="N447" t="s">
        <v>21</v>
      </c>
      <c r="O447" s="3" t="s">
        <v>22</v>
      </c>
      <c r="P447" t="s">
        <v>29</v>
      </c>
      <c r="Q447" t="s">
        <v>24</v>
      </c>
      <c r="R447">
        <v>4</v>
      </c>
      <c r="S447" t="s">
        <v>102</v>
      </c>
      <c r="T447" s="4">
        <f t="shared" si="33"/>
        <v>179816.52</v>
      </c>
      <c r="U447" s="4" t="str">
        <f t="shared" si="34"/>
        <v>Good</v>
      </c>
      <c r="V447" s="4" t="str">
        <f t="shared" si="35"/>
        <v>Good</v>
      </c>
      <c r="W447" s="4"/>
      <c r="X447" s="4"/>
      <c r="AJ447" s="4"/>
    </row>
    <row r="448" spans="1:36">
      <c r="A448" t="str">
        <f t="shared" si="31"/>
        <v>Vive36447</v>
      </c>
      <c r="B448">
        <v>447</v>
      </c>
      <c r="C448">
        <v>10</v>
      </c>
      <c r="D448">
        <v>2</v>
      </c>
      <c r="E448">
        <v>2022</v>
      </c>
      <c r="F448" s="1">
        <f t="shared" si="32"/>
        <v>44602</v>
      </c>
      <c r="G448" s="1" t="s">
        <v>408</v>
      </c>
      <c r="H448" s="2">
        <v>44924</v>
      </c>
      <c r="I448" t="s">
        <v>38</v>
      </c>
      <c r="J448">
        <v>4</v>
      </c>
      <c r="K448">
        <v>51930.02</v>
      </c>
      <c r="L448" t="s">
        <v>334</v>
      </c>
      <c r="M448">
        <v>36</v>
      </c>
      <c r="N448" t="s">
        <v>21</v>
      </c>
      <c r="O448" s="3" t="s">
        <v>22</v>
      </c>
      <c r="P448" t="s">
        <v>23</v>
      </c>
      <c r="Q448" t="s">
        <v>41</v>
      </c>
      <c r="R448">
        <v>4</v>
      </c>
      <c r="S448" t="s">
        <v>42</v>
      </c>
      <c r="T448" s="4">
        <f t="shared" si="33"/>
        <v>207720.08</v>
      </c>
      <c r="U448" s="4" t="str">
        <f t="shared" si="34"/>
        <v>Good</v>
      </c>
      <c r="V448" s="4" t="str">
        <f t="shared" si="35"/>
        <v>Excellent</v>
      </c>
      <c r="W448" s="4"/>
      <c r="X448" s="4"/>
      <c r="AJ448" s="4"/>
    </row>
    <row r="449" spans="1:36">
      <c r="A449" t="str">
        <f t="shared" si="31"/>
        <v>Pras25448</v>
      </c>
      <c r="B449">
        <v>448</v>
      </c>
      <c r="C449">
        <v>11</v>
      </c>
      <c r="D449">
        <v>2</v>
      </c>
      <c r="E449">
        <v>2022</v>
      </c>
      <c r="F449" s="1">
        <f t="shared" si="32"/>
        <v>44603</v>
      </c>
      <c r="G449" s="1" t="s">
        <v>408</v>
      </c>
      <c r="H449" s="2">
        <v>44925</v>
      </c>
      <c r="I449" t="s">
        <v>26</v>
      </c>
      <c r="J449">
        <v>4</v>
      </c>
      <c r="K449">
        <v>61231.96</v>
      </c>
      <c r="L449" t="s">
        <v>434</v>
      </c>
      <c r="M449">
        <v>25</v>
      </c>
      <c r="N449" t="s">
        <v>36</v>
      </c>
      <c r="O449" s="3" t="s">
        <v>22</v>
      </c>
      <c r="P449" t="s">
        <v>33</v>
      </c>
      <c r="Q449" t="s">
        <v>30</v>
      </c>
      <c r="R449">
        <v>5</v>
      </c>
      <c r="S449" t="s">
        <v>34</v>
      </c>
      <c r="T449" s="4">
        <f t="shared" si="33"/>
        <v>244927.84</v>
      </c>
      <c r="U449" s="4" t="str">
        <f t="shared" si="34"/>
        <v>Good</v>
      </c>
      <c r="V449" s="4" t="str">
        <f t="shared" si="35"/>
        <v>Excellent</v>
      </c>
      <c r="W449" s="4"/>
      <c r="X449" s="4"/>
      <c r="AJ449" s="4"/>
    </row>
    <row r="450" spans="1:36">
      <c r="A450" t="str">
        <f t="shared" ref="A450:A513" si="36">LEFT(L450,4)&amp;M450&amp;B450</f>
        <v>Priy56449</v>
      </c>
      <c r="B450">
        <v>449</v>
      </c>
      <c r="C450">
        <v>11</v>
      </c>
      <c r="D450">
        <v>2</v>
      </c>
      <c r="E450">
        <v>2022</v>
      </c>
      <c r="F450" s="1">
        <f t="shared" si="32"/>
        <v>44603</v>
      </c>
      <c r="G450" s="1" t="s">
        <v>408</v>
      </c>
      <c r="H450" s="2">
        <v>44926</v>
      </c>
      <c r="I450" t="s">
        <v>38</v>
      </c>
      <c r="J450">
        <v>9</v>
      </c>
      <c r="K450">
        <v>18409.93</v>
      </c>
      <c r="L450" t="s">
        <v>435</v>
      </c>
      <c r="M450">
        <v>56</v>
      </c>
      <c r="N450" t="s">
        <v>61</v>
      </c>
      <c r="O450" s="3" t="s">
        <v>22</v>
      </c>
      <c r="P450" t="s">
        <v>132</v>
      </c>
      <c r="Q450" t="s">
        <v>41</v>
      </c>
      <c r="R450">
        <v>5</v>
      </c>
      <c r="S450" t="s">
        <v>48</v>
      </c>
      <c r="T450" s="4">
        <f t="shared" si="33"/>
        <v>165689.37</v>
      </c>
      <c r="U450" s="4" t="str">
        <f t="shared" si="34"/>
        <v>Good</v>
      </c>
      <c r="V450" s="4" t="str">
        <f t="shared" si="35"/>
        <v>Good</v>
      </c>
      <c r="W450" s="4"/>
      <c r="X450" s="4"/>
      <c r="AJ450" s="4"/>
    </row>
    <row r="451" spans="1:36">
      <c r="A451" t="str">
        <f t="shared" si="36"/>
        <v>Anja30450</v>
      </c>
      <c r="B451">
        <v>450</v>
      </c>
      <c r="C451">
        <v>11</v>
      </c>
      <c r="D451">
        <v>2</v>
      </c>
      <c r="E451">
        <v>2022</v>
      </c>
      <c r="F451" s="1">
        <f t="shared" ref="F451:F514" si="37">DATE(E451,D451,C451)</f>
        <v>44603</v>
      </c>
      <c r="G451" s="1" t="s">
        <v>408</v>
      </c>
      <c r="H451" s="2">
        <v>44927</v>
      </c>
      <c r="I451" t="s">
        <v>19</v>
      </c>
      <c r="J451">
        <v>7</v>
      </c>
      <c r="K451">
        <v>42650.99</v>
      </c>
      <c r="L451" t="s">
        <v>436</v>
      </c>
      <c r="M451">
        <v>30</v>
      </c>
      <c r="N451" t="s">
        <v>36</v>
      </c>
      <c r="O451" s="3" t="s">
        <v>22</v>
      </c>
      <c r="P451" t="s">
        <v>33</v>
      </c>
      <c r="Q451" t="s">
        <v>24</v>
      </c>
      <c r="R451">
        <v>4</v>
      </c>
      <c r="S451" t="s">
        <v>25</v>
      </c>
      <c r="T451" s="4">
        <f t="shared" ref="T451:T514" si="38">J451*K451</f>
        <v>298556.93</v>
      </c>
      <c r="U451" s="4" t="str">
        <f t="shared" ref="U451:U514" si="39">IF(R451&gt;=4,"Good","Average")</f>
        <v>Good</v>
      </c>
      <c r="V451" s="4" t="str">
        <f t="shared" ref="V451:V514" si="40">IF(T451&gt;200000,"Excellent",IF(T451&gt;100000,"Good",IF(T451&gt;50000,"Average","Low")))</f>
        <v>Excellent</v>
      </c>
      <c r="W451" s="4"/>
      <c r="X451" s="4"/>
      <c r="AJ451" s="4"/>
    </row>
    <row r="452" spans="1:36">
      <c r="A452" t="str">
        <f t="shared" si="36"/>
        <v>Arun18451</v>
      </c>
      <c r="B452">
        <v>451</v>
      </c>
      <c r="C452">
        <v>11</v>
      </c>
      <c r="D452">
        <v>2</v>
      </c>
      <c r="E452">
        <v>2022</v>
      </c>
      <c r="F452" s="1">
        <f t="shared" si="37"/>
        <v>44603</v>
      </c>
      <c r="G452" s="1" t="s">
        <v>408</v>
      </c>
      <c r="H452" s="2">
        <v>44928</v>
      </c>
      <c r="I452" t="s">
        <v>38</v>
      </c>
      <c r="J452">
        <v>3</v>
      </c>
      <c r="K452">
        <v>10480.49</v>
      </c>
      <c r="L452" t="s">
        <v>437</v>
      </c>
      <c r="M452">
        <v>18</v>
      </c>
      <c r="N452" t="s">
        <v>36</v>
      </c>
      <c r="O452" s="3" t="s">
        <v>22</v>
      </c>
      <c r="P452" t="s">
        <v>114</v>
      </c>
      <c r="Q452" t="s">
        <v>30</v>
      </c>
      <c r="R452">
        <v>5</v>
      </c>
      <c r="S452" t="s">
        <v>99</v>
      </c>
      <c r="T452" s="4">
        <f t="shared" si="38"/>
        <v>31441.47</v>
      </c>
      <c r="U452" s="4" t="str">
        <f t="shared" si="39"/>
        <v>Good</v>
      </c>
      <c r="V452" s="4" t="str">
        <f t="shared" si="40"/>
        <v>Low</v>
      </c>
      <c r="W452" s="4"/>
      <c r="X452" s="4"/>
      <c r="AJ452" s="4"/>
    </row>
    <row r="453" spans="1:36">
      <c r="A453" t="str">
        <f t="shared" si="36"/>
        <v>Arun23452</v>
      </c>
      <c r="B453">
        <v>452</v>
      </c>
      <c r="C453">
        <v>12</v>
      </c>
      <c r="D453">
        <v>2</v>
      </c>
      <c r="E453">
        <v>2022</v>
      </c>
      <c r="F453" s="1">
        <f t="shared" si="37"/>
        <v>44604</v>
      </c>
      <c r="G453" s="1" t="s">
        <v>408</v>
      </c>
      <c r="H453" s="2">
        <v>44929</v>
      </c>
      <c r="I453" t="s">
        <v>43</v>
      </c>
      <c r="J453">
        <v>3</v>
      </c>
      <c r="K453">
        <v>15705.62</v>
      </c>
      <c r="L453" t="s">
        <v>438</v>
      </c>
      <c r="M453">
        <v>23</v>
      </c>
      <c r="N453" t="s">
        <v>36</v>
      </c>
      <c r="O453" s="3" t="s">
        <v>22</v>
      </c>
      <c r="P453" t="s">
        <v>40</v>
      </c>
      <c r="Q453" t="s">
        <v>30</v>
      </c>
      <c r="R453">
        <v>5</v>
      </c>
      <c r="S453" t="s">
        <v>57</v>
      </c>
      <c r="T453" s="4">
        <f t="shared" si="38"/>
        <v>47116.86</v>
      </c>
      <c r="U453" s="4" t="str">
        <f t="shared" si="39"/>
        <v>Good</v>
      </c>
      <c r="V453" s="4" t="str">
        <f t="shared" si="40"/>
        <v>Low</v>
      </c>
      <c r="W453" s="4"/>
      <c r="X453" s="4"/>
      <c r="AJ453" s="4"/>
    </row>
    <row r="454" spans="1:36">
      <c r="A454" t="str">
        <f t="shared" si="36"/>
        <v>Arun24453</v>
      </c>
      <c r="B454">
        <v>453</v>
      </c>
      <c r="C454">
        <v>12</v>
      </c>
      <c r="D454">
        <v>2</v>
      </c>
      <c r="E454">
        <v>2022</v>
      </c>
      <c r="F454" s="1">
        <f t="shared" si="37"/>
        <v>44604</v>
      </c>
      <c r="G454" s="1" t="s">
        <v>408</v>
      </c>
      <c r="H454" s="2">
        <v>44930</v>
      </c>
      <c r="I454" t="s">
        <v>19</v>
      </c>
      <c r="J454">
        <v>6</v>
      </c>
      <c r="K454">
        <v>13252.7</v>
      </c>
      <c r="L454" t="s">
        <v>439</v>
      </c>
      <c r="M454">
        <v>24</v>
      </c>
      <c r="N454" t="s">
        <v>36</v>
      </c>
      <c r="O454" s="3" t="s">
        <v>28</v>
      </c>
      <c r="P454" t="s">
        <v>29</v>
      </c>
      <c r="Q454" t="s">
        <v>24</v>
      </c>
      <c r="R454">
        <v>3</v>
      </c>
      <c r="S454" t="s">
        <v>25</v>
      </c>
      <c r="T454" s="4">
        <f t="shared" si="38"/>
        <v>79516.200000000012</v>
      </c>
      <c r="U454" s="4" t="str">
        <f t="shared" si="39"/>
        <v>Average</v>
      </c>
      <c r="V454" s="4" t="str">
        <f t="shared" si="40"/>
        <v>Average</v>
      </c>
      <c r="W454" s="4"/>
      <c r="X454" s="4"/>
      <c r="AJ454" s="4"/>
    </row>
    <row r="455" spans="1:36">
      <c r="A455" t="str">
        <f t="shared" si="36"/>
        <v>Vino44454</v>
      </c>
      <c r="B455">
        <v>454</v>
      </c>
      <c r="C455">
        <v>12</v>
      </c>
      <c r="D455">
        <v>2</v>
      </c>
      <c r="E455">
        <v>2022</v>
      </c>
      <c r="F455" s="1">
        <f t="shared" si="37"/>
        <v>44604</v>
      </c>
      <c r="G455" s="1" t="s">
        <v>408</v>
      </c>
      <c r="H455" s="2">
        <v>44931</v>
      </c>
      <c r="I455" t="s">
        <v>26</v>
      </c>
      <c r="J455">
        <v>6</v>
      </c>
      <c r="K455">
        <v>53528.68</v>
      </c>
      <c r="L455" t="s">
        <v>175</v>
      </c>
      <c r="M455">
        <v>44</v>
      </c>
      <c r="N455" t="s">
        <v>21</v>
      </c>
      <c r="O455" s="3" t="s">
        <v>22</v>
      </c>
      <c r="P455" t="s">
        <v>51</v>
      </c>
      <c r="Q455" t="s">
        <v>30</v>
      </c>
      <c r="R455">
        <v>4</v>
      </c>
      <c r="S455" t="s">
        <v>31</v>
      </c>
      <c r="T455" s="4">
        <f t="shared" si="38"/>
        <v>321172.08</v>
      </c>
      <c r="U455" s="4" t="str">
        <f t="shared" si="39"/>
        <v>Good</v>
      </c>
      <c r="V455" s="4" t="str">
        <f t="shared" si="40"/>
        <v>Excellent</v>
      </c>
      <c r="W455" s="4"/>
      <c r="X455" s="4"/>
      <c r="AJ455" s="4"/>
    </row>
    <row r="456" spans="1:36">
      <c r="A456" t="str">
        <f t="shared" si="36"/>
        <v>Moni32455</v>
      </c>
      <c r="B456">
        <v>455</v>
      </c>
      <c r="C456">
        <v>12</v>
      </c>
      <c r="D456">
        <v>2</v>
      </c>
      <c r="E456">
        <v>2022</v>
      </c>
      <c r="F456" s="1">
        <f t="shared" si="37"/>
        <v>44604</v>
      </c>
      <c r="G456" s="1" t="s">
        <v>408</v>
      </c>
      <c r="H456" s="2">
        <v>44932</v>
      </c>
      <c r="I456" t="s">
        <v>43</v>
      </c>
      <c r="J456">
        <v>4</v>
      </c>
      <c r="K456">
        <v>14863.57</v>
      </c>
      <c r="L456" t="s">
        <v>267</v>
      </c>
      <c r="M456">
        <v>32</v>
      </c>
      <c r="N456" t="s">
        <v>21</v>
      </c>
      <c r="O456" s="3" t="s">
        <v>55</v>
      </c>
      <c r="P456" t="s">
        <v>29</v>
      </c>
      <c r="Q456" t="s">
        <v>30</v>
      </c>
      <c r="R456">
        <v>2</v>
      </c>
      <c r="S456" t="s">
        <v>95</v>
      </c>
      <c r="T456" s="4">
        <f t="shared" si="38"/>
        <v>59454.28</v>
      </c>
      <c r="U456" s="4" t="str">
        <f t="shared" si="39"/>
        <v>Average</v>
      </c>
      <c r="V456" s="4" t="str">
        <f t="shared" si="40"/>
        <v>Average</v>
      </c>
      <c r="W456" s="4"/>
      <c r="X456" s="4"/>
      <c r="AJ456" s="4"/>
    </row>
    <row r="457" spans="1:36">
      <c r="A457" t="str">
        <f t="shared" si="36"/>
        <v>Vija51456</v>
      </c>
      <c r="B457">
        <v>456</v>
      </c>
      <c r="C457">
        <v>13</v>
      </c>
      <c r="D457">
        <v>2</v>
      </c>
      <c r="E457">
        <v>2022</v>
      </c>
      <c r="F457" s="1">
        <f t="shared" si="37"/>
        <v>44605</v>
      </c>
      <c r="G457" s="1" t="s">
        <v>408</v>
      </c>
      <c r="H457" s="2">
        <v>44933</v>
      </c>
      <c r="I457" t="s">
        <v>19</v>
      </c>
      <c r="J457">
        <v>9</v>
      </c>
      <c r="K457">
        <v>52987.18</v>
      </c>
      <c r="L457" t="s">
        <v>290</v>
      </c>
      <c r="M457">
        <v>51</v>
      </c>
      <c r="N457" t="s">
        <v>61</v>
      </c>
      <c r="O457" s="3" t="s">
        <v>22</v>
      </c>
      <c r="P457" t="s">
        <v>29</v>
      </c>
      <c r="Q457" t="s">
        <v>41</v>
      </c>
      <c r="R457">
        <v>5</v>
      </c>
      <c r="S457" t="s">
        <v>25</v>
      </c>
      <c r="T457" s="4">
        <f t="shared" si="38"/>
        <v>476884.62</v>
      </c>
      <c r="U457" s="4" t="str">
        <f t="shared" si="39"/>
        <v>Good</v>
      </c>
      <c r="V457" s="4" t="str">
        <f t="shared" si="40"/>
        <v>Excellent</v>
      </c>
      <c r="W457" s="4"/>
      <c r="X457" s="4"/>
      <c r="AJ457" s="4"/>
    </row>
    <row r="458" spans="1:36">
      <c r="A458" t="str">
        <f t="shared" si="36"/>
        <v>Bhav40457</v>
      </c>
      <c r="B458">
        <v>457</v>
      </c>
      <c r="C458">
        <v>13</v>
      </c>
      <c r="D458">
        <v>2</v>
      </c>
      <c r="E458">
        <v>2022</v>
      </c>
      <c r="F458" s="1">
        <f t="shared" si="37"/>
        <v>44605</v>
      </c>
      <c r="G458" s="1" t="s">
        <v>408</v>
      </c>
      <c r="H458" s="2">
        <v>44934</v>
      </c>
      <c r="I458" t="s">
        <v>26</v>
      </c>
      <c r="J458">
        <v>4</v>
      </c>
      <c r="K458">
        <v>24977.48</v>
      </c>
      <c r="L458" t="s">
        <v>440</v>
      </c>
      <c r="M458">
        <v>40</v>
      </c>
      <c r="N458" t="s">
        <v>21</v>
      </c>
      <c r="O458" s="3" t="s">
        <v>22</v>
      </c>
      <c r="P458" t="s">
        <v>33</v>
      </c>
      <c r="Q458" t="s">
        <v>30</v>
      </c>
      <c r="R458">
        <v>5</v>
      </c>
      <c r="S458" t="s">
        <v>34</v>
      </c>
      <c r="T458" s="4">
        <f t="shared" si="38"/>
        <v>99909.92</v>
      </c>
      <c r="U458" s="4" t="str">
        <f t="shared" si="39"/>
        <v>Good</v>
      </c>
      <c r="V458" s="4" t="str">
        <f t="shared" si="40"/>
        <v>Average</v>
      </c>
      <c r="W458" s="4"/>
      <c r="X458" s="4"/>
      <c r="AJ458" s="4"/>
    </row>
    <row r="459" spans="1:36">
      <c r="A459" t="str">
        <f t="shared" si="36"/>
        <v>Priy41458</v>
      </c>
      <c r="B459">
        <v>458</v>
      </c>
      <c r="C459">
        <v>13</v>
      </c>
      <c r="D459">
        <v>2</v>
      </c>
      <c r="E459">
        <v>2022</v>
      </c>
      <c r="F459" s="1">
        <f t="shared" si="37"/>
        <v>44605</v>
      </c>
      <c r="G459" s="1" t="s">
        <v>408</v>
      </c>
      <c r="H459" s="2">
        <v>44935</v>
      </c>
      <c r="I459" t="s">
        <v>43</v>
      </c>
      <c r="J459">
        <v>9</v>
      </c>
      <c r="K459">
        <v>62662.78</v>
      </c>
      <c r="L459" t="s">
        <v>441</v>
      </c>
      <c r="M459">
        <v>41</v>
      </c>
      <c r="N459" t="s">
        <v>21</v>
      </c>
      <c r="O459" s="3" t="s">
        <v>22</v>
      </c>
      <c r="P459" t="s">
        <v>33</v>
      </c>
      <c r="Q459" t="s">
        <v>56</v>
      </c>
      <c r="R459">
        <v>4</v>
      </c>
      <c r="S459" t="s">
        <v>46</v>
      </c>
      <c r="T459" s="4">
        <f t="shared" si="38"/>
        <v>563965.02</v>
      </c>
      <c r="U459" s="4" t="str">
        <f t="shared" si="39"/>
        <v>Good</v>
      </c>
      <c r="V459" s="4" t="str">
        <f t="shared" si="40"/>
        <v>Excellent</v>
      </c>
      <c r="W459" s="4"/>
      <c r="X459" s="4"/>
      <c r="AJ459" s="4"/>
    </row>
    <row r="460" spans="1:36">
      <c r="A460" t="str">
        <f t="shared" si="36"/>
        <v>Tapa32459</v>
      </c>
      <c r="B460">
        <v>459</v>
      </c>
      <c r="C460">
        <v>14</v>
      </c>
      <c r="D460">
        <v>2</v>
      </c>
      <c r="E460">
        <v>2022</v>
      </c>
      <c r="F460" s="1">
        <f t="shared" si="37"/>
        <v>44606</v>
      </c>
      <c r="G460" s="1" t="s">
        <v>408</v>
      </c>
      <c r="H460" s="2">
        <v>44936</v>
      </c>
      <c r="I460" t="s">
        <v>43</v>
      </c>
      <c r="J460">
        <v>4</v>
      </c>
      <c r="K460">
        <v>58789</v>
      </c>
      <c r="L460" t="s">
        <v>376</v>
      </c>
      <c r="M460">
        <v>32</v>
      </c>
      <c r="N460" t="s">
        <v>21</v>
      </c>
      <c r="O460" s="3" t="s">
        <v>55</v>
      </c>
      <c r="P460" t="s">
        <v>90</v>
      </c>
      <c r="Q460" t="s">
        <v>24</v>
      </c>
      <c r="R460">
        <v>2</v>
      </c>
      <c r="S460" t="s">
        <v>57</v>
      </c>
      <c r="T460" s="4">
        <f t="shared" si="38"/>
        <v>235156</v>
      </c>
      <c r="U460" s="4" t="str">
        <f t="shared" si="39"/>
        <v>Average</v>
      </c>
      <c r="V460" s="4" t="str">
        <f t="shared" si="40"/>
        <v>Excellent</v>
      </c>
      <c r="W460" s="4"/>
      <c r="X460" s="4"/>
      <c r="AJ460" s="4"/>
    </row>
    <row r="461" spans="1:36">
      <c r="A461" t="str">
        <f t="shared" si="36"/>
        <v>Meen52460</v>
      </c>
      <c r="B461">
        <v>460</v>
      </c>
      <c r="C461">
        <v>14</v>
      </c>
      <c r="D461">
        <v>2</v>
      </c>
      <c r="E461">
        <v>2022</v>
      </c>
      <c r="F461" s="1">
        <f t="shared" si="37"/>
        <v>44606</v>
      </c>
      <c r="G461" s="1" t="s">
        <v>408</v>
      </c>
      <c r="H461" s="2">
        <v>44937</v>
      </c>
      <c r="I461" t="s">
        <v>19</v>
      </c>
      <c r="J461">
        <v>2</v>
      </c>
      <c r="K461">
        <v>67469.81</v>
      </c>
      <c r="L461" t="s">
        <v>442</v>
      </c>
      <c r="M461">
        <v>52</v>
      </c>
      <c r="N461" t="s">
        <v>61</v>
      </c>
      <c r="O461" s="3" t="s">
        <v>22</v>
      </c>
      <c r="P461" t="s">
        <v>150</v>
      </c>
      <c r="Q461" t="s">
        <v>41</v>
      </c>
      <c r="R461">
        <v>5</v>
      </c>
      <c r="S461" t="s">
        <v>84</v>
      </c>
      <c r="T461" s="4">
        <f t="shared" si="38"/>
        <v>134939.62</v>
      </c>
      <c r="U461" s="4" t="str">
        <f t="shared" si="39"/>
        <v>Good</v>
      </c>
      <c r="V461" s="4" t="str">
        <f t="shared" si="40"/>
        <v>Good</v>
      </c>
      <c r="W461" s="4"/>
      <c r="X461" s="4"/>
      <c r="AJ461" s="4"/>
    </row>
    <row r="462" spans="1:36">
      <c r="A462" t="str">
        <f t="shared" si="36"/>
        <v>Nami21461</v>
      </c>
      <c r="B462">
        <v>461</v>
      </c>
      <c r="C462">
        <v>14</v>
      </c>
      <c r="D462">
        <v>2</v>
      </c>
      <c r="E462">
        <v>2022</v>
      </c>
      <c r="F462" s="1">
        <f t="shared" si="37"/>
        <v>44606</v>
      </c>
      <c r="G462" s="1" t="s">
        <v>408</v>
      </c>
      <c r="H462" s="2">
        <v>44938</v>
      </c>
      <c r="I462" t="s">
        <v>49</v>
      </c>
      <c r="J462">
        <v>2</v>
      </c>
      <c r="K462">
        <v>63025.72</v>
      </c>
      <c r="L462" t="s">
        <v>381</v>
      </c>
      <c r="M462">
        <v>21</v>
      </c>
      <c r="N462" t="s">
        <v>36</v>
      </c>
      <c r="O462" s="3" t="s">
        <v>22</v>
      </c>
      <c r="P462" t="s">
        <v>29</v>
      </c>
      <c r="Q462" t="s">
        <v>30</v>
      </c>
      <c r="R462">
        <v>5</v>
      </c>
      <c r="S462" t="s">
        <v>102</v>
      </c>
      <c r="T462" s="4">
        <f t="shared" si="38"/>
        <v>126051.44</v>
      </c>
      <c r="U462" s="4" t="str">
        <f t="shared" si="39"/>
        <v>Good</v>
      </c>
      <c r="V462" s="4" t="str">
        <f t="shared" si="40"/>
        <v>Good</v>
      </c>
      <c r="W462" s="4"/>
      <c r="X462" s="4"/>
      <c r="AJ462" s="4"/>
    </row>
    <row r="463" spans="1:36">
      <c r="A463" t="str">
        <f t="shared" si="36"/>
        <v>Anit54462</v>
      </c>
      <c r="B463">
        <v>462</v>
      </c>
      <c r="C463">
        <v>14</v>
      </c>
      <c r="D463">
        <v>2</v>
      </c>
      <c r="E463">
        <v>2022</v>
      </c>
      <c r="F463" s="1">
        <f t="shared" si="37"/>
        <v>44606</v>
      </c>
      <c r="G463" s="1" t="s">
        <v>408</v>
      </c>
      <c r="H463" s="2">
        <v>44939</v>
      </c>
      <c r="I463" t="s">
        <v>43</v>
      </c>
      <c r="J463">
        <v>5</v>
      </c>
      <c r="K463">
        <v>65999.77</v>
      </c>
      <c r="L463" t="s">
        <v>310</v>
      </c>
      <c r="M463">
        <v>54</v>
      </c>
      <c r="N463" t="s">
        <v>61</v>
      </c>
      <c r="O463" s="3" t="s">
        <v>55</v>
      </c>
      <c r="P463" t="s">
        <v>33</v>
      </c>
      <c r="Q463" t="s">
        <v>56</v>
      </c>
      <c r="R463">
        <v>2</v>
      </c>
      <c r="S463" t="s">
        <v>46</v>
      </c>
      <c r="T463" s="4">
        <f t="shared" si="38"/>
        <v>329998.85000000003</v>
      </c>
      <c r="U463" s="4" t="str">
        <f t="shared" si="39"/>
        <v>Average</v>
      </c>
      <c r="V463" s="4" t="str">
        <f t="shared" si="40"/>
        <v>Excellent</v>
      </c>
      <c r="W463" s="4"/>
      <c r="X463" s="4"/>
      <c r="AJ463" s="4"/>
    </row>
    <row r="464" spans="1:36">
      <c r="A464" t="str">
        <f t="shared" si="36"/>
        <v>Vino34463</v>
      </c>
      <c r="B464">
        <v>463</v>
      </c>
      <c r="C464">
        <v>15</v>
      </c>
      <c r="D464">
        <v>2</v>
      </c>
      <c r="E464">
        <v>2022</v>
      </c>
      <c r="F464" s="1">
        <f t="shared" si="37"/>
        <v>44607</v>
      </c>
      <c r="G464" s="1" t="s">
        <v>408</v>
      </c>
      <c r="H464" s="2">
        <v>44940</v>
      </c>
      <c r="I464" t="s">
        <v>43</v>
      </c>
      <c r="J464">
        <v>4</v>
      </c>
      <c r="K464">
        <v>61524.54</v>
      </c>
      <c r="L464" t="s">
        <v>175</v>
      </c>
      <c r="M464">
        <v>34</v>
      </c>
      <c r="N464" t="s">
        <v>21</v>
      </c>
      <c r="O464" s="3" t="s">
        <v>28</v>
      </c>
      <c r="P464" t="s">
        <v>33</v>
      </c>
      <c r="Q464" t="s">
        <v>41</v>
      </c>
      <c r="R464">
        <v>3</v>
      </c>
      <c r="S464" t="s">
        <v>46</v>
      </c>
      <c r="T464" s="4">
        <f t="shared" si="38"/>
        <v>246098.16</v>
      </c>
      <c r="U464" s="4" t="str">
        <f t="shared" si="39"/>
        <v>Average</v>
      </c>
      <c r="V464" s="4" t="str">
        <f t="shared" si="40"/>
        <v>Excellent</v>
      </c>
      <c r="W464" s="4"/>
      <c r="X464" s="4"/>
      <c r="AJ464" s="4"/>
    </row>
    <row r="465" spans="1:36">
      <c r="A465" t="str">
        <f t="shared" si="36"/>
        <v>Kuna48464</v>
      </c>
      <c r="B465">
        <v>464</v>
      </c>
      <c r="C465">
        <v>15</v>
      </c>
      <c r="D465">
        <v>2</v>
      </c>
      <c r="E465">
        <v>2022</v>
      </c>
      <c r="F465" s="1">
        <f t="shared" si="37"/>
        <v>44607</v>
      </c>
      <c r="G465" s="1" t="s">
        <v>408</v>
      </c>
      <c r="H465" s="2">
        <v>44941</v>
      </c>
      <c r="I465" t="s">
        <v>26</v>
      </c>
      <c r="J465">
        <v>7</v>
      </c>
      <c r="K465">
        <v>51602.91</v>
      </c>
      <c r="L465" t="s">
        <v>443</v>
      </c>
      <c r="M465">
        <v>48</v>
      </c>
      <c r="N465" t="s">
        <v>61</v>
      </c>
      <c r="O465" s="3" t="s">
        <v>22</v>
      </c>
      <c r="P465" t="s">
        <v>66</v>
      </c>
      <c r="Q465" t="s">
        <v>24</v>
      </c>
      <c r="R465">
        <v>5</v>
      </c>
      <c r="S465" t="s">
        <v>34</v>
      </c>
      <c r="T465" s="4">
        <f t="shared" si="38"/>
        <v>361220.37</v>
      </c>
      <c r="U465" s="4" t="str">
        <f t="shared" si="39"/>
        <v>Good</v>
      </c>
      <c r="V465" s="4" t="str">
        <f t="shared" si="40"/>
        <v>Excellent</v>
      </c>
      <c r="W465" s="4"/>
      <c r="X465" s="4"/>
      <c r="AJ465" s="4"/>
    </row>
    <row r="466" spans="1:36">
      <c r="A466" t="str">
        <f t="shared" si="36"/>
        <v>Mala55465</v>
      </c>
      <c r="B466">
        <v>465</v>
      </c>
      <c r="C466">
        <v>15</v>
      </c>
      <c r="D466">
        <v>2</v>
      </c>
      <c r="E466">
        <v>2022</v>
      </c>
      <c r="F466" s="1">
        <f t="shared" si="37"/>
        <v>44607</v>
      </c>
      <c r="G466" s="1" t="s">
        <v>408</v>
      </c>
      <c r="H466" s="2">
        <v>44942</v>
      </c>
      <c r="I466" t="s">
        <v>38</v>
      </c>
      <c r="J466">
        <v>5</v>
      </c>
      <c r="K466">
        <v>20215.55</v>
      </c>
      <c r="L466" t="s">
        <v>206</v>
      </c>
      <c r="M466">
        <v>55</v>
      </c>
      <c r="N466" t="s">
        <v>61</v>
      </c>
      <c r="O466" s="3" t="s">
        <v>55</v>
      </c>
      <c r="P466" t="s">
        <v>29</v>
      </c>
      <c r="Q466" t="s">
        <v>30</v>
      </c>
      <c r="R466">
        <v>2</v>
      </c>
      <c r="S466" t="s">
        <v>99</v>
      </c>
      <c r="T466" s="4">
        <f t="shared" si="38"/>
        <v>101077.75</v>
      </c>
      <c r="U466" s="4" t="str">
        <f t="shared" si="39"/>
        <v>Average</v>
      </c>
      <c r="V466" s="4" t="str">
        <f t="shared" si="40"/>
        <v>Good</v>
      </c>
      <c r="W466" s="4"/>
      <c r="X466" s="4"/>
      <c r="AJ466" s="4"/>
    </row>
    <row r="467" spans="1:36">
      <c r="A467" t="str">
        <f t="shared" si="36"/>
        <v>Sumi27466</v>
      </c>
      <c r="B467">
        <v>466</v>
      </c>
      <c r="C467">
        <v>15</v>
      </c>
      <c r="D467">
        <v>2</v>
      </c>
      <c r="E467">
        <v>2022</v>
      </c>
      <c r="F467" s="1">
        <f t="shared" si="37"/>
        <v>44607</v>
      </c>
      <c r="G467" s="1" t="s">
        <v>408</v>
      </c>
      <c r="H467" s="2">
        <v>44943</v>
      </c>
      <c r="I467" t="s">
        <v>19</v>
      </c>
      <c r="J467">
        <v>6</v>
      </c>
      <c r="K467">
        <v>26302.45</v>
      </c>
      <c r="L467" t="s">
        <v>444</v>
      </c>
      <c r="M467">
        <v>27</v>
      </c>
      <c r="N467" t="s">
        <v>36</v>
      </c>
      <c r="O467" s="3" t="s">
        <v>22</v>
      </c>
      <c r="P467" t="s">
        <v>45</v>
      </c>
      <c r="Q467" t="s">
        <v>24</v>
      </c>
      <c r="R467">
        <v>4</v>
      </c>
      <c r="S467" t="s">
        <v>37</v>
      </c>
      <c r="T467" s="4">
        <f t="shared" si="38"/>
        <v>157814.70000000001</v>
      </c>
      <c r="U467" s="4" t="str">
        <f t="shared" si="39"/>
        <v>Good</v>
      </c>
      <c r="V467" s="4" t="str">
        <f t="shared" si="40"/>
        <v>Good</v>
      </c>
      <c r="W467" s="4"/>
      <c r="X467" s="4"/>
      <c r="AJ467" s="4"/>
    </row>
    <row r="468" spans="1:36">
      <c r="A468" t="str">
        <f t="shared" si="36"/>
        <v>Kavi44467</v>
      </c>
      <c r="B468">
        <v>467</v>
      </c>
      <c r="C468">
        <v>16</v>
      </c>
      <c r="D468">
        <v>2</v>
      </c>
      <c r="E468">
        <v>2022</v>
      </c>
      <c r="F468" s="1">
        <f t="shared" si="37"/>
        <v>44608</v>
      </c>
      <c r="G468" s="1" t="s">
        <v>408</v>
      </c>
      <c r="H468" s="2">
        <v>44944</v>
      </c>
      <c r="I468" t="s">
        <v>19</v>
      </c>
      <c r="J468">
        <v>4</v>
      </c>
      <c r="K468">
        <v>22763.62</v>
      </c>
      <c r="L468" t="s">
        <v>445</v>
      </c>
      <c r="M468">
        <v>44</v>
      </c>
      <c r="N468" t="s">
        <v>21</v>
      </c>
      <c r="O468" s="3" t="s">
        <v>22</v>
      </c>
      <c r="P468" t="s">
        <v>29</v>
      </c>
      <c r="Q468" t="s">
        <v>24</v>
      </c>
      <c r="R468">
        <v>5</v>
      </c>
      <c r="S468" t="s">
        <v>37</v>
      </c>
      <c r="T468" s="4">
        <f t="shared" si="38"/>
        <v>91054.48</v>
      </c>
      <c r="U468" s="4" t="str">
        <f t="shared" si="39"/>
        <v>Good</v>
      </c>
      <c r="V468" s="4" t="str">
        <f t="shared" si="40"/>
        <v>Average</v>
      </c>
      <c r="W468" s="4"/>
      <c r="X468" s="4"/>
      <c r="AJ468" s="4"/>
    </row>
    <row r="469" spans="1:36">
      <c r="A469" t="str">
        <f t="shared" si="36"/>
        <v>Tapa59468</v>
      </c>
      <c r="B469">
        <v>468</v>
      </c>
      <c r="C469">
        <v>16</v>
      </c>
      <c r="D469">
        <v>2</v>
      </c>
      <c r="E469">
        <v>2022</v>
      </c>
      <c r="F469" s="1">
        <f t="shared" si="37"/>
        <v>44608</v>
      </c>
      <c r="G469" s="1" t="s">
        <v>408</v>
      </c>
      <c r="H469" s="2">
        <v>44945</v>
      </c>
      <c r="I469" t="s">
        <v>49</v>
      </c>
      <c r="J469">
        <v>2</v>
      </c>
      <c r="K469">
        <v>46215.15</v>
      </c>
      <c r="L469" t="s">
        <v>446</v>
      </c>
      <c r="M469">
        <v>59</v>
      </c>
      <c r="N469" t="s">
        <v>61</v>
      </c>
      <c r="O469" s="3" t="s">
        <v>22</v>
      </c>
      <c r="P469" t="s">
        <v>77</v>
      </c>
      <c r="Q469" t="s">
        <v>30</v>
      </c>
      <c r="R469">
        <v>5</v>
      </c>
      <c r="S469" t="s">
        <v>52</v>
      </c>
      <c r="T469" s="4">
        <f t="shared" si="38"/>
        <v>92430.3</v>
      </c>
      <c r="U469" s="4" t="str">
        <f t="shared" si="39"/>
        <v>Good</v>
      </c>
      <c r="V469" s="4" t="str">
        <f t="shared" si="40"/>
        <v>Average</v>
      </c>
      <c r="W469" s="4"/>
      <c r="X469" s="4"/>
      <c r="AJ469" s="4"/>
    </row>
    <row r="470" spans="1:36">
      <c r="A470" t="str">
        <f t="shared" si="36"/>
        <v>Nikh23469</v>
      </c>
      <c r="B470">
        <v>469</v>
      </c>
      <c r="C470">
        <v>16</v>
      </c>
      <c r="D470">
        <v>2</v>
      </c>
      <c r="E470">
        <v>2022</v>
      </c>
      <c r="F470" s="1">
        <f t="shared" si="37"/>
        <v>44608</v>
      </c>
      <c r="G470" s="1" t="s">
        <v>408</v>
      </c>
      <c r="H470" s="2">
        <v>44946</v>
      </c>
      <c r="I470" t="s">
        <v>49</v>
      </c>
      <c r="J470">
        <v>9</v>
      </c>
      <c r="K470">
        <v>40217.199999999997</v>
      </c>
      <c r="L470" t="s">
        <v>447</v>
      </c>
      <c r="M470">
        <v>23</v>
      </c>
      <c r="N470" t="s">
        <v>36</v>
      </c>
      <c r="O470" s="3" t="s">
        <v>22</v>
      </c>
      <c r="P470" t="s">
        <v>29</v>
      </c>
      <c r="Q470" t="s">
        <v>30</v>
      </c>
      <c r="R470">
        <v>4</v>
      </c>
      <c r="S470" t="s">
        <v>102</v>
      </c>
      <c r="T470" s="4">
        <f t="shared" si="38"/>
        <v>361954.8</v>
      </c>
      <c r="U470" s="4" t="str">
        <f t="shared" si="39"/>
        <v>Good</v>
      </c>
      <c r="V470" s="4" t="str">
        <f t="shared" si="40"/>
        <v>Excellent</v>
      </c>
      <c r="W470" s="4"/>
      <c r="X470" s="4"/>
      <c r="AJ470" s="4"/>
    </row>
    <row r="471" spans="1:36">
      <c r="A471" t="str">
        <f t="shared" si="36"/>
        <v>Vino23470</v>
      </c>
      <c r="B471">
        <v>470</v>
      </c>
      <c r="C471">
        <v>16</v>
      </c>
      <c r="D471">
        <v>2</v>
      </c>
      <c r="E471">
        <v>2022</v>
      </c>
      <c r="F471" s="1">
        <f t="shared" si="37"/>
        <v>44608</v>
      </c>
      <c r="G471" s="1" t="s">
        <v>408</v>
      </c>
      <c r="H471" s="2">
        <v>44947</v>
      </c>
      <c r="I471" t="s">
        <v>19</v>
      </c>
      <c r="J471">
        <v>7</v>
      </c>
      <c r="K471">
        <v>62024.800000000003</v>
      </c>
      <c r="L471" t="s">
        <v>448</v>
      </c>
      <c r="M471">
        <v>23</v>
      </c>
      <c r="N471" t="s">
        <v>36</v>
      </c>
      <c r="O471" s="3" t="s">
        <v>55</v>
      </c>
      <c r="P471" t="s">
        <v>90</v>
      </c>
      <c r="Q471" t="s">
        <v>41</v>
      </c>
      <c r="R471">
        <v>2</v>
      </c>
      <c r="S471" t="s">
        <v>84</v>
      </c>
      <c r="T471" s="4">
        <f t="shared" si="38"/>
        <v>434173.60000000003</v>
      </c>
      <c r="U471" s="4" t="str">
        <f t="shared" si="39"/>
        <v>Average</v>
      </c>
      <c r="V471" s="4" t="str">
        <f t="shared" si="40"/>
        <v>Excellent</v>
      </c>
      <c r="W471" s="4"/>
      <c r="X471" s="4"/>
      <c r="AJ471" s="4"/>
    </row>
    <row r="472" spans="1:36">
      <c r="A472" t="str">
        <f t="shared" si="36"/>
        <v>Tapa32471</v>
      </c>
      <c r="B472">
        <v>471</v>
      </c>
      <c r="C472">
        <v>17</v>
      </c>
      <c r="D472">
        <v>2</v>
      </c>
      <c r="E472">
        <v>2022</v>
      </c>
      <c r="F472" s="1">
        <f t="shared" si="37"/>
        <v>44609</v>
      </c>
      <c r="G472" s="1" t="s">
        <v>408</v>
      </c>
      <c r="H472" s="2">
        <v>44948</v>
      </c>
      <c r="I472" t="s">
        <v>49</v>
      </c>
      <c r="J472">
        <v>4</v>
      </c>
      <c r="K472">
        <v>67160.37</v>
      </c>
      <c r="L472" t="s">
        <v>378</v>
      </c>
      <c r="M472">
        <v>32</v>
      </c>
      <c r="N472" t="s">
        <v>21</v>
      </c>
      <c r="O472" s="3" t="s">
        <v>28</v>
      </c>
      <c r="P472" t="s">
        <v>117</v>
      </c>
      <c r="Q472" t="s">
        <v>24</v>
      </c>
      <c r="R472">
        <v>3</v>
      </c>
      <c r="S472" t="s">
        <v>52</v>
      </c>
      <c r="T472" s="4">
        <f t="shared" si="38"/>
        <v>268641.48</v>
      </c>
      <c r="U472" s="4" t="str">
        <f t="shared" si="39"/>
        <v>Average</v>
      </c>
      <c r="V472" s="4" t="str">
        <f t="shared" si="40"/>
        <v>Excellent</v>
      </c>
      <c r="W472" s="4"/>
      <c r="X472" s="4"/>
      <c r="AJ472" s="4"/>
    </row>
    <row r="473" spans="1:36">
      <c r="A473" t="str">
        <f t="shared" si="36"/>
        <v>Jyot21472</v>
      </c>
      <c r="B473">
        <v>472</v>
      </c>
      <c r="C473">
        <v>17</v>
      </c>
      <c r="D473">
        <v>2</v>
      </c>
      <c r="E473">
        <v>2022</v>
      </c>
      <c r="F473" s="1">
        <f t="shared" si="37"/>
        <v>44609</v>
      </c>
      <c r="G473" s="1" t="s">
        <v>408</v>
      </c>
      <c r="H473" s="2">
        <v>44949</v>
      </c>
      <c r="I473" t="s">
        <v>26</v>
      </c>
      <c r="J473">
        <v>3</v>
      </c>
      <c r="K473">
        <v>34291.589999999997</v>
      </c>
      <c r="L473" t="s">
        <v>306</v>
      </c>
      <c r="M473">
        <v>21</v>
      </c>
      <c r="N473" t="s">
        <v>36</v>
      </c>
      <c r="O473" s="3" t="s">
        <v>22</v>
      </c>
      <c r="P473" t="s">
        <v>132</v>
      </c>
      <c r="Q473" t="s">
        <v>30</v>
      </c>
      <c r="R473">
        <v>5</v>
      </c>
      <c r="S473" t="s">
        <v>34</v>
      </c>
      <c r="T473" s="4">
        <f t="shared" si="38"/>
        <v>102874.76999999999</v>
      </c>
      <c r="U473" s="4" t="str">
        <f t="shared" si="39"/>
        <v>Good</v>
      </c>
      <c r="V473" s="4" t="str">
        <f t="shared" si="40"/>
        <v>Good</v>
      </c>
      <c r="W473" s="4"/>
      <c r="X473" s="4"/>
      <c r="AJ473" s="4"/>
    </row>
    <row r="474" spans="1:36">
      <c r="A474" t="str">
        <f t="shared" si="36"/>
        <v>Shru57473</v>
      </c>
      <c r="B474">
        <v>473</v>
      </c>
      <c r="C474">
        <v>17</v>
      </c>
      <c r="D474">
        <v>2</v>
      </c>
      <c r="E474">
        <v>2022</v>
      </c>
      <c r="F474" s="1">
        <f t="shared" si="37"/>
        <v>44609</v>
      </c>
      <c r="G474" s="1" t="s">
        <v>408</v>
      </c>
      <c r="H474" s="2">
        <v>44950</v>
      </c>
      <c r="I474" t="s">
        <v>19</v>
      </c>
      <c r="J474">
        <v>3</v>
      </c>
      <c r="K474">
        <v>40381.03</v>
      </c>
      <c r="L474" t="s">
        <v>225</v>
      </c>
      <c r="M474">
        <v>57</v>
      </c>
      <c r="N474" t="s">
        <v>61</v>
      </c>
      <c r="O474" s="3" t="s">
        <v>22</v>
      </c>
      <c r="P474" t="s">
        <v>29</v>
      </c>
      <c r="Q474" t="s">
        <v>24</v>
      </c>
      <c r="R474">
        <v>5</v>
      </c>
      <c r="S474" t="s">
        <v>25</v>
      </c>
      <c r="T474" s="4">
        <f t="shared" si="38"/>
        <v>121143.09</v>
      </c>
      <c r="U474" s="4" t="str">
        <f t="shared" si="39"/>
        <v>Good</v>
      </c>
      <c r="V474" s="4" t="str">
        <f t="shared" si="40"/>
        <v>Good</v>
      </c>
      <c r="W474" s="4"/>
      <c r="X474" s="4"/>
      <c r="AJ474" s="4"/>
    </row>
    <row r="475" spans="1:36">
      <c r="A475" t="str">
        <f t="shared" si="36"/>
        <v>Jyot24474</v>
      </c>
      <c r="B475">
        <v>474</v>
      </c>
      <c r="C475">
        <v>18</v>
      </c>
      <c r="D475">
        <v>2</v>
      </c>
      <c r="E475">
        <v>2022</v>
      </c>
      <c r="F475" s="1">
        <f t="shared" si="37"/>
        <v>44610</v>
      </c>
      <c r="G475" s="1" t="s">
        <v>408</v>
      </c>
      <c r="H475" s="2">
        <v>44951</v>
      </c>
      <c r="I475" t="s">
        <v>49</v>
      </c>
      <c r="J475">
        <v>9</v>
      </c>
      <c r="K475">
        <v>68290.98</v>
      </c>
      <c r="L475" t="s">
        <v>449</v>
      </c>
      <c r="M475">
        <v>24</v>
      </c>
      <c r="N475" t="s">
        <v>36</v>
      </c>
      <c r="O475" s="3" t="s">
        <v>22</v>
      </c>
      <c r="P475" t="s">
        <v>114</v>
      </c>
      <c r="Q475" t="s">
        <v>30</v>
      </c>
      <c r="R475">
        <v>5</v>
      </c>
      <c r="S475" t="s">
        <v>102</v>
      </c>
      <c r="T475" s="4">
        <f t="shared" si="38"/>
        <v>614618.81999999995</v>
      </c>
      <c r="U475" s="4" t="str">
        <f t="shared" si="39"/>
        <v>Good</v>
      </c>
      <c r="V475" s="4" t="str">
        <f t="shared" si="40"/>
        <v>Excellent</v>
      </c>
      <c r="W475" s="4"/>
      <c r="X475" s="4"/>
      <c r="AJ475" s="4"/>
    </row>
    <row r="476" spans="1:36">
      <c r="A476" t="str">
        <f t="shared" si="36"/>
        <v>Mano43475</v>
      </c>
      <c r="B476">
        <v>475</v>
      </c>
      <c r="C476">
        <v>18</v>
      </c>
      <c r="D476">
        <v>2</v>
      </c>
      <c r="E476">
        <v>2022</v>
      </c>
      <c r="F476" s="1">
        <f t="shared" si="37"/>
        <v>44610</v>
      </c>
      <c r="G476" s="1" t="s">
        <v>408</v>
      </c>
      <c r="H476" s="2">
        <v>44952</v>
      </c>
      <c r="I476" t="s">
        <v>19</v>
      </c>
      <c r="J476">
        <v>5</v>
      </c>
      <c r="K476">
        <v>26574.34</v>
      </c>
      <c r="L476" t="s">
        <v>450</v>
      </c>
      <c r="M476">
        <v>43</v>
      </c>
      <c r="N476" t="s">
        <v>21</v>
      </c>
      <c r="O476" s="3" t="s">
        <v>22</v>
      </c>
      <c r="P476" t="s">
        <v>64</v>
      </c>
      <c r="Q476" t="s">
        <v>24</v>
      </c>
      <c r="R476">
        <v>4</v>
      </c>
      <c r="S476" t="s">
        <v>25</v>
      </c>
      <c r="T476" s="4">
        <f t="shared" si="38"/>
        <v>132871.70000000001</v>
      </c>
      <c r="U476" s="4" t="str">
        <f t="shared" si="39"/>
        <v>Good</v>
      </c>
      <c r="V476" s="4" t="str">
        <f t="shared" si="40"/>
        <v>Good</v>
      </c>
      <c r="W476" s="4"/>
      <c r="X476" s="4"/>
      <c r="AJ476" s="4"/>
    </row>
    <row r="477" spans="1:36">
      <c r="A477" t="str">
        <f t="shared" si="36"/>
        <v>Vija48476</v>
      </c>
      <c r="B477">
        <v>476</v>
      </c>
      <c r="C477">
        <v>18</v>
      </c>
      <c r="D477">
        <v>2</v>
      </c>
      <c r="E477">
        <v>2022</v>
      </c>
      <c r="F477" s="1">
        <f t="shared" si="37"/>
        <v>44610</v>
      </c>
      <c r="G477" s="1" t="s">
        <v>408</v>
      </c>
      <c r="H477" s="2">
        <v>44953</v>
      </c>
      <c r="I477" t="s">
        <v>38</v>
      </c>
      <c r="J477">
        <v>3</v>
      </c>
      <c r="K477">
        <v>57543.45</v>
      </c>
      <c r="L477" t="s">
        <v>362</v>
      </c>
      <c r="M477">
        <v>48</v>
      </c>
      <c r="N477" t="s">
        <v>61</v>
      </c>
      <c r="O477" s="3" t="s">
        <v>55</v>
      </c>
      <c r="P477" t="s">
        <v>33</v>
      </c>
      <c r="Q477" t="s">
        <v>41</v>
      </c>
      <c r="R477">
        <v>2</v>
      </c>
      <c r="S477" t="s">
        <v>48</v>
      </c>
      <c r="T477" s="4">
        <f t="shared" si="38"/>
        <v>172630.34999999998</v>
      </c>
      <c r="U477" s="4" t="str">
        <f t="shared" si="39"/>
        <v>Average</v>
      </c>
      <c r="V477" s="4" t="str">
        <f t="shared" si="40"/>
        <v>Good</v>
      </c>
      <c r="W477" s="4"/>
      <c r="X477" s="4"/>
      <c r="AJ477" s="4"/>
    </row>
    <row r="478" spans="1:36">
      <c r="A478" t="str">
        <f t="shared" si="36"/>
        <v>Reen19477</v>
      </c>
      <c r="B478">
        <v>477</v>
      </c>
      <c r="C478">
        <v>19</v>
      </c>
      <c r="D478">
        <v>2</v>
      </c>
      <c r="E478">
        <v>2022</v>
      </c>
      <c r="F478" s="1">
        <f t="shared" si="37"/>
        <v>44611</v>
      </c>
      <c r="G478" s="1" t="s">
        <v>408</v>
      </c>
      <c r="H478" s="2">
        <v>44954</v>
      </c>
      <c r="I478" t="s">
        <v>43</v>
      </c>
      <c r="J478">
        <v>5</v>
      </c>
      <c r="K478">
        <v>23514.39</v>
      </c>
      <c r="L478" t="s">
        <v>451</v>
      </c>
      <c r="M478">
        <v>19</v>
      </c>
      <c r="N478" t="s">
        <v>36</v>
      </c>
      <c r="O478" s="3" t="s">
        <v>55</v>
      </c>
      <c r="P478" t="s">
        <v>29</v>
      </c>
      <c r="Q478" t="s">
        <v>24</v>
      </c>
      <c r="R478">
        <v>2</v>
      </c>
      <c r="S478" t="s">
        <v>95</v>
      </c>
      <c r="T478" s="4">
        <f t="shared" si="38"/>
        <v>117571.95</v>
      </c>
      <c r="U478" s="4" t="str">
        <f t="shared" si="39"/>
        <v>Average</v>
      </c>
      <c r="V478" s="4" t="str">
        <f t="shared" si="40"/>
        <v>Good</v>
      </c>
      <c r="W478" s="4"/>
      <c r="X478" s="4"/>
      <c r="AJ478" s="4"/>
    </row>
    <row r="479" spans="1:36">
      <c r="A479" t="str">
        <f t="shared" si="36"/>
        <v>Sumi45478</v>
      </c>
      <c r="B479">
        <v>478</v>
      </c>
      <c r="C479">
        <v>19</v>
      </c>
      <c r="D479">
        <v>2</v>
      </c>
      <c r="E479">
        <v>2022</v>
      </c>
      <c r="F479" s="1">
        <f t="shared" si="37"/>
        <v>44611</v>
      </c>
      <c r="G479" s="1" t="s">
        <v>408</v>
      </c>
      <c r="H479" s="2">
        <v>44955</v>
      </c>
      <c r="I479" t="s">
        <v>19</v>
      </c>
      <c r="J479">
        <v>2</v>
      </c>
      <c r="K479">
        <v>50887.61</v>
      </c>
      <c r="L479" t="s">
        <v>452</v>
      </c>
      <c r="M479">
        <v>45</v>
      </c>
      <c r="N479" t="s">
        <v>21</v>
      </c>
      <c r="O479" s="3" t="s">
        <v>22</v>
      </c>
      <c r="P479" t="s">
        <v>117</v>
      </c>
      <c r="Q479" t="s">
        <v>30</v>
      </c>
      <c r="R479">
        <v>4</v>
      </c>
      <c r="S479" t="s">
        <v>37</v>
      </c>
      <c r="T479" s="4">
        <f t="shared" si="38"/>
        <v>101775.22</v>
      </c>
      <c r="U479" s="4" t="str">
        <f t="shared" si="39"/>
        <v>Good</v>
      </c>
      <c r="V479" s="4" t="str">
        <f t="shared" si="40"/>
        <v>Good</v>
      </c>
      <c r="W479" s="4"/>
      <c r="X479" s="4"/>
      <c r="AJ479" s="4"/>
    </row>
    <row r="480" spans="1:36">
      <c r="A480" t="str">
        <f t="shared" si="36"/>
        <v>Kris59479</v>
      </c>
      <c r="B480">
        <v>479</v>
      </c>
      <c r="C480">
        <v>19</v>
      </c>
      <c r="D480">
        <v>2</v>
      </c>
      <c r="E480">
        <v>2022</v>
      </c>
      <c r="F480" s="1">
        <f t="shared" si="37"/>
        <v>44611</v>
      </c>
      <c r="G480" s="1" t="s">
        <v>408</v>
      </c>
      <c r="H480" s="2">
        <v>44956</v>
      </c>
      <c r="I480" t="s">
        <v>43</v>
      </c>
      <c r="J480">
        <v>4</v>
      </c>
      <c r="K480">
        <v>25216.94</v>
      </c>
      <c r="L480" t="s">
        <v>166</v>
      </c>
      <c r="M480">
        <v>59</v>
      </c>
      <c r="N480" t="s">
        <v>61</v>
      </c>
      <c r="O480" s="3" t="s">
        <v>22</v>
      </c>
      <c r="P480" t="s">
        <v>29</v>
      </c>
      <c r="Q480" t="s">
        <v>56</v>
      </c>
      <c r="R480">
        <v>5</v>
      </c>
      <c r="S480" t="s">
        <v>46</v>
      </c>
      <c r="T480" s="4">
        <f t="shared" si="38"/>
        <v>100867.76</v>
      </c>
      <c r="U480" s="4" t="str">
        <f t="shared" si="39"/>
        <v>Good</v>
      </c>
      <c r="V480" s="4" t="str">
        <f t="shared" si="40"/>
        <v>Good</v>
      </c>
      <c r="W480" s="4"/>
      <c r="X480" s="4"/>
      <c r="AJ480" s="4"/>
    </row>
    <row r="481" spans="1:36">
      <c r="A481" t="str">
        <f t="shared" si="36"/>
        <v>Nami30480</v>
      </c>
      <c r="B481">
        <v>480</v>
      </c>
      <c r="C481">
        <v>20</v>
      </c>
      <c r="D481">
        <v>2</v>
      </c>
      <c r="E481">
        <v>2022</v>
      </c>
      <c r="F481" s="1">
        <f t="shared" si="37"/>
        <v>44612</v>
      </c>
      <c r="G481" s="1" t="s">
        <v>408</v>
      </c>
      <c r="H481" s="2">
        <v>44957</v>
      </c>
      <c r="I481" t="s">
        <v>49</v>
      </c>
      <c r="J481">
        <v>2</v>
      </c>
      <c r="K481">
        <v>63024</v>
      </c>
      <c r="L481" t="s">
        <v>453</v>
      </c>
      <c r="M481">
        <v>30</v>
      </c>
      <c r="N481" t="s">
        <v>36</v>
      </c>
      <c r="O481" s="3" t="s">
        <v>22</v>
      </c>
      <c r="P481" t="s">
        <v>110</v>
      </c>
      <c r="Q481" t="s">
        <v>41</v>
      </c>
      <c r="R481">
        <v>4</v>
      </c>
      <c r="S481" t="s">
        <v>88</v>
      </c>
      <c r="T481" s="4">
        <f t="shared" si="38"/>
        <v>126048</v>
      </c>
      <c r="U481" s="4" t="str">
        <f t="shared" si="39"/>
        <v>Good</v>
      </c>
      <c r="V481" s="4" t="str">
        <f t="shared" si="40"/>
        <v>Good</v>
      </c>
      <c r="W481" s="4"/>
      <c r="X481" s="4"/>
      <c r="AJ481" s="4"/>
    </row>
    <row r="482" spans="1:36">
      <c r="A482" t="str">
        <f t="shared" si="36"/>
        <v>Deve35481</v>
      </c>
      <c r="B482">
        <v>481</v>
      </c>
      <c r="C482">
        <v>20</v>
      </c>
      <c r="D482">
        <v>2</v>
      </c>
      <c r="E482">
        <v>2022</v>
      </c>
      <c r="F482" s="1">
        <f t="shared" si="37"/>
        <v>44612</v>
      </c>
      <c r="G482" s="1" t="s">
        <v>408</v>
      </c>
      <c r="H482" s="2">
        <v>44958</v>
      </c>
      <c r="I482" t="s">
        <v>43</v>
      </c>
      <c r="J482">
        <v>2</v>
      </c>
      <c r="K482">
        <v>43688.68</v>
      </c>
      <c r="L482" t="s">
        <v>454</v>
      </c>
      <c r="M482">
        <v>35</v>
      </c>
      <c r="N482" t="s">
        <v>21</v>
      </c>
      <c r="O482" s="3" t="s">
        <v>55</v>
      </c>
      <c r="P482" t="s">
        <v>51</v>
      </c>
      <c r="Q482" t="s">
        <v>41</v>
      </c>
      <c r="R482">
        <v>2</v>
      </c>
      <c r="S482" t="s">
        <v>95</v>
      </c>
      <c r="T482" s="4">
        <f t="shared" si="38"/>
        <v>87377.36</v>
      </c>
      <c r="U482" s="4" t="str">
        <f t="shared" si="39"/>
        <v>Average</v>
      </c>
      <c r="V482" s="4" t="str">
        <f t="shared" si="40"/>
        <v>Average</v>
      </c>
      <c r="W482" s="4"/>
      <c r="X482" s="4"/>
      <c r="AJ482" s="4"/>
    </row>
    <row r="483" spans="1:36">
      <c r="A483" t="str">
        <f t="shared" si="36"/>
        <v>Ravi47482</v>
      </c>
      <c r="B483">
        <v>482</v>
      </c>
      <c r="C483">
        <v>20</v>
      </c>
      <c r="D483">
        <v>2</v>
      </c>
      <c r="E483">
        <v>2022</v>
      </c>
      <c r="F483" s="1">
        <f t="shared" si="37"/>
        <v>44612</v>
      </c>
      <c r="G483" s="1" t="s">
        <v>408</v>
      </c>
      <c r="H483" s="2">
        <v>44959</v>
      </c>
      <c r="I483" t="s">
        <v>19</v>
      </c>
      <c r="J483">
        <v>8</v>
      </c>
      <c r="K483">
        <v>21156.02</v>
      </c>
      <c r="L483" t="s">
        <v>455</v>
      </c>
      <c r="M483">
        <v>47</v>
      </c>
      <c r="N483" t="s">
        <v>61</v>
      </c>
      <c r="O483" s="3" t="s">
        <v>22</v>
      </c>
      <c r="P483" t="s">
        <v>33</v>
      </c>
      <c r="Q483" t="s">
        <v>56</v>
      </c>
      <c r="R483">
        <v>4</v>
      </c>
      <c r="S483" t="s">
        <v>84</v>
      </c>
      <c r="T483" s="4">
        <f t="shared" si="38"/>
        <v>169248.16</v>
      </c>
      <c r="U483" s="4" t="str">
        <f t="shared" si="39"/>
        <v>Good</v>
      </c>
      <c r="V483" s="4" t="str">
        <f t="shared" si="40"/>
        <v>Good</v>
      </c>
      <c r="W483" s="4"/>
      <c r="X483" s="4"/>
      <c r="AJ483" s="4"/>
    </row>
    <row r="484" spans="1:36">
      <c r="A484" t="str">
        <f t="shared" si="36"/>
        <v>Rame28483</v>
      </c>
      <c r="B484">
        <v>483</v>
      </c>
      <c r="C484">
        <v>21</v>
      </c>
      <c r="D484">
        <v>2</v>
      </c>
      <c r="E484">
        <v>2022</v>
      </c>
      <c r="F484" s="1">
        <f t="shared" si="37"/>
        <v>44613</v>
      </c>
      <c r="G484" s="1" t="s">
        <v>408</v>
      </c>
      <c r="H484" s="2">
        <v>44960</v>
      </c>
      <c r="I484" t="s">
        <v>38</v>
      </c>
      <c r="J484">
        <v>1</v>
      </c>
      <c r="K484">
        <v>23462.15</v>
      </c>
      <c r="L484" t="s">
        <v>456</v>
      </c>
      <c r="M484">
        <v>28</v>
      </c>
      <c r="N484" t="s">
        <v>36</v>
      </c>
      <c r="O484" s="3" t="s">
        <v>22</v>
      </c>
      <c r="P484" t="s">
        <v>33</v>
      </c>
      <c r="Q484" t="s">
        <v>30</v>
      </c>
      <c r="R484">
        <v>5</v>
      </c>
      <c r="S484" t="s">
        <v>48</v>
      </c>
      <c r="T484" s="4">
        <f t="shared" si="38"/>
        <v>23462.15</v>
      </c>
      <c r="U484" s="4" t="str">
        <f t="shared" si="39"/>
        <v>Good</v>
      </c>
      <c r="V484" s="4" t="str">
        <f t="shared" si="40"/>
        <v>Low</v>
      </c>
      <c r="W484" s="4"/>
      <c r="X484" s="4"/>
      <c r="AJ484" s="4"/>
    </row>
    <row r="485" spans="1:36">
      <c r="A485" t="str">
        <f t="shared" si="36"/>
        <v>Shru30484</v>
      </c>
      <c r="B485">
        <v>484</v>
      </c>
      <c r="C485">
        <v>21</v>
      </c>
      <c r="D485">
        <v>2</v>
      </c>
      <c r="E485">
        <v>2022</v>
      </c>
      <c r="F485" s="1">
        <f t="shared" si="37"/>
        <v>44613</v>
      </c>
      <c r="G485" s="1" t="s">
        <v>408</v>
      </c>
      <c r="H485" s="2">
        <v>44961</v>
      </c>
      <c r="I485" t="s">
        <v>49</v>
      </c>
      <c r="J485">
        <v>7</v>
      </c>
      <c r="K485">
        <v>39630.949999999997</v>
      </c>
      <c r="L485" t="s">
        <v>457</v>
      </c>
      <c r="M485">
        <v>30</v>
      </c>
      <c r="N485" t="s">
        <v>36</v>
      </c>
      <c r="O485" s="3" t="s">
        <v>22</v>
      </c>
      <c r="P485" t="s">
        <v>29</v>
      </c>
      <c r="Q485" t="s">
        <v>41</v>
      </c>
      <c r="R485">
        <v>5</v>
      </c>
      <c r="S485" t="s">
        <v>88</v>
      </c>
      <c r="T485" s="4">
        <f t="shared" si="38"/>
        <v>277416.64999999997</v>
      </c>
      <c r="U485" s="4" t="str">
        <f t="shared" si="39"/>
        <v>Good</v>
      </c>
      <c r="V485" s="4" t="str">
        <f t="shared" si="40"/>
        <v>Excellent</v>
      </c>
      <c r="W485" s="4"/>
      <c r="X485" s="4"/>
      <c r="AJ485" s="4"/>
    </row>
    <row r="486" spans="1:36">
      <c r="A486" t="str">
        <f t="shared" si="36"/>
        <v>Rame41485</v>
      </c>
      <c r="B486">
        <v>485</v>
      </c>
      <c r="C486">
        <v>21</v>
      </c>
      <c r="D486">
        <v>2</v>
      </c>
      <c r="E486">
        <v>2022</v>
      </c>
      <c r="F486" s="1">
        <f t="shared" si="37"/>
        <v>44613</v>
      </c>
      <c r="G486" s="1" t="s">
        <v>408</v>
      </c>
      <c r="H486" s="2">
        <v>44962</v>
      </c>
      <c r="I486" t="s">
        <v>19</v>
      </c>
      <c r="J486">
        <v>5</v>
      </c>
      <c r="K486">
        <v>67696.12</v>
      </c>
      <c r="L486" t="s">
        <v>458</v>
      </c>
      <c r="M486">
        <v>41</v>
      </c>
      <c r="N486" t="s">
        <v>21</v>
      </c>
      <c r="O486" s="3" t="s">
        <v>22</v>
      </c>
      <c r="P486" t="s">
        <v>29</v>
      </c>
      <c r="Q486" t="s">
        <v>56</v>
      </c>
      <c r="R486">
        <v>5</v>
      </c>
      <c r="S486" t="s">
        <v>37</v>
      </c>
      <c r="T486" s="4">
        <f t="shared" si="38"/>
        <v>338480.6</v>
      </c>
      <c r="U486" s="4" t="str">
        <f t="shared" si="39"/>
        <v>Good</v>
      </c>
      <c r="V486" s="4" t="str">
        <f t="shared" si="40"/>
        <v>Excellent</v>
      </c>
      <c r="W486" s="4"/>
      <c r="X486" s="4"/>
      <c r="AJ486" s="4"/>
    </row>
    <row r="487" spans="1:36">
      <c r="A487" t="str">
        <f t="shared" si="36"/>
        <v>Shru46486</v>
      </c>
      <c r="B487">
        <v>486</v>
      </c>
      <c r="C487">
        <v>22</v>
      </c>
      <c r="D487">
        <v>2</v>
      </c>
      <c r="E487">
        <v>2022</v>
      </c>
      <c r="F487" s="1">
        <f t="shared" si="37"/>
        <v>44614</v>
      </c>
      <c r="G487" s="1" t="s">
        <v>408</v>
      </c>
      <c r="H487" s="2">
        <v>44963</v>
      </c>
      <c r="I487" t="s">
        <v>49</v>
      </c>
      <c r="J487">
        <v>8</v>
      </c>
      <c r="K487">
        <v>56178.53</v>
      </c>
      <c r="L487" t="s">
        <v>457</v>
      </c>
      <c r="M487">
        <v>46</v>
      </c>
      <c r="N487" t="s">
        <v>61</v>
      </c>
      <c r="O487" s="3" t="s">
        <v>28</v>
      </c>
      <c r="P487" t="s">
        <v>33</v>
      </c>
      <c r="Q487" t="s">
        <v>56</v>
      </c>
      <c r="R487">
        <v>3</v>
      </c>
      <c r="S487" t="s">
        <v>52</v>
      </c>
      <c r="T487" s="4">
        <f t="shared" si="38"/>
        <v>449428.24</v>
      </c>
      <c r="U487" s="4" t="str">
        <f t="shared" si="39"/>
        <v>Average</v>
      </c>
      <c r="V487" s="4" t="str">
        <f t="shared" si="40"/>
        <v>Excellent</v>
      </c>
      <c r="W487" s="4"/>
      <c r="X487" s="4"/>
      <c r="AJ487" s="4"/>
    </row>
    <row r="488" spans="1:36">
      <c r="A488" t="str">
        <f t="shared" si="36"/>
        <v>Rame22487</v>
      </c>
      <c r="B488">
        <v>487</v>
      </c>
      <c r="C488">
        <v>22</v>
      </c>
      <c r="D488">
        <v>2</v>
      </c>
      <c r="E488">
        <v>2022</v>
      </c>
      <c r="F488" s="1">
        <f t="shared" si="37"/>
        <v>44614</v>
      </c>
      <c r="G488" s="1" t="s">
        <v>408</v>
      </c>
      <c r="H488" s="2">
        <v>44964</v>
      </c>
      <c r="I488" t="s">
        <v>26</v>
      </c>
      <c r="J488">
        <v>1</v>
      </c>
      <c r="K488">
        <v>39298.58</v>
      </c>
      <c r="L488" t="s">
        <v>343</v>
      </c>
      <c r="M488">
        <v>22</v>
      </c>
      <c r="N488" t="s">
        <v>36</v>
      </c>
      <c r="O488" s="3" t="s">
        <v>28</v>
      </c>
      <c r="P488" t="s">
        <v>132</v>
      </c>
      <c r="Q488" t="s">
        <v>24</v>
      </c>
      <c r="R488">
        <v>3</v>
      </c>
      <c r="S488" t="s">
        <v>31</v>
      </c>
      <c r="T488" s="4">
        <f t="shared" si="38"/>
        <v>39298.58</v>
      </c>
      <c r="U488" s="4" t="str">
        <f t="shared" si="39"/>
        <v>Average</v>
      </c>
      <c r="V488" s="4" t="str">
        <f t="shared" si="40"/>
        <v>Low</v>
      </c>
      <c r="W488" s="4"/>
      <c r="X488" s="4"/>
      <c r="AJ488" s="4"/>
    </row>
    <row r="489" spans="1:36">
      <c r="A489" t="str">
        <f t="shared" si="36"/>
        <v>Umes52488</v>
      </c>
      <c r="B489">
        <v>488</v>
      </c>
      <c r="C489">
        <v>22</v>
      </c>
      <c r="D489">
        <v>2</v>
      </c>
      <c r="E489">
        <v>2022</v>
      </c>
      <c r="F489" s="1">
        <f t="shared" si="37"/>
        <v>44614</v>
      </c>
      <c r="G489" s="1" t="s">
        <v>408</v>
      </c>
      <c r="H489" s="2">
        <v>44965</v>
      </c>
      <c r="I489" t="s">
        <v>43</v>
      </c>
      <c r="J489">
        <v>7</v>
      </c>
      <c r="K489">
        <v>30263.15</v>
      </c>
      <c r="L489" t="s">
        <v>363</v>
      </c>
      <c r="M489">
        <v>52</v>
      </c>
      <c r="N489" t="s">
        <v>61</v>
      </c>
      <c r="O489" s="3" t="s">
        <v>22</v>
      </c>
      <c r="P489" t="s">
        <v>29</v>
      </c>
      <c r="Q489" t="s">
        <v>24</v>
      </c>
      <c r="R489">
        <v>4</v>
      </c>
      <c r="S489" t="s">
        <v>46</v>
      </c>
      <c r="T489" s="4">
        <f t="shared" si="38"/>
        <v>211842.05000000002</v>
      </c>
      <c r="U489" s="4" t="str">
        <f t="shared" si="39"/>
        <v>Good</v>
      </c>
      <c r="V489" s="4" t="str">
        <f t="shared" si="40"/>
        <v>Excellent</v>
      </c>
      <c r="W489" s="4"/>
      <c r="X489" s="4"/>
      <c r="AJ489" s="4"/>
    </row>
    <row r="490" spans="1:36">
      <c r="A490" t="str">
        <f t="shared" si="36"/>
        <v>Gita36489</v>
      </c>
      <c r="B490">
        <v>489</v>
      </c>
      <c r="C490">
        <v>23</v>
      </c>
      <c r="D490">
        <v>2</v>
      </c>
      <c r="E490">
        <v>2022</v>
      </c>
      <c r="F490" s="1">
        <f t="shared" si="37"/>
        <v>44615</v>
      </c>
      <c r="G490" s="1" t="s">
        <v>408</v>
      </c>
      <c r="H490" s="2">
        <v>44966</v>
      </c>
      <c r="I490" t="s">
        <v>26</v>
      </c>
      <c r="J490">
        <v>5</v>
      </c>
      <c r="K490">
        <v>42956.11</v>
      </c>
      <c r="L490" t="s">
        <v>459</v>
      </c>
      <c r="M490">
        <v>36</v>
      </c>
      <c r="N490" t="s">
        <v>21</v>
      </c>
      <c r="O490" s="3" t="s">
        <v>22</v>
      </c>
      <c r="P490" t="s">
        <v>114</v>
      </c>
      <c r="Q490" t="s">
        <v>30</v>
      </c>
      <c r="R490">
        <v>5</v>
      </c>
      <c r="S490" t="s">
        <v>31</v>
      </c>
      <c r="T490" s="4">
        <f t="shared" si="38"/>
        <v>214780.55</v>
      </c>
      <c r="U490" s="4" t="str">
        <f t="shared" si="39"/>
        <v>Good</v>
      </c>
      <c r="V490" s="4" t="str">
        <f t="shared" si="40"/>
        <v>Excellent</v>
      </c>
      <c r="W490" s="4"/>
      <c r="X490" s="4"/>
      <c r="AJ490" s="4"/>
    </row>
    <row r="491" spans="1:36">
      <c r="A491" t="str">
        <f t="shared" si="36"/>
        <v>Reen30490</v>
      </c>
      <c r="B491">
        <v>490</v>
      </c>
      <c r="C491">
        <v>23</v>
      </c>
      <c r="D491">
        <v>2</v>
      </c>
      <c r="E491">
        <v>2022</v>
      </c>
      <c r="F491" s="1">
        <f t="shared" si="37"/>
        <v>44615</v>
      </c>
      <c r="G491" s="1" t="s">
        <v>408</v>
      </c>
      <c r="H491" s="2">
        <v>44967</v>
      </c>
      <c r="I491" t="s">
        <v>19</v>
      </c>
      <c r="J491">
        <v>4</v>
      </c>
      <c r="K491">
        <v>54901.65</v>
      </c>
      <c r="L491" t="s">
        <v>352</v>
      </c>
      <c r="M491">
        <v>30</v>
      </c>
      <c r="N491" t="s">
        <v>36</v>
      </c>
      <c r="O491" s="3" t="s">
        <v>22</v>
      </c>
      <c r="P491" t="s">
        <v>132</v>
      </c>
      <c r="Q491" t="s">
        <v>56</v>
      </c>
      <c r="R491">
        <v>5</v>
      </c>
      <c r="S491" t="s">
        <v>25</v>
      </c>
      <c r="T491" s="4">
        <f t="shared" si="38"/>
        <v>219606.6</v>
      </c>
      <c r="U491" s="4" t="str">
        <f t="shared" si="39"/>
        <v>Good</v>
      </c>
      <c r="V491" s="4" t="str">
        <f t="shared" si="40"/>
        <v>Excellent</v>
      </c>
      <c r="W491" s="4"/>
      <c r="X491" s="4"/>
      <c r="AJ491" s="4"/>
    </row>
    <row r="492" spans="1:36">
      <c r="A492" t="str">
        <f t="shared" si="36"/>
        <v>Sanj22491</v>
      </c>
      <c r="B492">
        <v>491</v>
      </c>
      <c r="C492">
        <v>23</v>
      </c>
      <c r="D492">
        <v>2</v>
      </c>
      <c r="E492">
        <v>2022</v>
      </c>
      <c r="F492" s="1">
        <f t="shared" si="37"/>
        <v>44615</v>
      </c>
      <c r="G492" s="1" t="s">
        <v>408</v>
      </c>
      <c r="H492" s="2">
        <v>44968</v>
      </c>
      <c r="I492" t="s">
        <v>38</v>
      </c>
      <c r="J492">
        <v>7</v>
      </c>
      <c r="K492">
        <v>57035.72</v>
      </c>
      <c r="L492" t="s">
        <v>247</v>
      </c>
      <c r="M492">
        <v>22</v>
      </c>
      <c r="N492" t="s">
        <v>36</v>
      </c>
      <c r="O492" s="3" t="s">
        <v>55</v>
      </c>
      <c r="P492" t="s">
        <v>59</v>
      </c>
      <c r="Q492" t="s">
        <v>24</v>
      </c>
      <c r="R492">
        <v>2</v>
      </c>
      <c r="S492" t="s">
        <v>99</v>
      </c>
      <c r="T492" s="4">
        <f t="shared" si="38"/>
        <v>399250.04000000004</v>
      </c>
      <c r="U492" s="4" t="str">
        <f t="shared" si="39"/>
        <v>Average</v>
      </c>
      <c r="V492" s="4" t="str">
        <f t="shared" si="40"/>
        <v>Excellent</v>
      </c>
      <c r="W492" s="4"/>
      <c r="X492" s="4"/>
      <c r="AJ492" s="4"/>
    </row>
    <row r="493" spans="1:36">
      <c r="A493" t="str">
        <f t="shared" si="36"/>
        <v>Sanj31492</v>
      </c>
      <c r="B493">
        <v>492</v>
      </c>
      <c r="C493">
        <v>24</v>
      </c>
      <c r="D493">
        <v>2</v>
      </c>
      <c r="E493">
        <v>2022</v>
      </c>
      <c r="F493" s="1">
        <f t="shared" si="37"/>
        <v>44616</v>
      </c>
      <c r="G493" s="1" t="s">
        <v>408</v>
      </c>
      <c r="H493" s="2">
        <v>44969</v>
      </c>
      <c r="I493" t="s">
        <v>49</v>
      </c>
      <c r="J493">
        <v>2</v>
      </c>
      <c r="K493">
        <v>29476.53</v>
      </c>
      <c r="L493" t="s">
        <v>460</v>
      </c>
      <c r="M493">
        <v>31</v>
      </c>
      <c r="N493" t="s">
        <v>21</v>
      </c>
      <c r="O493" s="3" t="s">
        <v>22</v>
      </c>
      <c r="P493" t="s">
        <v>40</v>
      </c>
      <c r="Q493" t="s">
        <v>30</v>
      </c>
      <c r="R493">
        <v>5</v>
      </c>
      <c r="S493" t="s">
        <v>102</v>
      </c>
      <c r="T493" s="4">
        <f t="shared" si="38"/>
        <v>58953.06</v>
      </c>
      <c r="U493" s="4" t="str">
        <f t="shared" si="39"/>
        <v>Good</v>
      </c>
      <c r="V493" s="4" t="str">
        <f t="shared" si="40"/>
        <v>Average</v>
      </c>
      <c r="W493" s="4"/>
      <c r="X493" s="4"/>
      <c r="AJ493" s="4"/>
    </row>
    <row r="494" spans="1:36">
      <c r="A494" t="str">
        <f t="shared" si="36"/>
        <v>Anit55493</v>
      </c>
      <c r="B494">
        <v>493</v>
      </c>
      <c r="C494">
        <v>24</v>
      </c>
      <c r="D494">
        <v>2</v>
      </c>
      <c r="E494">
        <v>2022</v>
      </c>
      <c r="F494" s="1">
        <f t="shared" si="37"/>
        <v>44616</v>
      </c>
      <c r="G494" s="1" t="s">
        <v>408</v>
      </c>
      <c r="H494" s="2">
        <v>44970</v>
      </c>
      <c r="I494" t="s">
        <v>43</v>
      </c>
      <c r="J494">
        <v>1</v>
      </c>
      <c r="K494">
        <v>53269.56</v>
      </c>
      <c r="L494" t="s">
        <v>461</v>
      </c>
      <c r="M494">
        <v>55</v>
      </c>
      <c r="N494" t="s">
        <v>61</v>
      </c>
      <c r="O494" s="3" t="s">
        <v>22</v>
      </c>
      <c r="P494" t="s">
        <v>29</v>
      </c>
      <c r="Q494" t="s">
        <v>41</v>
      </c>
      <c r="R494">
        <v>5</v>
      </c>
      <c r="S494" t="s">
        <v>46</v>
      </c>
      <c r="T494" s="4">
        <f t="shared" si="38"/>
        <v>53269.56</v>
      </c>
      <c r="U494" s="4" t="str">
        <f t="shared" si="39"/>
        <v>Good</v>
      </c>
      <c r="V494" s="4" t="str">
        <f t="shared" si="40"/>
        <v>Average</v>
      </c>
      <c r="W494" s="4"/>
      <c r="X494" s="4"/>
      <c r="AJ494" s="4"/>
    </row>
    <row r="495" spans="1:36">
      <c r="A495" t="str">
        <f t="shared" si="36"/>
        <v>Anan39494</v>
      </c>
      <c r="B495">
        <v>494</v>
      </c>
      <c r="C495">
        <v>24</v>
      </c>
      <c r="D495">
        <v>2</v>
      </c>
      <c r="E495">
        <v>2022</v>
      </c>
      <c r="F495" s="1">
        <f t="shared" si="37"/>
        <v>44616</v>
      </c>
      <c r="G495" s="1" t="s">
        <v>408</v>
      </c>
      <c r="H495" s="2">
        <v>44971</v>
      </c>
      <c r="I495" t="s">
        <v>49</v>
      </c>
      <c r="J495">
        <v>1</v>
      </c>
      <c r="K495">
        <v>49467.33</v>
      </c>
      <c r="L495" t="s">
        <v>462</v>
      </c>
      <c r="M495">
        <v>39</v>
      </c>
      <c r="N495" t="s">
        <v>21</v>
      </c>
      <c r="O495" s="3" t="s">
        <v>22</v>
      </c>
      <c r="P495" t="s">
        <v>59</v>
      </c>
      <c r="Q495" t="s">
        <v>24</v>
      </c>
      <c r="R495">
        <v>4</v>
      </c>
      <c r="S495" t="s">
        <v>52</v>
      </c>
      <c r="T495" s="4">
        <f t="shared" si="38"/>
        <v>49467.33</v>
      </c>
      <c r="U495" s="4" t="str">
        <f t="shared" si="39"/>
        <v>Good</v>
      </c>
      <c r="V495" s="4" t="str">
        <f t="shared" si="40"/>
        <v>Low</v>
      </c>
      <c r="W495" s="4"/>
      <c r="X495" s="4"/>
      <c r="AJ495" s="4"/>
    </row>
    <row r="496" spans="1:36">
      <c r="A496" t="str">
        <f t="shared" si="36"/>
        <v>Bina26495</v>
      </c>
      <c r="B496">
        <v>495</v>
      </c>
      <c r="C496">
        <v>25</v>
      </c>
      <c r="D496">
        <v>2</v>
      </c>
      <c r="E496">
        <v>2022</v>
      </c>
      <c r="F496" s="1">
        <f t="shared" si="37"/>
        <v>44617</v>
      </c>
      <c r="G496" s="1" t="s">
        <v>408</v>
      </c>
      <c r="H496" s="2">
        <v>44972</v>
      </c>
      <c r="I496" t="s">
        <v>19</v>
      </c>
      <c r="J496">
        <v>1</v>
      </c>
      <c r="K496">
        <v>67546.740000000005</v>
      </c>
      <c r="L496" t="s">
        <v>463</v>
      </c>
      <c r="M496">
        <v>26</v>
      </c>
      <c r="N496" t="s">
        <v>36</v>
      </c>
      <c r="O496" s="3" t="s">
        <v>55</v>
      </c>
      <c r="P496" t="s">
        <v>59</v>
      </c>
      <c r="Q496" t="s">
        <v>30</v>
      </c>
      <c r="R496">
        <v>2</v>
      </c>
      <c r="S496" t="s">
        <v>25</v>
      </c>
      <c r="T496" s="4">
        <f t="shared" si="38"/>
        <v>67546.740000000005</v>
      </c>
      <c r="U496" s="4" t="str">
        <f t="shared" si="39"/>
        <v>Average</v>
      </c>
      <c r="V496" s="4" t="str">
        <f t="shared" si="40"/>
        <v>Average</v>
      </c>
      <c r="W496" s="4"/>
      <c r="X496" s="4"/>
      <c r="AJ496" s="4"/>
    </row>
    <row r="497" spans="1:36">
      <c r="A497" t="str">
        <f t="shared" si="36"/>
        <v>Suni57496</v>
      </c>
      <c r="B497">
        <v>496</v>
      </c>
      <c r="C497">
        <v>25</v>
      </c>
      <c r="D497">
        <v>2</v>
      </c>
      <c r="E497">
        <v>2022</v>
      </c>
      <c r="F497" s="1">
        <f t="shared" si="37"/>
        <v>44617</v>
      </c>
      <c r="G497" s="1" t="s">
        <v>408</v>
      </c>
      <c r="H497" s="2">
        <v>44973</v>
      </c>
      <c r="I497" t="s">
        <v>49</v>
      </c>
      <c r="J497">
        <v>5</v>
      </c>
      <c r="K497">
        <v>65865.42</v>
      </c>
      <c r="L497" t="s">
        <v>464</v>
      </c>
      <c r="M497">
        <v>57</v>
      </c>
      <c r="N497" t="s">
        <v>61</v>
      </c>
      <c r="O497" s="3" t="s">
        <v>55</v>
      </c>
      <c r="P497" t="s">
        <v>23</v>
      </c>
      <c r="Q497" t="s">
        <v>24</v>
      </c>
      <c r="R497">
        <v>2</v>
      </c>
      <c r="S497" t="s">
        <v>88</v>
      </c>
      <c r="T497" s="4">
        <f t="shared" si="38"/>
        <v>329327.09999999998</v>
      </c>
      <c r="U497" s="4" t="str">
        <f t="shared" si="39"/>
        <v>Average</v>
      </c>
      <c r="V497" s="4" t="str">
        <f t="shared" si="40"/>
        <v>Excellent</v>
      </c>
      <c r="W497" s="4"/>
      <c r="X497" s="4"/>
      <c r="AJ497" s="4"/>
    </row>
    <row r="498" spans="1:36">
      <c r="A498" t="str">
        <f t="shared" si="36"/>
        <v>Pank43497</v>
      </c>
      <c r="B498">
        <v>497</v>
      </c>
      <c r="C498">
        <v>25</v>
      </c>
      <c r="D498">
        <v>2</v>
      </c>
      <c r="E498">
        <v>2022</v>
      </c>
      <c r="F498" s="1">
        <f t="shared" si="37"/>
        <v>44617</v>
      </c>
      <c r="G498" s="1" t="s">
        <v>408</v>
      </c>
      <c r="H498" s="2">
        <v>44974</v>
      </c>
      <c r="I498" t="s">
        <v>43</v>
      </c>
      <c r="J498">
        <v>7</v>
      </c>
      <c r="K498">
        <v>57362.76</v>
      </c>
      <c r="L498" t="s">
        <v>465</v>
      </c>
      <c r="M498">
        <v>43</v>
      </c>
      <c r="N498" t="s">
        <v>21</v>
      </c>
      <c r="O498" s="3" t="s">
        <v>22</v>
      </c>
      <c r="P498" t="s">
        <v>45</v>
      </c>
      <c r="Q498" t="s">
        <v>41</v>
      </c>
      <c r="R498">
        <v>4</v>
      </c>
      <c r="S498" t="s">
        <v>46</v>
      </c>
      <c r="T498" s="4">
        <f t="shared" si="38"/>
        <v>401539.32</v>
      </c>
      <c r="U498" s="4" t="str">
        <f t="shared" si="39"/>
        <v>Good</v>
      </c>
      <c r="V498" s="4" t="str">
        <f t="shared" si="40"/>
        <v>Excellent</v>
      </c>
      <c r="W498" s="4"/>
      <c r="X498" s="4"/>
      <c r="AJ498" s="4"/>
    </row>
    <row r="499" spans="1:36">
      <c r="A499" t="str">
        <f t="shared" si="36"/>
        <v>Moni22498</v>
      </c>
      <c r="B499">
        <v>498</v>
      </c>
      <c r="C499">
        <v>26</v>
      </c>
      <c r="D499">
        <v>2</v>
      </c>
      <c r="E499">
        <v>2022</v>
      </c>
      <c r="F499" s="1">
        <f t="shared" si="37"/>
        <v>44618</v>
      </c>
      <c r="G499" s="1" t="s">
        <v>408</v>
      </c>
      <c r="H499" s="2">
        <v>44975</v>
      </c>
      <c r="I499" t="s">
        <v>19</v>
      </c>
      <c r="J499">
        <v>2</v>
      </c>
      <c r="K499">
        <v>53403.68</v>
      </c>
      <c r="L499" t="s">
        <v>146</v>
      </c>
      <c r="M499">
        <v>22</v>
      </c>
      <c r="N499" t="s">
        <v>36</v>
      </c>
      <c r="O499" s="3" t="s">
        <v>22</v>
      </c>
      <c r="P499" t="s">
        <v>64</v>
      </c>
      <c r="Q499" t="s">
        <v>41</v>
      </c>
      <c r="R499">
        <v>4</v>
      </c>
      <c r="S499" t="s">
        <v>37</v>
      </c>
      <c r="T499" s="4">
        <f t="shared" si="38"/>
        <v>106807.36</v>
      </c>
      <c r="U499" s="4" t="str">
        <f t="shared" si="39"/>
        <v>Good</v>
      </c>
      <c r="V499" s="4" t="str">
        <f t="shared" si="40"/>
        <v>Good</v>
      </c>
      <c r="W499" s="4"/>
      <c r="X499" s="4"/>
      <c r="AJ499" s="4"/>
    </row>
    <row r="500" spans="1:36">
      <c r="A500" t="str">
        <f t="shared" si="36"/>
        <v>Raje46499</v>
      </c>
      <c r="B500">
        <v>499</v>
      </c>
      <c r="C500">
        <v>26</v>
      </c>
      <c r="D500">
        <v>2</v>
      </c>
      <c r="E500">
        <v>2022</v>
      </c>
      <c r="F500" s="1">
        <f t="shared" si="37"/>
        <v>44618</v>
      </c>
      <c r="G500" s="1" t="s">
        <v>408</v>
      </c>
      <c r="H500" s="2">
        <v>44976</v>
      </c>
      <c r="I500" t="s">
        <v>49</v>
      </c>
      <c r="J500">
        <v>8</v>
      </c>
      <c r="K500">
        <v>26442.5</v>
      </c>
      <c r="L500" t="s">
        <v>466</v>
      </c>
      <c r="M500">
        <v>46</v>
      </c>
      <c r="N500" t="s">
        <v>61</v>
      </c>
      <c r="O500" s="3" t="s">
        <v>22</v>
      </c>
      <c r="P500" t="s">
        <v>33</v>
      </c>
      <c r="Q500" t="s">
        <v>24</v>
      </c>
      <c r="R500">
        <v>5</v>
      </c>
      <c r="S500" t="s">
        <v>52</v>
      </c>
      <c r="T500" s="4">
        <f t="shared" si="38"/>
        <v>211540</v>
      </c>
      <c r="U500" s="4" t="str">
        <f t="shared" si="39"/>
        <v>Good</v>
      </c>
      <c r="V500" s="4" t="str">
        <f t="shared" si="40"/>
        <v>Excellent</v>
      </c>
      <c r="W500" s="4"/>
      <c r="X500" s="4"/>
      <c r="AJ500" s="4"/>
    </row>
    <row r="501" spans="1:36">
      <c r="A501" t="str">
        <f t="shared" si="36"/>
        <v>Priy39500</v>
      </c>
      <c r="B501">
        <v>500</v>
      </c>
      <c r="C501">
        <v>26</v>
      </c>
      <c r="D501">
        <v>2</v>
      </c>
      <c r="E501">
        <v>2022</v>
      </c>
      <c r="F501" s="1">
        <f t="shared" si="37"/>
        <v>44618</v>
      </c>
      <c r="G501" s="1" t="s">
        <v>408</v>
      </c>
      <c r="H501" s="2">
        <v>44977</v>
      </c>
      <c r="I501" t="s">
        <v>38</v>
      </c>
      <c r="J501">
        <v>4</v>
      </c>
      <c r="K501">
        <v>60757.919999999998</v>
      </c>
      <c r="L501" t="s">
        <v>467</v>
      </c>
      <c r="M501">
        <v>39</v>
      </c>
      <c r="N501" t="s">
        <v>21</v>
      </c>
      <c r="O501" s="3" t="s">
        <v>22</v>
      </c>
      <c r="P501" t="s">
        <v>150</v>
      </c>
      <c r="Q501" t="s">
        <v>41</v>
      </c>
      <c r="R501">
        <v>5</v>
      </c>
      <c r="S501" t="s">
        <v>42</v>
      </c>
      <c r="T501" s="4">
        <f t="shared" si="38"/>
        <v>243031.67999999999</v>
      </c>
      <c r="U501" s="4" t="str">
        <f t="shared" si="39"/>
        <v>Good</v>
      </c>
      <c r="V501" s="4" t="str">
        <f t="shared" si="40"/>
        <v>Excellent</v>
      </c>
      <c r="W501" s="4"/>
      <c r="X501" s="4"/>
      <c r="AJ501" s="4"/>
    </row>
    <row r="502" spans="1:36">
      <c r="A502" t="str">
        <f t="shared" si="36"/>
        <v>Kavi20501</v>
      </c>
      <c r="B502">
        <v>501</v>
      </c>
      <c r="C502">
        <v>26</v>
      </c>
      <c r="D502">
        <v>2</v>
      </c>
      <c r="E502">
        <v>2022</v>
      </c>
      <c r="F502" s="1">
        <f t="shared" si="37"/>
        <v>44618</v>
      </c>
      <c r="G502" s="1" t="s">
        <v>408</v>
      </c>
      <c r="H502" s="2">
        <v>44978</v>
      </c>
      <c r="I502" t="s">
        <v>19</v>
      </c>
      <c r="J502">
        <v>3</v>
      </c>
      <c r="K502">
        <v>35650.339999999997</v>
      </c>
      <c r="L502" t="s">
        <v>468</v>
      </c>
      <c r="M502">
        <v>20</v>
      </c>
      <c r="N502" t="s">
        <v>36</v>
      </c>
      <c r="O502" s="3" t="s">
        <v>55</v>
      </c>
      <c r="P502" t="s">
        <v>114</v>
      </c>
      <c r="Q502" t="s">
        <v>30</v>
      </c>
      <c r="R502">
        <v>2</v>
      </c>
      <c r="S502" t="s">
        <v>37</v>
      </c>
      <c r="T502" s="4">
        <f t="shared" si="38"/>
        <v>106951.01999999999</v>
      </c>
      <c r="U502" s="4" t="str">
        <f t="shared" si="39"/>
        <v>Average</v>
      </c>
      <c r="V502" s="4" t="str">
        <f t="shared" si="40"/>
        <v>Good</v>
      </c>
      <c r="W502" s="4"/>
      <c r="X502" s="4"/>
      <c r="AJ502" s="4"/>
    </row>
    <row r="503" spans="1:36">
      <c r="A503" t="str">
        <f t="shared" si="36"/>
        <v>Vive45502</v>
      </c>
      <c r="B503">
        <v>502</v>
      </c>
      <c r="C503">
        <v>27</v>
      </c>
      <c r="D503">
        <v>2</v>
      </c>
      <c r="E503">
        <v>2022</v>
      </c>
      <c r="F503" s="1">
        <f t="shared" si="37"/>
        <v>44619</v>
      </c>
      <c r="G503" s="1" t="s">
        <v>408</v>
      </c>
      <c r="H503" s="2">
        <v>44979</v>
      </c>
      <c r="I503" t="s">
        <v>19</v>
      </c>
      <c r="J503">
        <v>8</v>
      </c>
      <c r="K503">
        <v>26334.43</v>
      </c>
      <c r="L503" t="s">
        <v>469</v>
      </c>
      <c r="M503">
        <v>45</v>
      </c>
      <c r="N503" t="s">
        <v>21</v>
      </c>
      <c r="O503" s="3" t="s">
        <v>55</v>
      </c>
      <c r="P503" t="s">
        <v>29</v>
      </c>
      <c r="Q503" t="s">
        <v>24</v>
      </c>
      <c r="R503">
        <v>2</v>
      </c>
      <c r="S503" t="s">
        <v>84</v>
      </c>
      <c r="T503" s="4">
        <f t="shared" si="38"/>
        <v>210675.44</v>
      </c>
      <c r="U503" s="4" t="str">
        <f t="shared" si="39"/>
        <v>Average</v>
      </c>
      <c r="V503" s="4" t="str">
        <f t="shared" si="40"/>
        <v>Excellent</v>
      </c>
      <c r="W503" s="4"/>
      <c r="X503" s="4"/>
      <c r="AJ503" s="4"/>
    </row>
    <row r="504" spans="1:36">
      <c r="A504" t="str">
        <f t="shared" si="36"/>
        <v>Pooj55503</v>
      </c>
      <c r="B504">
        <v>503</v>
      </c>
      <c r="C504">
        <v>27</v>
      </c>
      <c r="D504">
        <v>2</v>
      </c>
      <c r="E504">
        <v>2022</v>
      </c>
      <c r="F504" s="1">
        <f t="shared" si="37"/>
        <v>44619</v>
      </c>
      <c r="G504" s="1" t="s">
        <v>408</v>
      </c>
      <c r="H504" s="2">
        <v>44980</v>
      </c>
      <c r="I504" t="s">
        <v>38</v>
      </c>
      <c r="J504">
        <v>2</v>
      </c>
      <c r="K504">
        <v>33049.65</v>
      </c>
      <c r="L504" t="s">
        <v>470</v>
      </c>
      <c r="M504">
        <v>55</v>
      </c>
      <c r="N504" t="s">
        <v>61</v>
      </c>
      <c r="O504" s="3" t="s">
        <v>22</v>
      </c>
      <c r="P504" t="s">
        <v>29</v>
      </c>
      <c r="Q504" t="s">
        <v>24</v>
      </c>
      <c r="R504">
        <v>5</v>
      </c>
      <c r="S504" t="s">
        <v>48</v>
      </c>
      <c r="T504" s="4">
        <f t="shared" si="38"/>
        <v>66099.3</v>
      </c>
      <c r="U504" s="4" t="str">
        <f t="shared" si="39"/>
        <v>Good</v>
      </c>
      <c r="V504" s="4" t="str">
        <f t="shared" si="40"/>
        <v>Average</v>
      </c>
      <c r="W504" s="4"/>
      <c r="X504" s="4"/>
      <c r="AJ504" s="4"/>
    </row>
    <row r="505" spans="1:36">
      <c r="A505" t="str">
        <f t="shared" si="36"/>
        <v>Meen31504</v>
      </c>
      <c r="B505">
        <v>504</v>
      </c>
      <c r="C505">
        <v>27</v>
      </c>
      <c r="D505">
        <v>2</v>
      </c>
      <c r="E505">
        <v>2022</v>
      </c>
      <c r="F505" s="1">
        <f t="shared" si="37"/>
        <v>44619</v>
      </c>
      <c r="G505" s="1" t="s">
        <v>408</v>
      </c>
      <c r="H505" s="2">
        <v>44981</v>
      </c>
      <c r="I505" t="s">
        <v>26</v>
      </c>
      <c r="J505">
        <v>3</v>
      </c>
      <c r="K505">
        <v>60156.13</v>
      </c>
      <c r="L505" t="s">
        <v>319</v>
      </c>
      <c r="M505">
        <v>31</v>
      </c>
      <c r="N505" t="s">
        <v>21</v>
      </c>
      <c r="O505" s="3" t="s">
        <v>55</v>
      </c>
      <c r="P505" t="s">
        <v>29</v>
      </c>
      <c r="Q505" t="s">
        <v>41</v>
      </c>
      <c r="R505">
        <v>2</v>
      </c>
      <c r="S505" t="s">
        <v>31</v>
      </c>
      <c r="T505" s="4">
        <f t="shared" si="38"/>
        <v>180468.38999999998</v>
      </c>
      <c r="U505" s="4" t="str">
        <f t="shared" si="39"/>
        <v>Average</v>
      </c>
      <c r="V505" s="4" t="str">
        <f t="shared" si="40"/>
        <v>Good</v>
      </c>
      <c r="W505" s="4"/>
      <c r="X505" s="4"/>
      <c r="AJ505" s="4"/>
    </row>
    <row r="506" spans="1:36">
      <c r="A506" t="str">
        <f t="shared" si="36"/>
        <v>Nami31505</v>
      </c>
      <c r="B506">
        <v>505</v>
      </c>
      <c r="C506">
        <v>28</v>
      </c>
      <c r="D506">
        <v>2</v>
      </c>
      <c r="E506">
        <v>2022</v>
      </c>
      <c r="F506" s="1">
        <f t="shared" si="37"/>
        <v>44620</v>
      </c>
      <c r="G506" s="1" t="s">
        <v>408</v>
      </c>
      <c r="H506" s="2">
        <v>44982</v>
      </c>
      <c r="I506" t="s">
        <v>43</v>
      </c>
      <c r="J506">
        <v>3</v>
      </c>
      <c r="K506">
        <v>18917.990000000002</v>
      </c>
      <c r="L506" t="s">
        <v>471</v>
      </c>
      <c r="M506">
        <v>31</v>
      </c>
      <c r="N506" t="s">
        <v>21</v>
      </c>
      <c r="O506" s="3" t="s">
        <v>22</v>
      </c>
      <c r="P506" t="s">
        <v>114</v>
      </c>
      <c r="Q506" t="s">
        <v>30</v>
      </c>
      <c r="R506">
        <v>4</v>
      </c>
      <c r="S506" t="s">
        <v>57</v>
      </c>
      <c r="T506" s="4">
        <f t="shared" si="38"/>
        <v>56753.97</v>
      </c>
      <c r="U506" s="4" t="str">
        <f t="shared" si="39"/>
        <v>Good</v>
      </c>
      <c r="V506" s="4" t="str">
        <f t="shared" si="40"/>
        <v>Average</v>
      </c>
      <c r="W506" s="4"/>
      <c r="X506" s="4"/>
      <c r="AJ506" s="4"/>
    </row>
    <row r="507" spans="1:36">
      <c r="A507" t="str">
        <f t="shared" si="36"/>
        <v>Hari28506</v>
      </c>
      <c r="B507">
        <v>506</v>
      </c>
      <c r="C507">
        <v>28</v>
      </c>
      <c r="D507">
        <v>2</v>
      </c>
      <c r="E507">
        <v>2022</v>
      </c>
      <c r="F507" s="1">
        <f t="shared" si="37"/>
        <v>44620</v>
      </c>
      <c r="G507" s="1" t="s">
        <v>408</v>
      </c>
      <c r="H507" s="2">
        <v>44983</v>
      </c>
      <c r="I507" t="s">
        <v>26</v>
      </c>
      <c r="J507">
        <v>1</v>
      </c>
      <c r="K507">
        <v>37369.519999999997</v>
      </c>
      <c r="L507" t="s">
        <v>472</v>
      </c>
      <c r="M507">
        <v>28</v>
      </c>
      <c r="N507" t="s">
        <v>36</v>
      </c>
      <c r="O507" s="3" t="s">
        <v>22</v>
      </c>
      <c r="P507" t="s">
        <v>45</v>
      </c>
      <c r="Q507" t="s">
        <v>24</v>
      </c>
      <c r="R507">
        <v>4</v>
      </c>
      <c r="S507" t="s">
        <v>34</v>
      </c>
      <c r="T507" s="4">
        <f t="shared" si="38"/>
        <v>37369.519999999997</v>
      </c>
      <c r="U507" s="4" t="str">
        <f t="shared" si="39"/>
        <v>Good</v>
      </c>
      <c r="V507" s="4" t="str">
        <f t="shared" si="40"/>
        <v>Low</v>
      </c>
      <c r="W507" s="4"/>
      <c r="X507" s="4"/>
      <c r="AJ507" s="4"/>
    </row>
    <row r="508" spans="1:36">
      <c r="A508" t="str">
        <f t="shared" si="36"/>
        <v>Pank26507</v>
      </c>
      <c r="B508">
        <v>507</v>
      </c>
      <c r="C508">
        <v>28</v>
      </c>
      <c r="D508">
        <v>2</v>
      </c>
      <c r="E508">
        <v>2022</v>
      </c>
      <c r="F508" s="1">
        <f t="shared" si="37"/>
        <v>44620</v>
      </c>
      <c r="G508" s="1" t="s">
        <v>408</v>
      </c>
      <c r="H508" s="2">
        <v>44984</v>
      </c>
      <c r="I508" t="s">
        <v>49</v>
      </c>
      <c r="J508">
        <v>6</v>
      </c>
      <c r="K508">
        <v>39541.46</v>
      </c>
      <c r="L508" t="s">
        <v>473</v>
      </c>
      <c r="M508">
        <v>26</v>
      </c>
      <c r="N508" t="s">
        <v>36</v>
      </c>
      <c r="O508" s="3" t="s">
        <v>22</v>
      </c>
      <c r="P508" t="s">
        <v>132</v>
      </c>
      <c r="Q508" t="s">
        <v>24</v>
      </c>
      <c r="R508">
        <v>5</v>
      </c>
      <c r="S508" t="s">
        <v>102</v>
      </c>
      <c r="T508" s="4">
        <f t="shared" si="38"/>
        <v>237248.76</v>
      </c>
      <c r="U508" s="4" t="str">
        <f t="shared" si="39"/>
        <v>Good</v>
      </c>
      <c r="V508" s="4" t="str">
        <f t="shared" si="40"/>
        <v>Excellent</v>
      </c>
      <c r="W508" s="4"/>
      <c r="X508" s="4"/>
      <c r="AJ508" s="4"/>
    </row>
    <row r="509" spans="1:36">
      <c r="A509" t="str">
        <f t="shared" si="36"/>
        <v>Adit55508</v>
      </c>
      <c r="B509">
        <v>508</v>
      </c>
      <c r="C509">
        <v>28</v>
      </c>
      <c r="D509">
        <v>2</v>
      </c>
      <c r="E509">
        <v>2022</v>
      </c>
      <c r="F509" s="1">
        <f t="shared" si="37"/>
        <v>44620</v>
      </c>
      <c r="G509" s="1" t="s">
        <v>408</v>
      </c>
      <c r="H509" s="2">
        <v>44985</v>
      </c>
      <c r="I509" t="s">
        <v>38</v>
      </c>
      <c r="J509">
        <v>2</v>
      </c>
      <c r="K509">
        <v>12197.78</v>
      </c>
      <c r="L509" t="s">
        <v>474</v>
      </c>
      <c r="M509">
        <v>55</v>
      </c>
      <c r="N509" t="s">
        <v>61</v>
      </c>
      <c r="O509" s="3" t="s">
        <v>28</v>
      </c>
      <c r="P509" t="s">
        <v>23</v>
      </c>
      <c r="Q509" t="s">
        <v>41</v>
      </c>
      <c r="R509">
        <v>3</v>
      </c>
      <c r="S509" t="s">
        <v>48</v>
      </c>
      <c r="T509" s="4">
        <f t="shared" si="38"/>
        <v>24395.56</v>
      </c>
      <c r="U509" s="4" t="str">
        <f t="shared" si="39"/>
        <v>Average</v>
      </c>
      <c r="V509" s="4" t="str">
        <f t="shared" si="40"/>
        <v>Low</v>
      </c>
      <c r="W509" s="4"/>
      <c r="X509" s="4"/>
      <c r="AJ509" s="4"/>
    </row>
    <row r="510" spans="1:36">
      <c r="A510" t="str">
        <f t="shared" si="36"/>
        <v>Rame23509</v>
      </c>
      <c r="B510">
        <v>509</v>
      </c>
      <c r="C510">
        <v>1</v>
      </c>
      <c r="D510">
        <v>3</v>
      </c>
      <c r="E510">
        <v>2022</v>
      </c>
      <c r="F510" s="1">
        <f t="shared" si="37"/>
        <v>44621</v>
      </c>
      <c r="G510" s="1" t="s">
        <v>475</v>
      </c>
      <c r="H510" s="2">
        <v>44986</v>
      </c>
      <c r="I510" t="s">
        <v>26</v>
      </c>
      <c r="J510">
        <v>1</v>
      </c>
      <c r="K510">
        <v>21744.76</v>
      </c>
      <c r="L510" t="s">
        <v>62</v>
      </c>
      <c r="M510">
        <v>23</v>
      </c>
      <c r="N510" t="s">
        <v>36</v>
      </c>
      <c r="O510" s="3" t="s">
        <v>28</v>
      </c>
      <c r="P510" t="s">
        <v>29</v>
      </c>
      <c r="Q510" t="s">
        <v>41</v>
      </c>
      <c r="R510">
        <v>3</v>
      </c>
      <c r="S510" t="s">
        <v>67</v>
      </c>
      <c r="T510" s="4">
        <f t="shared" si="38"/>
        <v>21744.76</v>
      </c>
      <c r="U510" s="4" t="str">
        <f t="shared" si="39"/>
        <v>Average</v>
      </c>
      <c r="V510" s="4" t="str">
        <f t="shared" si="40"/>
        <v>Low</v>
      </c>
      <c r="W510" s="4"/>
      <c r="X510" s="4"/>
      <c r="AJ510" s="4"/>
    </row>
    <row r="511" spans="1:36">
      <c r="A511" t="str">
        <f t="shared" si="36"/>
        <v>Sach18510</v>
      </c>
      <c r="B511">
        <v>510</v>
      </c>
      <c r="C511">
        <v>1</v>
      </c>
      <c r="D511">
        <v>3</v>
      </c>
      <c r="E511">
        <v>2022</v>
      </c>
      <c r="F511" s="1">
        <f t="shared" si="37"/>
        <v>44621</v>
      </c>
      <c r="G511" s="1" t="s">
        <v>475</v>
      </c>
      <c r="H511" s="2">
        <v>44987</v>
      </c>
      <c r="I511" t="s">
        <v>19</v>
      </c>
      <c r="J511">
        <v>2</v>
      </c>
      <c r="K511">
        <v>59604.55</v>
      </c>
      <c r="L511" t="s">
        <v>476</v>
      </c>
      <c r="M511">
        <v>18</v>
      </c>
      <c r="N511" t="s">
        <v>36</v>
      </c>
      <c r="O511" s="3" t="s">
        <v>22</v>
      </c>
      <c r="P511" t="s">
        <v>29</v>
      </c>
      <c r="Q511" t="s">
        <v>30</v>
      </c>
      <c r="R511">
        <v>4</v>
      </c>
      <c r="S511" t="s">
        <v>37</v>
      </c>
      <c r="T511" s="4">
        <f t="shared" si="38"/>
        <v>119209.1</v>
      </c>
      <c r="U511" s="4" t="str">
        <f t="shared" si="39"/>
        <v>Good</v>
      </c>
      <c r="V511" s="4" t="str">
        <f t="shared" si="40"/>
        <v>Good</v>
      </c>
      <c r="W511" s="4"/>
      <c r="X511" s="4"/>
      <c r="AJ511" s="4"/>
    </row>
    <row r="512" spans="1:36">
      <c r="A512" t="str">
        <f t="shared" si="36"/>
        <v>Pank42511</v>
      </c>
      <c r="B512">
        <v>511</v>
      </c>
      <c r="C512">
        <v>1</v>
      </c>
      <c r="D512">
        <v>3</v>
      </c>
      <c r="E512">
        <v>2022</v>
      </c>
      <c r="F512" s="1">
        <f t="shared" si="37"/>
        <v>44621</v>
      </c>
      <c r="G512" s="1" t="s">
        <v>475</v>
      </c>
      <c r="H512" s="2">
        <v>44988</v>
      </c>
      <c r="I512" t="s">
        <v>49</v>
      </c>
      <c r="J512">
        <v>6</v>
      </c>
      <c r="K512">
        <v>59846.04</v>
      </c>
      <c r="L512" t="s">
        <v>424</v>
      </c>
      <c r="M512">
        <v>42</v>
      </c>
      <c r="N512" t="s">
        <v>21</v>
      </c>
      <c r="O512" s="3" t="s">
        <v>28</v>
      </c>
      <c r="P512" t="s">
        <v>29</v>
      </c>
      <c r="Q512" t="s">
        <v>30</v>
      </c>
      <c r="R512">
        <v>3</v>
      </c>
      <c r="S512" t="s">
        <v>52</v>
      </c>
      <c r="T512" s="4">
        <f t="shared" si="38"/>
        <v>359076.24</v>
      </c>
      <c r="U512" s="4" t="str">
        <f t="shared" si="39"/>
        <v>Average</v>
      </c>
      <c r="V512" s="4" t="str">
        <f t="shared" si="40"/>
        <v>Excellent</v>
      </c>
      <c r="W512" s="4"/>
      <c r="X512" s="4"/>
      <c r="AJ512" s="4"/>
    </row>
    <row r="513" spans="1:36">
      <c r="A513" t="str">
        <f t="shared" si="36"/>
        <v>Moni33512</v>
      </c>
      <c r="B513">
        <v>512</v>
      </c>
      <c r="C513">
        <v>1</v>
      </c>
      <c r="D513">
        <v>3</v>
      </c>
      <c r="E513">
        <v>2022</v>
      </c>
      <c r="F513" s="1">
        <f t="shared" si="37"/>
        <v>44621</v>
      </c>
      <c r="G513" s="1" t="s">
        <v>475</v>
      </c>
      <c r="H513" s="2">
        <v>44989</v>
      </c>
      <c r="I513" t="s">
        <v>49</v>
      </c>
      <c r="J513">
        <v>4</v>
      </c>
      <c r="K513">
        <v>27544.91</v>
      </c>
      <c r="L513" t="s">
        <v>477</v>
      </c>
      <c r="M513">
        <v>33</v>
      </c>
      <c r="N513" t="s">
        <v>21</v>
      </c>
      <c r="O513" s="3" t="s">
        <v>28</v>
      </c>
      <c r="P513" t="s">
        <v>29</v>
      </c>
      <c r="Q513" t="s">
        <v>41</v>
      </c>
      <c r="R513">
        <v>3</v>
      </c>
      <c r="S513" t="s">
        <v>102</v>
      </c>
      <c r="T513" s="4">
        <f t="shared" si="38"/>
        <v>110179.64</v>
      </c>
      <c r="U513" s="4" t="str">
        <f t="shared" si="39"/>
        <v>Average</v>
      </c>
      <c r="V513" s="4" t="str">
        <f t="shared" si="40"/>
        <v>Good</v>
      </c>
      <c r="W513" s="4"/>
      <c r="X513" s="4"/>
      <c r="AJ513" s="4"/>
    </row>
    <row r="514" spans="1:36">
      <c r="A514" t="str">
        <f t="shared" ref="A514:A577" si="41">LEFT(L514,4)&amp;M514&amp;B514</f>
        <v>Deep32513</v>
      </c>
      <c r="B514">
        <v>513</v>
      </c>
      <c r="C514">
        <v>2</v>
      </c>
      <c r="D514">
        <v>3</v>
      </c>
      <c r="E514">
        <v>2022</v>
      </c>
      <c r="F514" s="1">
        <f t="shared" si="37"/>
        <v>44622</v>
      </c>
      <c r="G514" s="1" t="s">
        <v>475</v>
      </c>
      <c r="H514" s="2">
        <v>44990</v>
      </c>
      <c r="I514" t="s">
        <v>26</v>
      </c>
      <c r="J514">
        <v>6</v>
      </c>
      <c r="K514">
        <v>62493.83</v>
      </c>
      <c r="L514" t="s">
        <v>478</v>
      </c>
      <c r="M514">
        <v>32</v>
      </c>
      <c r="N514" t="s">
        <v>21</v>
      </c>
      <c r="O514" s="3" t="s">
        <v>22</v>
      </c>
      <c r="P514" t="s">
        <v>33</v>
      </c>
      <c r="Q514" t="s">
        <v>30</v>
      </c>
      <c r="R514">
        <v>5</v>
      </c>
      <c r="S514" t="s">
        <v>67</v>
      </c>
      <c r="T514" s="4">
        <f t="shared" si="38"/>
        <v>374962.98</v>
      </c>
      <c r="U514" s="4" t="str">
        <f t="shared" si="39"/>
        <v>Good</v>
      </c>
      <c r="V514" s="4" t="str">
        <f t="shared" si="40"/>
        <v>Excellent</v>
      </c>
      <c r="W514" s="4"/>
      <c r="X514" s="4"/>
      <c r="AJ514" s="4"/>
    </row>
    <row r="515" spans="1:36">
      <c r="A515" t="str">
        <f t="shared" si="41"/>
        <v>Vino51514</v>
      </c>
      <c r="B515">
        <v>514</v>
      </c>
      <c r="C515">
        <v>2</v>
      </c>
      <c r="D515">
        <v>3</v>
      </c>
      <c r="E515">
        <v>2022</v>
      </c>
      <c r="F515" s="1">
        <f t="shared" ref="F515:F578" si="42">DATE(E515,D515,C515)</f>
        <v>44622</v>
      </c>
      <c r="G515" s="1" t="s">
        <v>475</v>
      </c>
      <c r="H515" s="2">
        <v>44991</v>
      </c>
      <c r="I515" t="s">
        <v>26</v>
      </c>
      <c r="J515">
        <v>9</v>
      </c>
      <c r="K515">
        <v>56306.98</v>
      </c>
      <c r="L515" t="s">
        <v>246</v>
      </c>
      <c r="M515">
        <v>51</v>
      </c>
      <c r="N515" t="s">
        <v>61</v>
      </c>
      <c r="O515" s="3" t="s">
        <v>55</v>
      </c>
      <c r="P515" t="s">
        <v>40</v>
      </c>
      <c r="Q515" t="s">
        <v>56</v>
      </c>
      <c r="R515">
        <v>2</v>
      </c>
      <c r="S515" t="s">
        <v>34</v>
      </c>
      <c r="T515" s="4">
        <f t="shared" ref="T515:T578" si="43">J515*K515</f>
        <v>506762.82</v>
      </c>
      <c r="U515" s="4" t="str">
        <f t="shared" ref="U515:U578" si="44">IF(R515&gt;=4,"Good","Average")</f>
        <v>Average</v>
      </c>
      <c r="V515" s="4" t="str">
        <f t="shared" ref="V515:V578" si="45">IF(T515&gt;200000,"Excellent",IF(T515&gt;100000,"Good",IF(T515&gt;50000,"Average","Low")))</f>
        <v>Excellent</v>
      </c>
      <c r="W515" s="4"/>
      <c r="X515" s="4"/>
      <c r="AJ515" s="4"/>
    </row>
    <row r="516" spans="1:36">
      <c r="A516" t="str">
        <f t="shared" si="41"/>
        <v>Neet34515</v>
      </c>
      <c r="B516">
        <v>515</v>
      </c>
      <c r="C516">
        <v>2</v>
      </c>
      <c r="D516">
        <v>3</v>
      </c>
      <c r="E516">
        <v>2022</v>
      </c>
      <c r="F516" s="1">
        <f t="shared" si="42"/>
        <v>44622</v>
      </c>
      <c r="G516" s="1" t="s">
        <v>475</v>
      </c>
      <c r="H516" s="2">
        <v>44992</v>
      </c>
      <c r="I516" t="s">
        <v>38</v>
      </c>
      <c r="J516">
        <v>8</v>
      </c>
      <c r="K516">
        <v>35074.449999999997</v>
      </c>
      <c r="L516" t="s">
        <v>479</v>
      </c>
      <c r="M516">
        <v>34</v>
      </c>
      <c r="N516" t="s">
        <v>21</v>
      </c>
      <c r="O516" s="3" t="s">
        <v>55</v>
      </c>
      <c r="P516" t="s">
        <v>29</v>
      </c>
      <c r="Q516" t="s">
        <v>56</v>
      </c>
      <c r="R516">
        <v>2</v>
      </c>
      <c r="S516" t="s">
        <v>42</v>
      </c>
      <c r="T516" s="4">
        <f t="shared" si="43"/>
        <v>280595.59999999998</v>
      </c>
      <c r="U516" s="4" t="str">
        <f t="shared" si="44"/>
        <v>Average</v>
      </c>
      <c r="V516" s="4" t="str">
        <f t="shared" si="45"/>
        <v>Excellent</v>
      </c>
      <c r="W516" s="4"/>
      <c r="X516" s="4"/>
      <c r="AJ516" s="4"/>
    </row>
    <row r="517" spans="1:36">
      <c r="A517" t="str">
        <f t="shared" si="41"/>
        <v>Vino20516</v>
      </c>
      <c r="B517">
        <v>516</v>
      </c>
      <c r="C517">
        <v>2</v>
      </c>
      <c r="D517">
        <v>3</v>
      </c>
      <c r="E517">
        <v>2022</v>
      </c>
      <c r="F517" s="1">
        <f t="shared" si="42"/>
        <v>44622</v>
      </c>
      <c r="G517" s="1" t="s">
        <v>475</v>
      </c>
      <c r="H517" s="2">
        <v>44993</v>
      </c>
      <c r="I517" t="s">
        <v>43</v>
      </c>
      <c r="J517">
        <v>1</v>
      </c>
      <c r="K517">
        <v>54904.38</v>
      </c>
      <c r="L517" t="s">
        <v>480</v>
      </c>
      <c r="M517">
        <v>20</v>
      </c>
      <c r="N517" t="s">
        <v>36</v>
      </c>
      <c r="O517" s="3" t="s">
        <v>28</v>
      </c>
      <c r="P517" t="s">
        <v>117</v>
      </c>
      <c r="Q517" t="s">
        <v>41</v>
      </c>
      <c r="R517">
        <v>3</v>
      </c>
      <c r="S517" t="s">
        <v>95</v>
      </c>
      <c r="T517" s="4">
        <f t="shared" si="43"/>
        <v>54904.38</v>
      </c>
      <c r="U517" s="4" t="str">
        <f t="shared" si="44"/>
        <v>Average</v>
      </c>
      <c r="V517" s="4" t="str">
        <f t="shared" si="45"/>
        <v>Average</v>
      </c>
      <c r="W517" s="4"/>
      <c r="X517" s="4"/>
      <c r="AJ517" s="4"/>
    </row>
    <row r="518" spans="1:36">
      <c r="A518" t="str">
        <f t="shared" si="41"/>
        <v>Vino20517</v>
      </c>
      <c r="B518">
        <v>517</v>
      </c>
      <c r="C518">
        <v>3</v>
      </c>
      <c r="D518">
        <v>3</v>
      </c>
      <c r="E518">
        <v>2022</v>
      </c>
      <c r="F518" s="1">
        <f t="shared" si="42"/>
        <v>44623</v>
      </c>
      <c r="G518" s="1" t="s">
        <v>475</v>
      </c>
      <c r="H518" s="2">
        <v>44994</v>
      </c>
      <c r="I518" t="s">
        <v>26</v>
      </c>
      <c r="J518">
        <v>8</v>
      </c>
      <c r="K518">
        <v>67680.08</v>
      </c>
      <c r="L518" t="s">
        <v>481</v>
      </c>
      <c r="M518">
        <v>20</v>
      </c>
      <c r="N518" t="s">
        <v>36</v>
      </c>
      <c r="O518" s="3" t="s">
        <v>22</v>
      </c>
      <c r="P518" t="s">
        <v>29</v>
      </c>
      <c r="Q518" t="s">
        <v>24</v>
      </c>
      <c r="R518">
        <v>5</v>
      </c>
      <c r="S518" t="s">
        <v>67</v>
      </c>
      <c r="T518" s="4">
        <f t="shared" si="43"/>
        <v>541440.64</v>
      </c>
      <c r="U518" s="4" t="str">
        <f t="shared" si="44"/>
        <v>Good</v>
      </c>
      <c r="V518" s="4" t="str">
        <f t="shared" si="45"/>
        <v>Excellent</v>
      </c>
      <c r="W518" s="4"/>
      <c r="X518" s="4"/>
      <c r="AJ518" s="4"/>
    </row>
    <row r="519" spans="1:36">
      <c r="A519" t="str">
        <f t="shared" si="41"/>
        <v>Vino54518</v>
      </c>
      <c r="B519">
        <v>518</v>
      </c>
      <c r="C519">
        <v>3</v>
      </c>
      <c r="D519">
        <v>3</v>
      </c>
      <c r="E519">
        <v>2022</v>
      </c>
      <c r="F519" s="1">
        <f t="shared" si="42"/>
        <v>44623</v>
      </c>
      <c r="G519" s="1" t="s">
        <v>475</v>
      </c>
      <c r="H519" s="2">
        <v>44995</v>
      </c>
      <c r="I519" t="s">
        <v>26</v>
      </c>
      <c r="J519">
        <v>9</v>
      </c>
      <c r="K519">
        <v>37538.18</v>
      </c>
      <c r="L519" t="s">
        <v>482</v>
      </c>
      <c r="M519">
        <v>54</v>
      </c>
      <c r="N519" t="s">
        <v>61</v>
      </c>
      <c r="O519" s="3" t="s">
        <v>22</v>
      </c>
      <c r="P519" t="s">
        <v>29</v>
      </c>
      <c r="Q519" t="s">
        <v>41</v>
      </c>
      <c r="R519">
        <v>5</v>
      </c>
      <c r="S519" t="s">
        <v>67</v>
      </c>
      <c r="T519" s="4">
        <f t="shared" si="43"/>
        <v>337843.62</v>
      </c>
      <c r="U519" s="4" t="str">
        <f t="shared" si="44"/>
        <v>Good</v>
      </c>
      <c r="V519" s="4" t="str">
        <f t="shared" si="45"/>
        <v>Excellent</v>
      </c>
      <c r="W519" s="4"/>
      <c r="X519" s="4"/>
      <c r="AJ519" s="4"/>
    </row>
    <row r="520" spans="1:36">
      <c r="A520" t="str">
        <f t="shared" si="41"/>
        <v>Sach34519</v>
      </c>
      <c r="B520">
        <v>519</v>
      </c>
      <c r="C520">
        <v>3</v>
      </c>
      <c r="D520">
        <v>3</v>
      </c>
      <c r="E520">
        <v>2022</v>
      </c>
      <c r="F520" s="1">
        <f t="shared" si="42"/>
        <v>44623</v>
      </c>
      <c r="G520" s="1" t="s">
        <v>475</v>
      </c>
      <c r="H520" s="2">
        <v>44996</v>
      </c>
      <c r="I520" t="s">
        <v>19</v>
      </c>
      <c r="J520">
        <v>6</v>
      </c>
      <c r="K520">
        <v>24305.63</v>
      </c>
      <c r="L520" t="s">
        <v>483</v>
      </c>
      <c r="M520">
        <v>34</v>
      </c>
      <c r="N520" t="s">
        <v>21</v>
      </c>
      <c r="O520" s="3" t="s">
        <v>28</v>
      </c>
      <c r="P520" t="s">
        <v>29</v>
      </c>
      <c r="Q520" t="s">
        <v>41</v>
      </c>
      <c r="R520">
        <v>3</v>
      </c>
      <c r="S520" t="s">
        <v>25</v>
      </c>
      <c r="T520" s="4">
        <f t="shared" si="43"/>
        <v>145833.78</v>
      </c>
      <c r="U520" s="4" t="str">
        <f t="shared" si="44"/>
        <v>Average</v>
      </c>
      <c r="V520" s="4" t="str">
        <f t="shared" si="45"/>
        <v>Good</v>
      </c>
      <c r="W520" s="4"/>
      <c r="X520" s="4"/>
      <c r="AJ520" s="4"/>
    </row>
    <row r="521" spans="1:36">
      <c r="A521" t="str">
        <f t="shared" si="41"/>
        <v>Pras55520</v>
      </c>
      <c r="B521">
        <v>520</v>
      </c>
      <c r="C521">
        <v>4</v>
      </c>
      <c r="D521">
        <v>3</v>
      </c>
      <c r="E521">
        <v>2022</v>
      </c>
      <c r="F521" s="1">
        <f t="shared" si="42"/>
        <v>44624</v>
      </c>
      <c r="G521" s="1" t="s">
        <v>475</v>
      </c>
      <c r="H521" s="2">
        <v>44997</v>
      </c>
      <c r="I521" t="s">
        <v>49</v>
      </c>
      <c r="J521">
        <v>5</v>
      </c>
      <c r="K521">
        <v>66508.990000000005</v>
      </c>
      <c r="L521" t="s">
        <v>484</v>
      </c>
      <c r="M521">
        <v>55</v>
      </c>
      <c r="N521" t="s">
        <v>61</v>
      </c>
      <c r="O521" s="3" t="s">
        <v>22</v>
      </c>
      <c r="P521" t="s">
        <v>23</v>
      </c>
      <c r="Q521" t="s">
        <v>41</v>
      </c>
      <c r="R521">
        <v>5</v>
      </c>
      <c r="S521" t="s">
        <v>102</v>
      </c>
      <c r="T521" s="4">
        <f t="shared" si="43"/>
        <v>332544.95</v>
      </c>
      <c r="U521" s="4" t="str">
        <f t="shared" si="44"/>
        <v>Good</v>
      </c>
      <c r="V521" s="4" t="str">
        <f t="shared" si="45"/>
        <v>Excellent</v>
      </c>
      <c r="W521" s="4"/>
      <c r="X521" s="4"/>
      <c r="AJ521" s="4"/>
    </row>
    <row r="522" spans="1:36">
      <c r="A522" t="str">
        <f t="shared" si="41"/>
        <v>Neet18521</v>
      </c>
      <c r="B522">
        <v>521</v>
      </c>
      <c r="C522">
        <v>4</v>
      </c>
      <c r="D522">
        <v>3</v>
      </c>
      <c r="E522">
        <v>2022</v>
      </c>
      <c r="F522" s="1">
        <f t="shared" si="42"/>
        <v>44624</v>
      </c>
      <c r="G522" s="1" t="s">
        <v>475</v>
      </c>
      <c r="H522" s="2">
        <v>44998</v>
      </c>
      <c r="I522" t="s">
        <v>43</v>
      </c>
      <c r="J522">
        <v>6</v>
      </c>
      <c r="K522">
        <v>46224.66</v>
      </c>
      <c r="L522" t="s">
        <v>485</v>
      </c>
      <c r="M522">
        <v>18</v>
      </c>
      <c r="N522" t="s">
        <v>36</v>
      </c>
      <c r="O522" s="3" t="s">
        <v>22</v>
      </c>
      <c r="P522" t="s">
        <v>51</v>
      </c>
      <c r="Q522" t="s">
        <v>24</v>
      </c>
      <c r="R522">
        <v>5</v>
      </c>
      <c r="S522" t="s">
        <v>95</v>
      </c>
      <c r="T522" s="4">
        <f t="shared" si="43"/>
        <v>277347.96000000002</v>
      </c>
      <c r="U522" s="4" t="str">
        <f t="shared" si="44"/>
        <v>Good</v>
      </c>
      <c r="V522" s="4" t="str">
        <f t="shared" si="45"/>
        <v>Excellent</v>
      </c>
      <c r="W522" s="4"/>
      <c r="X522" s="4"/>
      <c r="AJ522" s="4"/>
    </row>
    <row r="523" spans="1:36">
      <c r="A523" t="str">
        <f t="shared" si="41"/>
        <v>Lali24522</v>
      </c>
      <c r="B523">
        <v>522</v>
      </c>
      <c r="C523">
        <v>4</v>
      </c>
      <c r="D523">
        <v>3</v>
      </c>
      <c r="E523">
        <v>2022</v>
      </c>
      <c r="F523" s="1">
        <f t="shared" si="42"/>
        <v>44624</v>
      </c>
      <c r="G523" s="1" t="s">
        <v>475</v>
      </c>
      <c r="H523" s="2">
        <v>44999</v>
      </c>
      <c r="I523" t="s">
        <v>19</v>
      </c>
      <c r="J523">
        <v>6</v>
      </c>
      <c r="K523">
        <v>16315.91</v>
      </c>
      <c r="L523" t="s">
        <v>486</v>
      </c>
      <c r="M523">
        <v>24</v>
      </c>
      <c r="N523" t="s">
        <v>36</v>
      </c>
      <c r="O523" s="3" t="s">
        <v>22</v>
      </c>
      <c r="P523" t="s">
        <v>51</v>
      </c>
      <c r="Q523" t="s">
        <v>56</v>
      </c>
      <c r="R523">
        <v>5</v>
      </c>
      <c r="S523" t="s">
        <v>25</v>
      </c>
      <c r="T523" s="4">
        <f t="shared" si="43"/>
        <v>97895.459999999992</v>
      </c>
      <c r="U523" s="4" t="str">
        <f t="shared" si="44"/>
        <v>Good</v>
      </c>
      <c r="V523" s="4" t="str">
        <f t="shared" si="45"/>
        <v>Average</v>
      </c>
      <c r="W523" s="4"/>
      <c r="X523" s="4"/>
      <c r="AJ523" s="4"/>
    </row>
    <row r="524" spans="1:36">
      <c r="A524" t="str">
        <f t="shared" si="41"/>
        <v>Isha43523</v>
      </c>
      <c r="B524">
        <v>523</v>
      </c>
      <c r="C524">
        <v>5</v>
      </c>
      <c r="D524">
        <v>3</v>
      </c>
      <c r="E524">
        <v>2022</v>
      </c>
      <c r="F524" s="1">
        <f t="shared" si="42"/>
        <v>44625</v>
      </c>
      <c r="G524" s="1" t="s">
        <v>475</v>
      </c>
      <c r="H524" s="2">
        <v>45000</v>
      </c>
      <c r="I524" t="s">
        <v>38</v>
      </c>
      <c r="J524">
        <v>9</v>
      </c>
      <c r="K524">
        <v>44360.97</v>
      </c>
      <c r="L524" t="s">
        <v>274</v>
      </c>
      <c r="M524">
        <v>43</v>
      </c>
      <c r="N524" t="s">
        <v>21</v>
      </c>
      <c r="O524" s="3" t="s">
        <v>55</v>
      </c>
      <c r="P524" t="s">
        <v>29</v>
      </c>
      <c r="Q524" t="s">
        <v>30</v>
      </c>
      <c r="R524">
        <v>2</v>
      </c>
      <c r="S524" t="s">
        <v>99</v>
      </c>
      <c r="T524" s="4">
        <f t="shared" si="43"/>
        <v>399248.73</v>
      </c>
      <c r="U524" s="4" t="str">
        <f t="shared" si="44"/>
        <v>Average</v>
      </c>
      <c r="V524" s="4" t="str">
        <f t="shared" si="45"/>
        <v>Excellent</v>
      </c>
      <c r="W524" s="4"/>
      <c r="X524" s="4"/>
      <c r="AJ524" s="4"/>
    </row>
    <row r="525" spans="1:36">
      <c r="A525" t="str">
        <f t="shared" si="41"/>
        <v>Neet56524</v>
      </c>
      <c r="B525">
        <v>524</v>
      </c>
      <c r="C525">
        <v>5</v>
      </c>
      <c r="D525">
        <v>3</v>
      </c>
      <c r="E525">
        <v>2022</v>
      </c>
      <c r="F525" s="1">
        <f t="shared" si="42"/>
        <v>44625</v>
      </c>
      <c r="G525" s="1" t="s">
        <v>475</v>
      </c>
      <c r="H525" s="2">
        <v>45001</v>
      </c>
      <c r="I525" t="s">
        <v>38</v>
      </c>
      <c r="J525">
        <v>4</v>
      </c>
      <c r="K525">
        <v>40034.85</v>
      </c>
      <c r="L525" t="s">
        <v>487</v>
      </c>
      <c r="M525">
        <v>56</v>
      </c>
      <c r="N525" t="s">
        <v>61</v>
      </c>
      <c r="O525" s="3" t="s">
        <v>22</v>
      </c>
      <c r="P525" t="s">
        <v>90</v>
      </c>
      <c r="Q525" t="s">
        <v>56</v>
      </c>
      <c r="R525">
        <v>4</v>
      </c>
      <c r="S525" t="s">
        <v>99</v>
      </c>
      <c r="T525" s="4">
        <f t="shared" si="43"/>
        <v>160139.4</v>
      </c>
      <c r="U525" s="4" t="str">
        <f t="shared" si="44"/>
        <v>Good</v>
      </c>
      <c r="V525" s="4" t="str">
        <f t="shared" si="45"/>
        <v>Good</v>
      </c>
      <c r="W525" s="4"/>
      <c r="X525" s="4"/>
      <c r="AJ525" s="4"/>
    </row>
    <row r="526" spans="1:36">
      <c r="A526" t="str">
        <f t="shared" si="41"/>
        <v>Vive36525</v>
      </c>
      <c r="B526">
        <v>525</v>
      </c>
      <c r="C526">
        <v>5</v>
      </c>
      <c r="D526">
        <v>3</v>
      </c>
      <c r="E526">
        <v>2022</v>
      </c>
      <c r="F526" s="1">
        <f t="shared" si="42"/>
        <v>44625</v>
      </c>
      <c r="G526" s="1" t="s">
        <v>475</v>
      </c>
      <c r="H526" s="2">
        <v>45002</v>
      </c>
      <c r="I526" t="s">
        <v>26</v>
      </c>
      <c r="J526">
        <v>2</v>
      </c>
      <c r="K526">
        <v>61335.33</v>
      </c>
      <c r="L526" t="s">
        <v>320</v>
      </c>
      <c r="M526">
        <v>36</v>
      </c>
      <c r="N526" t="s">
        <v>21</v>
      </c>
      <c r="O526" s="3" t="s">
        <v>22</v>
      </c>
      <c r="P526" t="s">
        <v>132</v>
      </c>
      <c r="Q526" t="s">
        <v>30</v>
      </c>
      <c r="R526">
        <v>5</v>
      </c>
      <c r="S526" t="s">
        <v>34</v>
      </c>
      <c r="T526" s="4">
        <f t="shared" si="43"/>
        <v>122670.66</v>
      </c>
      <c r="U526" s="4" t="str">
        <f t="shared" si="44"/>
        <v>Good</v>
      </c>
      <c r="V526" s="4" t="str">
        <f t="shared" si="45"/>
        <v>Good</v>
      </c>
      <c r="W526" s="4"/>
      <c r="X526" s="4"/>
      <c r="AJ526" s="4"/>
    </row>
    <row r="527" spans="1:36">
      <c r="A527" t="str">
        <f t="shared" si="41"/>
        <v>Anan47526</v>
      </c>
      <c r="B527">
        <v>526</v>
      </c>
      <c r="C527">
        <v>6</v>
      </c>
      <c r="D527">
        <v>3</v>
      </c>
      <c r="E527">
        <v>2022</v>
      </c>
      <c r="F527" s="1">
        <f t="shared" si="42"/>
        <v>44626</v>
      </c>
      <c r="G527" s="1" t="s">
        <v>475</v>
      </c>
      <c r="H527" s="2">
        <v>45003</v>
      </c>
      <c r="I527" t="s">
        <v>26</v>
      </c>
      <c r="J527">
        <v>9</v>
      </c>
      <c r="K527">
        <v>41841.71</v>
      </c>
      <c r="L527" t="s">
        <v>488</v>
      </c>
      <c r="M527">
        <v>47</v>
      </c>
      <c r="N527" t="s">
        <v>61</v>
      </c>
      <c r="O527" s="3" t="s">
        <v>22</v>
      </c>
      <c r="P527" t="s">
        <v>29</v>
      </c>
      <c r="Q527" t="s">
        <v>30</v>
      </c>
      <c r="R527">
        <v>4</v>
      </c>
      <c r="S527" t="s">
        <v>67</v>
      </c>
      <c r="T527" s="4">
        <f t="shared" si="43"/>
        <v>376575.39</v>
      </c>
      <c r="U527" s="4" t="str">
        <f t="shared" si="44"/>
        <v>Good</v>
      </c>
      <c r="V527" s="4" t="str">
        <f t="shared" si="45"/>
        <v>Excellent</v>
      </c>
      <c r="W527" s="4"/>
      <c r="X527" s="4"/>
      <c r="AJ527" s="4"/>
    </row>
    <row r="528" spans="1:36">
      <c r="A528" t="str">
        <f t="shared" si="41"/>
        <v>Nami31527</v>
      </c>
      <c r="B528">
        <v>527</v>
      </c>
      <c r="C528">
        <v>6</v>
      </c>
      <c r="D528">
        <v>3</v>
      </c>
      <c r="E528">
        <v>2022</v>
      </c>
      <c r="F528" s="1">
        <f t="shared" si="42"/>
        <v>44626</v>
      </c>
      <c r="G528" s="1" t="s">
        <v>475</v>
      </c>
      <c r="H528" s="2">
        <v>45004</v>
      </c>
      <c r="I528" t="s">
        <v>38</v>
      </c>
      <c r="J528">
        <v>2</v>
      </c>
      <c r="K528">
        <v>25313.95</v>
      </c>
      <c r="L528" t="s">
        <v>381</v>
      </c>
      <c r="M528">
        <v>31</v>
      </c>
      <c r="N528" t="s">
        <v>21</v>
      </c>
      <c r="O528" s="3" t="s">
        <v>22</v>
      </c>
      <c r="P528" t="s">
        <v>114</v>
      </c>
      <c r="Q528" t="s">
        <v>41</v>
      </c>
      <c r="R528">
        <v>4</v>
      </c>
      <c r="S528" t="s">
        <v>42</v>
      </c>
      <c r="T528" s="4">
        <f t="shared" si="43"/>
        <v>50627.9</v>
      </c>
      <c r="U528" s="4" t="str">
        <f t="shared" si="44"/>
        <v>Good</v>
      </c>
      <c r="V528" s="4" t="str">
        <f t="shared" si="45"/>
        <v>Average</v>
      </c>
      <c r="W528" s="4"/>
      <c r="X528" s="4"/>
      <c r="AJ528" s="4"/>
    </row>
    <row r="529" spans="1:36">
      <c r="A529" t="str">
        <f t="shared" si="41"/>
        <v>Roha30528</v>
      </c>
      <c r="B529">
        <v>528</v>
      </c>
      <c r="C529">
        <v>6</v>
      </c>
      <c r="D529">
        <v>3</v>
      </c>
      <c r="E529">
        <v>2022</v>
      </c>
      <c r="F529" s="1">
        <f t="shared" si="42"/>
        <v>44626</v>
      </c>
      <c r="G529" s="1" t="s">
        <v>475</v>
      </c>
      <c r="H529" s="2">
        <v>45005</v>
      </c>
      <c r="I529" t="s">
        <v>26</v>
      </c>
      <c r="J529">
        <v>9</v>
      </c>
      <c r="K529">
        <v>50538.64</v>
      </c>
      <c r="L529" t="s">
        <v>489</v>
      </c>
      <c r="M529">
        <v>30</v>
      </c>
      <c r="N529" t="s">
        <v>36</v>
      </c>
      <c r="O529" s="3" t="s">
        <v>22</v>
      </c>
      <c r="P529" t="s">
        <v>33</v>
      </c>
      <c r="Q529" t="s">
        <v>41</v>
      </c>
      <c r="R529">
        <v>5</v>
      </c>
      <c r="S529" t="s">
        <v>34</v>
      </c>
      <c r="T529" s="4">
        <f t="shared" si="43"/>
        <v>454847.76</v>
      </c>
      <c r="U529" s="4" t="str">
        <f t="shared" si="44"/>
        <v>Good</v>
      </c>
      <c r="V529" s="4" t="str">
        <f t="shared" si="45"/>
        <v>Excellent</v>
      </c>
      <c r="W529" s="4"/>
      <c r="X529" s="4"/>
      <c r="AJ529" s="4"/>
    </row>
    <row r="530" spans="1:36">
      <c r="A530" t="str">
        <f t="shared" si="41"/>
        <v>Vive37529</v>
      </c>
      <c r="B530">
        <v>529</v>
      </c>
      <c r="C530">
        <v>7</v>
      </c>
      <c r="D530">
        <v>3</v>
      </c>
      <c r="E530">
        <v>2022</v>
      </c>
      <c r="F530" s="1">
        <f t="shared" si="42"/>
        <v>44627</v>
      </c>
      <c r="G530" s="1" t="s">
        <v>475</v>
      </c>
      <c r="H530" s="2">
        <v>45006</v>
      </c>
      <c r="I530" t="s">
        <v>43</v>
      </c>
      <c r="J530">
        <v>2</v>
      </c>
      <c r="K530">
        <v>42554.53</v>
      </c>
      <c r="L530" t="s">
        <v>490</v>
      </c>
      <c r="M530">
        <v>37</v>
      </c>
      <c r="N530" t="s">
        <v>21</v>
      </c>
      <c r="O530" s="3" t="s">
        <v>55</v>
      </c>
      <c r="P530" t="s">
        <v>33</v>
      </c>
      <c r="Q530" t="s">
        <v>30</v>
      </c>
      <c r="R530">
        <v>2</v>
      </c>
      <c r="S530" t="s">
        <v>95</v>
      </c>
      <c r="T530" s="4">
        <f t="shared" si="43"/>
        <v>85109.06</v>
      </c>
      <c r="U530" s="4" t="str">
        <f t="shared" si="44"/>
        <v>Average</v>
      </c>
      <c r="V530" s="4" t="str">
        <f t="shared" si="45"/>
        <v>Average</v>
      </c>
      <c r="W530" s="4"/>
      <c r="X530" s="4"/>
      <c r="AJ530" s="4"/>
    </row>
    <row r="531" spans="1:36">
      <c r="A531" t="str">
        <f t="shared" si="41"/>
        <v>Bhav43530</v>
      </c>
      <c r="B531">
        <v>530</v>
      </c>
      <c r="C531">
        <v>7</v>
      </c>
      <c r="D531">
        <v>3</v>
      </c>
      <c r="E531">
        <v>2022</v>
      </c>
      <c r="F531" s="1">
        <f t="shared" si="42"/>
        <v>44627</v>
      </c>
      <c r="G531" s="1" t="s">
        <v>475</v>
      </c>
      <c r="H531" s="2">
        <v>45007</v>
      </c>
      <c r="I531" t="s">
        <v>26</v>
      </c>
      <c r="J531">
        <v>8</v>
      </c>
      <c r="K531">
        <v>23982.68</v>
      </c>
      <c r="L531" t="s">
        <v>251</v>
      </c>
      <c r="M531">
        <v>43</v>
      </c>
      <c r="N531" t="s">
        <v>21</v>
      </c>
      <c r="O531" s="3" t="s">
        <v>22</v>
      </c>
      <c r="P531" t="s">
        <v>77</v>
      </c>
      <c r="Q531" t="s">
        <v>24</v>
      </c>
      <c r="R531">
        <v>5</v>
      </c>
      <c r="S531" t="s">
        <v>34</v>
      </c>
      <c r="T531" s="4">
        <f t="shared" si="43"/>
        <v>191861.44</v>
      </c>
      <c r="U531" s="4" t="str">
        <f t="shared" si="44"/>
        <v>Good</v>
      </c>
      <c r="V531" s="4" t="str">
        <f t="shared" si="45"/>
        <v>Good</v>
      </c>
      <c r="W531" s="4"/>
      <c r="X531" s="4"/>
      <c r="AJ531" s="4"/>
    </row>
    <row r="532" spans="1:36">
      <c r="A532" t="str">
        <f t="shared" si="41"/>
        <v>Vino44531</v>
      </c>
      <c r="B532">
        <v>531</v>
      </c>
      <c r="C532">
        <v>7</v>
      </c>
      <c r="D532">
        <v>3</v>
      </c>
      <c r="E532">
        <v>2022</v>
      </c>
      <c r="F532" s="1">
        <f t="shared" si="42"/>
        <v>44627</v>
      </c>
      <c r="G532" s="1" t="s">
        <v>475</v>
      </c>
      <c r="H532" s="2">
        <v>45008</v>
      </c>
      <c r="I532" t="s">
        <v>49</v>
      </c>
      <c r="J532">
        <v>9</v>
      </c>
      <c r="K532">
        <v>44417.67</v>
      </c>
      <c r="L532" t="s">
        <v>91</v>
      </c>
      <c r="M532">
        <v>44</v>
      </c>
      <c r="N532" t="s">
        <v>21</v>
      </c>
      <c r="O532" s="3" t="s">
        <v>22</v>
      </c>
      <c r="P532" t="s">
        <v>29</v>
      </c>
      <c r="Q532" t="s">
        <v>24</v>
      </c>
      <c r="R532">
        <v>5</v>
      </c>
      <c r="S532" t="s">
        <v>102</v>
      </c>
      <c r="T532" s="4">
        <f t="shared" si="43"/>
        <v>399759.02999999997</v>
      </c>
      <c r="U532" s="4" t="str">
        <f t="shared" si="44"/>
        <v>Good</v>
      </c>
      <c r="V532" s="4" t="str">
        <f t="shared" si="45"/>
        <v>Excellent</v>
      </c>
      <c r="W532" s="4"/>
      <c r="X532" s="4"/>
      <c r="AJ532" s="4"/>
    </row>
    <row r="533" spans="1:36">
      <c r="A533" t="str">
        <f t="shared" si="41"/>
        <v>Roha42532</v>
      </c>
      <c r="B533">
        <v>532</v>
      </c>
      <c r="C533">
        <v>7</v>
      </c>
      <c r="D533">
        <v>3</v>
      </c>
      <c r="E533">
        <v>2022</v>
      </c>
      <c r="F533" s="1">
        <f t="shared" si="42"/>
        <v>44627</v>
      </c>
      <c r="G533" s="1" t="s">
        <v>475</v>
      </c>
      <c r="H533" s="2">
        <v>45009</v>
      </c>
      <c r="I533" t="s">
        <v>26</v>
      </c>
      <c r="J533">
        <v>9</v>
      </c>
      <c r="K533">
        <v>59292.13</v>
      </c>
      <c r="L533" t="s">
        <v>489</v>
      </c>
      <c r="M533">
        <v>42</v>
      </c>
      <c r="N533" t="s">
        <v>21</v>
      </c>
      <c r="O533" s="3" t="s">
        <v>55</v>
      </c>
      <c r="P533" t="s">
        <v>132</v>
      </c>
      <c r="Q533" t="s">
        <v>24</v>
      </c>
      <c r="R533">
        <v>2</v>
      </c>
      <c r="S533" t="s">
        <v>67</v>
      </c>
      <c r="T533" s="4">
        <f t="shared" si="43"/>
        <v>533629.16999999993</v>
      </c>
      <c r="U533" s="4" t="str">
        <f t="shared" si="44"/>
        <v>Average</v>
      </c>
      <c r="V533" s="4" t="str">
        <f t="shared" si="45"/>
        <v>Excellent</v>
      </c>
      <c r="W533" s="4"/>
      <c r="X533" s="4"/>
      <c r="AJ533" s="4"/>
    </row>
    <row r="534" spans="1:36">
      <c r="A534" t="str">
        <f t="shared" si="41"/>
        <v>Deep26533</v>
      </c>
      <c r="B534">
        <v>533</v>
      </c>
      <c r="C534">
        <v>8</v>
      </c>
      <c r="D534">
        <v>3</v>
      </c>
      <c r="E534">
        <v>2022</v>
      </c>
      <c r="F534" s="1">
        <f t="shared" si="42"/>
        <v>44628</v>
      </c>
      <c r="G534" s="1" t="s">
        <v>475</v>
      </c>
      <c r="H534" s="2">
        <v>45010</v>
      </c>
      <c r="I534" t="s">
        <v>19</v>
      </c>
      <c r="J534">
        <v>9</v>
      </c>
      <c r="K534">
        <v>11714.26</v>
      </c>
      <c r="L534" t="s">
        <v>294</v>
      </c>
      <c r="M534">
        <v>26</v>
      </c>
      <c r="N534" t="s">
        <v>36</v>
      </c>
      <c r="O534" s="3" t="s">
        <v>28</v>
      </c>
      <c r="P534" t="s">
        <v>33</v>
      </c>
      <c r="Q534" t="s">
        <v>24</v>
      </c>
      <c r="R534">
        <v>3</v>
      </c>
      <c r="S534" t="s">
        <v>25</v>
      </c>
      <c r="T534" s="4">
        <f t="shared" si="43"/>
        <v>105428.34</v>
      </c>
      <c r="U534" s="4" t="str">
        <f t="shared" si="44"/>
        <v>Average</v>
      </c>
      <c r="V534" s="4" t="str">
        <f t="shared" si="45"/>
        <v>Good</v>
      </c>
      <c r="W534" s="4"/>
      <c r="X534" s="4"/>
      <c r="AJ534" s="4"/>
    </row>
    <row r="535" spans="1:36">
      <c r="A535" t="str">
        <f t="shared" si="41"/>
        <v>Raje58534</v>
      </c>
      <c r="B535">
        <v>534</v>
      </c>
      <c r="C535">
        <v>8</v>
      </c>
      <c r="D535">
        <v>3</v>
      </c>
      <c r="E535">
        <v>2022</v>
      </c>
      <c r="F535" s="1">
        <f t="shared" si="42"/>
        <v>44628</v>
      </c>
      <c r="G535" s="1" t="s">
        <v>475</v>
      </c>
      <c r="H535" s="2">
        <v>45011</v>
      </c>
      <c r="I535" t="s">
        <v>43</v>
      </c>
      <c r="J535">
        <v>2</v>
      </c>
      <c r="K535">
        <v>47851.06</v>
      </c>
      <c r="L535" t="s">
        <v>491</v>
      </c>
      <c r="M535">
        <v>58</v>
      </c>
      <c r="N535" t="s">
        <v>61</v>
      </c>
      <c r="O535" s="3" t="s">
        <v>55</v>
      </c>
      <c r="P535" t="s">
        <v>93</v>
      </c>
      <c r="Q535" t="s">
        <v>41</v>
      </c>
      <c r="R535">
        <v>2</v>
      </c>
      <c r="S535" t="s">
        <v>46</v>
      </c>
      <c r="T535" s="4">
        <f t="shared" si="43"/>
        <v>95702.12</v>
      </c>
      <c r="U535" s="4" t="str">
        <f t="shared" si="44"/>
        <v>Average</v>
      </c>
      <c r="V535" s="4" t="str">
        <f t="shared" si="45"/>
        <v>Average</v>
      </c>
      <c r="W535" s="4"/>
      <c r="X535" s="4"/>
      <c r="AJ535" s="4"/>
    </row>
    <row r="536" spans="1:36">
      <c r="A536" t="str">
        <f t="shared" si="41"/>
        <v>Arun29535</v>
      </c>
      <c r="B536">
        <v>535</v>
      </c>
      <c r="C536">
        <v>8</v>
      </c>
      <c r="D536">
        <v>3</v>
      </c>
      <c r="E536">
        <v>2022</v>
      </c>
      <c r="F536" s="1">
        <f t="shared" si="42"/>
        <v>44628</v>
      </c>
      <c r="G536" s="1" t="s">
        <v>475</v>
      </c>
      <c r="H536" s="2">
        <v>45012</v>
      </c>
      <c r="I536" t="s">
        <v>19</v>
      </c>
      <c r="J536">
        <v>4</v>
      </c>
      <c r="K536">
        <v>30975.11</v>
      </c>
      <c r="L536" t="s">
        <v>492</v>
      </c>
      <c r="M536">
        <v>29</v>
      </c>
      <c r="N536" t="s">
        <v>36</v>
      </c>
      <c r="O536" s="3" t="s">
        <v>22</v>
      </c>
      <c r="P536" t="s">
        <v>117</v>
      </c>
      <c r="Q536" t="s">
        <v>56</v>
      </c>
      <c r="R536">
        <v>5</v>
      </c>
      <c r="S536" t="s">
        <v>25</v>
      </c>
      <c r="T536" s="4">
        <f t="shared" si="43"/>
        <v>123900.44</v>
      </c>
      <c r="U536" s="4" t="str">
        <f t="shared" si="44"/>
        <v>Good</v>
      </c>
      <c r="V536" s="4" t="str">
        <f t="shared" si="45"/>
        <v>Good</v>
      </c>
      <c r="W536" s="4"/>
      <c r="X536" s="4"/>
      <c r="AJ536" s="4"/>
    </row>
    <row r="537" spans="1:36">
      <c r="A537" t="str">
        <f t="shared" si="41"/>
        <v>Anit27536</v>
      </c>
      <c r="B537">
        <v>536</v>
      </c>
      <c r="C537">
        <v>9</v>
      </c>
      <c r="D537">
        <v>3</v>
      </c>
      <c r="E537">
        <v>2022</v>
      </c>
      <c r="F537" s="1">
        <f t="shared" si="42"/>
        <v>44629</v>
      </c>
      <c r="G537" s="1" t="s">
        <v>475</v>
      </c>
      <c r="H537" s="2">
        <v>45013</v>
      </c>
      <c r="I537" t="s">
        <v>19</v>
      </c>
      <c r="J537">
        <v>7</v>
      </c>
      <c r="K537">
        <v>27560.29</v>
      </c>
      <c r="L537" t="s">
        <v>493</v>
      </c>
      <c r="M537">
        <v>27</v>
      </c>
      <c r="N537" t="s">
        <v>36</v>
      </c>
      <c r="O537" s="3" t="s">
        <v>22</v>
      </c>
      <c r="P537" t="s">
        <v>29</v>
      </c>
      <c r="Q537" t="s">
        <v>56</v>
      </c>
      <c r="R537">
        <v>5</v>
      </c>
      <c r="S537" t="s">
        <v>37</v>
      </c>
      <c r="T537" s="4">
        <f t="shared" si="43"/>
        <v>192922.03</v>
      </c>
      <c r="U537" s="4" t="str">
        <f t="shared" si="44"/>
        <v>Good</v>
      </c>
      <c r="V537" s="4" t="str">
        <f t="shared" si="45"/>
        <v>Good</v>
      </c>
      <c r="W537" s="4"/>
      <c r="X537" s="4"/>
      <c r="AJ537" s="4"/>
    </row>
    <row r="538" spans="1:36">
      <c r="A538" t="str">
        <f t="shared" si="41"/>
        <v>Kuna23537</v>
      </c>
      <c r="B538">
        <v>537</v>
      </c>
      <c r="C538">
        <v>9</v>
      </c>
      <c r="D538">
        <v>3</v>
      </c>
      <c r="E538">
        <v>2022</v>
      </c>
      <c r="F538" s="1">
        <f t="shared" si="42"/>
        <v>44629</v>
      </c>
      <c r="G538" s="1" t="s">
        <v>475</v>
      </c>
      <c r="H538" s="2">
        <v>45014</v>
      </c>
      <c r="I538" t="s">
        <v>49</v>
      </c>
      <c r="J538">
        <v>2</v>
      </c>
      <c r="K538">
        <v>33555.269999999997</v>
      </c>
      <c r="L538" t="s">
        <v>494</v>
      </c>
      <c r="M538">
        <v>23</v>
      </c>
      <c r="N538" t="s">
        <v>36</v>
      </c>
      <c r="O538" s="3" t="s">
        <v>22</v>
      </c>
      <c r="P538" t="s">
        <v>77</v>
      </c>
      <c r="Q538" t="s">
        <v>30</v>
      </c>
      <c r="R538">
        <v>4</v>
      </c>
      <c r="S538" t="s">
        <v>102</v>
      </c>
      <c r="T538" s="4">
        <f t="shared" si="43"/>
        <v>67110.539999999994</v>
      </c>
      <c r="U538" s="4" t="str">
        <f t="shared" si="44"/>
        <v>Good</v>
      </c>
      <c r="V538" s="4" t="str">
        <f t="shared" si="45"/>
        <v>Average</v>
      </c>
      <c r="W538" s="4"/>
      <c r="X538" s="4"/>
      <c r="AJ538" s="4"/>
    </row>
    <row r="539" spans="1:36">
      <c r="A539" t="str">
        <f t="shared" si="41"/>
        <v>Ravi51538</v>
      </c>
      <c r="B539">
        <v>538</v>
      </c>
      <c r="C539">
        <v>9</v>
      </c>
      <c r="D539">
        <v>3</v>
      </c>
      <c r="E539">
        <v>2022</v>
      </c>
      <c r="F539" s="1">
        <f t="shared" si="42"/>
        <v>44629</v>
      </c>
      <c r="G539" s="1" t="s">
        <v>475</v>
      </c>
      <c r="H539" s="2">
        <v>45015</v>
      </c>
      <c r="I539" t="s">
        <v>43</v>
      </c>
      <c r="J539">
        <v>1</v>
      </c>
      <c r="K539">
        <v>30521.360000000001</v>
      </c>
      <c r="L539" t="s">
        <v>495</v>
      </c>
      <c r="M539">
        <v>51</v>
      </c>
      <c r="N539" t="s">
        <v>61</v>
      </c>
      <c r="O539" s="3" t="s">
        <v>28</v>
      </c>
      <c r="P539" t="s">
        <v>110</v>
      </c>
      <c r="Q539" t="s">
        <v>24</v>
      </c>
      <c r="R539">
        <v>3</v>
      </c>
      <c r="S539" t="s">
        <v>57</v>
      </c>
      <c r="T539" s="4">
        <f t="shared" si="43"/>
        <v>30521.360000000001</v>
      </c>
      <c r="U539" s="4" t="str">
        <f t="shared" si="44"/>
        <v>Average</v>
      </c>
      <c r="V539" s="4" t="str">
        <f t="shared" si="45"/>
        <v>Low</v>
      </c>
      <c r="W539" s="4"/>
      <c r="X539" s="4"/>
      <c r="AJ539" s="4"/>
    </row>
    <row r="540" spans="1:36">
      <c r="A540" t="str">
        <f t="shared" si="41"/>
        <v>Neet58539</v>
      </c>
      <c r="B540">
        <v>539</v>
      </c>
      <c r="C540">
        <v>10</v>
      </c>
      <c r="D540">
        <v>3</v>
      </c>
      <c r="E540">
        <v>2022</v>
      </c>
      <c r="F540" s="1">
        <f t="shared" si="42"/>
        <v>44630</v>
      </c>
      <c r="G540" s="1" t="s">
        <v>475</v>
      </c>
      <c r="H540" s="2">
        <v>45016</v>
      </c>
      <c r="I540" t="s">
        <v>43</v>
      </c>
      <c r="J540">
        <v>3</v>
      </c>
      <c r="K540">
        <v>59934.35</v>
      </c>
      <c r="L540" t="s">
        <v>496</v>
      </c>
      <c r="M540">
        <v>58</v>
      </c>
      <c r="N540" t="s">
        <v>61</v>
      </c>
      <c r="O540" s="3" t="s">
        <v>55</v>
      </c>
      <c r="P540" t="s">
        <v>114</v>
      </c>
      <c r="Q540" t="s">
        <v>41</v>
      </c>
      <c r="R540">
        <v>2</v>
      </c>
      <c r="S540" t="s">
        <v>46</v>
      </c>
      <c r="T540" s="4">
        <f t="shared" si="43"/>
        <v>179803.05</v>
      </c>
      <c r="U540" s="4" t="str">
        <f t="shared" si="44"/>
        <v>Average</v>
      </c>
      <c r="V540" s="4" t="str">
        <f t="shared" si="45"/>
        <v>Good</v>
      </c>
      <c r="W540" s="4"/>
      <c r="X540" s="4"/>
      <c r="AJ540" s="4"/>
    </row>
    <row r="541" spans="1:36">
      <c r="A541" t="str">
        <f t="shared" si="41"/>
        <v>Kira36540</v>
      </c>
      <c r="B541">
        <v>540</v>
      </c>
      <c r="C541">
        <v>10</v>
      </c>
      <c r="D541">
        <v>3</v>
      </c>
      <c r="E541">
        <v>2022</v>
      </c>
      <c r="F541" s="1">
        <f t="shared" si="42"/>
        <v>44630</v>
      </c>
      <c r="G541" s="1" t="s">
        <v>475</v>
      </c>
      <c r="H541" s="2">
        <v>45017</v>
      </c>
      <c r="I541" t="s">
        <v>43</v>
      </c>
      <c r="J541">
        <v>4</v>
      </c>
      <c r="K541">
        <v>26487.87</v>
      </c>
      <c r="L541" t="s">
        <v>187</v>
      </c>
      <c r="M541">
        <v>36</v>
      </c>
      <c r="N541" t="s">
        <v>21</v>
      </c>
      <c r="O541" s="3" t="s">
        <v>28</v>
      </c>
      <c r="P541" t="s">
        <v>70</v>
      </c>
      <c r="Q541" t="s">
        <v>41</v>
      </c>
      <c r="R541">
        <v>3</v>
      </c>
      <c r="S541" t="s">
        <v>57</v>
      </c>
      <c r="T541" s="4">
        <f t="shared" si="43"/>
        <v>105951.48</v>
      </c>
      <c r="U541" s="4" t="str">
        <f t="shared" si="44"/>
        <v>Average</v>
      </c>
      <c r="V541" s="4" t="str">
        <f t="shared" si="45"/>
        <v>Good</v>
      </c>
      <c r="W541" s="4"/>
      <c r="X541" s="4"/>
      <c r="AJ541" s="4"/>
    </row>
    <row r="542" spans="1:36">
      <c r="A542" t="str">
        <f t="shared" si="41"/>
        <v>Radh23541</v>
      </c>
      <c r="B542">
        <v>541</v>
      </c>
      <c r="C542">
        <v>10</v>
      </c>
      <c r="D542">
        <v>3</v>
      </c>
      <c r="E542">
        <v>2022</v>
      </c>
      <c r="F542" s="1">
        <f t="shared" si="42"/>
        <v>44630</v>
      </c>
      <c r="G542" s="1" t="s">
        <v>475</v>
      </c>
      <c r="H542" s="2">
        <v>45018</v>
      </c>
      <c r="I542" t="s">
        <v>43</v>
      </c>
      <c r="J542">
        <v>8</v>
      </c>
      <c r="K542">
        <v>53989.18</v>
      </c>
      <c r="L542" t="s">
        <v>58</v>
      </c>
      <c r="M542">
        <v>23</v>
      </c>
      <c r="N542" t="s">
        <v>36</v>
      </c>
      <c r="O542" s="3" t="s">
        <v>22</v>
      </c>
      <c r="P542" t="s">
        <v>29</v>
      </c>
      <c r="Q542" t="s">
        <v>41</v>
      </c>
      <c r="R542">
        <v>4</v>
      </c>
      <c r="S542" t="s">
        <v>46</v>
      </c>
      <c r="T542" s="4">
        <f t="shared" si="43"/>
        <v>431913.44</v>
      </c>
      <c r="U542" s="4" t="str">
        <f t="shared" si="44"/>
        <v>Good</v>
      </c>
      <c r="V542" s="4" t="str">
        <f t="shared" si="45"/>
        <v>Excellent</v>
      </c>
      <c r="W542" s="4"/>
      <c r="X542" s="4"/>
      <c r="AJ542" s="4"/>
    </row>
    <row r="543" spans="1:36">
      <c r="A543" t="str">
        <f t="shared" si="41"/>
        <v>Nikh19542</v>
      </c>
      <c r="B543">
        <v>542</v>
      </c>
      <c r="C543">
        <v>11</v>
      </c>
      <c r="D543">
        <v>3</v>
      </c>
      <c r="E543">
        <v>2022</v>
      </c>
      <c r="F543" s="1">
        <f t="shared" si="42"/>
        <v>44631</v>
      </c>
      <c r="G543" s="1" t="s">
        <v>475</v>
      </c>
      <c r="H543" s="2">
        <v>45019</v>
      </c>
      <c r="I543" t="s">
        <v>43</v>
      </c>
      <c r="J543">
        <v>6</v>
      </c>
      <c r="K543">
        <v>15643.59</v>
      </c>
      <c r="L543" t="s">
        <v>497</v>
      </c>
      <c r="M543">
        <v>19</v>
      </c>
      <c r="N543" t="s">
        <v>36</v>
      </c>
      <c r="O543" s="3" t="s">
        <v>28</v>
      </c>
      <c r="P543" t="s">
        <v>45</v>
      </c>
      <c r="Q543" t="s">
        <v>30</v>
      </c>
      <c r="R543">
        <v>3</v>
      </c>
      <c r="S543" t="s">
        <v>57</v>
      </c>
      <c r="T543" s="4">
        <f t="shared" si="43"/>
        <v>93861.540000000008</v>
      </c>
      <c r="U543" s="4" t="str">
        <f t="shared" si="44"/>
        <v>Average</v>
      </c>
      <c r="V543" s="4" t="str">
        <f t="shared" si="45"/>
        <v>Average</v>
      </c>
      <c r="W543" s="4"/>
      <c r="X543" s="4"/>
      <c r="AJ543" s="4"/>
    </row>
    <row r="544" spans="1:36">
      <c r="A544" t="str">
        <f t="shared" si="41"/>
        <v>Hari32543</v>
      </c>
      <c r="B544">
        <v>543</v>
      </c>
      <c r="C544">
        <v>11</v>
      </c>
      <c r="D544">
        <v>3</v>
      </c>
      <c r="E544">
        <v>2022</v>
      </c>
      <c r="F544" s="1">
        <f t="shared" si="42"/>
        <v>44631</v>
      </c>
      <c r="G544" s="1" t="s">
        <v>475</v>
      </c>
      <c r="H544" s="2">
        <v>45020</v>
      </c>
      <c r="I544" t="s">
        <v>49</v>
      </c>
      <c r="J544">
        <v>2</v>
      </c>
      <c r="K544">
        <v>67083.78</v>
      </c>
      <c r="L544" t="s">
        <v>399</v>
      </c>
      <c r="M544">
        <v>32</v>
      </c>
      <c r="N544" t="s">
        <v>21</v>
      </c>
      <c r="O544" s="3" t="s">
        <v>28</v>
      </c>
      <c r="P544" t="s">
        <v>59</v>
      </c>
      <c r="Q544" t="s">
        <v>41</v>
      </c>
      <c r="R544">
        <v>3</v>
      </c>
      <c r="S544" t="s">
        <v>88</v>
      </c>
      <c r="T544" s="4">
        <f t="shared" si="43"/>
        <v>134167.56</v>
      </c>
      <c r="U544" s="4" t="str">
        <f t="shared" si="44"/>
        <v>Average</v>
      </c>
      <c r="V544" s="4" t="str">
        <f t="shared" si="45"/>
        <v>Good</v>
      </c>
      <c r="W544" s="4"/>
      <c r="X544" s="4"/>
      <c r="AJ544" s="4"/>
    </row>
    <row r="545" spans="1:36">
      <c r="A545" t="str">
        <f t="shared" si="41"/>
        <v>Sanj34544</v>
      </c>
      <c r="B545">
        <v>544</v>
      </c>
      <c r="C545">
        <v>11</v>
      </c>
      <c r="D545">
        <v>3</v>
      </c>
      <c r="E545">
        <v>2022</v>
      </c>
      <c r="F545" s="1">
        <f t="shared" si="42"/>
        <v>44631</v>
      </c>
      <c r="G545" s="1" t="s">
        <v>475</v>
      </c>
      <c r="H545" s="2">
        <v>45021</v>
      </c>
      <c r="I545" t="s">
        <v>26</v>
      </c>
      <c r="J545">
        <v>9</v>
      </c>
      <c r="K545">
        <v>47339</v>
      </c>
      <c r="L545" t="s">
        <v>498</v>
      </c>
      <c r="M545">
        <v>34</v>
      </c>
      <c r="N545" t="s">
        <v>21</v>
      </c>
      <c r="O545" s="3" t="s">
        <v>55</v>
      </c>
      <c r="P545" t="s">
        <v>77</v>
      </c>
      <c r="Q545" t="s">
        <v>30</v>
      </c>
      <c r="R545">
        <v>2</v>
      </c>
      <c r="S545" t="s">
        <v>34</v>
      </c>
      <c r="T545" s="4">
        <f t="shared" si="43"/>
        <v>426051</v>
      </c>
      <c r="U545" s="4" t="str">
        <f t="shared" si="44"/>
        <v>Average</v>
      </c>
      <c r="V545" s="4" t="str">
        <f t="shared" si="45"/>
        <v>Excellent</v>
      </c>
      <c r="W545" s="4"/>
      <c r="X545" s="4"/>
      <c r="AJ545" s="4"/>
    </row>
    <row r="546" spans="1:36">
      <c r="A546" t="str">
        <f t="shared" si="41"/>
        <v>Suni33545</v>
      </c>
      <c r="B546">
        <v>545</v>
      </c>
      <c r="C546">
        <v>12</v>
      </c>
      <c r="D546">
        <v>3</v>
      </c>
      <c r="E546">
        <v>2022</v>
      </c>
      <c r="F546" s="1">
        <f t="shared" si="42"/>
        <v>44632</v>
      </c>
      <c r="G546" s="1" t="s">
        <v>475</v>
      </c>
      <c r="H546" s="2">
        <v>45022</v>
      </c>
      <c r="I546" t="s">
        <v>19</v>
      </c>
      <c r="J546">
        <v>2</v>
      </c>
      <c r="K546">
        <v>52403.11</v>
      </c>
      <c r="L546" t="s">
        <v>499</v>
      </c>
      <c r="M546">
        <v>33</v>
      </c>
      <c r="N546" t="s">
        <v>21</v>
      </c>
      <c r="O546" s="3" t="s">
        <v>28</v>
      </c>
      <c r="P546" t="s">
        <v>77</v>
      </c>
      <c r="Q546" t="s">
        <v>30</v>
      </c>
      <c r="R546">
        <v>3</v>
      </c>
      <c r="S546" t="s">
        <v>84</v>
      </c>
      <c r="T546" s="4">
        <f t="shared" si="43"/>
        <v>104806.22</v>
      </c>
      <c r="U546" s="4" t="str">
        <f t="shared" si="44"/>
        <v>Average</v>
      </c>
      <c r="V546" s="4" t="str">
        <f t="shared" si="45"/>
        <v>Good</v>
      </c>
      <c r="W546" s="4"/>
      <c r="X546" s="4"/>
      <c r="AJ546" s="4"/>
    </row>
    <row r="547" spans="1:36">
      <c r="A547" t="str">
        <f t="shared" si="41"/>
        <v>Kira45546</v>
      </c>
      <c r="B547">
        <v>546</v>
      </c>
      <c r="C547">
        <v>12</v>
      </c>
      <c r="D547">
        <v>3</v>
      </c>
      <c r="E547">
        <v>2022</v>
      </c>
      <c r="F547" s="1">
        <f t="shared" si="42"/>
        <v>44632</v>
      </c>
      <c r="G547" s="1" t="s">
        <v>475</v>
      </c>
      <c r="H547" s="2">
        <v>45023</v>
      </c>
      <c r="I547" t="s">
        <v>43</v>
      </c>
      <c r="J547">
        <v>5</v>
      </c>
      <c r="K547">
        <v>27882.36</v>
      </c>
      <c r="L547" t="s">
        <v>187</v>
      </c>
      <c r="M547">
        <v>45</v>
      </c>
      <c r="N547" t="s">
        <v>21</v>
      </c>
      <c r="O547" s="3" t="s">
        <v>22</v>
      </c>
      <c r="P547" t="s">
        <v>29</v>
      </c>
      <c r="Q547" t="s">
        <v>30</v>
      </c>
      <c r="R547">
        <v>4</v>
      </c>
      <c r="S547" t="s">
        <v>95</v>
      </c>
      <c r="T547" s="4">
        <f t="shared" si="43"/>
        <v>139411.79999999999</v>
      </c>
      <c r="U547" s="4" t="str">
        <f t="shared" si="44"/>
        <v>Good</v>
      </c>
      <c r="V547" s="4" t="str">
        <f t="shared" si="45"/>
        <v>Good</v>
      </c>
      <c r="W547" s="4"/>
      <c r="X547" s="4"/>
      <c r="AJ547" s="4"/>
    </row>
    <row r="548" spans="1:36">
      <c r="A548" t="str">
        <f t="shared" si="41"/>
        <v>Deep38547</v>
      </c>
      <c r="B548">
        <v>547</v>
      </c>
      <c r="C548">
        <v>12</v>
      </c>
      <c r="D548">
        <v>3</v>
      </c>
      <c r="E548">
        <v>2022</v>
      </c>
      <c r="F548" s="1">
        <f t="shared" si="42"/>
        <v>44632</v>
      </c>
      <c r="G548" s="1" t="s">
        <v>475</v>
      </c>
      <c r="H548" s="2">
        <v>45024</v>
      </c>
      <c r="I548" t="s">
        <v>26</v>
      </c>
      <c r="J548">
        <v>4</v>
      </c>
      <c r="K548">
        <v>34725.79</v>
      </c>
      <c r="L548" t="s">
        <v>500</v>
      </c>
      <c r="M548">
        <v>38</v>
      </c>
      <c r="N548" t="s">
        <v>21</v>
      </c>
      <c r="O548" s="3" t="s">
        <v>22</v>
      </c>
      <c r="P548" t="s">
        <v>137</v>
      </c>
      <c r="Q548" t="s">
        <v>30</v>
      </c>
      <c r="R548">
        <v>5</v>
      </c>
      <c r="S548" t="s">
        <v>31</v>
      </c>
      <c r="T548" s="4">
        <f t="shared" si="43"/>
        <v>138903.16</v>
      </c>
      <c r="U548" s="4" t="str">
        <f t="shared" si="44"/>
        <v>Good</v>
      </c>
      <c r="V548" s="4" t="str">
        <f t="shared" si="45"/>
        <v>Good</v>
      </c>
      <c r="W548" s="4"/>
      <c r="X548" s="4"/>
      <c r="AJ548" s="4"/>
    </row>
    <row r="549" spans="1:36">
      <c r="A549" t="str">
        <f t="shared" si="41"/>
        <v>Kira25548</v>
      </c>
      <c r="B549">
        <v>548</v>
      </c>
      <c r="C549">
        <v>13</v>
      </c>
      <c r="D549">
        <v>3</v>
      </c>
      <c r="E549">
        <v>2022</v>
      </c>
      <c r="F549" s="1">
        <f t="shared" si="42"/>
        <v>44633</v>
      </c>
      <c r="G549" s="1" t="s">
        <v>475</v>
      </c>
      <c r="H549" s="2">
        <v>45025</v>
      </c>
      <c r="I549" t="s">
        <v>26</v>
      </c>
      <c r="J549">
        <v>7</v>
      </c>
      <c r="K549">
        <v>23426.7</v>
      </c>
      <c r="L549" t="s">
        <v>501</v>
      </c>
      <c r="M549">
        <v>25</v>
      </c>
      <c r="N549" t="s">
        <v>36</v>
      </c>
      <c r="O549" s="3" t="s">
        <v>22</v>
      </c>
      <c r="P549" t="s">
        <v>33</v>
      </c>
      <c r="Q549" t="s">
        <v>41</v>
      </c>
      <c r="R549">
        <v>5</v>
      </c>
      <c r="S549" t="s">
        <v>31</v>
      </c>
      <c r="T549" s="4">
        <f t="shared" si="43"/>
        <v>163986.9</v>
      </c>
      <c r="U549" s="4" t="str">
        <f t="shared" si="44"/>
        <v>Good</v>
      </c>
      <c r="V549" s="4" t="str">
        <f t="shared" si="45"/>
        <v>Good</v>
      </c>
      <c r="W549" s="4"/>
      <c r="X549" s="4"/>
      <c r="AJ549" s="4"/>
    </row>
    <row r="550" spans="1:36">
      <c r="A550" t="str">
        <f t="shared" si="41"/>
        <v>Rame27549</v>
      </c>
      <c r="B550">
        <v>549</v>
      </c>
      <c r="C550">
        <v>13</v>
      </c>
      <c r="D550">
        <v>3</v>
      </c>
      <c r="E550">
        <v>2022</v>
      </c>
      <c r="F550" s="1">
        <f t="shared" si="42"/>
        <v>44633</v>
      </c>
      <c r="G550" s="1" t="s">
        <v>475</v>
      </c>
      <c r="H550" s="2">
        <v>45026</v>
      </c>
      <c r="I550" t="s">
        <v>19</v>
      </c>
      <c r="J550">
        <v>8</v>
      </c>
      <c r="K550">
        <v>65952.17</v>
      </c>
      <c r="L550" t="s">
        <v>130</v>
      </c>
      <c r="M550">
        <v>27</v>
      </c>
      <c r="N550" t="s">
        <v>36</v>
      </c>
      <c r="O550" s="3" t="s">
        <v>22</v>
      </c>
      <c r="P550" t="s">
        <v>51</v>
      </c>
      <c r="Q550" t="s">
        <v>41</v>
      </c>
      <c r="R550">
        <v>5</v>
      </c>
      <c r="S550" t="s">
        <v>37</v>
      </c>
      <c r="T550" s="4">
        <f t="shared" si="43"/>
        <v>527617.36</v>
      </c>
      <c r="U550" s="4" t="str">
        <f t="shared" si="44"/>
        <v>Good</v>
      </c>
      <c r="V550" s="4" t="str">
        <f t="shared" si="45"/>
        <v>Excellent</v>
      </c>
      <c r="W550" s="4"/>
      <c r="X550" s="4"/>
      <c r="AJ550" s="4"/>
    </row>
    <row r="551" spans="1:36">
      <c r="A551" t="str">
        <f t="shared" si="41"/>
        <v>Bhav27550</v>
      </c>
      <c r="B551">
        <v>550</v>
      </c>
      <c r="C551">
        <v>13</v>
      </c>
      <c r="D551">
        <v>3</v>
      </c>
      <c r="E551">
        <v>2022</v>
      </c>
      <c r="F551" s="1">
        <f t="shared" si="42"/>
        <v>44633</v>
      </c>
      <c r="G551" s="1" t="s">
        <v>475</v>
      </c>
      <c r="H551" s="2">
        <v>45027</v>
      </c>
      <c r="I551" t="s">
        <v>49</v>
      </c>
      <c r="J551">
        <v>5</v>
      </c>
      <c r="K551">
        <v>39286.269999999997</v>
      </c>
      <c r="L551" t="s">
        <v>433</v>
      </c>
      <c r="M551">
        <v>27</v>
      </c>
      <c r="N551" t="s">
        <v>36</v>
      </c>
      <c r="O551" s="3" t="s">
        <v>22</v>
      </c>
      <c r="P551" t="s">
        <v>90</v>
      </c>
      <c r="Q551" t="s">
        <v>56</v>
      </c>
      <c r="R551">
        <v>5</v>
      </c>
      <c r="S551" t="s">
        <v>102</v>
      </c>
      <c r="T551" s="4">
        <f t="shared" si="43"/>
        <v>196431.34999999998</v>
      </c>
      <c r="U551" s="4" t="str">
        <f t="shared" si="44"/>
        <v>Good</v>
      </c>
      <c r="V551" s="4" t="str">
        <f t="shared" si="45"/>
        <v>Good</v>
      </c>
      <c r="W551" s="4"/>
      <c r="X551" s="4"/>
      <c r="AJ551" s="4"/>
    </row>
    <row r="552" spans="1:36">
      <c r="A552" t="str">
        <f t="shared" si="41"/>
        <v>Roha27551</v>
      </c>
      <c r="B552">
        <v>551</v>
      </c>
      <c r="C552">
        <v>13</v>
      </c>
      <c r="D552">
        <v>3</v>
      </c>
      <c r="E552">
        <v>2022</v>
      </c>
      <c r="F552" s="1">
        <f t="shared" si="42"/>
        <v>44633</v>
      </c>
      <c r="G552" s="1" t="s">
        <v>475</v>
      </c>
      <c r="H552" s="2">
        <v>45028</v>
      </c>
      <c r="I552" t="s">
        <v>38</v>
      </c>
      <c r="J552">
        <v>5</v>
      </c>
      <c r="K552">
        <v>47826.89</v>
      </c>
      <c r="L552" t="s">
        <v>502</v>
      </c>
      <c r="M552">
        <v>27</v>
      </c>
      <c r="N552" t="s">
        <v>36</v>
      </c>
      <c r="O552" s="3" t="s">
        <v>55</v>
      </c>
      <c r="P552" t="s">
        <v>137</v>
      </c>
      <c r="Q552" t="s">
        <v>41</v>
      </c>
      <c r="R552">
        <v>2</v>
      </c>
      <c r="S552" t="s">
        <v>48</v>
      </c>
      <c r="T552" s="4">
        <f t="shared" si="43"/>
        <v>239134.45</v>
      </c>
      <c r="U552" s="4" t="str">
        <f t="shared" si="44"/>
        <v>Average</v>
      </c>
      <c r="V552" s="4" t="str">
        <f t="shared" si="45"/>
        <v>Excellent</v>
      </c>
      <c r="W552" s="4"/>
      <c r="X552" s="4"/>
      <c r="AJ552" s="4"/>
    </row>
    <row r="553" spans="1:36">
      <c r="A553" t="str">
        <f t="shared" si="41"/>
        <v>Yoge26552</v>
      </c>
      <c r="B553">
        <v>552</v>
      </c>
      <c r="C553">
        <v>14</v>
      </c>
      <c r="D553">
        <v>3</v>
      </c>
      <c r="E553">
        <v>2022</v>
      </c>
      <c r="F553" s="1">
        <f t="shared" si="42"/>
        <v>44634</v>
      </c>
      <c r="G553" s="1" t="s">
        <v>475</v>
      </c>
      <c r="H553" s="2">
        <v>45029</v>
      </c>
      <c r="I553" t="s">
        <v>38</v>
      </c>
      <c r="J553">
        <v>2</v>
      </c>
      <c r="K553">
        <v>54056.32</v>
      </c>
      <c r="L553" t="s">
        <v>503</v>
      </c>
      <c r="M553">
        <v>26</v>
      </c>
      <c r="N553" t="s">
        <v>36</v>
      </c>
      <c r="O553" s="3" t="s">
        <v>22</v>
      </c>
      <c r="P553" t="s">
        <v>132</v>
      </c>
      <c r="Q553" t="s">
        <v>24</v>
      </c>
      <c r="R553">
        <v>5</v>
      </c>
      <c r="S553" t="s">
        <v>42</v>
      </c>
      <c r="T553" s="4">
        <f t="shared" si="43"/>
        <v>108112.64</v>
      </c>
      <c r="U553" s="4" t="str">
        <f t="shared" si="44"/>
        <v>Good</v>
      </c>
      <c r="V553" s="4" t="str">
        <f t="shared" si="45"/>
        <v>Good</v>
      </c>
      <c r="W553" s="4"/>
      <c r="X553" s="4"/>
      <c r="AJ553" s="4"/>
    </row>
    <row r="554" spans="1:36">
      <c r="A554" t="str">
        <f t="shared" si="41"/>
        <v>Bhav45553</v>
      </c>
      <c r="B554">
        <v>553</v>
      </c>
      <c r="C554">
        <v>14</v>
      </c>
      <c r="D554">
        <v>3</v>
      </c>
      <c r="E554">
        <v>2022</v>
      </c>
      <c r="F554" s="1">
        <f t="shared" si="42"/>
        <v>44634</v>
      </c>
      <c r="G554" s="1" t="s">
        <v>475</v>
      </c>
      <c r="H554" s="2">
        <v>45030</v>
      </c>
      <c r="I554" t="s">
        <v>26</v>
      </c>
      <c r="J554">
        <v>8</v>
      </c>
      <c r="K554">
        <v>32266.37</v>
      </c>
      <c r="L554" t="s">
        <v>504</v>
      </c>
      <c r="M554">
        <v>45</v>
      </c>
      <c r="N554" t="s">
        <v>21</v>
      </c>
      <c r="O554" s="3" t="s">
        <v>22</v>
      </c>
      <c r="P554" t="s">
        <v>59</v>
      </c>
      <c r="Q554" t="s">
        <v>24</v>
      </c>
      <c r="R554">
        <v>5</v>
      </c>
      <c r="S554" t="s">
        <v>31</v>
      </c>
      <c r="T554" s="4">
        <f t="shared" si="43"/>
        <v>258130.96</v>
      </c>
      <c r="U554" s="4" t="str">
        <f t="shared" si="44"/>
        <v>Good</v>
      </c>
      <c r="V554" s="4" t="str">
        <f t="shared" si="45"/>
        <v>Excellent</v>
      </c>
      <c r="W554" s="4"/>
      <c r="X554" s="4"/>
      <c r="AJ554" s="4"/>
    </row>
    <row r="555" spans="1:36">
      <c r="A555" t="str">
        <f t="shared" si="41"/>
        <v>Meen41554</v>
      </c>
      <c r="B555">
        <v>554</v>
      </c>
      <c r="C555">
        <v>14</v>
      </c>
      <c r="D555">
        <v>3</v>
      </c>
      <c r="E555">
        <v>2022</v>
      </c>
      <c r="F555" s="1">
        <f t="shared" si="42"/>
        <v>44634</v>
      </c>
      <c r="G555" s="1" t="s">
        <v>475</v>
      </c>
      <c r="H555" s="2">
        <v>45031</v>
      </c>
      <c r="I555" t="s">
        <v>19</v>
      </c>
      <c r="J555">
        <v>2</v>
      </c>
      <c r="K555">
        <v>53206.1</v>
      </c>
      <c r="L555" t="s">
        <v>505</v>
      </c>
      <c r="M555">
        <v>41</v>
      </c>
      <c r="N555" t="s">
        <v>21</v>
      </c>
      <c r="O555" s="3" t="s">
        <v>22</v>
      </c>
      <c r="P555" t="s">
        <v>93</v>
      </c>
      <c r="Q555" t="s">
        <v>30</v>
      </c>
      <c r="R555">
        <v>5</v>
      </c>
      <c r="S555" t="s">
        <v>37</v>
      </c>
      <c r="T555" s="4">
        <f t="shared" si="43"/>
        <v>106412.2</v>
      </c>
      <c r="U555" s="4" t="str">
        <f t="shared" si="44"/>
        <v>Good</v>
      </c>
      <c r="V555" s="4" t="str">
        <f t="shared" si="45"/>
        <v>Good</v>
      </c>
      <c r="W555" s="4"/>
      <c r="X555" s="4"/>
      <c r="AJ555" s="4"/>
    </row>
    <row r="556" spans="1:36">
      <c r="A556" t="str">
        <f t="shared" si="41"/>
        <v>Priy36555</v>
      </c>
      <c r="B556">
        <v>555</v>
      </c>
      <c r="C556">
        <v>15</v>
      </c>
      <c r="D556">
        <v>3</v>
      </c>
      <c r="E556">
        <v>2022</v>
      </c>
      <c r="F556" s="1">
        <f t="shared" si="42"/>
        <v>44635</v>
      </c>
      <c r="G556" s="1" t="s">
        <v>475</v>
      </c>
      <c r="H556" s="2">
        <v>45032</v>
      </c>
      <c r="I556" t="s">
        <v>38</v>
      </c>
      <c r="J556">
        <v>6</v>
      </c>
      <c r="K556">
        <v>50559.55</v>
      </c>
      <c r="L556" t="s">
        <v>506</v>
      </c>
      <c r="M556">
        <v>36</v>
      </c>
      <c r="N556" t="s">
        <v>21</v>
      </c>
      <c r="O556" s="3" t="s">
        <v>22</v>
      </c>
      <c r="P556" t="s">
        <v>33</v>
      </c>
      <c r="Q556" t="s">
        <v>30</v>
      </c>
      <c r="R556">
        <v>5</v>
      </c>
      <c r="S556" t="s">
        <v>99</v>
      </c>
      <c r="T556" s="4">
        <f t="shared" si="43"/>
        <v>303357.30000000005</v>
      </c>
      <c r="U556" s="4" t="str">
        <f t="shared" si="44"/>
        <v>Good</v>
      </c>
      <c r="V556" s="4" t="str">
        <f t="shared" si="45"/>
        <v>Excellent</v>
      </c>
      <c r="W556" s="4"/>
      <c r="X556" s="4"/>
      <c r="AJ556" s="4"/>
    </row>
    <row r="557" spans="1:36">
      <c r="A557" t="str">
        <f t="shared" si="41"/>
        <v>Shru50556</v>
      </c>
      <c r="B557">
        <v>556</v>
      </c>
      <c r="C557">
        <v>15</v>
      </c>
      <c r="D557">
        <v>3</v>
      </c>
      <c r="E557">
        <v>2022</v>
      </c>
      <c r="F557" s="1">
        <f t="shared" si="42"/>
        <v>44635</v>
      </c>
      <c r="G557" s="1" t="s">
        <v>475</v>
      </c>
      <c r="H557" s="2">
        <v>45033</v>
      </c>
      <c r="I557" t="s">
        <v>26</v>
      </c>
      <c r="J557">
        <v>8</v>
      </c>
      <c r="K557">
        <v>52339.56</v>
      </c>
      <c r="L557" t="s">
        <v>377</v>
      </c>
      <c r="M557">
        <v>50</v>
      </c>
      <c r="N557" t="s">
        <v>61</v>
      </c>
      <c r="O557" s="3" t="s">
        <v>55</v>
      </c>
      <c r="P557" t="s">
        <v>33</v>
      </c>
      <c r="Q557" t="s">
        <v>30</v>
      </c>
      <c r="R557">
        <v>2</v>
      </c>
      <c r="S557" t="s">
        <v>34</v>
      </c>
      <c r="T557" s="4">
        <f t="shared" si="43"/>
        <v>418716.48</v>
      </c>
      <c r="U557" s="4" t="str">
        <f t="shared" si="44"/>
        <v>Average</v>
      </c>
      <c r="V557" s="4" t="str">
        <f t="shared" si="45"/>
        <v>Excellent</v>
      </c>
      <c r="W557" s="4"/>
      <c r="X557" s="4"/>
      <c r="AJ557" s="4"/>
    </row>
    <row r="558" spans="1:36">
      <c r="A558" t="str">
        <f t="shared" si="41"/>
        <v>Vija21557</v>
      </c>
      <c r="B558">
        <v>557</v>
      </c>
      <c r="C558">
        <v>15</v>
      </c>
      <c r="D558">
        <v>3</v>
      </c>
      <c r="E558">
        <v>2022</v>
      </c>
      <c r="F558" s="1">
        <f t="shared" si="42"/>
        <v>44635</v>
      </c>
      <c r="G558" s="1" t="s">
        <v>475</v>
      </c>
      <c r="H558" s="2">
        <v>45034</v>
      </c>
      <c r="I558" t="s">
        <v>49</v>
      </c>
      <c r="J558">
        <v>6</v>
      </c>
      <c r="K558">
        <v>39353.79</v>
      </c>
      <c r="L558" t="s">
        <v>507</v>
      </c>
      <c r="M558">
        <v>21</v>
      </c>
      <c r="N558" t="s">
        <v>36</v>
      </c>
      <c r="O558" s="3" t="s">
        <v>22</v>
      </c>
      <c r="P558" t="s">
        <v>117</v>
      </c>
      <c r="Q558" t="s">
        <v>56</v>
      </c>
      <c r="R558">
        <v>5</v>
      </c>
      <c r="S558" t="s">
        <v>102</v>
      </c>
      <c r="T558" s="4">
        <f t="shared" si="43"/>
        <v>236122.74</v>
      </c>
      <c r="U558" s="4" t="str">
        <f t="shared" si="44"/>
        <v>Good</v>
      </c>
      <c r="V558" s="4" t="str">
        <f t="shared" si="45"/>
        <v>Excellent</v>
      </c>
      <c r="W558" s="4"/>
      <c r="X558" s="4"/>
      <c r="AJ558" s="4"/>
    </row>
    <row r="559" spans="1:36">
      <c r="A559" t="str">
        <f t="shared" si="41"/>
        <v>Jyot20558</v>
      </c>
      <c r="B559">
        <v>558</v>
      </c>
      <c r="C559">
        <v>15</v>
      </c>
      <c r="D559">
        <v>3</v>
      </c>
      <c r="E559">
        <v>2022</v>
      </c>
      <c r="F559" s="1">
        <f t="shared" si="42"/>
        <v>44635</v>
      </c>
      <c r="G559" s="1" t="s">
        <v>475</v>
      </c>
      <c r="H559" s="2">
        <v>45035</v>
      </c>
      <c r="I559" t="s">
        <v>38</v>
      </c>
      <c r="J559">
        <v>4</v>
      </c>
      <c r="K559">
        <v>32976.239999999998</v>
      </c>
      <c r="L559" t="s">
        <v>177</v>
      </c>
      <c r="M559">
        <v>20</v>
      </c>
      <c r="N559" t="s">
        <v>36</v>
      </c>
      <c r="O559" s="3" t="s">
        <v>55</v>
      </c>
      <c r="P559" t="s">
        <v>33</v>
      </c>
      <c r="Q559" t="s">
        <v>30</v>
      </c>
      <c r="R559">
        <v>2</v>
      </c>
      <c r="S559" t="s">
        <v>99</v>
      </c>
      <c r="T559" s="4">
        <f t="shared" si="43"/>
        <v>131904.95999999999</v>
      </c>
      <c r="U559" s="4" t="str">
        <f t="shared" si="44"/>
        <v>Average</v>
      </c>
      <c r="V559" s="4" t="str">
        <f t="shared" si="45"/>
        <v>Good</v>
      </c>
      <c r="W559" s="4"/>
      <c r="X559" s="4"/>
      <c r="AJ559" s="4"/>
    </row>
    <row r="560" spans="1:36">
      <c r="A560" t="str">
        <f t="shared" si="41"/>
        <v>Moni59559</v>
      </c>
      <c r="B560">
        <v>559</v>
      </c>
      <c r="C560">
        <v>16</v>
      </c>
      <c r="D560">
        <v>3</v>
      </c>
      <c r="E560">
        <v>2022</v>
      </c>
      <c r="F560" s="1">
        <f t="shared" si="42"/>
        <v>44636</v>
      </c>
      <c r="G560" s="1" t="s">
        <v>475</v>
      </c>
      <c r="H560" s="2">
        <v>45036</v>
      </c>
      <c r="I560" t="s">
        <v>26</v>
      </c>
      <c r="J560">
        <v>4</v>
      </c>
      <c r="K560">
        <v>23324.93</v>
      </c>
      <c r="L560" t="s">
        <v>508</v>
      </c>
      <c r="M560">
        <v>59</v>
      </c>
      <c r="N560" t="s">
        <v>61</v>
      </c>
      <c r="O560" s="3" t="s">
        <v>55</v>
      </c>
      <c r="P560" t="s">
        <v>70</v>
      </c>
      <c r="Q560" t="s">
        <v>56</v>
      </c>
      <c r="R560">
        <v>2</v>
      </c>
      <c r="S560" t="s">
        <v>67</v>
      </c>
      <c r="T560" s="4">
        <f t="shared" si="43"/>
        <v>93299.72</v>
      </c>
      <c r="U560" s="4" t="str">
        <f t="shared" si="44"/>
        <v>Average</v>
      </c>
      <c r="V560" s="4" t="str">
        <f t="shared" si="45"/>
        <v>Average</v>
      </c>
      <c r="W560" s="4"/>
      <c r="X560" s="4"/>
      <c r="AJ560" s="4"/>
    </row>
    <row r="561" spans="1:36">
      <c r="A561" t="str">
        <f t="shared" si="41"/>
        <v>Ayes29560</v>
      </c>
      <c r="B561">
        <v>560</v>
      </c>
      <c r="C561">
        <v>16</v>
      </c>
      <c r="D561">
        <v>3</v>
      </c>
      <c r="E561">
        <v>2022</v>
      </c>
      <c r="F561" s="1">
        <f t="shared" si="42"/>
        <v>44636</v>
      </c>
      <c r="G561" s="1" t="s">
        <v>475</v>
      </c>
      <c r="H561" s="2">
        <v>45037</v>
      </c>
      <c r="I561" t="s">
        <v>26</v>
      </c>
      <c r="J561">
        <v>6</v>
      </c>
      <c r="K561">
        <v>59477.58</v>
      </c>
      <c r="L561" t="s">
        <v>509</v>
      </c>
      <c r="M561">
        <v>29</v>
      </c>
      <c r="N561" t="s">
        <v>36</v>
      </c>
      <c r="O561" s="3" t="s">
        <v>22</v>
      </c>
      <c r="P561" t="s">
        <v>93</v>
      </c>
      <c r="Q561" t="s">
        <v>30</v>
      </c>
      <c r="R561">
        <v>4</v>
      </c>
      <c r="S561" t="s">
        <v>34</v>
      </c>
      <c r="T561" s="4">
        <f t="shared" si="43"/>
        <v>356865.48</v>
      </c>
      <c r="U561" s="4" t="str">
        <f t="shared" si="44"/>
        <v>Good</v>
      </c>
      <c r="V561" s="4" t="str">
        <f t="shared" si="45"/>
        <v>Excellent</v>
      </c>
      <c r="W561" s="4"/>
      <c r="X561" s="4"/>
      <c r="AJ561" s="4"/>
    </row>
    <row r="562" spans="1:36">
      <c r="A562" t="str">
        <f t="shared" si="41"/>
        <v>Vive35561</v>
      </c>
      <c r="B562">
        <v>561</v>
      </c>
      <c r="C562">
        <v>16</v>
      </c>
      <c r="D562">
        <v>3</v>
      </c>
      <c r="E562">
        <v>2022</v>
      </c>
      <c r="F562" s="1">
        <f t="shared" si="42"/>
        <v>44636</v>
      </c>
      <c r="G562" s="1" t="s">
        <v>475</v>
      </c>
      <c r="H562" s="2">
        <v>45038</v>
      </c>
      <c r="I562" t="s">
        <v>43</v>
      </c>
      <c r="J562">
        <v>4</v>
      </c>
      <c r="K562">
        <v>46501</v>
      </c>
      <c r="L562" t="s">
        <v>374</v>
      </c>
      <c r="M562">
        <v>35</v>
      </c>
      <c r="N562" t="s">
        <v>21</v>
      </c>
      <c r="O562" s="3" t="s">
        <v>22</v>
      </c>
      <c r="P562" t="s">
        <v>77</v>
      </c>
      <c r="Q562" t="s">
        <v>24</v>
      </c>
      <c r="R562">
        <v>5</v>
      </c>
      <c r="S562" t="s">
        <v>95</v>
      </c>
      <c r="T562" s="4">
        <f t="shared" si="43"/>
        <v>186004</v>
      </c>
      <c r="U562" s="4" t="str">
        <f t="shared" si="44"/>
        <v>Good</v>
      </c>
      <c r="V562" s="4" t="str">
        <f t="shared" si="45"/>
        <v>Good</v>
      </c>
      <c r="W562" s="4"/>
      <c r="X562" s="4"/>
      <c r="AJ562" s="4"/>
    </row>
    <row r="563" spans="1:36">
      <c r="A563" t="str">
        <f t="shared" si="41"/>
        <v>Sneh40562</v>
      </c>
      <c r="B563">
        <v>562</v>
      </c>
      <c r="C563">
        <v>17</v>
      </c>
      <c r="D563">
        <v>3</v>
      </c>
      <c r="E563">
        <v>2022</v>
      </c>
      <c r="F563" s="1">
        <f t="shared" si="42"/>
        <v>44637</v>
      </c>
      <c r="G563" s="1" t="s">
        <v>475</v>
      </c>
      <c r="H563" s="2">
        <v>45039</v>
      </c>
      <c r="I563" t="s">
        <v>49</v>
      </c>
      <c r="J563">
        <v>8</v>
      </c>
      <c r="K563">
        <v>36661.129999999997</v>
      </c>
      <c r="L563" t="s">
        <v>149</v>
      </c>
      <c r="M563">
        <v>40</v>
      </c>
      <c r="N563" t="s">
        <v>21</v>
      </c>
      <c r="O563" s="3" t="s">
        <v>22</v>
      </c>
      <c r="P563" t="s">
        <v>90</v>
      </c>
      <c r="Q563" t="s">
        <v>30</v>
      </c>
      <c r="R563">
        <v>5</v>
      </c>
      <c r="S563" t="s">
        <v>102</v>
      </c>
      <c r="T563" s="4">
        <f t="shared" si="43"/>
        <v>293289.03999999998</v>
      </c>
      <c r="U563" s="4" t="str">
        <f t="shared" si="44"/>
        <v>Good</v>
      </c>
      <c r="V563" s="4" t="str">
        <f t="shared" si="45"/>
        <v>Excellent</v>
      </c>
      <c r="W563" s="4"/>
      <c r="X563" s="4"/>
      <c r="AJ563" s="4"/>
    </row>
    <row r="564" spans="1:36">
      <c r="A564" t="str">
        <f t="shared" si="41"/>
        <v>Bhav37563</v>
      </c>
      <c r="B564">
        <v>563</v>
      </c>
      <c r="C564">
        <v>17</v>
      </c>
      <c r="D564">
        <v>3</v>
      </c>
      <c r="E564">
        <v>2022</v>
      </c>
      <c r="F564" s="1">
        <f t="shared" si="42"/>
        <v>44637</v>
      </c>
      <c r="G564" s="1" t="s">
        <v>475</v>
      </c>
      <c r="H564" s="2">
        <v>45040</v>
      </c>
      <c r="I564" t="s">
        <v>43</v>
      </c>
      <c r="J564">
        <v>9</v>
      </c>
      <c r="K564">
        <v>66639.75</v>
      </c>
      <c r="L564" t="s">
        <v>504</v>
      </c>
      <c r="M564">
        <v>37</v>
      </c>
      <c r="N564" t="s">
        <v>21</v>
      </c>
      <c r="O564" s="3" t="s">
        <v>28</v>
      </c>
      <c r="P564" t="s">
        <v>70</v>
      </c>
      <c r="Q564" t="s">
        <v>41</v>
      </c>
      <c r="R564">
        <v>3</v>
      </c>
      <c r="S564" t="s">
        <v>57</v>
      </c>
      <c r="T564" s="4">
        <f t="shared" si="43"/>
        <v>599757.75</v>
      </c>
      <c r="U564" s="4" t="str">
        <f t="shared" si="44"/>
        <v>Average</v>
      </c>
      <c r="V564" s="4" t="str">
        <f t="shared" si="45"/>
        <v>Excellent</v>
      </c>
      <c r="W564" s="4"/>
      <c r="X564" s="4"/>
      <c r="AJ564" s="4"/>
    </row>
    <row r="565" spans="1:36">
      <c r="A565" t="str">
        <f t="shared" si="41"/>
        <v>Pank23564</v>
      </c>
      <c r="B565">
        <v>564</v>
      </c>
      <c r="C565">
        <v>17</v>
      </c>
      <c r="D565">
        <v>3</v>
      </c>
      <c r="E565">
        <v>2022</v>
      </c>
      <c r="F565" s="1">
        <f t="shared" si="42"/>
        <v>44637</v>
      </c>
      <c r="G565" s="1" t="s">
        <v>475</v>
      </c>
      <c r="H565" s="2">
        <v>45041</v>
      </c>
      <c r="I565" t="s">
        <v>19</v>
      </c>
      <c r="J565">
        <v>1</v>
      </c>
      <c r="K565">
        <v>12870.33</v>
      </c>
      <c r="L565" t="s">
        <v>473</v>
      </c>
      <c r="M565">
        <v>23</v>
      </c>
      <c r="N565" t="s">
        <v>36</v>
      </c>
      <c r="O565" s="3" t="s">
        <v>22</v>
      </c>
      <c r="P565" t="s">
        <v>59</v>
      </c>
      <c r="Q565" t="s">
        <v>30</v>
      </c>
      <c r="R565">
        <v>5</v>
      </c>
      <c r="S565" t="s">
        <v>37</v>
      </c>
      <c r="T565" s="4">
        <f t="shared" si="43"/>
        <v>12870.33</v>
      </c>
      <c r="U565" s="4" t="str">
        <f t="shared" si="44"/>
        <v>Good</v>
      </c>
      <c r="V565" s="4" t="str">
        <f t="shared" si="45"/>
        <v>Low</v>
      </c>
      <c r="W565" s="4"/>
      <c r="X565" s="4"/>
      <c r="AJ565" s="4"/>
    </row>
    <row r="566" spans="1:36">
      <c r="A566" t="str">
        <f t="shared" si="41"/>
        <v>Shru51565</v>
      </c>
      <c r="B566">
        <v>565</v>
      </c>
      <c r="C566">
        <v>17</v>
      </c>
      <c r="D566">
        <v>3</v>
      </c>
      <c r="E566">
        <v>2022</v>
      </c>
      <c r="F566" s="1">
        <f t="shared" si="42"/>
        <v>44637</v>
      </c>
      <c r="G566" s="1" t="s">
        <v>475</v>
      </c>
      <c r="H566" s="2">
        <v>45042</v>
      </c>
      <c r="I566" t="s">
        <v>43</v>
      </c>
      <c r="J566">
        <v>4</v>
      </c>
      <c r="K566">
        <v>61010.32</v>
      </c>
      <c r="L566" t="s">
        <v>122</v>
      </c>
      <c r="M566">
        <v>51</v>
      </c>
      <c r="N566" t="s">
        <v>61</v>
      </c>
      <c r="O566" s="3" t="s">
        <v>22</v>
      </c>
      <c r="P566" t="s">
        <v>29</v>
      </c>
      <c r="Q566" t="s">
        <v>41</v>
      </c>
      <c r="R566">
        <v>4</v>
      </c>
      <c r="S566" t="s">
        <v>46</v>
      </c>
      <c r="T566" s="4">
        <f t="shared" si="43"/>
        <v>244041.28</v>
      </c>
      <c r="U566" s="4" t="str">
        <f t="shared" si="44"/>
        <v>Good</v>
      </c>
      <c r="V566" s="4" t="str">
        <f t="shared" si="45"/>
        <v>Excellent</v>
      </c>
      <c r="W566" s="4"/>
      <c r="X566" s="4"/>
      <c r="AJ566" s="4"/>
    </row>
    <row r="567" spans="1:36">
      <c r="A567" t="str">
        <f t="shared" si="41"/>
        <v>Mala59566</v>
      </c>
      <c r="B567">
        <v>566</v>
      </c>
      <c r="C567">
        <v>18</v>
      </c>
      <c r="D567">
        <v>3</v>
      </c>
      <c r="E567">
        <v>2022</v>
      </c>
      <c r="F567" s="1">
        <f t="shared" si="42"/>
        <v>44638</v>
      </c>
      <c r="G567" s="1" t="s">
        <v>475</v>
      </c>
      <c r="H567" s="2">
        <v>45043</v>
      </c>
      <c r="I567" t="s">
        <v>43</v>
      </c>
      <c r="J567">
        <v>4</v>
      </c>
      <c r="K567">
        <v>69854.960000000006</v>
      </c>
      <c r="L567" t="s">
        <v>510</v>
      </c>
      <c r="M567">
        <v>59</v>
      </c>
      <c r="N567" t="s">
        <v>61</v>
      </c>
      <c r="O567" s="3" t="s">
        <v>22</v>
      </c>
      <c r="P567" t="s">
        <v>114</v>
      </c>
      <c r="Q567" t="s">
        <v>41</v>
      </c>
      <c r="R567">
        <v>5</v>
      </c>
      <c r="S567" t="s">
        <v>57</v>
      </c>
      <c r="T567" s="4">
        <f t="shared" si="43"/>
        <v>279419.84000000003</v>
      </c>
      <c r="U567" s="4" t="str">
        <f t="shared" si="44"/>
        <v>Good</v>
      </c>
      <c r="V567" s="4" t="str">
        <f t="shared" si="45"/>
        <v>Excellent</v>
      </c>
      <c r="W567" s="4"/>
      <c r="X567" s="4"/>
      <c r="AJ567" s="4"/>
    </row>
    <row r="568" spans="1:36">
      <c r="A568" t="str">
        <f t="shared" si="41"/>
        <v>Nikh19567</v>
      </c>
      <c r="B568">
        <v>567</v>
      </c>
      <c r="C568">
        <v>18</v>
      </c>
      <c r="D568">
        <v>3</v>
      </c>
      <c r="E568">
        <v>2022</v>
      </c>
      <c r="F568" s="1">
        <f t="shared" si="42"/>
        <v>44638</v>
      </c>
      <c r="G568" s="1" t="s">
        <v>475</v>
      </c>
      <c r="H568" s="2">
        <v>45044</v>
      </c>
      <c r="I568" t="s">
        <v>38</v>
      </c>
      <c r="J568">
        <v>2</v>
      </c>
      <c r="K568">
        <v>63216.53</v>
      </c>
      <c r="L568" t="s">
        <v>511</v>
      </c>
      <c r="M568">
        <v>19</v>
      </c>
      <c r="N568" t="s">
        <v>36</v>
      </c>
      <c r="O568" s="3" t="s">
        <v>28</v>
      </c>
      <c r="P568" t="s">
        <v>40</v>
      </c>
      <c r="Q568" t="s">
        <v>41</v>
      </c>
      <c r="R568">
        <v>3</v>
      </c>
      <c r="S568" t="s">
        <v>42</v>
      </c>
      <c r="T568" s="4">
        <f t="shared" si="43"/>
        <v>126433.06</v>
      </c>
      <c r="U568" s="4" t="str">
        <f t="shared" si="44"/>
        <v>Average</v>
      </c>
      <c r="V568" s="4" t="str">
        <f t="shared" si="45"/>
        <v>Good</v>
      </c>
      <c r="W568" s="4"/>
      <c r="X568" s="4"/>
      <c r="AJ568" s="4"/>
    </row>
    <row r="569" spans="1:36">
      <c r="A569" t="str">
        <f t="shared" si="41"/>
        <v>Mala47568</v>
      </c>
      <c r="B569">
        <v>568</v>
      </c>
      <c r="C569">
        <v>18</v>
      </c>
      <c r="D569">
        <v>3</v>
      </c>
      <c r="E569">
        <v>2022</v>
      </c>
      <c r="F569" s="1">
        <f t="shared" si="42"/>
        <v>44638</v>
      </c>
      <c r="G569" s="1" t="s">
        <v>475</v>
      </c>
      <c r="H569" s="2">
        <v>45045</v>
      </c>
      <c r="I569" t="s">
        <v>26</v>
      </c>
      <c r="J569">
        <v>6</v>
      </c>
      <c r="K569">
        <v>58626.2</v>
      </c>
      <c r="L569" t="s">
        <v>510</v>
      </c>
      <c r="M569">
        <v>47</v>
      </c>
      <c r="N569" t="s">
        <v>61</v>
      </c>
      <c r="O569" s="3" t="s">
        <v>22</v>
      </c>
      <c r="P569" t="s">
        <v>132</v>
      </c>
      <c r="Q569" t="s">
        <v>41</v>
      </c>
      <c r="R569">
        <v>4</v>
      </c>
      <c r="S569" t="s">
        <v>34</v>
      </c>
      <c r="T569" s="4">
        <f t="shared" si="43"/>
        <v>351757.19999999995</v>
      </c>
      <c r="U569" s="4" t="str">
        <f t="shared" si="44"/>
        <v>Good</v>
      </c>
      <c r="V569" s="4" t="str">
        <f t="shared" si="45"/>
        <v>Excellent</v>
      </c>
      <c r="W569" s="4"/>
      <c r="X569" s="4"/>
      <c r="AJ569" s="4"/>
    </row>
    <row r="570" spans="1:36">
      <c r="A570" t="str">
        <f t="shared" si="41"/>
        <v>Kira26569</v>
      </c>
      <c r="B570">
        <v>569</v>
      </c>
      <c r="C570">
        <v>19</v>
      </c>
      <c r="D570">
        <v>3</v>
      </c>
      <c r="E570">
        <v>2022</v>
      </c>
      <c r="F570" s="1">
        <f t="shared" si="42"/>
        <v>44639</v>
      </c>
      <c r="G570" s="1" t="s">
        <v>475</v>
      </c>
      <c r="H570" s="2">
        <v>45046</v>
      </c>
      <c r="I570" t="s">
        <v>49</v>
      </c>
      <c r="J570">
        <v>3</v>
      </c>
      <c r="K570">
        <v>32458.36</v>
      </c>
      <c r="L570" t="s">
        <v>143</v>
      </c>
      <c r="M570">
        <v>26</v>
      </c>
      <c r="N570" t="s">
        <v>36</v>
      </c>
      <c r="O570" s="3" t="s">
        <v>55</v>
      </c>
      <c r="P570" t="s">
        <v>29</v>
      </c>
      <c r="Q570" t="s">
        <v>56</v>
      </c>
      <c r="R570">
        <v>2</v>
      </c>
      <c r="S570" t="s">
        <v>88</v>
      </c>
      <c r="T570" s="4">
        <f t="shared" si="43"/>
        <v>97375.08</v>
      </c>
      <c r="U570" s="4" t="str">
        <f t="shared" si="44"/>
        <v>Average</v>
      </c>
      <c r="V570" s="4" t="str">
        <f t="shared" si="45"/>
        <v>Average</v>
      </c>
      <c r="W570" s="4"/>
      <c r="X570" s="4"/>
      <c r="AJ570" s="4"/>
    </row>
    <row r="571" spans="1:36">
      <c r="A571" t="str">
        <f t="shared" si="41"/>
        <v>Pank44570</v>
      </c>
      <c r="B571">
        <v>570</v>
      </c>
      <c r="C571">
        <v>19</v>
      </c>
      <c r="D571">
        <v>3</v>
      </c>
      <c r="E571">
        <v>2022</v>
      </c>
      <c r="F571" s="1">
        <f t="shared" si="42"/>
        <v>44639</v>
      </c>
      <c r="G571" s="1" t="s">
        <v>475</v>
      </c>
      <c r="H571" s="2">
        <v>45047</v>
      </c>
      <c r="I571" t="s">
        <v>43</v>
      </c>
      <c r="J571">
        <v>7</v>
      </c>
      <c r="K571">
        <v>23878.85</v>
      </c>
      <c r="L571" t="s">
        <v>512</v>
      </c>
      <c r="M571">
        <v>44</v>
      </c>
      <c r="N571" t="s">
        <v>21</v>
      </c>
      <c r="O571" s="3" t="s">
        <v>22</v>
      </c>
      <c r="P571" t="s">
        <v>29</v>
      </c>
      <c r="Q571" t="s">
        <v>56</v>
      </c>
      <c r="R571">
        <v>5</v>
      </c>
      <c r="S571" t="s">
        <v>95</v>
      </c>
      <c r="T571" s="4">
        <f t="shared" si="43"/>
        <v>167151.94999999998</v>
      </c>
      <c r="U571" s="4" t="str">
        <f t="shared" si="44"/>
        <v>Good</v>
      </c>
      <c r="V571" s="4" t="str">
        <f t="shared" si="45"/>
        <v>Good</v>
      </c>
      <c r="W571" s="4"/>
      <c r="X571" s="4"/>
      <c r="AJ571" s="4"/>
    </row>
    <row r="572" spans="1:36">
      <c r="A572" t="str">
        <f t="shared" si="41"/>
        <v>Vive59571</v>
      </c>
      <c r="B572">
        <v>571</v>
      </c>
      <c r="C572">
        <v>19</v>
      </c>
      <c r="D572">
        <v>3</v>
      </c>
      <c r="E572">
        <v>2022</v>
      </c>
      <c r="F572" s="1">
        <f t="shared" si="42"/>
        <v>44639</v>
      </c>
      <c r="G572" s="1" t="s">
        <v>475</v>
      </c>
      <c r="H572" s="2">
        <v>45048</v>
      </c>
      <c r="I572" t="s">
        <v>49</v>
      </c>
      <c r="J572">
        <v>5</v>
      </c>
      <c r="K572">
        <v>54091.03</v>
      </c>
      <c r="L572" t="s">
        <v>513</v>
      </c>
      <c r="M572">
        <v>59</v>
      </c>
      <c r="N572" t="s">
        <v>61</v>
      </c>
      <c r="O572" s="3" t="s">
        <v>22</v>
      </c>
      <c r="P572" t="s">
        <v>29</v>
      </c>
      <c r="Q572" t="s">
        <v>30</v>
      </c>
      <c r="R572">
        <v>5</v>
      </c>
      <c r="S572" t="s">
        <v>88</v>
      </c>
      <c r="T572" s="4">
        <f t="shared" si="43"/>
        <v>270455.15000000002</v>
      </c>
      <c r="U572" s="4" t="str">
        <f t="shared" si="44"/>
        <v>Good</v>
      </c>
      <c r="V572" s="4" t="str">
        <f t="shared" si="45"/>
        <v>Excellent</v>
      </c>
      <c r="W572" s="4"/>
      <c r="X572" s="4"/>
      <c r="AJ572" s="4"/>
    </row>
    <row r="573" spans="1:36">
      <c r="A573" t="str">
        <f t="shared" si="41"/>
        <v>Gita51572</v>
      </c>
      <c r="B573">
        <v>572</v>
      </c>
      <c r="C573">
        <v>20</v>
      </c>
      <c r="D573">
        <v>3</v>
      </c>
      <c r="E573">
        <v>2022</v>
      </c>
      <c r="F573" s="1">
        <f t="shared" si="42"/>
        <v>44640</v>
      </c>
      <c r="G573" s="1" t="s">
        <v>475</v>
      </c>
      <c r="H573" s="2">
        <v>45049</v>
      </c>
      <c r="I573" t="s">
        <v>43</v>
      </c>
      <c r="J573">
        <v>4</v>
      </c>
      <c r="K573">
        <v>28274.52</v>
      </c>
      <c r="L573" t="s">
        <v>410</v>
      </c>
      <c r="M573">
        <v>51</v>
      </c>
      <c r="N573" t="s">
        <v>61</v>
      </c>
      <c r="O573" s="3" t="s">
        <v>22</v>
      </c>
      <c r="P573" t="s">
        <v>33</v>
      </c>
      <c r="Q573" t="s">
        <v>30</v>
      </c>
      <c r="R573">
        <v>4</v>
      </c>
      <c r="S573" t="s">
        <v>95</v>
      </c>
      <c r="T573" s="4">
        <f t="shared" si="43"/>
        <v>113098.08</v>
      </c>
      <c r="U573" s="4" t="str">
        <f t="shared" si="44"/>
        <v>Good</v>
      </c>
      <c r="V573" s="4" t="str">
        <f t="shared" si="45"/>
        <v>Good</v>
      </c>
      <c r="W573" s="4"/>
      <c r="X573" s="4"/>
      <c r="AJ573" s="4"/>
    </row>
    <row r="574" spans="1:36">
      <c r="A574" t="str">
        <f t="shared" si="41"/>
        <v>Mala57573</v>
      </c>
      <c r="B574">
        <v>573</v>
      </c>
      <c r="C574">
        <v>20</v>
      </c>
      <c r="D574">
        <v>3</v>
      </c>
      <c r="E574">
        <v>2022</v>
      </c>
      <c r="F574" s="1">
        <f t="shared" si="42"/>
        <v>44640</v>
      </c>
      <c r="G574" s="1" t="s">
        <v>475</v>
      </c>
      <c r="H574" s="2">
        <v>45050</v>
      </c>
      <c r="I574" t="s">
        <v>19</v>
      </c>
      <c r="J574">
        <v>5</v>
      </c>
      <c r="K574">
        <v>20562.38</v>
      </c>
      <c r="L574" t="s">
        <v>514</v>
      </c>
      <c r="M574">
        <v>57</v>
      </c>
      <c r="N574" t="s">
        <v>61</v>
      </c>
      <c r="O574" s="3" t="s">
        <v>28</v>
      </c>
      <c r="P574" t="s">
        <v>114</v>
      </c>
      <c r="Q574" t="s">
        <v>56</v>
      </c>
      <c r="R574">
        <v>3</v>
      </c>
      <c r="S574" t="s">
        <v>25</v>
      </c>
      <c r="T574" s="4">
        <f t="shared" si="43"/>
        <v>102811.90000000001</v>
      </c>
      <c r="U574" s="4" t="str">
        <f t="shared" si="44"/>
        <v>Average</v>
      </c>
      <c r="V574" s="4" t="str">
        <f t="shared" si="45"/>
        <v>Good</v>
      </c>
      <c r="W574" s="4"/>
      <c r="X574" s="4"/>
      <c r="AJ574" s="4"/>
    </row>
    <row r="575" spans="1:36">
      <c r="A575" t="str">
        <f t="shared" si="41"/>
        <v>Priy41574</v>
      </c>
      <c r="B575">
        <v>574</v>
      </c>
      <c r="C575">
        <v>20</v>
      </c>
      <c r="D575">
        <v>3</v>
      </c>
      <c r="E575">
        <v>2022</v>
      </c>
      <c r="F575" s="1">
        <f t="shared" si="42"/>
        <v>44640</v>
      </c>
      <c r="G575" s="1" t="s">
        <v>475</v>
      </c>
      <c r="H575" s="2">
        <v>45051</v>
      </c>
      <c r="I575" t="s">
        <v>43</v>
      </c>
      <c r="J575">
        <v>8</v>
      </c>
      <c r="K575">
        <v>57191.55</v>
      </c>
      <c r="L575" t="s">
        <v>515</v>
      </c>
      <c r="M575">
        <v>41</v>
      </c>
      <c r="N575" t="s">
        <v>21</v>
      </c>
      <c r="O575" s="3" t="s">
        <v>22</v>
      </c>
      <c r="P575" t="s">
        <v>137</v>
      </c>
      <c r="Q575" t="s">
        <v>30</v>
      </c>
      <c r="R575">
        <v>5</v>
      </c>
      <c r="S575" t="s">
        <v>57</v>
      </c>
      <c r="T575" s="4">
        <f t="shared" si="43"/>
        <v>457532.4</v>
      </c>
      <c r="U575" s="4" t="str">
        <f t="shared" si="44"/>
        <v>Good</v>
      </c>
      <c r="V575" s="4" t="str">
        <f t="shared" si="45"/>
        <v>Excellent</v>
      </c>
      <c r="W575" s="4"/>
      <c r="X575" s="4"/>
      <c r="AJ575" s="4"/>
    </row>
    <row r="576" spans="1:36">
      <c r="A576" t="str">
        <f t="shared" si="41"/>
        <v>Kavi34575</v>
      </c>
      <c r="B576">
        <v>575</v>
      </c>
      <c r="C576">
        <v>20</v>
      </c>
      <c r="D576">
        <v>3</v>
      </c>
      <c r="E576">
        <v>2022</v>
      </c>
      <c r="F576" s="1">
        <f t="shared" si="42"/>
        <v>44640</v>
      </c>
      <c r="G576" s="1" t="s">
        <v>475</v>
      </c>
      <c r="H576" s="2">
        <v>45052</v>
      </c>
      <c r="I576" t="s">
        <v>38</v>
      </c>
      <c r="J576">
        <v>3</v>
      </c>
      <c r="K576">
        <v>28752.62</v>
      </c>
      <c r="L576" t="s">
        <v>318</v>
      </c>
      <c r="M576">
        <v>34</v>
      </c>
      <c r="N576" t="s">
        <v>21</v>
      </c>
      <c r="O576" s="3" t="s">
        <v>55</v>
      </c>
      <c r="P576" t="s">
        <v>29</v>
      </c>
      <c r="Q576" t="s">
        <v>30</v>
      </c>
      <c r="R576">
        <v>2</v>
      </c>
      <c r="S576" t="s">
        <v>48</v>
      </c>
      <c r="T576" s="4">
        <f t="shared" si="43"/>
        <v>86257.86</v>
      </c>
      <c r="U576" s="4" t="str">
        <f t="shared" si="44"/>
        <v>Average</v>
      </c>
      <c r="V576" s="4" t="str">
        <f t="shared" si="45"/>
        <v>Average</v>
      </c>
      <c r="W576" s="4"/>
      <c r="X576" s="4"/>
      <c r="AJ576" s="4"/>
    </row>
    <row r="577" spans="1:36">
      <c r="A577" t="str">
        <f t="shared" si="41"/>
        <v>Roha46576</v>
      </c>
      <c r="B577">
        <v>576</v>
      </c>
      <c r="C577">
        <v>21</v>
      </c>
      <c r="D577">
        <v>3</v>
      </c>
      <c r="E577">
        <v>2022</v>
      </c>
      <c r="F577" s="1">
        <f t="shared" si="42"/>
        <v>44641</v>
      </c>
      <c r="G577" s="1" t="s">
        <v>475</v>
      </c>
      <c r="H577" s="2">
        <v>45053</v>
      </c>
      <c r="I577" t="s">
        <v>26</v>
      </c>
      <c r="J577">
        <v>7</v>
      </c>
      <c r="K577">
        <v>64866.5</v>
      </c>
      <c r="L577" t="s">
        <v>516</v>
      </c>
      <c r="M577">
        <v>46</v>
      </c>
      <c r="N577" t="s">
        <v>61</v>
      </c>
      <c r="O577" s="3" t="s">
        <v>22</v>
      </c>
      <c r="P577" t="s">
        <v>45</v>
      </c>
      <c r="Q577" t="s">
        <v>56</v>
      </c>
      <c r="R577">
        <v>5</v>
      </c>
      <c r="S577" t="s">
        <v>67</v>
      </c>
      <c r="T577" s="4">
        <f t="shared" si="43"/>
        <v>454065.5</v>
      </c>
      <c r="U577" s="4" t="str">
        <f t="shared" si="44"/>
        <v>Good</v>
      </c>
      <c r="V577" s="4" t="str">
        <f t="shared" si="45"/>
        <v>Excellent</v>
      </c>
      <c r="W577" s="4"/>
      <c r="X577" s="4"/>
      <c r="AJ577" s="4"/>
    </row>
    <row r="578" spans="1:36">
      <c r="A578" t="str">
        <f t="shared" ref="A578:A641" si="46">LEFT(L578,4)&amp;M578&amp;B578</f>
        <v>Sneh53577</v>
      </c>
      <c r="B578">
        <v>577</v>
      </c>
      <c r="C578">
        <v>21</v>
      </c>
      <c r="D578">
        <v>3</v>
      </c>
      <c r="E578">
        <v>2022</v>
      </c>
      <c r="F578" s="1">
        <f t="shared" si="42"/>
        <v>44641</v>
      </c>
      <c r="G578" s="1" t="s">
        <v>475</v>
      </c>
      <c r="H578" s="2">
        <v>45054</v>
      </c>
      <c r="I578" t="s">
        <v>19</v>
      </c>
      <c r="J578">
        <v>6</v>
      </c>
      <c r="K578">
        <v>60437.96</v>
      </c>
      <c r="L578" t="s">
        <v>517</v>
      </c>
      <c r="M578">
        <v>53</v>
      </c>
      <c r="N578" t="s">
        <v>61</v>
      </c>
      <c r="O578" s="3" t="s">
        <v>28</v>
      </c>
      <c r="P578" t="s">
        <v>33</v>
      </c>
      <c r="Q578" t="s">
        <v>56</v>
      </c>
      <c r="R578">
        <v>3</v>
      </c>
      <c r="S578" t="s">
        <v>25</v>
      </c>
      <c r="T578" s="4">
        <f t="shared" si="43"/>
        <v>362627.76</v>
      </c>
      <c r="U578" s="4" t="str">
        <f t="shared" si="44"/>
        <v>Average</v>
      </c>
      <c r="V578" s="4" t="str">
        <f t="shared" si="45"/>
        <v>Excellent</v>
      </c>
      <c r="W578" s="4"/>
      <c r="X578" s="4"/>
      <c r="AJ578" s="4"/>
    </row>
    <row r="579" spans="1:36">
      <c r="A579" t="str">
        <f t="shared" si="46"/>
        <v>Yoge29578</v>
      </c>
      <c r="B579">
        <v>578</v>
      </c>
      <c r="C579">
        <v>21</v>
      </c>
      <c r="D579">
        <v>3</v>
      </c>
      <c r="E579">
        <v>2022</v>
      </c>
      <c r="F579" s="1">
        <f t="shared" ref="F579:F642" si="47">DATE(E579,D579,C579)</f>
        <v>44641</v>
      </c>
      <c r="G579" s="1" t="s">
        <v>475</v>
      </c>
      <c r="H579" s="2">
        <v>45055</v>
      </c>
      <c r="I579" t="s">
        <v>43</v>
      </c>
      <c r="J579">
        <v>1</v>
      </c>
      <c r="K579">
        <v>60858.42</v>
      </c>
      <c r="L579" t="s">
        <v>518</v>
      </c>
      <c r="M579">
        <v>29</v>
      </c>
      <c r="N579" t="s">
        <v>36</v>
      </c>
      <c r="O579" s="3" t="s">
        <v>55</v>
      </c>
      <c r="P579" t="s">
        <v>114</v>
      </c>
      <c r="Q579" t="s">
        <v>30</v>
      </c>
      <c r="R579">
        <v>2</v>
      </c>
      <c r="S579" t="s">
        <v>95</v>
      </c>
      <c r="T579" s="4">
        <f t="shared" ref="T579:T642" si="48">J579*K579</f>
        <v>60858.42</v>
      </c>
      <c r="U579" s="4" t="str">
        <f t="shared" ref="U579:U642" si="49">IF(R579&gt;=4,"Good","Average")</f>
        <v>Average</v>
      </c>
      <c r="V579" s="4" t="str">
        <f t="shared" ref="V579:V642" si="50">IF(T579&gt;200000,"Excellent",IF(T579&gt;100000,"Good",IF(T579&gt;50000,"Average","Low")))</f>
        <v>Average</v>
      </c>
      <c r="W579" s="4"/>
      <c r="X579" s="4"/>
      <c r="AJ579" s="4"/>
    </row>
    <row r="580" spans="1:36">
      <c r="A580" t="str">
        <f t="shared" si="46"/>
        <v>Sneh48579</v>
      </c>
      <c r="B580">
        <v>579</v>
      </c>
      <c r="C580">
        <v>21</v>
      </c>
      <c r="D580">
        <v>3</v>
      </c>
      <c r="E580">
        <v>2022</v>
      </c>
      <c r="F580" s="1">
        <f t="shared" si="47"/>
        <v>44641</v>
      </c>
      <c r="G580" s="1" t="s">
        <v>475</v>
      </c>
      <c r="H580" s="2">
        <v>45056</v>
      </c>
      <c r="I580" t="s">
        <v>49</v>
      </c>
      <c r="J580">
        <v>7</v>
      </c>
      <c r="K580">
        <v>56294.18</v>
      </c>
      <c r="L580" t="s">
        <v>39</v>
      </c>
      <c r="M580">
        <v>48</v>
      </c>
      <c r="N580" t="s">
        <v>61</v>
      </c>
      <c r="O580" s="3" t="s">
        <v>28</v>
      </c>
      <c r="P580" t="s">
        <v>45</v>
      </c>
      <c r="Q580" t="s">
        <v>56</v>
      </c>
      <c r="R580">
        <v>3</v>
      </c>
      <c r="S580" t="s">
        <v>52</v>
      </c>
      <c r="T580" s="4">
        <f t="shared" si="48"/>
        <v>394059.26</v>
      </c>
      <c r="U580" s="4" t="str">
        <f t="shared" si="49"/>
        <v>Average</v>
      </c>
      <c r="V580" s="4" t="str">
        <f t="shared" si="50"/>
        <v>Excellent</v>
      </c>
      <c r="W580" s="4"/>
      <c r="X580" s="4"/>
      <c r="AJ580" s="4"/>
    </row>
    <row r="581" spans="1:36">
      <c r="A581" t="str">
        <f t="shared" si="46"/>
        <v>Kavi26580</v>
      </c>
      <c r="B581">
        <v>580</v>
      </c>
      <c r="C581">
        <v>22</v>
      </c>
      <c r="D581">
        <v>3</v>
      </c>
      <c r="E581">
        <v>2022</v>
      </c>
      <c r="F581" s="1">
        <f t="shared" si="47"/>
        <v>44642</v>
      </c>
      <c r="G581" s="1" t="s">
        <v>475</v>
      </c>
      <c r="H581" s="2">
        <v>45057</v>
      </c>
      <c r="I581" t="s">
        <v>19</v>
      </c>
      <c r="J581">
        <v>7</v>
      </c>
      <c r="K581">
        <v>62852.89</v>
      </c>
      <c r="L581" t="s">
        <v>519</v>
      </c>
      <c r="M581">
        <v>26</v>
      </c>
      <c r="N581" t="s">
        <v>36</v>
      </c>
      <c r="O581" s="3" t="s">
        <v>22</v>
      </c>
      <c r="P581" t="s">
        <v>114</v>
      </c>
      <c r="Q581" t="s">
        <v>24</v>
      </c>
      <c r="R581">
        <v>5</v>
      </c>
      <c r="S581" t="s">
        <v>25</v>
      </c>
      <c r="T581" s="4">
        <f t="shared" si="48"/>
        <v>439970.23</v>
      </c>
      <c r="U581" s="4" t="str">
        <f t="shared" si="49"/>
        <v>Good</v>
      </c>
      <c r="V581" s="4" t="str">
        <f t="shared" si="50"/>
        <v>Excellent</v>
      </c>
      <c r="W581" s="4"/>
      <c r="X581" s="4"/>
      <c r="AJ581" s="4"/>
    </row>
    <row r="582" spans="1:36">
      <c r="A582" t="str">
        <f t="shared" si="46"/>
        <v>Raje36581</v>
      </c>
      <c r="B582">
        <v>581</v>
      </c>
      <c r="C582">
        <v>22</v>
      </c>
      <c r="D582">
        <v>3</v>
      </c>
      <c r="E582">
        <v>2022</v>
      </c>
      <c r="F582" s="1">
        <f t="shared" si="47"/>
        <v>44642</v>
      </c>
      <c r="G582" s="1" t="s">
        <v>475</v>
      </c>
      <c r="H582" s="2">
        <v>45058</v>
      </c>
      <c r="I582" t="s">
        <v>19</v>
      </c>
      <c r="J582">
        <v>1</v>
      </c>
      <c r="K582">
        <v>58344.81</v>
      </c>
      <c r="L582" t="s">
        <v>520</v>
      </c>
      <c r="M582">
        <v>36</v>
      </c>
      <c r="N582" t="s">
        <v>21</v>
      </c>
      <c r="O582" s="3" t="s">
        <v>28</v>
      </c>
      <c r="P582" t="s">
        <v>29</v>
      </c>
      <c r="Q582" t="s">
        <v>41</v>
      </c>
      <c r="R582">
        <v>3</v>
      </c>
      <c r="S582" t="s">
        <v>84</v>
      </c>
      <c r="T582" s="4">
        <f t="shared" si="48"/>
        <v>58344.81</v>
      </c>
      <c r="U582" s="4" t="str">
        <f t="shared" si="49"/>
        <v>Average</v>
      </c>
      <c r="V582" s="4" t="str">
        <f t="shared" si="50"/>
        <v>Average</v>
      </c>
      <c r="W582" s="4"/>
      <c r="X582" s="4"/>
      <c r="AJ582" s="4"/>
    </row>
    <row r="583" spans="1:36">
      <c r="A583" t="str">
        <f t="shared" si="46"/>
        <v>Nikh34582</v>
      </c>
      <c r="B583">
        <v>582</v>
      </c>
      <c r="C583">
        <v>22</v>
      </c>
      <c r="D583">
        <v>3</v>
      </c>
      <c r="E583">
        <v>2022</v>
      </c>
      <c r="F583" s="1">
        <f t="shared" si="47"/>
        <v>44642</v>
      </c>
      <c r="G583" s="1" t="s">
        <v>475</v>
      </c>
      <c r="H583" s="2">
        <v>45059</v>
      </c>
      <c r="I583" t="s">
        <v>43</v>
      </c>
      <c r="J583">
        <v>9</v>
      </c>
      <c r="K583">
        <v>46150.68</v>
      </c>
      <c r="L583" t="s">
        <v>169</v>
      </c>
      <c r="M583">
        <v>34</v>
      </c>
      <c r="N583" t="s">
        <v>21</v>
      </c>
      <c r="O583" s="3" t="s">
        <v>22</v>
      </c>
      <c r="P583" t="s">
        <v>23</v>
      </c>
      <c r="Q583" t="s">
        <v>41</v>
      </c>
      <c r="R583">
        <v>5</v>
      </c>
      <c r="S583" t="s">
        <v>46</v>
      </c>
      <c r="T583" s="4">
        <f t="shared" si="48"/>
        <v>415356.12</v>
      </c>
      <c r="U583" s="4" t="str">
        <f t="shared" si="49"/>
        <v>Good</v>
      </c>
      <c r="V583" s="4" t="str">
        <f t="shared" si="50"/>
        <v>Excellent</v>
      </c>
      <c r="W583" s="4"/>
      <c r="X583" s="4"/>
      <c r="AJ583" s="4"/>
    </row>
    <row r="584" spans="1:36">
      <c r="A584" t="str">
        <f t="shared" si="46"/>
        <v>Jyot19583</v>
      </c>
      <c r="B584">
        <v>583</v>
      </c>
      <c r="C584">
        <v>22</v>
      </c>
      <c r="D584">
        <v>3</v>
      </c>
      <c r="E584">
        <v>2022</v>
      </c>
      <c r="F584" s="1">
        <f t="shared" si="47"/>
        <v>44642</v>
      </c>
      <c r="G584" s="1" t="s">
        <v>475</v>
      </c>
      <c r="H584" s="2">
        <v>45060</v>
      </c>
      <c r="I584" t="s">
        <v>19</v>
      </c>
      <c r="J584">
        <v>6</v>
      </c>
      <c r="K584">
        <v>27749.360000000001</v>
      </c>
      <c r="L584" t="s">
        <v>521</v>
      </c>
      <c r="M584">
        <v>19</v>
      </c>
      <c r="N584" t="s">
        <v>36</v>
      </c>
      <c r="O584" s="3" t="s">
        <v>22</v>
      </c>
      <c r="P584" t="s">
        <v>66</v>
      </c>
      <c r="Q584" t="s">
        <v>24</v>
      </c>
      <c r="R584">
        <v>5</v>
      </c>
      <c r="S584" t="s">
        <v>84</v>
      </c>
      <c r="T584" s="4">
        <f t="shared" si="48"/>
        <v>166496.16</v>
      </c>
      <c r="U584" s="4" t="str">
        <f t="shared" si="49"/>
        <v>Good</v>
      </c>
      <c r="V584" s="4" t="str">
        <f t="shared" si="50"/>
        <v>Good</v>
      </c>
      <c r="W584" s="4"/>
      <c r="X584" s="4"/>
      <c r="AJ584" s="4"/>
    </row>
    <row r="585" spans="1:36">
      <c r="A585" t="str">
        <f t="shared" si="46"/>
        <v>Bhav57584</v>
      </c>
      <c r="B585">
        <v>584</v>
      </c>
      <c r="C585">
        <v>23</v>
      </c>
      <c r="D585">
        <v>3</v>
      </c>
      <c r="E585">
        <v>2022</v>
      </c>
      <c r="F585" s="1">
        <f t="shared" si="47"/>
        <v>44643</v>
      </c>
      <c r="G585" s="1" t="s">
        <v>475</v>
      </c>
      <c r="H585" s="2">
        <v>45061</v>
      </c>
      <c r="I585" t="s">
        <v>49</v>
      </c>
      <c r="J585">
        <v>2</v>
      </c>
      <c r="K585">
        <v>63292.55</v>
      </c>
      <c r="L585" t="s">
        <v>337</v>
      </c>
      <c r="M585">
        <v>57</v>
      </c>
      <c r="N585" t="s">
        <v>61</v>
      </c>
      <c r="O585" s="3" t="s">
        <v>22</v>
      </c>
      <c r="P585" t="s">
        <v>33</v>
      </c>
      <c r="Q585" t="s">
        <v>24</v>
      </c>
      <c r="R585">
        <v>5</v>
      </c>
      <c r="S585" t="s">
        <v>102</v>
      </c>
      <c r="T585" s="4">
        <f t="shared" si="48"/>
        <v>126585.1</v>
      </c>
      <c r="U585" s="4" t="str">
        <f t="shared" si="49"/>
        <v>Good</v>
      </c>
      <c r="V585" s="4" t="str">
        <f t="shared" si="50"/>
        <v>Good</v>
      </c>
      <c r="W585" s="4"/>
      <c r="X585" s="4"/>
      <c r="AJ585" s="4"/>
    </row>
    <row r="586" spans="1:36">
      <c r="A586" t="str">
        <f t="shared" si="46"/>
        <v>Lata22585</v>
      </c>
      <c r="B586">
        <v>585</v>
      </c>
      <c r="C586">
        <v>23</v>
      </c>
      <c r="D586">
        <v>3</v>
      </c>
      <c r="E586">
        <v>2022</v>
      </c>
      <c r="F586" s="1">
        <f t="shared" si="47"/>
        <v>44643</v>
      </c>
      <c r="G586" s="1" t="s">
        <v>475</v>
      </c>
      <c r="H586" s="2">
        <v>45062</v>
      </c>
      <c r="I586" t="s">
        <v>19</v>
      </c>
      <c r="J586">
        <v>5</v>
      </c>
      <c r="K586">
        <v>60436.22</v>
      </c>
      <c r="L586" t="s">
        <v>522</v>
      </c>
      <c r="M586">
        <v>22</v>
      </c>
      <c r="N586" t="s">
        <v>36</v>
      </c>
      <c r="O586" s="3" t="s">
        <v>22</v>
      </c>
      <c r="P586" t="s">
        <v>29</v>
      </c>
      <c r="Q586" t="s">
        <v>30</v>
      </c>
      <c r="R586">
        <v>4</v>
      </c>
      <c r="S586" t="s">
        <v>25</v>
      </c>
      <c r="T586" s="4">
        <f t="shared" si="48"/>
        <v>302181.09999999998</v>
      </c>
      <c r="U586" s="4" t="str">
        <f t="shared" si="49"/>
        <v>Good</v>
      </c>
      <c r="V586" s="4" t="str">
        <f t="shared" si="50"/>
        <v>Excellent</v>
      </c>
      <c r="W586" s="4"/>
      <c r="X586" s="4"/>
      <c r="AJ586" s="4"/>
    </row>
    <row r="587" spans="1:36">
      <c r="A587" t="str">
        <f t="shared" si="46"/>
        <v>Rame56586</v>
      </c>
      <c r="B587">
        <v>586</v>
      </c>
      <c r="C587">
        <v>23</v>
      </c>
      <c r="D587">
        <v>3</v>
      </c>
      <c r="E587">
        <v>2022</v>
      </c>
      <c r="F587" s="1">
        <f t="shared" si="47"/>
        <v>44643</v>
      </c>
      <c r="G587" s="1" t="s">
        <v>475</v>
      </c>
      <c r="H587" s="2">
        <v>45063</v>
      </c>
      <c r="I587" t="s">
        <v>49</v>
      </c>
      <c r="J587">
        <v>4</v>
      </c>
      <c r="K587">
        <v>38372.76</v>
      </c>
      <c r="L587" t="s">
        <v>343</v>
      </c>
      <c r="M587">
        <v>56</v>
      </c>
      <c r="N587" t="s">
        <v>61</v>
      </c>
      <c r="O587" s="3" t="s">
        <v>22</v>
      </c>
      <c r="P587" t="s">
        <v>29</v>
      </c>
      <c r="Q587" t="s">
        <v>30</v>
      </c>
      <c r="R587">
        <v>5</v>
      </c>
      <c r="S587" t="s">
        <v>88</v>
      </c>
      <c r="T587" s="4">
        <f t="shared" si="48"/>
        <v>153491.04</v>
      </c>
      <c r="U587" s="4" t="str">
        <f t="shared" si="49"/>
        <v>Good</v>
      </c>
      <c r="V587" s="4" t="str">
        <f t="shared" si="50"/>
        <v>Good</v>
      </c>
      <c r="W587" s="4"/>
      <c r="X587" s="4"/>
      <c r="AJ587" s="4"/>
    </row>
    <row r="588" spans="1:36">
      <c r="A588" t="str">
        <f t="shared" si="46"/>
        <v>Amit33587</v>
      </c>
      <c r="B588">
        <v>587</v>
      </c>
      <c r="C588">
        <v>24</v>
      </c>
      <c r="D588">
        <v>3</v>
      </c>
      <c r="E588">
        <v>2022</v>
      </c>
      <c r="F588" s="1">
        <f t="shared" si="47"/>
        <v>44644</v>
      </c>
      <c r="G588" s="1" t="s">
        <v>475</v>
      </c>
      <c r="H588" s="2">
        <v>45064</v>
      </c>
      <c r="I588" t="s">
        <v>43</v>
      </c>
      <c r="J588">
        <v>7</v>
      </c>
      <c r="K588">
        <v>12344.72</v>
      </c>
      <c r="L588" t="s">
        <v>523</v>
      </c>
      <c r="M588">
        <v>33</v>
      </c>
      <c r="N588" t="s">
        <v>21</v>
      </c>
      <c r="O588" s="3" t="s">
        <v>22</v>
      </c>
      <c r="P588" t="s">
        <v>33</v>
      </c>
      <c r="Q588" t="s">
        <v>41</v>
      </c>
      <c r="R588">
        <v>5</v>
      </c>
      <c r="S588" t="s">
        <v>46</v>
      </c>
      <c r="T588" s="4">
        <f t="shared" si="48"/>
        <v>86413.04</v>
      </c>
      <c r="U588" s="4" t="str">
        <f t="shared" si="49"/>
        <v>Good</v>
      </c>
      <c r="V588" s="4" t="str">
        <f t="shared" si="50"/>
        <v>Average</v>
      </c>
      <c r="W588" s="4"/>
      <c r="X588" s="4"/>
      <c r="AJ588" s="4"/>
    </row>
    <row r="589" spans="1:36">
      <c r="A589" t="str">
        <f t="shared" si="46"/>
        <v>Kavi34588</v>
      </c>
      <c r="B589">
        <v>588</v>
      </c>
      <c r="C589">
        <v>24</v>
      </c>
      <c r="D589">
        <v>3</v>
      </c>
      <c r="E589">
        <v>2022</v>
      </c>
      <c r="F589" s="1">
        <f t="shared" si="47"/>
        <v>44644</v>
      </c>
      <c r="G589" s="1" t="s">
        <v>475</v>
      </c>
      <c r="H589" s="2">
        <v>45065</v>
      </c>
      <c r="I589" t="s">
        <v>26</v>
      </c>
      <c r="J589">
        <v>8</v>
      </c>
      <c r="K589">
        <v>48312.62</v>
      </c>
      <c r="L589" t="s">
        <v>524</v>
      </c>
      <c r="M589">
        <v>34</v>
      </c>
      <c r="N589" t="s">
        <v>21</v>
      </c>
      <c r="O589" s="3" t="s">
        <v>22</v>
      </c>
      <c r="P589" t="s">
        <v>51</v>
      </c>
      <c r="Q589" t="s">
        <v>30</v>
      </c>
      <c r="R589">
        <v>5</v>
      </c>
      <c r="S589" t="s">
        <v>67</v>
      </c>
      <c r="T589" s="4">
        <f t="shared" si="48"/>
        <v>386500.96</v>
      </c>
      <c r="U589" s="4" t="str">
        <f t="shared" si="49"/>
        <v>Good</v>
      </c>
      <c r="V589" s="4" t="str">
        <f t="shared" si="50"/>
        <v>Excellent</v>
      </c>
      <c r="W589" s="4"/>
      <c r="X589" s="4"/>
      <c r="AJ589" s="4"/>
    </row>
    <row r="590" spans="1:36">
      <c r="A590" t="str">
        <f t="shared" si="46"/>
        <v>Bina44589</v>
      </c>
      <c r="B590">
        <v>589</v>
      </c>
      <c r="C590">
        <v>24</v>
      </c>
      <c r="D590">
        <v>3</v>
      </c>
      <c r="E590">
        <v>2022</v>
      </c>
      <c r="F590" s="1">
        <f t="shared" si="47"/>
        <v>44644</v>
      </c>
      <c r="G590" s="1" t="s">
        <v>475</v>
      </c>
      <c r="H590" s="2">
        <v>45066</v>
      </c>
      <c r="I590" t="s">
        <v>19</v>
      </c>
      <c r="J590">
        <v>1</v>
      </c>
      <c r="K590">
        <v>13035.81</v>
      </c>
      <c r="L590" t="s">
        <v>227</v>
      </c>
      <c r="M590">
        <v>44</v>
      </c>
      <c r="N590" t="s">
        <v>21</v>
      </c>
      <c r="O590" s="3" t="s">
        <v>28</v>
      </c>
      <c r="P590" t="s">
        <v>40</v>
      </c>
      <c r="Q590" t="s">
        <v>41</v>
      </c>
      <c r="R590">
        <v>3</v>
      </c>
      <c r="S590" t="s">
        <v>84</v>
      </c>
      <c r="T590" s="4">
        <f t="shared" si="48"/>
        <v>13035.81</v>
      </c>
      <c r="U590" s="4" t="str">
        <f t="shared" si="49"/>
        <v>Average</v>
      </c>
      <c r="V590" s="4" t="str">
        <f t="shared" si="50"/>
        <v>Low</v>
      </c>
      <c r="W590" s="4"/>
      <c r="X590" s="4"/>
      <c r="AJ590" s="4"/>
    </row>
    <row r="591" spans="1:36">
      <c r="A591" t="str">
        <f t="shared" si="46"/>
        <v>Mano24590</v>
      </c>
      <c r="B591">
        <v>590</v>
      </c>
      <c r="C591">
        <v>24</v>
      </c>
      <c r="D591">
        <v>3</v>
      </c>
      <c r="E591">
        <v>2022</v>
      </c>
      <c r="F591" s="1">
        <f t="shared" si="47"/>
        <v>44644</v>
      </c>
      <c r="G591" s="1" t="s">
        <v>475</v>
      </c>
      <c r="H591" s="2">
        <v>45067</v>
      </c>
      <c r="I591" t="s">
        <v>26</v>
      </c>
      <c r="J591">
        <v>5</v>
      </c>
      <c r="K591">
        <v>65576.800000000003</v>
      </c>
      <c r="L591" t="s">
        <v>235</v>
      </c>
      <c r="M591">
        <v>24</v>
      </c>
      <c r="N591" t="s">
        <v>36</v>
      </c>
      <c r="O591" s="3" t="s">
        <v>28</v>
      </c>
      <c r="P591" t="s">
        <v>45</v>
      </c>
      <c r="Q591" t="s">
        <v>30</v>
      </c>
      <c r="R591">
        <v>3</v>
      </c>
      <c r="S591" t="s">
        <v>31</v>
      </c>
      <c r="T591" s="4">
        <f t="shared" si="48"/>
        <v>327884</v>
      </c>
      <c r="U591" s="4" t="str">
        <f t="shared" si="49"/>
        <v>Average</v>
      </c>
      <c r="V591" s="4" t="str">
        <f t="shared" si="50"/>
        <v>Excellent</v>
      </c>
      <c r="W591" s="4"/>
      <c r="X591" s="4"/>
      <c r="AJ591" s="4"/>
    </row>
    <row r="592" spans="1:36">
      <c r="A592" t="str">
        <f t="shared" si="46"/>
        <v>Neet25591</v>
      </c>
      <c r="B592">
        <v>591</v>
      </c>
      <c r="C592">
        <v>25</v>
      </c>
      <c r="D592">
        <v>3</v>
      </c>
      <c r="E592">
        <v>2022</v>
      </c>
      <c r="F592" s="1">
        <f t="shared" si="47"/>
        <v>44645</v>
      </c>
      <c r="G592" s="1" t="s">
        <v>475</v>
      </c>
      <c r="H592" s="2">
        <v>45068</v>
      </c>
      <c r="I592" t="s">
        <v>49</v>
      </c>
      <c r="J592">
        <v>3</v>
      </c>
      <c r="K592">
        <v>67697.88</v>
      </c>
      <c r="L592" t="s">
        <v>525</v>
      </c>
      <c r="M592">
        <v>25</v>
      </c>
      <c r="N592" t="s">
        <v>36</v>
      </c>
      <c r="O592" s="3" t="s">
        <v>22</v>
      </c>
      <c r="P592" t="s">
        <v>33</v>
      </c>
      <c r="Q592" t="s">
        <v>30</v>
      </c>
      <c r="R592">
        <v>5</v>
      </c>
      <c r="S592" t="s">
        <v>88</v>
      </c>
      <c r="T592" s="4">
        <f t="shared" si="48"/>
        <v>203093.64</v>
      </c>
      <c r="U592" s="4" t="str">
        <f t="shared" si="49"/>
        <v>Good</v>
      </c>
      <c r="V592" s="4" t="str">
        <f t="shared" si="50"/>
        <v>Excellent</v>
      </c>
      <c r="W592" s="4"/>
      <c r="X592" s="4"/>
      <c r="AJ592" s="4"/>
    </row>
    <row r="593" spans="1:36">
      <c r="A593" t="str">
        <f t="shared" si="46"/>
        <v>Priy25592</v>
      </c>
      <c r="B593">
        <v>592</v>
      </c>
      <c r="C593">
        <v>25</v>
      </c>
      <c r="D593">
        <v>3</v>
      </c>
      <c r="E593">
        <v>2022</v>
      </c>
      <c r="F593" s="1">
        <f t="shared" si="47"/>
        <v>44645</v>
      </c>
      <c r="G593" s="1" t="s">
        <v>475</v>
      </c>
      <c r="H593" s="2">
        <v>45069</v>
      </c>
      <c r="I593" t="s">
        <v>19</v>
      </c>
      <c r="J593">
        <v>1</v>
      </c>
      <c r="K593">
        <v>21369.41</v>
      </c>
      <c r="L593" t="s">
        <v>261</v>
      </c>
      <c r="M593">
        <v>25</v>
      </c>
      <c r="N593" t="s">
        <v>36</v>
      </c>
      <c r="O593" s="3" t="s">
        <v>28</v>
      </c>
      <c r="P593" t="s">
        <v>33</v>
      </c>
      <c r="Q593" t="s">
        <v>41</v>
      </c>
      <c r="R593">
        <v>3</v>
      </c>
      <c r="S593" t="s">
        <v>37</v>
      </c>
      <c r="T593" s="4">
        <f t="shared" si="48"/>
        <v>21369.41</v>
      </c>
      <c r="U593" s="4" t="str">
        <f t="shared" si="49"/>
        <v>Average</v>
      </c>
      <c r="V593" s="4" t="str">
        <f t="shared" si="50"/>
        <v>Low</v>
      </c>
      <c r="W593" s="4"/>
      <c r="X593" s="4"/>
      <c r="AJ593" s="4"/>
    </row>
    <row r="594" spans="1:36">
      <c r="A594" t="str">
        <f t="shared" si="46"/>
        <v>Jyot40593</v>
      </c>
      <c r="B594">
        <v>593</v>
      </c>
      <c r="C594">
        <v>25</v>
      </c>
      <c r="D594">
        <v>3</v>
      </c>
      <c r="E594">
        <v>2022</v>
      </c>
      <c r="F594" s="1">
        <f t="shared" si="47"/>
        <v>44645</v>
      </c>
      <c r="G594" s="1" t="s">
        <v>475</v>
      </c>
      <c r="H594" s="2">
        <v>45070</v>
      </c>
      <c r="I594" t="s">
        <v>38</v>
      </c>
      <c r="J594">
        <v>3</v>
      </c>
      <c r="K594">
        <v>50583.360000000001</v>
      </c>
      <c r="L594" t="s">
        <v>526</v>
      </c>
      <c r="M594">
        <v>40</v>
      </c>
      <c r="N594" t="s">
        <v>21</v>
      </c>
      <c r="O594" s="3" t="s">
        <v>22</v>
      </c>
      <c r="P594" t="s">
        <v>33</v>
      </c>
      <c r="Q594" t="s">
        <v>24</v>
      </c>
      <c r="R594">
        <v>5</v>
      </c>
      <c r="S594" t="s">
        <v>48</v>
      </c>
      <c r="T594" s="4">
        <f t="shared" si="48"/>
        <v>151750.08000000002</v>
      </c>
      <c r="U594" s="4" t="str">
        <f t="shared" si="49"/>
        <v>Good</v>
      </c>
      <c r="V594" s="4" t="str">
        <f t="shared" si="50"/>
        <v>Good</v>
      </c>
      <c r="W594" s="4"/>
      <c r="X594" s="4"/>
      <c r="AJ594" s="4"/>
    </row>
    <row r="595" spans="1:36">
      <c r="A595" t="str">
        <f t="shared" si="46"/>
        <v>Shru49594</v>
      </c>
      <c r="B595">
        <v>594</v>
      </c>
      <c r="C595">
        <v>26</v>
      </c>
      <c r="D595">
        <v>3</v>
      </c>
      <c r="E595">
        <v>2022</v>
      </c>
      <c r="F595" s="1">
        <f t="shared" si="47"/>
        <v>44646</v>
      </c>
      <c r="G595" s="1" t="s">
        <v>475</v>
      </c>
      <c r="H595" s="2">
        <v>45071</v>
      </c>
      <c r="I595" t="s">
        <v>26</v>
      </c>
      <c r="J595">
        <v>6</v>
      </c>
      <c r="K595">
        <v>15536.14</v>
      </c>
      <c r="L595" t="s">
        <v>140</v>
      </c>
      <c r="M595">
        <v>49</v>
      </c>
      <c r="N595" t="s">
        <v>61</v>
      </c>
      <c r="O595" s="3" t="s">
        <v>22</v>
      </c>
      <c r="P595" t="s">
        <v>45</v>
      </c>
      <c r="Q595" t="s">
        <v>24</v>
      </c>
      <c r="R595">
        <v>5</v>
      </c>
      <c r="S595" t="s">
        <v>34</v>
      </c>
      <c r="T595" s="4">
        <f t="shared" si="48"/>
        <v>93216.84</v>
      </c>
      <c r="U595" s="4" t="str">
        <f t="shared" si="49"/>
        <v>Good</v>
      </c>
      <c r="V595" s="4" t="str">
        <f t="shared" si="50"/>
        <v>Average</v>
      </c>
      <c r="W595" s="4"/>
      <c r="X595" s="4"/>
      <c r="AJ595" s="4"/>
    </row>
    <row r="596" spans="1:36">
      <c r="A596" t="str">
        <f t="shared" si="46"/>
        <v>Amit35595</v>
      </c>
      <c r="B596">
        <v>595</v>
      </c>
      <c r="C596">
        <v>26</v>
      </c>
      <c r="D596">
        <v>3</v>
      </c>
      <c r="E596">
        <v>2022</v>
      </c>
      <c r="F596" s="1">
        <f t="shared" si="47"/>
        <v>44646</v>
      </c>
      <c r="G596" s="1" t="s">
        <v>475</v>
      </c>
      <c r="H596" s="2">
        <v>45072</v>
      </c>
      <c r="I596" t="s">
        <v>19</v>
      </c>
      <c r="J596">
        <v>7</v>
      </c>
      <c r="K596">
        <v>53771.02</v>
      </c>
      <c r="L596" t="s">
        <v>527</v>
      </c>
      <c r="M596">
        <v>35</v>
      </c>
      <c r="N596" t="s">
        <v>21</v>
      </c>
      <c r="O596" s="3" t="s">
        <v>28</v>
      </c>
      <c r="P596" t="s">
        <v>150</v>
      </c>
      <c r="Q596" t="s">
        <v>30</v>
      </c>
      <c r="R596">
        <v>3</v>
      </c>
      <c r="S596" t="s">
        <v>37</v>
      </c>
      <c r="T596" s="4">
        <f t="shared" si="48"/>
        <v>376397.13999999996</v>
      </c>
      <c r="U596" s="4" t="str">
        <f t="shared" si="49"/>
        <v>Average</v>
      </c>
      <c r="V596" s="4" t="str">
        <f t="shared" si="50"/>
        <v>Excellent</v>
      </c>
      <c r="W596" s="4"/>
      <c r="X596" s="4"/>
      <c r="AJ596" s="4"/>
    </row>
    <row r="597" spans="1:36">
      <c r="A597" t="str">
        <f t="shared" si="46"/>
        <v>Vino55596</v>
      </c>
      <c r="B597">
        <v>596</v>
      </c>
      <c r="C597">
        <v>26</v>
      </c>
      <c r="D597">
        <v>3</v>
      </c>
      <c r="E597">
        <v>2022</v>
      </c>
      <c r="F597" s="1">
        <f t="shared" si="47"/>
        <v>44646</v>
      </c>
      <c r="G597" s="1" t="s">
        <v>475</v>
      </c>
      <c r="H597" s="2">
        <v>45073</v>
      </c>
      <c r="I597" t="s">
        <v>26</v>
      </c>
      <c r="J597">
        <v>8</v>
      </c>
      <c r="K597">
        <v>30837.26</v>
      </c>
      <c r="L597" t="s">
        <v>192</v>
      </c>
      <c r="M597">
        <v>55</v>
      </c>
      <c r="N597" t="s">
        <v>61</v>
      </c>
      <c r="O597" s="3" t="s">
        <v>28</v>
      </c>
      <c r="P597" t="s">
        <v>64</v>
      </c>
      <c r="Q597" t="s">
        <v>24</v>
      </c>
      <c r="R597">
        <v>3</v>
      </c>
      <c r="S597" t="s">
        <v>34</v>
      </c>
      <c r="T597" s="4">
        <f t="shared" si="48"/>
        <v>246698.08</v>
      </c>
      <c r="U597" s="4" t="str">
        <f t="shared" si="49"/>
        <v>Average</v>
      </c>
      <c r="V597" s="4" t="str">
        <f t="shared" si="50"/>
        <v>Excellent</v>
      </c>
      <c r="W597" s="4"/>
      <c r="X597" s="4"/>
      <c r="AJ597" s="4"/>
    </row>
    <row r="598" spans="1:36">
      <c r="A598" t="str">
        <f t="shared" si="46"/>
        <v>Anja29597</v>
      </c>
      <c r="B598">
        <v>597</v>
      </c>
      <c r="C598">
        <v>27</v>
      </c>
      <c r="D598">
        <v>3</v>
      </c>
      <c r="E598">
        <v>2022</v>
      </c>
      <c r="F598" s="1">
        <f t="shared" si="47"/>
        <v>44647</v>
      </c>
      <c r="G598" s="1" t="s">
        <v>475</v>
      </c>
      <c r="H598" s="2">
        <v>45074</v>
      </c>
      <c r="I598" t="s">
        <v>19</v>
      </c>
      <c r="J598">
        <v>4</v>
      </c>
      <c r="K598">
        <v>50863.01</v>
      </c>
      <c r="L598" t="s">
        <v>528</v>
      </c>
      <c r="M598">
        <v>29</v>
      </c>
      <c r="N598" t="s">
        <v>36</v>
      </c>
      <c r="O598" s="3" t="s">
        <v>22</v>
      </c>
      <c r="P598" t="s">
        <v>33</v>
      </c>
      <c r="Q598" t="s">
        <v>30</v>
      </c>
      <c r="R598">
        <v>5</v>
      </c>
      <c r="S598" t="s">
        <v>84</v>
      </c>
      <c r="T598" s="4">
        <f t="shared" si="48"/>
        <v>203452.04</v>
      </c>
      <c r="U598" s="4" t="str">
        <f t="shared" si="49"/>
        <v>Good</v>
      </c>
      <c r="V598" s="4" t="str">
        <f t="shared" si="50"/>
        <v>Excellent</v>
      </c>
      <c r="W598" s="4"/>
      <c r="X598" s="4"/>
      <c r="AJ598" s="4"/>
    </row>
    <row r="599" spans="1:36">
      <c r="A599" t="str">
        <f t="shared" si="46"/>
        <v>Deve32598</v>
      </c>
      <c r="B599">
        <v>598</v>
      </c>
      <c r="C599">
        <v>27</v>
      </c>
      <c r="D599">
        <v>3</v>
      </c>
      <c r="E599">
        <v>2022</v>
      </c>
      <c r="F599" s="1">
        <f t="shared" si="47"/>
        <v>44647</v>
      </c>
      <c r="G599" s="1" t="s">
        <v>475</v>
      </c>
      <c r="H599" s="2">
        <v>45075</v>
      </c>
      <c r="I599" t="s">
        <v>43</v>
      </c>
      <c r="J599">
        <v>3</v>
      </c>
      <c r="K599">
        <v>32372.59</v>
      </c>
      <c r="L599" t="s">
        <v>422</v>
      </c>
      <c r="M599">
        <v>32</v>
      </c>
      <c r="N599" t="s">
        <v>21</v>
      </c>
      <c r="O599" s="3" t="s">
        <v>22</v>
      </c>
      <c r="P599" t="s">
        <v>110</v>
      </c>
      <c r="Q599" t="s">
        <v>56</v>
      </c>
      <c r="R599">
        <v>5</v>
      </c>
      <c r="S599" t="s">
        <v>95</v>
      </c>
      <c r="T599" s="4">
        <f t="shared" si="48"/>
        <v>97117.77</v>
      </c>
      <c r="U599" s="4" t="str">
        <f t="shared" si="49"/>
        <v>Good</v>
      </c>
      <c r="V599" s="4" t="str">
        <f t="shared" si="50"/>
        <v>Average</v>
      </c>
      <c r="W599" s="4"/>
      <c r="X599" s="4"/>
      <c r="AJ599" s="4"/>
    </row>
    <row r="600" spans="1:36">
      <c r="A600" t="str">
        <f t="shared" si="46"/>
        <v>Deep45599</v>
      </c>
      <c r="B600">
        <v>599</v>
      </c>
      <c r="C600">
        <v>27</v>
      </c>
      <c r="D600">
        <v>3</v>
      </c>
      <c r="E600">
        <v>2022</v>
      </c>
      <c r="F600" s="1">
        <f t="shared" si="47"/>
        <v>44647</v>
      </c>
      <c r="G600" s="1" t="s">
        <v>475</v>
      </c>
      <c r="H600" s="2">
        <v>45076</v>
      </c>
      <c r="I600" t="s">
        <v>26</v>
      </c>
      <c r="J600">
        <v>5</v>
      </c>
      <c r="K600">
        <v>18734.05</v>
      </c>
      <c r="L600" t="s">
        <v>294</v>
      </c>
      <c r="M600">
        <v>45</v>
      </c>
      <c r="N600" t="s">
        <v>21</v>
      </c>
      <c r="O600" s="3" t="s">
        <v>22</v>
      </c>
      <c r="P600" t="s">
        <v>29</v>
      </c>
      <c r="Q600" t="s">
        <v>56</v>
      </c>
      <c r="R600">
        <v>5</v>
      </c>
      <c r="S600" t="s">
        <v>31</v>
      </c>
      <c r="T600" s="4">
        <f t="shared" si="48"/>
        <v>93670.25</v>
      </c>
      <c r="U600" s="4" t="str">
        <f t="shared" si="49"/>
        <v>Good</v>
      </c>
      <c r="V600" s="4" t="str">
        <f t="shared" si="50"/>
        <v>Average</v>
      </c>
      <c r="W600" s="4"/>
      <c r="X600" s="4"/>
      <c r="AJ600" s="4"/>
    </row>
    <row r="601" spans="1:36">
      <c r="A601" t="str">
        <f t="shared" si="46"/>
        <v>Mala55600</v>
      </c>
      <c r="B601">
        <v>600</v>
      </c>
      <c r="C601">
        <v>27</v>
      </c>
      <c r="D601">
        <v>3</v>
      </c>
      <c r="E601">
        <v>2022</v>
      </c>
      <c r="F601" s="1">
        <f t="shared" si="47"/>
        <v>44647</v>
      </c>
      <c r="G601" s="1" t="s">
        <v>475</v>
      </c>
      <c r="H601" s="2">
        <v>45077</v>
      </c>
      <c r="I601" t="s">
        <v>38</v>
      </c>
      <c r="J601">
        <v>9</v>
      </c>
      <c r="K601">
        <v>34366.6</v>
      </c>
      <c r="L601" t="s">
        <v>383</v>
      </c>
      <c r="M601">
        <v>55</v>
      </c>
      <c r="N601" t="s">
        <v>61</v>
      </c>
      <c r="O601" s="3" t="s">
        <v>28</v>
      </c>
      <c r="P601" t="s">
        <v>29</v>
      </c>
      <c r="Q601" t="s">
        <v>56</v>
      </c>
      <c r="R601">
        <v>3</v>
      </c>
      <c r="S601" t="s">
        <v>48</v>
      </c>
      <c r="T601" s="4">
        <f t="shared" si="48"/>
        <v>309299.39999999997</v>
      </c>
      <c r="U601" s="4" t="str">
        <f t="shared" si="49"/>
        <v>Average</v>
      </c>
      <c r="V601" s="4" t="str">
        <f t="shared" si="50"/>
        <v>Excellent</v>
      </c>
      <c r="W601" s="4"/>
      <c r="X601" s="4"/>
      <c r="AJ601" s="4"/>
    </row>
    <row r="602" spans="1:36">
      <c r="A602" t="str">
        <f t="shared" si="46"/>
        <v>Hari48601</v>
      </c>
      <c r="B602">
        <v>601</v>
      </c>
      <c r="C602">
        <v>28</v>
      </c>
      <c r="D602">
        <v>3</v>
      </c>
      <c r="E602">
        <v>2022</v>
      </c>
      <c r="F602" s="1">
        <f t="shared" si="47"/>
        <v>44648</v>
      </c>
      <c r="G602" s="1" t="s">
        <v>475</v>
      </c>
      <c r="H602" s="2">
        <v>45078</v>
      </c>
      <c r="I602" t="s">
        <v>38</v>
      </c>
      <c r="J602">
        <v>6</v>
      </c>
      <c r="K602">
        <v>16760.41</v>
      </c>
      <c r="L602" t="s">
        <v>409</v>
      </c>
      <c r="M602">
        <v>48</v>
      </c>
      <c r="N602" t="s">
        <v>61</v>
      </c>
      <c r="O602" s="3" t="s">
        <v>22</v>
      </c>
      <c r="P602" t="s">
        <v>33</v>
      </c>
      <c r="Q602" t="s">
        <v>24</v>
      </c>
      <c r="R602">
        <v>4</v>
      </c>
      <c r="S602" t="s">
        <v>99</v>
      </c>
      <c r="T602" s="4">
        <f t="shared" si="48"/>
        <v>100562.45999999999</v>
      </c>
      <c r="U602" s="4" t="str">
        <f t="shared" si="49"/>
        <v>Good</v>
      </c>
      <c r="V602" s="4" t="str">
        <f t="shared" si="50"/>
        <v>Good</v>
      </c>
      <c r="W602" s="4"/>
      <c r="X602" s="4"/>
      <c r="AJ602" s="4"/>
    </row>
    <row r="603" spans="1:36">
      <c r="A603" t="str">
        <f t="shared" si="46"/>
        <v>Lata26602</v>
      </c>
      <c r="B603">
        <v>602</v>
      </c>
      <c r="C603">
        <v>28</v>
      </c>
      <c r="D603">
        <v>3</v>
      </c>
      <c r="E603">
        <v>2022</v>
      </c>
      <c r="F603" s="1">
        <f t="shared" si="47"/>
        <v>44648</v>
      </c>
      <c r="G603" s="1" t="s">
        <v>475</v>
      </c>
      <c r="H603" s="2">
        <v>45079</v>
      </c>
      <c r="I603" t="s">
        <v>49</v>
      </c>
      <c r="J603">
        <v>9</v>
      </c>
      <c r="K603">
        <v>44613</v>
      </c>
      <c r="L603" t="s">
        <v>127</v>
      </c>
      <c r="M603">
        <v>26</v>
      </c>
      <c r="N603" t="s">
        <v>36</v>
      </c>
      <c r="O603" s="3" t="s">
        <v>22</v>
      </c>
      <c r="P603" t="s">
        <v>150</v>
      </c>
      <c r="Q603" t="s">
        <v>24</v>
      </c>
      <c r="R603">
        <v>5</v>
      </c>
      <c r="S603" t="s">
        <v>88</v>
      </c>
      <c r="T603" s="4">
        <f t="shared" si="48"/>
        <v>401517</v>
      </c>
      <c r="U603" s="4" t="str">
        <f t="shared" si="49"/>
        <v>Good</v>
      </c>
      <c r="V603" s="4" t="str">
        <f t="shared" si="50"/>
        <v>Excellent</v>
      </c>
      <c r="W603" s="4"/>
      <c r="X603" s="4"/>
      <c r="AJ603" s="4"/>
    </row>
    <row r="604" spans="1:36">
      <c r="A604" t="str">
        <f t="shared" si="46"/>
        <v>Deep25603</v>
      </c>
      <c r="B604">
        <v>603</v>
      </c>
      <c r="C604">
        <v>28</v>
      </c>
      <c r="D604">
        <v>3</v>
      </c>
      <c r="E604">
        <v>2022</v>
      </c>
      <c r="F604" s="1">
        <f t="shared" si="47"/>
        <v>44648</v>
      </c>
      <c r="G604" s="1" t="s">
        <v>475</v>
      </c>
      <c r="H604" s="2">
        <v>45080</v>
      </c>
      <c r="I604" t="s">
        <v>19</v>
      </c>
      <c r="J604">
        <v>6</v>
      </c>
      <c r="K604">
        <v>12457.09</v>
      </c>
      <c r="L604" t="s">
        <v>142</v>
      </c>
      <c r="M604">
        <v>25</v>
      </c>
      <c r="N604" t="s">
        <v>36</v>
      </c>
      <c r="O604" s="3" t="s">
        <v>22</v>
      </c>
      <c r="P604" t="s">
        <v>110</v>
      </c>
      <c r="Q604" t="s">
        <v>41</v>
      </c>
      <c r="R604">
        <v>4</v>
      </c>
      <c r="S604" t="s">
        <v>37</v>
      </c>
      <c r="T604" s="4">
        <f t="shared" si="48"/>
        <v>74742.540000000008</v>
      </c>
      <c r="U604" s="4" t="str">
        <f t="shared" si="49"/>
        <v>Good</v>
      </c>
      <c r="V604" s="4" t="str">
        <f t="shared" si="50"/>
        <v>Average</v>
      </c>
      <c r="W604" s="4"/>
      <c r="X604" s="4"/>
      <c r="AJ604" s="4"/>
    </row>
    <row r="605" spans="1:36">
      <c r="A605" t="str">
        <f t="shared" si="46"/>
        <v>Shru36604</v>
      </c>
      <c r="B605">
        <v>604</v>
      </c>
      <c r="C605">
        <v>28</v>
      </c>
      <c r="D605">
        <v>3</v>
      </c>
      <c r="E605">
        <v>2022</v>
      </c>
      <c r="F605" s="1">
        <f t="shared" si="47"/>
        <v>44648</v>
      </c>
      <c r="G605" s="1" t="s">
        <v>475</v>
      </c>
      <c r="H605" s="2">
        <v>45081</v>
      </c>
      <c r="I605" t="s">
        <v>26</v>
      </c>
      <c r="J605">
        <v>2</v>
      </c>
      <c r="K605">
        <v>41639.18</v>
      </c>
      <c r="L605" t="s">
        <v>140</v>
      </c>
      <c r="M605">
        <v>36</v>
      </c>
      <c r="N605" t="s">
        <v>21</v>
      </c>
      <c r="O605" s="3" t="s">
        <v>22</v>
      </c>
      <c r="P605" t="s">
        <v>132</v>
      </c>
      <c r="Q605" t="s">
        <v>24</v>
      </c>
      <c r="R605">
        <v>5</v>
      </c>
      <c r="S605" t="s">
        <v>31</v>
      </c>
      <c r="T605" s="4">
        <f t="shared" si="48"/>
        <v>83278.36</v>
      </c>
      <c r="U605" s="4" t="str">
        <f t="shared" si="49"/>
        <v>Good</v>
      </c>
      <c r="V605" s="4" t="str">
        <f t="shared" si="50"/>
        <v>Average</v>
      </c>
      <c r="W605" s="4"/>
      <c r="X605" s="4"/>
      <c r="AJ605" s="4"/>
    </row>
    <row r="606" spans="1:36">
      <c r="A606" t="str">
        <f t="shared" si="46"/>
        <v>Hari25605</v>
      </c>
      <c r="B606">
        <v>605</v>
      </c>
      <c r="C606">
        <v>29</v>
      </c>
      <c r="D606">
        <v>3</v>
      </c>
      <c r="E606">
        <v>2022</v>
      </c>
      <c r="F606" s="1">
        <f t="shared" si="47"/>
        <v>44649</v>
      </c>
      <c r="G606" s="1" t="s">
        <v>475</v>
      </c>
      <c r="H606" s="2">
        <v>45082</v>
      </c>
      <c r="I606" t="s">
        <v>49</v>
      </c>
      <c r="J606">
        <v>5</v>
      </c>
      <c r="K606">
        <v>63182.12</v>
      </c>
      <c r="L606" t="s">
        <v>529</v>
      </c>
      <c r="M606">
        <v>25</v>
      </c>
      <c r="N606" t="s">
        <v>36</v>
      </c>
      <c r="O606" s="3" t="s">
        <v>22</v>
      </c>
      <c r="P606" t="s">
        <v>137</v>
      </c>
      <c r="Q606" t="s">
        <v>30</v>
      </c>
      <c r="R606">
        <v>5</v>
      </c>
      <c r="S606" t="s">
        <v>52</v>
      </c>
      <c r="T606" s="4">
        <f t="shared" si="48"/>
        <v>315910.60000000003</v>
      </c>
      <c r="U606" s="4" t="str">
        <f t="shared" si="49"/>
        <v>Good</v>
      </c>
      <c r="V606" s="4" t="str">
        <f t="shared" si="50"/>
        <v>Excellent</v>
      </c>
      <c r="W606" s="4"/>
      <c r="X606" s="4"/>
      <c r="AJ606" s="4"/>
    </row>
    <row r="607" spans="1:36">
      <c r="A607" t="str">
        <f t="shared" si="46"/>
        <v>Raje51606</v>
      </c>
      <c r="B607">
        <v>606</v>
      </c>
      <c r="C607">
        <v>29</v>
      </c>
      <c r="D607">
        <v>3</v>
      </c>
      <c r="E607">
        <v>2022</v>
      </c>
      <c r="F607" s="1">
        <f t="shared" si="47"/>
        <v>44649</v>
      </c>
      <c r="G607" s="1" t="s">
        <v>475</v>
      </c>
      <c r="H607" s="2">
        <v>45083</v>
      </c>
      <c r="I607" t="s">
        <v>26</v>
      </c>
      <c r="J607">
        <v>9</v>
      </c>
      <c r="K607">
        <v>60272.4</v>
      </c>
      <c r="L607" t="s">
        <v>530</v>
      </c>
      <c r="M607">
        <v>51</v>
      </c>
      <c r="N607" t="s">
        <v>61</v>
      </c>
      <c r="O607" s="3" t="s">
        <v>22</v>
      </c>
      <c r="P607" t="s">
        <v>33</v>
      </c>
      <c r="Q607" t="s">
        <v>41</v>
      </c>
      <c r="R607">
        <v>4</v>
      </c>
      <c r="S607" t="s">
        <v>67</v>
      </c>
      <c r="T607" s="4">
        <f t="shared" si="48"/>
        <v>542451.6</v>
      </c>
      <c r="U607" s="4" t="str">
        <f t="shared" si="49"/>
        <v>Good</v>
      </c>
      <c r="V607" s="4" t="str">
        <f t="shared" si="50"/>
        <v>Excellent</v>
      </c>
      <c r="W607" s="4"/>
      <c r="X607" s="4"/>
      <c r="AJ607" s="4"/>
    </row>
    <row r="608" spans="1:36">
      <c r="A608" t="str">
        <f t="shared" si="46"/>
        <v>Sach21607</v>
      </c>
      <c r="B608">
        <v>607</v>
      </c>
      <c r="C608">
        <v>29</v>
      </c>
      <c r="D608">
        <v>3</v>
      </c>
      <c r="E608">
        <v>2022</v>
      </c>
      <c r="F608" s="1">
        <f t="shared" si="47"/>
        <v>44649</v>
      </c>
      <c r="G608" s="1" t="s">
        <v>475</v>
      </c>
      <c r="H608" s="2">
        <v>45084</v>
      </c>
      <c r="I608" t="s">
        <v>19</v>
      </c>
      <c r="J608">
        <v>8</v>
      </c>
      <c r="K608">
        <v>62966.9</v>
      </c>
      <c r="L608" t="s">
        <v>531</v>
      </c>
      <c r="M608">
        <v>21</v>
      </c>
      <c r="N608" t="s">
        <v>36</v>
      </c>
      <c r="O608" s="3" t="s">
        <v>22</v>
      </c>
      <c r="P608" t="s">
        <v>33</v>
      </c>
      <c r="Q608" t="s">
        <v>24</v>
      </c>
      <c r="R608">
        <v>5</v>
      </c>
      <c r="S608" t="s">
        <v>37</v>
      </c>
      <c r="T608" s="4">
        <f t="shared" si="48"/>
        <v>503735.2</v>
      </c>
      <c r="U608" s="4" t="str">
        <f t="shared" si="49"/>
        <v>Good</v>
      </c>
      <c r="V608" s="4" t="str">
        <f t="shared" si="50"/>
        <v>Excellent</v>
      </c>
      <c r="W608" s="4"/>
      <c r="X608" s="4"/>
      <c r="AJ608" s="4"/>
    </row>
    <row r="609" spans="1:36">
      <c r="A609" t="str">
        <f t="shared" si="46"/>
        <v>Raje48608</v>
      </c>
      <c r="B609">
        <v>608</v>
      </c>
      <c r="C609">
        <v>30</v>
      </c>
      <c r="D609">
        <v>3</v>
      </c>
      <c r="E609">
        <v>2022</v>
      </c>
      <c r="F609" s="1">
        <f t="shared" si="47"/>
        <v>44650</v>
      </c>
      <c r="G609" s="1" t="s">
        <v>475</v>
      </c>
      <c r="H609" s="2">
        <v>45085</v>
      </c>
      <c r="I609" t="s">
        <v>38</v>
      </c>
      <c r="J609">
        <v>7</v>
      </c>
      <c r="K609">
        <v>65322.93</v>
      </c>
      <c r="L609" t="s">
        <v>532</v>
      </c>
      <c r="M609">
        <v>48</v>
      </c>
      <c r="N609" t="s">
        <v>61</v>
      </c>
      <c r="O609" s="3" t="s">
        <v>22</v>
      </c>
      <c r="P609" t="s">
        <v>66</v>
      </c>
      <c r="Q609" t="s">
        <v>41</v>
      </c>
      <c r="R609">
        <v>4</v>
      </c>
      <c r="S609" t="s">
        <v>48</v>
      </c>
      <c r="T609" s="4">
        <f t="shared" si="48"/>
        <v>457260.51</v>
      </c>
      <c r="U609" s="4" t="str">
        <f t="shared" si="49"/>
        <v>Good</v>
      </c>
      <c r="V609" s="4" t="str">
        <f t="shared" si="50"/>
        <v>Excellent</v>
      </c>
      <c r="W609" s="4"/>
      <c r="X609" s="4"/>
      <c r="AJ609" s="4"/>
    </row>
    <row r="610" spans="1:36">
      <c r="A610" t="str">
        <f t="shared" si="46"/>
        <v>Sneh55609</v>
      </c>
      <c r="B610">
        <v>609</v>
      </c>
      <c r="C610">
        <v>30</v>
      </c>
      <c r="D610">
        <v>3</v>
      </c>
      <c r="E610">
        <v>2022</v>
      </c>
      <c r="F610" s="1">
        <f t="shared" si="47"/>
        <v>44650</v>
      </c>
      <c r="G610" s="1" t="s">
        <v>475</v>
      </c>
      <c r="H610" s="2">
        <v>45086</v>
      </c>
      <c r="I610" t="s">
        <v>43</v>
      </c>
      <c r="J610">
        <v>1</v>
      </c>
      <c r="K610">
        <v>16271.67</v>
      </c>
      <c r="L610" t="s">
        <v>533</v>
      </c>
      <c r="M610">
        <v>55</v>
      </c>
      <c r="N610" t="s">
        <v>61</v>
      </c>
      <c r="O610" s="3" t="s">
        <v>22</v>
      </c>
      <c r="P610" t="s">
        <v>70</v>
      </c>
      <c r="Q610" t="s">
        <v>24</v>
      </c>
      <c r="R610">
        <v>5</v>
      </c>
      <c r="S610" t="s">
        <v>46</v>
      </c>
      <c r="T610" s="4">
        <f t="shared" si="48"/>
        <v>16271.67</v>
      </c>
      <c r="U610" s="4" t="str">
        <f t="shared" si="49"/>
        <v>Good</v>
      </c>
      <c r="V610" s="4" t="str">
        <f t="shared" si="50"/>
        <v>Low</v>
      </c>
      <c r="W610" s="4"/>
      <c r="X610" s="4"/>
      <c r="AJ610" s="4"/>
    </row>
    <row r="611" spans="1:36">
      <c r="A611" t="str">
        <f t="shared" si="46"/>
        <v>Sach20610</v>
      </c>
      <c r="B611">
        <v>610</v>
      </c>
      <c r="C611">
        <v>30</v>
      </c>
      <c r="D611">
        <v>3</v>
      </c>
      <c r="E611">
        <v>2022</v>
      </c>
      <c r="F611" s="1">
        <f t="shared" si="47"/>
        <v>44650</v>
      </c>
      <c r="G611" s="1" t="s">
        <v>475</v>
      </c>
      <c r="H611" s="2">
        <v>45087</v>
      </c>
      <c r="I611" t="s">
        <v>38</v>
      </c>
      <c r="J611">
        <v>4</v>
      </c>
      <c r="K611">
        <v>17724.830000000002</v>
      </c>
      <c r="L611" t="s">
        <v>534</v>
      </c>
      <c r="M611">
        <v>20</v>
      </c>
      <c r="N611" t="s">
        <v>36</v>
      </c>
      <c r="O611" s="3" t="s">
        <v>22</v>
      </c>
      <c r="P611" t="s">
        <v>77</v>
      </c>
      <c r="Q611" t="s">
        <v>30</v>
      </c>
      <c r="R611">
        <v>5</v>
      </c>
      <c r="S611" t="s">
        <v>48</v>
      </c>
      <c r="T611" s="4">
        <f t="shared" si="48"/>
        <v>70899.320000000007</v>
      </c>
      <c r="U611" s="4" t="str">
        <f t="shared" si="49"/>
        <v>Good</v>
      </c>
      <c r="V611" s="4" t="str">
        <f t="shared" si="50"/>
        <v>Average</v>
      </c>
      <c r="W611" s="4"/>
      <c r="X611" s="4"/>
      <c r="AJ611" s="4"/>
    </row>
    <row r="612" spans="1:36">
      <c r="A612" t="str">
        <f t="shared" si="46"/>
        <v>Lata52611</v>
      </c>
      <c r="B612">
        <v>611</v>
      </c>
      <c r="C612">
        <v>31</v>
      </c>
      <c r="D612">
        <v>3</v>
      </c>
      <c r="E612">
        <v>2022</v>
      </c>
      <c r="F612" s="1">
        <f t="shared" si="47"/>
        <v>44651</v>
      </c>
      <c r="G612" s="1" t="s">
        <v>475</v>
      </c>
      <c r="H612" s="2">
        <v>45088</v>
      </c>
      <c r="I612" t="s">
        <v>49</v>
      </c>
      <c r="J612">
        <v>7</v>
      </c>
      <c r="K612">
        <v>43420.41</v>
      </c>
      <c r="L612" t="s">
        <v>535</v>
      </c>
      <c r="M612">
        <v>52</v>
      </c>
      <c r="N612" t="s">
        <v>61</v>
      </c>
      <c r="O612" s="3" t="s">
        <v>22</v>
      </c>
      <c r="P612" t="s">
        <v>110</v>
      </c>
      <c r="Q612" t="s">
        <v>56</v>
      </c>
      <c r="R612">
        <v>5</v>
      </c>
      <c r="S612" t="s">
        <v>102</v>
      </c>
      <c r="T612" s="4">
        <f t="shared" si="48"/>
        <v>303942.87</v>
      </c>
      <c r="U612" s="4" t="str">
        <f t="shared" si="49"/>
        <v>Good</v>
      </c>
      <c r="V612" s="4" t="str">
        <f t="shared" si="50"/>
        <v>Excellent</v>
      </c>
      <c r="W612" s="4"/>
      <c r="X612" s="4"/>
      <c r="AJ612" s="4"/>
    </row>
    <row r="613" spans="1:36">
      <c r="A613" t="str">
        <f t="shared" si="46"/>
        <v>Sach36612</v>
      </c>
      <c r="B613">
        <v>612</v>
      </c>
      <c r="C613">
        <v>31</v>
      </c>
      <c r="D613">
        <v>3</v>
      </c>
      <c r="E613">
        <v>2022</v>
      </c>
      <c r="F613" s="1">
        <f t="shared" si="47"/>
        <v>44651</v>
      </c>
      <c r="G613" s="1" t="s">
        <v>475</v>
      </c>
      <c r="H613" s="2">
        <v>45089</v>
      </c>
      <c r="I613" t="s">
        <v>43</v>
      </c>
      <c r="J613">
        <v>7</v>
      </c>
      <c r="K613">
        <v>63638.36</v>
      </c>
      <c r="L613" t="s">
        <v>536</v>
      </c>
      <c r="M613">
        <v>36</v>
      </c>
      <c r="N613" t="s">
        <v>21</v>
      </c>
      <c r="O613" s="3" t="s">
        <v>22</v>
      </c>
      <c r="P613" t="s">
        <v>29</v>
      </c>
      <c r="Q613" t="s">
        <v>56</v>
      </c>
      <c r="R613">
        <v>4</v>
      </c>
      <c r="S613" t="s">
        <v>95</v>
      </c>
      <c r="T613" s="4">
        <f t="shared" si="48"/>
        <v>445468.52</v>
      </c>
      <c r="U613" s="4" t="str">
        <f t="shared" si="49"/>
        <v>Good</v>
      </c>
      <c r="V613" s="4" t="str">
        <f t="shared" si="50"/>
        <v>Excellent</v>
      </c>
      <c r="W613" s="4"/>
      <c r="X613" s="4"/>
      <c r="AJ613" s="4"/>
    </row>
    <row r="614" spans="1:36">
      <c r="A614" t="str">
        <f t="shared" si="46"/>
        <v>Roha46613</v>
      </c>
      <c r="B614">
        <v>613</v>
      </c>
      <c r="C614">
        <v>31</v>
      </c>
      <c r="D614">
        <v>3</v>
      </c>
      <c r="E614">
        <v>2022</v>
      </c>
      <c r="F614" s="1">
        <f t="shared" si="47"/>
        <v>44651</v>
      </c>
      <c r="G614" s="1" t="s">
        <v>475</v>
      </c>
      <c r="H614" s="2">
        <v>45090</v>
      </c>
      <c r="I614" t="s">
        <v>49</v>
      </c>
      <c r="J614">
        <v>6</v>
      </c>
      <c r="K614">
        <v>68460.97</v>
      </c>
      <c r="L614" t="s">
        <v>331</v>
      </c>
      <c r="M614">
        <v>46</v>
      </c>
      <c r="N614" t="s">
        <v>61</v>
      </c>
      <c r="O614" s="3" t="s">
        <v>22</v>
      </c>
      <c r="P614" t="s">
        <v>150</v>
      </c>
      <c r="Q614" t="s">
        <v>30</v>
      </c>
      <c r="R614">
        <v>4</v>
      </c>
      <c r="S614" t="s">
        <v>52</v>
      </c>
      <c r="T614" s="4">
        <f t="shared" si="48"/>
        <v>410765.82</v>
      </c>
      <c r="U614" s="4" t="str">
        <f t="shared" si="49"/>
        <v>Good</v>
      </c>
      <c r="V614" s="4" t="str">
        <f t="shared" si="50"/>
        <v>Excellent</v>
      </c>
      <c r="W614" s="4"/>
      <c r="X614" s="4"/>
      <c r="AJ614" s="4"/>
    </row>
    <row r="615" spans="1:36">
      <c r="A615" t="str">
        <f t="shared" si="46"/>
        <v>Vino27614</v>
      </c>
      <c r="B615">
        <v>614</v>
      </c>
      <c r="C615">
        <v>31</v>
      </c>
      <c r="D615">
        <v>3</v>
      </c>
      <c r="E615">
        <v>2022</v>
      </c>
      <c r="F615" s="1">
        <f t="shared" si="47"/>
        <v>44651</v>
      </c>
      <c r="G615" s="1" t="s">
        <v>475</v>
      </c>
      <c r="H615" s="2">
        <v>45091</v>
      </c>
      <c r="I615" t="s">
        <v>19</v>
      </c>
      <c r="J615">
        <v>8</v>
      </c>
      <c r="K615">
        <v>12775.72</v>
      </c>
      <c r="L615" t="s">
        <v>431</v>
      </c>
      <c r="M615">
        <v>27</v>
      </c>
      <c r="N615" t="s">
        <v>36</v>
      </c>
      <c r="O615" s="3" t="s">
        <v>22</v>
      </c>
      <c r="P615" t="s">
        <v>77</v>
      </c>
      <c r="Q615" t="s">
        <v>41</v>
      </c>
      <c r="R615">
        <v>4</v>
      </c>
      <c r="S615" t="s">
        <v>84</v>
      </c>
      <c r="T615" s="4">
        <f t="shared" si="48"/>
        <v>102205.75999999999</v>
      </c>
      <c r="U615" s="4" t="str">
        <f t="shared" si="49"/>
        <v>Good</v>
      </c>
      <c r="V615" s="4" t="str">
        <f t="shared" si="50"/>
        <v>Good</v>
      </c>
      <c r="W615" s="4"/>
      <c r="X615" s="4"/>
      <c r="AJ615" s="4"/>
    </row>
    <row r="616" spans="1:36">
      <c r="A616" t="str">
        <f t="shared" si="46"/>
        <v>Meen29615</v>
      </c>
      <c r="B616">
        <v>615</v>
      </c>
      <c r="C616">
        <v>1</v>
      </c>
      <c r="D616">
        <v>4</v>
      </c>
      <c r="E616">
        <v>2022</v>
      </c>
      <c r="F616" s="1">
        <f t="shared" si="47"/>
        <v>44652</v>
      </c>
      <c r="G616" s="1" t="s">
        <v>537</v>
      </c>
      <c r="H616" s="2">
        <v>45092</v>
      </c>
      <c r="I616" t="s">
        <v>43</v>
      </c>
      <c r="J616">
        <v>6</v>
      </c>
      <c r="K616">
        <v>31346.45</v>
      </c>
      <c r="L616" t="s">
        <v>538</v>
      </c>
      <c r="M616">
        <v>29</v>
      </c>
      <c r="N616" t="s">
        <v>36</v>
      </c>
      <c r="O616" s="3" t="s">
        <v>22</v>
      </c>
      <c r="P616" t="s">
        <v>110</v>
      </c>
      <c r="Q616" t="s">
        <v>56</v>
      </c>
      <c r="R616">
        <v>5</v>
      </c>
      <c r="S616" t="s">
        <v>46</v>
      </c>
      <c r="T616" s="4">
        <f t="shared" si="48"/>
        <v>188078.7</v>
      </c>
      <c r="U616" s="4" t="str">
        <f t="shared" si="49"/>
        <v>Good</v>
      </c>
      <c r="V616" s="4" t="str">
        <f t="shared" si="50"/>
        <v>Good</v>
      </c>
      <c r="W616" s="4"/>
      <c r="X616" s="4"/>
      <c r="AJ616" s="4"/>
    </row>
    <row r="617" spans="1:36">
      <c r="A617" t="str">
        <f t="shared" si="46"/>
        <v>Vino47616</v>
      </c>
      <c r="B617">
        <v>616</v>
      </c>
      <c r="C617">
        <v>1</v>
      </c>
      <c r="D617">
        <v>4</v>
      </c>
      <c r="E617">
        <v>2022</v>
      </c>
      <c r="F617" s="1">
        <f t="shared" si="47"/>
        <v>44652</v>
      </c>
      <c r="G617" s="1" t="s">
        <v>537</v>
      </c>
      <c r="H617" s="2">
        <v>45093</v>
      </c>
      <c r="I617" t="s">
        <v>49</v>
      </c>
      <c r="J617">
        <v>3</v>
      </c>
      <c r="K617">
        <v>22773.66</v>
      </c>
      <c r="L617" t="s">
        <v>539</v>
      </c>
      <c r="M617">
        <v>47</v>
      </c>
      <c r="N617" t="s">
        <v>61</v>
      </c>
      <c r="O617" s="3" t="s">
        <v>22</v>
      </c>
      <c r="P617" t="s">
        <v>33</v>
      </c>
      <c r="Q617" t="s">
        <v>24</v>
      </c>
      <c r="R617">
        <v>4</v>
      </c>
      <c r="S617" t="s">
        <v>88</v>
      </c>
      <c r="T617" s="4">
        <f t="shared" si="48"/>
        <v>68320.98</v>
      </c>
      <c r="U617" s="4" t="str">
        <f t="shared" si="49"/>
        <v>Good</v>
      </c>
      <c r="V617" s="4" t="str">
        <f t="shared" si="50"/>
        <v>Average</v>
      </c>
      <c r="W617" s="4"/>
      <c r="X617" s="4"/>
      <c r="AJ617" s="4"/>
    </row>
    <row r="618" spans="1:36">
      <c r="A618" t="str">
        <f t="shared" si="46"/>
        <v>Navi47617</v>
      </c>
      <c r="B618">
        <v>617</v>
      </c>
      <c r="C618">
        <v>1</v>
      </c>
      <c r="D618">
        <v>4</v>
      </c>
      <c r="E618">
        <v>2022</v>
      </c>
      <c r="F618" s="1">
        <f t="shared" si="47"/>
        <v>44652</v>
      </c>
      <c r="G618" s="1" t="s">
        <v>537</v>
      </c>
      <c r="H618" s="2">
        <v>45094</v>
      </c>
      <c r="I618" t="s">
        <v>19</v>
      </c>
      <c r="J618">
        <v>4</v>
      </c>
      <c r="K618">
        <v>55357.95</v>
      </c>
      <c r="L618" t="s">
        <v>540</v>
      </c>
      <c r="M618">
        <v>47</v>
      </c>
      <c r="N618" t="s">
        <v>61</v>
      </c>
      <c r="O618" s="3" t="s">
        <v>22</v>
      </c>
      <c r="P618" t="s">
        <v>114</v>
      </c>
      <c r="Q618" t="s">
        <v>24</v>
      </c>
      <c r="R618">
        <v>5</v>
      </c>
      <c r="S618" t="s">
        <v>25</v>
      </c>
      <c r="T618" s="4">
        <f t="shared" si="48"/>
        <v>221431.8</v>
      </c>
      <c r="U618" s="4" t="str">
        <f t="shared" si="49"/>
        <v>Good</v>
      </c>
      <c r="V618" s="4" t="str">
        <f t="shared" si="50"/>
        <v>Excellent</v>
      </c>
      <c r="W618" s="4"/>
      <c r="X618" s="4"/>
      <c r="AJ618" s="4"/>
    </row>
    <row r="619" spans="1:36">
      <c r="A619" t="str">
        <f t="shared" si="46"/>
        <v>Sneh35618</v>
      </c>
      <c r="B619">
        <v>618</v>
      </c>
      <c r="C619">
        <v>1</v>
      </c>
      <c r="D619">
        <v>4</v>
      </c>
      <c r="E619">
        <v>2022</v>
      </c>
      <c r="F619" s="1">
        <f t="shared" si="47"/>
        <v>44652</v>
      </c>
      <c r="G619" s="1" t="s">
        <v>537</v>
      </c>
      <c r="H619" s="2">
        <v>45095</v>
      </c>
      <c r="I619" t="s">
        <v>38</v>
      </c>
      <c r="J619">
        <v>3</v>
      </c>
      <c r="K619">
        <v>48411.63</v>
      </c>
      <c r="L619" t="s">
        <v>517</v>
      </c>
      <c r="M619">
        <v>35</v>
      </c>
      <c r="N619" t="s">
        <v>21</v>
      </c>
      <c r="O619" s="3" t="s">
        <v>22</v>
      </c>
      <c r="P619" t="s">
        <v>132</v>
      </c>
      <c r="Q619" t="s">
        <v>41</v>
      </c>
      <c r="R619">
        <v>4</v>
      </c>
      <c r="S619" t="s">
        <v>99</v>
      </c>
      <c r="T619" s="4">
        <f t="shared" si="48"/>
        <v>145234.88999999998</v>
      </c>
      <c r="U619" s="4" t="str">
        <f t="shared" si="49"/>
        <v>Good</v>
      </c>
      <c r="V619" s="4" t="str">
        <f t="shared" si="50"/>
        <v>Good</v>
      </c>
      <c r="W619" s="4"/>
      <c r="X619" s="4"/>
      <c r="AJ619" s="4"/>
    </row>
    <row r="620" spans="1:36">
      <c r="A620" t="str">
        <f t="shared" si="46"/>
        <v>Neet41619</v>
      </c>
      <c r="B620">
        <v>619</v>
      </c>
      <c r="C620">
        <v>2</v>
      </c>
      <c r="D620">
        <v>4</v>
      </c>
      <c r="E620">
        <v>2022</v>
      </c>
      <c r="F620" s="1">
        <f t="shared" si="47"/>
        <v>44653</v>
      </c>
      <c r="G620" s="1" t="s">
        <v>537</v>
      </c>
      <c r="H620" s="2">
        <v>45096</v>
      </c>
      <c r="I620" t="s">
        <v>19</v>
      </c>
      <c r="J620">
        <v>1</v>
      </c>
      <c r="K620">
        <v>17193.28</v>
      </c>
      <c r="L620" t="s">
        <v>541</v>
      </c>
      <c r="M620">
        <v>41</v>
      </c>
      <c r="N620" t="s">
        <v>21</v>
      </c>
      <c r="O620" s="3" t="s">
        <v>22</v>
      </c>
      <c r="P620" t="s">
        <v>64</v>
      </c>
      <c r="Q620" t="s">
        <v>41</v>
      </c>
      <c r="R620">
        <v>5</v>
      </c>
      <c r="S620" t="s">
        <v>25</v>
      </c>
      <c r="T620" s="4">
        <f t="shared" si="48"/>
        <v>17193.28</v>
      </c>
      <c r="U620" s="4" t="str">
        <f t="shared" si="49"/>
        <v>Good</v>
      </c>
      <c r="V620" s="4" t="str">
        <f t="shared" si="50"/>
        <v>Low</v>
      </c>
      <c r="W620" s="4"/>
      <c r="X620" s="4"/>
      <c r="AJ620" s="4"/>
    </row>
    <row r="621" spans="1:36">
      <c r="A621" t="str">
        <f t="shared" si="46"/>
        <v>Mala49620</v>
      </c>
      <c r="B621">
        <v>620</v>
      </c>
      <c r="C621">
        <v>2</v>
      </c>
      <c r="D621">
        <v>4</v>
      </c>
      <c r="E621">
        <v>2022</v>
      </c>
      <c r="F621" s="1">
        <f t="shared" si="47"/>
        <v>44653</v>
      </c>
      <c r="G621" s="1" t="s">
        <v>537</v>
      </c>
      <c r="H621" s="2">
        <v>45097</v>
      </c>
      <c r="I621" t="s">
        <v>26</v>
      </c>
      <c r="J621">
        <v>5</v>
      </c>
      <c r="K621">
        <v>39011.32</v>
      </c>
      <c r="L621" t="s">
        <v>542</v>
      </c>
      <c r="M621">
        <v>49</v>
      </c>
      <c r="N621" t="s">
        <v>61</v>
      </c>
      <c r="O621" s="3" t="s">
        <v>22</v>
      </c>
      <c r="P621" t="s">
        <v>23</v>
      </c>
      <c r="Q621" t="s">
        <v>30</v>
      </c>
      <c r="R621">
        <v>5</v>
      </c>
      <c r="S621" t="s">
        <v>67</v>
      </c>
      <c r="T621" s="4">
        <f t="shared" si="48"/>
        <v>195056.6</v>
      </c>
      <c r="U621" s="4" t="str">
        <f t="shared" si="49"/>
        <v>Good</v>
      </c>
      <c r="V621" s="4" t="str">
        <f t="shared" si="50"/>
        <v>Good</v>
      </c>
      <c r="W621" s="4"/>
      <c r="X621" s="4"/>
      <c r="AJ621" s="4"/>
    </row>
    <row r="622" spans="1:36">
      <c r="A622" t="str">
        <f t="shared" si="46"/>
        <v>Sanj26621</v>
      </c>
      <c r="B622">
        <v>621</v>
      </c>
      <c r="C622">
        <v>2</v>
      </c>
      <c r="D622">
        <v>4</v>
      </c>
      <c r="E622">
        <v>2022</v>
      </c>
      <c r="F622" s="1">
        <f t="shared" si="47"/>
        <v>44653</v>
      </c>
      <c r="G622" s="1" t="s">
        <v>537</v>
      </c>
      <c r="H622" s="2">
        <v>45098</v>
      </c>
      <c r="I622" t="s">
        <v>19</v>
      </c>
      <c r="J622">
        <v>1</v>
      </c>
      <c r="K622">
        <v>51126.43</v>
      </c>
      <c r="L622" t="s">
        <v>543</v>
      </c>
      <c r="M622">
        <v>26</v>
      </c>
      <c r="N622" t="s">
        <v>36</v>
      </c>
      <c r="O622" s="3" t="s">
        <v>22</v>
      </c>
      <c r="P622" t="s">
        <v>29</v>
      </c>
      <c r="Q622" t="s">
        <v>56</v>
      </c>
      <c r="R622">
        <v>5</v>
      </c>
      <c r="S622" t="s">
        <v>37</v>
      </c>
      <c r="T622" s="4">
        <f t="shared" si="48"/>
        <v>51126.43</v>
      </c>
      <c r="U622" s="4" t="str">
        <f t="shared" si="49"/>
        <v>Good</v>
      </c>
      <c r="V622" s="4" t="str">
        <f t="shared" si="50"/>
        <v>Average</v>
      </c>
      <c r="W622" s="4"/>
      <c r="X622" s="4"/>
      <c r="AJ622" s="4"/>
    </row>
    <row r="623" spans="1:36">
      <c r="A623" t="str">
        <f t="shared" si="46"/>
        <v>Raje41622</v>
      </c>
      <c r="B623">
        <v>622</v>
      </c>
      <c r="C623">
        <v>2</v>
      </c>
      <c r="D623">
        <v>4</v>
      </c>
      <c r="E623">
        <v>2022</v>
      </c>
      <c r="F623" s="1">
        <f t="shared" si="47"/>
        <v>44653</v>
      </c>
      <c r="G623" s="1" t="s">
        <v>537</v>
      </c>
      <c r="H623" s="2">
        <v>45099</v>
      </c>
      <c r="I623" t="s">
        <v>19</v>
      </c>
      <c r="J623">
        <v>1</v>
      </c>
      <c r="K623">
        <v>56740.32</v>
      </c>
      <c r="L623" t="s">
        <v>544</v>
      </c>
      <c r="M623">
        <v>41</v>
      </c>
      <c r="N623" t="s">
        <v>21</v>
      </c>
      <c r="O623" s="3" t="s">
        <v>22</v>
      </c>
      <c r="P623" t="s">
        <v>29</v>
      </c>
      <c r="Q623" t="s">
        <v>41</v>
      </c>
      <c r="R623">
        <v>5</v>
      </c>
      <c r="S623" t="s">
        <v>84</v>
      </c>
      <c r="T623" s="4">
        <f t="shared" si="48"/>
        <v>56740.32</v>
      </c>
      <c r="U623" s="4" t="str">
        <f t="shared" si="49"/>
        <v>Good</v>
      </c>
      <c r="V623" s="4" t="str">
        <f t="shared" si="50"/>
        <v>Average</v>
      </c>
      <c r="W623" s="4"/>
      <c r="X623" s="4"/>
      <c r="AJ623" s="4"/>
    </row>
    <row r="624" spans="1:36">
      <c r="A624" t="str">
        <f t="shared" si="46"/>
        <v>Nami43623</v>
      </c>
      <c r="B624">
        <v>623</v>
      </c>
      <c r="C624">
        <v>3</v>
      </c>
      <c r="D624">
        <v>4</v>
      </c>
      <c r="E624">
        <v>2022</v>
      </c>
      <c r="F624" s="1">
        <f t="shared" si="47"/>
        <v>44654</v>
      </c>
      <c r="G624" s="1" t="s">
        <v>537</v>
      </c>
      <c r="H624" s="2">
        <v>45100</v>
      </c>
      <c r="I624" t="s">
        <v>26</v>
      </c>
      <c r="J624">
        <v>2</v>
      </c>
      <c r="K624">
        <v>11203.16</v>
      </c>
      <c r="L624" t="s">
        <v>545</v>
      </c>
      <c r="M624">
        <v>43</v>
      </c>
      <c r="N624" t="s">
        <v>21</v>
      </c>
      <c r="O624" s="3" t="s">
        <v>22</v>
      </c>
      <c r="P624" t="s">
        <v>29</v>
      </c>
      <c r="Q624" t="s">
        <v>56</v>
      </c>
      <c r="R624">
        <v>5</v>
      </c>
      <c r="S624" t="s">
        <v>31</v>
      </c>
      <c r="T624" s="4">
        <f t="shared" si="48"/>
        <v>22406.32</v>
      </c>
      <c r="U624" s="4" t="str">
        <f t="shared" si="49"/>
        <v>Good</v>
      </c>
      <c r="V624" s="4" t="str">
        <f t="shared" si="50"/>
        <v>Low</v>
      </c>
      <c r="W624" s="4"/>
      <c r="X624" s="4"/>
      <c r="AJ624" s="4"/>
    </row>
    <row r="625" spans="1:36">
      <c r="A625" t="str">
        <f t="shared" si="46"/>
        <v>Ayes20624</v>
      </c>
      <c r="B625">
        <v>624</v>
      </c>
      <c r="C625">
        <v>3</v>
      </c>
      <c r="D625">
        <v>4</v>
      </c>
      <c r="E625">
        <v>2022</v>
      </c>
      <c r="F625" s="1">
        <f t="shared" si="47"/>
        <v>44654</v>
      </c>
      <c r="G625" s="1" t="s">
        <v>537</v>
      </c>
      <c r="H625" s="2">
        <v>45101</v>
      </c>
      <c r="I625" t="s">
        <v>49</v>
      </c>
      <c r="J625">
        <v>4</v>
      </c>
      <c r="K625">
        <v>63428.17</v>
      </c>
      <c r="L625" t="s">
        <v>546</v>
      </c>
      <c r="M625">
        <v>20</v>
      </c>
      <c r="N625" t="s">
        <v>36</v>
      </c>
      <c r="O625" s="3" t="s">
        <v>22</v>
      </c>
      <c r="P625" t="s">
        <v>132</v>
      </c>
      <c r="Q625" t="s">
        <v>56</v>
      </c>
      <c r="R625">
        <v>5</v>
      </c>
      <c r="S625" t="s">
        <v>52</v>
      </c>
      <c r="T625" s="4">
        <f t="shared" si="48"/>
        <v>253712.68</v>
      </c>
      <c r="U625" s="4" t="str">
        <f t="shared" si="49"/>
        <v>Good</v>
      </c>
      <c r="V625" s="4" t="str">
        <f t="shared" si="50"/>
        <v>Excellent</v>
      </c>
      <c r="W625" s="4"/>
      <c r="X625" s="4"/>
      <c r="AJ625" s="4"/>
    </row>
    <row r="626" spans="1:36">
      <c r="A626" t="str">
        <f t="shared" si="46"/>
        <v>Kris40625</v>
      </c>
      <c r="B626">
        <v>625</v>
      </c>
      <c r="C626">
        <v>3</v>
      </c>
      <c r="D626">
        <v>4</v>
      </c>
      <c r="E626">
        <v>2022</v>
      </c>
      <c r="F626" s="1">
        <f t="shared" si="47"/>
        <v>44654</v>
      </c>
      <c r="G626" s="1" t="s">
        <v>537</v>
      </c>
      <c r="H626" s="2">
        <v>45102</v>
      </c>
      <c r="I626" t="s">
        <v>49</v>
      </c>
      <c r="J626">
        <v>6</v>
      </c>
      <c r="K626">
        <v>44156.88</v>
      </c>
      <c r="L626" t="s">
        <v>278</v>
      </c>
      <c r="M626">
        <v>40</v>
      </c>
      <c r="N626" t="s">
        <v>21</v>
      </c>
      <c r="O626" s="3" t="s">
        <v>22</v>
      </c>
      <c r="P626" t="s">
        <v>33</v>
      </c>
      <c r="Q626" t="s">
        <v>24</v>
      </c>
      <c r="R626">
        <v>5</v>
      </c>
      <c r="S626" t="s">
        <v>52</v>
      </c>
      <c r="T626" s="4">
        <f t="shared" si="48"/>
        <v>264941.27999999997</v>
      </c>
      <c r="U626" s="4" t="str">
        <f t="shared" si="49"/>
        <v>Good</v>
      </c>
      <c r="V626" s="4" t="str">
        <f t="shared" si="50"/>
        <v>Excellent</v>
      </c>
      <c r="W626" s="4"/>
      <c r="X626" s="4"/>
      <c r="AJ626" s="4"/>
    </row>
    <row r="627" spans="1:36">
      <c r="A627" t="str">
        <f t="shared" si="46"/>
        <v>Gita28626</v>
      </c>
      <c r="B627">
        <v>626</v>
      </c>
      <c r="C627">
        <v>4</v>
      </c>
      <c r="D627">
        <v>4</v>
      </c>
      <c r="E627">
        <v>2022</v>
      </c>
      <c r="F627" s="1">
        <f t="shared" si="47"/>
        <v>44655</v>
      </c>
      <c r="G627" s="1" t="s">
        <v>537</v>
      </c>
      <c r="H627" s="2">
        <v>45103</v>
      </c>
      <c r="I627" t="s">
        <v>19</v>
      </c>
      <c r="J627">
        <v>8</v>
      </c>
      <c r="K627">
        <v>58714.55</v>
      </c>
      <c r="L627" t="s">
        <v>547</v>
      </c>
      <c r="M627">
        <v>28</v>
      </c>
      <c r="N627" t="s">
        <v>36</v>
      </c>
      <c r="O627" s="3" t="s">
        <v>22</v>
      </c>
      <c r="P627" t="s">
        <v>29</v>
      </c>
      <c r="Q627" t="s">
        <v>41</v>
      </c>
      <c r="R627">
        <v>4</v>
      </c>
      <c r="S627" t="s">
        <v>25</v>
      </c>
      <c r="T627" s="4">
        <f t="shared" si="48"/>
        <v>469716.4</v>
      </c>
      <c r="U627" s="4" t="str">
        <f t="shared" si="49"/>
        <v>Good</v>
      </c>
      <c r="V627" s="4" t="str">
        <f t="shared" si="50"/>
        <v>Excellent</v>
      </c>
      <c r="W627" s="4"/>
      <c r="X627" s="4"/>
      <c r="AJ627" s="4"/>
    </row>
    <row r="628" spans="1:36">
      <c r="A628" t="str">
        <f t="shared" si="46"/>
        <v>Deve27627</v>
      </c>
      <c r="B628">
        <v>627</v>
      </c>
      <c r="C628">
        <v>4</v>
      </c>
      <c r="D628">
        <v>4</v>
      </c>
      <c r="E628">
        <v>2022</v>
      </c>
      <c r="F628" s="1">
        <f t="shared" si="47"/>
        <v>44655</v>
      </c>
      <c r="G628" s="1" t="s">
        <v>537</v>
      </c>
      <c r="H628" s="2">
        <v>45104</v>
      </c>
      <c r="I628" t="s">
        <v>26</v>
      </c>
      <c r="J628">
        <v>3</v>
      </c>
      <c r="K628">
        <v>58476.28</v>
      </c>
      <c r="L628" t="s">
        <v>548</v>
      </c>
      <c r="M628">
        <v>27</v>
      </c>
      <c r="N628" t="s">
        <v>36</v>
      </c>
      <c r="O628" s="3" t="s">
        <v>28</v>
      </c>
      <c r="P628" t="s">
        <v>90</v>
      </c>
      <c r="Q628" t="s">
        <v>30</v>
      </c>
      <c r="R628">
        <v>3</v>
      </c>
      <c r="S628" t="s">
        <v>67</v>
      </c>
      <c r="T628" s="4">
        <f t="shared" si="48"/>
        <v>175428.84</v>
      </c>
      <c r="U628" s="4" t="str">
        <f t="shared" si="49"/>
        <v>Average</v>
      </c>
      <c r="V628" s="4" t="str">
        <f t="shared" si="50"/>
        <v>Good</v>
      </c>
      <c r="W628" s="4"/>
      <c r="X628" s="4"/>
      <c r="AJ628" s="4"/>
    </row>
    <row r="629" spans="1:36">
      <c r="A629" t="str">
        <f t="shared" si="46"/>
        <v>Raje53628</v>
      </c>
      <c r="B629">
        <v>628</v>
      </c>
      <c r="C629">
        <v>4</v>
      </c>
      <c r="D629">
        <v>4</v>
      </c>
      <c r="E629">
        <v>2022</v>
      </c>
      <c r="F629" s="1">
        <f t="shared" si="47"/>
        <v>44655</v>
      </c>
      <c r="G629" s="1" t="s">
        <v>537</v>
      </c>
      <c r="H629" s="2">
        <v>45105</v>
      </c>
      <c r="I629" t="s">
        <v>26</v>
      </c>
      <c r="J629">
        <v>1</v>
      </c>
      <c r="K629">
        <v>21391.16</v>
      </c>
      <c r="L629" t="s">
        <v>466</v>
      </c>
      <c r="M629">
        <v>53</v>
      </c>
      <c r="N629" t="s">
        <v>61</v>
      </c>
      <c r="O629" s="3" t="s">
        <v>22</v>
      </c>
      <c r="P629" t="s">
        <v>114</v>
      </c>
      <c r="Q629" t="s">
        <v>41</v>
      </c>
      <c r="R629">
        <v>5</v>
      </c>
      <c r="S629" t="s">
        <v>34</v>
      </c>
      <c r="T629" s="4">
        <f t="shared" si="48"/>
        <v>21391.16</v>
      </c>
      <c r="U629" s="4" t="str">
        <f t="shared" si="49"/>
        <v>Good</v>
      </c>
      <c r="V629" s="4" t="str">
        <f t="shared" si="50"/>
        <v>Low</v>
      </c>
      <c r="W629" s="4"/>
      <c r="X629" s="4"/>
      <c r="AJ629" s="4"/>
    </row>
    <row r="630" spans="1:36">
      <c r="A630" t="str">
        <f t="shared" si="46"/>
        <v>Vive30629</v>
      </c>
      <c r="B630">
        <v>629</v>
      </c>
      <c r="C630">
        <v>5</v>
      </c>
      <c r="D630">
        <v>4</v>
      </c>
      <c r="E630">
        <v>2022</v>
      </c>
      <c r="F630" s="1">
        <f t="shared" si="47"/>
        <v>44656</v>
      </c>
      <c r="G630" s="1" t="s">
        <v>537</v>
      </c>
      <c r="H630" s="2">
        <v>45106</v>
      </c>
      <c r="I630" t="s">
        <v>38</v>
      </c>
      <c r="J630">
        <v>3</v>
      </c>
      <c r="K630">
        <v>16610.330000000002</v>
      </c>
      <c r="L630" t="s">
        <v>549</v>
      </c>
      <c r="M630">
        <v>30</v>
      </c>
      <c r="N630" t="s">
        <v>36</v>
      </c>
      <c r="O630" s="3" t="s">
        <v>22</v>
      </c>
      <c r="P630" t="s">
        <v>33</v>
      </c>
      <c r="Q630" t="s">
        <v>56</v>
      </c>
      <c r="R630">
        <v>5</v>
      </c>
      <c r="S630" t="s">
        <v>99</v>
      </c>
      <c r="T630" s="4">
        <f t="shared" si="48"/>
        <v>49830.990000000005</v>
      </c>
      <c r="U630" s="4" t="str">
        <f t="shared" si="49"/>
        <v>Good</v>
      </c>
      <c r="V630" s="4" t="str">
        <f t="shared" si="50"/>
        <v>Low</v>
      </c>
      <c r="W630" s="4"/>
      <c r="X630" s="4"/>
      <c r="AJ630" s="4"/>
    </row>
    <row r="631" spans="1:36">
      <c r="A631" t="str">
        <f t="shared" si="46"/>
        <v>Kris46630</v>
      </c>
      <c r="B631">
        <v>630</v>
      </c>
      <c r="C631">
        <v>5</v>
      </c>
      <c r="D631">
        <v>4</v>
      </c>
      <c r="E631">
        <v>2022</v>
      </c>
      <c r="F631" s="1">
        <f t="shared" si="47"/>
        <v>44656</v>
      </c>
      <c r="G631" s="1" t="s">
        <v>537</v>
      </c>
      <c r="H631" s="2">
        <v>45107</v>
      </c>
      <c r="I631" t="s">
        <v>49</v>
      </c>
      <c r="J631">
        <v>3</v>
      </c>
      <c r="K631">
        <v>53277.24</v>
      </c>
      <c r="L631" t="s">
        <v>550</v>
      </c>
      <c r="M631">
        <v>46</v>
      </c>
      <c r="N631" t="s">
        <v>61</v>
      </c>
      <c r="O631" s="3" t="s">
        <v>22</v>
      </c>
      <c r="P631" t="s">
        <v>70</v>
      </c>
      <c r="Q631" t="s">
        <v>24</v>
      </c>
      <c r="R631">
        <v>5</v>
      </c>
      <c r="S631" t="s">
        <v>102</v>
      </c>
      <c r="T631" s="4">
        <f t="shared" si="48"/>
        <v>159831.72</v>
      </c>
      <c r="U631" s="4" t="str">
        <f t="shared" si="49"/>
        <v>Good</v>
      </c>
      <c r="V631" s="4" t="str">
        <f t="shared" si="50"/>
        <v>Good</v>
      </c>
      <c r="W631" s="4"/>
      <c r="X631" s="4"/>
      <c r="AJ631" s="4"/>
    </row>
    <row r="632" spans="1:36">
      <c r="A632" t="str">
        <f t="shared" si="46"/>
        <v>Shru55631</v>
      </c>
      <c r="B632">
        <v>631</v>
      </c>
      <c r="C632">
        <v>5</v>
      </c>
      <c r="D632">
        <v>4</v>
      </c>
      <c r="E632">
        <v>2022</v>
      </c>
      <c r="F632" s="1">
        <f t="shared" si="47"/>
        <v>44656</v>
      </c>
      <c r="G632" s="1" t="s">
        <v>537</v>
      </c>
      <c r="H632" s="2">
        <v>45108</v>
      </c>
      <c r="I632" t="s">
        <v>43</v>
      </c>
      <c r="J632">
        <v>5</v>
      </c>
      <c r="K632">
        <v>19385.62</v>
      </c>
      <c r="L632" t="s">
        <v>551</v>
      </c>
      <c r="M632">
        <v>55</v>
      </c>
      <c r="N632" t="s">
        <v>61</v>
      </c>
      <c r="O632" s="3" t="s">
        <v>22</v>
      </c>
      <c r="P632" t="s">
        <v>51</v>
      </c>
      <c r="Q632" t="s">
        <v>41</v>
      </c>
      <c r="R632">
        <v>5</v>
      </c>
      <c r="S632" t="s">
        <v>57</v>
      </c>
      <c r="T632" s="4">
        <f t="shared" si="48"/>
        <v>96928.099999999991</v>
      </c>
      <c r="U632" s="4" t="str">
        <f t="shared" si="49"/>
        <v>Good</v>
      </c>
      <c r="V632" s="4" t="str">
        <f t="shared" si="50"/>
        <v>Average</v>
      </c>
      <c r="W632" s="4"/>
      <c r="X632" s="4"/>
      <c r="AJ632" s="4"/>
    </row>
    <row r="633" spans="1:36">
      <c r="A633" t="str">
        <f t="shared" si="46"/>
        <v>Pooj30632</v>
      </c>
      <c r="B633">
        <v>632</v>
      </c>
      <c r="C633">
        <v>6</v>
      </c>
      <c r="D633">
        <v>4</v>
      </c>
      <c r="E633">
        <v>2022</v>
      </c>
      <c r="F633" s="1">
        <f t="shared" si="47"/>
        <v>44657</v>
      </c>
      <c r="G633" s="1" t="s">
        <v>537</v>
      </c>
      <c r="H633" s="2">
        <v>45109</v>
      </c>
      <c r="I633" t="s">
        <v>49</v>
      </c>
      <c r="J633">
        <v>4</v>
      </c>
      <c r="K633">
        <v>60996.25</v>
      </c>
      <c r="L633" t="s">
        <v>213</v>
      </c>
      <c r="M633">
        <v>30</v>
      </c>
      <c r="N633" t="s">
        <v>36</v>
      </c>
      <c r="O633" s="3" t="s">
        <v>22</v>
      </c>
      <c r="P633" t="s">
        <v>29</v>
      </c>
      <c r="Q633" t="s">
        <v>41</v>
      </c>
      <c r="R633">
        <v>5</v>
      </c>
      <c r="S633" t="s">
        <v>88</v>
      </c>
      <c r="T633" s="4">
        <f t="shared" si="48"/>
        <v>243985</v>
      </c>
      <c r="U633" s="4" t="str">
        <f t="shared" si="49"/>
        <v>Good</v>
      </c>
      <c r="V633" s="4" t="str">
        <f t="shared" si="50"/>
        <v>Excellent</v>
      </c>
      <c r="W633" s="4"/>
      <c r="X633" s="4"/>
      <c r="AJ633" s="4"/>
    </row>
    <row r="634" spans="1:36">
      <c r="A634" t="str">
        <f t="shared" si="46"/>
        <v>Isha43633</v>
      </c>
      <c r="B634">
        <v>633</v>
      </c>
      <c r="C634">
        <v>6</v>
      </c>
      <c r="D634">
        <v>4</v>
      </c>
      <c r="E634">
        <v>2022</v>
      </c>
      <c r="F634" s="1">
        <f t="shared" si="47"/>
        <v>44657</v>
      </c>
      <c r="G634" s="1" t="s">
        <v>537</v>
      </c>
      <c r="H634" s="2">
        <v>45110</v>
      </c>
      <c r="I634" t="s">
        <v>49</v>
      </c>
      <c r="J634">
        <v>4</v>
      </c>
      <c r="K634">
        <v>53571.37</v>
      </c>
      <c r="L634" t="s">
        <v>325</v>
      </c>
      <c r="M634">
        <v>43</v>
      </c>
      <c r="N634" t="s">
        <v>21</v>
      </c>
      <c r="O634" s="3" t="s">
        <v>22</v>
      </c>
      <c r="P634" t="s">
        <v>64</v>
      </c>
      <c r="Q634" t="s">
        <v>41</v>
      </c>
      <c r="R634">
        <v>5</v>
      </c>
      <c r="S634" t="s">
        <v>52</v>
      </c>
      <c r="T634" s="4">
        <f t="shared" si="48"/>
        <v>214285.48</v>
      </c>
      <c r="U634" s="4" t="str">
        <f t="shared" si="49"/>
        <v>Good</v>
      </c>
      <c r="V634" s="4" t="str">
        <f t="shared" si="50"/>
        <v>Excellent</v>
      </c>
      <c r="W634" s="4"/>
      <c r="X634" s="4"/>
      <c r="AJ634" s="4"/>
    </row>
    <row r="635" spans="1:36">
      <c r="A635" t="str">
        <f t="shared" si="46"/>
        <v>Raje37634</v>
      </c>
      <c r="B635">
        <v>634</v>
      </c>
      <c r="C635">
        <v>6</v>
      </c>
      <c r="D635">
        <v>4</v>
      </c>
      <c r="E635">
        <v>2022</v>
      </c>
      <c r="F635" s="1">
        <f t="shared" si="47"/>
        <v>44657</v>
      </c>
      <c r="G635" s="1" t="s">
        <v>537</v>
      </c>
      <c r="H635" s="2">
        <v>45111</v>
      </c>
      <c r="I635" t="s">
        <v>38</v>
      </c>
      <c r="J635">
        <v>9</v>
      </c>
      <c r="K635">
        <v>60509.52</v>
      </c>
      <c r="L635" t="s">
        <v>552</v>
      </c>
      <c r="M635">
        <v>37</v>
      </c>
      <c r="N635" t="s">
        <v>21</v>
      </c>
      <c r="O635" s="3" t="s">
        <v>22</v>
      </c>
      <c r="P635" t="s">
        <v>29</v>
      </c>
      <c r="Q635" t="s">
        <v>30</v>
      </c>
      <c r="R635">
        <v>5</v>
      </c>
      <c r="S635" t="s">
        <v>99</v>
      </c>
      <c r="T635" s="4">
        <f t="shared" si="48"/>
        <v>544585.67999999993</v>
      </c>
      <c r="U635" s="4" t="str">
        <f t="shared" si="49"/>
        <v>Good</v>
      </c>
      <c r="V635" s="4" t="str">
        <f t="shared" si="50"/>
        <v>Excellent</v>
      </c>
      <c r="W635" s="4"/>
      <c r="X635" s="4"/>
      <c r="AJ635" s="4"/>
    </row>
    <row r="636" spans="1:36">
      <c r="A636" t="str">
        <f t="shared" si="46"/>
        <v>Kavi22635</v>
      </c>
      <c r="B636">
        <v>635</v>
      </c>
      <c r="C636">
        <v>7</v>
      </c>
      <c r="D636">
        <v>4</v>
      </c>
      <c r="E636">
        <v>2022</v>
      </c>
      <c r="F636" s="1">
        <f t="shared" si="47"/>
        <v>44658</v>
      </c>
      <c r="G636" s="1" t="s">
        <v>537</v>
      </c>
      <c r="H636" s="2">
        <v>45112</v>
      </c>
      <c r="I636" t="s">
        <v>43</v>
      </c>
      <c r="J636">
        <v>7</v>
      </c>
      <c r="K636">
        <v>27940.76</v>
      </c>
      <c r="L636" t="s">
        <v>200</v>
      </c>
      <c r="M636">
        <v>22</v>
      </c>
      <c r="N636" t="s">
        <v>36</v>
      </c>
      <c r="O636" s="3" t="s">
        <v>28</v>
      </c>
      <c r="P636" t="s">
        <v>137</v>
      </c>
      <c r="Q636" t="s">
        <v>30</v>
      </c>
      <c r="R636">
        <v>3</v>
      </c>
      <c r="S636" t="s">
        <v>46</v>
      </c>
      <c r="T636" s="4">
        <f t="shared" si="48"/>
        <v>195585.31999999998</v>
      </c>
      <c r="U636" s="4" t="str">
        <f t="shared" si="49"/>
        <v>Average</v>
      </c>
      <c r="V636" s="4" t="str">
        <f t="shared" si="50"/>
        <v>Good</v>
      </c>
      <c r="W636" s="4"/>
      <c r="X636" s="4"/>
      <c r="AJ636" s="4"/>
    </row>
    <row r="637" spans="1:36">
      <c r="A637" t="str">
        <f t="shared" si="46"/>
        <v>Umes37636</v>
      </c>
      <c r="B637">
        <v>636</v>
      </c>
      <c r="C637">
        <v>7</v>
      </c>
      <c r="D637">
        <v>4</v>
      </c>
      <c r="E637">
        <v>2022</v>
      </c>
      <c r="F637" s="1">
        <f t="shared" si="47"/>
        <v>44658</v>
      </c>
      <c r="G637" s="1" t="s">
        <v>537</v>
      </c>
      <c r="H637" s="2">
        <v>45113</v>
      </c>
      <c r="I637" t="s">
        <v>38</v>
      </c>
      <c r="J637">
        <v>4</v>
      </c>
      <c r="K637">
        <v>28995.88</v>
      </c>
      <c r="L637" t="s">
        <v>553</v>
      </c>
      <c r="M637">
        <v>37</v>
      </c>
      <c r="N637" t="s">
        <v>21</v>
      </c>
      <c r="O637" s="3" t="s">
        <v>22</v>
      </c>
      <c r="P637" t="s">
        <v>132</v>
      </c>
      <c r="Q637" t="s">
        <v>30</v>
      </c>
      <c r="R637">
        <v>5</v>
      </c>
      <c r="S637" t="s">
        <v>99</v>
      </c>
      <c r="T637" s="4">
        <f t="shared" si="48"/>
        <v>115983.52</v>
      </c>
      <c r="U637" s="4" t="str">
        <f t="shared" si="49"/>
        <v>Good</v>
      </c>
      <c r="V637" s="4" t="str">
        <f t="shared" si="50"/>
        <v>Good</v>
      </c>
      <c r="W637" s="4"/>
      <c r="X637" s="4"/>
      <c r="AJ637" s="4"/>
    </row>
    <row r="638" spans="1:36">
      <c r="A638" t="str">
        <f t="shared" si="46"/>
        <v>Anan31637</v>
      </c>
      <c r="B638">
        <v>637</v>
      </c>
      <c r="C638">
        <v>7</v>
      </c>
      <c r="D638">
        <v>4</v>
      </c>
      <c r="E638">
        <v>2022</v>
      </c>
      <c r="F638" s="1">
        <f t="shared" si="47"/>
        <v>44658</v>
      </c>
      <c r="G638" s="1" t="s">
        <v>537</v>
      </c>
      <c r="H638" s="2">
        <v>45114</v>
      </c>
      <c r="I638" t="s">
        <v>43</v>
      </c>
      <c r="J638">
        <v>3</v>
      </c>
      <c r="K638">
        <v>50273.29</v>
      </c>
      <c r="L638" t="s">
        <v>403</v>
      </c>
      <c r="M638">
        <v>31</v>
      </c>
      <c r="N638" t="s">
        <v>21</v>
      </c>
      <c r="O638" s="3" t="s">
        <v>22</v>
      </c>
      <c r="P638" t="s">
        <v>29</v>
      </c>
      <c r="Q638" t="s">
        <v>30</v>
      </c>
      <c r="R638">
        <v>4</v>
      </c>
      <c r="S638" t="s">
        <v>57</v>
      </c>
      <c r="T638" s="4">
        <f t="shared" si="48"/>
        <v>150819.87</v>
      </c>
      <c r="U638" s="4" t="str">
        <f t="shared" si="49"/>
        <v>Good</v>
      </c>
      <c r="V638" s="4" t="str">
        <f t="shared" si="50"/>
        <v>Good</v>
      </c>
      <c r="W638" s="4"/>
      <c r="X638" s="4"/>
      <c r="AJ638" s="4"/>
    </row>
    <row r="639" spans="1:36">
      <c r="A639" t="str">
        <f t="shared" si="46"/>
        <v>Kavi31638</v>
      </c>
      <c r="B639">
        <v>638</v>
      </c>
      <c r="C639">
        <v>8</v>
      </c>
      <c r="D639">
        <v>4</v>
      </c>
      <c r="E639">
        <v>2022</v>
      </c>
      <c r="F639" s="1">
        <f t="shared" si="47"/>
        <v>44659</v>
      </c>
      <c r="G639" s="1" t="s">
        <v>537</v>
      </c>
      <c r="H639" s="2">
        <v>45115</v>
      </c>
      <c r="I639" t="s">
        <v>19</v>
      </c>
      <c r="J639">
        <v>6</v>
      </c>
      <c r="K639">
        <v>11886.76</v>
      </c>
      <c r="L639" t="s">
        <v>211</v>
      </c>
      <c r="M639">
        <v>31</v>
      </c>
      <c r="N639" t="s">
        <v>21</v>
      </c>
      <c r="O639" s="3" t="s">
        <v>22</v>
      </c>
      <c r="P639" t="s">
        <v>33</v>
      </c>
      <c r="Q639" t="s">
        <v>24</v>
      </c>
      <c r="R639">
        <v>5</v>
      </c>
      <c r="S639" t="s">
        <v>25</v>
      </c>
      <c r="T639" s="4">
        <f t="shared" si="48"/>
        <v>71320.56</v>
      </c>
      <c r="U639" s="4" t="str">
        <f t="shared" si="49"/>
        <v>Good</v>
      </c>
      <c r="V639" s="4" t="str">
        <f t="shared" si="50"/>
        <v>Average</v>
      </c>
      <c r="W639" s="4"/>
      <c r="X639" s="4"/>
      <c r="AJ639" s="4"/>
    </row>
    <row r="640" spans="1:36">
      <c r="A640" t="str">
        <f t="shared" si="46"/>
        <v>Rame25639</v>
      </c>
      <c r="B640">
        <v>639</v>
      </c>
      <c r="C640">
        <v>8</v>
      </c>
      <c r="D640">
        <v>4</v>
      </c>
      <c r="E640">
        <v>2022</v>
      </c>
      <c r="F640" s="1">
        <f t="shared" si="47"/>
        <v>44659</v>
      </c>
      <c r="G640" s="1" t="s">
        <v>537</v>
      </c>
      <c r="H640" s="2">
        <v>45116</v>
      </c>
      <c r="I640" t="s">
        <v>43</v>
      </c>
      <c r="J640">
        <v>3</v>
      </c>
      <c r="K640">
        <v>53589.8</v>
      </c>
      <c r="L640" t="s">
        <v>554</v>
      </c>
      <c r="M640">
        <v>25</v>
      </c>
      <c r="N640" t="s">
        <v>36</v>
      </c>
      <c r="O640" s="3" t="s">
        <v>28</v>
      </c>
      <c r="P640" t="s">
        <v>29</v>
      </c>
      <c r="Q640" t="s">
        <v>24</v>
      </c>
      <c r="R640">
        <v>3</v>
      </c>
      <c r="S640" t="s">
        <v>95</v>
      </c>
      <c r="T640" s="4">
        <f t="shared" si="48"/>
        <v>160769.40000000002</v>
      </c>
      <c r="U640" s="4" t="str">
        <f t="shared" si="49"/>
        <v>Average</v>
      </c>
      <c r="V640" s="4" t="str">
        <f t="shared" si="50"/>
        <v>Good</v>
      </c>
      <c r="W640" s="4"/>
      <c r="X640" s="4"/>
      <c r="AJ640" s="4"/>
    </row>
    <row r="641" spans="1:36">
      <c r="A641" t="str">
        <f t="shared" si="46"/>
        <v>Kira30640</v>
      </c>
      <c r="B641">
        <v>640</v>
      </c>
      <c r="C641">
        <v>8</v>
      </c>
      <c r="D641">
        <v>4</v>
      </c>
      <c r="E641">
        <v>2022</v>
      </c>
      <c r="F641" s="1">
        <f t="shared" si="47"/>
        <v>44659</v>
      </c>
      <c r="G641" s="1" t="s">
        <v>537</v>
      </c>
      <c r="H641" s="2">
        <v>45117</v>
      </c>
      <c r="I641" t="s">
        <v>38</v>
      </c>
      <c r="J641">
        <v>6</v>
      </c>
      <c r="K641">
        <v>60146.98</v>
      </c>
      <c r="L641" t="s">
        <v>297</v>
      </c>
      <c r="M641">
        <v>30</v>
      </c>
      <c r="N641" t="s">
        <v>36</v>
      </c>
      <c r="O641" s="3" t="s">
        <v>22</v>
      </c>
      <c r="P641" t="s">
        <v>45</v>
      </c>
      <c r="Q641" t="s">
        <v>30</v>
      </c>
      <c r="R641">
        <v>5</v>
      </c>
      <c r="S641" t="s">
        <v>99</v>
      </c>
      <c r="T641" s="4">
        <f t="shared" si="48"/>
        <v>360881.88</v>
      </c>
      <c r="U641" s="4" t="str">
        <f t="shared" si="49"/>
        <v>Good</v>
      </c>
      <c r="V641" s="4" t="str">
        <f t="shared" si="50"/>
        <v>Excellent</v>
      </c>
      <c r="W641" s="4"/>
      <c r="X641" s="4"/>
      <c r="AJ641" s="4"/>
    </row>
    <row r="642" spans="1:36">
      <c r="A642" t="str">
        <f t="shared" ref="A642:A705" si="51">LEFT(L642,4)&amp;M642&amp;B642</f>
        <v>Navi41641</v>
      </c>
      <c r="B642">
        <v>641</v>
      </c>
      <c r="C642">
        <v>9</v>
      </c>
      <c r="D642">
        <v>4</v>
      </c>
      <c r="E642">
        <v>2022</v>
      </c>
      <c r="F642" s="1">
        <f t="shared" si="47"/>
        <v>44660</v>
      </c>
      <c r="G642" s="1" t="s">
        <v>537</v>
      </c>
      <c r="H642" s="2">
        <v>45118</v>
      </c>
      <c r="I642" t="s">
        <v>49</v>
      </c>
      <c r="J642">
        <v>9</v>
      </c>
      <c r="K642">
        <v>34909.82</v>
      </c>
      <c r="L642" t="s">
        <v>359</v>
      </c>
      <c r="M642">
        <v>41</v>
      </c>
      <c r="N642" t="s">
        <v>21</v>
      </c>
      <c r="O642" s="3" t="s">
        <v>22</v>
      </c>
      <c r="P642" t="s">
        <v>29</v>
      </c>
      <c r="Q642" t="s">
        <v>56</v>
      </c>
      <c r="R642">
        <v>4</v>
      </c>
      <c r="S642" t="s">
        <v>52</v>
      </c>
      <c r="T642" s="4">
        <f t="shared" si="48"/>
        <v>314188.38</v>
      </c>
      <c r="U642" s="4" t="str">
        <f t="shared" si="49"/>
        <v>Good</v>
      </c>
      <c r="V642" s="4" t="str">
        <f t="shared" si="50"/>
        <v>Excellent</v>
      </c>
      <c r="W642" s="4"/>
      <c r="X642" s="4"/>
      <c r="AJ642" s="4"/>
    </row>
    <row r="643" spans="1:36">
      <c r="A643" t="str">
        <f t="shared" si="51"/>
        <v>Lali32642</v>
      </c>
      <c r="B643">
        <v>642</v>
      </c>
      <c r="C643">
        <v>9</v>
      </c>
      <c r="D643">
        <v>4</v>
      </c>
      <c r="E643">
        <v>2022</v>
      </c>
      <c r="F643" s="1">
        <f t="shared" ref="F643:F706" si="52">DATE(E643,D643,C643)</f>
        <v>44660</v>
      </c>
      <c r="G643" s="1" t="s">
        <v>537</v>
      </c>
      <c r="H643" s="2">
        <v>45119</v>
      </c>
      <c r="I643" t="s">
        <v>43</v>
      </c>
      <c r="J643">
        <v>6</v>
      </c>
      <c r="K643">
        <v>55892.73</v>
      </c>
      <c r="L643" t="s">
        <v>555</v>
      </c>
      <c r="M643">
        <v>32</v>
      </c>
      <c r="N643" t="s">
        <v>21</v>
      </c>
      <c r="O643" s="3" t="s">
        <v>22</v>
      </c>
      <c r="P643" t="s">
        <v>33</v>
      </c>
      <c r="Q643" t="s">
        <v>30</v>
      </c>
      <c r="R643">
        <v>4</v>
      </c>
      <c r="S643" t="s">
        <v>57</v>
      </c>
      <c r="T643" s="4">
        <f t="shared" ref="T643:T706" si="53">J643*K643</f>
        <v>335356.38</v>
      </c>
      <c r="U643" s="4" t="str">
        <f t="shared" ref="U643:U706" si="54">IF(R643&gt;=4,"Good","Average")</f>
        <v>Good</v>
      </c>
      <c r="V643" s="4" t="str">
        <f t="shared" ref="V643:V706" si="55">IF(T643&gt;200000,"Excellent",IF(T643&gt;100000,"Good",IF(T643&gt;50000,"Average","Low")))</f>
        <v>Excellent</v>
      </c>
      <c r="W643" s="4"/>
      <c r="X643" s="4"/>
      <c r="AJ643" s="4"/>
    </row>
    <row r="644" spans="1:36">
      <c r="A644" t="str">
        <f t="shared" si="51"/>
        <v>Hari18643</v>
      </c>
      <c r="B644">
        <v>643</v>
      </c>
      <c r="C644">
        <v>9</v>
      </c>
      <c r="D644">
        <v>4</v>
      </c>
      <c r="E644">
        <v>2022</v>
      </c>
      <c r="F644" s="1">
        <f t="shared" si="52"/>
        <v>44660</v>
      </c>
      <c r="G644" s="1" t="s">
        <v>537</v>
      </c>
      <c r="H644" s="2">
        <v>45120</v>
      </c>
      <c r="I644" t="s">
        <v>43</v>
      </c>
      <c r="J644">
        <v>4</v>
      </c>
      <c r="K644">
        <v>20476.66</v>
      </c>
      <c r="L644" t="s">
        <v>73</v>
      </c>
      <c r="M644">
        <v>18</v>
      </c>
      <c r="N644" t="s">
        <v>36</v>
      </c>
      <c r="O644" s="3" t="s">
        <v>22</v>
      </c>
      <c r="P644" t="s">
        <v>29</v>
      </c>
      <c r="Q644" t="s">
        <v>30</v>
      </c>
      <c r="R644">
        <v>4</v>
      </c>
      <c r="S644" t="s">
        <v>57</v>
      </c>
      <c r="T644" s="4">
        <f t="shared" si="53"/>
        <v>81906.64</v>
      </c>
      <c r="U644" s="4" t="str">
        <f t="shared" si="54"/>
        <v>Good</v>
      </c>
      <c r="V644" s="4" t="str">
        <f t="shared" si="55"/>
        <v>Average</v>
      </c>
      <c r="W644" s="4"/>
      <c r="X644" s="4"/>
      <c r="AJ644" s="4"/>
    </row>
    <row r="645" spans="1:36">
      <c r="A645" t="str">
        <f t="shared" si="51"/>
        <v>Anja39644</v>
      </c>
      <c r="B645">
        <v>644</v>
      </c>
      <c r="C645">
        <v>9</v>
      </c>
      <c r="D645">
        <v>4</v>
      </c>
      <c r="E645">
        <v>2022</v>
      </c>
      <c r="F645" s="1">
        <f t="shared" si="52"/>
        <v>44660</v>
      </c>
      <c r="G645" s="1" t="s">
        <v>537</v>
      </c>
      <c r="H645" s="2">
        <v>45121</v>
      </c>
      <c r="I645" t="s">
        <v>26</v>
      </c>
      <c r="J645">
        <v>5</v>
      </c>
      <c r="K645">
        <v>29335.62</v>
      </c>
      <c r="L645" t="s">
        <v>339</v>
      </c>
      <c r="M645">
        <v>39</v>
      </c>
      <c r="N645" t="s">
        <v>21</v>
      </c>
      <c r="O645" s="3" t="s">
        <v>22</v>
      </c>
      <c r="P645" t="s">
        <v>33</v>
      </c>
      <c r="Q645" t="s">
        <v>56</v>
      </c>
      <c r="R645">
        <v>5</v>
      </c>
      <c r="S645" t="s">
        <v>31</v>
      </c>
      <c r="T645" s="4">
        <f t="shared" si="53"/>
        <v>146678.1</v>
      </c>
      <c r="U645" s="4" t="str">
        <f t="shared" si="54"/>
        <v>Good</v>
      </c>
      <c r="V645" s="4" t="str">
        <f t="shared" si="55"/>
        <v>Good</v>
      </c>
      <c r="W645" s="4"/>
      <c r="X645" s="4"/>
      <c r="AJ645" s="4"/>
    </row>
    <row r="646" spans="1:36">
      <c r="A646" t="str">
        <f t="shared" si="51"/>
        <v>Kavi51645</v>
      </c>
      <c r="B646">
        <v>645</v>
      </c>
      <c r="C646">
        <v>10</v>
      </c>
      <c r="D646">
        <v>4</v>
      </c>
      <c r="E646">
        <v>2022</v>
      </c>
      <c r="F646" s="1">
        <f t="shared" si="52"/>
        <v>44661</v>
      </c>
      <c r="G646" s="1" t="s">
        <v>537</v>
      </c>
      <c r="H646" s="2">
        <v>45122</v>
      </c>
      <c r="I646" t="s">
        <v>49</v>
      </c>
      <c r="J646">
        <v>6</v>
      </c>
      <c r="K646">
        <v>68458.3</v>
      </c>
      <c r="L646" t="s">
        <v>556</v>
      </c>
      <c r="M646">
        <v>51</v>
      </c>
      <c r="N646" t="s">
        <v>61</v>
      </c>
      <c r="O646" s="3" t="s">
        <v>22</v>
      </c>
      <c r="P646" t="s">
        <v>90</v>
      </c>
      <c r="Q646" t="s">
        <v>41</v>
      </c>
      <c r="R646">
        <v>5</v>
      </c>
      <c r="S646" t="s">
        <v>52</v>
      </c>
      <c r="T646" s="4">
        <f t="shared" si="53"/>
        <v>410749.80000000005</v>
      </c>
      <c r="U646" s="4" t="str">
        <f t="shared" si="54"/>
        <v>Good</v>
      </c>
      <c r="V646" s="4" t="str">
        <f t="shared" si="55"/>
        <v>Excellent</v>
      </c>
      <c r="W646" s="4"/>
      <c r="X646" s="4"/>
      <c r="AJ646" s="4"/>
    </row>
    <row r="647" spans="1:36">
      <c r="A647" t="str">
        <f t="shared" si="51"/>
        <v>Anja57646</v>
      </c>
      <c r="B647">
        <v>646</v>
      </c>
      <c r="C647">
        <v>10</v>
      </c>
      <c r="D647">
        <v>4</v>
      </c>
      <c r="E647">
        <v>2022</v>
      </c>
      <c r="F647" s="1">
        <f t="shared" si="52"/>
        <v>44661</v>
      </c>
      <c r="G647" s="1" t="s">
        <v>537</v>
      </c>
      <c r="H647" s="2">
        <v>45123</v>
      </c>
      <c r="I647" t="s">
        <v>19</v>
      </c>
      <c r="J647">
        <v>3</v>
      </c>
      <c r="K647">
        <v>69179.69</v>
      </c>
      <c r="L647" t="s">
        <v>436</v>
      </c>
      <c r="M647">
        <v>57</v>
      </c>
      <c r="N647" t="s">
        <v>61</v>
      </c>
      <c r="O647" s="3" t="s">
        <v>28</v>
      </c>
      <c r="P647" t="s">
        <v>29</v>
      </c>
      <c r="Q647" t="s">
        <v>56</v>
      </c>
      <c r="R647">
        <v>3</v>
      </c>
      <c r="S647" t="s">
        <v>84</v>
      </c>
      <c r="T647" s="4">
        <f t="shared" si="53"/>
        <v>207539.07</v>
      </c>
      <c r="U647" s="4" t="str">
        <f t="shared" si="54"/>
        <v>Average</v>
      </c>
      <c r="V647" s="4" t="str">
        <f t="shared" si="55"/>
        <v>Excellent</v>
      </c>
      <c r="W647" s="4"/>
      <c r="X647" s="4"/>
      <c r="AJ647" s="4"/>
    </row>
    <row r="648" spans="1:36">
      <c r="A648" t="str">
        <f t="shared" si="51"/>
        <v>Pooj20647</v>
      </c>
      <c r="B648">
        <v>647</v>
      </c>
      <c r="C648">
        <v>10</v>
      </c>
      <c r="D648">
        <v>4</v>
      </c>
      <c r="E648">
        <v>2022</v>
      </c>
      <c r="F648" s="1">
        <f t="shared" si="52"/>
        <v>44661</v>
      </c>
      <c r="G648" s="1" t="s">
        <v>537</v>
      </c>
      <c r="H648" s="2">
        <v>45124</v>
      </c>
      <c r="I648" t="s">
        <v>38</v>
      </c>
      <c r="J648">
        <v>8</v>
      </c>
      <c r="K648">
        <v>40756.300000000003</v>
      </c>
      <c r="L648" t="s">
        <v>557</v>
      </c>
      <c r="M648">
        <v>20</v>
      </c>
      <c r="N648" t="s">
        <v>36</v>
      </c>
      <c r="O648" s="3" t="s">
        <v>22</v>
      </c>
      <c r="P648" t="s">
        <v>77</v>
      </c>
      <c r="Q648" t="s">
        <v>56</v>
      </c>
      <c r="R648">
        <v>4</v>
      </c>
      <c r="S648" t="s">
        <v>48</v>
      </c>
      <c r="T648" s="4">
        <f t="shared" si="53"/>
        <v>326050.40000000002</v>
      </c>
      <c r="U648" s="4" t="str">
        <f t="shared" si="54"/>
        <v>Good</v>
      </c>
      <c r="V648" s="4" t="str">
        <f t="shared" si="55"/>
        <v>Excellent</v>
      </c>
      <c r="W648" s="4"/>
      <c r="X648" s="4"/>
      <c r="AJ648" s="4"/>
    </row>
    <row r="649" spans="1:36">
      <c r="A649" t="str">
        <f t="shared" si="51"/>
        <v>Priy43648</v>
      </c>
      <c r="B649">
        <v>648</v>
      </c>
      <c r="C649">
        <v>11</v>
      </c>
      <c r="D649">
        <v>4</v>
      </c>
      <c r="E649">
        <v>2022</v>
      </c>
      <c r="F649" s="1">
        <f t="shared" si="52"/>
        <v>44662</v>
      </c>
      <c r="G649" s="1" t="s">
        <v>537</v>
      </c>
      <c r="H649" s="2">
        <v>45125</v>
      </c>
      <c r="I649" t="s">
        <v>19</v>
      </c>
      <c r="J649">
        <v>4</v>
      </c>
      <c r="K649">
        <v>66056.19</v>
      </c>
      <c r="L649" t="s">
        <v>558</v>
      </c>
      <c r="M649">
        <v>43</v>
      </c>
      <c r="N649" t="s">
        <v>21</v>
      </c>
      <c r="O649" s="3" t="s">
        <v>22</v>
      </c>
      <c r="P649" t="s">
        <v>45</v>
      </c>
      <c r="Q649" t="s">
        <v>24</v>
      </c>
      <c r="R649">
        <v>5</v>
      </c>
      <c r="S649" t="s">
        <v>84</v>
      </c>
      <c r="T649" s="4">
        <f t="shared" si="53"/>
        <v>264224.76</v>
      </c>
      <c r="U649" s="4" t="str">
        <f t="shared" si="54"/>
        <v>Good</v>
      </c>
      <c r="V649" s="4" t="str">
        <f t="shared" si="55"/>
        <v>Excellent</v>
      </c>
      <c r="W649" s="4"/>
      <c r="X649" s="4"/>
      <c r="AJ649" s="4"/>
    </row>
    <row r="650" spans="1:36">
      <c r="A650" t="str">
        <f t="shared" si="51"/>
        <v>Mano31649</v>
      </c>
      <c r="B650">
        <v>649</v>
      </c>
      <c r="C650">
        <v>11</v>
      </c>
      <c r="D650">
        <v>4</v>
      </c>
      <c r="E650">
        <v>2022</v>
      </c>
      <c r="F650" s="1">
        <f t="shared" si="52"/>
        <v>44662</v>
      </c>
      <c r="G650" s="1" t="s">
        <v>537</v>
      </c>
      <c r="H650" s="2">
        <v>45126</v>
      </c>
      <c r="I650" t="s">
        <v>49</v>
      </c>
      <c r="J650">
        <v>8</v>
      </c>
      <c r="K650">
        <v>41363.839999999997</v>
      </c>
      <c r="L650" t="s">
        <v>105</v>
      </c>
      <c r="M650">
        <v>31</v>
      </c>
      <c r="N650" t="s">
        <v>21</v>
      </c>
      <c r="O650" s="3" t="s">
        <v>22</v>
      </c>
      <c r="P650" t="s">
        <v>29</v>
      </c>
      <c r="Q650" t="s">
        <v>41</v>
      </c>
      <c r="R650">
        <v>5</v>
      </c>
      <c r="S650" t="s">
        <v>88</v>
      </c>
      <c r="T650" s="4">
        <f t="shared" si="53"/>
        <v>330910.71999999997</v>
      </c>
      <c r="U650" s="4" t="str">
        <f t="shared" si="54"/>
        <v>Good</v>
      </c>
      <c r="V650" s="4" t="str">
        <f t="shared" si="55"/>
        <v>Excellent</v>
      </c>
      <c r="W650" s="4"/>
      <c r="X650" s="4"/>
      <c r="AJ650" s="4"/>
    </row>
    <row r="651" spans="1:36">
      <c r="A651" t="str">
        <f t="shared" si="51"/>
        <v>Hari58650</v>
      </c>
      <c r="B651">
        <v>650</v>
      </c>
      <c r="C651">
        <v>11</v>
      </c>
      <c r="D651">
        <v>4</v>
      </c>
      <c r="E651">
        <v>2022</v>
      </c>
      <c r="F651" s="1">
        <f t="shared" si="52"/>
        <v>44662</v>
      </c>
      <c r="G651" s="1" t="s">
        <v>537</v>
      </c>
      <c r="H651" s="2">
        <v>45127</v>
      </c>
      <c r="I651" t="s">
        <v>43</v>
      </c>
      <c r="J651">
        <v>3</v>
      </c>
      <c r="K651">
        <v>27495.29</v>
      </c>
      <c r="L651" t="s">
        <v>559</v>
      </c>
      <c r="M651">
        <v>58</v>
      </c>
      <c r="N651" t="s">
        <v>61</v>
      </c>
      <c r="O651" s="3" t="s">
        <v>22</v>
      </c>
      <c r="P651" t="s">
        <v>59</v>
      </c>
      <c r="Q651" t="s">
        <v>56</v>
      </c>
      <c r="R651">
        <v>5</v>
      </c>
      <c r="S651" t="s">
        <v>95</v>
      </c>
      <c r="T651" s="4">
        <f t="shared" si="53"/>
        <v>82485.87</v>
      </c>
      <c r="U651" s="4" t="str">
        <f t="shared" si="54"/>
        <v>Good</v>
      </c>
      <c r="V651" s="4" t="str">
        <f t="shared" si="55"/>
        <v>Average</v>
      </c>
      <c r="W651" s="4"/>
      <c r="X651" s="4"/>
      <c r="AJ651" s="4"/>
    </row>
    <row r="652" spans="1:36">
      <c r="A652" t="str">
        <f t="shared" si="51"/>
        <v>Priy25651</v>
      </c>
      <c r="B652">
        <v>651</v>
      </c>
      <c r="C652">
        <v>12</v>
      </c>
      <c r="D652">
        <v>4</v>
      </c>
      <c r="E652">
        <v>2022</v>
      </c>
      <c r="F652" s="1">
        <f t="shared" si="52"/>
        <v>44663</v>
      </c>
      <c r="G652" s="1" t="s">
        <v>537</v>
      </c>
      <c r="H652" s="2">
        <v>45128</v>
      </c>
      <c r="I652" t="s">
        <v>43</v>
      </c>
      <c r="J652">
        <v>7</v>
      </c>
      <c r="K652">
        <v>26013.96</v>
      </c>
      <c r="L652" t="s">
        <v>560</v>
      </c>
      <c r="M652">
        <v>25</v>
      </c>
      <c r="N652" t="s">
        <v>36</v>
      </c>
      <c r="O652" s="3" t="s">
        <v>22</v>
      </c>
      <c r="P652" t="s">
        <v>59</v>
      </c>
      <c r="Q652" t="s">
        <v>30</v>
      </c>
      <c r="R652">
        <v>5</v>
      </c>
      <c r="S652" t="s">
        <v>57</v>
      </c>
      <c r="T652" s="4">
        <f t="shared" si="53"/>
        <v>182097.72</v>
      </c>
      <c r="U652" s="4" t="str">
        <f t="shared" si="54"/>
        <v>Good</v>
      </c>
      <c r="V652" s="4" t="str">
        <f t="shared" si="55"/>
        <v>Good</v>
      </c>
      <c r="W652" s="4"/>
      <c r="X652" s="4"/>
      <c r="AJ652" s="4"/>
    </row>
    <row r="653" spans="1:36">
      <c r="A653" t="str">
        <f t="shared" si="51"/>
        <v>Arun33652</v>
      </c>
      <c r="B653">
        <v>652</v>
      </c>
      <c r="C653">
        <v>12</v>
      </c>
      <c r="D653">
        <v>4</v>
      </c>
      <c r="E653">
        <v>2022</v>
      </c>
      <c r="F653" s="1">
        <f t="shared" si="52"/>
        <v>44663</v>
      </c>
      <c r="G653" s="1" t="s">
        <v>537</v>
      </c>
      <c r="H653" s="2">
        <v>45129</v>
      </c>
      <c r="I653" t="s">
        <v>49</v>
      </c>
      <c r="J653">
        <v>9</v>
      </c>
      <c r="K653">
        <v>65770.34</v>
      </c>
      <c r="L653" t="s">
        <v>428</v>
      </c>
      <c r="M653">
        <v>33</v>
      </c>
      <c r="N653" t="s">
        <v>21</v>
      </c>
      <c r="O653" s="3" t="s">
        <v>28</v>
      </c>
      <c r="P653" t="s">
        <v>33</v>
      </c>
      <c r="Q653" t="s">
        <v>56</v>
      </c>
      <c r="R653">
        <v>3</v>
      </c>
      <c r="S653" t="s">
        <v>88</v>
      </c>
      <c r="T653" s="4">
        <f t="shared" si="53"/>
        <v>591933.05999999994</v>
      </c>
      <c r="U653" s="4" t="str">
        <f t="shared" si="54"/>
        <v>Average</v>
      </c>
      <c r="V653" s="4" t="str">
        <f t="shared" si="55"/>
        <v>Excellent</v>
      </c>
      <c r="W653" s="4"/>
      <c r="X653" s="4"/>
      <c r="AJ653" s="4"/>
    </row>
    <row r="654" spans="1:36">
      <c r="A654" t="str">
        <f t="shared" si="51"/>
        <v>Amit59653</v>
      </c>
      <c r="B654">
        <v>653</v>
      </c>
      <c r="C654">
        <v>12</v>
      </c>
      <c r="D654">
        <v>4</v>
      </c>
      <c r="E654">
        <v>2022</v>
      </c>
      <c r="F654" s="1">
        <f t="shared" si="52"/>
        <v>44663</v>
      </c>
      <c r="G654" s="1" t="s">
        <v>537</v>
      </c>
      <c r="H654" s="2">
        <v>45130</v>
      </c>
      <c r="I654" t="s">
        <v>43</v>
      </c>
      <c r="J654">
        <v>4</v>
      </c>
      <c r="K654">
        <v>20346.78</v>
      </c>
      <c r="L654" t="s">
        <v>296</v>
      </c>
      <c r="M654">
        <v>59</v>
      </c>
      <c r="N654" t="s">
        <v>61</v>
      </c>
      <c r="O654" s="3" t="s">
        <v>22</v>
      </c>
      <c r="P654" t="s">
        <v>64</v>
      </c>
      <c r="Q654" t="s">
        <v>24</v>
      </c>
      <c r="R654">
        <v>5</v>
      </c>
      <c r="S654" t="s">
        <v>95</v>
      </c>
      <c r="T654" s="4">
        <f t="shared" si="53"/>
        <v>81387.12</v>
      </c>
      <c r="U654" s="4" t="str">
        <f t="shared" si="54"/>
        <v>Good</v>
      </c>
      <c r="V654" s="4" t="str">
        <f t="shared" si="55"/>
        <v>Average</v>
      </c>
      <c r="W654" s="4"/>
      <c r="X654" s="4"/>
      <c r="AJ654" s="4"/>
    </row>
    <row r="655" spans="1:36">
      <c r="A655" t="str">
        <f t="shared" si="51"/>
        <v>Anit38654</v>
      </c>
      <c r="B655">
        <v>654</v>
      </c>
      <c r="C655">
        <v>13</v>
      </c>
      <c r="D655">
        <v>4</v>
      </c>
      <c r="E655">
        <v>2022</v>
      </c>
      <c r="F655" s="1">
        <f t="shared" si="52"/>
        <v>44664</v>
      </c>
      <c r="G655" s="1" t="s">
        <v>537</v>
      </c>
      <c r="H655" s="2">
        <v>45131</v>
      </c>
      <c r="I655" t="s">
        <v>43</v>
      </c>
      <c r="J655">
        <v>8</v>
      </c>
      <c r="K655">
        <v>44777.95</v>
      </c>
      <c r="L655" t="s">
        <v>561</v>
      </c>
      <c r="M655">
        <v>38</v>
      </c>
      <c r="N655" t="s">
        <v>21</v>
      </c>
      <c r="O655" s="3" t="s">
        <v>22</v>
      </c>
      <c r="P655" t="s">
        <v>70</v>
      </c>
      <c r="Q655" t="s">
        <v>56</v>
      </c>
      <c r="R655">
        <v>4</v>
      </c>
      <c r="S655" t="s">
        <v>46</v>
      </c>
      <c r="T655" s="4">
        <f t="shared" si="53"/>
        <v>358223.6</v>
      </c>
      <c r="U655" s="4" t="str">
        <f t="shared" si="54"/>
        <v>Good</v>
      </c>
      <c r="V655" s="4" t="str">
        <f t="shared" si="55"/>
        <v>Excellent</v>
      </c>
      <c r="W655" s="4"/>
      <c r="X655" s="4"/>
      <c r="AJ655" s="4"/>
    </row>
    <row r="656" spans="1:36">
      <c r="A656" t="str">
        <f t="shared" si="51"/>
        <v>Tanu27655</v>
      </c>
      <c r="B656">
        <v>655</v>
      </c>
      <c r="C656">
        <v>13</v>
      </c>
      <c r="D656">
        <v>4</v>
      </c>
      <c r="E656">
        <v>2022</v>
      </c>
      <c r="F656" s="1">
        <f t="shared" si="52"/>
        <v>44664</v>
      </c>
      <c r="G656" s="1" t="s">
        <v>537</v>
      </c>
      <c r="H656" s="2">
        <v>45132</v>
      </c>
      <c r="I656" t="s">
        <v>43</v>
      </c>
      <c r="J656">
        <v>3</v>
      </c>
      <c r="K656">
        <v>43331.5</v>
      </c>
      <c r="L656" t="s">
        <v>195</v>
      </c>
      <c r="M656">
        <v>27</v>
      </c>
      <c r="N656" t="s">
        <v>36</v>
      </c>
      <c r="O656" s="3" t="s">
        <v>22</v>
      </c>
      <c r="P656" t="s">
        <v>64</v>
      </c>
      <c r="Q656" t="s">
        <v>30</v>
      </c>
      <c r="R656">
        <v>5</v>
      </c>
      <c r="S656" t="s">
        <v>46</v>
      </c>
      <c r="T656" s="4">
        <f t="shared" si="53"/>
        <v>129994.5</v>
      </c>
      <c r="U656" s="4" t="str">
        <f t="shared" si="54"/>
        <v>Good</v>
      </c>
      <c r="V656" s="4" t="str">
        <f t="shared" si="55"/>
        <v>Good</v>
      </c>
      <c r="W656" s="4"/>
      <c r="X656" s="4"/>
      <c r="AJ656" s="4"/>
    </row>
    <row r="657" spans="1:36">
      <c r="A657" t="str">
        <f t="shared" si="51"/>
        <v>Bhav42656</v>
      </c>
      <c r="B657">
        <v>656</v>
      </c>
      <c r="C657">
        <v>13</v>
      </c>
      <c r="D657">
        <v>4</v>
      </c>
      <c r="E657">
        <v>2022</v>
      </c>
      <c r="F657" s="1">
        <f t="shared" si="52"/>
        <v>44664</v>
      </c>
      <c r="G657" s="1" t="s">
        <v>537</v>
      </c>
      <c r="H657" s="2">
        <v>45133</v>
      </c>
      <c r="I657" t="s">
        <v>38</v>
      </c>
      <c r="J657">
        <v>7</v>
      </c>
      <c r="K657">
        <v>54377.3</v>
      </c>
      <c r="L657" t="s">
        <v>562</v>
      </c>
      <c r="M657">
        <v>42</v>
      </c>
      <c r="N657" t="s">
        <v>21</v>
      </c>
      <c r="O657" s="3" t="s">
        <v>28</v>
      </c>
      <c r="P657" t="s">
        <v>150</v>
      </c>
      <c r="Q657" t="s">
        <v>41</v>
      </c>
      <c r="R657">
        <v>3</v>
      </c>
      <c r="S657" t="s">
        <v>48</v>
      </c>
      <c r="T657" s="4">
        <f t="shared" si="53"/>
        <v>380641.10000000003</v>
      </c>
      <c r="U657" s="4" t="str">
        <f t="shared" si="54"/>
        <v>Average</v>
      </c>
      <c r="V657" s="4" t="str">
        <f t="shared" si="55"/>
        <v>Excellent</v>
      </c>
      <c r="W657" s="4"/>
      <c r="X657" s="4"/>
      <c r="AJ657" s="4"/>
    </row>
    <row r="658" spans="1:36">
      <c r="A658" t="str">
        <f t="shared" si="51"/>
        <v>Sach55657</v>
      </c>
      <c r="B658">
        <v>657</v>
      </c>
      <c r="C658">
        <v>13</v>
      </c>
      <c r="D658">
        <v>4</v>
      </c>
      <c r="E658">
        <v>2022</v>
      </c>
      <c r="F658" s="1">
        <f t="shared" si="52"/>
        <v>44664</v>
      </c>
      <c r="G658" s="1" t="s">
        <v>537</v>
      </c>
      <c r="H658" s="2">
        <v>45134</v>
      </c>
      <c r="I658" t="s">
        <v>38</v>
      </c>
      <c r="J658">
        <v>3</v>
      </c>
      <c r="K658">
        <v>39954.57</v>
      </c>
      <c r="L658" t="s">
        <v>563</v>
      </c>
      <c r="M658">
        <v>55</v>
      </c>
      <c r="N658" t="s">
        <v>61</v>
      </c>
      <c r="O658" s="3" t="s">
        <v>22</v>
      </c>
      <c r="P658" t="s">
        <v>29</v>
      </c>
      <c r="Q658" t="s">
        <v>24</v>
      </c>
      <c r="R658">
        <v>5</v>
      </c>
      <c r="S658" t="s">
        <v>99</v>
      </c>
      <c r="T658" s="4">
        <f t="shared" si="53"/>
        <v>119863.70999999999</v>
      </c>
      <c r="U658" s="4" t="str">
        <f t="shared" si="54"/>
        <v>Good</v>
      </c>
      <c r="V658" s="4" t="str">
        <f t="shared" si="55"/>
        <v>Good</v>
      </c>
      <c r="W658" s="4"/>
      <c r="X658" s="4"/>
      <c r="AJ658" s="4"/>
    </row>
    <row r="659" spans="1:36">
      <c r="A659" t="str">
        <f t="shared" si="51"/>
        <v>Raje39658</v>
      </c>
      <c r="B659">
        <v>658</v>
      </c>
      <c r="C659">
        <v>14</v>
      </c>
      <c r="D659">
        <v>4</v>
      </c>
      <c r="E659">
        <v>2022</v>
      </c>
      <c r="F659" s="1">
        <f t="shared" si="52"/>
        <v>44665</v>
      </c>
      <c r="G659" s="1" t="s">
        <v>537</v>
      </c>
      <c r="H659" s="2">
        <v>45135</v>
      </c>
      <c r="I659" t="s">
        <v>26</v>
      </c>
      <c r="J659">
        <v>7</v>
      </c>
      <c r="K659">
        <v>26337.14</v>
      </c>
      <c r="L659" t="s">
        <v>544</v>
      </c>
      <c r="M659">
        <v>39</v>
      </c>
      <c r="N659" t="s">
        <v>21</v>
      </c>
      <c r="O659" s="3" t="s">
        <v>28</v>
      </c>
      <c r="P659" t="s">
        <v>33</v>
      </c>
      <c r="Q659" t="s">
        <v>41</v>
      </c>
      <c r="R659">
        <v>3</v>
      </c>
      <c r="S659" t="s">
        <v>67</v>
      </c>
      <c r="T659" s="4">
        <f t="shared" si="53"/>
        <v>184359.97999999998</v>
      </c>
      <c r="U659" s="4" t="str">
        <f t="shared" si="54"/>
        <v>Average</v>
      </c>
      <c r="V659" s="4" t="str">
        <f t="shared" si="55"/>
        <v>Good</v>
      </c>
      <c r="W659" s="4"/>
      <c r="X659" s="4"/>
      <c r="AJ659" s="4"/>
    </row>
    <row r="660" spans="1:36">
      <c r="A660" t="str">
        <f t="shared" si="51"/>
        <v>Raje21659</v>
      </c>
      <c r="B660">
        <v>659</v>
      </c>
      <c r="C660">
        <v>14</v>
      </c>
      <c r="D660">
        <v>4</v>
      </c>
      <c r="E660">
        <v>2022</v>
      </c>
      <c r="F660" s="1">
        <f t="shared" si="52"/>
        <v>44665</v>
      </c>
      <c r="G660" s="1" t="s">
        <v>537</v>
      </c>
      <c r="H660" s="2">
        <v>45136</v>
      </c>
      <c r="I660" t="s">
        <v>19</v>
      </c>
      <c r="J660">
        <v>6</v>
      </c>
      <c r="K660">
        <v>20163.79</v>
      </c>
      <c r="L660" t="s">
        <v>564</v>
      </c>
      <c r="M660">
        <v>21</v>
      </c>
      <c r="N660" t="s">
        <v>36</v>
      </c>
      <c r="O660" s="3" t="s">
        <v>22</v>
      </c>
      <c r="P660" t="s">
        <v>33</v>
      </c>
      <c r="Q660" t="s">
        <v>24</v>
      </c>
      <c r="R660">
        <v>5</v>
      </c>
      <c r="S660" t="s">
        <v>84</v>
      </c>
      <c r="T660" s="4">
        <f t="shared" si="53"/>
        <v>120982.74</v>
      </c>
      <c r="U660" s="4" t="str">
        <f t="shared" si="54"/>
        <v>Good</v>
      </c>
      <c r="V660" s="4" t="str">
        <f t="shared" si="55"/>
        <v>Good</v>
      </c>
      <c r="W660" s="4"/>
      <c r="X660" s="4"/>
      <c r="AJ660" s="4"/>
    </row>
    <row r="661" spans="1:36">
      <c r="A661" t="str">
        <f t="shared" si="51"/>
        <v>Vija21660</v>
      </c>
      <c r="B661">
        <v>660</v>
      </c>
      <c r="C661">
        <v>14</v>
      </c>
      <c r="D661">
        <v>4</v>
      </c>
      <c r="E661">
        <v>2022</v>
      </c>
      <c r="F661" s="1">
        <f t="shared" si="52"/>
        <v>44665</v>
      </c>
      <c r="G661" s="1" t="s">
        <v>537</v>
      </c>
      <c r="H661" s="2">
        <v>45137</v>
      </c>
      <c r="I661" t="s">
        <v>49</v>
      </c>
      <c r="J661">
        <v>2</v>
      </c>
      <c r="K661">
        <v>47249.13</v>
      </c>
      <c r="L661" t="s">
        <v>565</v>
      </c>
      <c r="M661">
        <v>21</v>
      </c>
      <c r="N661" t="s">
        <v>36</v>
      </c>
      <c r="O661" s="3" t="s">
        <v>22</v>
      </c>
      <c r="P661" t="s">
        <v>150</v>
      </c>
      <c r="Q661" t="s">
        <v>30</v>
      </c>
      <c r="R661">
        <v>5</v>
      </c>
      <c r="S661" t="s">
        <v>52</v>
      </c>
      <c r="T661" s="4">
        <f t="shared" si="53"/>
        <v>94498.26</v>
      </c>
      <c r="U661" s="4" t="str">
        <f t="shared" si="54"/>
        <v>Good</v>
      </c>
      <c r="V661" s="4" t="str">
        <f t="shared" si="55"/>
        <v>Average</v>
      </c>
      <c r="W661" s="4"/>
      <c r="X661" s="4"/>
      <c r="AJ661" s="4"/>
    </row>
    <row r="662" spans="1:36">
      <c r="A662" t="str">
        <f t="shared" si="51"/>
        <v>Suni47661</v>
      </c>
      <c r="B662">
        <v>661</v>
      </c>
      <c r="C662">
        <v>15</v>
      </c>
      <c r="D662">
        <v>4</v>
      </c>
      <c r="E662">
        <v>2022</v>
      </c>
      <c r="F662" s="1">
        <f t="shared" si="52"/>
        <v>44666</v>
      </c>
      <c r="G662" s="1" t="s">
        <v>537</v>
      </c>
      <c r="H662" s="2">
        <v>45138</v>
      </c>
      <c r="I662" t="s">
        <v>49</v>
      </c>
      <c r="J662">
        <v>3</v>
      </c>
      <c r="K662">
        <v>53139.45</v>
      </c>
      <c r="L662" t="s">
        <v>566</v>
      </c>
      <c r="M662">
        <v>47</v>
      </c>
      <c r="N662" t="s">
        <v>61</v>
      </c>
      <c r="O662" s="3" t="s">
        <v>22</v>
      </c>
      <c r="P662" t="s">
        <v>51</v>
      </c>
      <c r="Q662" t="s">
        <v>24</v>
      </c>
      <c r="R662">
        <v>5</v>
      </c>
      <c r="S662" t="s">
        <v>102</v>
      </c>
      <c r="T662" s="4">
        <f t="shared" si="53"/>
        <v>159418.34999999998</v>
      </c>
      <c r="U662" s="4" t="str">
        <f t="shared" si="54"/>
        <v>Good</v>
      </c>
      <c r="V662" s="4" t="str">
        <f t="shared" si="55"/>
        <v>Good</v>
      </c>
      <c r="W662" s="4"/>
      <c r="X662" s="4"/>
      <c r="AJ662" s="4"/>
    </row>
    <row r="663" spans="1:36">
      <c r="A663" t="str">
        <f t="shared" si="51"/>
        <v>Suni19662</v>
      </c>
      <c r="B663">
        <v>662</v>
      </c>
      <c r="C663">
        <v>15</v>
      </c>
      <c r="D663">
        <v>4</v>
      </c>
      <c r="E663">
        <v>2022</v>
      </c>
      <c r="F663" s="1">
        <f t="shared" si="52"/>
        <v>44666</v>
      </c>
      <c r="G663" s="1" t="s">
        <v>537</v>
      </c>
      <c r="H663" s="2">
        <v>45139</v>
      </c>
      <c r="I663" t="s">
        <v>49</v>
      </c>
      <c r="J663">
        <v>6</v>
      </c>
      <c r="K663">
        <v>44171.28</v>
      </c>
      <c r="L663" t="s">
        <v>567</v>
      </c>
      <c r="M663">
        <v>19</v>
      </c>
      <c r="N663" t="s">
        <v>36</v>
      </c>
      <c r="O663" s="3" t="s">
        <v>22</v>
      </c>
      <c r="P663" t="s">
        <v>90</v>
      </c>
      <c r="Q663" t="s">
        <v>41</v>
      </c>
      <c r="R663">
        <v>5</v>
      </c>
      <c r="S663" t="s">
        <v>102</v>
      </c>
      <c r="T663" s="4">
        <f t="shared" si="53"/>
        <v>265027.68</v>
      </c>
      <c r="U663" s="4" t="str">
        <f t="shared" si="54"/>
        <v>Good</v>
      </c>
      <c r="V663" s="4" t="str">
        <f t="shared" si="55"/>
        <v>Excellent</v>
      </c>
      <c r="W663" s="4"/>
      <c r="X663" s="4"/>
      <c r="AJ663" s="4"/>
    </row>
    <row r="664" spans="1:36">
      <c r="A664" t="str">
        <f t="shared" si="51"/>
        <v>Radh46663</v>
      </c>
      <c r="B664">
        <v>663</v>
      </c>
      <c r="C664">
        <v>15</v>
      </c>
      <c r="D664">
        <v>4</v>
      </c>
      <c r="E664">
        <v>2022</v>
      </c>
      <c r="F664" s="1">
        <f t="shared" si="52"/>
        <v>44666</v>
      </c>
      <c r="G664" s="1" t="s">
        <v>537</v>
      </c>
      <c r="H664" s="2">
        <v>45140</v>
      </c>
      <c r="I664" t="s">
        <v>26</v>
      </c>
      <c r="J664">
        <v>4</v>
      </c>
      <c r="K664">
        <v>54301.08</v>
      </c>
      <c r="L664" t="s">
        <v>217</v>
      </c>
      <c r="M664">
        <v>46</v>
      </c>
      <c r="N664" t="s">
        <v>61</v>
      </c>
      <c r="O664" s="3" t="s">
        <v>22</v>
      </c>
      <c r="P664" t="s">
        <v>29</v>
      </c>
      <c r="Q664" t="s">
        <v>41</v>
      </c>
      <c r="R664">
        <v>4</v>
      </c>
      <c r="S664" t="s">
        <v>34</v>
      </c>
      <c r="T664" s="4">
        <f t="shared" si="53"/>
        <v>217204.32</v>
      </c>
      <c r="U664" s="4" t="str">
        <f t="shared" si="54"/>
        <v>Good</v>
      </c>
      <c r="V664" s="4" t="str">
        <f t="shared" si="55"/>
        <v>Excellent</v>
      </c>
      <c r="W664" s="4"/>
      <c r="X664" s="4"/>
      <c r="AJ664" s="4"/>
    </row>
    <row r="665" spans="1:36">
      <c r="A665" t="str">
        <f t="shared" si="51"/>
        <v>Amit53664</v>
      </c>
      <c r="B665">
        <v>664</v>
      </c>
      <c r="C665">
        <v>16</v>
      </c>
      <c r="D665">
        <v>4</v>
      </c>
      <c r="E665">
        <v>2022</v>
      </c>
      <c r="F665" s="1">
        <f t="shared" si="52"/>
        <v>44667</v>
      </c>
      <c r="G665" s="1" t="s">
        <v>537</v>
      </c>
      <c r="H665" s="2">
        <v>45141</v>
      </c>
      <c r="I665" t="s">
        <v>38</v>
      </c>
      <c r="J665">
        <v>6</v>
      </c>
      <c r="K665">
        <v>18491.27</v>
      </c>
      <c r="L665" t="s">
        <v>568</v>
      </c>
      <c r="M665">
        <v>53</v>
      </c>
      <c r="N665" t="s">
        <v>61</v>
      </c>
      <c r="O665" s="3" t="s">
        <v>22</v>
      </c>
      <c r="P665" t="s">
        <v>29</v>
      </c>
      <c r="Q665" t="s">
        <v>56</v>
      </c>
      <c r="R665">
        <v>5</v>
      </c>
      <c r="S665" t="s">
        <v>99</v>
      </c>
      <c r="T665" s="4">
        <f t="shared" si="53"/>
        <v>110947.62</v>
      </c>
      <c r="U665" s="4" t="str">
        <f t="shared" si="54"/>
        <v>Good</v>
      </c>
      <c r="V665" s="4" t="str">
        <f t="shared" si="55"/>
        <v>Good</v>
      </c>
      <c r="W665" s="4"/>
      <c r="X665" s="4"/>
      <c r="AJ665" s="4"/>
    </row>
    <row r="666" spans="1:36">
      <c r="A666" t="str">
        <f t="shared" si="51"/>
        <v>Moni38665</v>
      </c>
      <c r="B666">
        <v>665</v>
      </c>
      <c r="C666">
        <v>16</v>
      </c>
      <c r="D666">
        <v>4</v>
      </c>
      <c r="E666">
        <v>2022</v>
      </c>
      <c r="F666" s="1">
        <f t="shared" si="52"/>
        <v>44667</v>
      </c>
      <c r="G666" s="1" t="s">
        <v>537</v>
      </c>
      <c r="H666" s="2">
        <v>45142</v>
      </c>
      <c r="I666" t="s">
        <v>26</v>
      </c>
      <c r="J666">
        <v>1</v>
      </c>
      <c r="K666">
        <v>62948.21</v>
      </c>
      <c r="L666" t="s">
        <v>569</v>
      </c>
      <c r="M666">
        <v>38</v>
      </c>
      <c r="N666" t="s">
        <v>21</v>
      </c>
      <c r="O666" s="3" t="s">
        <v>22</v>
      </c>
      <c r="P666" t="s">
        <v>33</v>
      </c>
      <c r="Q666" t="s">
        <v>41</v>
      </c>
      <c r="R666">
        <v>5</v>
      </c>
      <c r="S666" t="s">
        <v>34</v>
      </c>
      <c r="T666" s="4">
        <f t="shared" si="53"/>
        <v>62948.21</v>
      </c>
      <c r="U666" s="4" t="str">
        <f t="shared" si="54"/>
        <v>Good</v>
      </c>
      <c r="V666" s="4" t="str">
        <f t="shared" si="55"/>
        <v>Average</v>
      </c>
      <c r="W666" s="4"/>
      <c r="X666" s="4"/>
      <c r="AJ666" s="4"/>
    </row>
    <row r="667" spans="1:36">
      <c r="A667" t="str">
        <f t="shared" si="51"/>
        <v>Nami38666</v>
      </c>
      <c r="B667">
        <v>666</v>
      </c>
      <c r="C667">
        <v>16</v>
      </c>
      <c r="D667">
        <v>4</v>
      </c>
      <c r="E667">
        <v>2022</v>
      </c>
      <c r="F667" s="1">
        <f t="shared" si="52"/>
        <v>44667</v>
      </c>
      <c r="G667" s="1" t="s">
        <v>537</v>
      </c>
      <c r="H667" s="2">
        <v>45143</v>
      </c>
      <c r="I667" t="s">
        <v>49</v>
      </c>
      <c r="J667">
        <v>1</v>
      </c>
      <c r="K667">
        <v>44943.73</v>
      </c>
      <c r="L667" t="s">
        <v>570</v>
      </c>
      <c r="M667">
        <v>38</v>
      </c>
      <c r="N667" t="s">
        <v>21</v>
      </c>
      <c r="O667" s="3" t="s">
        <v>28</v>
      </c>
      <c r="P667" t="s">
        <v>64</v>
      </c>
      <c r="Q667" t="s">
        <v>56</v>
      </c>
      <c r="R667">
        <v>3</v>
      </c>
      <c r="S667" t="s">
        <v>88</v>
      </c>
      <c r="T667" s="4">
        <f t="shared" si="53"/>
        <v>44943.73</v>
      </c>
      <c r="U667" s="4" t="str">
        <f t="shared" si="54"/>
        <v>Average</v>
      </c>
      <c r="V667" s="4" t="str">
        <f t="shared" si="55"/>
        <v>Low</v>
      </c>
      <c r="W667" s="4"/>
      <c r="X667" s="4"/>
      <c r="AJ667" s="4"/>
    </row>
    <row r="668" spans="1:36">
      <c r="A668" t="str">
        <f t="shared" si="51"/>
        <v>Suni38667</v>
      </c>
      <c r="B668">
        <v>667</v>
      </c>
      <c r="C668">
        <v>16</v>
      </c>
      <c r="D668">
        <v>4</v>
      </c>
      <c r="E668">
        <v>2022</v>
      </c>
      <c r="F668" s="1">
        <f t="shared" si="52"/>
        <v>44667</v>
      </c>
      <c r="G668" s="1" t="s">
        <v>537</v>
      </c>
      <c r="H668" s="2">
        <v>45144</v>
      </c>
      <c r="I668" t="s">
        <v>19</v>
      </c>
      <c r="J668">
        <v>3</v>
      </c>
      <c r="K668">
        <v>17610.64</v>
      </c>
      <c r="L668" t="s">
        <v>571</v>
      </c>
      <c r="M668">
        <v>38</v>
      </c>
      <c r="N668" t="s">
        <v>21</v>
      </c>
      <c r="O668" s="3" t="s">
        <v>22</v>
      </c>
      <c r="P668" t="s">
        <v>64</v>
      </c>
      <c r="Q668" t="s">
        <v>41</v>
      </c>
      <c r="R668">
        <v>5</v>
      </c>
      <c r="S668" t="s">
        <v>25</v>
      </c>
      <c r="T668" s="4">
        <f t="shared" si="53"/>
        <v>52831.92</v>
      </c>
      <c r="U668" s="4" t="str">
        <f t="shared" si="54"/>
        <v>Good</v>
      </c>
      <c r="V668" s="4" t="str">
        <f t="shared" si="55"/>
        <v>Average</v>
      </c>
      <c r="W668" s="4"/>
      <c r="X668" s="4"/>
      <c r="AJ668" s="4"/>
    </row>
    <row r="669" spans="1:36">
      <c r="A669" t="str">
        <f t="shared" si="51"/>
        <v>Reen21668</v>
      </c>
      <c r="B669">
        <v>668</v>
      </c>
      <c r="C669">
        <v>17</v>
      </c>
      <c r="D669">
        <v>4</v>
      </c>
      <c r="E669">
        <v>2022</v>
      </c>
      <c r="F669" s="1">
        <f t="shared" si="52"/>
        <v>44668</v>
      </c>
      <c r="G669" s="1" t="s">
        <v>537</v>
      </c>
      <c r="H669" s="2">
        <v>45145</v>
      </c>
      <c r="I669" t="s">
        <v>43</v>
      </c>
      <c r="J669">
        <v>8</v>
      </c>
      <c r="K669">
        <v>37715.51</v>
      </c>
      <c r="L669" t="s">
        <v>352</v>
      </c>
      <c r="M669">
        <v>21</v>
      </c>
      <c r="N669" t="s">
        <v>36</v>
      </c>
      <c r="O669" s="3" t="s">
        <v>28</v>
      </c>
      <c r="P669" t="s">
        <v>29</v>
      </c>
      <c r="Q669" t="s">
        <v>56</v>
      </c>
      <c r="R669">
        <v>3</v>
      </c>
      <c r="S669" t="s">
        <v>46</v>
      </c>
      <c r="T669" s="4">
        <f t="shared" si="53"/>
        <v>301724.08</v>
      </c>
      <c r="U669" s="4" t="str">
        <f t="shared" si="54"/>
        <v>Average</v>
      </c>
      <c r="V669" s="4" t="str">
        <f t="shared" si="55"/>
        <v>Excellent</v>
      </c>
      <c r="W669" s="4"/>
      <c r="X669" s="4"/>
      <c r="AJ669" s="4"/>
    </row>
    <row r="670" spans="1:36">
      <c r="A670" t="str">
        <f t="shared" si="51"/>
        <v>Bhav18669</v>
      </c>
      <c r="B670">
        <v>669</v>
      </c>
      <c r="C670">
        <v>17</v>
      </c>
      <c r="D670">
        <v>4</v>
      </c>
      <c r="E670">
        <v>2022</v>
      </c>
      <c r="F670" s="1">
        <f t="shared" si="52"/>
        <v>44668</v>
      </c>
      <c r="G670" s="1" t="s">
        <v>537</v>
      </c>
      <c r="H670" s="2">
        <v>45146</v>
      </c>
      <c r="I670" t="s">
        <v>38</v>
      </c>
      <c r="J670">
        <v>8</v>
      </c>
      <c r="K670">
        <v>60687.5</v>
      </c>
      <c r="L670" t="s">
        <v>433</v>
      </c>
      <c r="M670">
        <v>18</v>
      </c>
      <c r="N670" t="s">
        <v>36</v>
      </c>
      <c r="O670" s="3" t="s">
        <v>22</v>
      </c>
      <c r="P670" t="s">
        <v>110</v>
      </c>
      <c r="Q670" t="s">
        <v>30</v>
      </c>
      <c r="R670">
        <v>5</v>
      </c>
      <c r="S670" t="s">
        <v>99</v>
      </c>
      <c r="T670" s="4">
        <f t="shared" si="53"/>
        <v>485500</v>
      </c>
      <c r="U670" s="4" t="str">
        <f t="shared" si="54"/>
        <v>Good</v>
      </c>
      <c r="V670" s="4" t="str">
        <f t="shared" si="55"/>
        <v>Excellent</v>
      </c>
      <c r="W670" s="4"/>
      <c r="X670" s="4"/>
      <c r="AJ670" s="4"/>
    </row>
    <row r="671" spans="1:36">
      <c r="A671" t="str">
        <f t="shared" si="51"/>
        <v>Bina43670</v>
      </c>
      <c r="B671">
        <v>670</v>
      </c>
      <c r="C671">
        <v>17</v>
      </c>
      <c r="D671">
        <v>4</v>
      </c>
      <c r="E671">
        <v>2022</v>
      </c>
      <c r="F671" s="1">
        <f t="shared" si="52"/>
        <v>44668</v>
      </c>
      <c r="G671" s="1" t="s">
        <v>537</v>
      </c>
      <c r="H671" s="2">
        <v>45147</v>
      </c>
      <c r="I671" t="s">
        <v>38</v>
      </c>
      <c r="J671">
        <v>4</v>
      </c>
      <c r="K671">
        <v>63853.73</v>
      </c>
      <c r="L671" t="s">
        <v>572</v>
      </c>
      <c r="M671">
        <v>43</v>
      </c>
      <c r="N671" t="s">
        <v>21</v>
      </c>
      <c r="O671" s="3" t="s">
        <v>28</v>
      </c>
      <c r="P671" t="s">
        <v>33</v>
      </c>
      <c r="Q671" t="s">
        <v>56</v>
      </c>
      <c r="R671">
        <v>3</v>
      </c>
      <c r="S671" t="s">
        <v>48</v>
      </c>
      <c r="T671" s="4">
        <f t="shared" si="53"/>
        <v>255414.92</v>
      </c>
      <c r="U671" s="4" t="str">
        <f t="shared" si="54"/>
        <v>Average</v>
      </c>
      <c r="V671" s="4" t="str">
        <f t="shared" si="55"/>
        <v>Excellent</v>
      </c>
      <c r="W671" s="4"/>
      <c r="X671" s="4"/>
      <c r="AJ671" s="4"/>
    </row>
    <row r="672" spans="1:36">
      <c r="A672" t="str">
        <f t="shared" si="51"/>
        <v>Ravi19671</v>
      </c>
      <c r="B672">
        <v>671</v>
      </c>
      <c r="C672">
        <v>18</v>
      </c>
      <c r="D672">
        <v>4</v>
      </c>
      <c r="E672">
        <v>2022</v>
      </c>
      <c r="F672" s="1">
        <f t="shared" si="52"/>
        <v>44669</v>
      </c>
      <c r="G672" s="1" t="s">
        <v>537</v>
      </c>
      <c r="H672" s="2">
        <v>45148</v>
      </c>
      <c r="I672" t="s">
        <v>26</v>
      </c>
      <c r="J672">
        <v>6</v>
      </c>
      <c r="K672">
        <v>25878.97</v>
      </c>
      <c r="L672" t="s">
        <v>573</v>
      </c>
      <c r="M672">
        <v>19</v>
      </c>
      <c r="N672" t="s">
        <v>36</v>
      </c>
      <c r="O672" s="3" t="s">
        <v>22</v>
      </c>
      <c r="P672" t="s">
        <v>51</v>
      </c>
      <c r="Q672" t="s">
        <v>41</v>
      </c>
      <c r="R672">
        <v>5</v>
      </c>
      <c r="S672" t="s">
        <v>34</v>
      </c>
      <c r="T672" s="4">
        <f t="shared" si="53"/>
        <v>155273.82</v>
      </c>
      <c r="U672" s="4" t="str">
        <f t="shared" si="54"/>
        <v>Good</v>
      </c>
      <c r="V672" s="4" t="str">
        <f t="shared" si="55"/>
        <v>Good</v>
      </c>
      <c r="W672" s="4"/>
      <c r="X672" s="4"/>
      <c r="AJ672" s="4"/>
    </row>
    <row r="673" spans="1:36">
      <c r="A673" t="str">
        <f t="shared" si="51"/>
        <v>Suni26672</v>
      </c>
      <c r="B673">
        <v>672</v>
      </c>
      <c r="C673">
        <v>18</v>
      </c>
      <c r="D673">
        <v>4</v>
      </c>
      <c r="E673">
        <v>2022</v>
      </c>
      <c r="F673" s="1">
        <f t="shared" si="52"/>
        <v>44669</v>
      </c>
      <c r="G673" s="1" t="s">
        <v>537</v>
      </c>
      <c r="H673" s="2">
        <v>45149</v>
      </c>
      <c r="I673" t="s">
        <v>38</v>
      </c>
      <c r="J673">
        <v>8</v>
      </c>
      <c r="K673">
        <v>52675.95</v>
      </c>
      <c r="L673" t="s">
        <v>574</v>
      </c>
      <c r="M673">
        <v>26</v>
      </c>
      <c r="N673" t="s">
        <v>36</v>
      </c>
      <c r="O673" s="3" t="s">
        <v>22</v>
      </c>
      <c r="P673" t="s">
        <v>29</v>
      </c>
      <c r="Q673" t="s">
        <v>30</v>
      </c>
      <c r="R673">
        <v>5</v>
      </c>
      <c r="S673" t="s">
        <v>48</v>
      </c>
      <c r="T673" s="4">
        <f t="shared" si="53"/>
        <v>421407.6</v>
      </c>
      <c r="U673" s="4" t="str">
        <f t="shared" si="54"/>
        <v>Good</v>
      </c>
      <c r="V673" s="4" t="str">
        <f t="shared" si="55"/>
        <v>Excellent</v>
      </c>
      <c r="W673" s="4"/>
      <c r="X673" s="4"/>
      <c r="AJ673" s="4"/>
    </row>
    <row r="674" spans="1:36">
      <c r="A674" t="str">
        <f t="shared" si="51"/>
        <v>Meen35673</v>
      </c>
      <c r="B674">
        <v>673</v>
      </c>
      <c r="C674">
        <v>18</v>
      </c>
      <c r="D674">
        <v>4</v>
      </c>
      <c r="E674">
        <v>2022</v>
      </c>
      <c r="F674" s="1">
        <f t="shared" si="52"/>
        <v>44669</v>
      </c>
      <c r="G674" s="1" t="s">
        <v>537</v>
      </c>
      <c r="H674" s="2">
        <v>45150</v>
      </c>
      <c r="I674" t="s">
        <v>49</v>
      </c>
      <c r="J674">
        <v>7</v>
      </c>
      <c r="K674">
        <v>15999.11</v>
      </c>
      <c r="L674" t="s">
        <v>575</v>
      </c>
      <c r="M674">
        <v>35</v>
      </c>
      <c r="N674" t="s">
        <v>21</v>
      </c>
      <c r="O674" s="3" t="s">
        <v>28</v>
      </c>
      <c r="P674" t="s">
        <v>40</v>
      </c>
      <c r="Q674" t="s">
        <v>24</v>
      </c>
      <c r="R674">
        <v>3</v>
      </c>
      <c r="S674" t="s">
        <v>88</v>
      </c>
      <c r="T674" s="4">
        <f t="shared" si="53"/>
        <v>111993.77</v>
      </c>
      <c r="U674" s="4" t="str">
        <f t="shared" si="54"/>
        <v>Average</v>
      </c>
      <c r="V674" s="4" t="str">
        <f t="shared" si="55"/>
        <v>Good</v>
      </c>
      <c r="W674" s="4"/>
      <c r="X674" s="4"/>
      <c r="AJ674" s="4"/>
    </row>
    <row r="675" spans="1:36">
      <c r="A675" t="str">
        <f t="shared" si="51"/>
        <v>Ayes59674</v>
      </c>
      <c r="B675">
        <v>674</v>
      </c>
      <c r="C675">
        <v>19</v>
      </c>
      <c r="D675">
        <v>4</v>
      </c>
      <c r="E675">
        <v>2022</v>
      </c>
      <c r="F675" s="1">
        <f t="shared" si="52"/>
        <v>44670</v>
      </c>
      <c r="G675" s="1" t="s">
        <v>537</v>
      </c>
      <c r="H675" s="2">
        <v>45151</v>
      </c>
      <c r="I675" t="s">
        <v>49</v>
      </c>
      <c r="J675">
        <v>7</v>
      </c>
      <c r="K675">
        <v>12012.75</v>
      </c>
      <c r="L675" t="s">
        <v>576</v>
      </c>
      <c r="M675">
        <v>59</v>
      </c>
      <c r="N675" t="s">
        <v>61</v>
      </c>
      <c r="O675" s="3" t="s">
        <v>22</v>
      </c>
      <c r="P675" t="s">
        <v>33</v>
      </c>
      <c r="Q675" t="s">
        <v>41</v>
      </c>
      <c r="R675">
        <v>4</v>
      </c>
      <c r="S675" t="s">
        <v>52</v>
      </c>
      <c r="T675" s="4">
        <f t="shared" si="53"/>
        <v>84089.25</v>
      </c>
      <c r="U675" s="4" t="str">
        <f t="shared" si="54"/>
        <v>Good</v>
      </c>
      <c r="V675" s="4" t="str">
        <f t="shared" si="55"/>
        <v>Average</v>
      </c>
      <c r="W675" s="4"/>
      <c r="X675" s="4"/>
      <c r="AJ675" s="4"/>
    </row>
    <row r="676" spans="1:36">
      <c r="A676" t="str">
        <f t="shared" si="51"/>
        <v>Bina58675</v>
      </c>
      <c r="B676">
        <v>675</v>
      </c>
      <c r="C676">
        <v>19</v>
      </c>
      <c r="D676">
        <v>4</v>
      </c>
      <c r="E676">
        <v>2022</v>
      </c>
      <c r="F676" s="1">
        <f t="shared" si="52"/>
        <v>44670</v>
      </c>
      <c r="G676" s="1" t="s">
        <v>537</v>
      </c>
      <c r="H676" s="2">
        <v>45152</v>
      </c>
      <c r="I676" t="s">
        <v>26</v>
      </c>
      <c r="J676">
        <v>4</v>
      </c>
      <c r="K676">
        <v>43623.94</v>
      </c>
      <c r="L676" t="s">
        <v>286</v>
      </c>
      <c r="M676">
        <v>58</v>
      </c>
      <c r="N676" t="s">
        <v>61</v>
      </c>
      <c r="O676" s="3" t="s">
        <v>22</v>
      </c>
      <c r="P676" t="s">
        <v>29</v>
      </c>
      <c r="Q676" t="s">
        <v>56</v>
      </c>
      <c r="R676">
        <v>5</v>
      </c>
      <c r="S676" t="s">
        <v>31</v>
      </c>
      <c r="T676" s="4">
        <f t="shared" si="53"/>
        <v>174495.76</v>
      </c>
      <c r="U676" s="4" t="str">
        <f t="shared" si="54"/>
        <v>Good</v>
      </c>
      <c r="V676" s="4" t="str">
        <f t="shared" si="55"/>
        <v>Good</v>
      </c>
      <c r="W676" s="4"/>
      <c r="X676" s="4"/>
      <c r="AJ676" s="4"/>
    </row>
    <row r="677" spans="1:36">
      <c r="A677" t="str">
        <f t="shared" si="51"/>
        <v>Lata28676</v>
      </c>
      <c r="B677">
        <v>676</v>
      </c>
      <c r="C677">
        <v>19</v>
      </c>
      <c r="D677">
        <v>4</v>
      </c>
      <c r="E677">
        <v>2022</v>
      </c>
      <c r="F677" s="1">
        <f t="shared" si="52"/>
        <v>44670</v>
      </c>
      <c r="G677" s="1" t="s">
        <v>537</v>
      </c>
      <c r="H677" s="2">
        <v>45153</v>
      </c>
      <c r="I677" t="s">
        <v>49</v>
      </c>
      <c r="J677">
        <v>9</v>
      </c>
      <c r="K677">
        <v>51689.65</v>
      </c>
      <c r="L677" t="s">
        <v>577</v>
      </c>
      <c r="M677">
        <v>28</v>
      </c>
      <c r="N677" t="s">
        <v>36</v>
      </c>
      <c r="O677" s="3" t="s">
        <v>22</v>
      </c>
      <c r="P677" t="s">
        <v>29</v>
      </c>
      <c r="Q677" t="s">
        <v>24</v>
      </c>
      <c r="R677">
        <v>5</v>
      </c>
      <c r="S677" t="s">
        <v>52</v>
      </c>
      <c r="T677" s="4">
        <f t="shared" si="53"/>
        <v>465206.85000000003</v>
      </c>
      <c r="U677" s="4" t="str">
        <f t="shared" si="54"/>
        <v>Good</v>
      </c>
      <c r="V677" s="4" t="str">
        <f t="shared" si="55"/>
        <v>Excellent</v>
      </c>
      <c r="W677" s="4"/>
      <c r="X677" s="4"/>
      <c r="AJ677" s="4"/>
    </row>
    <row r="678" spans="1:36">
      <c r="A678" t="str">
        <f t="shared" si="51"/>
        <v>Lali42677</v>
      </c>
      <c r="B678">
        <v>677</v>
      </c>
      <c r="C678">
        <v>20</v>
      </c>
      <c r="D678">
        <v>4</v>
      </c>
      <c r="E678">
        <v>2022</v>
      </c>
      <c r="F678" s="1">
        <f t="shared" si="52"/>
        <v>44671</v>
      </c>
      <c r="G678" s="1" t="s">
        <v>537</v>
      </c>
      <c r="H678" s="2">
        <v>45154</v>
      </c>
      <c r="I678" t="s">
        <v>19</v>
      </c>
      <c r="J678">
        <v>6</v>
      </c>
      <c r="K678">
        <v>57747.199999999997</v>
      </c>
      <c r="L678" t="s">
        <v>263</v>
      </c>
      <c r="M678">
        <v>42</v>
      </c>
      <c r="N678" t="s">
        <v>21</v>
      </c>
      <c r="O678" s="3" t="s">
        <v>22</v>
      </c>
      <c r="P678" t="s">
        <v>77</v>
      </c>
      <c r="Q678" t="s">
        <v>56</v>
      </c>
      <c r="R678">
        <v>4</v>
      </c>
      <c r="S678" t="s">
        <v>37</v>
      </c>
      <c r="T678" s="4">
        <f t="shared" si="53"/>
        <v>346483.19999999995</v>
      </c>
      <c r="U678" s="4" t="str">
        <f t="shared" si="54"/>
        <v>Good</v>
      </c>
      <c r="V678" s="4" t="str">
        <f t="shared" si="55"/>
        <v>Excellent</v>
      </c>
      <c r="W678" s="4"/>
      <c r="X678" s="4"/>
      <c r="AJ678" s="4"/>
    </row>
    <row r="679" spans="1:36">
      <c r="A679" t="str">
        <f t="shared" si="51"/>
        <v>Pooj43678</v>
      </c>
      <c r="B679">
        <v>678</v>
      </c>
      <c r="C679">
        <v>20</v>
      </c>
      <c r="D679">
        <v>4</v>
      </c>
      <c r="E679">
        <v>2022</v>
      </c>
      <c r="F679" s="1">
        <f t="shared" si="52"/>
        <v>44671</v>
      </c>
      <c r="G679" s="1" t="s">
        <v>537</v>
      </c>
      <c r="H679" s="2">
        <v>45155</v>
      </c>
      <c r="I679" t="s">
        <v>26</v>
      </c>
      <c r="J679">
        <v>3</v>
      </c>
      <c r="K679">
        <v>30412.97</v>
      </c>
      <c r="L679" t="s">
        <v>213</v>
      </c>
      <c r="M679">
        <v>43</v>
      </c>
      <c r="N679" t="s">
        <v>21</v>
      </c>
      <c r="O679" s="3" t="s">
        <v>22</v>
      </c>
      <c r="P679" t="s">
        <v>29</v>
      </c>
      <c r="Q679" t="s">
        <v>24</v>
      </c>
      <c r="R679">
        <v>5</v>
      </c>
      <c r="S679" t="s">
        <v>67</v>
      </c>
      <c r="T679" s="4">
        <f t="shared" si="53"/>
        <v>91238.91</v>
      </c>
      <c r="U679" s="4" t="str">
        <f t="shared" si="54"/>
        <v>Good</v>
      </c>
      <c r="V679" s="4" t="str">
        <f t="shared" si="55"/>
        <v>Average</v>
      </c>
      <c r="W679" s="4"/>
      <c r="X679" s="4"/>
      <c r="AJ679" s="4"/>
    </row>
    <row r="680" spans="1:36">
      <c r="A680" t="str">
        <f t="shared" si="51"/>
        <v>Priy53679</v>
      </c>
      <c r="B680">
        <v>679</v>
      </c>
      <c r="C680">
        <v>20</v>
      </c>
      <c r="D680">
        <v>4</v>
      </c>
      <c r="E680">
        <v>2022</v>
      </c>
      <c r="F680" s="1">
        <f t="shared" si="52"/>
        <v>44671</v>
      </c>
      <c r="G680" s="1" t="s">
        <v>537</v>
      </c>
      <c r="H680" s="2">
        <v>45156</v>
      </c>
      <c r="I680" t="s">
        <v>19</v>
      </c>
      <c r="J680">
        <v>5</v>
      </c>
      <c r="K680">
        <v>10391.52</v>
      </c>
      <c r="L680" t="s">
        <v>515</v>
      </c>
      <c r="M680">
        <v>53</v>
      </c>
      <c r="N680" t="s">
        <v>61</v>
      </c>
      <c r="O680" s="3" t="s">
        <v>22</v>
      </c>
      <c r="P680" t="s">
        <v>40</v>
      </c>
      <c r="Q680" t="s">
        <v>30</v>
      </c>
      <c r="R680">
        <v>4</v>
      </c>
      <c r="S680" t="s">
        <v>84</v>
      </c>
      <c r="T680" s="4">
        <f t="shared" si="53"/>
        <v>51957.600000000006</v>
      </c>
      <c r="U680" s="4" t="str">
        <f t="shared" si="54"/>
        <v>Good</v>
      </c>
      <c r="V680" s="4" t="str">
        <f t="shared" si="55"/>
        <v>Average</v>
      </c>
      <c r="W680" s="4"/>
      <c r="X680" s="4"/>
      <c r="AJ680" s="4"/>
    </row>
    <row r="681" spans="1:36">
      <c r="A681" t="str">
        <f t="shared" si="51"/>
        <v>Yoge59680</v>
      </c>
      <c r="B681">
        <v>680</v>
      </c>
      <c r="C681">
        <v>21</v>
      </c>
      <c r="D681">
        <v>4</v>
      </c>
      <c r="E681">
        <v>2022</v>
      </c>
      <c r="F681" s="1">
        <f t="shared" si="52"/>
        <v>44672</v>
      </c>
      <c r="G681" s="1" t="s">
        <v>537</v>
      </c>
      <c r="H681" s="2">
        <v>45157</v>
      </c>
      <c r="I681" t="s">
        <v>43</v>
      </c>
      <c r="J681">
        <v>5</v>
      </c>
      <c r="K681">
        <v>38771.15</v>
      </c>
      <c r="L681" t="s">
        <v>578</v>
      </c>
      <c r="M681">
        <v>59</v>
      </c>
      <c r="N681" t="s">
        <v>61</v>
      </c>
      <c r="O681" s="3" t="s">
        <v>22</v>
      </c>
      <c r="P681" t="s">
        <v>40</v>
      </c>
      <c r="Q681" t="s">
        <v>41</v>
      </c>
      <c r="R681">
        <v>5</v>
      </c>
      <c r="S681" t="s">
        <v>95</v>
      </c>
      <c r="T681" s="4">
        <f t="shared" si="53"/>
        <v>193855.75</v>
      </c>
      <c r="U681" s="4" t="str">
        <f t="shared" si="54"/>
        <v>Good</v>
      </c>
      <c r="V681" s="4" t="str">
        <f t="shared" si="55"/>
        <v>Good</v>
      </c>
      <c r="W681" s="4"/>
      <c r="X681" s="4"/>
      <c r="AJ681" s="4"/>
    </row>
    <row r="682" spans="1:36">
      <c r="A682" t="str">
        <f t="shared" si="51"/>
        <v>Mala52681</v>
      </c>
      <c r="B682">
        <v>681</v>
      </c>
      <c r="C682">
        <v>21</v>
      </c>
      <c r="D682">
        <v>4</v>
      </c>
      <c r="E682">
        <v>2022</v>
      </c>
      <c r="F682" s="1">
        <f t="shared" si="52"/>
        <v>44672</v>
      </c>
      <c r="G682" s="1" t="s">
        <v>537</v>
      </c>
      <c r="H682" s="2">
        <v>45158</v>
      </c>
      <c r="I682" t="s">
        <v>19</v>
      </c>
      <c r="J682">
        <v>5</v>
      </c>
      <c r="K682">
        <v>10951.21</v>
      </c>
      <c r="L682" t="s">
        <v>514</v>
      </c>
      <c r="M682">
        <v>52</v>
      </c>
      <c r="N682" t="s">
        <v>61</v>
      </c>
      <c r="O682" s="3" t="s">
        <v>22</v>
      </c>
      <c r="P682" t="s">
        <v>29</v>
      </c>
      <c r="Q682" t="s">
        <v>30</v>
      </c>
      <c r="R682">
        <v>5</v>
      </c>
      <c r="S682" t="s">
        <v>25</v>
      </c>
      <c r="T682" s="4">
        <f t="shared" si="53"/>
        <v>54756.049999999996</v>
      </c>
      <c r="U682" s="4" t="str">
        <f t="shared" si="54"/>
        <v>Good</v>
      </c>
      <c r="V682" s="4" t="str">
        <f t="shared" si="55"/>
        <v>Average</v>
      </c>
      <c r="W682" s="4"/>
      <c r="X682" s="4"/>
      <c r="AJ682" s="4"/>
    </row>
    <row r="683" spans="1:36">
      <c r="A683" t="str">
        <f t="shared" si="51"/>
        <v>Vino55682</v>
      </c>
      <c r="B683">
        <v>682</v>
      </c>
      <c r="C683">
        <v>21</v>
      </c>
      <c r="D683">
        <v>4</v>
      </c>
      <c r="E683">
        <v>2022</v>
      </c>
      <c r="F683" s="1">
        <f t="shared" si="52"/>
        <v>44672</v>
      </c>
      <c r="G683" s="1" t="s">
        <v>537</v>
      </c>
      <c r="H683" s="2">
        <v>45159</v>
      </c>
      <c r="I683" t="s">
        <v>43</v>
      </c>
      <c r="J683">
        <v>8</v>
      </c>
      <c r="K683">
        <v>15519.07</v>
      </c>
      <c r="L683" t="s">
        <v>398</v>
      </c>
      <c r="M683">
        <v>55</v>
      </c>
      <c r="N683" t="s">
        <v>61</v>
      </c>
      <c r="O683" s="3" t="s">
        <v>22</v>
      </c>
      <c r="P683" t="s">
        <v>29</v>
      </c>
      <c r="Q683" t="s">
        <v>41</v>
      </c>
      <c r="R683">
        <v>5</v>
      </c>
      <c r="S683" t="s">
        <v>57</v>
      </c>
      <c r="T683" s="4">
        <f t="shared" si="53"/>
        <v>124152.56</v>
      </c>
      <c r="U683" s="4" t="str">
        <f t="shared" si="54"/>
        <v>Good</v>
      </c>
      <c r="V683" s="4" t="str">
        <f t="shared" si="55"/>
        <v>Good</v>
      </c>
      <c r="W683" s="4"/>
      <c r="X683" s="4"/>
      <c r="AJ683" s="4"/>
    </row>
    <row r="684" spans="1:36">
      <c r="A684" t="str">
        <f t="shared" si="51"/>
        <v>Suni20683</v>
      </c>
      <c r="B684">
        <v>683</v>
      </c>
      <c r="C684">
        <v>22</v>
      </c>
      <c r="D684">
        <v>4</v>
      </c>
      <c r="E684">
        <v>2022</v>
      </c>
      <c r="F684" s="1">
        <f t="shared" si="52"/>
        <v>44673</v>
      </c>
      <c r="G684" s="1" t="s">
        <v>537</v>
      </c>
      <c r="H684" s="2">
        <v>45160</v>
      </c>
      <c r="I684" t="s">
        <v>43</v>
      </c>
      <c r="J684">
        <v>9</v>
      </c>
      <c r="K684">
        <v>29601.34</v>
      </c>
      <c r="L684" t="s">
        <v>579</v>
      </c>
      <c r="M684">
        <v>20</v>
      </c>
      <c r="N684" t="s">
        <v>36</v>
      </c>
      <c r="O684" s="3" t="s">
        <v>22</v>
      </c>
      <c r="P684" t="s">
        <v>70</v>
      </c>
      <c r="Q684" t="s">
        <v>24</v>
      </c>
      <c r="R684">
        <v>5</v>
      </c>
      <c r="S684" t="s">
        <v>57</v>
      </c>
      <c r="T684" s="4">
        <f t="shared" si="53"/>
        <v>266412.06</v>
      </c>
      <c r="U684" s="4" t="str">
        <f t="shared" si="54"/>
        <v>Good</v>
      </c>
      <c r="V684" s="4" t="str">
        <f t="shared" si="55"/>
        <v>Excellent</v>
      </c>
      <c r="W684" s="4"/>
      <c r="X684" s="4"/>
      <c r="AJ684" s="4"/>
    </row>
    <row r="685" spans="1:36">
      <c r="A685" t="str">
        <f t="shared" si="51"/>
        <v>Anan58684</v>
      </c>
      <c r="B685">
        <v>684</v>
      </c>
      <c r="C685">
        <v>22</v>
      </c>
      <c r="D685">
        <v>4</v>
      </c>
      <c r="E685">
        <v>2022</v>
      </c>
      <c r="F685" s="1">
        <f t="shared" si="52"/>
        <v>44673</v>
      </c>
      <c r="G685" s="1" t="s">
        <v>537</v>
      </c>
      <c r="H685" s="2">
        <v>45161</v>
      </c>
      <c r="I685" t="s">
        <v>19</v>
      </c>
      <c r="J685">
        <v>9</v>
      </c>
      <c r="K685">
        <v>36230.32</v>
      </c>
      <c r="L685" t="s">
        <v>418</v>
      </c>
      <c r="M685">
        <v>58</v>
      </c>
      <c r="N685" t="s">
        <v>61</v>
      </c>
      <c r="O685" s="3" t="s">
        <v>22</v>
      </c>
      <c r="P685" t="s">
        <v>114</v>
      </c>
      <c r="Q685" t="s">
        <v>30</v>
      </c>
      <c r="R685">
        <v>5</v>
      </c>
      <c r="S685" t="s">
        <v>37</v>
      </c>
      <c r="T685" s="4">
        <f t="shared" si="53"/>
        <v>326072.88</v>
      </c>
      <c r="U685" s="4" t="str">
        <f t="shared" si="54"/>
        <v>Good</v>
      </c>
      <c r="V685" s="4" t="str">
        <f t="shared" si="55"/>
        <v>Excellent</v>
      </c>
      <c r="W685" s="4"/>
      <c r="X685" s="4"/>
      <c r="AJ685" s="4"/>
    </row>
    <row r="686" spans="1:36">
      <c r="A686" t="str">
        <f t="shared" si="51"/>
        <v>Lata52685</v>
      </c>
      <c r="B686">
        <v>685</v>
      </c>
      <c r="C686">
        <v>22</v>
      </c>
      <c r="D686">
        <v>4</v>
      </c>
      <c r="E686">
        <v>2022</v>
      </c>
      <c r="F686" s="1">
        <f t="shared" si="52"/>
        <v>44673</v>
      </c>
      <c r="G686" s="1" t="s">
        <v>537</v>
      </c>
      <c r="H686" s="2">
        <v>45162</v>
      </c>
      <c r="I686" t="s">
        <v>26</v>
      </c>
      <c r="J686">
        <v>6</v>
      </c>
      <c r="K686">
        <v>26768.17</v>
      </c>
      <c r="L686" t="s">
        <v>238</v>
      </c>
      <c r="M686">
        <v>52</v>
      </c>
      <c r="N686" t="s">
        <v>61</v>
      </c>
      <c r="O686" s="3" t="s">
        <v>22</v>
      </c>
      <c r="P686" t="s">
        <v>70</v>
      </c>
      <c r="Q686" t="s">
        <v>41</v>
      </c>
      <c r="R686">
        <v>4</v>
      </c>
      <c r="S686" t="s">
        <v>31</v>
      </c>
      <c r="T686" s="4">
        <f t="shared" si="53"/>
        <v>160609.01999999999</v>
      </c>
      <c r="U686" s="4" t="str">
        <f t="shared" si="54"/>
        <v>Good</v>
      </c>
      <c r="V686" s="4" t="str">
        <f t="shared" si="55"/>
        <v>Good</v>
      </c>
      <c r="W686" s="4"/>
      <c r="X686" s="4"/>
      <c r="AJ686" s="4"/>
    </row>
    <row r="687" spans="1:36">
      <c r="A687" t="str">
        <f t="shared" si="51"/>
        <v>Hari57686</v>
      </c>
      <c r="B687">
        <v>686</v>
      </c>
      <c r="C687">
        <v>22</v>
      </c>
      <c r="D687">
        <v>4</v>
      </c>
      <c r="E687">
        <v>2022</v>
      </c>
      <c r="F687" s="1">
        <f t="shared" si="52"/>
        <v>44673</v>
      </c>
      <c r="G687" s="1" t="s">
        <v>537</v>
      </c>
      <c r="H687" s="2">
        <v>45163</v>
      </c>
      <c r="I687" t="s">
        <v>49</v>
      </c>
      <c r="J687">
        <v>6</v>
      </c>
      <c r="K687">
        <v>44911.92</v>
      </c>
      <c r="L687" t="s">
        <v>559</v>
      </c>
      <c r="M687">
        <v>57</v>
      </c>
      <c r="N687" t="s">
        <v>61</v>
      </c>
      <c r="O687" s="3" t="s">
        <v>22</v>
      </c>
      <c r="P687" t="s">
        <v>64</v>
      </c>
      <c r="Q687" t="s">
        <v>24</v>
      </c>
      <c r="R687">
        <v>5</v>
      </c>
      <c r="S687" t="s">
        <v>52</v>
      </c>
      <c r="T687" s="4">
        <f t="shared" si="53"/>
        <v>269471.52</v>
      </c>
      <c r="U687" s="4" t="str">
        <f t="shared" si="54"/>
        <v>Good</v>
      </c>
      <c r="V687" s="4" t="str">
        <f t="shared" si="55"/>
        <v>Excellent</v>
      </c>
      <c r="W687" s="4"/>
      <c r="X687" s="4"/>
      <c r="AJ687" s="4"/>
    </row>
    <row r="688" spans="1:36">
      <c r="A688" t="str">
        <f t="shared" si="51"/>
        <v>Neet39687</v>
      </c>
      <c r="B688">
        <v>687</v>
      </c>
      <c r="C688">
        <v>23</v>
      </c>
      <c r="D688">
        <v>4</v>
      </c>
      <c r="E688">
        <v>2022</v>
      </c>
      <c r="F688" s="1">
        <f t="shared" si="52"/>
        <v>44674</v>
      </c>
      <c r="G688" s="1" t="s">
        <v>537</v>
      </c>
      <c r="H688" s="2">
        <v>45164</v>
      </c>
      <c r="I688" t="s">
        <v>49</v>
      </c>
      <c r="J688">
        <v>9</v>
      </c>
      <c r="K688">
        <v>13320.99</v>
      </c>
      <c r="L688" t="s">
        <v>240</v>
      </c>
      <c r="M688">
        <v>39</v>
      </c>
      <c r="N688" t="s">
        <v>21</v>
      </c>
      <c r="O688" s="3" t="s">
        <v>22</v>
      </c>
      <c r="P688" t="s">
        <v>33</v>
      </c>
      <c r="Q688" t="s">
        <v>30</v>
      </c>
      <c r="R688">
        <v>5</v>
      </c>
      <c r="S688" t="s">
        <v>52</v>
      </c>
      <c r="T688" s="4">
        <f t="shared" si="53"/>
        <v>119888.91</v>
      </c>
      <c r="U688" s="4" t="str">
        <f t="shared" si="54"/>
        <v>Good</v>
      </c>
      <c r="V688" s="4" t="str">
        <f t="shared" si="55"/>
        <v>Good</v>
      </c>
      <c r="W688" s="4"/>
      <c r="X688" s="4"/>
      <c r="AJ688" s="4"/>
    </row>
    <row r="689" spans="1:36">
      <c r="A689" t="str">
        <f t="shared" si="51"/>
        <v>Pank25688</v>
      </c>
      <c r="B689">
        <v>688</v>
      </c>
      <c r="C689">
        <v>23</v>
      </c>
      <c r="D689">
        <v>4</v>
      </c>
      <c r="E689">
        <v>2022</v>
      </c>
      <c r="F689" s="1">
        <f t="shared" si="52"/>
        <v>44674</v>
      </c>
      <c r="G689" s="1" t="s">
        <v>537</v>
      </c>
      <c r="H689" s="2">
        <v>45165</v>
      </c>
      <c r="I689" t="s">
        <v>43</v>
      </c>
      <c r="J689">
        <v>4</v>
      </c>
      <c r="K689">
        <v>18674.78</v>
      </c>
      <c r="L689" t="s">
        <v>94</v>
      </c>
      <c r="M689">
        <v>25</v>
      </c>
      <c r="N689" t="s">
        <v>36</v>
      </c>
      <c r="O689" s="3" t="s">
        <v>28</v>
      </c>
      <c r="P689" t="s">
        <v>150</v>
      </c>
      <c r="Q689" t="s">
        <v>30</v>
      </c>
      <c r="R689">
        <v>3</v>
      </c>
      <c r="S689" t="s">
        <v>95</v>
      </c>
      <c r="T689" s="4">
        <f t="shared" si="53"/>
        <v>74699.12</v>
      </c>
      <c r="U689" s="4" t="str">
        <f t="shared" si="54"/>
        <v>Average</v>
      </c>
      <c r="V689" s="4" t="str">
        <f t="shared" si="55"/>
        <v>Average</v>
      </c>
      <c r="W689" s="4"/>
      <c r="X689" s="4"/>
      <c r="AJ689" s="4"/>
    </row>
    <row r="690" spans="1:36">
      <c r="A690" t="str">
        <f t="shared" si="51"/>
        <v>Pras32689</v>
      </c>
      <c r="B690">
        <v>689</v>
      </c>
      <c r="C690">
        <v>23</v>
      </c>
      <c r="D690">
        <v>4</v>
      </c>
      <c r="E690">
        <v>2022</v>
      </c>
      <c r="F690" s="1">
        <f t="shared" si="52"/>
        <v>44674</v>
      </c>
      <c r="G690" s="1" t="s">
        <v>537</v>
      </c>
      <c r="H690" s="2">
        <v>45166</v>
      </c>
      <c r="I690" t="s">
        <v>43</v>
      </c>
      <c r="J690">
        <v>6</v>
      </c>
      <c r="K690">
        <v>51715.5</v>
      </c>
      <c r="L690" t="s">
        <v>580</v>
      </c>
      <c r="M690">
        <v>32</v>
      </c>
      <c r="N690" t="s">
        <v>21</v>
      </c>
      <c r="O690" s="3" t="s">
        <v>22</v>
      </c>
      <c r="P690" t="s">
        <v>29</v>
      </c>
      <c r="Q690" t="s">
        <v>30</v>
      </c>
      <c r="R690">
        <v>5</v>
      </c>
      <c r="S690" t="s">
        <v>57</v>
      </c>
      <c r="T690" s="4">
        <f t="shared" si="53"/>
        <v>310293</v>
      </c>
      <c r="U690" s="4" t="str">
        <f t="shared" si="54"/>
        <v>Good</v>
      </c>
      <c r="V690" s="4" t="str">
        <f t="shared" si="55"/>
        <v>Excellent</v>
      </c>
      <c r="W690" s="4"/>
      <c r="X690" s="4"/>
      <c r="AJ690" s="4"/>
    </row>
    <row r="691" spans="1:36">
      <c r="A691" t="str">
        <f t="shared" si="51"/>
        <v>Suni24690</v>
      </c>
      <c r="B691">
        <v>690</v>
      </c>
      <c r="C691">
        <v>23</v>
      </c>
      <c r="D691">
        <v>4</v>
      </c>
      <c r="E691">
        <v>2022</v>
      </c>
      <c r="F691" s="1">
        <f t="shared" si="52"/>
        <v>44674</v>
      </c>
      <c r="G691" s="1" t="s">
        <v>537</v>
      </c>
      <c r="H691" s="2">
        <v>45167</v>
      </c>
      <c r="I691" t="s">
        <v>26</v>
      </c>
      <c r="J691">
        <v>4</v>
      </c>
      <c r="K691">
        <v>18528.45</v>
      </c>
      <c r="L691" t="s">
        <v>566</v>
      </c>
      <c r="M691">
        <v>24</v>
      </c>
      <c r="N691" t="s">
        <v>36</v>
      </c>
      <c r="O691" s="3" t="s">
        <v>22</v>
      </c>
      <c r="P691" t="s">
        <v>29</v>
      </c>
      <c r="Q691" t="s">
        <v>30</v>
      </c>
      <c r="R691">
        <v>5</v>
      </c>
      <c r="S691" t="s">
        <v>31</v>
      </c>
      <c r="T691" s="4">
        <f t="shared" si="53"/>
        <v>74113.8</v>
      </c>
      <c r="U691" s="4" t="str">
        <f t="shared" si="54"/>
        <v>Good</v>
      </c>
      <c r="V691" s="4" t="str">
        <f t="shared" si="55"/>
        <v>Average</v>
      </c>
      <c r="W691" s="4"/>
      <c r="X691" s="4"/>
      <c r="AJ691" s="4"/>
    </row>
    <row r="692" spans="1:36">
      <c r="A692" t="str">
        <f t="shared" si="51"/>
        <v>Gita36691</v>
      </c>
      <c r="B692">
        <v>691</v>
      </c>
      <c r="C692">
        <v>24</v>
      </c>
      <c r="D692">
        <v>4</v>
      </c>
      <c r="E692">
        <v>2022</v>
      </c>
      <c r="F692" s="1">
        <f t="shared" si="52"/>
        <v>44675</v>
      </c>
      <c r="G692" s="1" t="s">
        <v>537</v>
      </c>
      <c r="H692" s="2">
        <v>45168</v>
      </c>
      <c r="I692" t="s">
        <v>38</v>
      </c>
      <c r="J692">
        <v>1</v>
      </c>
      <c r="K692">
        <v>48386.51</v>
      </c>
      <c r="L692" t="s">
        <v>410</v>
      </c>
      <c r="M692">
        <v>36</v>
      </c>
      <c r="N692" t="s">
        <v>21</v>
      </c>
      <c r="O692" s="3" t="s">
        <v>22</v>
      </c>
      <c r="P692" t="s">
        <v>64</v>
      </c>
      <c r="Q692" t="s">
        <v>56</v>
      </c>
      <c r="R692">
        <v>5</v>
      </c>
      <c r="S692" t="s">
        <v>42</v>
      </c>
      <c r="T692" s="4">
        <f t="shared" si="53"/>
        <v>48386.51</v>
      </c>
      <c r="U692" s="4" t="str">
        <f t="shared" si="54"/>
        <v>Good</v>
      </c>
      <c r="V692" s="4" t="str">
        <f t="shared" si="55"/>
        <v>Low</v>
      </c>
      <c r="W692" s="4"/>
      <c r="X692" s="4"/>
      <c r="AJ692" s="4"/>
    </row>
    <row r="693" spans="1:36">
      <c r="A693" t="str">
        <f t="shared" si="51"/>
        <v>Sach57692</v>
      </c>
      <c r="B693">
        <v>692</v>
      </c>
      <c r="C693">
        <v>24</v>
      </c>
      <c r="D693">
        <v>4</v>
      </c>
      <c r="E693">
        <v>2022</v>
      </c>
      <c r="F693" s="1">
        <f t="shared" si="52"/>
        <v>44675</v>
      </c>
      <c r="G693" s="1" t="s">
        <v>537</v>
      </c>
      <c r="H693" s="2">
        <v>45169</v>
      </c>
      <c r="I693" t="s">
        <v>19</v>
      </c>
      <c r="J693">
        <v>7</v>
      </c>
      <c r="K693">
        <v>13281.08</v>
      </c>
      <c r="L693" t="s">
        <v>242</v>
      </c>
      <c r="M693">
        <v>57</v>
      </c>
      <c r="N693" t="s">
        <v>61</v>
      </c>
      <c r="O693" s="3" t="s">
        <v>28</v>
      </c>
      <c r="P693" t="s">
        <v>110</v>
      </c>
      <c r="Q693" t="s">
        <v>24</v>
      </c>
      <c r="R693">
        <v>3</v>
      </c>
      <c r="S693" t="s">
        <v>37</v>
      </c>
      <c r="T693" s="4">
        <f t="shared" si="53"/>
        <v>92967.56</v>
      </c>
      <c r="U693" s="4" t="str">
        <f t="shared" si="54"/>
        <v>Average</v>
      </c>
      <c r="V693" s="4" t="str">
        <f t="shared" si="55"/>
        <v>Average</v>
      </c>
      <c r="W693" s="4"/>
      <c r="X693" s="4"/>
      <c r="AJ693" s="4"/>
    </row>
    <row r="694" spans="1:36">
      <c r="A694" t="str">
        <f t="shared" si="51"/>
        <v>Bina59693</v>
      </c>
      <c r="B694">
        <v>693</v>
      </c>
      <c r="C694">
        <v>24</v>
      </c>
      <c r="D694">
        <v>4</v>
      </c>
      <c r="E694">
        <v>2022</v>
      </c>
      <c r="F694" s="1">
        <f t="shared" si="52"/>
        <v>44675</v>
      </c>
      <c r="G694" s="1" t="s">
        <v>537</v>
      </c>
      <c r="H694" s="2">
        <v>45170</v>
      </c>
      <c r="I694" t="s">
        <v>43</v>
      </c>
      <c r="J694">
        <v>6</v>
      </c>
      <c r="K694">
        <v>34442.94</v>
      </c>
      <c r="L694" t="s">
        <v>227</v>
      </c>
      <c r="M694">
        <v>59</v>
      </c>
      <c r="N694" t="s">
        <v>61</v>
      </c>
      <c r="O694" s="3" t="s">
        <v>22</v>
      </c>
      <c r="P694" t="s">
        <v>23</v>
      </c>
      <c r="Q694" t="s">
        <v>56</v>
      </c>
      <c r="R694">
        <v>5</v>
      </c>
      <c r="S694" t="s">
        <v>46</v>
      </c>
      <c r="T694" s="4">
        <f t="shared" si="53"/>
        <v>206657.64</v>
      </c>
      <c r="U694" s="4" t="str">
        <f t="shared" si="54"/>
        <v>Good</v>
      </c>
      <c r="V694" s="4" t="str">
        <f t="shared" si="55"/>
        <v>Excellent</v>
      </c>
      <c r="W694" s="4"/>
      <c r="X694" s="4"/>
      <c r="AJ694" s="4"/>
    </row>
    <row r="695" spans="1:36">
      <c r="A695" t="str">
        <f t="shared" si="51"/>
        <v>Sneh34694</v>
      </c>
      <c r="B695">
        <v>694</v>
      </c>
      <c r="C695">
        <v>24</v>
      </c>
      <c r="D695">
        <v>4</v>
      </c>
      <c r="E695">
        <v>2022</v>
      </c>
      <c r="F695" s="1">
        <f t="shared" si="52"/>
        <v>44675</v>
      </c>
      <c r="G695" s="1" t="s">
        <v>537</v>
      </c>
      <c r="H695" s="2">
        <v>45171</v>
      </c>
      <c r="I695" t="s">
        <v>49</v>
      </c>
      <c r="J695">
        <v>9</v>
      </c>
      <c r="K695">
        <v>20644.57</v>
      </c>
      <c r="L695" t="s">
        <v>390</v>
      </c>
      <c r="M695">
        <v>34</v>
      </c>
      <c r="N695" t="s">
        <v>21</v>
      </c>
      <c r="O695" s="3" t="s">
        <v>22</v>
      </c>
      <c r="P695" t="s">
        <v>29</v>
      </c>
      <c r="Q695" t="s">
        <v>24</v>
      </c>
      <c r="R695">
        <v>5</v>
      </c>
      <c r="S695" t="s">
        <v>88</v>
      </c>
      <c r="T695" s="4">
        <f t="shared" si="53"/>
        <v>185801.13</v>
      </c>
      <c r="U695" s="4" t="str">
        <f t="shared" si="54"/>
        <v>Good</v>
      </c>
      <c r="V695" s="4" t="str">
        <f t="shared" si="55"/>
        <v>Good</v>
      </c>
      <c r="W695" s="4"/>
      <c r="X695" s="4"/>
      <c r="AJ695" s="4"/>
    </row>
    <row r="696" spans="1:36">
      <c r="A696" t="str">
        <f t="shared" si="51"/>
        <v>Ravi18695</v>
      </c>
      <c r="B696">
        <v>695</v>
      </c>
      <c r="C696">
        <v>25</v>
      </c>
      <c r="D696">
        <v>4</v>
      </c>
      <c r="E696">
        <v>2022</v>
      </c>
      <c r="F696" s="1">
        <f t="shared" si="52"/>
        <v>44676</v>
      </c>
      <c r="G696" s="1" t="s">
        <v>537</v>
      </c>
      <c r="H696" s="2">
        <v>45172</v>
      </c>
      <c r="I696" t="s">
        <v>26</v>
      </c>
      <c r="J696">
        <v>7</v>
      </c>
      <c r="K696">
        <v>16578.18</v>
      </c>
      <c r="L696" t="s">
        <v>581</v>
      </c>
      <c r="M696">
        <v>18</v>
      </c>
      <c r="N696" t="s">
        <v>36</v>
      </c>
      <c r="O696" s="3" t="s">
        <v>22</v>
      </c>
      <c r="P696" t="s">
        <v>114</v>
      </c>
      <c r="Q696" t="s">
        <v>24</v>
      </c>
      <c r="R696">
        <v>5</v>
      </c>
      <c r="S696" t="s">
        <v>34</v>
      </c>
      <c r="T696" s="4">
        <f t="shared" si="53"/>
        <v>116047.26000000001</v>
      </c>
      <c r="U696" s="4" t="str">
        <f t="shared" si="54"/>
        <v>Good</v>
      </c>
      <c r="V696" s="4" t="str">
        <f t="shared" si="55"/>
        <v>Good</v>
      </c>
      <c r="W696" s="4"/>
      <c r="X696" s="4"/>
      <c r="AJ696" s="4"/>
    </row>
    <row r="697" spans="1:36">
      <c r="A697" t="str">
        <f t="shared" si="51"/>
        <v>Navi46696</v>
      </c>
      <c r="B697">
        <v>696</v>
      </c>
      <c r="C697">
        <v>25</v>
      </c>
      <c r="D697">
        <v>4</v>
      </c>
      <c r="E697">
        <v>2022</v>
      </c>
      <c r="F697" s="1">
        <f t="shared" si="52"/>
        <v>44676</v>
      </c>
      <c r="G697" s="1" t="s">
        <v>537</v>
      </c>
      <c r="H697" s="2">
        <v>45173</v>
      </c>
      <c r="I697" t="s">
        <v>19</v>
      </c>
      <c r="J697">
        <v>7</v>
      </c>
      <c r="K697">
        <v>44021.97</v>
      </c>
      <c r="L697" t="s">
        <v>582</v>
      </c>
      <c r="M697">
        <v>46</v>
      </c>
      <c r="N697" t="s">
        <v>61</v>
      </c>
      <c r="O697" s="3" t="s">
        <v>22</v>
      </c>
      <c r="P697" t="s">
        <v>70</v>
      </c>
      <c r="Q697" t="s">
        <v>24</v>
      </c>
      <c r="R697">
        <v>4</v>
      </c>
      <c r="S697" t="s">
        <v>25</v>
      </c>
      <c r="T697" s="4">
        <f t="shared" si="53"/>
        <v>308153.79000000004</v>
      </c>
      <c r="U697" s="4" t="str">
        <f t="shared" si="54"/>
        <v>Good</v>
      </c>
      <c r="V697" s="4" t="str">
        <f t="shared" si="55"/>
        <v>Excellent</v>
      </c>
      <c r="W697" s="4"/>
      <c r="X697" s="4"/>
      <c r="AJ697" s="4"/>
    </row>
    <row r="698" spans="1:36">
      <c r="A698" t="str">
        <f t="shared" si="51"/>
        <v>Nikh30697</v>
      </c>
      <c r="B698">
        <v>697</v>
      </c>
      <c r="C698">
        <v>25</v>
      </c>
      <c r="D698">
        <v>4</v>
      </c>
      <c r="E698">
        <v>2022</v>
      </c>
      <c r="F698" s="1">
        <f t="shared" si="52"/>
        <v>44676</v>
      </c>
      <c r="G698" s="1" t="s">
        <v>537</v>
      </c>
      <c r="H698" s="2">
        <v>45174</v>
      </c>
      <c r="I698" t="s">
        <v>26</v>
      </c>
      <c r="J698">
        <v>2</v>
      </c>
      <c r="K698">
        <v>65700.149999999994</v>
      </c>
      <c r="L698" t="s">
        <v>237</v>
      </c>
      <c r="M698">
        <v>30</v>
      </c>
      <c r="N698" t="s">
        <v>36</v>
      </c>
      <c r="O698" s="3" t="s">
        <v>28</v>
      </c>
      <c r="P698" t="s">
        <v>33</v>
      </c>
      <c r="Q698" t="s">
        <v>41</v>
      </c>
      <c r="R698">
        <v>3</v>
      </c>
      <c r="S698" t="s">
        <v>67</v>
      </c>
      <c r="T698" s="4">
        <f t="shared" si="53"/>
        <v>131400.29999999999</v>
      </c>
      <c r="U698" s="4" t="str">
        <f t="shared" si="54"/>
        <v>Average</v>
      </c>
      <c r="V698" s="4" t="str">
        <f t="shared" si="55"/>
        <v>Good</v>
      </c>
      <c r="W698" s="4"/>
      <c r="X698" s="4"/>
      <c r="AJ698" s="4"/>
    </row>
    <row r="699" spans="1:36">
      <c r="A699" t="str">
        <f t="shared" si="51"/>
        <v>Amit46698</v>
      </c>
      <c r="B699">
        <v>698</v>
      </c>
      <c r="C699">
        <v>26</v>
      </c>
      <c r="D699">
        <v>4</v>
      </c>
      <c r="E699">
        <v>2022</v>
      </c>
      <c r="F699" s="1">
        <f t="shared" si="52"/>
        <v>44677</v>
      </c>
      <c r="G699" s="1" t="s">
        <v>537</v>
      </c>
      <c r="H699" s="2">
        <v>45175</v>
      </c>
      <c r="I699" t="s">
        <v>19</v>
      </c>
      <c r="J699">
        <v>9</v>
      </c>
      <c r="K699">
        <v>13287.22</v>
      </c>
      <c r="L699" t="s">
        <v>296</v>
      </c>
      <c r="M699">
        <v>46</v>
      </c>
      <c r="N699" t="s">
        <v>61</v>
      </c>
      <c r="O699" s="3" t="s">
        <v>22</v>
      </c>
      <c r="P699" t="s">
        <v>90</v>
      </c>
      <c r="Q699" t="s">
        <v>24</v>
      </c>
      <c r="R699">
        <v>5</v>
      </c>
      <c r="S699" t="s">
        <v>25</v>
      </c>
      <c r="T699" s="4">
        <f t="shared" si="53"/>
        <v>119584.98</v>
      </c>
      <c r="U699" s="4" t="str">
        <f t="shared" si="54"/>
        <v>Good</v>
      </c>
      <c r="V699" s="4" t="str">
        <f t="shared" si="55"/>
        <v>Good</v>
      </c>
      <c r="W699" s="4"/>
      <c r="X699" s="4"/>
      <c r="AJ699" s="4"/>
    </row>
    <row r="700" spans="1:36">
      <c r="A700" t="str">
        <f t="shared" si="51"/>
        <v>Lali58699</v>
      </c>
      <c r="B700">
        <v>699</v>
      </c>
      <c r="C700">
        <v>26</v>
      </c>
      <c r="D700">
        <v>4</v>
      </c>
      <c r="E700">
        <v>2022</v>
      </c>
      <c r="F700" s="1">
        <f t="shared" si="52"/>
        <v>44677</v>
      </c>
      <c r="G700" s="1" t="s">
        <v>537</v>
      </c>
      <c r="H700" s="2">
        <v>45176</v>
      </c>
      <c r="I700" t="s">
        <v>19</v>
      </c>
      <c r="J700">
        <v>9</v>
      </c>
      <c r="K700">
        <v>35293.25</v>
      </c>
      <c r="L700" t="s">
        <v>583</v>
      </c>
      <c r="M700">
        <v>58</v>
      </c>
      <c r="N700" t="s">
        <v>61</v>
      </c>
      <c r="O700" s="3" t="s">
        <v>22</v>
      </c>
      <c r="P700" t="s">
        <v>33</v>
      </c>
      <c r="Q700" t="s">
        <v>30</v>
      </c>
      <c r="R700">
        <v>5</v>
      </c>
      <c r="S700" t="s">
        <v>25</v>
      </c>
      <c r="T700" s="4">
        <f t="shared" si="53"/>
        <v>317639.25</v>
      </c>
      <c r="U700" s="4" t="str">
        <f t="shared" si="54"/>
        <v>Good</v>
      </c>
      <c r="V700" s="4" t="str">
        <f t="shared" si="55"/>
        <v>Excellent</v>
      </c>
      <c r="W700" s="4"/>
      <c r="X700" s="4"/>
      <c r="AJ700" s="4"/>
    </row>
    <row r="701" spans="1:36">
      <c r="A701" t="str">
        <f t="shared" si="51"/>
        <v>Isha59700</v>
      </c>
      <c r="B701">
        <v>700</v>
      </c>
      <c r="C701">
        <v>26</v>
      </c>
      <c r="D701">
        <v>4</v>
      </c>
      <c r="E701">
        <v>2022</v>
      </c>
      <c r="F701" s="1">
        <f t="shared" si="52"/>
        <v>44677</v>
      </c>
      <c r="G701" s="1" t="s">
        <v>537</v>
      </c>
      <c r="H701" s="2">
        <v>45177</v>
      </c>
      <c r="I701" t="s">
        <v>43</v>
      </c>
      <c r="J701">
        <v>6</v>
      </c>
      <c r="K701">
        <v>52452.13</v>
      </c>
      <c r="L701" t="s">
        <v>584</v>
      </c>
      <c r="M701">
        <v>59</v>
      </c>
      <c r="N701" t="s">
        <v>61</v>
      </c>
      <c r="O701" s="3" t="s">
        <v>22</v>
      </c>
      <c r="P701" t="s">
        <v>114</v>
      </c>
      <c r="Q701" t="s">
        <v>56</v>
      </c>
      <c r="R701">
        <v>5</v>
      </c>
      <c r="S701" t="s">
        <v>95</v>
      </c>
      <c r="T701" s="4">
        <f t="shared" si="53"/>
        <v>314712.77999999997</v>
      </c>
      <c r="U701" s="4" t="str">
        <f t="shared" si="54"/>
        <v>Good</v>
      </c>
      <c r="V701" s="4" t="str">
        <f t="shared" si="55"/>
        <v>Excellent</v>
      </c>
      <c r="W701" s="4"/>
      <c r="X701" s="4"/>
      <c r="AJ701" s="4"/>
    </row>
    <row r="702" spans="1:36">
      <c r="A702" t="str">
        <f t="shared" si="51"/>
        <v>Vive23701</v>
      </c>
      <c r="B702">
        <v>701</v>
      </c>
      <c r="C702">
        <v>27</v>
      </c>
      <c r="D702">
        <v>4</v>
      </c>
      <c r="E702">
        <v>2022</v>
      </c>
      <c r="F702" s="1">
        <f t="shared" si="52"/>
        <v>44678</v>
      </c>
      <c r="G702" s="1" t="s">
        <v>537</v>
      </c>
      <c r="H702" s="2">
        <v>45178</v>
      </c>
      <c r="I702" t="s">
        <v>26</v>
      </c>
      <c r="J702">
        <v>3</v>
      </c>
      <c r="K702">
        <v>37761.269999999997</v>
      </c>
      <c r="L702" t="s">
        <v>585</v>
      </c>
      <c r="M702">
        <v>23</v>
      </c>
      <c r="N702" t="s">
        <v>36</v>
      </c>
      <c r="O702" s="3" t="s">
        <v>22</v>
      </c>
      <c r="P702" t="s">
        <v>29</v>
      </c>
      <c r="Q702" t="s">
        <v>30</v>
      </c>
      <c r="R702">
        <v>5</v>
      </c>
      <c r="S702" t="s">
        <v>31</v>
      </c>
      <c r="T702" s="4">
        <f t="shared" si="53"/>
        <v>113283.81</v>
      </c>
      <c r="U702" s="4" t="str">
        <f t="shared" si="54"/>
        <v>Good</v>
      </c>
      <c r="V702" s="4" t="str">
        <f t="shared" si="55"/>
        <v>Good</v>
      </c>
      <c r="W702" s="4"/>
      <c r="X702" s="4"/>
      <c r="AJ702" s="4"/>
    </row>
    <row r="703" spans="1:36">
      <c r="A703" t="str">
        <f t="shared" si="51"/>
        <v>Kavi22702</v>
      </c>
      <c r="B703">
        <v>702</v>
      </c>
      <c r="C703">
        <v>27</v>
      </c>
      <c r="D703">
        <v>4</v>
      </c>
      <c r="E703">
        <v>2022</v>
      </c>
      <c r="F703" s="1">
        <f t="shared" si="52"/>
        <v>44678</v>
      </c>
      <c r="G703" s="1" t="s">
        <v>537</v>
      </c>
      <c r="H703" s="2">
        <v>45179</v>
      </c>
      <c r="I703" t="s">
        <v>26</v>
      </c>
      <c r="J703">
        <v>1</v>
      </c>
      <c r="K703">
        <v>58389.760000000002</v>
      </c>
      <c r="L703" t="s">
        <v>230</v>
      </c>
      <c r="M703">
        <v>22</v>
      </c>
      <c r="N703" t="s">
        <v>36</v>
      </c>
      <c r="O703" s="3" t="s">
        <v>22</v>
      </c>
      <c r="P703" t="s">
        <v>93</v>
      </c>
      <c r="Q703" t="s">
        <v>30</v>
      </c>
      <c r="R703">
        <v>5</v>
      </c>
      <c r="S703" t="s">
        <v>31</v>
      </c>
      <c r="T703" s="4">
        <f t="shared" si="53"/>
        <v>58389.760000000002</v>
      </c>
      <c r="U703" s="4" t="str">
        <f t="shared" si="54"/>
        <v>Good</v>
      </c>
      <c r="V703" s="4" t="str">
        <f t="shared" si="55"/>
        <v>Average</v>
      </c>
      <c r="W703" s="4"/>
      <c r="X703" s="4"/>
      <c r="AJ703" s="4"/>
    </row>
    <row r="704" spans="1:36">
      <c r="A704" t="str">
        <f t="shared" si="51"/>
        <v>Anja51703</v>
      </c>
      <c r="B704">
        <v>703</v>
      </c>
      <c r="C704">
        <v>27</v>
      </c>
      <c r="D704">
        <v>4</v>
      </c>
      <c r="E704">
        <v>2022</v>
      </c>
      <c r="F704" s="1">
        <f t="shared" si="52"/>
        <v>44678</v>
      </c>
      <c r="G704" s="1" t="s">
        <v>537</v>
      </c>
      <c r="H704" s="2">
        <v>45180</v>
      </c>
      <c r="I704" t="s">
        <v>49</v>
      </c>
      <c r="J704">
        <v>4</v>
      </c>
      <c r="K704">
        <v>20778.72</v>
      </c>
      <c r="L704" t="s">
        <v>159</v>
      </c>
      <c r="M704">
        <v>51</v>
      </c>
      <c r="N704" t="s">
        <v>61</v>
      </c>
      <c r="O704" s="3" t="s">
        <v>22</v>
      </c>
      <c r="P704" t="s">
        <v>64</v>
      </c>
      <c r="Q704" t="s">
        <v>56</v>
      </c>
      <c r="R704">
        <v>4</v>
      </c>
      <c r="S704" t="s">
        <v>88</v>
      </c>
      <c r="T704" s="4">
        <f t="shared" si="53"/>
        <v>83114.880000000005</v>
      </c>
      <c r="U704" s="4" t="str">
        <f t="shared" si="54"/>
        <v>Good</v>
      </c>
      <c r="V704" s="4" t="str">
        <f t="shared" si="55"/>
        <v>Average</v>
      </c>
      <c r="W704" s="4"/>
      <c r="X704" s="4"/>
      <c r="AJ704" s="4"/>
    </row>
    <row r="705" spans="1:36">
      <c r="A705" t="str">
        <f t="shared" si="51"/>
        <v>Moni28704</v>
      </c>
      <c r="B705">
        <v>704</v>
      </c>
      <c r="C705">
        <v>28</v>
      </c>
      <c r="D705">
        <v>4</v>
      </c>
      <c r="E705">
        <v>2022</v>
      </c>
      <c r="F705" s="1">
        <f t="shared" si="52"/>
        <v>44679</v>
      </c>
      <c r="G705" s="1" t="s">
        <v>537</v>
      </c>
      <c r="H705" s="2">
        <v>45181</v>
      </c>
      <c r="I705" t="s">
        <v>49</v>
      </c>
      <c r="J705">
        <v>3</v>
      </c>
      <c r="K705">
        <v>67575.649999999994</v>
      </c>
      <c r="L705" t="s">
        <v>586</v>
      </c>
      <c r="M705">
        <v>28</v>
      </c>
      <c r="N705" t="s">
        <v>36</v>
      </c>
      <c r="O705" s="3" t="s">
        <v>22</v>
      </c>
      <c r="P705" t="s">
        <v>33</v>
      </c>
      <c r="Q705" t="s">
        <v>30</v>
      </c>
      <c r="R705">
        <v>5</v>
      </c>
      <c r="S705" t="s">
        <v>88</v>
      </c>
      <c r="T705" s="4">
        <f t="shared" si="53"/>
        <v>202726.94999999998</v>
      </c>
      <c r="U705" s="4" t="str">
        <f t="shared" si="54"/>
        <v>Good</v>
      </c>
      <c r="V705" s="4" t="str">
        <f t="shared" si="55"/>
        <v>Excellent</v>
      </c>
      <c r="W705" s="4"/>
      <c r="X705" s="4"/>
      <c r="AJ705" s="4"/>
    </row>
    <row r="706" spans="1:36">
      <c r="A706" t="str">
        <f t="shared" ref="A706:A769" si="56">LEFT(L706,4)&amp;M706&amp;B706</f>
        <v>Anit26705</v>
      </c>
      <c r="B706">
        <v>705</v>
      </c>
      <c r="C706">
        <v>28</v>
      </c>
      <c r="D706">
        <v>4</v>
      </c>
      <c r="E706">
        <v>2022</v>
      </c>
      <c r="F706" s="1">
        <f t="shared" si="52"/>
        <v>44679</v>
      </c>
      <c r="G706" s="1" t="s">
        <v>537</v>
      </c>
      <c r="H706" s="2">
        <v>45182</v>
      </c>
      <c r="I706" t="s">
        <v>43</v>
      </c>
      <c r="J706">
        <v>1</v>
      </c>
      <c r="K706">
        <v>33109.760000000002</v>
      </c>
      <c r="L706" t="s">
        <v>587</v>
      </c>
      <c r="M706">
        <v>26</v>
      </c>
      <c r="N706" t="s">
        <v>36</v>
      </c>
      <c r="O706" s="3" t="s">
        <v>22</v>
      </c>
      <c r="P706" t="s">
        <v>29</v>
      </c>
      <c r="Q706" t="s">
        <v>41</v>
      </c>
      <c r="R706">
        <v>5</v>
      </c>
      <c r="S706" t="s">
        <v>46</v>
      </c>
      <c r="T706" s="4">
        <f t="shared" si="53"/>
        <v>33109.760000000002</v>
      </c>
      <c r="U706" s="4" t="str">
        <f t="shared" si="54"/>
        <v>Good</v>
      </c>
      <c r="V706" s="4" t="str">
        <f t="shared" si="55"/>
        <v>Low</v>
      </c>
      <c r="W706" s="4"/>
      <c r="X706" s="4"/>
      <c r="AJ706" s="4"/>
    </row>
    <row r="707" spans="1:36">
      <c r="A707" t="str">
        <f t="shared" si="56"/>
        <v>Nami55706</v>
      </c>
      <c r="B707">
        <v>706</v>
      </c>
      <c r="C707">
        <v>28</v>
      </c>
      <c r="D707">
        <v>4</v>
      </c>
      <c r="E707">
        <v>2022</v>
      </c>
      <c r="F707" s="1">
        <f t="shared" ref="F707:F770" si="57">DATE(E707,D707,C707)</f>
        <v>44679</v>
      </c>
      <c r="G707" s="1" t="s">
        <v>537</v>
      </c>
      <c r="H707" s="2">
        <v>45183</v>
      </c>
      <c r="I707" t="s">
        <v>43</v>
      </c>
      <c r="J707">
        <v>3</v>
      </c>
      <c r="K707">
        <v>30494.18</v>
      </c>
      <c r="L707" t="s">
        <v>453</v>
      </c>
      <c r="M707">
        <v>55</v>
      </c>
      <c r="N707" t="s">
        <v>61</v>
      </c>
      <c r="O707" s="3" t="s">
        <v>22</v>
      </c>
      <c r="P707" t="s">
        <v>33</v>
      </c>
      <c r="Q707" t="s">
        <v>30</v>
      </c>
      <c r="R707">
        <v>5</v>
      </c>
      <c r="S707" t="s">
        <v>57</v>
      </c>
      <c r="T707" s="4">
        <f t="shared" ref="T707:T770" si="58">J707*K707</f>
        <v>91482.540000000008</v>
      </c>
      <c r="U707" s="4" t="str">
        <f t="shared" ref="U707:U770" si="59">IF(R707&gt;=4,"Good","Average")</f>
        <v>Good</v>
      </c>
      <c r="V707" s="4" t="str">
        <f t="shared" ref="V707:V770" si="60">IF(T707&gt;200000,"Excellent",IF(T707&gt;100000,"Good",IF(T707&gt;50000,"Average","Low")))</f>
        <v>Average</v>
      </c>
      <c r="W707" s="4"/>
      <c r="X707" s="4"/>
      <c r="AJ707" s="4"/>
    </row>
    <row r="708" spans="1:36">
      <c r="A708" t="str">
        <f t="shared" si="56"/>
        <v>Priy57707</v>
      </c>
      <c r="B708">
        <v>707</v>
      </c>
      <c r="C708">
        <v>28</v>
      </c>
      <c r="D708">
        <v>4</v>
      </c>
      <c r="E708">
        <v>2022</v>
      </c>
      <c r="F708" s="1">
        <f t="shared" si="57"/>
        <v>44679</v>
      </c>
      <c r="G708" s="1" t="s">
        <v>537</v>
      </c>
      <c r="H708" s="2">
        <v>45184</v>
      </c>
      <c r="I708" t="s">
        <v>38</v>
      </c>
      <c r="J708">
        <v>4</v>
      </c>
      <c r="K708">
        <v>62476.35</v>
      </c>
      <c r="L708" t="s">
        <v>588</v>
      </c>
      <c r="M708">
        <v>57</v>
      </c>
      <c r="N708" t="s">
        <v>61</v>
      </c>
      <c r="O708" s="3" t="s">
        <v>22</v>
      </c>
      <c r="P708" t="s">
        <v>29</v>
      </c>
      <c r="Q708" t="s">
        <v>30</v>
      </c>
      <c r="R708">
        <v>5</v>
      </c>
      <c r="S708" t="s">
        <v>48</v>
      </c>
      <c r="T708" s="4">
        <f t="shared" si="58"/>
        <v>249905.4</v>
      </c>
      <c r="U708" s="4" t="str">
        <f t="shared" si="59"/>
        <v>Good</v>
      </c>
      <c r="V708" s="4" t="str">
        <f t="shared" si="60"/>
        <v>Excellent</v>
      </c>
      <c r="W708" s="4"/>
      <c r="X708" s="4"/>
      <c r="AJ708" s="4"/>
    </row>
    <row r="709" spans="1:36">
      <c r="A709" t="str">
        <f t="shared" si="56"/>
        <v>Bina58708</v>
      </c>
      <c r="B709">
        <v>708</v>
      </c>
      <c r="C709">
        <v>29</v>
      </c>
      <c r="D709">
        <v>4</v>
      </c>
      <c r="E709">
        <v>2022</v>
      </c>
      <c r="F709" s="1">
        <f t="shared" si="57"/>
        <v>44680</v>
      </c>
      <c r="G709" s="1" t="s">
        <v>537</v>
      </c>
      <c r="H709" s="2">
        <v>45185</v>
      </c>
      <c r="I709" t="s">
        <v>49</v>
      </c>
      <c r="J709">
        <v>8</v>
      </c>
      <c r="K709">
        <v>43832.02</v>
      </c>
      <c r="L709" t="s">
        <v>387</v>
      </c>
      <c r="M709">
        <v>58</v>
      </c>
      <c r="N709" t="s">
        <v>61</v>
      </c>
      <c r="O709" s="3" t="s">
        <v>22</v>
      </c>
      <c r="P709" t="s">
        <v>29</v>
      </c>
      <c r="Q709" t="s">
        <v>56</v>
      </c>
      <c r="R709">
        <v>5</v>
      </c>
      <c r="S709" t="s">
        <v>52</v>
      </c>
      <c r="T709" s="4">
        <f t="shared" si="58"/>
        <v>350656.16</v>
      </c>
      <c r="U709" s="4" t="str">
        <f t="shared" si="59"/>
        <v>Good</v>
      </c>
      <c r="V709" s="4" t="str">
        <f t="shared" si="60"/>
        <v>Excellent</v>
      </c>
      <c r="W709" s="4"/>
      <c r="X709" s="4"/>
      <c r="AJ709" s="4"/>
    </row>
    <row r="710" spans="1:36">
      <c r="A710" t="str">
        <f t="shared" si="56"/>
        <v>Meen26709</v>
      </c>
      <c r="B710">
        <v>709</v>
      </c>
      <c r="C710">
        <v>29</v>
      </c>
      <c r="D710">
        <v>4</v>
      </c>
      <c r="E710">
        <v>2022</v>
      </c>
      <c r="F710" s="1">
        <f t="shared" si="57"/>
        <v>44680</v>
      </c>
      <c r="G710" s="1" t="s">
        <v>537</v>
      </c>
      <c r="H710" s="2">
        <v>45186</v>
      </c>
      <c r="I710" t="s">
        <v>19</v>
      </c>
      <c r="J710">
        <v>9</v>
      </c>
      <c r="K710">
        <v>40986.660000000003</v>
      </c>
      <c r="L710" t="s">
        <v>505</v>
      </c>
      <c r="M710">
        <v>26</v>
      </c>
      <c r="N710" t="s">
        <v>36</v>
      </c>
      <c r="O710" s="3" t="s">
        <v>22</v>
      </c>
      <c r="P710" t="s">
        <v>45</v>
      </c>
      <c r="Q710" t="s">
        <v>30</v>
      </c>
      <c r="R710">
        <v>5</v>
      </c>
      <c r="S710" t="s">
        <v>84</v>
      </c>
      <c r="T710" s="4">
        <f t="shared" si="58"/>
        <v>368879.94000000006</v>
      </c>
      <c r="U710" s="4" t="str">
        <f t="shared" si="59"/>
        <v>Good</v>
      </c>
      <c r="V710" s="4" t="str">
        <f t="shared" si="60"/>
        <v>Excellent</v>
      </c>
      <c r="W710" s="4"/>
      <c r="X710" s="4"/>
      <c r="AJ710" s="4"/>
    </row>
    <row r="711" spans="1:36">
      <c r="A711" t="str">
        <f t="shared" si="56"/>
        <v>Adit25710</v>
      </c>
      <c r="B711">
        <v>710</v>
      </c>
      <c r="C711">
        <v>29</v>
      </c>
      <c r="D711">
        <v>4</v>
      </c>
      <c r="E711">
        <v>2022</v>
      </c>
      <c r="F711" s="1">
        <f t="shared" si="57"/>
        <v>44680</v>
      </c>
      <c r="G711" s="1" t="s">
        <v>537</v>
      </c>
      <c r="H711" s="2">
        <v>45187</v>
      </c>
      <c r="I711" t="s">
        <v>26</v>
      </c>
      <c r="J711">
        <v>3</v>
      </c>
      <c r="K711">
        <v>53618.68</v>
      </c>
      <c r="L711" t="s">
        <v>589</v>
      </c>
      <c r="M711">
        <v>25</v>
      </c>
      <c r="N711" t="s">
        <v>36</v>
      </c>
      <c r="O711" s="3" t="s">
        <v>22</v>
      </c>
      <c r="P711" t="s">
        <v>132</v>
      </c>
      <c r="Q711" t="s">
        <v>56</v>
      </c>
      <c r="R711">
        <v>5</v>
      </c>
      <c r="S711" t="s">
        <v>34</v>
      </c>
      <c r="T711" s="4">
        <f t="shared" si="58"/>
        <v>160856.04</v>
      </c>
      <c r="U711" s="4" t="str">
        <f t="shared" si="59"/>
        <v>Good</v>
      </c>
      <c r="V711" s="4" t="str">
        <f t="shared" si="60"/>
        <v>Good</v>
      </c>
      <c r="W711" s="4"/>
      <c r="X711" s="4"/>
      <c r="AJ711" s="4"/>
    </row>
    <row r="712" spans="1:36">
      <c r="A712" t="str">
        <f t="shared" si="56"/>
        <v>Roha57711</v>
      </c>
      <c r="B712">
        <v>711</v>
      </c>
      <c r="C712">
        <v>30</v>
      </c>
      <c r="D712">
        <v>4</v>
      </c>
      <c r="E712">
        <v>2022</v>
      </c>
      <c r="F712" s="1">
        <f t="shared" si="57"/>
        <v>44681</v>
      </c>
      <c r="G712" s="1" t="s">
        <v>537</v>
      </c>
      <c r="H712" s="2">
        <v>45188</v>
      </c>
      <c r="I712" t="s">
        <v>43</v>
      </c>
      <c r="J712">
        <v>6</v>
      </c>
      <c r="K712">
        <v>44790.05</v>
      </c>
      <c r="L712" t="s">
        <v>590</v>
      </c>
      <c r="M712">
        <v>57</v>
      </c>
      <c r="N712" t="s">
        <v>61</v>
      </c>
      <c r="O712" s="3" t="s">
        <v>28</v>
      </c>
      <c r="P712" t="s">
        <v>33</v>
      </c>
      <c r="Q712" t="s">
        <v>24</v>
      </c>
      <c r="R712">
        <v>3</v>
      </c>
      <c r="S712" t="s">
        <v>57</v>
      </c>
      <c r="T712" s="4">
        <f t="shared" si="58"/>
        <v>268740.30000000005</v>
      </c>
      <c r="U712" s="4" t="str">
        <f t="shared" si="59"/>
        <v>Average</v>
      </c>
      <c r="V712" s="4" t="str">
        <f t="shared" si="60"/>
        <v>Excellent</v>
      </c>
      <c r="W712" s="4"/>
      <c r="X712" s="4"/>
      <c r="AJ712" s="4"/>
    </row>
    <row r="713" spans="1:36">
      <c r="A713" t="str">
        <f t="shared" si="56"/>
        <v>Amit20712</v>
      </c>
      <c r="B713">
        <v>712</v>
      </c>
      <c r="C713">
        <v>30</v>
      </c>
      <c r="D713">
        <v>4</v>
      </c>
      <c r="E713">
        <v>2022</v>
      </c>
      <c r="F713" s="1">
        <f t="shared" si="57"/>
        <v>44681</v>
      </c>
      <c r="G713" s="1" t="s">
        <v>537</v>
      </c>
      <c r="H713" s="2">
        <v>45189</v>
      </c>
      <c r="I713" t="s">
        <v>26</v>
      </c>
      <c r="J713">
        <v>5</v>
      </c>
      <c r="K713">
        <v>19750.939999999999</v>
      </c>
      <c r="L713" t="s">
        <v>591</v>
      </c>
      <c r="M713">
        <v>20</v>
      </c>
      <c r="N713" t="s">
        <v>36</v>
      </c>
      <c r="O713" s="3" t="s">
        <v>22</v>
      </c>
      <c r="P713" t="s">
        <v>77</v>
      </c>
      <c r="Q713" t="s">
        <v>24</v>
      </c>
      <c r="R713">
        <v>5</v>
      </c>
      <c r="S713" t="s">
        <v>31</v>
      </c>
      <c r="T713" s="4">
        <f t="shared" si="58"/>
        <v>98754.7</v>
      </c>
      <c r="U713" s="4" t="str">
        <f t="shared" si="59"/>
        <v>Good</v>
      </c>
      <c r="V713" s="4" t="str">
        <f t="shared" si="60"/>
        <v>Average</v>
      </c>
      <c r="W713" s="4"/>
      <c r="X713" s="4"/>
      <c r="AJ713" s="4"/>
    </row>
    <row r="714" spans="1:36">
      <c r="A714" t="str">
        <f t="shared" si="56"/>
        <v>Deve30713</v>
      </c>
      <c r="B714">
        <v>713</v>
      </c>
      <c r="C714">
        <v>30</v>
      </c>
      <c r="D714">
        <v>4</v>
      </c>
      <c r="E714">
        <v>2022</v>
      </c>
      <c r="F714" s="1">
        <f t="shared" si="57"/>
        <v>44681</v>
      </c>
      <c r="G714" s="1" t="s">
        <v>537</v>
      </c>
      <c r="H714" s="2">
        <v>45190</v>
      </c>
      <c r="I714" t="s">
        <v>26</v>
      </c>
      <c r="J714">
        <v>6</v>
      </c>
      <c r="K714">
        <v>50451.86</v>
      </c>
      <c r="L714" t="s">
        <v>548</v>
      </c>
      <c r="M714">
        <v>30</v>
      </c>
      <c r="N714" t="s">
        <v>36</v>
      </c>
      <c r="O714" s="3" t="s">
        <v>22</v>
      </c>
      <c r="P714" t="s">
        <v>66</v>
      </c>
      <c r="Q714" t="s">
        <v>41</v>
      </c>
      <c r="R714">
        <v>5</v>
      </c>
      <c r="S714" t="s">
        <v>31</v>
      </c>
      <c r="T714" s="4">
        <f t="shared" si="58"/>
        <v>302711.16000000003</v>
      </c>
      <c r="U714" s="4" t="str">
        <f t="shared" si="59"/>
        <v>Good</v>
      </c>
      <c r="V714" s="4" t="str">
        <f t="shared" si="60"/>
        <v>Excellent</v>
      </c>
      <c r="W714" s="4"/>
      <c r="X714" s="4"/>
      <c r="AJ714" s="4"/>
    </row>
    <row r="715" spans="1:36">
      <c r="A715" t="str">
        <f t="shared" si="56"/>
        <v>Bhav36714</v>
      </c>
      <c r="B715">
        <v>714</v>
      </c>
      <c r="C715">
        <v>1</v>
      </c>
      <c r="D715">
        <v>5</v>
      </c>
      <c r="E715">
        <v>2022</v>
      </c>
      <c r="F715" s="1">
        <f t="shared" si="57"/>
        <v>44682</v>
      </c>
      <c r="G715" s="1" t="s">
        <v>592</v>
      </c>
      <c r="H715" s="2">
        <v>45191</v>
      </c>
      <c r="I715" t="s">
        <v>38</v>
      </c>
      <c r="J715">
        <v>4</v>
      </c>
      <c r="K715">
        <v>18008.13</v>
      </c>
      <c r="L715" t="s">
        <v>593</v>
      </c>
      <c r="M715">
        <v>36</v>
      </c>
      <c r="N715" t="s">
        <v>21</v>
      </c>
      <c r="O715" s="3" t="s">
        <v>22</v>
      </c>
      <c r="P715" t="s">
        <v>45</v>
      </c>
      <c r="Q715" t="s">
        <v>56</v>
      </c>
      <c r="R715">
        <v>5</v>
      </c>
      <c r="S715" t="s">
        <v>42</v>
      </c>
      <c r="T715" s="4">
        <f t="shared" si="58"/>
        <v>72032.52</v>
      </c>
      <c r="U715" s="4" t="str">
        <f t="shared" si="59"/>
        <v>Good</v>
      </c>
      <c r="V715" s="4" t="str">
        <f t="shared" si="60"/>
        <v>Average</v>
      </c>
      <c r="W715" s="4"/>
      <c r="X715" s="4"/>
      <c r="AJ715" s="4"/>
    </row>
    <row r="716" spans="1:36">
      <c r="A716" t="str">
        <f t="shared" si="56"/>
        <v>Lata51715</v>
      </c>
      <c r="B716">
        <v>715</v>
      </c>
      <c r="C716">
        <v>1</v>
      </c>
      <c r="D716">
        <v>5</v>
      </c>
      <c r="E716">
        <v>2022</v>
      </c>
      <c r="F716" s="1">
        <f t="shared" si="57"/>
        <v>44682</v>
      </c>
      <c r="G716" s="1" t="s">
        <v>592</v>
      </c>
      <c r="H716" s="2">
        <v>45192</v>
      </c>
      <c r="I716" t="s">
        <v>49</v>
      </c>
      <c r="J716">
        <v>6</v>
      </c>
      <c r="K716">
        <v>58351.46</v>
      </c>
      <c r="L716" t="s">
        <v>127</v>
      </c>
      <c r="M716">
        <v>51</v>
      </c>
      <c r="N716" t="s">
        <v>61</v>
      </c>
      <c r="O716" s="3" t="s">
        <v>22</v>
      </c>
      <c r="P716" t="s">
        <v>110</v>
      </c>
      <c r="Q716" t="s">
        <v>56</v>
      </c>
      <c r="R716">
        <v>4</v>
      </c>
      <c r="S716" t="s">
        <v>88</v>
      </c>
      <c r="T716" s="4">
        <f t="shared" si="58"/>
        <v>350108.76</v>
      </c>
      <c r="U716" s="4" t="str">
        <f t="shared" si="59"/>
        <v>Good</v>
      </c>
      <c r="V716" s="4" t="str">
        <f t="shared" si="60"/>
        <v>Excellent</v>
      </c>
      <c r="W716" s="4"/>
      <c r="X716" s="4"/>
      <c r="AJ716" s="4"/>
    </row>
    <row r="717" spans="1:36">
      <c r="A717" t="str">
        <f t="shared" si="56"/>
        <v>Vija49716</v>
      </c>
      <c r="B717">
        <v>716</v>
      </c>
      <c r="C717">
        <v>1</v>
      </c>
      <c r="D717">
        <v>5</v>
      </c>
      <c r="E717">
        <v>2022</v>
      </c>
      <c r="F717" s="1">
        <f t="shared" si="57"/>
        <v>44682</v>
      </c>
      <c r="G717" s="1" t="s">
        <v>592</v>
      </c>
      <c r="H717" s="2">
        <v>45193</v>
      </c>
      <c r="I717" t="s">
        <v>43</v>
      </c>
      <c r="J717">
        <v>7</v>
      </c>
      <c r="K717">
        <v>69384.2</v>
      </c>
      <c r="L717" t="s">
        <v>507</v>
      </c>
      <c r="M717">
        <v>49</v>
      </c>
      <c r="N717" t="s">
        <v>61</v>
      </c>
      <c r="O717" s="3" t="s">
        <v>22</v>
      </c>
      <c r="P717" t="s">
        <v>33</v>
      </c>
      <c r="Q717" t="s">
        <v>56</v>
      </c>
      <c r="R717">
        <v>5</v>
      </c>
      <c r="S717" t="s">
        <v>46</v>
      </c>
      <c r="T717" s="4">
        <f t="shared" si="58"/>
        <v>485689.39999999997</v>
      </c>
      <c r="U717" s="4" t="str">
        <f t="shared" si="59"/>
        <v>Good</v>
      </c>
      <c r="V717" s="4" t="str">
        <f t="shared" si="60"/>
        <v>Excellent</v>
      </c>
      <c r="W717" s="4"/>
      <c r="X717" s="4"/>
      <c r="AJ717" s="4"/>
    </row>
    <row r="718" spans="1:36">
      <c r="A718" t="str">
        <f t="shared" si="56"/>
        <v>Tapa33717</v>
      </c>
      <c r="B718">
        <v>717</v>
      </c>
      <c r="C718">
        <v>1</v>
      </c>
      <c r="D718">
        <v>5</v>
      </c>
      <c r="E718">
        <v>2022</v>
      </c>
      <c r="F718" s="1">
        <f t="shared" si="57"/>
        <v>44682</v>
      </c>
      <c r="G718" s="1" t="s">
        <v>592</v>
      </c>
      <c r="H718" s="2">
        <v>45194</v>
      </c>
      <c r="I718" t="s">
        <v>26</v>
      </c>
      <c r="J718">
        <v>9</v>
      </c>
      <c r="K718">
        <v>32643.26</v>
      </c>
      <c r="L718" t="s">
        <v>594</v>
      </c>
      <c r="M718">
        <v>33</v>
      </c>
      <c r="N718" t="s">
        <v>21</v>
      </c>
      <c r="O718" s="3" t="s">
        <v>22</v>
      </c>
      <c r="P718" t="s">
        <v>29</v>
      </c>
      <c r="Q718" t="s">
        <v>41</v>
      </c>
      <c r="R718">
        <v>5</v>
      </c>
      <c r="S718" t="s">
        <v>67</v>
      </c>
      <c r="T718" s="4">
        <f t="shared" si="58"/>
        <v>293789.33999999997</v>
      </c>
      <c r="U718" s="4" t="str">
        <f t="shared" si="59"/>
        <v>Good</v>
      </c>
      <c r="V718" s="4" t="str">
        <f t="shared" si="60"/>
        <v>Excellent</v>
      </c>
      <c r="W718" s="4"/>
      <c r="X718" s="4"/>
      <c r="AJ718" s="4"/>
    </row>
    <row r="719" spans="1:36">
      <c r="A719" t="str">
        <f t="shared" si="56"/>
        <v>Vive53718</v>
      </c>
      <c r="B719">
        <v>718</v>
      </c>
      <c r="C719">
        <v>2</v>
      </c>
      <c r="D719">
        <v>5</v>
      </c>
      <c r="E719">
        <v>2022</v>
      </c>
      <c r="F719" s="1">
        <f t="shared" si="57"/>
        <v>44683</v>
      </c>
      <c r="G719" s="1" t="s">
        <v>592</v>
      </c>
      <c r="H719" s="2">
        <v>45195</v>
      </c>
      <c r="I719" t="s">
        <v>43</v>
      </c>
      <c r="J719">
        <v>7</v>
      </c>
      <c r="K719">
        <v>36685.35</v>
      </c>
      <c r="L719" t="s">
        <v>420</v>
      </c>
      <c r="M719">
        <v>53</v>
      </c>
      <c r="N719" t="s">
        <v>61</v>
      </c>
      <c r="O719" s="3" t="s">
        <v>22</v>
      </c>
      <c r="P719" t="s">
        <v>29</v>
      </c>
      <c r="Q719" t="s">
        <v>41</v>
      </c>
      <c r="R719">
        <v>4</v>
      </c>
      <c r="S719" t="s">
        <v>57</v>
      </c>
      <c r="T719" s="4">
        <f t="shared" si="58"/>
        <v>256797.44999999998</v>
      </c>
      <c r="U719" s="4" t="str">
        <f t="shared" si="59"/>
        <v>Good</v>
      </c>
      <c r="V719" s="4" t="str">
        <f t="shared" si="60"/>
        <v>Excellent</v>
      </c>
      <c r="W719" s="4"/>
      <c r="X719" s="4"/>
      <c r="AJ719" s="4"/>
    </row>
    <row r="720" spans="1:36">
      <c r="A720" t="str">
        <f t="shared" si="56"/>
        <v>Mano35719</v>
      </c>
      <c r="B720">
        <v>719</v>
      </c>
      <c r="C720">
        <v>2</v>
      </c>
      <c r="D720">
        <v>5</v>
      </c>
      <c r="E720">
        <v>2022</v>
      </c>
      <c r="F720" s="1">
        <f t="shared" si="57"/>
        <v>44683</v>
      </c>
      <c r="G720" s="1" t="s">
        <v>592</v>
      </c>
      <c r="H720" s="2">
        <v>45196</v>
      </c>
      <c r="I720" t="s">
        <v>19</v>
      </c>
      <c r="J720">
        <v>6</v>
      </c>
      <c r="K720">
        <v>12786.02</v>
      </c>
      <c r="L720" t="s">
        <v>74</v>
      </c>
      <c r="M720">
        <v>35</v>
      </c>
      <c r="N720" t="s">
        <v>21</v>
      </c>
      <c r="O720" s="3" t="s">
        <v>22</v>
      </c>
      <c r="P720" t="s">
        <v>77</v>
      </c>
      <c r="Q720" t="s">
        <v>30</v>
      </c>
      <c r="R720">
        <v>5</v>
      </c>
      <c r="S720" t="s">
        <v>25</v>
      </c>
      <c r="T720" s="4">
        <f t="shared" si="58"/>
        <v>76716.12</v>
      </c>
      <c r="U720" s="4" t="str">
        <f t="shared" si="59"/>
        <v>Good</v>
      </c>
      <c r="V720" s="4" t="str">
        <f t="shared" si="60"/>
        <v>Average</v>
      </c>
      <c r="W720" s="4"/>
      <c r="X720" s="4"/>
      <c r="AJ720" s="4"/>
    </row>
    <row r="721" spans="1:36">
      <c r="A721" t="str">
        <f t="shared" si="56"/>
        <v>Sach31720</v>
      </c>
      <c r="B721">
        <v>720</v>
      </c>
      <c r="C721">
        <v>2</v>
      </c>
      <c r="D721">
        <v>5</v>
      </c>
      <c r="E721">
        <v>2022</v>
      </c>
      <c r="F721" s="1">
        <f t="shared" si="57"/>
        <v>44683</v>
      </c>
      <c r="G721" s="1" t="s">
        <v>592</v>
      </c>
      <c r="H721" s="2">
        <v>45197</v>
      </c>
      <c r="I721" t="s">
        <v>38</v>
      </c>
      <c r="J721">
        <v>1</v>
      </c>
      <c r="K721">
        <v>10823.99</v>
      </c>
      <c r="L721" t="s">
        <v>595</v>
      </c>
      <c r="M721">
        <v>31</v>
      </c>
      <c r="N721" t="s">
        <v>21</v>
      </c>
      <c r="O721" s="3" t="s">
        <v>22</v>
      </c>
      <c r="P721" t="s">
        <v>110</v>
      </c>
      <c r="Q721" t="s">
        <v>56</v>
      </c>
      <c r="R721">
        <v>5</v>
      </c>
      <c r="S721" t="s">
        <v>42</v>
      </c>
      <c r="T721" s="4">
        <f t="shared" si="58"/>
        <v>10823.99</v>
      </c>
      <c r="U721" s="4" t="str">
        <f t="shared" si="59"/>
        <v>Good</v>
      </c>
      <c r="V721" s="4" t="str">
        <f t="shared" si="60"/>
        <v>Low</v>
      </c>
      <c r="W721" s="4"/>
      <c r="X721" s="4"/>
      <c r="AJ721" s="4"/>
    </row>
    <row r="722" spans="1:36">
      <c r="A722" t="str">
        <f t="shared" si="56"/>
        <v>Sumi47721</v>
      </c>
      <c r="B722">
        <v>721</v>
      </c>
      <c r="C722">
        <v>3</v>
      </c>
      <c r="D722">
        <v>5</v>
      </c>
      <c r="E722">
        <v>2022</v>
      </c>
      <c r="F722" s="1">
        <f t="shared" si="57"/>
        <v>44684</v>
      </c>
      <c r="G722" s="1" t="s">
        <v>592</v>
      </c>
      <c r="H722" s="2">
        <v>45198</v>
      </c>
      <c r="I722" t="s">
        <v>19</v>
      </c>
      <c r="J722">
        <v>2</v>
      </c>
      <c r="K722">
        <v>65285.16</v>
      </c>
      <c r="L722" t="s">
        <v>596</v>
      </c>
      <c r="M722">
        <v>47</v>
      </c>
      <c r="N722" t="s">
        <v>61</v>
      </c>
      <c r="O722" s="3" t="s">
        <v>22</v>
      </c>
      <c r="P722" t="s">
        <v>77</v>
      </c>
      <c r="Q722" t="s">
        <v>41</v>
      </c>
      <c r="R722">
        <v>5</v>
      </c>
      <c r="S722" t="s">
        <v>84</v>
      </c>
      <c r="T722" s="4">
        <f t="shared" si="58"/>
        <v>130570.32</v>
      </c>
      <c r="U722" s="4" t="str">
        <f t="shared" si="59"/>
        <v>Good</v>
      </c>
      <c r="V722" s="4" t="str">
        <f t="shared" si="60"/>
        <v>Good</v>
      </c>
      <c r="W722" s="4"/>
      <c r="X722" s="4"/>
      <c r="AJ722" s="4"/>
    </row>
    <row r="723" spans="1:36">
      <c r="A723" t="str">
        <f t="shared" si="56"/>
        <v>Bhav19722</v>
      </c>
      <c r="B723">
        <v>722</v>
      </c>
      <c r="C723">
        <v>3</v>
      </c>
      <c r="D723">
        <v>5</v>
      </c>
      <c r="E723">
        <v>2022</v>
      </c>
      <c r="F723" s="1">
        <f t="shared" si="57"/>
        <v>44684</v>
      </c>
      <c r="G723" s="1" t="s">
        <v>592</v>
      </c>
      <c r="H723" s="2">
        <v>45199</v>
      </c>
      <c r="I723" t="s">
        <v>43</v>
      </c>
      <c r="J723">
        <v>1</v>
      </c>
      <c r="K723">
        <v>17717.439999999999</v>
      </c>
      <c r="L723" t="s">
        <v>251</v>
      </c>
      <c r="M723">
        <v>19</v>
      </c>
      <c r="N723" t="s">
        <v>36</v>
      </c>
      <c r="O723" s="3" t="s">
        <v>22</v>
      </c>
      <c r="P723" t="s">
        <v>29</v>
      </c>
      <c r="Q723" t="s">
        <v>24</v>
      </c>
      <c r="R723">
        <v>4</v>
      </c>
      <c r="S723" t="s">
        <v>46</v>
      </c>
      <c r="T723" s="4">
        <f t="shared" si="58"/>
        <v>17717.439999999999</v>
      </c>
      <c r="U723" s="4" t="str">
        <f t="shared" si="59"/>
        <v>Good</v>
      </c>
      <c r="V723" s="4" t="str">
        <f t="shared" si="60"/>
        <v>Low</v>
      </c>
      <c r="W723" s="4"/>
      <c r="X723" s="4"/>
      <c r="AJ723" s="4"/>
    </row>
    <row r="724" spans="1:36">
      <c r="A724" t="str">
        <f t="shared" si="56"/>
        <v>Jyot30723</v>
      </c>
      <c r="B724">
        <v>723</v>
      </c>
      <c r="C724">
        <v>3</v>
      </c>
      <c r="D724">
        <v>5</v>
      </c>
      <c r="E724">
        <v>2022</v>
      </c>
      <c r="F724" s="1">
        <f t="shared" si="57"/>
        <v>44684</v>
      </c>
      <c r="G724" s="1" t="s">
        <v>592</v>
      </c>
      <c r="H724" s="2">
        <v>45200</v>
      </c>
      <c r="I724" t="s">
        <v>43</v>
      </c>
      <c r="J724">
        <v>9</v>
      </c>
      <c r="K724">
        <v>36746.720000000001</v>
      </c>
      <c r="L724" t="s">
        <v>177</v>
      </c>
      <c r="M724">
        <v>30</v>
      </c>
      <c r="N724" t="s">
        <v>36</v>
      </c>
      <c r="O724" s="3" t="s">
        <v>22</v>
      </c>
      <c r="P724" t="s">
        <v>132</v>
      </c>
      <c r="Q724" t="s">
        <v>24</v>
      </c>
      <c r="R724">
        <v>5</v>
      </c>
      <c r="S724" t="s">
        <v>57</v>
      </c>
      <c r="T724" s="4">
        <f t="shared" si="58"/>
        <v>330720.48</v>
      </c>
      <c r="U724" s="4" t="str">
        <f t="shared" si="59"/>
        <v>Good</v>
      </c>
      <c r="V724" s="4" t="str">
        <f t="shared" si="60"/>
        <v>Excellent</v>
      </c>
      <c r="W724" s="4"/>
      <c r="X724" s="4"/>
      <c r="AJ724" s="4"/>
    </row>
    <row r="725" spans="1:36">
      <c r="A725" t="str">
        <f t="shared" si="56"/>
        <v>Amit44724</v>
      </c>
      <c r="B725">
        <v>724</v>
      </c>
      <c r="C725">
        <v>3</v>
      </c>
      <c r="D725">
        <v>5</v>
      </c>
      <c r="E725">
        <v>2022</v>
      </c>
      <c r="F725" s="1">
        <f t="shared" si="57"/>
        <v>44684</v>
      </c>
      <c r="G725" s="1" t="s">
        <v>592</v>
      </c>
      <c r="H725" s="2">
        <v>45201</v>
      </c>
      <c r="I725" t="s">
        <v>49</v>
      </c>
      <c r="J725">
        <v>9</v>
      </c>
      <c r="K725">
        <v>58921.279999999999</v>
      </c>
      <c r="L725" t="s">
        <v>296</v>
      </c>
      <c r="M725">
        <v>44</v>
      </c>
      <c r="N725" t="s">
        <v>21</v>
      </c>
      <c r="O725" s="3" t="s">
        <v>22</v>
      </c>
      <c r="P725" t="s">
        <v>59</v>
      </c>
      <c r="Q725" t="s">
        <v>56</v>
      </c>
      <c r="R725">
        <v>5</v>
      </c>
      <c r="S725" t="s">
        <v>88</v>
      </c>
      <c r="T725" s="4">
        <f t="shared" si="58"/>
        <v>530291.52</v>
      </c>
      <c r="U725" s="4" t="str">
        <f t="shared" si="59"/>
        <v>Good</v>
      </c>
      <c r="V725" s="4" t="str">
        <f t="shared" si="60"/>
        <v>Excellent</v>
      </c>
      <c r="W725" s="4"/>
      <c r="X725" s="4"/>
      <c r="AJ725" s="4"/>
    </row>
    <row r="726" spans="1:36">
      <c r="A726" t="str">
        <f t="shared" si="56"/>
        <v>Arun34725</v>
      </c>
      <c r="B726">
        <v>725</v>
      </c>
      <c r="C726">
        <v>4</v>
      </c>
      <c r="D726">
        <v>5</v>
      </c>
      <c r="E726">
        <v>2022</v>
      </c>
      <c r="F726" s="1">
        <f t="shared" si="57"/>
        <v>44685</v>
      </c>
      <c r="G726" s="1" t="s">
        <v>592</v>
      </c>
      <c r="H726" s="2">
        <v>45202</v>
      </c>
      <c r="I726" t="s">
        <v>26</v>
      </c>
      <c r="J726">
        <v>7</v>
      </c>
      <c r="K726">
        <v>63359.13</v>
      </c>
      <c r="L726" t="s">
        <v>298</v>
      </c>
      <c r="M726">
        <v>34</v>
      </c>
      <c r="N726" t="s">
        <v>21</v>
      </c>
      <c r="O726" s="3" t="s">
        <v>22</v>
      </c>
      <c r="P726" t="s">
        <v>40</v>
      </c>
      <c r="Q726" t="s">
        <v>24</v>
      </c>
      <c r="R726">
        <v>5</v>
      </c>
      <c r="S726" t="s">
        <v>34</v>
      </c>
      <c r="T726" s="4">
        <f t="shared" si="58"/>
        <v>443513.91</v>
      </c>
      <c r="U726" s="4" t="str">
        <f t="shared" si="59"/>
        <v>Good</v>
      </c>
      <c r="V726" s="4" t="str">
        <f t="shared" si="60"/>
        <v>Excellent</v>
      </c>
      <c r="W726" s="4"/>
      <c r="X726" s="4"/>
      <c r="AJ726" s="4"/>
    </row>
    <row r="727" spans="1:36">
      <c r="A727" t="str">
        <f t="shared" si="56"/>
        <v>Meen48726</v>
      </c>
      <c r="B727">
        <v>726</v>
      </c>
      <c r="C727">
        <v>4</v>
      </c>
      <c r="D727">
        <v>5</v>
      </c>
      <c r="E727">
        <v>2022</v>
      </c>
      <c r="F727" s="1">
        <f t="shared" si="57"/>
        <v>44685</v>
      </c>
      <c r="G727" s="1" t="s">
        <v>592</v>
      </c>
      <c r="H727" s="2">
        <v>45203</v>
      </c>
      <c r="I727" t="s">
        <v>26</v>
      </c>
      <c r="J727">
        <v>2</v>
      </c>
      <c r="K727">
        <v>41163.86</v>
      </c>
      <c r="L727" t="s">
        <v>597</v>
      </c>
      <c r="M727">
        <v>48</v>
      </c>
      <c r="N727" t="s">
        <v>61</v>
      </c>
      <c r="O727" s="3" t="s">
        <v>22</v>
      </c>
      <c r="P727" t="s">
        <v>29</v>
      </c>
      <c r="Q727" t="s">
        <v>30</v>
      </c>
      <c r="R727">
        <v>4</v>
      </c>
      <c r="S727" t="s">
        <v>31</v>
      </c>
      <c r="T727" s="4">
        <f t="shared" si="58"/>
        <v>82327.72</v>
      </c>
      <c r="U727" s="4" t="str">
        <f t="shared" si="59"/>
        <v>Good</v>
      </c>
      <c r="V727" s="4" t="str">
        <f t="shared" si="60"/>
        <v>Average</v>
      </c>
      <c r="W727" s="4"/>
      <c r="X727" s="4"/>
      <c r="AJ727" s="4"/>
    </row>
    <row r="728" spans="1:36">
      <c r="A728" t="str">
        <f t="shared" si="56"/>
        <v>Pank32727</v>
      </c>
      <c r="B728">
        <v>727</v>
      </c>
      <c r="C728">
        <v>4</v>
      </c>
      <c r="D728">
        <v>5</v>
      </c>
      <c r="E728">
        <v>2022</v>
      </c>
      <c r="F728" s="1">
        <f t="shared" si="57"/>
        <v>44685</v>
      </c>
      <c r="G728" s="1" t="s">
        <v>592</v>
      </c>
      <c r="H728" s="2">
        <v>45204</v>
      </c>
      <c r="I728" t="s">
        <v>19</v>
      </c>
      <c r="J728">
        <v>6</v>
      </c>
      <c r="K728">
        <v>43901.95</v>
      </c>
      <c r="L728" t="s">
        <v>94</v>
      </c>
      <c r="M728">
        <v>32</v>
      </c>
      <c r="N728" t="s">
        <v>21</v>
      </c>
      <c r="O728" s="3" t="s">
        <v>22</v>
      </c>
      <c r="P728" t="s">
        <v>66</v>
      </c>
      <c r="Q728" t="s">
        <v>30</v>
      </c>
      <c r="R728">
        <v>4</v>
      </c>
      <c r="S728" t="s">
        <v>84</v>
      </c>
      <c r="T728" s="4">
        <f t="shared" si="58"/>
        <v>263411.69999999995</v>
      </c>
      <c r="U728" s="4" t="str">
        <f t="shared" si="59"/>
        <v>Good</v>
      </c>
      <c r="V728" s="4" t="str">
        <f t="shared" si="60"/>
        <v>Excellent</v>
      </c>
      <c r="W728" s="4"/>
      <c r="X728" s="4"/>
      <c r="AJ728" s="4"/>
    </row>
    <row r="729" spans="1:36">
      <c r="A729" t="str">
        <f t="shared" si="56"/>
        <v>Ravi37728</v>
      </c>
      <c r="B729">
        <v>728</v>
      </c>
      <c r="C729">
        <v>4</v>
      </c>
      <c r="D729">
        <v>5</v>
      </c>
      <c r="E729">
        <v>2022</v>
      </c>
      <c r="F729" s="1">
        <f t="shared" si="57"/>
        <v>44685</v>
      </c>
      <c r="G729" s="1" t="s">
        <v>592</v>
      </c>
      <c r="H729" s="2">
        <v>45205</v>
      </c>
      <c r="I729" t="s">
        <v>38</v>
      </c>
      <c r="J729">
        <v>4</v>
      </c>
      <c r="K729">
        <v>50181.04</v>
      </c>
      <c r="L729" t="s">
        <v>598</v>
      </c>
      <c r="M729">
        <v>37</v>
      </c>
      <c r="N729" t="s">
        <v>21</v>
      </c>
      <c r="O729" s="3" t="s">
        <v>22</v>
      </c>
      <c r="P729" t="s">
        <v>64</v>
      </c>
      <c r="Q729" t="s">
        <v>56</v>
      </c>
      <c r="R729">
        <v>5</v>
      </c>
      <c r="S729" t="s">
        <v>99</v>
      </c>
      <c r="T729" s="4">
        <f t="shared" si="58"/>
        <v>200724.16</v>
      </c>
      <c r="U729" s="4" t="str">
        <f t="shared" si="59"/>
        <v>Good</v>
      </c>
      <c r="V729" s="4" t="str">
        <f t="shared" si="60"/>
        <v>Excellent</v>
      </c>
      <c r="W729" s="4"/>
      <c r="X729" s="4"/>
      <c r="AJ729" s="4"/>
    </row>
    <row r="730" spans="1:36">
      <c r="A730" t="str">
        <f t="shared" si="56"/>
        <v>Tanu22729</v>
      </c>
      <c r="B730">
        <v>729</v>
      </c>
      <c r="C730">
        <v>5</v>
      </c>
      <c r="D730">
        <v>5</v>
      </c>
      <c r="E730">
        <v>2022</v>
      </c>
      <c r="F730" s="1">
        <f t="shared" si="57"/>
        <v>44686</v>
      </c>
      <c r="G730" s="1" t="s">
        <v>592</v>
      </c>
      <c r="H730" s="2">
        <v>45206</v>
      </c>
      <c r="I730" t="s">
        <v>26</v>
      </c>
      <c r="J730">
        <v>1</v>
      </c>
      <c r="K730">
        <v>67682.95</v>
      </c>
      <c r="L730" t="s">
        <v>599</v>
      </c>
      <c r="M730">
        <v>22</v>
      </c>
      <c r="N730" t="s">
        <v>36</v>
      </c>
      <c r="O730" s="3" t="s">
        <v>22</v>
      </c>
      <c r="P730" t="s">
        <v>29</v>
      </c>
      <c r="Q730" t="s">
        <v>41</v>
      </c>
      <c r="R730">
        <v>4</v>
      </c>
      <c r="S730" t="s">
        <v>67</v>
      </c>
      <c r="T730" s="4">
        <f t="shared" si="58"/>
        <v>67682.95</v>
      </c>
      <c r="U730" s="4" t="str">
        <f t="shared" si="59"/>
        <v>Good</v>
      </c>
      <c r="V730" s="4" t="str">
        <f t="shared" si="60"/>
        <v>Average</v>
      </c>
      <c r="W730" s="4"/>
      <c r="X730" s="4"/>
      <c r="AJ730" s="4"/>
    </row>
    <row r="731" spans="1:36">
      <c r="A731" t="str">
        <f t="shared" si="56"/>
        <v>Suni24730</v>
      </c>
      <c r="B731">
        <v>730</v>
      </c>
      <c r="C731">
        <v>5</v>
      </c>
      <c r="D731">
        <v>5</v>
      </c>
      <c r="E731">
        <v>2022</v>
      </c>
      <c r="F731" s="1">
        <f t="shared" si="57"/>
        <v>44686</v>
      </c>
      <c r="G731" s="1" t="s">
        <v>592</v>
      </c>
      <c r="H731" s="2">
        <v>45207</v>
      </c>
      <c r="I731" t="s">
        <v>49</v>
      </c>
      <c r="J731">
        <v>1</v>
      </c>
      <c r="K731">
        <v>46160.2</v>
      </c>
      <c r="L731" t="s">
        <v>464</v>
      </c>
      <c r="M731">
        <v>24</v>
      </c>
      <c r="N731" t="s">
        <v>36</v>
      </c>
      <c r="O731" s="3" t="s">
        <v>22</v>
      </c>
      <c r="P731" t="s">
        <v>29</v>
      </c>
      <c r="Q731" t="s">
        <v>41</v>
      </c>
      <c r="R731">
        <v>5</v>
      </c>
      <c r="S731" t="s">
        <v>102</v>
      </c>
      <c r="T731" s="4">
        <f t="shared" si="58"/>
        <v>46160.2</v>
      </c>
      <c r="U731" s="4" t="str">
        <f t="shared" si="59"/>
        <v>Good</v>
      </c>
      <c r="V731" s="4" t="str">
        <f t="shared" si="60"/>
        <v>Low</v>
      </c>
      <c r="W731" s="4"/>
      <c r="X731" s="4"/>
      <c r="AJ731" s="4"/>
    </row>
    <row r="732" spans="1:36">
      <c r="A732" t="str">
        <f t="shared" si="56"/>
        <v>Lali35731</v>
      </c>
      <c r="B732">
        <v>731</v>
      </c>
      <c r="C732">
        <v>5</v>
      </c>
      <c r="D732">
        <v>5</v>
      </c>
      <c r="E732">
        <v>2022</v>
      </c>
      <c r="F732" s="1">
        <f t="shared" si="57"/>
        <v>44686</v>
      </c>
      <c r="G732" s="1" t="s">
        <v>592</v>
      </c>
      <c r="H732" s="2">
        <v>45208</v>
      </c>
      <c r="I732" t="s">
        <v>19</v>
      </c>
      <c r="J732">
        <v>5</v>
      </c>
      <c r="K732">
        <v>43568.52</v>
      </c>
      <c r="L732" t="s">
        <v>236</v>
      </c>
      <c r="M732">
        <v>35</v>
      </c>
      <c r="N732" t="s">
        <v>21</v>
      </c>
      <c r="O732" s="3" t="s">
        <v>22</v>
      </c>
      <c r="P732" t="s">
        <v>64</v>
      </c>
      <c r="Q732" t="s">
        <v>41</v>
      </c>
      <c r="R732">
        <v>4</v>
      </c>
      <c r="S732" t="s">
        <v>25</v>
      </c>
      <c r="T732" s="4">
        <f t="shared" si="58"/>
        <v>217842.59999999998</v>
      </c>
      <c r="U732" s="4" t="str">
        <f t="shared" si="59"/>
        <v>Good</v>
      </c>
      <c r="V732" s="4" t="str">
        <f t="shared" si="60"/>
        <v>Excellent</v>
      </c>
      <c r="W732" s="4"/>
      <c r="X732" s="4"/>
      <c r="AJ732" s="4"/>
    </row>
    <row r="733" spans="1:36">
      <c r="A733" t="str">
        <f t="shared" si="56"/>
        <v>Anja28732</v>
      </c>
      <c r="B733">
        <v>732</v>
      </c>
      <c r="C733">
        <v>5</v>
      </c>
      <c r="D733">
        <v>5</v>
      </c>
      <c r="E733">
        <v>2022</v>
      </c>
      <c r="F733" s="1">
        <f t="shared" si="57"/>
        <v>44686</v>
      </c>
      <c r="G733" s="1" t="s">
        <v>592</v>
      </c>
      <c r="H733" s="2">
        <v>45209</v>
      </c>
      <c r="I733" t="s">
        <v>19</v>
      </c>
      <c r="J733">
        <v>2</v>
      </c>
      <c r="K733">
        <v>10872.05</v>
      </c>
      <c r="L733" t="s">
        <v>231</v>
      </c>
      <c r="M733">
        <v>28</v>
      </c>
      <c r="N733" t="s">
        <v>36</v>
      </c>
      <c r="O733" s="3" t="s">
        <v>28</v>
      </c>
      <c r="P733" t="s">
        <v>29</v>
      </c>
      <c r="Q733" t="s">
        <v>41</v>
      </c>
      <c r="R733">
        <v>3</v>
      </c>
      <c r="S733" t="s">
        <v>25</v>
      </c>
      <c r="T733" s="4">
        <f t="shared" si="58"/>
        <v>21744.1</v>
      </c>
      <c r="U733" s="4" t="str">
        <f t="shared" si="59"/>
        <v>Average</v>
      </c>
      <c r="V733" s="4" t="str">
        <f t="shared" si="60"/>
        <v>Low</v>
      </c>
      <c r="W733" s="4"/>
      <c r="X733" s="4"/>
      <c r="AJ733" s="4"/>
    </row>
    <row r="734" spans="1:36">
      <c r="A734" t="str">
        <f t="shared" si="56"/>
        <v>Yoge49733</v>
      </c>
      <c r="B734">
        <v>733</v>
      </c>
      <c r="C734">
        <v>6</v>
      </c>
      <c r="D734">
        <v>5</v>
      </c>
      <c r="E734">
        <v>2022</v>
      </c>
      <c r="F734" s="1">
        <f t="shared" si="57"/>
        <v>44687</v>
      </c>
      <c r="G734" s="1" t="s">
        <v>592</v>
      </c>
      <c r="H734" s="2">
        <v>45210</v>
      </c>
      <c r="I734" t="s">
        <v>49</v>
      </c>
      <c r="J734">
        <v>4</v>
      </c>
      <c r="K734">
        <v>14856.98</v>
      </c>
      <c r="L734" t="s">
        <v>600</v>
      </c>
      <c r="M734">
        <v>49</v>
      </c>
      <c r="N734" t="s">
        <v>61</v>
      </c>
      <c r="O734" s="3" t="s">
        <v>22</v>
      </c>
      <c r="P734" t="s">
        <v>29</v>
      </c>
      <c r="Q734" t="s">
        <v>56</v>
      </c>
      <c r="R734">
        <v>5</v>
      </c>
      <c r="S734" t="s">
        <v>88</v>
      </c>
      <c r="T734" s="4">
        <f t="shared" si="58"/>
        <v>59427.92</v>
      </c>
      <c r="U734" s="4" t="str">
        <f t="shared" si="59"/>
        <v>Good</v>
      </c>
      <c r="V734" s="4" t="str">
        <f t="shared" si="60"/>
        <v>Average</v>
      </c>
      <c r="W734" s="4"/>
      <c r="X734" s="4"/>
      <c r="AJ734" s="4"/>
    </row>
    <row r="735" spans="1:36">
      <c r="A735" t="str">
        <f t="shared" si="56"/>
        <v>Deep44734</v>
      </c>
      <c r="B735">
        <v>734</v>
      </c>
      <c r="C735">
        <v>6</v>
      </c>
      <c r="D735">
        <v>5</v>
      </c>
      <c r="E735">
        <v>2022</v>
      </c>
      <c r="F735" s="1">
        <f t="shared" si="57"/>
        <v>44687</v>
      </c>
      <c r="G735" s="1" t="s">
        <v>592</v>
      </c>
      <c r="H735" s="2">
        <v>45211</v>
      </c>
      <c r="I735" t="s">
        <v>38</v>
      </c>
      <c r="J735">
        <v>1</v>
      </c>
      <c r="K735">
        <v>44630.3</v>
      </c>
      <c r="L735" t="s">
        <v>601</v>
      </c>
      <c r="M735">
        <v>44</v>
      </c>
      <c r="N735" t="s">
        <v>21</v>
      </c>
      <c r="O735" s="3" t="s">
        <v>22</v>
      </c>
      <c r="P735" t="s">
        <v>110</v>
      </c>
      <c r="Q735" t="s">
        <v>30</v>
      </c>
      <c r="R735">
        <v>5</v>
      </c>
      <c r="S735" t="s">
        <v>99</v>
      </c>
      <c r="T735" s="4">
        <f t="shared" si="58"/>
        <v>44630.3</v>
      </c>
      <c r="U735" s="4" t="str">
        <f t="shared" si="59"/>
        <v>Good</v>
      </c>
      <c r="V735" s="4" t="str">
        <f t="shared" si="60"/>
        <v>Low</v>
      </c>
      <c r="W735" s="4"/>
      <c r="X735" s="4"/>
      <c r="AJ735" s="4"/>
    </row>
    <row r="736" spans="1:36">
      <c r="A736" t="str">
        <f t="shared" si="56"/>
        <v>Suni43735</v>
      </c>
      <c r="B736">
        <v>735</v>
      </c>
      <c r="C736">
        <v>6</v>
      </c>
      <c r="D736">
        <v>5</v>
      </c>
      <c r="E736">
        <v>2022</v>
      </c>
      <c r="F736" s="1">
        <f t="shared" si="57"/>
        <v>44687</v>
      </c>
      <c r="G736" s="1" t="s">
        <v>592</v>
      </c>
      <c r="H736" s="2">
        <v>45212</v>
      </c>
      <c r="I736" t="s">
        <v>49</v>
      </c>
      <c r="J736">
        <v>4</v>
      </c>
      <c r="K736">
        <v>66174.42</v>
      </c>
      <c r="L736" t="s">
        <v>244</v>
      </c>
      <c r="M736">
        <v>43</v>
      </c>
      <c r="N736" t="s">
        <v>21</v>
      </c>
      <c r="O736" s="3" t="s">
        <v>22</v>
      </c>
      <c r="P736" t="s">
        <v>29</v>
      </c>
      <c r="Q736" t="s">
        <v>56</v>
      </c>
      <c r="R736">
        <v>5</v>
      </c>
      <c r="S736" t="s">
        <v>52</v>
      </c>
      <c r="T736" s="4">
        <f t="shared" si="58"/>
        <v>264697.68</v>
      </c>
      <c r="U736" s="4" t="str">
        <f t="shared" si="59"/>
        <v>Good</v>
      </c>
      <c r="V736" s="4" t="str">
        <f t="shared" si="60"/>
        <v>Excellent</v>
      </c>
      <c r="W736" s="4"/>
      <c r="X736" s="4"/>
      <c r="AJ736" s="4"/>
    </row>
    <row r="737" spans="1:36">
      <c r="A737" t="str">
        <f t="shared" si="56"/>
        <v>Jyot54736</v>
      </c>
      <c r="B737">
        <v>736</v>
      </c>
      <c r="C737">
        <v>7</v>
      </c>
      <c r="D737">
        <v>5</v>
      </c>
      <c r="E737">
        <v>2022</v>
      </c>
      <c r="F737" s="1">
        <f t="shared" si="57"/>
        <v>44688</v>
      </c>
      <c r="G737" s="1" t="s">
        <v>592</v>
      </c>
      <c r="H737" s="2">
        <v>45213</v>
      </c>
      <c r="I737" t="s">
        <v>38</v>
      </c>
      <c r="J737">
        <v>6</v>
      </c>
      <c r="K737">
        <v>62001.48</v>
      </c>
      <c r="L737" t="s">
        <v>306</v>
      </c>
      <c r="M737">
        <v>54</v>
      </c>
      <c r="N737" t="s">
        <v>61</v>
      </c>
      <c r="O737" s="3" t="s">
        <v>22</v>
      </c>
      <c r="P737" t="s">
        <v>33</v>
      </c>
      <c r="Q737" t="s">
        <v>56</v>
      </c>
      <c r="R737">
        <v>5</v>
      </c>
      <c r="S737" t="s">
        <v>42</v>
      </c>
      <c r="T737" s="4">
        <f t="shared" si="58"/>
        <v>372008.88</v>
      </c>
      <c r="U737" s="4" t="str">
        <f t="shared" si="59"/>
        <v>Good</v>
      </c>
      <c r="V737" s="4" t="str">
        <f t="shared" si="60"/>
        <v>Excellent</v>
      </c>
      <c r="W737" s="4"/>
      <c r="X737" s="4"/>
      <c r="AJ737" s="4"/>
    </row>
    <row r="738" spans="1:36">
      <c r="A738" t="str">
        <f t="shared" si="56"/>
        <v>Sneh45737</v>
      </c>
      <c r="B738">
        <v>737</v>
      </c>
      <c r="C738">
        <v>7</v>
      </c>
      <c r="D738">
        <v>5</v>
      </c>
      <c r="E738">
        <v>2022</v>
      </c>
      <c r="F738" s="1">
        <f t="shared" si="57"/>
        <v>44688</v>
      </c>
      <c r="G738" s="1" t="s">
        <v>592</v>
      </c>
      <c r="H738" s="2">
        <v>45214</v>
      </c>
      <c r="I738" t="s">
        <v>49</v>
      </c>
      <c r="J738">
        <v>4</v>
      </c>
      <c r="K738">
        <v>68954.740000000005</v>
      </c>
      <c r="L738" t="s">
        <v>400</v>
      </c>
      <c r="M738">
        <v>45</v>
      </c>
      <c r="N738" t="s">
        <v>21</v>
      </c>
      <c r="O738" s="3" t="s">
        <v>28</v>
      </c>
      <c r="P738" t="s">
        <v>29</v>
      </c>
      <c r="Q738" t="s">
        <v>24</v>
      </c>
      <c r="R738">
        <v>3</v>
      </c>
      <c r="S738" t="s">
        <v>102</v>
      </c>
      <c r="T738" s="4">
        <f t="shared" si="58"/>
        <v>275818.96000000002</v>
      </c>
      <c r="U738" s="4" t="str">
        <f t="shared" si="59"/>
        <v>Average</v>
      </c>
      <c r="V738" s="4" t="str">
        <f t="shared" si="60"/>
        <v>Excellent</v>
      </c>
      <c r="W738" s="4"/>
      <c r="X738" s="4"/>
      <c r="AJ738" s="4"/>
    </row>
    <row r="739" spans="1:36">
      <c r="A739" t="str">
        <f t="shared" si="56"/>
        <v>Yoge19738</v>
      </c>
      <c r="B739">
        <v>738</v>
      </c>
      <c r="C739">
        <v>7</v>
      </c>
      <c r="D739">
        <v>5</v>
      </c>
      <c r="E739">
        <v>2022</v>
      </c>
      <c r="F739" s="1">
        <f t="shared" si="57"/>
        <v>44688</v>
      </c>
      <c r="G739" s="1" t="s">
        <v>592</v>
      </c>
      <c r="H739" s="2">
        <v>45215</v>
      </c>
      <c r="I739" t="s">
        <v>49</v>
      </c>
      <c r="J739">
        <v>1</v>
      </c>
      <c r="K739">
        <v>41670.04</v>
      </c>
      <c r="L739" t="s">
        <v>115</v>
      </c>
      <c r="M739">
        <v>19</v>
      </c>
      <c r="N739" t="s">
        <v>36</v>
      </c>
      <c r="O739" s="3" t="s">
        <v>22</v>
      </c>
      <c r="P739" t="s">
        <v>40</v>
      </c>
      <c r="Q739" t="s">
        <v>30</v>
      </c>
      <c r="R739">
        <v>5</v>
      </c>
      <c r="S739" t="s">
        <v>102</v>
      </c>
      <c r="T739" s="4">
        <f t="shared" si="58"/>
        <v>41670.04</v>
      </c>
      <c r="U739" s="4" t="str">
        <f t="shared" si="59"/>
        <v>Good</v>
      </c>
      <c r="V739" s="4" t="str">
        <f t="shared" si="60"/>
        <v>Low</v>
      </c>
      <c r="W739" s="4"/>
      <c r="X739" s="4"/>
      <c r="AJ739" s="4"/>
    </row>
    <row r="740" spans="1:36">
      <c r="A740" t="str">
        <f t="shared" si="56"/>
        <v>Kavi37739</v>
      </c>
      <c r="B740">
        <v>739</v>
      </c>
      <c r="C740">
        <v>8</v>
      </c>
      <c r="D740">
        <v>5</v>
      </c>
      <c r="E740">
        <v>2022</v>
      </c>
      <c r="F740" s="1">
        <f t="shared" si="57"/>
        <v>44689</v>
      </c>
      <c r="G740" s="1" t="s">
        <v>592</v>
      </c>
      <c r="H740" s="2">
        <v>45216</v>
      </c>
      <c r="I740" t="s">
        <v>43</v>
      </c>
      <c r="J740">
        <v>7</v>
      </c>
      <c r="K740">
        <v>57275.86</v>
      </c>
      <c r="L740" t="s">
        <v>519</v>
      </c>
      <c r="M740">
        <v>37</v>
      </c>
      <c r="N740" t="s">
        <v>21</v>
      </c>
      <c r="O740" s="3" t="s">
        <v>22</v>
      </c>
      <c r="P740" t="s">
        <v>29</v>
      </c>
      <c r="Q740" t="s">
        <v>41</v>
      </c>
      <c r="R740">
        <v>5</v>
      </c>
      <c r="S740" t="s">
        <v>95</v>
      </c>
      <c r="T740" s="4">
        <f t="shared" si="58"/>
        <v>400931.02</v>
      </c>
      <c r="U740" s="4" t="str">
        <f t="shared" si="59"/>
        <v>Good</v>
      </c>
      <c r="V740" s="4" t="str">
        <f t="shared" si="60"/>
        <v>Excellent</v>
      </c>
      <c r="W740" s="4"/>
      <c r="X740" s="4"/>
      <c r="AJ740" s="4"/>
    </row>
    <row r="741" spans="1:36">
      <c r="A741" t="str">
        <f t="shared" si="56"/>
        <v>Pooj21740</v>
      </c>
      <c r="B741">
        <v>740</v>
      </c>
      <c r="C741">
        <v>8</v>
      </c>
      <c r="D741">
        <v>5</v>
      </c>
      <c r="E741">
        <v>2022</v>
      </c>
      <c r="F741" s="1">
        <f t="shared" si="57"/>
        <v>44689</v>
      </c>
      <c r="G741" s="1" t="s">
        <v>592</v>
      </c>
      <c r="H741" s="2">
        <v>45217</v>
      </c>
      <c r="I741" t="s">
        <v>19</v>
      </c>
      <c r="J741">
        <v>2</v>
      </c>
      <c r="K741">
        <v>60424.02</v>
      </c>
      <c r="L741" t="s">
        <v>108</v>
      </c>
      <c r="M741">
        <v>21</v>
      </c>
      <c r="N741" t="s">
        <v>36</v>
      </c>
      <c r="O741" s="3" t="s">
        <v>22</v>
      </c>
      <c r="P741" t="s">
        <v>29</v>
      </c>
      <c r="Q741" t="s">
        <v>30</v>
      </c>
      <c r="R741">
        <v>5</v>
      </c>
      <c r="S741" t="s">
        <v>25</v>
      </c>
      <c r="T741" s="4">
        <f t="shared" si="58"/>
        <v>120848.04</v>
      </c>
      <c r="U741" s="4" t="str">
        <f t="shared" si="59"/>
        <v>Good</v>
      </c>
      <c r="V741" s="4" t="str">
        <f t="shared" si="60"/>
        <v>Good</v>
      </c>
      <c r="W741" s="4"/>
      <c r="X741" s="4"/>
      <c r="AJ741" s="4"/>
    </row>
    <row r="742" spans="1:36">
      <c r="A742" t="str">
        <f t="shared" si="56"/>
        <v>Arun30741</v>
      </c>
      <c r="B742">
        <v>741</v>
      </c>
      <c r="C742">
        <v>8</v>
      </c>
      <c r="D742">
        <v>5</v>
      </c>
      <c r="E742">
        <v>2022</v>
      </c>
      <c r="F742" s="1">
        <f t="shared" si="57"/>
        <v>44689</v>
      </c>
      <c r="G742" s="1" t="s">
        <v>592</v>
      </c>
      <c r="H742" s="2">
        <v>45218</v>
      </c>
      <c r="I742" t="s">
        <v>49</v>
      </c>
      <c r="J742">
        <v>9</v>
      </c>
      <c r="K742">
        <v>48881.9</v>
      </c>
      <c r="L742" t="s">
        <v>492</v>
      </c>
      <c r="M742">
        <v>30</v>
      </c>
      <c r="N742" t="s">
        <v>36</v>
      </c>
      <c r="O742" s="3" t="s">
        <v>22</v>
      </c>
      <c r="P742" t="s">
        <v>114</v>
      </c>
      <c r="Q742" t="s">
        <v>24</v>
      </c>
      <c r="R742">
        <v>5</v>
      </c>
      <c r="S742" t="s">
        <v>102</v>
      </c>
      <c r="T742" s="4">
        <f t="shared" si="58"/>
        <v>439937.10000000003</v>
      </c>
      <c r="U742" s="4" t="str">
        <f t="shared" si="59"/>
        <v>Good</v>
      </c>
      <c r="V742" s="4" t="str">
        <f t="shared" si="60"/>
        <v>Excellent</v>
      </c>
      <c r="W742" s="4"/>
      <c r="X742" s="4"/>
      <c r="AJ742" s="4"/>
    </row>
    <row r="743" spans="1:36">
      <c r="A743" t="str">
        <f t="shared" si="56"/>
        <v>Adit41742</v>
      </c>
      <c r="B743">
        <v>742</v>
      </c>
      <c r="C743">
        <v>9</v>
      </c>
      <c r="D743">
        <v>5</v>
      </c>
      <c r="E743">
        <v>2022</v>
      </c>
      <c r="F743" s="1">
        <f t="shared" si="57"/>
        <v>44690</v>
      </c>
      <c r="G743" s="1" t="s">
        <v>592</v>
      </c>
      <c r="H743" s="2">
        <v>45219</v>
      </c>
      <c r="I743" t="s">
        <v>49</v>
      </c>
      <c r="J743">
        <v>3</v>
      </c>
      <c r="K743">
        <v>30324.99</v>
      </c>
      <c r="L743" t="s">
        <v>602</v>
      </c>
      <c r="M743">
        <v>41</v>
      </c>
      <c r="N743" t="s">
        <v>21</v>
      </c>
      <c r="O743" s="3" t="s">
        <v>22</v>
      </c>
      <c r="P743" t="s">
        <v>150</v>
      </c>
      <c r="Q743" t="s">
        <v>56</v>
      </c>
      <c r="R743">
        <v>5</v>
      </c>
      <c r="S743" t="s">
        <v>102</v>
      </c>
      <c r="T743" s="4">
        <f t="shared" si="58"/>
        <v>90974.97</v>
      </c>
      <c r="U743" s="4" t="str">
        <f t="shared" si="59"/>
        <v>Good</v>
      </c>
      <c r="V743" s="4" t="str">
        <f t="shared" si="60"/>
        <v>Average</v>
      </c>
      <c r="W743" s="4"/>
      <c r="X743" s="4"/>
      <c r="AJ743" s="4"/>
    </row>
    <row r="744" spans="1:36">
      <c r="A744" t="str">
        <f t="shared" si="56"/>
        <v>Navi55743</v>
      </c>
      <c r="B744">
        <v>743</v>
      </c>
      <c r="C744">
        <v>9</v>
      </c>
      <c r="D744">
        <v>5</v>
      </c>
      <c r="E744">
        <v>2022</v>
      </c>
      <c r="F744" s="1">
        <f t="shared" si="57"/>
        <v>44690</v>
      </c>
      <c r="G744" s="1" t="s">
        <v>592</v>
      </c>
      <c r="H744" s="2">
        <v>45220</v>
      </c>
      <c r="I744" t="s">
        <v>26</v>
      </c>
      <c r="J744">
        <v>8</v>
      </c>
      <c r="K744">
        <v>38198.71</v>
      </c>
      <c r="L744" t="s">
        <v>603</v>
      </c>
      <c r="M744">
        <v>55</v>
      </c>
      <c r="N744" t="s">
        <v>61</v>
      </c>
      <c r="O744" s="3" t="s">
        <v>22</v>
      </c>
      <c r="P744" t="s">
        <v>150</v>
      </c>
      <c r="Q744" t="s">
        <v>30</v>
      </c>
      <c r="R744">
        <v>4</v>
      </c>
      <c r="S744" t="s">
        <v>67</v>
      </c>
      <c r="T744" s="4">
        <f t="shared" si="58"/>
        <v>305589.68</v>
      </c>
      <c r="U744" s="4" t="str">
        <f t="shared" si="59"/>
        <v>Good</v>
      </c>
      <c r="V744" s="4" t="str">
        <f t="shared" si="60"/>
        <v>Excellent</v>
      </c>
      <c r="W744" s="4"/>
      <c r="X744" s="4"/>
      <c r="AJ744" s="4"/>
    </row>
    <row r="745" spans="1:36">
      <c r="A745" t="str">
        <f t="shared" si="56"/>
        <v>Kuna57744</v>
      </c>
      <c r="B745">
        <v>744</v>
      </c>
      <c r="C745">
        <v>9</v>
      </c>
      <c r="D745">
        <v>5</v>
      </c>
      <c r="E745">
        <v>2022</v>
      </c>
      <c r="F745" s="1">
        <f t="shared" si="57"/>
        <v>44690</v>
      </c>
      <c r="G745" s="1" t="s">
        <v>592</v>
      </c>
      <c r="H745" s="2">
        <v>45221</v>
      </c>
      <c r="I745" t="s">
        <v>19</v>
      </c>
      <c r="J745">
        <v>8</v>
      </c>
      <c r="K745">
        <v>61475.02</v>
      </c>
      <c r="L745" t="s">
        <v>604</v>
      </c>
      <c r="M745">
        <v>57</v>
      </c>
      <c r="N745" t="s">
        <v>61</v>
      </c>
      <c r="O745" s="3" t="s">
        <v>22</v>
      </c>
      <c r="P745" t="s">
        <v>29</v>
      </c>
      <c r="Q745" t="s">
        <v>24</v>
      </c>
      <c r="R745">
        <v>5</v>
      </c>
      <c r="S745" t="s">
        <v>84</v>
      </c>
      <c r="T745" s="4">
        <f t="shared" si="58"/>
        <v>491800.16</v>
      </c>
      <c r="U745" s="4" t="str">
        <f t="shared" si="59"/>
        <v>Good</v>
      </c>
      <c r="V745" s="4" t="str">
        <f t="shared" si="60"/>
        <v>Excellent</v>
      </c>
      <c r="W745" s="4"/>
      <c r="X745" s="4"/>
      <c r="AJ745" s="4"/>
    </row>
    <row r="746" spans="1:36">
      <c r="A746" t="str">
        <f t="shared" si="56"/>
        <v>Pank46745</v>
      </c>
      <c r="B746">
        <v>745</v>
      </c>
      <c r="C746">
        <v>10</v>
      </c>
      <c r="D746">
        <v>5</v>
      </c>
      <c r="E746">
        <v>2022</v>
      </c>
      <c r="F746" s="1">
        <f t="shared" si="57"/>
        <v>44691</v>
      </c>
      <c r="G746" s="1" t="s">
        <v>592</v>
      </c>
      <c r="H746" s="2">
        <v>45222</v>
      </c>
      <c r="I746" t="s">
        <v>26</v>
      </c>
      <c r="J746">
        <v>3</v>
      </c>
      <c r="K746">
        <v>27912.880000000001</v>
      </c>
      <c r="L746" t="s">
        <v>605</v>
      </c>
      <c r="M746">
        <v>46</v>
      </c>
      <c r="N746" t="s">
        <v>61</v>
      </c>
      <c r="O746" s="3" t="s">
        <v>22</v>
      </c>
      <c r="P746" t="s">
        <v>33</v>
      </c>
      <c r="Q746" t="s">
        <v>56</v>
      </c>
      <c r="R746">
        <v>5</v>
      </c>
      <c r="S746" t="s">
        <v>31</v>
      </c>
      <c r="T746" s="4">
        <f t="shared" si="58"/>
        <v>83738.64</v>
      </c>
      <c r="U746" s="4" t="str">
        <f t="shared" si="59"/>
        <v>Good</v>
      </c>
      <c r="V746" s="4" t="str">
        <f t="shared" si="60"/>
        <v>Average</v>
      </c>
      <c r="W746" s="4"/>
      <c r="X746" s="4"/>
      <c r="AJ746" s="4"/>
    </row>
    <row r="747" spans="1:36">
      <c r="A747" t="str">
        <f t="shared" si="56"/>
        <v>Kris53746</v>
      </c>
      <c r="B747">
        <v>746</v>
      </c>
      <c r="C747">
        <v>10</v>
      </c>
      <c r="D747">
        <v>5</v>
      </c>
      <c r="E747">
        <v>2022</v>
      </c>
      <c r="F747" s="1">
        <f t="shared" si="57"/>
        <v>44691</v>
      </c>
      <c r="G747" s="1" t="s">
        <v>592</v>
      </c>
      <c r="H747" s="2">
        <v>45223</v>
      </c>
      <c r="I747" t="s">
        <v>19</v>
      </c>
      <c r="J747">
        <v>4</v>
      </c>
      <c r="K747">
        <v>65424.59</v>
      </c>
      <c r="L747" t="s">
        <v>606</v>
      </c>
      <c r="M747">
        <v>53</v>
      </c>
      <c r="N747" t="s">
        <v>61</v>
      </c>
      <c r="O747" s="3" t="s">
        <v>28</v>
      </c>
      <c r="P747" t="s">
        <v>29</v>
      </c>
      <c r="Q747" t="s">
        <v>41</v>
      </c>
      <c r="R747">
        <v>3</v>
      </c>
      <c r="S747" t="s">
        <v>25</v>
      </c>
      <c r="T747" s="4">
        <f t="shared" si="58"/>
        <v>261698.36</v>
      </c>
      <c r="U747" s="4" t="str">
        <f t="shared" si="59"/>
        <v>Average</v>
      </c>
      <c r="V747" s="4" t="str">
        <f t="shared" si="60"/>
        <v>Excellent</v>
      </c>
      <c r="W747" s="4"/>
      <c r="X747" s="4"/>
      <c r="AJ747" s="4"/>
    </row>
    <row r="748" spans="1:36">
      <c r="A748" t="str">
        <f t="shared" si="56"/>
        <v>Mala19747</v>
      </c>
      <c r="B748">
        <v>747</v>
      </c>
      <c r="C748">
        <v>10</v>
      </c>
      <c r="D748">
        <v>5</v>
      </c>
      <c r="E748">
        <v>2022</v>
      </c>
      <c r="F748" s="1">
        <f t="shared" si="57"/>
        <v>44691</v>
      </c>
      <c r="G748" s="1" t="s">
        <v>592</v>
      </c>
      <c r="H748" s="2">
        <v>45224</v>
      </c>
      <c r="I748" t="s">
        <v>26</v>
      </c>
      <c r="J748">
        <v>2</v>
      </c>
      <c r="K748">
        <v>23788.38</v>
      </c>
      <c r="L748" t="s">
        <v>607</v>
      </c>
      <c r="M748">
        <v>19</v>
      </c>
      <c r="N748" t="s">
        <v>36</v>
      </c>
      <c r="O748" s="3" t="s">
        <v>22</v>
      </c>
      <c r="P748" t="s">
        <v>29</v>
      </c>
      <c r="Q748" t="s">
        <v>30</v>
      </c>
      <c r="R748">
        <v>5</v>
      </c>
      <c r="S748" t="s">
        <v>67</v>
      </c>
      <c r="T748" s="4">
        <f t="shared" si="58"/>
        <v>47576.76</v>
      </c>
      <c r="U748" s="4" t="str">
        <f t="shared" si="59"/>
        <v>Good</v>
      </c>
      <c r="V748" s="4" t="str">
        <f t="shared" si="60"/>
        <v>Low</v>
      </c>
      <c r="W748" s="4"/>
      <c r="X748" s="4"/>
      <c r="AJ748" s="4"/>
    </row>
    <row r="749" spans="1:36">
      <c r="A749" t="str">
        <f t="shared" si="56"/>
        <v>Navi58748</v>
      </c>
      <c r="B749">
        <v>748</v>
      </c>
      <c r="C749">
        <v>11</v>
      </c>
      <c r="D749">
        <v>5</v>
      </c>
      <c r="E749">
        <v>2022</v>
      </c>
      <c r="F749" s="1">
        <f t="shared" si="57"/>
        <v>44692</v>
      </c>
      <c r="G749" s="1" t="s">
        <v>592</v>
      </c>
      <c r="H749" s="2">
        <v>45225</v>
      </c>
      <c r="I749" t="s">
        <v>49</v>
      </c>
      <c r="J749">
        <v>4</v>
      </c>
      <c r="K749">
        <v>54970.98</v>
      </c>
      <c r="L749" t="s">
        <v>608</v>
      </c>
      <c r="M749">
        <v>58</v>
      </c>
      <c r="N749" t="s">
        <v>61</v>
      </c>
      <c r="O749" s="3" t="s">
        <v>22</v>
      </c>
      <c r="P749" t="s">
        <v>29</v>
      </c>
      <c r="Q749" t="s">
        <v>41</v>
      </c>
      <c r="R749">
        <v>4</v>
      </c>
      <c r="S749" t="s">
        <v>88</v>
      </c>
      <c r="T749" s="4">
        <f t="shared" si="58"/>
        <v>219883.92</v>
      </c>
      <c r="U749" s="4" t="str">
        <f t="shared" si="59"/>
        <v>Good</v>
      </c>
      <c r="V749" s="4" t="str">
        <f t="shared" si="60"/>
        <v>Excellent</v>
      </c>
      <c r="W749" s="4"/>
      <c r="X749" s="4"/>
      <c r="AJ749" s="4"/>
    </row>
    <row r="750" spans="1:36">
      <c r="A750" t="str">
        <f t="shared" si="56"/>
        <v>Neet35749</v>
      </c>
      <c r="B750">
        <v>749</v>
      </c>
      <c r="C750">
        <v>11</v>
      </c>
      <c r="D750">
        <v>5</v>
      </c>
      <c r="E750">
        <v>2022</v>
      </c>
      <c r="F750" s="1">
        <f t="shared" si="57"/>
        <v>44692</v>
      </c>
      <c r="G750" s="1" t="s">
        <v>592</v>
      </c>
      <c r="H750" s="2">
        <v>45226</v>
      </c>
      <c r="I750" t="s">
        <v>49</v>
      </c>
      <c r="J750">
        <v>9</v>
      </c>
      <c r="K750">
        <v>47833.55</v>
      </c>
      <c r="L750" t="s">
        <v>252</v>
      </c>
      <c r="M750">
        <v>35</v>
      </c>
      <c r="N750" t="s">
        <v>21</v>
      </c>
      <c r="O750" s="3" t="s">
        <v>22</v>
      </c>
      <c r="P750" t="s">
        <v>33</v>
      </c>
      <c r="Q750" t="s">
        <v>41</v>
      </c>
      <c r="R750">
        <v>4</v>
      </c>
      <c r="S750" t="s">
        <v>102</v>
      </c>
      <c r="T750" s="4">
        <f t="shared" si="58"/>
        <v>430501.95</v>
      </c>
      <c r="U750" s="4" t="str">
        <f t="shared" si="59"/>
        <v>Good</v>
      </c>
      <c r="V750" s="4" t="str">
        <f t="shared" si="60"/>
        <v>Excellent</v>
      </c>
      <c r="W750" s="4"/>
      <c r="X750" s="4"/>
      <c r="AJ750" s="4"/>
    </row>
    <row r="751" spans="1:36">
      <c r="A751" t="str">
        <f t="shared" si="56"/>
        <v>Mano25750</v>
      </c>
      <c r="B751">
        <v>750</v>
      </c>
      <c r="C751">
        <v>11</v>
      </c>
      <c r="D751">
        <v>5</v>
      </c>
      <c r="E751">
        <v>2022</v>
      </c>
      <c r="F751" s="1">
        <f t="shared" si="57"/>
        <v>44692</v>
      </c>
      <c r="G751" s="1" t="s">
        <v>592</v>
      </c>
      <c r="H751" s="2">
        <v>45227</v>
      </c>
      <c r="I751" t="s">
        <v>43</v>
      </c>
      <c r="J751">
        <v>2</v>
      </c>
      <c r="K751">
        <v>54975.97</v>
      </c>
      <c r="L751" t="s">
        <v>609</v>
      </c>
      <c r="M751">
        <v>25</v>
      </c>
      <c r="N751" t="s">
        <v>36</v>
      </c>
      <c r="O751" s="3" t="s">
        <v>22</v>
      </c>
      <c r="P751" t="s">
        <v>29</v>
      </c>
      <c r="Q751" t="s">
        <v>24</v>
      </c>
      <c r="R751">
        <v>5</v>
      </c>
      <c r="S751" t="s">
        <v>95</v>
      </c>
      <c r="T751" s="4">
        <f t="shared" si="58"/>
        <v>109951.94</v>
      </c>
      <c r="U751" s="4" t="str">
        <f t="shared" si="59"/>
        <v>Good</v>
      </c>
      <c r="V751" s="4" t="str">
        <f t="shared" si="60"/>
        <v>Good</v>
      </c>
      <c r="W751" s="4"/>
      <c r="X751" s="4"/>
      <c r="AJ751" s="4"/>
    </row>
    <row r="752" spans="1:36">
      <c r="A752" t="str">
        <f t="shared" si="56"/>
        <v>Ravi32751</v>
      </c>
      <c r="B752">
        <v>751</v>
      </c>
      <c r="C752">
        <v>12</v>
      </c>
      <c r="D752">
        <v>5</v>
      </c>
      <c r="E752">
        <v>2022</v>
      </c>
      <c r="F752" s="1">
        <f t="shared" si="57"/>
        <v>44693</v>
      </c>
      <c r="G752" s="1" t="s">
        <v>592</v>
      </c>
      <c r="H752" s="2">
        <v>45228</v>
      </c>
      <c r="I752" t="s">
        <v>26</v>
      </c>
      <c r="J752">
        <v>3</v>
      </c>
      <c r="K752">
        <v>36240.85</v>
      </c>
      <c r="L752" t="s">
        <v>191</v>
      </c>
      <c r="M752">
        <v>32</v>
      </c>
      <c r="N752" t="s">
        <v>21</v>
      </c>
      <c r="O752" s="3" t="s">
        <v>22</v>
      </c>
      <c r="P752" t="s">
        <v>33</v>
      </c>
      <c r="Q752" t="s">
        <v>24</v>
      </c>
      <c r="R752">
        <v>5</v>
      </c>
      <c r="S752" t="s">
        <v>34</v>
      </c>
      <c r="T752" s="4">
        <f t="shared" si="58"/>
        <v>108722.54999999999</v>
      </c>
      <c r="U752" s="4" t="str">
        <f t="shared" si="59"/>
        <v>Good</v>
      </c>
      <c r="V752" s="4" t="str">
        <f t="shared" si="60"/>
        <v>Good</v>
      </c>
      <c r="W752" s="4"/>
      <c r="X752" s="4"/>
      <c r="AJ752" s="4"/>
    </row>
    <row r="753" spans="1:36">
      <c r="A753" t="str">
        <f t="shared" si="56"/>
        <v>Kira58752</v>
      </c>
      <c r="B753">
        <v>752</v>
      </c>
      <c r="C753">
        <v>12</v>
      </c>
      <c r="D753">
        <v>5</v>
      </c>
      <c r="E753">
        <v>2022</v>
      </c>
      <c r="F753" s="1">
        <f t="shared" si="57"/>
        <v>44693</v>
      </c>
      <c r="G753" s="1" t="s">
        <v>592</v>
      </c>
      <c r="H753" s="2">
        <v>45229</v>
      </c>
      <c r="I753" t="s">
        <v>38</v>
      </c>
      <c r="J753">
        <v>4</v>
      </c>
      <c r="K753">
        <v>65958.460000000006</v>
      </c>
      <c r="L753" t="s">
        <v>610</v>
      </c>
      <c r="M753">
        <v>58</v>
      </c>
      <c r="N753" t="s">
        <v>61</v>
      </c>
      <c r="O753" s="3" t="s">
        <v>22</v>
      </c>
      <c r="P753" t="s">
        <v>93</v>
      </c>
      <c r="Q753" t="s">
        <v>56</v>
      </c>
      <c r="R753">
        <v>5</v>
      </c>
      <c r="S753" t="s">
        <v>99</v>
      </c>
      <c r="T753" s="4">
        <f t="shared" si="58"/>
        <v>263833.84000000003</v>
      </c>
      <c r="U753" s="4" t="str">
        <f t="shared" si="59"/>
        <v>Good</v>
      </c>
      <c r="V753" s="4" t="str">
        <f t="shared" si="60"/>
        <v>Excellent</v>
      </c>
      <c r="W753" s="4"/>
      <c r="X753" s="4"/>
      <c r="AJ753" s="4"/>
    </row>
    <row r="754" spans="1:36">
      <c r="A754" t="str">
        <f t="shared" si="56"/>
        <v>Mala34753</v>
      </c>
      <c r="B754">
        <v>753</v>
      </c>
      <c r="C754">
        <v>12</v>
      </c>
      <c r="D754">
        <v>5</v>
      </c>
      <c r="E754">
        <v>2022</v>
      </c>
      <c r="F754" s="1">
        <f t="shared" si="57"/>
        <v>44693</v>
      </c>
      <c r="G754" s="1" t="s">
        <v>592</v>
      </c>
      <c r="H754" s="2">
        <v>45230</v>
      </c>
      <c r="I754" t="s">
        <v>43</v>
      </c>
      <c r="J754">
        <v>5</v>
      </c>
      <c r="K754">
        <v>47948.33</v>
      </c>
      <c r="L754" t="s">
        <v>372</v>
      </c>
      <c r="M754">
        <v>34</v>
      </c>
      <c r="N754" t="s">
        <v>21</v>
      </c>
      <c r="O754" s="3" t="s">
        <v>22</v>
      </c>
      <c r="P754" t="s">
        <v>51</v>
      </c>
      <c r="Q754" t="s">
        <v>41</v>
      </c>
      <c r="R754">
        <v>4</v>
      </c>
      <c r="S754" t="s">
        <v>57</v>
      </c>
      <c r="T754" s="4">
        <f t="shared" si="58"/>
        <v>239741.65000000002</v>
      </c>
      <c r="U754" s="4" t="str">
        <f t="shared" si="59"/>
        <v>Good</v>
      </c>
      <c r="V754" s="4" t="str">
        <f t="shared" si="60"/>
        <v>Excellent</v>
      </c>
      <c r="W754" s="4"/>
      <c r="X754" s="4"/>
      <c r="AJ754" s="4"/>
    </row>
    <row r="755" spans="1:36">
      <c r="A755" t="str">
        <f t="shared" si="56"/>
        <v>Jyot40754</v>
      </c>
      <c r="B755">
        <v>754</v>
      </c>
      <c r="C755">
        <v>13</v>
      </c>
      <c r="D755">
        <v>5</v>
      </c>
      <c r="E755">
        <v>2022</v>
      </c>
      <c r="F755" s="1">
        <f t="shared" si="57"/>
        <v>44694</v>
      </c>
      <c r="G755" s="1" t="s">
        <v>592</v>
      </c>
      <c r="H755" s="2">
        <v>45231</v>
      </c>
      <c r="I755" t="s">
        <v>26</v>
      </c>
      <c r="J755">
        <v>1</v>
      </c>
      <c r="K755">
        <v>27297.75</v>
      </c>
      <c r="L755" t="s">
        <v>611</v>
      </c>
      <c r="M755">
        <v>40</v>
      </c>
      <c r="N755" t="s">
        <v>21</v>
      </c>
      <c r="O755" s="3" t="s">
        <v>22</v>
      </c>
      <c r="P755" t="s">
        <v>29</v>
      </c>
      <c r="Q755" t="s">
        <v>24</v>
      </c>
      <c r="R755">
        <v>4</v>
      </c>
      <c r="S755" t="s">
        <v>67</v>
      </c>
      <c r="T755" s="4">
        <f t="shared" si="58"/>
        <v>27297.75</v>
      </c>
      <c r="U755" s="4" t="str">
        <f t="shared" si="59"/>
        <v>Good</v>
      </c>
      <c r="V755" s="4" t="str">
        <f t="shared" si="60"/>
        <v>Low</v>
      </c>
      <c r="W755" s="4"/>
      <c r="X755" s="4"/>
      <c r="AJ755" s="4"/>
    </row>
    <row r="756" spans="1:36">
      <c r="A756" t="str">
        <f t="shared" si="56"/>
        <v>Umes19755</v>
      </c>
      <c r="B756">
        <v>755</v>
      </c>
      <c r="C756">
        <v>13</v>
      </c>
      <c r="D756">
        <v>5</v>
      </c>
      <c r="E756">
        <v>2022</v>
      </c>
      <c r="F756" s="1">
        <f t="shared" si="57"/>
        <v>44694</v>
      </c>
      <c r="G756" s="1" t="s">
        <v>592</v>
      </c>
      <c r="H756" s="2">
        <v>45232</v>
      </c>
      <c r="I756" t="s">
        <v>26</v>
      </c>
      <c r="J756">
        <v>7</v>
      </c>
      <c r="K756">
        <v>48307.3</v>
      </c>
      <c r="L756" t="s">
        <v>612</v>
      </c>
      <c r="M756">
        <v>19</v>
      </c>
      <c r="N756" t="s">
        <v>36</v>
      </c>
      <c r="O756" s="3" t="s">
        <v>28</v>
      </c>
      <c r="P756" t="s">
        <v>33</v>
      </c>
      <c r="Q756" t="s">
        <v>24</v>
      </c>
      <c r="R756">
        <v>3</v>
      </c>
      <c r="S756" t="s">
        <v>34</v>
      </c>
      <c r="T756" s="4">
        <f t="shared" si="58"/>
        <v>338151.10000000003</v>
      </c>
      <c r="U756" s="4" t="str">
        <f t="shared" si="59"/>
        <v>Average</v>
      </c>
      <c r="V756" s="4" t="str">
        <f t="shared" si="60"/>
        <v>Excellent</v>
      </c>
      <c r="W756" s="4"/>
      <c r="X756" s="4"/>
      <c r="AJ756" s="4"/>
    </row>
    <row r="757" spans="1:36">
      <c r="A757" t="str">
        <f t="shared" si="56"/>
        <v>Nikh23756</v>
      </c>
      <c r="B757">
        <v>756</v>
      </c>
      <c r="C757">
        <v>13</v>
      </c>
      <c r="D757">
        <v>5</v>
      </c>
      <c r="E757">
        <v>2022</v>
      </c>
      <c r="F757" s="1">
        <f t="shared" si="57"/>
        <v>44694</v>
      </c>
      <c r="G757" s="1" t="s">
        <v>592</v>
      </c>
      <c r="H757" s="2">
        <v>45233</v>
      </c>
      <c r="I757" t="s">
        <v>43</v>
      </c>
      <c r="J757">
        <v>7</v>
      </c>
      <c r="K757">
        <v>27208.94</v>
      </c>
      <c r="L757" t="s">
        <v>613</v>
      </c>
      <c r="M757">
        <v>23</v>
      </c>
      <c r="N757" t="s">
        <v>36</v>
      </c>
      <c r="O757" s="3" t="s">
        <v>28</v>
      </c>
      <c r="P757" t="s">
        <v>110</v>
      </c>
      <c r="Q757" t="s">
        <v>41</v>
      </c>
      <c r="R757">
        <v>3</v>
      </c>
      <c r="S757" t="s">
        <v>95</v>
      </c>
      <c r="T757" s="4">
        <f t="shared" si="58"/>
        <v>190462.58</v>
      </c>
      <c r="U757" s="4" t="str">
        <f t="shared" si="59"/>
        <v>Average</v>
      </c>
      <c r="V757" s="4" t="str">
        <f t="shared" si="60"/>
        <v>Good</v>
      </c>
      <c r="W757" s="4"/>
      <c r="X757" s="4"/>
      <c r="AJ757" s="4"/>
    </row>
    <row r="758" spans="1:36">
      <c r="A758" t="str">
        <f t="shared" si="56"/>
        <v>Nami46757</v>
      </c>
      <c r="B758">
        <v>757</v>
      </c>
      <c r="C758">
        <v>13</v>
      </c>
      <c r="D758">
        <v>5</v>
      </c>
      <c r="E758">
        <v>2022</v>
      </c>
      <c r="F758" s="1">
        <f t="shared" si="57"/>
        <v>44694</v>
      </c>
      <c r="G758" s="1" t="s">
        <v>592</v>
      </c>
      <c r="H758" s="2">
        <v>45234</v>
      </c>
      <c r="I758" t="s">
        <v>49</v>
      </c>
      <c r="J758">
        <v>9</v>
      </c>
      <c r="K758">
        <v>27617.94</v>
      </c>
      <c r="L758" t="s">
        <v>614</v>
      </c>
      <c r="M758">
        <v>46</v>
      </c>
      <c r="N758" t="s">
        <v>61</v>
      </c>
      <c r="O758" s="3" t="s">
        <v>22</v>
      </c>
      <c r="P758" t="s">
        <v>90</v>
      </c>
      <c r="Q758" t="s">
        <v>56</v>
      </c>
      <c r="R758">
        <v>4</v>
      </c>
      <c r="S758" t="s">
        <v>52</v>
      </c>
      <c r="T758" s="4">
        <f t="shared" si="58"/>
        <v>248561.46</v>
      </c>
      <c r="U758" s="4" t="str">
        <f t="shared" si="59"/>
        <v>Good</v>
      </c>
      <c r="V758" s="4" t="str">
        <f t="shared" si="60"/>
        <v>Excellent</v>
      </c>
      <c r="W758" s="4"/>
      <c r="X758" s="4"/>
      <c r="AJ758" s="4"/>
    </row>
    <row r="759" spans="1:36">
      <c r="A759" t="str">
        <f t="shared" si="56"/>
        <v>Isha44758</v>
      </c>
      <c r="B759">
        <v>758</v>
      </c>
      <c r="C759">
        <v>14</v>
      </c>
      <c r="D759">
        <v>5</v>
      </c>
      <c r="E759">
        <v>2022</v>
      </c>
      <c r="F759" s="1">
        <f t="shared" si="57"/>
        <v>44695</v>
      </c>
      <c r="G759" s="1" t="s">
        <v>592</v>
      </c>
      <c r="H759" s="2">
        <v>45235</v>
      </c>
      <c r="I759" t="s">
        <v>26</v>
      </c>
      <c r="J759">
        <v>4</v>
      </c>
      <c r="K759">
        <v>33975.910000000003</v>
      </c>
      <c r="L759" t="s">
        <v>325</v>
      </c>
      <c r="M759">
        <v>44</v>
      </c>
      <c r="N759" t="s">
        <v>21</v>
      </c>
      <c r="O759" s="3" t="s">
        <v>28</v>
      </c>
      <c r="P759" t="s">
        <v>59</v>
      </c>
      <c r="Q759" t="s">
        <v>41</v>
      </c>
      <c r="R759">
        <v>3</v>
      </c>
      <c r="S759" t="s">
        <v>34</v>
      </c>
      <c r="T759" s="4">
        <f t="shared" si="58"/>
        <v>135903.64000000001</v>
      </c>
      <c r="U759" s="4" t="str">
        <f t="shared" si="59"/>
        <v>Average</v>
      </c>
      <c r="V759" s="4" t="str">
        <f t="shared" si="60"/>
        <v>Good</v>
      </c>
      <c r="W759" s="4"/>
      <c r="X759" s="4"/>
      <c r="AJ759" s="4"/>
    </row>
    <row r="760" spans="1:36">
      <c r="A760" t="str">
        <f t="shared" si="56"/>
        <v>Vino54759</v>
      </c>
      <c r="B760">
        <v>759</v>
      </c>
      <c r="C760">
        <v>14</v>
      </c>
      <c r="D760">
        <v>5</v>
      </c>
      <c r="E760">
        <v>2022</v>
      </c>
      <c r="F760" s="1">
        <f t="shared" si="57"/>
        <v>44695</v>
      </c>
      <c r="G760" s="1" t="s">
        <v>592</v>
      </c>
      <c r="H760" s="2">
        <v>45236</v>
      </c>
      <c r="I760" t="s">
        <v>49</v>
      </c>
      <c r="J760">
        <v>6</v>
      </c>
      <c r="K760">
        <v>61145.83</v>
      </c>
      <c r="L760" t="s">
        <v>539</v>
      </c>
      <c r="M760">
        <v>54</v>
      </c>
      <c r="N760" t="s">
        <v>61</v>
      </c>
      <c r="O760" s="3" t="s">
        <v>28</v>
      </c>
      <c r="P760" t="s">
        <v>51</v>
      </c>
      <c r="Q760" t="s">
        <v>56</v>
      </c>
      <c r="R760">
        <v>3</v>
      </c>
      <c r="S760" t="s">
        <v>88</v>
      </c>
      <c r="T760" s="4">
        <f t="shared" si="58"/>
        <v>366874.98</v>
      </c>
      <c r="U760" s="4" t="str">
        <f t="shared" si="59"/>
        <v>Average</v>
      </c>
      <c r="V760" s="4" t="str">
        <f t="shared" si="60"/>
        <v>Excellent</v>
      </c>
      <c r="W760" s="4"/>
      <c r="X760" s="4"/>
      <c r="AJ760" s="4"/>
    </row>
    <row r="761" spans="1:36">
      <c r="A761" t="str">
        <f t="shared" si="56"/>
        <v>Meen51760</v>
      </c>
      <c r="B761">
        <v>760</v>
      </c>
      <c r="C761">
        <v>14</v>
      </c>
      <c r="D761">
        <v>5</v>
      </c>
      <c r="E761">
        <v>2022</v>
      </c>
      <c r="F761" s="1">
        <f t="shared" si="57"/>
        <v>44695</v>
      </c>
      <c r="G761" s="1" t="s">
        <v>592</v>
      </c>
      <c r="H761" s="2">
        <v>45237</v>
      </c>
      <c r="I761" t="s">
        <v>43</v>
      </c>
      <c r="J761">
        <v>2</v>
      </c>
      <c r="K761">
        <v>40017.870000000003</v>
      </c>
      <c r="L761" t="s">
        <v>87</v>
      </c>
      <c r="M761">
        <v>51</v>
      </c>
      <c r="N761" t="s">
        <v>61</v>
      </c>
      <c r="O761" s="3" t="s">
        <v>28</v>
      </c>
      <c r="P761" t="s">
        <v>33</v>
      </c>
      <c r="Q761" t="s">
        <v>56</v>
      </c>
      <c r="R761">
        <v>3</v>
      </c>
      <c r="S761" t="s">
        <v>95</v>
      </c>
      <c r="T761" s="4">
        <f t="shared" si="58"/>
        <v>80035.740000000005</v>
      </c>
      <c r="U761" s="4" t="str">
        <f t="shared" si="59"/>
        <v>Average</v>
      </c>
      <c r="V761" s="4" t="str">
        <f t="shared" si="60"/>
        <v>Average</v>
      </c>
      <c r="W761" s="4"/>
      <c r="X761" s="4"/>
      <c r="AJ761" s="4"/>
    </row>
    <row r="762" spans="1:36">
      <c r="A762" t="str">
        <f t="shared" si="56"/>
        <v>Suni35761</v>
      </c>
      <c r="B762">
        <v>761</v>
      </c>
      <c r="C762">
        <v>15</v>
      </c>
      <c r="D762">
        <v>5</v>
      </c>
      <c r="E762">
        <v>2022</v>
      </c>
      <c r="F762" s="1">
        <f t="shared" si="57"/>
        <v>44696</v>
      </c>
      <c r="G762" s="1" t="s">
        <v>592</v>
      </c>
      <c r="H762" s="2">
        <v>45238</v>
      </c>
      <c r="I762" t="s">
        <v>49</v>
      </c>
      <c r="J762">
        <v>4</v>
      </c>
      <c r="K762">
        <v>50734.05</v>
      </c>
      <c r="L762" t="s">
        <v>615</v>
      </c>
      <c r="M762">
        <v>35</v>
      </c>
      <c r="N762" t="s">
        <v>21</v>
      </c>
      <c r="O762" s="3" t="s">
        <v>22</v>
      </c>
      <c r="P762" t="s">
        <v>59</v>
      </c>
      <c r="Q762" t="s">
        <v>24</v>
      </c>
      <c r="R762">
        <v>4</v>
      </c>
      <c r="S762" t="s">
        <v>88</v>
      </c>
      <c r="T762" s="4">
        <f t="shared" si="58"/>
        <v>202936.2</v>
      </c>
      <c r="U762" s="4" t="str">
        <f t="shared" si="59"/>
        <v>Good</v>
      </c>
      <c r="V762" s="4" t="str">
        <f t="shared" si="60"/>
        <v>Excellent</v>
      </c>
      <c r="W762" s="4"/>
      <c r="X762" s="4"/>
      <c r="AJ762" s="4"/>
    </row>
    <row r="763" spans="1:36">
      <c r="A763" t="str">
        <f t="shared" si="56"/>
        <v>Roha59762</v>
      </c>
      <c r="B763">
        <v>762</v>
      </c>
      <c r="C763">
        <v>15</v>
      </c>
      <c r="D763">
        <v>5</v>
      </c>
      <c r="E763">
        <v>2022</v>
      </c>
      <c r="F763" s="1">
        <f t="shared" si="57"/>
        <v>44696</v>
      </c>
      <c r="G763" s="1" t="s">
        <v>592</v>
      </c>
      <c r="H763" s="2">
        <v>45239</v>
      </c>
      <c r="I763" t="s">
        <v>19</v>
      </c>
      <c r="J763">
        <v>2</v>
      </c>
      <c r="K763">
        <v>33518.06</v>
      </c>
      <c r="L763" t="s">
        <v>516</v>
      </c>
      <c r="M763">
        <v>59</v>
      </c>
      <c r="N763" t="s">
        <v>61</v>
      </c>
      <c r="O763" s="3" t="s">
        <v>22</v>
      </c>
      <c r="P763" t="s">
        <v>29</v>
      </c>
      <c r="Q763" t="s">
        <v>41</v>
      </c>
      <c r="R763">
        <v>5</v>
      </c>
      <c r="S763" t="s">
        <v>37</v>
      </c>
      <c r="T763" s="4">
        <f t="shared" si="58"/>
        <v>67036.12</v>
      </c>
      <c r="U763" s="4" t="str">
        <f t="shared" si="59"/>
        <v>Good</v>
      </c>
      <c r="V763" s="4" t="str">
        <f t="shared" si="60"/>
        <v>Average</v>
      </c>
      <c r="W763" s="4"/>
      <c r="X763" s="4"/>
      <c r="AJ763" s="4"/>
    </row>
    <row r="764" spans="1:36">
      <c r="A764" t="str">
        <f t="shared" si="56"/>
        <v>Anan27763</v>
      </c>
      <c r="B764">
        <v>763</v>
      </c>
      <c r="C764">
        <v>15</v>
      </c>
      <c r="D764">
        <v>5</v>
      </c>
      <c r="E764">
        <v>2022</v>
      </c>
      <c r="F764" s="1">
        <f t="shared" si="57"/>
        <v>44696</v>
      </c>
      <c r="G764" s="1" t="s">
        <v>592</v>
      </c>
      <c r="H764" s="2">
        <v>45240</v>
      </c>
      <c r="I764" t="s">
        <v>38</v>
      </c>
      <c r="J764">
        <v>5</v>
      </c>
      <c r="K764">
        <v>25816.33</v>
      </c>
      <c r="L764" t="s">
        <v>196</v>
      </c>
      <c r="M764">
        <v>27</v>
      </c>
      <c r="N764" t="s">
        <v>36</v>
      </c>
      <c r="O764" s="3" t="s">
        <v>22</v>
      </c>
      <c r="P764" t="s">
        <v>51</v>
      </c>
      <c r="Q764" t="s">
        <v>41</v>
      </c>
      <c r="R764">
        <v>5</v>
      </c>
      <c r="S764" t="s">
        <v>99</v>
      </c>
      <c r="T764" s="4">
        <f t="shared" si="58"/>
        <v>129081.65000000001</v>
      </c>
      <c r="U764" s="4" t="str">
        <f t="shared" si="59"/>
        <v>Good</v>
      </c>
      <c r="V764" s="4" t="str">
        <f t="shared" si="60"/>
        <v>Good</v>
      </c>
      <c r="W764" s="4"/>
      <c r="X764" s="4"/>
      <c r="AJ764" s="4"/>
    </row>
    <row r="765" spans="1:36">
      <c r="A765" t="str">
        <f t="shared" si="56"/>
        <v>Mala55764</v>
      </c>
      <c r="B765">
        <v>764</v>
      </c>
      <c r="C765">
        <v>15</v>
      </c>
      <c r="D765">
        <v>5</v>
      </c>
      <c r="E765">
        <v>2022</v>
      </c>
      <c r="F765" s="1">
        <f t="shared" si="57"/>
        <v>44696</v>
      </c>
      <c r="G765" s="1" t="s">
        <v>592</v>
      </c>
      <c r="H765" s="2">
        <v>45241</v>
      </c>
      <c r="I765" t="s">
        <v>26</v>
      </c>
      <c r="J765">
        <v>7</v>
      </c>
      <c r="K765">
        <v>67278.41</v>
      </c>
      <c r="L765" t="s">
        <v>78</v>
      </c>
      <c r="M765">
        <v>55</v>
      </c>
      <c r="N765" t="s">
        <v>61</v>
      </c>
      <c r="O765" s="3" t="s">
        <v>22</v>
      </c>
      <c r="P765" t="s">
        <v>90</v>
      </c>
      <c r="Q765" t="s">
        <v>24</v>
      </c>
      <c r="R765">
        <v>5</v>
      </c>
      <c r="S765" t="s">
        <v>34</v>
      </c>
      <c r="T765" s="4">
        <f t="shared" si="58"/>
        <v>470948.87</v>
      </c>
      <c r="U765" s="4" t="str">
        <f t="shared" si="59"/>
        <v>Good</v>
      </c>
      <c r="V765" s="4" t="str">
        <f t="shared" si="60"/>
        <v>Excellent</v>
      </c>
      <c r="W765" s="4"/>
      <c r="X765" s="4"/>
      <c r="AJ765" s="4"/>
    </row>
    <row r="766" spans="1:36">
      <c r="A766" t="str">
        <f t="shared" si="56"/>
        <v>Priy34765</v>
      </c>
      <c r="B766">
        <v>765</v>
      </c>
      <c r="C766">
        <v>16</v>
      </c>
      <c r="D766">
        <v>5</v>
      </c>
      <c r="E766">
        <v>2022</v>
      </c>
      <c r="F766" s="1">
        <f t="shared" si="57"/>
        <v>44697</v>
      </c>
      <c r="G766" s="1" t="s">
        <v>592</v>
      </c>
      <c r="H766" s="2">
        <v>45242</v>
      </c>
      <c r="I766" t="s">
        <v>38</v>
      </c>
      <c r="J766">
        <v>1</v>
      </c>
      <c r="K766">
        <v>46214.87</v>
      </c>
      <c r="L766" t="s">
        <v>616</v>
      </c>
      <c r="M766">
        <v>34</v>
      </c>
      <c r="N766" t="s">
        <v>21</v>
      </c>
      <c r="O766" s="3" t="s">
        <v>28</v>
      </c>
      <c r="P766" t="s">
        <v>33</v>
      </c>
      <c r="Q766" t="s">
        <v>30</v>
      </c>
      <c r="R766">
        <v>3</v>
      </c>
      <c r="S766" t="s">
        <v>48</v>
      </c>
      <c r="T766" s="4">
        <f t="shared" si="58"/>
        <v>46214.87</v>
      </c>
      <c r="U766" s="4" t="str">
        <f t="shared" si="59"/>
        <v>Average</v>
      </c>
      <c r="V766" s="4" t="str">
        <f t="shared" si="60"/>
        <v>Low</v>
      </c>
      <c r="W766" s="4"/>
      <c r="X766" s="4"/>
      <c r="AJ766" s="4"/>
    </row>
    <row r="767" spans="1:36">
      <c r="A767" t="str">
        <f t="shared" si="56"/>
        <v>Meen30766</v>
      </c>
      <c r="B767">
        <v>766</v>
      </c>
      <c r="C767">
        <v>16</v>
      </c>
      <c r="D767">
        <v>5</v>
      </c>
      <c r="E767">
        <v>2022</v>
      </c>
      <c r="F767" s="1">
        <f t="shared" si="57"/>
        <v>44697</v>
      </c>
      <c r="G767" s="1" t="s">
        <v>592</v>
      </c>
      <c r="H767" s="2">
        <v>45243</v>
      </c>
      <c r="I767" t="s">
        <v>49</v>
      </c>
      <c r="J767">
        <v>7</v>
      </c>
      <c r="K767">
        <v>66037.08</v>
      </c>
      <c r="L767" t="s">
        <v>319</v>
      </c>
      <c r="M767">
        <v>30</v>
      </c>
      <c r="N767" t="s">
        <v>36</v>
      </c>
      <c r="O767" s="3" t="s">
        <v>22</v>
      </c>
      <c r="P767" t="s">
        <v>33</v>
      </c>
      <c r="Q767" t="s">
        <v>30</v>
      </c>
      <c r="R767">
        <v>5</v>
      </c>
      <c r="S767" t="s">
        <v>102</v>
      </c>
      <c r="T767" s="4">
        <f t="shared" si="58"/>
        <v>462259.56</v>
      </c>
      <c r="U767" s="4" t="str">
        <f t="shared" si="59"/>
        <v>Good</v>
      </c>
      <c r="V767" s="4" t="str">
        <f t="shared" si="60"/>
        <v>Excellent</v>
      </c>
      <c r="W767" s="4"/>
      <c r="X767" s="4"/>
      <c r="AJ767" s="4"/>
    </row>
    <row r="768" spans="1:36">
      <c r="A768" t="str">
        <f t="shared" si="56"/>
        <v>Sach59767</v>
      </c>
      <c r="B768">
        <v>767</v>
      </c>
      <c r="C768">
        <v>16</v>
      </c>
      <c r="D768">
        <v>5</v>
      </c>
      <c r="E768">
        <v>2022</v>
      </c>
      <c r="F768" s="1">
        <f t="shared" si="57"/>
        <v>44697</v>
      </c>
      <c r="G768" s="1" t="s">
        <v>592</v>
      </c>
      <c r="H768" s="2">
        <v>45244</v>
      </c>
      <c r="I768" t="s">
        <v>26</v>
      </c>
      <c r="J768">
        <v>6</v>
      </c>
      <c r="K768">
        <v>22204.78</v>
      </c>
      <c r="L768" t="s">
        <v>183</v>
      </c>
      <c r="M768">
        <v>59</v>
      </c>
      <c r="N768" t="s">
        <v>61</v>
      </c>
      <c r="O768" s="3" t="s">
        <v>22</v>
      </c>
      <c r="P768" t="s">
        <v>59</v>
      </c>
      <c r="Q768" t="s">
        <v>41</v>
      </c>
      <c r="R768">
        <v>5</v>
      </c>
      <c r="S768" t="s">
        <v>67</v>
      </c>
      <c r="T768" s="4">
        <f t="shared" si="58"/>
        <v>133228.68</v>
      </c>
      <c r="U768" s="4" t="str">
        <f t="shared" si="59"/>
        <v>Good</v>
      </c>
      <c r="V768" s="4" t="str">
        <f t="shared" si="60"/>
        <v>Good</v>
      </c>
      <c r="W768" s="4"/>
      <c r="X768" s="4"/>
      <c r="AJ768" s="4"/>
    </row>
    <row r="769" spans="1:36">
      <c r="A769" t="str">
        <f t="shared" si="56"/>
        <v>Arun44768</v>
      </c>
      <c r="B769">
        <v>768</v>
      </c>
      <c r="C769">
        <v>17</v>
      </c>
      <c r="D769">
        <v>5</v>
      </c>
      <c r="E769">
        <v>2022</v>
      </c>
      <c r="F769" s="1">
        <f t="shared" si="57"/>
        <v>44698</v>
      </c>
      <c r="G769" s="1" t="s">
        <v>592</v>
      </c>
      <c r="H769" s="2">
        <v>45245</v>
      </c>
      <c r="I769" t="s">
        <v>49</v>
      </c>
      <c r="J769">
        <v>6</v>
      </c>
      <c r="K769">
        <v>18813.650000000001</v>
      </c>
      <c r="L769" t="s">
        <v>428</v>
      </c>
      <c r="M769">
        <v>44</v>
      </c>
      <c r="N769" t="s">
        <v>21</v>
      </c>
      <c r="O769" s="3" t="s">
        <v>22</v>
      </c>
      <c r="P769" t="s">
        <v>150</v>
      </c>
      <c r="Q769" t="s">
        <v>24</v>
      </c>
      <c r="R769">
        <v>5</v>
      </c>
      <c r="S769" t="s">
        <v>52</v>
      </c>
      <c r="T769" s="4">
        <f t="shared" si="58"/>
        <v>112881.90000000001</v>
      </c>
      <c r="U769" s="4" t="str">
        <f t="shared" si="59"/>
        <v>Good</v>
      </c>
      <c r="V769" s="4" t="str">
        <f t="shared" si="60"/>
        <v>Good</v>
      </c>
      <c r="W769" s="4"/>
      <c r="X769" s="4"/>
      <c r="AJ769" s="4"/>
    </row>
    <row r="770" spans="1:36">
      <c r="A770" t="str">
        <f t="shared" ref="A770:A833" si="61">LEFT(L770,4)&amp;M770&amp;B770</f>
        <v>Suni19769</v>
      </c>
      <c r="B770">
        <v>769</v>
      </c>
      <c r="C770">
        <v>17</v>
      </c>
      <c r="D770">
        <v>5</v>
      </c>
      <c r="E770">
        <v>2022</v>
      </c>
      <c r="F770" s="1">
        <f t="shared" si="57"/>
        <v>44698</v>
      </c>
      <c r="G770" s="1" t="s">
        <v>592</v>
      </c>
      <c r="H770" s="2">
        <v>45246</v>
      </c>
      <c r="I770" t="s">
        <v>19</v>
      </c>
      <c r="J770">
        <v>8</v>
      </c>
      <c r="K770">
        <v>61349.37</v>
      </c>
      <c r="L770" t="s">
        <v>617</v>
      </c>
      <c r="M770">
        <v>19</v>
      </c>
      <c r="N770" t="s">
        <v>36</v>
      </c>
      <c r="O770" s="3" t="s">
        <v>28</v>
      </c>
      <c r="P770" t="s">
        <v>59</v>
      </c>
      <c r="Q770" t="s">
        <v>56</v>
      </c>
      <c r="R770">
        <v>3</v>
      </c>
      <c r="S770" t="s">
        <v>37</v>
      </c>
      <c r="T770" s="4">
        <f t="shared" si="58"/>
        <v>490794.96</v>
      </c>
      <c r="U770" s="4" t="str">
        <f t="shared" si="59"/>
        <v>Average</v>
      </c>
      <c r="V770" s="4" t="str">
        <f t="shared" si="60"/>
        <v>Excellent</v>
      </c>
      <c r="W770" s="4"/>
      <c r="X770" s="4"/>
      <c r="AJ770" s="4"/>
    </row>
    <row r="771" spans="1:36">
      <c r="A771" t="str">
        <f t="shared" si="61"/>
        <v>Raje51770</v>
      </c>
      <c r="B771">
        <v>770</v>
      </c>
      <c r="C771">
        <v>17</v>
      </c>
      <c r="D771">
        <v>5</v>
      </c>
      <c r="E771">
        <v>2022</v>
      </c>
      <c r="F771" s="1">
        <f t="shared" ref="F771:F834" si="62">DATE(E771,D771,C771)</f>
        <v>44698</v>
      </c>
      <c r="G771" s="1" t="s">
        <v>592</v>
      </c>
      <c r="H771" s="2">
        <v>45247</v>
      </c>
      <c r="I771" t="s">
        <v>43</v>
      </c>
      <c r="J771">
        <v>8</v>
      </c>
      <c r="K771">
        <v>50855.03</v>
      </c>
      <c r="L771" t="s">
        <v>204</v>
      </c>
      <c r="M771">
        <v>51</v>
      </c>
      <c r="N771" t="s">
        <v>61</v>
      </c>
      <c r="O771" s="3" t="s">
        <v>22</v>
      </c>
      <c r="P771" t="s">
        <v>137</v>
      </c>
      <c r="Q771" t="s">
        <v>56</v>
      </c>
      <c r="R771">
        <v>5</v>
      </c>
      <c r="S771" t="s">
        <v>95</v>
      </c>
      <c r="T771" s="4">
        <f t="shared" ref="T771:T834" si="63">J771*K771</f>
        <v>406840.24</v>
      </c>
      <c r="U771" s="4" t="str">
        <f t="shared" ref="U771:U834" si="64">IF(R771&gt;=4,"Good","Average")</f>
        <v>Good</v>
      </c>
      <c r="V771" s="4" t="str">
        <f t="shared" ref="V771:V834" si="65">IF(T771&gt;200000,"Excellent",IF(T771&gt;100000,"Good",IF(T771&gt;50000,"Average","Low")))</f>
        <v>Excellent</v>
      </c>
      <c r="W771" s="4"/>
      <c r="X771" s="4"/>
      <c r="AJ771" s="4"/>
    </row>
    <row r="772" spans="1:36">
      <c r="A772" t="str">
        <f t="shared" si="61"/>
        <v>Anan48771</v>
      </c>
      <c r="B772">
        <v>771</v>
      </c>
      <c r="C772">
        <v>18</v>
      </c>
      <c r="D772">
        <v>5</v>
      </c>
      <c r="E772">
        <v>2022</v>
      </c>
      <c r="F772" s="1">
        <f t="shared" si="62"/>
        <v>44699</v>
      </c>
      <c r="G772" s="1" t="s">
        <v>592</v>
      </c>
      <c r="H772" s="2">
        <v>45248</v>
      </c>
      <c r="I772" t="s">
        <v>26</v>
      </c>
      <c r="J772">
        <v>6</v>
      </c>
      <c r="K772">
        <v>21194.71</v>
      </c>
      <c r="L772" t="s">
        <v>618</v>
      </c>
      <c r="M772">
        <v>48</v>
      </c>
      <c r="N772" t="s">
        <v>61</v>
      </c>
      <c r="O772" s="3" t="s">
        <v>22</v>
      </c>
      <c r="P772" t="s">
        <v>70</v>
      </c>
      <c r="Q772" t="s">
        <v>41</v>
      </c>
      <c r="R772">
        <v>5</v>
      </c>
      <c r="S772" t="s">
        <v>34</v>
      </c>
      <c r="T772" s="4">
        <f t="shared" si="63"/>
        <v>127168.26</v>
      </c>
      <c r="U772" s="4" t="str">
        <f t="shared" si="64"/>
        <v>Good</v>
      </c>
      <c r="V772" s="4" t="str">
        <f t="shared" si="65"/>
        <v>Good</v>
      </c>
      <c r="W772" s="4"/>
      <c r="X772" s="4"/>
      <c r="AJ772" s="4"/>
    </row>
    <row r="773" spans="1:36">
      <c r="A773" t="str">
        <f t="shared" si="61"/>
        <v>Kuna40772</v>
      </c>
      <c r="B773">
        <v>772</v>
      </c>
      <c r="C773">
        <v>18</v>
      </c>
      <c r="D773">
        <v>5</v>
      </c>
      <c r="E773">
        <v>2022</v>
      </c>
      <c r="F773" s="1">
        <f t="shared" si="62"/>
        <v>44699</v>
      </c>
      <c r="G773" s="1" t="s">
        <v>592</v>
      </c>
      <c r="H773" s="2">
        <v>45249</v>
      </c>
      <c r="I773" t="s">
        <v>19</v>
      </c>
      <c r="J773">
        <v>3</v>
      </c>
      <c r="K773">
        <v>26161.58</v>
      </c>
      <c r="L773" t="s">
        <v>619</v>
      </c>
      <c r="M773">
        <v>40</v>
      </c>
      <c r="N773" t="s">
        <v>21</v>
      </c>
      <c r="O773" s="3" t="s">
        <v>22</v>
      </c>
      <c r="P773" t="s">
        <v>33</v>
      </c>
      <c r="Q773" t="s">
        <v>24</v>
      </c>
      <c r="R773">
        <v>5</v>
      </c>
      <c r="S773" t="s">
        <v>84</v>
      </c>
      <c r="T773" s="4">
        <f t="shared" si="63"/>
        <v>78484.740000000005</v>
      </c>
      <c r="U773" s="4" t="str">
        <f t="shared" si="64"/>
        <v>Good</v>
      </c>
      <c r="V773" s="4" t="str">
        <f t="shared" si="65"/>
        <v>Average</v>
      </c>
      <c r="W773" s="4"/>
      <c r="X773" s="4"/>
      <c r="AJ773" s="4"/>
    </row>
    <row r="774" spans="1:36">
      <c r="A774" t="str">
        <f t="shared" si="61"/>
        <v>Roha24773</v>
      </c>
      <c r="B774">
        <v>773</v>
      </c>
      <c r="C774">
        <v>18</v>
      </c>
      <c r="D774">
        <v>5</v>
      </c>
      <c r="E774">
        <v>2022</v>
      </c>
      <c r="F774" s="1">
        <f t="shared" si="62"/>
        <v>44699</v>
      </c>
      <c r="G774" s="1" t="s">
        <v>592</v>
      </c>
      <c r="H774" s="2">
        <v>45250</v>
      </c>
      <c r="I774" t="s">
        <v>19</v>
      </c>
      <c r="J774">
        <v>5</v>
      </c>
      <c r="K774">
        <v>58039.839999999997</v>
      </c>
      <c r="L774" t="s">
        <v>620</v>
      </c>
      <c r="M774">
        <v>24</v>
      </c>
      <c r="N774" t="s">
        <v>36</v>
      </c>
      <c r="O774" s="3" t="s">
        <v>22</v>
      </c>
      <c r="P774" t="s">
        <v>29</v>
      </c>
      <c r="Q774" t="s">
        <v>41</v>
      </c>
      <c r="R774">
        <v>5</v>
      </c>
      <c r="S774" t="s">
        <v>37</v>
      </c>
      <c r="T774" s="4">
        <f t="shared" si="63"/>
        <v>290199.19999999995</v>
      </c>
      <c r="U774" s="4" t="str">
        <f t="shared" si="64"/>
        <v>Good</v>
      </c>
      <c r="V774" s="4" t="str">
        <f t="shared" si="65"/>
        <v>Excellent</v>
      </c>
      <c r="W774" s="4"/>
      <c r="X774" s="4"/>
      <c r="AJ774" s="4"/>
    </row>
    <row r="775" spans="1:36">
      <c r="A775" t="str">
        <f t="shared" si="61"/>
        <v>Vive55774</v>
      </c>
      <c r="B775">
        <v>774</v>
      </c>
      <c r="C775">
        <v>19</v>
      </c>
      <c r="D775">
        <v>5</v>
      </c>
      <c r="E775">
        <v>2022</v>
      </c>
      <c r="F775" s="1">
        <f t="shared" si="62"/>
        <v>44700</v>
      </c>
      <c r="G775" s="1" t="s">
        <v>592</v>
      </c>
      <c r="H775" s="2">
        <v>45251</v>
      </c>
      <c r="I775" t="s">
        <v>26</v>
      </c>
      <c r="J775">
        <v>2</v>
      </c>
      <c r="K775">
        <v>37232.120000000003</v>
      </c>
      <c r="L775" t="s">
        <v>621</v>
      </c>
      <c r="M775">
        <v>55</v>
      </c>
      <c r="N775" t="s">
        <v>61</v>
      </c>
      <c r="O775" s="3" t="s">
        <v>22</v>
      </c>
      <c r="P775" t="s">
        <v>93</v>
      </c>
      <c r="Q775" t="s">
        <v>41</v>
      </c>
      <c r="R775">
        <v>5</v>
      </c>
      <c r="S775" t="s">
        <v>31</v>
      </c>
      <c r="T775" s="4">
        <f t="shared" si="63"/>
        <v>74464.240000000005</v>
      </c>
      <c r="U775" s="4" t="str">
        <f t="shared" si="64"/>
        <v>Good</v>
      </c>
      <c r="V775" s="4" t="str">
        <f t="shared" si="65"/>
        <v>Average</v>
      </c>
      <c r="W775" s="4"/>
      <c r="X775" s="4"/>
      <c r="AJ775" s="4"/>
    </row>
    <row r="776" spans="1:36">
      <c r="A776" t="str">
        <f t="shared" si="61"/>
        <v>Ravi50775</v>
      </c>
      <c r="B776">
        <v>775</v>
      </c>
      <c r="C776">
        <v>19</v>
      </c>
      <c r="D776">
        <v>5</v>
      </c>
      <c r="E776">
        <v>2022</v>
      </c>
      <c r="F776" s="1">
        <f t="shared" si="62"/>
        <v>44700</v>
      </c>
      <c r="G776" s="1" t="s">
        <v>592</v>
      </c>
      <c r="H776" s="2">
        <v>45252</v>
      </c>
      <c r="I776" t="s">
        <v>49</v>
      </c>
      <c r="J776">
        <v>5</v>
      </c>
      <c r="K776">
        <v>50232.43</v>
      </c>
      <c r="L776" t="s">
        <v>622</v>
      </c>
      <c r="M776">
        <v>50</v>
      </c>
      <c r="N776" t="s">
        <v>61</v>
      </c>
      <c r="O776" s="3" t="s">
        <v>28</v>
      </c>
      <c r="P776" t="s">
        <v>29</v>
      </c>
      <c r="Q776" t="s">
        <v>24</v>
      </c>
      <c r="R776">
        <v>3</v>
      </c>
      <c r="S776" t="s">
        <v>102</v>
      </c>
      <c r="T776" s="4">
        <f t="shared" si="63"/>
        <v>251162.15</v>
      </c>
      <c r="U776" s="4" t="str">
        <f t="shared" si="64"/>
        <v>Average</v>
      </c>
      <c r="V776" s="4" t="str">
        <f t="shared" si="65"/>
        <v>Excellent</v>
      </c>
      <c r="W776" s="4"/>
      <c r="X776" s="4"/>
      <c r="AJ776" s="4"/>
    </row>
    <row r="777" spans="1:36">
      <c r="A777" t="str">
        <f t="shared" si="61"/>
        <v>Ravi29776</v>
      </c>
      <c r="B777">
        <v>776</v>
      </c>
      <c r="C777">
        <v>19</v>
      </c>
      <c r="D777">
        <v>5</v>
      </c>
      <c r="E777">
        <v>2022</v>
      </c>
      <c r="F777" s="1">
        <f t="shared" si="62"/>
        <v>44700</v>
      </c>
      <c r="G777" s="1" t="s">
        <v>592</v>
      </c>
      <c r="H777" s="2">
        <v>45253</v>
      </c>
      <c r="I777" t="s">
        <v>19</v>
      </c>
      <c r="J777">
        <v>9</v>
      </c>
      <c r="K777">
        <v>29101.119999999999</v>
      </c>
      <c r="L777" t="s">
        <v>402</v>
      </c>
      <c r="M777">
        <v>29</v>
      </c>
      <c r="N777" t="s">
        <v>36</v>
      </c>
      <c r="O777" s="3" t="s">
        <v>22</v>
      </c>
      <c r="P777" t="s">
        <v>29</v>
      </c>
      <c r="Q777" t="s">
        <v>41</v>
      </c>
      <c r="R777">
        <v>5</v>
      </c>
      <c r="S777" t="s">
        <v>37</v>
      </c>
      <c r="T777" s="4">
        <f t="shared" si="63"/>
        <v>261910.08</v>
      </c>
      <c r="U777" s="4" t="str">
        <f t="shared" si="64"/>
        <v>Good</v>
      </c>
      <c r="V777" s="4" t="str">
        <f t="shared" si="65"/>
        <v>Excellent</v>
      </c>
      <c r="W777" s="4"/>
      <c r="X777" s="4"/>
      <c r="AJ777" s="4"/>
    </row>
    <row r="778" spans="1:36">
      <c r="A778" t="str">
        <f t="shared" si="61"/>
        <v>Deep29777</v>
      </c>
      <c r="B778">
        <v>777</v>
      </c>
      <c r="C778">
        <v>19</v>
      </c>
      <c r="D778">
        <v>5</v>
      </c>
      <c r="E778">
        <v>2022</v>
      </c>
      <c r="F778" s="1">
        <f t="shared" si="62"/>
        <v>44700</v>
      </c>
      <c r="G778" s="1" t="s">
        <v>592</v>
      </c>
      <c r="H778" s="2">
        <v>45254</v>
      </c>
      <c r="I778" t="s">
        <v>38</v>
      </c>
      <c r="J778">
        <v>1</v>
      </c>
      <c r="K778">
        <v>32873.800000000003</v>
      </c>
      <c r="L778" t="s">
        <v>106</v>
      </c>
      <c r="M778">
        <v>29</v>
      </c>
      <c r="N778" t="s">
        <v>36</v>
      </c>
      <c r="O778" s="3" t="s">
        <v>22</v>
      </c>
      <c r="P778" t="s">
        <v>77</v>
      </c>
      <c r="Q778" t="s">
        <v>56</v>
      </c>
      <c r="R778">
        <v>4</v>
      </c>
      <c r="S778" t="s">
        <v>42</v>
      </c>
      <c r="T778" s="4">
        <f t="shared" si="63"/>
        <v>32873.800000000003</v>
      </c>
      <c r="U778" s="4" t="str">
        <f t="shared" si="64"/>
        <v>Good</v>
      </c>
      <c r="V778" s="4" t="str">
        <f t="shared" si="65"/>
        <v>Low</v>
      </c>
      <c r="W778" s="4"/>
      <c r="X778" s="4"/>
      <c r="AJ778" s="4"/>
    </row>
    <row r="779" spans="1:36">
      <c r="A779" t="str">
        <f t="shared" si="61"/>
        <v>Shru36778</v>
      </c>
      <c r="B779">
        <v>778</v>
      </c>
      <c r="C779">
        <v>20</v>
      </c>
      <c r="D779">
        <v>5</v>
      </c>
      <c r="E779">
        <v>2022</v>
      </c>
      <c r="F779" s="1">
        <f t="shared" si="62"/>
        <v>44701</v>
      </c>
      <c r="G779" s="1" t="s">
        <v>592</v>
      </c>
      <c r="H779" s="2">
        <v>45255</v>
      </c>
      <c r="I779" t="s">
        <v>19</v>
      </c>
      <c r="J779">
        <v>5</v>
      </c>
      <c r="K779">
        <v>69442.75</v>
      </c>
      <c r="L779" t="s">
        <v>623</v>
      </c>
      <c r="M779">
        <v>36</v>
      </c>
      <c r="N779" t="s">
        <v>21</v>
      </c>
      <c r="O779" s="3" t="s">
        <v>28</v>
      </c>
      <c r="P779" t="s">
        <v>33</v>
      </c>
      <c r="Q779" t="s">
        <v>30</v>
      </c>
      <c r="R779">
        <v>3</v>
      </c>
      <c r="S779" t="s">
        <v>25</v>
      </c>
      <c r="T779" s="4">
        <f t="shared" si="63"/>
        <v>347213.75</v>
      </c>
      <c r="U779" s="4" t="str">
        <f t="shared" si="64"/>
        <v>Average</v>
      </c>
      <c r="V779" s="4" t="str">
        <f t="shared" si="65"/>
        <v>Excellent</v>
      </c>
      <c r="W779" s="4"/>
      <c r="X779" s="4"/>
      <c r="AJ779" s="4"/>
    </row>
    <row r="780" spans="1:36">
      <c r="A780" t="str">
        <f t="shared" si="61"/>
        <v>Nami26779</v>
      </c>
      <c r="B780">
        <v>779</v>
      </c>
      <c r="C780">
        <v>20</v>
      </c>
      <c r="D780">
        <v>5</v>
      </c>
      <c r="E780">
        <v>2022</v>
      </c>
      <c r="F780" s="1">
        <f t="shared" si="62"/>
        <v>44701</v>
      </c>
      <c r="G780" s="1" t="s">
        <v>592</v>
      </c>
      <c r="H780" s="2">
        <v>45256</v>
      </c>
      <c r="I780" t="s">
        <v>49</v>
      </c>
      <c r="J780">
        <v>6</v>
      </c>
      <c r="K780">
        <v>24857.03</v>
      </c>
      <c r="L780" t="s">
        <v>614</v>
      </c>
      <c r="M780">
        <v>26</v>
      </c>
      <c r="N780" t="s">
        <v>36</v>
      </c>
      <c r="O780" s="3" t="s">
        <v>22</v>
      </c>
      <c r="P780" t="s">
        <v>29</v>
      </c>
      <c r="Q780" t="s">
        <v>56</v>
      </c>
      <c r="R780">
        <v>4</v>
      </c>
      <c r="S780" t="s">
        <v>52</v>
      </c>
      <c r="T780" s="4">
        <f t="shared" si="63"/>
        <v>149142.18</v>
      </c>
      <c r="U780" s="4" t="str">
        <f t="shared" si="64"/>
        <v>Good</v>
      </c>
      <c r="V780" s="4" t="str">
        <f t="shared" si="65"/>
        <v>Good</v>
      </c>
      <c r="W780" s="4"/>
      <c r="X780" s="4"/>
      <c r="AJ780" s="4"/>
    </row>
    <row r="781" spans="1:36">
      <c r="A781" t="str">
        <f t="shared" si="61"/>
        <v>Radh27780</v>
      </c>
      <c r="B781">
        <v>780</v>
      </c>
      <c r="C781">
        <v>20</v>
      </c>
      <c r="D781">
        <v>5</v>
      </c>
      <c r="E781">
        <v>2022</v>
      </c>
      <c r="F781" s="1">
        <f t="shared" si="62"/>
        <v>44701</v>
      </c>
      <c r="G781" s="1" t="s">
        <v>592</v>
      </c>
      <c r="H781" s="2">
        <v>45257</v>
      </c>
      <c r="I781" t="s">
        <v>49</v>
      </c>
      <c r="J781">
        <v>7</v>
      </c>
      <c r="K781">
        <v>40387.379999999997</v>
      </c>
      <c r="L781" t="s">
        <v>624</v>
      </c>
      <c r="M781">
        <v>27</v>
      </c>
      <c r="N781" t="s">
        <v>36</v>
      </c>
      <c r="O781" s="3" t="s">
        <v>22</v>
      </c>
      <c r="P781" t="s">
        <v>90</v>
      </c>
      <c r="Q781" t="s">
        <v>30</v>
      </c>
      <c r="R781">
        <v>5</v>
      </c>
      <c r="S781" t="s">
        <v>88</v>
      </c>
      <c r="T781" s="4">
        <f t="shared" si="63"/>
        <v>282711.65999999997</v>
      </c>
      <c r="U781" s="4" t="str">
        <f t="shared" si="64"/>
        <v>Good</v>
      </c>
      <c r="V781" s="4" t="str">
        <f t="shared" si="65"/>
        <v>Excellent</v>
      </c>
      <c r="W781" s="4"/>
      <c r="X781" s="4"/>
      <c r="AJ781" s="4"/>
    </row>
    <row r="782" spans="1:36">
      <c r="A782" t="str">
        <f t="shared" si="61"/>
        <v>Arun34781</v>
      </c>
      <c r="B782">
        <v>781</v>
      </c>
      <c r="C782">
        <v>20</v>
      </c>
      <c r="D782">
        <v>5</v>
      </c>
      <c r="E782">
        <v>2022</v>
      </c>
      <c r="F782" s="1">
        <f t="shared" si="62"/>
        <v>44701</v>
      </c>
      <c r="G782" s="1" t="s">
        <v>592</v>
      </c>
      <c r="H782" s="2">
        <v>45258</v>
      </c>
      <c r="I782" t="s">
        <v>38</v>
      </c>
      <c r="J782">
        <v>9</v>
      </c>
      <c r="K782">
        <v>60664.14</v>
      </c>
      <c r="L782" t="s">
        <v>625</v>
      </c>
      <c r="M782">
        <v>34</v>
      </c>
      <c r="N782" t="s">
        <v>21</v>
      </c>
      <c r="O782" s="3" t="s">
        <v>22</v>
      </c>
      <c r="P782" t="s">
        <v>29</v>
      </c>
      <c r="Q782" t="s">
        <v>24</v>
      </c>
      <c r="R782">
        <v>5</v>
      </c>
      <c r="S782" t="s">
        <v>48</v>
      </c>
      <c r="T782" s="4">
        <f t="shared" si="63"/>
        <v>545977.26</v>
      </c>
      <c r="U782" s="4" t="str">
        <f t="shared" si="64"/>
        <v>Good</v>
      </c>
      <c r="V782" s="4" t="str">
        <f t="shared" si="65"/>
        <v>Excellent</v>
      </c>
      <c r="W782" s="4"/>
      <c r="X782" s="4"/>
      <c r="AJ782" s="4"/>
    </row>
    <row r="783" spans="1:36">
      <c r="A783" t="str">
        <f t="shared" si="61"/>
        <v>Arun57782</v>
      </c>
      <c r="B783">
        <v>782</v>
      </c>
      <c r="C783">
        <v>21</v>
      </c>
      <c r="D783">
        <v>5</v>
      </c>
      <c r="E783">
        <v>2022</v>
      </c>
      <c r="F783" s="1">
        <f t="shared" si="62"/>
        <v>44702</v>
      </c>
      <c r="G783" s="1" t="s">
        <v>592</v>
      </c>
      <c r="H783" s="2">
        <v>45259</v>
      </c>
      <c r="I783" t="s">
        <v>19</v>
      </c>
      <c r="J783">
        <v>6</v>
      </c>
      <c r="K783">
        <v>24353.39</v>
      </c>
      <c r="L783" t="s">
        <v>438</v>
      </c>
      <c r="M783">
        <v>57</v>
      </c>
      <c r="N783" t="s">
        <v>61</v>
      </c>
      <c r="O783" s="3" t="s">
        <v>28</v>
      </c>
      <c r="P783" t="s">
        <v>29</v>
      </c>
      <c r="Q783" t="s">
        <v>41</v>
      </c>
      <c r="R783">
        <v>3</v>
      </c>
      <c r="S783" t="s">
        <v>37</v>
      </c>
      <c r="T783" s="4">
        <f t="shared" si="63"/>
        <v>146120.34</v>
      </c>
      <c r="U783" s="4" t="str">
        <f t="shared" si="64"/>
        <v>Average</v>
      </c>
      <c r="V783" s="4" t="str">
        <f t="shared" si="65"/>
        <v>Good</v>
      </c>
      <c r="W783" s="4"/>
      <c r="X783" s="4"/>
      <c r="AJ783" s="4"/>
    </row>
    <row r="784" spans="1:36">
      <c r="A784" t="str">
        <f t="shared" si="61"/>
        <v>Umes56783</v>
      </c>
      <c r="B784">
        <v>783</v>
      </c>
      <c r="C784">
        <v>21</v>
      </c>
      <c r="D784">
        <v>5</v>
      </c>
      <c r="E784">
        <v>2022</v>
      </c>
      <c r="F784" s="1">
        <f t="shared" si="62"/>
        <v>44702</v>
      </c>
      <c r="G784" s="1" t="s">
        <v>592</v>
      </c>
      <c r="H784" s="2">
        <v>45260</v>
      </c>
      <c r="I784" t="s">
        <v>49</v>
      </c>
      <c r="J784">
        <v>5</v>
      </c>
      <c r="K784">
        <v>34912.83</v>
      </c>
      <c r="L784" t="s">
        <v>626</v>
      </c>
      <c r="M784">
        <v>56</v>
      </c>
      <c r="N784" t="s">
        <v>61</v>
      </c>
      <c r="O784" s="3" t="s">
        <v>28</v>
      </c>
      <c r="P784" t="s">
        <v>132</v>
      </c>
      <c r="Q784" t="s">
        <v>30</v>
      </c>
      <c r="R784">
        <v>3</v>
      </c>
      <c r="S784" t="s">
        <v>102</v>
      </c>
      <c r="T784" s="4">
        <f t="shared" si="63"/>
        <v>174564.15000000002</v>
      </c>
      <c r="U784" s="4" t="str">
        <f t="shared" si="64"/>
        <v>Average</v>
      </c>
      <c r="V784" s="4" t="str">
        <f t="shared" si="65"/>
        <v>Good</v>
      </c>
      <c r="W784" s="4"/>
      <c r="X784" s="4"/>
      <c r="AJ784" s="4"/>
    </row>
    <row r="785" spans="1:36">
      <c r="A785" t="str">
        <f t="shared" si="61"/>
        <v>Deep58784</v>
      </c>
      <c r="B785">
        <v>784</v>
      </c>
      <c r="C785">
        <v>21</v>
      </c>
      <c r="D785">
        <v>5</v>
      </c>
      <c r="E785">
        <v>2022</v>
      </c>
      <c r="F785" s="1">
        <f t="shared" si="62"/>
        <v>44702</v>
      </c>
      <c r="G785" s="1" t="s">
        <v>592</v>
      </c>
      <c r="H785" s="2">
        <v>45261</v>
      </c>
      <c r="I785" t="s">
        <v>26</v>
      </c>
      <c r="J785">
        <v>7</v>
      </c>
      <c r="K785">
        <v>46905.48</v>
      </c>
      <c r="L785" t="s">
        <v>627</v>
      </c>
      <c r="M785">
        <v>58</v>
      </c>
      <c r="N785" t="s">
        <v>61</v>
      </c>
      <c r="O785" s="3" t="s">
        <v>22</v>
      </c>
      <c r="P785" t="s">
        <v>66</v>
      </c>
      <c r="Q785" t="s">
        <v>24</v>
      </c>
      <c r="R785">
        <v>5</v>
      </c>
      <c r="S785" t="s">
        <v>67</v>
      </c>
      <c r="T785" s="4">
        <f t="shared" si="63"/>
        <v>328338.36000000004</v>
      </c>
      <c r="U785" s="4" t="str">
        <f t="shared" si="64"/>
        <v>Good</v>
      </c>
      <c r="V785" s="4" t="str">
        <f t="shared" si="65"/>
        <v>Excellent</v>
      </c>
      <c r="W785" s="4"/>
      <c r="X785" s="4"/>
      <c r="AJ785" s="4"/>
    </row>
    <row r="786" spans="1:36">
      <c r="A786" t="str">
        <f t="shared" si="61"/>
        <v>Amit27785</v>
      </c>
      <c r="B786">
        <v>785</v>
      </c>
      <c r="C786">
        <v>21</v>
      </c>
      <c r="D786">
        <v>5</v>
      </c>
      <c r="E786">
        <v>2022</v>
      </c>
      <c r="F786" s="1">
        <f t="shared" si="62"/>
        <v>44702</v>
      </c>
      <c r="G786" s="1" t="s">
        <v>592</v>
      </c>
      <c r="H786" s="2">
        <v>45262</v>
      </c>
      <c r="I786" t="s">
        <v>43</v>
      </c>
      <c r="J786">
        <v>1</v>
      </c>
      <c r="K786">
        <v>38871.29</v>
      </c>
      <c r="L786" t="s">
        <v>416</v>
      </c>
      <c r="M786">
        <v>27</v>
      </c>
      <c r="N786" t="s">
        <v>36</v>
      </c>
      <c r="O786" s="3" t="s">
        <v>55</v>
      </c>
      <c r="P786" t="s">
        <v>33</v>
      </c>
      <c r="Q786" t="s">
        <v>24</v>
      </c>
      <c r="R786">
        <v>2</v>
      </c>
      <c r="S786" t="s">
        <v>95</v>
      </c>
      <c r="T786" s="4">
        <f t="shared" si="63"/>
        <v>38871.29</v>
      </c>
      <c r="U786" s="4" t="str">
        <f t="shared" si="64"/>
        <v>Average</v>
      </c>
      <c r="V786" s="4" t="str">
        <f t="shared" si="65"/>
        <v>Low</v>
      </c>
      <c r="W786" s="4"/>
      <c r="X786" s="4"/>
      <c r="AJ786" s="4"/>
    </row>
    <row r="787" spans="1:36">
      <c r="A787" t="str">
        <f t="shared" si="61"/>
        <v>Yoge29786</v>
      </c>
      <c r="B787">
        <v>786</v>
      </c>
      <c r="C787">
        <v>22</v>
      </c>
      <c r="D787">
        <v>5</v>
      </c>
      <c r="E787">
        <v>2022</v>
      </c>
      <c r="F787" s="1">
        <f t="shared" si="62"/>
        <v>44703</v>
      </c>
      <c r="G787" s="1" t="s">
        <v>592</v>
      </c>
      <c r="H787" s="2">
        <v>45263</v>
      </c>
      <c r="I787" t="s">
        <v>43</v>
      </c>
      <c r="J787">
        <v>5</v>
      </c>
      <c r="K787">
        <v>37570.14</v>
      </c>
      <c r="L787" t="s">
        <v>54</v>
      </c>
      <c r="M787">
        <v>29</v>
      </c>
      <c r="N787" t="s">
        <v>36</v>
      </c>
      <c r="O787" s="3" t="s">
        <v>22</v>
      </c>
      <c r="P787" t="s">
        <v>29</v>
      </c>
      <c r="Q787" t="s">
        <v>24</v>
      </c>
      <c r="R787">
        <v>5</v>
      </c>
      <c r="S787" t="s">
        <v>95</v>
      </c>
      <c r="T787" s="4">
        <f t="shared" si="63"/>
        <v>187850.7</v>
      </c>
      <c r="U787" s="4" t="str">
        <f t="shared" si="64"/>
        <v>Good</v>
      </c>
      <c r="V787" s="4" t="str">
        <f t="shared" si="65"/>
        <v>Good</v>
      </c>
      <c r="W787" s="4"/>
      <c r="X787" s="4"/>
      <c r="AJ787" s="4"/>
    </row>
    <row r="788" spans="1:36">
      <c r="A788" t="str">
        <f t="shared" si="61"/>
        <v>Moni32787</v>
      </c>
      <c r="B788">
        <v>787</v>
      </c>
      <c r="C788">
        <v>22</v>
      </c>
      <c r="D788">
        <v>5</v>
      </c>
      <c r="E788">
        <v>2022</v>
      </c>
      <c r="F788" s="1">
        <f t="shared" si="62"/>
        <v>44703</v>
      </c>
      <c r="G788" s="1" t="s">
        <v>592</v>
      </c>
      <c r="H788" s="2">
        <v>45264</v>
      </c>
      <c r="I788" t="s">
        <v>43</v>
      </c>
      <c r="J788">
        <v>2</v>
      </c>
      <c r="K788">
        <v>31750.58</v>
      </c>
      <c r="L788" t="s">
        <v>267</v>
      </c>
      <c r="M788">
        <v>32</v>
      </c>
      <c r="N788" t="s">
        <v>21</v>
      </c>
      <c r="O788" s="3" t="s">
        <v>22</v>
      </c>
      <c r="P788" t="s">
        <v>29</v>
      </c>
      <c r="Q788" t="s">
        <v>56</v>
      </c>
      <c r="R788">
        <v>5</v>
      </c>
      <c r="S788" t="s">
        <v>46</v>
      </c>
      <c r="T788" s="4">
        <f t="shared" si="63"/>
        <v>63501.16</v>
      </c>
      <c r="U788" s="4" t="str">
        <f t="shared" si="64"/>
        <v>Good</v>
      </c>
      <c r="V788" s="4" t="str">
        <f t="shared" si="65"/>
        <v>Average</v>
      </c>
      <c r="W788" s="4"/>
      <c r="X788" s="4"/>
      <c r="AJ788" s="4"/>
    </row>
    <row r="789" spans="1:36">
      <c r="A789" t="str">
        <f t="shared" si="61"/>
        <v>Tanu48788</v>
      </c>
      <c r="B789">
        <v>788</v>
      </c>
      <c r="C789">
        <v>22</v>
      </c>
      <c r="D789">
        <v>5</v>
      </c>
      <c r="E789">
        <v>2022</v>
      </c>
      <c r="F789" s="1">
        <f t="shared" si="62"/>
        <v>44703</v>
      </c>
      <c r="G789" s="1" t="s">
        <v>592</v>
      </c>
      <c r="H789" s="2">
        <v>45265</v>
      </c>
      <c r="I789" t="s">
        <v>19</v>
      </c>
      <c r="J789">
        <v>4</v>
      </c>
      <c r="K789">
        <v>45198.78</v>
      </c>
      <c r="L789" t="s">
        <v>129</v>
      </c>
      <c r="M789">
        <v>48</v>
      </c>
      <c r="N789" t="s">
        <v>61</v>
      </c>
      <c r="O789" s="3" t="s">
        <v>28</v>
      </c>
      <c r="P789" t="s">
        <v>90</v>
      </c>
      <c r="Q789" t="s">
        <v>56</v>
      </c>
      <c r="R789">
        <v>3</v>
      </c>
      <c r="S789" t="s">
        <v>25</v>
      </c>
      <c r="T789" s="4">
        <f t="shared" si="63"/>
        <v>180795.12</v>
      </c>
      <c r="U789" s="4" t="str">
        <f t="shared" si="64"/>
        <v>Average</v>
      </c>
      <c r="V789" s="4" t="str">
        <f t="shared" si="65"/>
        <v>Good</v>
      </c>
      <c r="W789" s="4"/>
      <c r="X789" s="4"/>
      <c r="AJ789" s="4"/>
    </row>
    <row r="790" spans="1:36">
      <c r="A790" t="str">
        <f t="shared" si="61"/>
        <v>Suni32789</v>
      </c>
      <c r="B790">
        <v>789</v>
      </c>
      <c r="C790">
        <v>22</v>
      </c>
      <c r="D790">
        <v>5</v>
      </c>
      <c r="E790">
        <v>2022</v>
      </c>
      <c r="F790" s="1">
        <f t="shared" si="62"/>
        <v>44703</v>
      </c>
      <c r="G790" s="1" t="s">
        <v>592</v>
      </c>
      <c r="H790" s="2">
        <v>45266</v>
      </c>
      <c r="I790" t="s">
        <v>38</v>
      </c>
      <c r="J790">
        <v>7</v>
      </c>
      <c r="K790">
        <v>47462.36</v>
      </c>
      <c r="L790" t="s">
        <v>628</v>
      </c>
      <c r="M790">
        <v>32</v>
      </c>
      <c r="N790" t="s">
        <v>21</v>
      </c>
      <c r="O790" s="3" t="s">
        <v>55</v>
      </c>
      <c r="P790" t="s">
        <v>132</v>
      </c>
      <c r="Q790" t="s">
        <v>30</v>
      </c>
      <c r="R790">
        <v>2</v>
      </c>
      <c r="S790" t="s">
        <v>99</v>
      </c>
      <c r="T790" s="4">
        <f t="shared" si="63"/>
        <v>332236.52</v>
      </c>
      <c r="U790" s="4" t="str">
        <f t="shared" si="64"/>
        <v>Average</v>
      </c>
      <c r="V790" s="4" t="str">
        <f t="shared" si="65"/>
        <v>Excellent</v>
      </c>
      <c r="W790" s="4"/>
      <c r="X790" s="4"/>
      <c r="AJ790" s="4"/>
    </row>
    <row r="791" spans="1:36">
      <c r="A791" t="str">
        <f t="shared" si="61"/>
        <v>Amit45790</v>
      </c>
      <c r="B791">
        <v>790</v>
      </c>
      <c r="C791">
        <v>23</v>
      </c>
      <c r="D791">
        <v>5</v>
      </c>
      <c r="E791">
        <v>2022</v>
      </c>
      <c r="F791" s="1">
        <f t="shared" si="62"/>
        <v>44704</v>
      </c>
      <c r="G791" s="1" t="s">
        <v>592</v>
      </c>
      <c r="H791" s="2">
        <v>45267</v>
      </c>
      <c r="I791" t="s">
        <v>49</v>
      </c>
      <c r="J791">
        <v>5</v>
      </c>
      <c r="K791">
        <v>49197.37</v>
      </c>
      <c r="L791" t="s">
        <v>523</v>
      </c>
      <c r="M791">
        <v>45</v>
      </c>
      <c r="N791" t="s">
        <v>21</v>
      </c>
      <c r="O791" s="3" t="s">
        <v>28</v>
      </c>
      <c r="P791" t="s">
        <v>33</v>
      </c>
      <c r="Q791" t="s">
        <v>30</v>
      </c>
      <c r="R791">
        <v>3</v>
      </c>
      <c r="S791" t="s">
        <v>102</v>
      </c>
      <c r="T791" s="4">
        <f t="shared" si="63"/>
        <v>245986.85</v>
      </c>
      <c r="U791" s="4" t="str">
        <f t="shared" si="64"/>
        <v>Average</v>
      </c>
      <c r="V791" s="4" t="str">
        <f t="shared" si="65"/>
        <v>Excellent</v>
      </c>
      <c r="W791" s="4"/>
      <c r="X791" s="4"/>
      <c r="AJ791" s="4"/>
    </row>
    <row r="792" spans="1:36">
      <c r="A792" t="str">
        <f t="shared" si="61"/>
        <v>Vive21791</v>
      </c>
      <c r="B792">
        <v>791</v>
      </c>
      <c r="C792">
        <v>23</v>
      </c>
      <c r="D792">
        <v>5</v>
      </c>
      <c r="E792">
        <v>2022</v>
      </c>
      <c r="F792" s="1">
        <f t="shared" si="62"/>
        <v>44704</v>
      </c>
      <c r="G792" s="1" t="s">
        <v>592</v>
      </c>
      <c r="H792" s="2">
        <v>45268</v>
      </c>
      <c r="I792" t="s">
        <v>26</v>
      </c>
      <c r="J792">
        <v>6</v>
      </c>
      <c r="K792">
        <v>14222.09</v>
      </c>
      <c r="L792" t="s">
        <v>629</v>
      </c>
      <c r="M792">
        <v>21</v>
      </c>
      <c r="N792" t="s">
        <v>36</v>
      </c>
      <c r="O792" s="3" t="s">
        <v>22</v>
      </c>
      <c r="P792" t="s">
        <v>33</v>
      </c>
      <c r="Q792" t="s">
        <v>56</v>
      </c>
      <c r="R792">
        <v>4</v>
      </c>
      <c r="S792" t="s">
        <v>34</v>
      </c>
      <c r="T792" s="4">
        <f t="shared" si="63"/>
        <v>85332.540000000008</v>
      </c>
      <c r="U792" s="4" t="str">
        <f t="shared" si="64"/>
        <v>Good</v>
      </c>
      <c r="V792" s="4" t="str">
        <f t="shared" si="65"/>
        <v>Average</v>
      </c>
      <c r="W792" s="4"/>
      <c r="X792" s="4"/>
      <c r="AJ792" s="4"/>
    </row>
    <row r="793" spans="1:36">
      <c r="A793" t="str">
        <f t="shared" si="61"/>
        <v>Radh53792</v>
      </c>
      <c r="B793">
        <v>792</v>
      </c>
      <c r="C793">
        <v>23</v>
      </c>
      <c r="D793">
        <v>5</v>
      </c>
      <c r="E793">
        <v>2022</v>
      </c>
      <c r="F793" s="1">
        <f t="shared" si="62"/>
        <v>44704</v>
      </c>
      <c r="G793" s="1" t="s">
        <v>592</v>
      </c>
      <c r="H793" s="2">
        <v>45269</v>
      </c>
      <c r="I793" t="s">
        <v>26</v>
      </c>
      <c r="J793">
        <v>2</v>
      </c>
      <c r="K793">
        <v>47862.05</v>
      </c>
      <c r="L793" t="s">
        <v>391</v>
      </c>
      <c r="M793">
        <v>53</v>
      </c>
      <c r="N793" t="s">
        <v>61</v>
      </c>
      <c r="O793" s="3" t="s">
        <v>28</v>
      </c>
      <c r="P793" t="s">
        <v>40</v>
      </c>
      <c r="Q793" t="s">
        <v>30</v>
      </c>
      <c r="R793">
        <v>3</v>
      </c>
      <c r="S793" t="s">
        <v>34</v>
      </c>
      <c r="T793" s="4">
        <f t="shared" si="63"/>
        <v>95724.1</v>
      </c>
      <c r="U793" s="4" t="str">
        <f t="shared" si="64"/>
        <v>Average</v>
      </c>
      <c r="V793" s="4" t="str">
        <f t="shared" si="65"/>
        <v>Average</v>
      </c>
      <c r="W793" s="4"/>
      <c r="X793" s="4"/>
      <c r="AJ793" s="4"/>
    </row>
    <row r="794" spans="1:36">
      <c r="A794" t="str">
        <f t="shared" si="61"/>
        <v>Radh18793</v>
      </c>
      <c r="B794">
        <v>793</v>
      </c>
      <c r="C794">
        <v>24</v>
      </c>
      <c r="D794">
        <v>5</v>
      </c>
      <c r="E794">
        <v>2022</v>
      </c>
      <c r="F794" s="1">
        <f t="shared" si="62"/>
        <v>44705</v>
      </c>
      <c r="G794" s="1" t="s">
        <v>592</v>
      </c>
      <c r="H794" s="2">
        <v>45270</v>
      </c>
      <c r="I794" t="s">
        <v>19</v>
      </c>
      <c r="J794">
        <v>3</v>
      </c>
      <c r="K794">
        <v>67194.23</v>
      </c>
      <c r="L794" t="s">
        <v>391</v>
      </c>
      <c r="M794">
        <v>18</v>
      </c>
      <c r="N794" t="s">
        <v>36</v>
      </c>
      <c r="O794" s="3" t="s">
        <v>22</v>
      </c>
      <c r="P794" t="s">
        <v>70</v>
      </c>
      <c r="Q794" t="s">
        <v>30</v>
      </c>
      <c r="R794">
        <v>5</v>
      </c>
      <c r="S794" t="s">
        <v>37</v>
      </c>
      <c r="T794" s="4">
        <f t="shared" si="63"/>
        <v>201582.69</v>
      </c>
      <c r="U794" s="4" t="str">
        <f t="shared" si="64"/>
        <v>Good</v>
      </c>
      <c r="V794" s="4" t="str">
        <f t="shared" si="65"/>
        <v>Excellent</v>
      </c>
      <c r="W794" s="4"/>
      <c r="X794" s="4"/>
      <c r="AJ794" s="4"/>
    </row>
    <row r="795" spans="1:36">
      <c r="A795" t="str">
        <f t="shared" si="61"/>
        <v>Tapa51794</v>
      </c>
      <c r="B795">
        <v>794</v>
      </c>
      <c r="C795">
        <v>24</v>
      </c>
      <c r="D795">
        <v>5</v>
      </c>
      <c r="E795">
        <v>2022</v>
      </c>
      <c r="F795" s="1">
        <f t="shared" si="62"/>
        <v>44705</v>
      </c>
      <c r="G795" s="1" t="s">
        <v>592</v>
      </c>
      <c r="H795" s="2">
        <v>45271</v>
      </c>
      <c r="I795" t="s">
        <v>43</v>
      </c>
      <c r="J795">
        <v>7</v>
      </c>
      <c r="K795">
        <v>42459.17</v>
      </c>
      <c r="L795" t="s">
        <v>380</v>
      </c>
      <c r="M795">
        <v>51</v>
      </c>
      <c r="N795" t="s">
        <v>61</v>
      </c>
      <c r="O795" s="3" t="s">
        <v>22</v>
      </c>
      <c r="P795" t="s">
        <v>33</v>
      </c>
      <c r="Q795" t="s">
        <v>41</v>
      </c>
      <c r="R795">
        <v>5</v>
      </c>
      <c r="S795" t="s">
        <v>95</v>
      </c>
      <c r="T795" s="4">
        <f t="shared" si="63"/>
        <v>297214.19</v>
      </c>
      <c r="U795" s="4" t="str">
        <f t="shared" si="64"/>
        <v>Good</v>
      </c>
      <c r="V795" s="4" t="str">
        <f t="shared" si="65"/>
        <v>Excellent</v>
      </c>
      <c r="W795" s="4"/>
      <c r="X795" s="4"/>
      <c r="AJ795" s="4"/>
    </row>
    <row r="796" spans="1:36">
      <c r="A796" t="str">
        <f t="shared" si="61"/>
        <v>Sumi34795</v>
      </c>
      <c r="B796">
        <v>795</v>
      </c>
      <c r="C796">
        <v>24</v>
      </c>
      <c r="D796">
        <v>5</v>
      </c>
      <c r="E796">
        <v>2022</v>
      </c>
      <c r="F796" s="1">
        <f t="shared" si="62"/>
        <v>44705</v>
      </c>
      <c r="G796" s="1" t="s">
        <v>592</v>
      </c>
      <c r="H796" s="2">
        <v>45272</v>
      </c>
      <c r="I796" t="s">
        <v>19</v>
      </c>
      <c r="J796">
        <v>2</v>
      </c>
      <c r="K796">
        <v>52916.02</v>
      </c>
      <c r="L796" t="s">
        <v>630</v>
      </c>
      <c r="M796">
        <v>34</v>
      </c>
      <c r="N796" t="s">
        <v>21</v>
      </c>
      <c r="O796" s="3" t="s">
        <v>28</v>
      </c>
      <c r="P796" t="s">
        <v>23</v>
      </c>
      <c r="Q796" t="s">
        <v>30</v>
      </c>
      <c r="R796">
        <v>3</v>
      </c>
      <c r="S796" t="s">
        <v>37</v>
      </c>
      <c r="T796" s="4">
        <f t="shared" si="63"/>
        <v>105832.04</v>
      </c>
      <c r="U796" s="4" t="str">
        <f t="shared" si="64"/>
        <v>Average</v>
      </c>
      <c r="V796" s="4" t="str">
        <f t="shared" si="65"/>
        <v>Good</v>
      </c>
      <c r="W796" s="4"/>
      <c r="X796" s="4"/>
      <c r="AJ796" s="4"/>
    </row>
    <row r="797" spans="1:36">
      <c r="A797" t="str">
        <f t="shared" si="61"/>
        <v>Sach56796</v>
      </c>
      <c r="B797">
        <v>796</v>
      </c>
      <c r="C797">
        <v>24</v>
      </c>
      <c r="D797">
        <v>5</v>
      </c>
      <c r="E797">
        <v>2022</v>
      </c>
      <c r="F797" s="1">
        <f t="shared" si="62"/>
        <v>44705</v>
      </c>
      <c r="G797" s="1" t="s">
        <v>592</v>
      </c>
      <c r="H797" s="2">
        <v>45273</v>
      </c>
      <c r="I797" t="s">
        <v>38</v>
      </c>
      <c r="J797">
        <v>6</v>
      </c>
      <c r="K797">
        <v>43403.94</v>
      </c>
      <c r="L797" t="s">
        <v>631</v>
      </c>
      <c r="M797">
        <v>56</v>
      </c>
      <c r="N797" t="s">
        <v>61</v>
      </c>
      <c r="O797" s="3" t="s">
        <v>22</v>
      </c>
      <c r="P797" t="s">
        <v>29</v>
      </c>
      <c r="Q797" t="s">
        <v>24</v>
      </c>
      <c r="R797">
        <v>4</v>
      </c>
      <c r="S797" t="s">
        <v>99</v>
      </c>
      <c r="T797" s="4">
        <f t="shared" si="63"/>
        <v>260423.64</v>
      </c>
      <c r="U797" s="4" t="str">
        <f t="shared" si="64"/>
        <v>Good</v>
      </c>
      <c r="V797" s="4" t="str">
        <f t="shared" si="65"/>
        <v>Excellent</v>
      </c>
      <c r="W797" s="4"/>
      <c r="X797" s="4"/>
      <c r="AJ797" s="4"/>
    </row>
    <row r="798" spans="1:36">
      <c r="A798" t="str">
        <f t="shared" si="61"/>
        <v>Suni55797</v>
      </c>
      <c r="B798">
        <v>797</v>
      </c>
      <c r="C798">
        <v>25</v>
      </c>
      <c r="D798">
        <v>5</v>
      </c>
      <c r="E798">
        <v>2022</v>
      </c>
      <c r="F798" s="1">
        <f t="shared" si="62"/>
        <v>44706</v>
      </c>
      <c r="G798" s="1" t="s">
        <v>592</v>
      </c>
      <c r="H798" s="2">
        <v>45274</v>
      </c>
      <c r="I798" t="s">
        <v>38</v>
      </c>
      <c r="J798">
        <v>5</v>
      </c>
      <c r="K798">
        <v>61284.44</v>
      </c>
      <c r="L798" t="s">
        <v>172</v>
      </c>
      <c r="M798">
        <v>55</v>
      </c>
      <c r="N798" t="s">
        <v>61</v>
      </c>
      <c r="O798" s="3" t="s">
        <v>22</v>
      </c>
      <c r="P798" t="s">
        <v>33</v>
      </c>
      <c r="Q798" t="s">
        <v>41</v>
      </c>
      <c r="R798">
        <v>4</v>
      </c>
      <c r="S798" t="s">
        <v>99</v>
      </c>
      <c r="T798" s="4">
        <f t="shared" si="63"/>
        <v>306422.2</v>
      </c>
      <c r="U798" s="4" t="str">
        <f t="shared" si="64"/>
        <v>Good</v>
      </c>
      <c r="V798" s="4" t="str">
        <f t="shared" si="65"/>
        <v>Excellent</v>
      </c>
      <c r="W798" s="4"/>
      <c r="X798" s="4"/>
      <c r="AJ798" s="4"/>
    </row>
    <row r="799" spans="1:36">
      <c r="A799" t="str">
        <f t="shared" si="61"/>
        <v>Bina50798</v>
      </c>
      <c r="B799">
        <v>798</v>
      </c>
      <c r="C799">
        <v>25</v>
      </c>
      <c r="D799">
        <v>5</v>
      </c>
      <c r="E799">
        <v>2022</v>
      </c>
      <c r="F799" s="1">
        <f t="shared" si="62"/>
        <v>44706</v>
      </c>
      <c r="G799" s="1" t="s">
        <v>592</v>
      </c>
      <c r="H799" s="2">
        <v>45275</v>
      </c>
      <c r="I799" t="s">
        <v>49</v>
      </c>
      <c r="J799">
        <v>1</v>
      </c>
      <c r="K799">
        <v>65774.990000000005</v>
      </c>
      <c r="L799" t="s">
        <v>145</v>
      </c>
      <c r="M799">
        <v>50</v>
      </c>
      <c r="N799" t="s">
        <v>61</v>
      </c>
      <c r="O799" s="3" t="s">
        <v>22</v>
      </c>
      <c r="P799" t="s">
        <v>23</v>
      </c>
      <c r="Q799" t="s">
        <v>30</v>
      </c>
      <c r="R799">
        <v>5</v>
      </c>
      <c r="S799" t="s">
        <v>102</v>
      </c>
      <c r="T799" s="4">
        <f t="shared" si="63"/>
        <v>65774.990000000005</v>
      </c>
      <c r="U799" s="4" t="str">
        <f t="shared" si="64"/>
        <v>Good</v>
      </c>
      <c r="V799" s="4" t="str">
        <f t="shared" si="65"/>
        <v>Average</v>
      </c>
      <c r="W799" s="4"/>
      <c r="X799" s="4"/>
      <c r="AJ799" s="4"/>
    </row>
    <row r="800" spans="1:36">
      <c r="A800" t="str">
        <f t="shared" si="61"/>
        <v>Arun38799</v>
      </c>
      <c r="B800">
        <v>799</v>
      </c>
      <c r="C800">
        <v>25</v>
      </c>
      <c r="D800">
        <v>5</v>
      </c>
      <c r="E800">
        <v>2022</v>
      </c>
      <c r="F800" s="1">
        <f t="shared" si="62"/>
        <v>44706</v>
      </c>
      <c r="G800" s="1" t="s">
        <v>592</v>
      </c>
      <c r="H800" s="2">
        <v>45276</v>
      </c>
      <c r="I800" t="s">
        <v>49</v>
      </c>
      <c r="J800">
        <v>4</v>
      </c>
      <c r="K800">
        <v>21053.19</v>
      </c>
      <c r="L800" t="s">
        <v>632</v>
      </c>
      <c r="M800">
        <v>38</v>
      </c>
      <c r="N800" t="s">
        <v>21</v>
      </c>
      <c r="O800" s="3" t="s">
        <v>22</v>
      </c>
      <c r="P800" t="s">
        <v>132</v>
      </c>
      <c r="Q800" t="s">
        <v>41</v>
      </c>
      <c r="R800">
        <v>4</v>
      </c>
      <c r="S800" t="s">
        <v>88</v>
      </c>
      <c r="T800" s="4">
        <f t="shared" si="63"/>
        <v>84212.76</v>
      </c>
      <c r="U800" s="4" t="str">
        <f t="shared" si="64"/>
        <v>Good</v>
      </c>
      <c r="V800" s="4" t="str">
        <f t="shared" si="65"/>
        <v>Average</v>
      </c>
      <c r="W800" s="4"/>
      <c r="X800" s="4"/>
      <c r="AJ800" s="4"/>
    </row>
    <row r="801" spans="1:36">
      <c r="A801" t="str">
        <f t="shared" si="61"/>
        <v>Jyot43800</v>
      </c>
      <c r="B801">
        <v>800</v>
      </c>
      <c r="C801">
        <v>26</v>
      </c>
      <c r="D801">
        <v>5</v>
      </c>
      <c r="E801">
        <v>2022</v>
      </c>
      <c r="F801" s="1">
        <f t="shared" si="62"/>
        <v>44707</v>
      </c>
      <c r="G801" s="1" t="s">
        <v>592</v>
      </c>
      <c r="H801" s="2">
        <v>45277</v>
      </c>
      <c r="I801" t="s">
        <v>38</v>
      </c>
      <c r="J801">
        <v>2</v>
      </c>
      <c r="K801">
        <v>36211.599999999999</v>
      </c>
      <c r="L801" t="s">
        <v>124</v>
      </c>
      <c r="M801">
        <v>43</v>
      </c>
      <c r="N801" t="s">
        <v>21</v>
      </c>
      <c r="O801" s="3" t="s">
        <v>22</v>
      </c>
      <c r="P801" t="s">
        <v>29</v>
      </c>
      <c r="Q801" t="s">
        <v>24</v>
      </c>
      <c r="R801">
        <v>5</v>
      </c>
      <c r="S801" t="s">
        <v>48</v>
      </c>
      <c r="T801" s="4">
        <f t="shared" si="63"/>
        <v>72423.199999999997</v>
      </c>
      <c r="U801" s="4" t="str">
        <f t="shared" si="64"/>
        <v>Good</v>
      </c>
      <c r="V801" s="4" t="str">
        <f t="shared" si="65"/>
        <v>Average</v>
      </c>
      <c r="W801" s="4"/>
      <c r="X801" s="4"/>
      <c r="AJ801" s="4"/>
    </row>
    <row r="802" spans="1:36">
      <c r="A802" t="str">
        <f t="shared" si="61"/>
        <v>Suni53801</v>
      </c>
      <c r="B802">
        <v>801</v>
      </c>
      <c r="C802">
        <v>26</v>
      </c>
      <c r="D802">
        <v>5</v>
      </c>
      <c r="E802">
        <v>2022</v>
      </c>
      <c r="F802" s="1">
        <f t="shared" si="62"/>
        <v>44707</v>
      </c>
      <c r="G802" s="1" t="s">
        <v>592</v>
      </c>
      <c r="H802" s="2">
        <v>45278</v>
      </c>
      <c r="I802" t="s">
        <v>38</v>
      </c>
      <c r="J802">
        <v>4</v>
      </c>
      <c r="K802">
        <v>33542.93</v>
      </c>
      <c r="L802" t="s">
        <v>260</v>
      </c>
      <c r="M802">
        <v>53</v>
      </c>
      <c r="N802" t="s">
        <v>61</v>
      </c>
      <c r="O802" s="3" t="s">
        <v>22</v>
      </c>
      <c r="P802" t="s">
        <v>64</v>
      </c>
      <c r="Q802" t="s">
        <v>30</v>
      </c>
      <c r="R802">
        <v>5</v>
      </c>
      <c r="S802" t="s">
        <v>99</v>
      </c>
      <c r="T802" s="4">
        <f t="shared" si="63"/>
        <v>134171.72</v>
      </c>
      <c r="U802" s="4" t="str">
        <f t="shared" si="64"/>
        <v>Good</v>
      </c>
      <c r="V802" s="4" t="str">
        <f t="shared" si="65"/>
        <v>Good</v>
      </c>
      <c r="W802" s="4"/>
      <c r="X802" s="4"/>
      <c r="AJ802" s="4"/>
    </row>
    <row r="803" spans="1:36">
      <c r="A803" t="str">
        <f t="shared" si="61"/>
        <v>Kira22802</v>
      </c>
      <c r="B803">
        <v>802</v>
      </c>
      <c r="C803">
        <v>26</v>
      </c>
      <c r="D803">
        <v>5</v>
      </c>
      <c r="E803">
        <v>2022</v>
      </c>
      <c r="F803" s="1">
        <f t="shared" si="62"/>
        <v>44707</v>
      </c>
      <c r="G803" s="1" t="s">
        <v>592</v>
      </c>
      <c r="H803" s="2">
        <v>45279</v>
      </c>
      <c r="I803" t="s">
        <v>38</v>
      </c>
      <c r="J803">
        <v>1</v>
      </c>
      <c r="K803">
        <v>34312.910000000003</v>
      </c>
      <c r="L803" t="s">
        <v>610</v>
      </c>
      <c r="M803">
        <v>22</v>
      </c>
      <c r="N803" t="s">
        <v>36</v>
      </c>
      <c r="O803" s="3" t="s">
        <v>22</v>
      </c>
      <c r="P803" t="s">
        <v>93</v>
      </c>
      <c r="Q803" t="s">
        <v>41</v>
      </c>
      <c r="R803">
        <v>5</v>
      </c>
      <c r="S803" t="s">
        <v>48</v>
      </c>
      <c r="T803" s="4">
        <f t="shared" si="63"/>
        <v>34312.910000000003</v>
      </c>
      <c r="U803" s="4" t="str">
        <f t="shared" si="64"/>
        <v>Good</v>
      </c>
      <c r="V803" s="4" t="str">
        <f t="shared" si="65"/>
        <v>Low</v>
      </c>
      <c r="W803" s="4"/>
      <c r="X803" s="4"/>
      <c r="AJ803" s="4"/>
    </row>
    <row r="804" spans="1:36">
      <c r="A804" t="str">
        <f t="shared" si="61"/>
        <v>Meen50803</v>
      </c>
      <c r="B804">
        <v>803</v>
      </c>
      <c r="C804">
        <v>27</v>
      </c>
      <c r="D804">
        <v>5</v>
      </c>
      <c r="E804">
        <v>2022</v>
      </c>
      <c r="F804" s="1">
        <f t="shared" si="62"/>
        <v>44708</v>
      </c>
      <c r="G804" s="1" t="s">
        <v>592</v>
      </c>
      <c r="H804" s="2">
        <v>45280</v>
      </c>
      <c r="I804" t="s">
        <v>19</v>
      </c>
      <c r="J804">
        <v>2</v>
      </c>
      <c r="K804">
        <v>17531.45</v>
      </c>
      <c r="L804" t="s">
        <v>633</v>
      </c>
      <c r="M804">
        <v>50</v>
      </c>
      <c r="N804" t="s">
        <v>61</v>
      </c>
      <c r="O804" s="3" t="s">
        <v>55</v>
      </c>
      <c r="P804" t="s">
        <v>150</v>
      </c>
      <c r="Q804" t="s">
        <v>30</v>
      </c>
      <c r="R804">
        <v>2</v>
      </c>
      <c r="S804" t="s">
        <v>84</v>
      </c>
      <c r="T804" s="4">
        <f t="shared" si="63"/>
        <v>35062.9</v>
      </c>
      <c r="U804" s="4" t="str">
        <f t="shared" si="64"/>
        <v>Average</v>
      </c>
      <c r="V804" s="4" t="str">
        <f t="shared" si="65"/>
        <v>Low</v>
      </c>
      <c r="W804" s="4"/>
      <c r="X804" s="4"/>
      <c r="AJ804" s="4"/>
    </row>
    <row r="805" spans="1:36">
      <c r="A805" t="str">
        <f t="shared" si="61"/>
        <v>Mala18804</v>
      </c>
      <c r="B805">
        <v>804</v>
      </c>
      <c r="C805">
        <v>27</v>
      </c>
      <c r="D805">
        <v>5</v>
      </c>
      <c r="E805">
        <v>2022</v>
      </c>
      <c r="F805" s="1">
        <f t="shared" si="62"/>
        <v>44708</v>
      </c>
      <c r="G805" s="1" t="s">
        <v>592</v>
      </c>
      <c r="H805" s="2">
        <v>45281</v>
      </c>
      <c r="I805" t="s">
        <v>38</v>
      </c>
      <c r="J805">
        <v>8</v>
      </c>
      <c r="K805">
        <v>58816.94</v>
      </c>
      <c r="L805" t="s">
        <v>118</v>
      </c>
      <c r="M805">
        <v>18</v>
      </c>
      <c r="N805" t="s">
        <v>36</v>
      </c>
      <c r="O805" s="3" t="s">
        <v>22</v>
      </c>
      <c r="P805" t="s">
        <v>29</v>
      </c>
      <c r="Q805" t="s">
        <v>41</v>
      </c>
      <c r="R805">
        <v>4</v>
      </c>
      <c r="S805" t="s">
        <v>42</v>
      </c>
      <c r="T805" s="4">
        <f t="shared" si="63"/>
        <v>470535.52</v>
      </c>
      <c r="U805" s="4" t="str">
        <f t="shared" si="64"/>
        <v>Good</v>
      </c>
      <c r="V805" s="4" t="str">
        <f t="shared" si="65"/>
        <v>Excellent</v>
      </c>
      <c r="W805" s="4"/>
      <c r="X805" s="4"/>
      <c r="AJ805" s="4"/>
    </row>
    <row r="806" spans="1:36">
      <c r="A806" t="str">
        <f t="shared" si="61"/>
        <v>Anit23805</v>
      </c>
      <c r="B806">
        <v>805</v>
      </c>
      <c r="C806">
        <v>27</v>
      </c>
      <c r="D806">
        <v>5</v>
      </c>
      <c r="E806">
        <v>2022</v>
      </c>
      <c r="F806" s="1">
        <f t="shared" si="62"/>
        <v>44708</v>
      </c>
      <c r="G806" s="1" t="s">
        <v>592</v>
      </c>
      <c r="H806" s="2">
        <v>45282</v>
      </c>
      <c r="I806" t="s">
        <v>26</v>
      </c>
      <c r="J806">
        <v>6</v>
      </c>
      <c r="K806">
        <v>12145.97</v>
      </c>
      <c r="L806" t="s">
        <v>291</v>
      </c>
      <c r="M806">
        <v>23</v>
      </c>
      <c r="N806" t="s">
        <v>36</v>
      </c>
      <c r="O806" s="3" t="s">
        <v>22</v>
      </c>
      <c r="P806" t="s">
        <v>29</v>
      </c>
      <c r="Q806" t="s">
        <v>41</v>
      </c>
      <c r="R806">
        <v>4</v>
      </c>
      <c r="S806" t="s">
        <v>34</v>
      </c>
      <c r="T806" s="4">
        <f t="shared" si="63"/>
        <v>72875.819999999992</v>
      </c>
      <c r="U806" s="4" t="str">
        <f t="shared" si="64"/>
        <v>Good</v>
      </c>
      <c r="V806" s="4" t="str">
        <f t="shared" si="65"/>
        <v>Average</v>
      </c>
      <c r="W806" s="4"/>
      <c r="X806" s="4"/>
      <c r="AJ806" s="4"/>
    </row>
    <row r="807" spans="1:36">
      <c r="A807" t="str">
        <f t="shared" si="61"/>
        <v>Sach54806</v>
      </c>
      <c r="B807">
        <v>806</v>
      </c>
      <c r="C807">
        <v>27</v>
      </c>
      <c r="D807">
        <v>5</v>
      </c>
      <c r="E807">
        <v>2022</v>
      </c>
      <c r="F807" s="1">
        <f t="shared" si="62"/>
        <v>44708</v>
      </c>
      <c r="G807" s="1" t="s">
        <v>592</v>
      </c>
      <c r="H807" s="2">
        <v>45283</v>
      </c>
      <c r="I807" t="s">
        <v>43</v>
      </c>
      <c r="J807">
        <v>2</v>
      </c>
      <c r="K807">
        <v>41693.599999999999</v>
      </c>
      <c r="L807" t="s">
        <v>198</v>
      </c>
      <c r="M807">
        <v>54</v>
      </c>
      <c r="N807" t="s">
        <v>61</v>
      </c>
      <c r="O807" s="3" t="s">
        <v>28</v>
      </c>
      <c r="P807" t="s">
        <v>110</v>
      </c>
      <c r="Q807" t="s">
        <v>24</v>
      </c>
      <c r="R807">
        <v>3</v>
      </c>
      <c r="S807" t="s">
        <v>57</v>
      </c>
      <c r="T807" s="4">
        <f t="shared" si="63"/>
        <v>83387.199999999997</v>
      </c>
      <c r="U807" s="4" t="str">
        <f t="shared" si="64"/>
        <v>Average</v>
      </c>
      <c r="V807" s="4" t="str">
        <f t="shared" si="65"/>
        <v>Average</v>
      </c>
      <c r="W807" s="4"/>
      <c r="X807" s="4"/>
      <c r="AJ807" s="4"/>
    </row>
    <row r="808" spans="1:36">
      <c r="A808" t="str">
        <f t="shared" si="61"/>
        <v>Pank19807</v>
      </c>
      <c r="B808">
        <v>807</v>
      </c>
      <c r="C808">
        <v>28</v>
      </c>
      <c r="D808">
        <v>5</v>
      </c>
      <c r="E808">
        <v>2022</v>
      </c>
      <c r="F808" s="1">
        <f t="shared" si="62"/>
        <v>44709</v>
      </c>
      <c r="G808" s="1" t="s">
        <v>592</v>
      </c>
      <c r="H808" s="2">
        <v>45284</v>
      </c>
      <c r="I808" t="s">
        <v>38</v>
      </c>
      <c r="J808">
        <v>6</v>
      </c>
      <c r="K808">
        <v>49712.7</v>
      </c>
      <c r="L808" t="s">
        <v>94</v>
      </c>
      <c r="M808">
        <v>19</v>
      </c>
      <c r="N808" t="s">
        <v>36</v>
      </c>
      <c r="O808" s="3" t="s">
        <v>55</v>
      </c>
      <c r="P808" t="s">
        <v>70</v>
      </c>
      <c r="Q808" t="s">
        <v>24</v>
      </c>
      <c r="R808">
        <v>2</v>
      </c>
      <c r="S808" t="s">
        <v>99</v>
      </c>
      <c r="T808" s="4">
        <f t="shared" si="63"/>
        <v>298276.19999999995</v>
      </c>
      <c r="U808" s="4" t="str">
        <f t="shared" si="64"/>
        <v>Average</v>
      </c>
      <c r="V808" s="4" t="str">
        <f t="shared" si="65"/>
        <v>Excellent</v>
      </c>
      <c r="W808" s="4"/>
      <c r="X808" s="4"/>
      <c r="AJ808" s="4"/>
    </row>
    <row r="809" spans="1:36">
      <c r="A809" t="str">
        <f t="shared" si="61"/>
        <v>Pras22808</v>
      </c>
      <c r="B809">
        <v>808</v>
      </c>
      <c r="C809">
        <v>28</v>
      </c>
      <c r="D809">
        <v>5</v>
      </c>
      <c r="E809">
        <v>2022</v>
      </c>
      <c r="F809" s="1">
        <f t="shared" si="62"/>
        <v>44709</v>
      </c>
      <c r="G809" s="1" t="s">
        <v>592</v>
      </c>
      <c r="H809" s="2">
        <v>45285</v>
      </c>
      <c r="I809" t="s">
        <v>43</v>
      </c>
      <c r="J809">
        <v>9</v>
      </c>
      <c r="K809">
        <v>22448.17</v>
      </c>
      <c r="L809" t="s">
        <v>634</v>
      </c>
      <c r="M809">
        <v>22</v>
      </c>
      <c r="N809" t="s">
        <v>36</v>
      </c>
      <c r="O809" s="3" t="s">
        <v>28</v>
      </c>
      <c r="P809" t="s">
        <v>77</v>
      </c>
      <c r="Q809" t="s">
        <v>30</v>
      </c>
      <c r="R809">
        <v>3</v>
      </c>
      <c r="S809" t="s">
        <v>57</v>
      </c>
      <c r="T809" s="4">
        <f t="shared" si="63"/>
        <v>202033.52999999997</v>
      </c>
      <c r="U809" s="4" t="str">
        <f t="shared" si="64"/>
        <v>Average</v>
      </c>
      <c r="V809" s="4" t="str">
        <f t="shared" si="65"/>
        <v>Excellent</v>
      </c>
      <c r="W809" s="4"/>
      <c r="X809" s="4"/>
      <c r="AJ809" s="4"/>
    </row>
    <row r="810" spans="1:36">
      <c r="A810" t="str">
        <f t="shared" si="61"/>
        <v>Navi43809</v>
      </c>
      <c r="B810">
        <v>809</v>
      </c>
      <c r="C810">
        <v>28</v>
      </c>
      <c r="D810">
        <v>5</v>
      </c>
      <c r="E810">
        <v>2022</v>
      </c>
      <c r="F810" s="1">
        <f t="shared" si="62"/>
        <v>44709</v>
      </c>
      <c r="G810" s="1" t="s">
        <v>592</v>
      </c>
      <c r="H810" s="2">
        <v>45286</v>
      </c>
      <c r="I810" t="s">
        <v>19</v>
      </c>
      <c r="J810">
        <v>7</v>
      </c>
      <c r="K810">
        <v>64351.01</v>
      </c>
      <c r="L810" t="s">
        <v>635</v>
      </c>
      <c r="M810">
        <v>43</v>
      </c>
      <c r="N810" t="s">
        <v>21</v>
      </c>
      <c r="O810" s="3" t="s">
        <v>22</v>
      </c>
      <c r="P810" t="s">
        <v>33</v>
      </c>
      <c r="Q810" t="s">
        <v>56</v>
      </c>
      <c r="R810">
        <v>5</v>
      </c>
      <c r="S810" t="s">
        <v>84</v>
      </c>
      <c r="T810" s="4">
        <f t="shared" si="63"/>
        <v>450457.07</v>
      </c>
      <c r="U810" s="4" t="str">
        <f t="shared" si="64"/>
        <v>Good</v>
      </c>
      <c r="V810" s="4" t="str">
        <f t="shared" si="65"/>
        <v>Excellent</v>
      </c>
      <c r="W810" s="4"/>
      <c r="X810" s="4"/>
      <c r="AJ810" s="4"/>
    </row>
    <row r="811" spans="1:36">
      <c r="A811" t="str">
        <f t="shared" si="61"/>
        <v>Pank58810</v>
      </c>
      <c r="B811">
        <v>810</v>
      </c>
      <c r="C811">
        <v>28</v>
      </c>
      <c r="D811">
        <v>5</v>
      </c>
      <c r="E811">
        <v>2022</v>
      </c>
      <c r="F811" s="1">
        <f t="shared" si="62"/>
        <v>44709</v>
      </c>
      <c r="G811" s="1" t="s">
        <v>592</v>
      </c>
      <c r="H811" s="2">
        <v>45287</v>
      </c>
      <c r="I811" t="s">
        <v>43</v>
      </c>
      <c r="J811">
        <v>9</v>
      </c>
      <c r="K811">
        <v>60312.95</v>
      </c>
      <c r="L811" t="s">
        <v>47</v>
      </c>
      <c r="M811">
        <v>58</v>
      </c>
      <c r="N811" t="s">
        <v>61</v>
      </c>
      <c r="O811" s="3" t="s">
        <v>22</v>
      </c>
      <c r="P811" t="s">
        <v>132</v>
      </c>
      <c r="Q811" t="s">
        <v>30</v>
      </c>
      <c r="R811">
        <v>5</v>
      </c>
      <c r="S811" t="s">
        <v>57</v>
      </c>
      <c r="T811" s="4">
        <f t="shared" si="63"/>
        <v>542816.54999999993</v>
      </c>
      <c r="U811" s="4" t="str">
        <f t="shared" si="64"/>
        <v>Good</v>
      </c>
      <c r="V811" s="4" t="str">
        <f t="shared" si="65"/>
        <v>Excellent</v>
      </c>
      <c r="W811" s="4"/>
      <c r="X811" s="4"/>
      <c r="AJ811" s="4"/>
    </row>
    <row r="812" spans="1:36">
      <c r="A812" t="str">
        <f t="shared" si="61"/>
        <v>Amit30811</v>
      </c>
      <c r="B812">
        <v>811</v>
      </c>
      <c r="C812">
        <v>29</v>
      </c>
      <c r="D812">
        <v>5</v>
      </c>
      <c r="E812">
        <v>2022</v>
      </c>
      <c r="F812" s="1">
        <f t="shared" si="62"/>
        <v>44710</v>
      </c>
      <c r="G812" s="1" t="s">
        <v>592</v>
      </c>
      <c r="H812" s="2">
        <v>45288</v>
      </c>
      <c r="I812" t="s">
        <v>19</v>
      </c>
      <c r="J812">
        <v>5</v>
      </c>
      <c r="K812">
        <v>38265.019999999997</v>
      </c>
      <c r="L812" t="s">
        <v>636</v>
      </c>
      <c r="M812">
        <v>30</v>
      </c>
      <c r="N812" t="s">
        <v>36</v>
      </c>
      <c r="O812" s="3" t="s">
        <v>22</v>
      </c>
      <c r="P812" t="s">
        <v>29</v>
      </c>
      <c r="Q812" t="s">
        <v>41</v>
      </c>
      <c r="R812">
        <v>4</v>
      </c>
      <c r="S812" t="s">
        <v>37</v>
      </c>
      <c r="T812" s="4">
        <f t="shared" si="63"/>
        <v>191325.09999999998</v>
      </c>
      <c r="U812" s="4" t="str">
        <f t="shared" si="64"/>
        <v>Good</v>
      </c>
      <c r="V812" s="4" t="str">
        <f t="shared" si="65"/>
        <v>Good</v>
      </c>
      <c r="W812" s="4"/>
      <c r="X812" s="4"/>
      <c r="AJ812" s="4"/>
    </row>
    <row r="813" spans="1:36">
      <c r="A813" t="str">
        <f t="shared" si="61"/>
        <v>Pras29812</v>
      </c>
      <c r="B813">
        <v>812</v>
      </c>
      <c r="C813">
        <v>29</v>
      </c>
      <c r="D813">
        <v>5</v>
      </c>
      <c r="E813">
        <v>2022</v>
      </c>
      <c r="F813" s="1">
        <f t="shared" si="62"/>
        <v>44710</v>
      </c>
      <c r="G813" s="1" t="s">
        <v>592</v>
      </c>
      <c r="H813" s="2">
        <v>45289</v>
      </c>
      <c r="I813" t="s">
        <v>26</v>
      </c>
      <c r="J813">
        <v>7</v>
      </c>
      <c r="K813">
        <v>34668.94</v>
      </c>
      <c r="L813" t="s">
        <v>637</v>
      </c>
      <c r="M813">
        <v>29</v>
      </c>
      <c r="N813" t="s">
        <v>36</v>
      </c>
      <c r="O813" s="3" t="s">
        <v>22</v>
      </c>
      <c r="P813" t="s">
        <v>33</v>
      </c>
      <c r="Q813" t="s">
        <v>24</v>
      </c>
      <c r="R813">
        <v>5</v>
      </c>
      <c r="S813" t="s">
        <v>31</v>
      </c>
      <c r="T813" s="4">
        <f t="shared" si="63"/>
        <v>242682.58000000002</v>
      </c>
      <c r="U813" s="4" t="str">
        <f t="shared" si="64"/>
        <v>Good</v>
      </c>
      <c r="V813" s="4" t="str">
        <f t="shared" si="65"/>
        <v>Excellent</v>
      </c>
      <c r="W813" s="4"/>
      <c r="X813" s="4"/>
      <c r="AJ813" s="4"/>
    </row>
    <row r="814" spans="1:36">
      <c r="A814" t="str">
        <f t="shared" si="61"/>
        <v>Jyot22813</v>
      </c>
      <c r="B814">
        <v>813</v>
      </c>
      <c r="C814">
        <v>29</v>
      </c>
      <c r="D814">
        <v>5</v>
      </c>
      <c r="E814">
        <v>2022</v>
      </c>
      <c r="F814" s="1">
        <f t="shared" si="62"/>
        <v>44710</v>
      </c>
      <c r="G814" s="1" t="s">
        <v>592</v>
      </c>
      <c r="H814" s="2">
        <v>45290</v>
      </c>
      <c r="I814" t="s">
        <v>19</v>
      </c>
      <c r="J814">
        <v>7</v>
      </c>
      <c r="K814">
        <v>24194.080000000002</v>
      </c>
      <c r="L814" t="s">
        <v>638</v>
      </c>
      <c r="M814">
        <v>22</v>
      </c>
      <c r="N814" t="s">
        <v>36</v>
      </c>
      <c r="O814" s="3" t="s">
        <v>22</v>
      </c>
      <c r="P814" t="s">
        <v>117</v>
      </c>
      <c r="Q814" t="s">
        <v>24</v>
      </c>
      <c r="R814">
        <v>5</v>
      </c>
      <c r="S814" t="s">
        <v>84</v>
      </c>
      <c r="T814" s="4">
        <f t="shared" si="63"/>
        <v>169358.56</v>
      </c>
      <c r="U814" s="4" t="str">
        <f t="shared" si="64"/>
        <v>Good</v>
      </c>
      <c r="V814" s="4" t="str">
        <f t="shared" si="65"/>
        <v>Good</v>
      </c>
      <c r="W814" s="4"/>
      <c r="X814" s="4"/>
      <c r="AJ814" s="4"/>
    </row>
    <row r="815" spans="1:36">
      <c r="A815" t="str">
        <f t="shared" si="61"/>
        <v>Meen19814</v>
      </c>
      <c r="B815">
        <v>814</v>
      </c>
      <c r="C815">
        <v>29</v>
      </c>
      <c r="D815">
        <v>5</v>
      </c>
      <c r="E815">
        <v>2022</v>
      </c>
      <c r="F815" s="1">
        <f t="shared" si="62"/>
        <v>44710</v>
      </c>
      <c r="G815" s="1" t="s">
        <v>592</v>
      </c>
      <c r="H815" s="2">
        <v>45291</v>
      </c>
      <c r="I815" t="s">
        <v>19</v>
      </c>
      <c r="J815">
        <v>3</v>
      </c>
      <c r="K815">
        <v>53799.59</v>
      </c>
      <c r="L815" t="s">
        <v>597</v>
      </c>
      <c r="M815">
        <v>19</v>
      </c>
      <c r="N815" t="s">
        <v>36</v>
      </c>
      <c r="O815" s="3" t="s">
        <v>22</v>
      </c>
      <c r="P815" t="s">
        <v>70</v>
      </c>
      <c r="Q815" t="s">
        <v>41</v>
      </c>
      <c r="R815">
        <v>5</v>
      </c>
      <c r="S815" t="s">
        <v>37</v>
      </c>
      <c r="T815" s="4">
        <f t="shared" si="63"/>
        <v>161398.76999999999</v>
      </c>
      <c r="U815" s="4" t="str">
        <f t="shared" si="64"/>
        <v>Good</v>
      </c>
      <c r="V815" s="4" t="str">
        <f t="shared" si="65"/>
        <v>Good</v>
      </c>
      <c r="W815" s="4"/>
      <c r="X815" s="4"/>
      <c r="AJ815" s="4"/>
    </row>
    <row r="816" spans="1:36">
      <c r="A816" t="str">
        <f t="shared" si="61"/>
        <v>Priy21815</v>
      </c>
      <c r="B816">
        <v>815</v>
      </c>
      <c r="C816">
        <v>30</v>
      </c>
      <c r="D816">
        <v>5</v>
      </c>
      <c r="E816">
        <v>2022</v>
      </c>
      <c r="F816" s="1">
        <f t="shared" si="62"/>
        <v>44711</v>
      </c>
      <c r="G816" s="1" t="s">
        <v>592</v>
      </c>
      <c r="H816" s="2">
        <v>45292</v>
      </c>
      <c r="I816" t="s">
        <v>49</v>
      </c>
      <c r="J816">
        <v>7</v>
      </c>
      <c r="K816">
        <v>17904.63</v>
      </c>
      <c r="L816" t="s">
        <v>212</v>
      </c>
      <c r="M816">
        <v>21</v>
      </c>
      <c r="N816" t="s">
        <v>36</v>
      </c>
      <c r="O816" s="3" t="s">
        <v>55</v>
      </c>
      <c r="P816" t="s">
        <v>29</v>
      </c>
      <c r="Q816" t="s">
        <v>56</v>
      </c>
      <c r="R816">
        <v>2</v>
      </c>
      <c r="S816" t="s">
        <v>102</v>
      </c>
      <c r="T816" s="4">
        <f t="shared" si="63"/>
        <v>125332.41</v>
      </c>
      <c r="U816" s="4" t="str">
        <f t="shared" si="64"/>
        <v>Average</v>
      </c>
      <c r="V816" s="4" t="str">
        <f t="shared" si="65"/>
        <v>Good</v>
      </c>
      <c r="W816" s="4"/>
      <c r="X816" s="4"/>
      <c r="AJ816" s="4"/>
    </row>
    <row r="817" spans="1:36">
      <c r="A817" t="str">
        <f t="shared" si="61"/>
        <v>Shru44816</v>
      </c>
      <c r="B817">
        <v>816</v>
      </c>
      <c r="C817">
        <v>30</v>
      </c>
      <c r="D817">
        <v>5</v>
      </c>
      <c r="E817">
        <v>2022</v>
      </c>
      <c r="F817" s="1">
        <f t="shared" si="62"/>
        <v>44711</v>
      </c>
      <c r="G817" s="1" t="s">
        <v>592</v>
      </c>
      <c r="H817" s="2">
        <v>45293</v>
      </c>
      <c r="I817" t="s">
        <v>38</v>
      </c>
      <c r="J817">
        <v>1</v>
      </c>
      <c r="K817">
        <v>50814.27</v>
      </c>
      <c r="L817" t="s">
        <v>639</v>
      </c>
      <c r="M817">
        <v>44</v>
      </c>
      <c r="N817" t="s">
        <v>21</v>
      </c>
      <c r="O817" s="3" t="s">
        <v>28</v>
      </c>
      <c r="P817" t="s">
        <v>64</v>
      </c>
      <c r="Q817" t="s">
        <v>24</v>
      </c>
      <c r="R817">
        <v>3</v>
      </c>
      <c r="S817" t="s">
        <v>42</v>
      </c>
      <c r="T817" s="4">
        <f t="shared" si="63"/>
        <v>50814.27</v>
      </c>
      <c r="U817" s="4" t="str">
        <f t="shared" si="64"/>
        <v>Average</v>
      </c>
      <c r="V817" s="4" t="str">
        <f t="shared" si="65"/>
        <v>Average</v>
      </c>
      <c r="W817" s="4"/>
      <c r="X817" s="4"/>
      <c r="AJ817" s="4"/>
    </row>
    <row r="818" spans="1:36">
      <c r="A818" t="str">
        <f t="shared" si="61"/>
        <v>Priy27817</v>
      </c>
      <c r="B818">
        <v>817</v>
      </c>
      <c r="C818">
        <v>30</v>
      </c>
      <c r="D818">
        <v>5</v>
      </c>
      <c r="E818">
        <v>2022</v>
      </c>
      <c r="F818" s="1">
        <f t="shared" si="62"/>
        <v>44711</v>
      </c>
      <c r="G818" s="1" t="s">
        <v>592</v>
      </c>
      <c r="H818" s="2">
        <v>45294</v>
      </c>
      <c r="I818" t="s">
        <v>38</v>
      </c>
      <c r="J818">
        <v>9</v>
      </c>
      <c r="K818">
        <v>60547.42</v>
      </c>
      <c r="L818" t="s">
        <v>441</v>
      </c>
      <c r="M818">
        <v>27</v>
      </c>
      <c r="N818" t="s">
        <v>36</v>
      </c>
      <c r="O818" s="3" t="s">
        <v>22</v>
      </c>
      <c r="P818" t="s">
        <v>45</v>
      </c>
      <c r="Q818" t="s">
        <v>56</v>
      </c>
      <c r="R818">
        <v>4</v>
      </c>
      <c r="S818" t="s">
        <v>48</v>
      </c>
      <c r="T818" s="4">
        <f t="shared" si="63"/>
        <v>544926.78</v>
      </c>
      <c r="U818" s="4" t="str">
        <f t="shared" si="64"/>
        <v>Good</v>
      </c>
      <c r="V818" s="4" t="str">
        <f t="shared" si="65"/>
        <v>Excellent</v>
      </c>
      <c r="W818" s="4"/>
      <c r="X818" s="4"/>
      <c r="AJ818" s="4"/>
    </row>
    <row r="819" spans="1:36">
      <c r="A819" t="str">
        <f t="shared" si="61"/>
        <v>Amit30818</v>
      </c>
      <c r="B819">
        <v>818</v>
      </c>
      <c r="C819">
        <v>30</v>
      </c>
      <c r="D819">
        <v>5</v>
      </c>
      <c r="E819">
        <v>2022</v>
      </c>
      <c r="F819" s="1">
        <f t="shared" si="62"/>
        <v>44711</v>
      </c>
      <c r="G819" s="1" t="s">
        <v>592</v>
      </c>
      <c r="H819" s="2">
        <v>45295</v>
      </c>
      <c r="I819" t="s">
        <v>26</v>
      </c>
      <c r="J819">
        <v>6</v>
      </c>
      <c r="K819">
        <v>23708.29</v>
      </c>
      <c r="L819" t="s">
        <v>640</v>
      </c>
      <c r="M819">
        <v>30</v>
      </c>
      <c r="N819" t="s">
        <v>36</v>
      </c>
      <c r="O819" s="3" t="s">
        <v>22</v>
      </c>
      <c r="P819" t="s">
        <v>29</v>
      </c>
      <c r="Q819" t="s">
        <v>24</v>
      </c>
      <c r="R819">
        <v>4</v>
      </c>
      <c r="S819" t="s">
        <v>67</v>
      </c>
      <c r="T819" s="4">
        <f t="shared" si="63"/>
        <v>142249.74</v>
      </c>
      <c r="U819" s="4" t="str">
        <f t="shared" si="64"/>
        <v>Good</v>
      </c>
      <c r="V819" s="4" t="str">
        <f t="shared" si="65"/>
        <v>Good</v>
      </c>
      <c r="W819" s="4"/>
      <c r="X819" s="4"/>
      <c r="AJ819" s="4"/>
    </row>
    <row r="820" spans="1:36">
      <c r="A820" t="str">
        <f t="shared" si="61"/>
        <v>Adit19819</v>
      </c>
      <c r="B820">
        <v>819</v>
      </c>
      <c r="C820">
        <v>31</v>
      </c>
      <c r="D820">
        <v>5</v>
      </c>
      <c r="E820">
        <v>2022</v>
      </c>
      <c r="F820" s="1">
        <f t="shared" si="62"/>
        <v>44712</v>
      </c>
      <c r="G820" s="1" t="s">
        <v>592</v>
      </c>
      <c r="H820" s="2">
        <v>45296</v>
      </c>
      <c r="I820" t="s">
        <v>26</v>
      </c>
      <c r="J820">
        <v>5</v>
      </c>
      <c r="K820">
        <v>61985.64</v>
      </c>
      <c r="L820" t="s">
        <v>641</v>
      </c>
      <c r="M820">
        <v>19</v>
      </c>
      <c r="N820" t="s">
        <v>36</v>
      </c>
      <c r="O820" s="3" t="s">
        <v>22</v>
      </c>
      <c r="P820" t="s">
        <v>132</v>
      </c>
      <c r="Q820" t="s">
        <v>41</v>
      </c>
      <c r="R820">
        <v>5</v>
      </c>
      <c r="S820" t="s">
        <v>34</v>
      </c>
      <c r="T820" s="4">
        <f t="shared" si="63"/>
        <v>309928.2</v>
      </c>
      <c r="U820" s="4" t="str">
        <f t="shared" si="64"/>
        <v>Good</v>
      </c>
      <c r="V820" s="4" t="str">
        <f t="shared" si="65"/>
        <v>Excellent</v>
      </c>
      <c r="W820" s="4"/>
      <c r="X820" s="4"/>
      <c r="AJ820" s="4"/>
    </row>
    <row r="821" spans="1:36">
      <c r="A821" t="str">
        <f t="shared" si="61"/>
        <v>Adit43820</v>
      </c>
      <c r="B821">
        <v>820</v>
      </c>
      <c r="C821">
        <v>31</v>
      </c>
      <c r="D821">
        <v>5</v>
      </c>
      <c r="E821">
        <v>2022</v>
      </c>
      <c r="F821" s="1">
        <f t="shared" si="62"/>
        <v>44712</v>
      </c>
      <c r="G821" s="1" t="s">
        <v>592</v>
      </c>
      <c r="H821" s="2">
        <v>45297</v>
      </c>
      <c r="I821" t="s">
        <v>38</v>
      </c>
      <c r="J821">
        <v>7</v>
      </c>
      <c r="K821">
        <v>11999.39</v>
      </c>
      <c r="L821" t="s">
        <v>642</v>
      </c>
      <c r="M821">
        <v>43</v>
      </c>
      <c r="N821" t="s">
        <v>21</v>
      </c>
      <c r="O821" s="3" t="s">
        <v>55</v>
      </c>
      <c r="P821" t="s">
        <v>33</v>
      </c>
      <c r="Q821" t="s">
        <v>30</v>
      </c>
      <c r="R821">
        <v>2</v>
      </c>
      <c r="S821" t="s">
        <v>48</v>
      </c>
      <c r="T821" s="4">
        <f t="shared" si="63"/>
        <v>83995.73</v>
      </c>
      <c r="U821" s="4" t="str">
        <f t="shared" si="64"/>
        <v>Average</v>
      </c>
      <c r="V821" s="4" t="str">
        <f t="shared" si="65"/>
        <v>Average</v>
      </c>
      <c r="W821" s="4"/>
      <c r="X821" s="4"/>
      <c r="AJ821" s="4"/>
    </row>
    <row r="822" spans="1:36">
      <c r="A822" t="str">
        <f t="shared" si="61"/>
        <v>Adit32821</v>
      </c>
      <c r="B822">
        <v>821</v>
      </c>
      <c r="C822">
        <v>31</v>
      </c>
      <c r="D822">
        <v>5</v>
      </c>
      <c r="E822">
        <v>2022</v>
      </c>
      <c r="F822" s="1">
        <f t="shared" si="62"/>
        <v>44712</v>
      </c>
      <c r="G822" s="1" t="s">
        <v>592</v>
      </c>
      <c r="H822" s="2">
        <v>45298</v>
      </c>
      <c r="I822" t="s">
        <v>49</v>
      </c>
      <c r="J822">
        <v>5</v>
      </c>
      <c r="K822">
        <v>64767.24</v>
      </c>
      <c r="L822" t="s">
        <v>589</v>
      </c>
      <c r="M822">
        <v>32</v>
      </c>
      <c r="N822" t="s">
        <v>21</v>
      </c>
      <c r="O822" s="3" t="s">
        <v>22</v>
      </c>
      <c r="P822" t="s">
        <v>33</v>
      </c>
      <c r="Q822" t="s">
        <v>30</v>
      </c>
      <c r="R822">
        <v>5</v>
      </c>
      <c r="S822" t="s">
        <v>52</v>
      </c>
      <c r="T822" s="4">
        <f t="shared" si="63"/>
        <v>323836.2</v>
      </c>
      <c r="U822" s="4" t="str">
        <f t="shared" si="64"/>
        <v>Good</v>
      </c>
      <c r="V822" s="4" t="str">
        <f t="shared" si="65"/>
        <v>Excellent</v>
      </c>
      <c r="W822" s="4"/>
      <c r="X822" s="4"/>
      <c r="AJ822" s="4"/>
    </row>
    <row r="823" spans="1:36">
      <c r="A823" t="str">
        <f t="shared" si="61"/>
        <v>Anit27822</v>
      </c>
      <c r="B823">
        <v>822</v>
      </c>
      <c r="C823">
        <v>31</v>
      </c>
      <c r="D823">
        <v>5</v>
      </c>
      <c r="E823">
        <v>2022</v>
      </c>
      <c r="F823" s="1">
        <f t="shared" si="62"/>
        <v>44712</v>
      </c>
      <c r="G823" s="1" t="s">
        <v>592</v>
      </c>
      <c r="H823" s="2">
        <v>45299</v>
      </c>
      <c r="I823" t="s">
        <v>38</v>
      </c>
      <c r="J823">
        <v>5</v>
      </c>
      <c r="K823">
        <v>17101.73</v>
      </c>
      <c r="L823" t="s">
        <v>375</v>
      </c>
      <c r="M823">
        <v>27</v>
      </c>
      <c r="N823" t="s">
        <v>36</v>
      </c>
      <c r="O823" s="3" t="s">
        <v>55</v>
      </c>
      <c r="P823" t="s">
        <v>77</v>
      </c>
      <c r="Q823" t="s">
        <v>56</v>
      </c>
      <c r="R823">
        <v>2</v>
      </c>
      <c r="S823" t="s">
        <v>42</v>
      </c>
      <c r="T823" s="4">
        <f t="shared" si="63"/>
        <v>85508.65</v>
      </c>
      <c r="U823" s="4" t="str">
        <f t="shared" si="64"/>
        <v>Average</v>
      </c>
      <c r="V823" s="4" t="str">
        <f t="shared" si="65"/>
        <v>Average</v>
      </c>
      <c r="W823" s="4"/>
      <c r="X823" s="4"/>
      <c r="AJ823" s="4"/>
    </row>
    <row r="824" spans="1:36">
      <c r="A824" t="str">
        <f t="shared" si="61"/>
        <v>Pooj39823</v>
      </c>
      <c r="B824">
        <v>823</v>
      </c>
      <c r="C824">
        <v>1</v>
      </c>
      <c r="D824">
        <v>6</v>
      </c>
      <c r="E824">
        <v>2022</v>
      </c>
      <c r="F824" s="1">
        <f t="shared" si="62"/>
        <v>44713</v>
      </c>
      <c r="G824" s="1" t="s">
        <v>643</v>
      </c>
      <c r="H824" s="2">
        <v>45300</v>
      </c>
      <c r="I824" t="s">
        <v>49</v>
      </c>
      <c r="J824">
        <v>7</v>
      </c>
      <c r="K824">
        <v>48745.55</v>
      </c>
      <c r="L824" t="s">
        <v>220</v>
      </c>
      <c r="M824">
        <v>39</v>
      </c>
      <c r="N824" t="s">
        <v>21</v>
      </c>
      <c r="O824" s="3" t="s">
        <v>22</v>
      </c>
      <c r="P824" t="s">
        <v>90</v>
      </c>
      <c r="Q824" t="s">
        <v>30</v>
      </c>
      <c r="R824">
        <v>4</v>
      </c>
      <c r="S824" t="s">
        <v>88</v>
      </c>
      <c r="T824" s="4">
        <f t="shared" si="63"/>
        <v>341218.85000000003</v>
      </c>
      <c r="U824" s="4" t="str">
        <f t="shared" si="64"/>
        <v>Good</v>
      </c>
      <c r="V824" s="4" t="str">
        <f t="shared" si="65"/>
        <v>Excellent</v>
      </c>
      <c r="W824" s="4"/>
      <c r="X824" s="4"/>
      <c r="AJ824" s="4"/>
    </row>
    <row r="825" spans="1:36">
      <c r="A825" t="str">
        <f t="shared" si="61"/>
        <v>Kris57824</v>
      </c>
      <c r="B825">
        <v>824</v>
      </c>
      <c r="C825">
        <v>1</v>
      </c>
      <c r="D825">
        <v>6</v>
      </c>
      <c r="E825">
        <v>2022</v>
      </c>
      <c r="F825" s="1">
        <f t="shared" si="62"/>
        <v>44713</v>
      </c>
      <c r="G825" s="1" t="s">
        <v>643</v>
      </c>
      <c r="H825" s="2">
        <v>45301</v>
      </c>
      <c r="I825" t="s">
        <v>26</v>
      </c>
      <c r="J825">
        <v>7</v>
      </c>
      <c r="K825">
        <v>25004.95</v>
      </c>
      <c r="L825" t="s">
        <v>644</v>
      </c>
      <c r="M825">
        <v>57</v>
      </c>
      <c r="N825" t="s">
        <v>61</v>
      </c>
      <c r="O825" s="3" t="s">
        <v>28</v>
      </c>
      <c r="P825" t="s">
        <v>29</v>
      </c>
      <c r="Q825" t="s">
        <v>41</v>
      </c>
      <c r="R825">
        <v>3</v>
      </c>
      <c r="S825" t="s">
        <v>67</v>
      </c>
      <c r="T825" s="4">
        <f t="shared" si="63"/>
        <v>175034.65</v>
      </c>
      <c r="U825" s="4" t="str">
        <f t="shared" si="64"/>
        <v>Average</v>
      </c>
      <c r="V825" s="4" t="str">
        <f t="shared" si="65"/>
        <v>Good</v>
      </c>
      <c r="W825" s="4"/>
      <c r="X825" s="4"/>
      <c r="AJ825" s="4"/>
    </row>
    <row r="826" spans="1:36">
      <c r="A826" t="str">
        <f t="shared" si="61"/>
        <v>Sumi42825</v>
      </c>
      <c r="B826">
        <v>825</v>
      </c>
      <c r="C826">
        <v>1</v>
      </c>
      <c r="D826">
        <v>6</v>
      </c>
      <c r="E826">
        <v>2022</v>
      </c>
      <c r="F826" s="1">
        <f t="shared" si="62"/>
        <v>44713</v>
      </c>
      <c r="G826" s="1" t="s">
        <v>643</v>
      </c>
      <c r="H826" s="2">
        <v>45302</v>
      </c>
      <c r="I826" t="s">
        <v>43</v>
      </c>
      <c r="J826">
        <v>3</v>
      </c>
      <c r="K826">
        <v>60193.14</v>
      </c>
      <c r="L826" t="s">
        <v>645</v>
      </c>
      <c r="M826">
        <v>42</v>
      </c>
      <c r="N826" t="s">
        <v>21</v>
      </c>
      <c r="O826" s="3" t="s">
        <v>22</v>
      </c>
      <c r="P826" t="s">
        <v>29</v>
      </c>
      <c r="Q826" t="s">
        <v>30</v>
      </c>
      <c r="R826">
        <v>5</v>
      </c>
      <c r="S826" t="s">
        <v>95</v>
      </c>
      <c r="T826" s="4">
        <f t="shared" si="63"/>
        <v>180579.41999999998</v>
      </c>
      <c r="U826" s="4" t="str">
        <f t="shared" si="64"/>
        <v>Good</v>
      </c>
      <c r="V826" s="4" t="str">
        <f t="shared" si="65"/>
        <v>Good</v>
      </c>
      <c r="W826" s="4"/>
      <c r="X826" s="4"/>
      <c r="AJ826" s="4"/>
    </row>
    <row r="827" spans="1:36">
      <c r="A827" t="str">
        <f t="shared" si="61"/>
        <v>Kira32826</v>
      </c>
      <c r="B827">
        <v>826</v>
      </c>
      <c r="C827">
        <v>1</v>
      </c>
      <c r="D827">
        <v>6</v>
      </c>
      <c r="E827">
        <v>2022</v>
      </c>
      <c r="F827" s="1">
        <f t="shared" si="62"/>
        <v>44713</v>
      </c>
      <c r="G827" s="1" t="s">
        <v>643</v>
      </c>
      <c r="H827" s="2">
        <v>45303</v>
      </c>
      <c r="I827" t="s">
        <v>26</v>
      </c>
      <c r="J827">
        <v>3</v>
      </c>
      <c r="K827">
        <v>40738.019999999997</v>
      </c>
      <c r="L827" t="s">
        <v>255</v>
      </c>
      <c r="M827">
        <v>32</v>
      </c>
      <c r="N827" t="s">
        <v>21</v>
      </c>
      <c r="O827" s="3" t="s">
        <v>22</v>
      </c>
      <c r="P827" t="s">
        <v>29</v>
      </c>
      <c r="Q827" t="s">
        <v>56</v>
      </c>
      <c r="R827">
        <v>5</v>
      </c>
      <c r="S827" t="s">
        <v>31</v>
      </c>
      <c r="T827" s="4">
        <f t="shared" si="63"/>
        <v>122214.06</v>
      </c>
      <c r="U827" s="4" t="str">
        <f t="shared" si="64"/>
        <v>Good</v>
      </c>
      <c r="V827" s="4" t="str">
        <f t="shared" si="65"/>
        <v>Good</v>
      </c>
      <c r="W827" s="4"/>
      <c r="X827" s="4"/>
      <c r="AJ827" s="4"/>
    </row>
    <row r="828" spans="1:36">
      <c r="A828" t="str">
        <f t="shared" si="61"/>
        <v>Bina30827</v>
      </c>
      <c r="B828">
        <v>827</v>
      </c>
      <c r="C828">
        <v>2</v>
      </c>
      <c r="D828">
        <v>6</v>
      </c>
      <c r="E828">
        <v>2022</v>
      </c>
      <c r="F828" s="1">
        <f t="shared" si="62"/>
        <v>44714</v>
      </c>
      <c r="G828" s="1" t="s">
        <v>643</v>
      </c>
      <c r="H828" s="2">
        <v>45304</v>
      </c>
      <c r="I828" t="s">
        <v>26</v>
      </c>
      <c r="J828">
        <v>3</v>
      </c>
      <c r="K828">
        <v>18114.47</v>
      </c>
      <c r="L828" t="s">
        <v>463</v>
      </c>
      <c r="M828">
        <v>30</v>
      </c>
      <c r="N828" t="s">
        <v>36</v>
      </c>
      <c r="O828" s="3" t="s">
        <v>22</v>
      </c>
      <c r="P828" t="s">
        <v>93</v>
      </c>
      <c r="Q828" t="s">
        <v>41</v>
      </c>
      <c r="R828">
        <v>5</v>
      </c>
      <c r="S828" t="s">
        <v>34</v>
      </c>
      <c r="T828" s="4">
        <f t="shared" si="63"/>
        <v>54343.41</v>
      </c>
      <c r="U828" s="4" t="str">
        <f t="shared" si="64"/>
        <v>Good</v>
      </c>
      <c r="V828" s="4" t="str">
        <f t="shared" si="65"/>
        <v>Average</v>
      </c>
      <c r="W828" s="4"/>
      <c r="X828" s="4"/>
      <c r="AJ828" s="4"/>
    </row>
    <row r="829" spans="1:36">
      <c r="A829" t="str">
        <f t="shared" si="61"/>
        <v>Sneh25828</v>
      </c>
      <c r="B829">
        <v>828</v>
      </c>
      <c r="C829">
        <v>2</v>
      </c>
      <c r="D829">
        <v>6</v>
      </c>
      <c r="E829">
        <v>2022</v>
      </c>
      <c r="F829" s="1">
        <f t="shared" si="62"/>
        <v>44714</v>
      </c>
      <c r="G829" s="1" t="s">
        <v>643</v>
      </c>
      <c r="H829" s="2">
        <v>45305</v>
      </c>
      <c r="I829" t="s">
        <v>19</v>
      </c>
      <c r="J829">
        <v>6</v>
      </c>
      <c r="K829">
        <v>44259.49</v>
      </c>
      <c r="L829" t="s">
        <v>517</v>
      </c>
      <c r="M829">
        <v>25</v>
      </c>
      <c r="N829" t="s">
        <v>36</v>
      </c>
      <c r="O829" s="3" t="s">
        <v>22</v>
      </c>
      <c r="P829" t="s">
        <v>117</v>
      </c>
      <c r="Q829" t="s">
        <v>41</v>
      </c>
      <c r="R829">
        <v>5</v>
      </c>
      <c r="S829" t="s">
        <v>37</v>
      </c>
      <c r="T829" s="4">
        <f t="shared" si="63"/>
        <v>265556.94</v>
      </c>
      <c r="U829" s="4" t="str">
        <f t="shared" si="64"/>
        <v>Good</v>
      </c>
      <c r="V829" s="4" t="str">
        <f t="shared" si="65"/>
        <v>Excellent</v>
      </c>
      <c r="W829" s="4"/>
      <c r="X829" s="4"/>
      <c r="AJ829" s="4"/>
    </row>
    <row r="830" spans="1:36">
      <c r="A830" t="str">
        <f t="shared" si="61"/>
        <v>Pooj38829</v>
      </c>
      <c r="B830">
        <v>829</v>
      </c>
      <c r="C830">
        <v>2</v>
      </c>
      <c r="D830">
        <v>6</v>
      </c>
      <c r="E830">
        <v>2022</v>
      </c>
      <c r="F830" s="1">
        <f t="shared" si="62"/>
        <v>44714</v>
      </c>
      <c r="G830" s="1" t="s">
        <v>643</v>
      </c>
      <c r="H830" s="2">
        <v>45306</v>
      </c>
      <c r="I830" t="s">
        <v>19</v>
      </c>
      <c r="J830">
        <v>6</v>
      </c>
      <c r="K830">
        <v>34472.959999999999</v>
      </c>
      <c r="L830" t="s">
        <v>646</v>
      </c>
      <c r="M830">
        <v>38</v>
      </c>
      <c r="N830" t="s">
        <v>21</v>
      </c>
      <c r="O830" s="3" t="s">
        <v>28</v>
      </c>
      <c r="P830" t="s">
        <v>29</v>
      </c>
      <c r="Q830" t="s">
        <v>24</v>
      </c>
      <c r="R830">
        <v>3</v>
      </c>
      <c r="S830" t="s">
        <v>84</v>
      </c>
      <c r="T830" s="4">
        <f t="shared" si="63"/>
        <v>206837.76000000001</v>
      </c>
      <c r="U830" s="4" t="str">
        <f t="shared" si="64"/>
        <v>Average</v>
      </c>
      <c r="V830" s="4" t="str">
        <f t="shared" si="65"/>
        <v>Excellent</v>
      </c>
      <c r="W830" s="4"/>
      <c r="X830" s="4"/>
      <c r="AJ830" s="4"/>
    </row>
    <row r="831" spans="1:36">
      <c r="A831" t="str">
        <f t="shared" si="61"/>
        <v>Nami38830</v>
      </c>
      <c r="B831">
        <v>830</v>
      </c>
      <c r="C831">
        <v>2</v>
      </c>
      <c r="D831">
        <v>6</v>
      </c>
      <c r="E831">
        <v>2022</v>
      </c>
      <c r="F831" s="1">
        <f t="shared" si="62"/>
        <v>44714</v>
      </c>
      <c r="G831" s="1" t="s">
        <v>643</v>
      </c>
      <c r="H831" s="2">
        <v>45307</v>
      </c>
      <c r="I831" t="s">
        <v>19</v>
      </c>
      <c r="J831">
        <v>3</v>
      </c>
      <c r="K831">
        <v>49686.87</v>
      </c>
      <c r="L831" t="s">
        <v>647</v>
      </c>
      <c r="M831">
        <v>38</v>
      </c>
      <c r="N831" t="s">
        <v>21</v>
      </c>
      <c r="O831" s="3" t="s">
        <v>22</v>
      </c>
      <c r="P831" t="s">
        <v>33</v>
      </c>
      <c r="Q831" t="s">
        <v>24</v>
      </c>
      <c r="R831">
        <v>4</v>
      </c>
      <c r="S831" t="s">
        <v>37</v>
      </c>
      <c r="T831" s="4">
        <f t="shared" si="63"/>
        <v>149060.61000000002</v>
      </c>
      <c r="U831" s="4" t="str">
        <f t="shared" si="64"/>
        <v>Good</v>
      </c>
      <c r="V831" s="4" t="str">
        <f t="shared" si="65"/>
        <v>Good</v>
      </c>
      <c r="W831" s="4"/>
      <c r="X831" s="4"/>
      <c r="AJ831" s="4"/>
    </row>
    <row r="832" spans="1:36">
      <c r="A832" t="str">
        <f t="shared" si="61"/>
        <v>Suni39831</v>
      </c>
      <c r="B832">
        <v>831</v>
      </c>
      <c r="C832">
        <v>3</v>
      </c>
      <c r="D832">
        <v>6</v>
      </c>
      <c r="E832">
        <v>2022</v>
      </c>
      <c r="F832" s="1">
        <f t="shared" si="62"/>
        <v>44715</v>
      </c>
      <c r="G832" s="1" t="s">
        <v>643</v>
      </c>
      <c r="H832" s="2">
        <v>45308</v>
      </c>
      <c r="I832" t="s">
        <v>19</v>
      </c>
      <c r="J832">
        <v>3</v>
      </c>
      <c r="K832">
        <v>62914.2</v>
      </c>
      <c r="L832" t="s">
        <v>648</v>
      </c>
      <c r="M832">
        <v>39</v>
      </c>
      <c r="N832" t="s">
        <v>21</v>
      </c>
      <c r="O832" s="3" t="s">
        <v>22</v>
      </c>
      <c r="P832" t="s">
        <v>90</v>
      </c>
      <c r="Q832" t="s">
        <v>30</v>
      </c>
      <c r="R832">
        <v>4</v>
      </c>
      <c r="S832" t="s">
        <v>84</v>
      </c>
      <c r="T832" s="4">
        <f t="shared" si="63"/>
        <v>188742.59999999998</v>
      </c>
      <c r="U832" s="4" t="str">
        <f t="shared" si="64"/>
        <v>Good</v>
      </c>
      <c r="V832" s="4" t="str">
        <f t="shared" si="65"/>
        <v>Good</v>
      </c>
      <c r="W832" s="4"/>
      <c r="X832" s="4"/>
      <c r="AJ832" s="4"/>
    </row>
    <row r="833" spans="1:36">
      <c r="A833" t="str">
        <f t="shared" si="61"/>
        <v>Vive50832</v>
      </c>
      <c r="B833">
        <v>832</v>
      </c>
      <c r="C833">
        <v>3</v>
      </c>
      <c r="D833">
        <v>6</v>
      </c>
      <c r="E833">
        <v>2022</v>
      </c>
      <c r="F833" s="1">
        <f t="shared" si="62"/>
        <v>44715</v>
      </c>
      <c r="G833" s="1" t="s">
        <v>643</v>
      </c>
      <c r="H833" s="2">
        <v>45309</v>
      </c>
      <c r="I833" t="s">
        <v>49</v>
      </c>
      <c r="J833">
        <v>8</v>
      </c>
      <c r="K833">
        <v>34563.35</v>
      </c>
      <c r="L833" t="s">
        <v>229</v>
      </c>
      <c r="M833">
        <v>50</v>
      </c>
      <c r="N833" t="s">
        <v>61</v>
      </c>
      <c r="O833" s="3" t="s">
        <v>55</v>
      </c>
      <c r="P833" t="s">
        <v>29</v>
      </c>
      <c r="Q833" t="s">
        <v>56</v>
      </c>
      <c r="R833">
        <v>2</v>
      </c>
      <c r="S833" t="s">
        <v>102</v>
      </c>
      <c r="T833" s="4">
        <f t="shared" si="63"/>
        <v>276506.8</v>
      </c>
      <c r="U833" s="4" t="str">
        <f t="shared" si="64"/>
        <v>Average</v>
      </c>
      <c r="V833" s="4" t="str">
        <f t="shared" si="65"/>
        <v>Excellent</v>
      </c>
      <c r="W833" s="4"/>
      <c r="X833" s="4"/>
      <c r="AJ833" s="4"/>
    </row>
    <row r="834" spans="1:36">
      <c r="A834" t="str">
        <f t="shared" ref="A834:A897" si="66">LEFT(L834,4)&amp;M834&amp;B834</f>
        <v>Radh44833</v>
      </c>
      <c r="B834">
        <v>833</v>
      </c>
      <c r="C834">
        <v>3</v>
      </c>
      <c r="D834">
        <v>6</v>
      </c>
      <c r="E834">
        <v>2022</v>
      </c>
      <c r="F834" s="1">
        <f t="shared" si="62"/>
        <v>44715</v>
      </c>
      <c r="G834" s="1" t="s">
        <v>643</v>
      </c>
      <c r="H834" s="2">
        <v>45310</v>
      </c>
      <c r="I834" t="s">
        <v>38</v>
      </c>
      <c r="J834">
        <v>8</v>
      </c>
      <c r="K834">
        <v>27392.84</v>
      </c>
      <c r="L834" t="s">
        <v>649</v>
      </c>
      <c r="M834">
        <v>44</v>
      </c>
      <c r="N834" t="s">
        <v>21</v>
      </c>
      <c r="O834" s="3" t="s">
        <v>55</v>
      </c>
      <c r="P834" t="s">
        <v>29</v>
      </c>
      <c r="Q834" t="s">
        <v>41</v>
      </c>
      <c r="R834">
        <v>2</v>
      </c>
      <c r="S834" t="s">
        <v>48</v>
      </c>
      <c r="T834" s="4">
        <f t="shared" si="63"/>
        <v>219142.72</v>
      </c>
      <c r="U834" s="4" t="str">
        <f t="shared" si="64"/>
        <v>Average</v>
      </c>
      <c r="V834" s="4" t="str">
        <f t="shared" si="65"/>
        <v>Excellent</v>
      </c>
      <c r="W834" s="4"/>
      <c r="X834" s="4"/>
      <c r="AJ834" s="4"/>
    </row>
    <row r="835" spans="1:36">
      <c r="A835" t="str">
        <f t="shared" si="66"/>
        <v>Nikh57834</v>
      </c>
      <c r="B835">
        <v>834</v>
      </c>
      <c r="C835">
        <v>3</v>
      </c>
      <c r="D835">
        <v>6</v>
      </c>
      <c r="E835">
        <v>2022</v>
      </c>
      <c r="F835" s="1">
        <f t="shared" ref="F835:F898" si="67">DATE(E835,D835,C835)</f>
        <v>44715</v>
      </c>
      <c r="G835" s="1" t="s">
        <v>643</v>
      </c>
      <c r="H835" s="2">
        <v>45311</v>
      </c>
      <c r="I835" t="s">
        <v>43</v>
      </c>
      <c r="J835">
        <v>7</v>
      </c>
      <c r="K835">
        <v>10870.91</v>
      </c>
      <c r="L835" t="s">
        <v>447</v>
      </c>
      <c r="M835">
        <v>57</v>
      </c>
      <c r="N835" t="s">
        <v>61</v>
      </c>
      <c r="O835" s="3" t="s">
        <v>22</v>
      </c>
      <c r="P835" t="s">
        <v>23</v>
      </c>
      <c r="Q835" t="s">
        <v>30</v>
      </c>
      <c r="R835">
        <v>4</v>
      </c>
      <c r="S835" t="s">
        <v>46</v>
      </c>
      <c r="T835" s="4">
        <f t="shared" ref="T835:T898" si="68">J835*K835</f>
        <v>76096.37</v>
      </c>
      <c r="U835" s="4" t="str">
        <f t="shared" ref="U835:U898" si="69">IF(R835&gt;=4,"Good","Average")</f>
        <v>Good</v>
      </c>
      <c r="V835" s="4" t="str">
        <f t="shared" ref="V835:V898" si="70">IF(T835&gt;200000,"Excellent",IF(T835&gt;100000,"Good",IF(T835&gt;50000,"Average","Low")))</f>
        <v>Average</v>
      </c>
      <c r="W835" s="4"/>
      <c r="X835" s="4"/>
      <c r="AJ835" s="4"/>
    </row>
    <row r="836" spans="1:36">
      <c r="A836" t="str">
        <f t="shared" si="66"/>
        <v>Adit39835</v>
      </c>
      <c r="B836">
        <v>835</v>
      </c>
      <c r="C836">
        <v>4</v>
      </c>
      <c r="D836">
        <v>6</v>
      </c>
      <c r="E836">
        <v>2022</v>
      </c>
      <c r="F836" s="1">
        <f t="shared" si="67"/>
        <v>44716</v>
      </c>
      <c r="G836" s="1" t="s">
        <v>643</v>
      </c>
      <c r="H836" s="2">
        <v>45312</v>
      </c>
      <c r="I836" t="s">
        <v>26</v>
      </c>
      <c r="J836">
        <v>4</v>
      </c>
      <c r="K836">
        <v>44490.34</v>
      </c>
      <c r="L836" t="s">
        <v>650</v>
      </c>
      <c r="M836">
        <v>39</v>
      </c>
      <c r="N836" t="s">
        <v>21</v>
      </c>
      <c r="O836" s="3" t="s">
        <v>22</v>
      </c>
      <c r="P836" t="s">
        <v>77</v>
      </c>
      <c r="Q836" t="s">
        <v>30</v>
      </c>
      <c r="R836">
        <v>5</v>
      </c>
      <c r="S836" t="s">
        <v>67</v>
      </c>
      <c r="T836" s="4">
        <f t="shared" si="68"/>
        <v>177961.36</v>
      </c>
      <c r="U836" s="4" t="str">
        <f t="shared" si="69"/>
        <v>Good</v>
      </c>
      <c r="V836" s="4" t="str">
        <f t="shared" si="70"/>
        <v>Good</v>
      </c>
      <c r="W836" s="4"/>
      <c r="X836" s="4"/>
      <c r="AJ836" s="4"/>
    </row>
    <row r="837" spans="1:36">
      <c r="A837" t="str">
        <f t="shared" si="66"/>
        <v>Kris47836</v>
      </c>
      <c r="B837">
        <v>836</v>
      </c>
      <c r="C837">
        <v>4</v>
      </c>
      <c r="D837">
        <v>6</v>
      </c>
      <c r="E837">
        <v>2022</v>
      </c>
      <c r="F837" s="1">
        <f t="shared" si="67"/>
        <v>44716</v>
      </c>
      <c r="G837" s="1" t="s">
        <v>643</v>
      </c>
      <c r="H837" s="2">
        <v>45313</v>
      </c>
      <c r="I837" t="s">
        <v>49</v>
      </c>
      <c r="J837">
        <v>4</v>
      </c>
      <c r="K837">
        <v>34136.49</v>
      </c>
      <c r="L837" t="s">
        <v>176</v>
      </c>
      <c r="M837">
        <v>47</v>
      </c>
      <c r="N837" t="s">
        <v>61</v>
      </c>
      <c r="O837" s="3" t="s">
        <v>28</v>
      </c>
      <c r="P837" t="s">
        <v>29</v>
      </c>
      <c r="Q837" t="s">
        <v>24</v>
      </c>
      <c r="R837">
        <v>3</v>
      </c>
      <c r="S837" t="s">
        <v>88</v>
      </c>
      <c r="T837" s="4">
        <f t="shared" si="68"/>
        <v>136545.96</v>
      </c>
      <c r="U837" s="4" t="str">
        <f t="shared" si="69"/>
        <v>Average</v>
      </c>
      <c r="V837" s="4" t="str">
        <f t="shared" si="70"/>
        <v>Good</v>
      </c>
      <c r="W837" s="4"/>
      <c r="X837" s="4"/>
      <c r="AJ837" s="4"/>
    </row>
    <row r="838" spans="1:36">
      <c r="A838" t="str">
        <f t="shared" si="66"/>
        <v>Reen26837</v>
      </c>
      <c r="B838">
        <v>837</v>
      </c>
      <c r="C838">
        <v>4</v>
      </c>
      <c r="D838">
        <v>6</v>
      </c>
      <c r="E838">
        <v>2022</v>
      </c>
      <c r="F838" s="1">
        <f t="shared" si="67"/>
        <v>44716</v>
      </c>
      <c r="G838" s="1" t="s">
        <v>643</v>
      </c>
      <c r="H838" s="2">
        <v>45314</v>
      </c>
      <c r="I838" t="s">
        <v>43</v>
      </c>
      <c r="J838">
        <v>3</v>
      </c>
      <c r="K838">
        <v>32478.95</v>
      </c>
      <c r="L838" t="s">
        <v>651</v>
      </c>
      <c r="M838">
        <v>26</v>
      </c>
      <c r="N838" t="s">
        <v>36</v>
      </c>
      <c r="O838" s="3" t="s">
        <v>22</v>
      </c>
      <c r="P838" t="s">
        <v>137</v>
      </c>
      <c r="Q838" t="s">
        <v>30</v>
      </c>
      <c r="R838">
        <v>4</v>
      </c>
      <c r="S838" t="s">
        <v>95</v>
      </c>
      <c r="T838" s="4">
        <f t="shared" si="68"/>
        <v>97436.85</v>
      </c>
      <c r="U838" s="4" t="str">
        <f t="shared" si="69"/>
        <v>Good</v>
      </c>
      <c r="V838" s="4" t="str">
        <f t="shared" si="70"/>
        <v>Average</v>
      </c>
      <c r="W838" s="4"/>
      <c r="X838" s="4"/>
      <c r="AJ838" s="4"/>
    </row>
    <row r="839" spans="1:36">
      <c r="A839" t="str">
        <f t="shared" si="66"/>
        <v>Anit52838</v>
      </c>
      <c r="B839">
        <v>838</v>
      </c>
      <c r="C839">
        <v>5</v>
      </c>
      <c r="D839">
        <v>6</v>
      </c>
      <c r="E839">
        <v>2022</v>
      </c>
      <c r="F839" s="1">
        <f t="shared" si="67"/>
        <v>44717</v>
      </c>
      <c r="G839" s="1" t="s">
        <v>643</v>
      </c>
      <c r="H839" s="2">
        <v>45315</v>
      </c>
      <c r="I839" t="s">
        <v>49</v>
      </c>
      <c r="J839">
        <v>5</v>
      </c>
      <c r="K839">
        <v>20976.12</v>
      </c>
      <c r="L839" t="s">
        <v>180</v>
      </c>
      <c r="M839">
        <v>52</v>
      </c>
      <c r="N839" t="s">
        <v>61</v>
      </c>
      <c r="O839" s="3" t="s">
        <v>28</v>
      </c>
      <c r="P839" t="s">
        <v>33</v>
      </c>
      <c r="Q839" t="s">
        <v>30</v>
      </c>
      <c r="R839">
        <v>3</v>
      </c>
      <c r="S839" t="s">
        <v>102</v>
      </c>
      <c r="T839" s="4">
        <f t="shared" si="68"/>
        <v>104880.59999999999</v>
      </c>
      <c r="U839" s="4" t="str">
        <f t="shared" si="69"/>
        <v>Average</v>
      </c>
      <c r="V839" s="4" t="str">
        <f t="shared" si="70"/>
        <v>Good</v>
      </c>
      <c r="W839" s="4"/>
      <c r="X839" s="4"/>
      <c r="AJ839" s="4"/>
    </row>
    <row r="840" spans="1:36">
      <c r="A840" t="str">
        <f t="shared" si="66"/>
        <v>Yoge35839</v>
      </c>
      <c r="B840">
        <v>839</v>
      </c>
      <c r="C840">
        <v>5</v>
      </c>
      <c r="D840">
        <v>6</v>
      </c>
      <c r="E840">
        <v>2022</v>
      </c>
      <c r="F840" s="1">
        <f t="shared" si="67"/>
        <v>44717</v>
      </c>
      <c r="G840" s="1" t="s">
        <v>643</v>
      </c>
      <c r="H840" s="2">
        <v>45316</v>
      </c>
      <c r="I840" t="s">
        <v>49</v>
      </c>
      <c r="J840">
        <v>3</v>
      </c>
      <c r="K840">
        <v>35803.32</v>
      </c>
      <c r="L840" t="s">
        <v>652</v>
      </c>
      <c r="M840">
        <v>35</v>
      </c>
      <c r="N840" t="s">
        <v>21</v>
      </c>
      <c r="O840" s="3" t="s">
        <v>22</v>
      </c>
      <c r="P840" t="s">
        <v>70</v>
      </c>
      <c r="Q840" t="s">
        <v>24</v>
      </c>
      <c r="R840">
        <v>5</v>
      </c>
      <c r="S840" t="s">
        <v>88</v>
      </c>
      <c r="T840" s="4">
        <f t="shared" si="68"/>
        <v>107409.95999999999</v>
      </c>
      <c r="U840" s="4" t="str">
        <f t="shared" si="69"/>
        <v>Good</v>
      </c>
      <c r="V840" s="4" t="str">
        <f t="shared" si="70"/>
        <v>Good</v>
      </c>
      <c r="W840" s="4"/>
      <c r="X840" s="4"/>
      <c r="AJ840" s="4"/>
    </row>
    <row r="841" spans="1:36">
      <c r="A841" t="str">
        <f t="shared" si="66"/>
        <v>Umes59840</v>
      </c>
      <c r="B841">
        <v>840</v>
      </c>
      <c r="C841">
        <v>5</v>
      </c>
      <c r="D841">
        <v>6</v>
      </c>
      <c r="E841">
        <v>2022</v>
      </c>
      <c r="F841" s="1">
        <f t="shared" si="67"/>
        <v>44717</v>
      </c>
      <c r="G841" s="1" t="s">
        <v>643</v>
      </c>
      <c r="H841" s="2">
        <v>45317</v>
      </c>
      <c r="I841" t="s">
        <v>26</v>
      </c>
      <c r="J841">
        <v>8</v>
      </c>
      <c r="K841">
        <v>69066.52</v>
      </c>
      <c r="L841" t="s">
        <v>553</v>
      </c>
      <c r="M841">
        <v>59</v>
      </c>
      <c r="N841" t="s">
        <v>61</v>
      </c>
      <c r="O841" s="3" t="s">
        <v>22</v>
      </c>
      <c r="P841" t="s">
        <v>132</v>
      </c>
      <c r="Q841" t="s">
        <v>30</v>
      </c>
      <c r="R841">
        <v>5</v>
      </c>
      <c r="S841" t="s">
        <v>31</v>
      </c>
      <c r="T841" s="4">
        <f t="shared" si="68"/>
        <v>552532.16</v>
      </c>
      <c r="U841" s="4" t="str">
        <f t="shared" si="69"/>
        <v>Good</v>
      </c>
      <c r="V841" s="4" t="str">
        <f t="shared" si="70"/>
        <v>Excellent</v>
      </c>
      <c r="W841" s="4"/>
      <c r="X841" s="4"/>
      <c r="AJ841" s="4"/>
    </row>
    <row r="842" spans="1:36">
      <c r="A842" t="str">
        <f t="shared" si="66"/>
        <v>Vive22841</v>
      </c>
      <c r="B842">
        <v>841</v>
      </c>
      <c r="C842">
        <v>5</v>
      </c>
      <c r="D842">
        <v>6</v>
      </c>
      <c r="E842">
        <v>2022</v>
      </c>
      <c r="F842" s="1">
        <f t="shared" si="67"/>
        <v>44717</v>
      </c>
      <c r="G842" s="1" t="s">
        <v>643</v>
      </c>
      <c r="H842" s="2">
        <v>45318</v>
      </c>
      <c r="I842" t="s">
        <v>38</v>
      </c>
      <c r="J842">
        <v>7</v>
      </c>
      <c r="K842">
        <v>27865.25</v>
      </c>
      <c r="L842" t="s">
        <v>273</v>
      </c>
      <c r="M842">
        <v>22</v>
      </c>
      <c r="N842" t="s">
        <v>36</v>
      </c>
      <c r="O842" s="3" t="s">
        <v>22</v>
      </c>
      <c r="P842" t="s">
        <v>64</v>
      </c>
      <c r="Q842" t="s">
        <v>30</v>
      </c>
      <c r="R842">
        <v>5</v>
      </c>
      <c r="S842" t="s">
        <v>99</v>
      </c>
      <c r="T842" s="4">
        <f t="shared" si="68"/>
        <v>195056.75</v>
      </c>
      <c r="U842" s="4" t="str">
        <f t="shared" si="69"/>
        <v>Good</v>
      </c>
      <c r="V842" s="4" t="str">
        <f t="shared" si="70"/>
        <v>Good</v>
      </c>
      <c r="W842" s="4"/>
      <c r="X842" s="4"/>
      <c r="AJ842" s="4"/>
    </row>
    <row r="843" spans="1:36">
      <c r="A843" t="str">
        <f t="shared" si="66"/>
        <v>Suni44842</v>
      </c>
      <c r="B843">
        <v>842</v>
      </c>
      <c r="C843">
        <v>6</v>
      </c>
      <c r="D843">
        <v>6</v>
      </c>
      <c r="E843">
        <v>2022</v>
      </c>
      <c r="F843" s="1">
        <f t="shared" si="67"/>
        <v>44718</v>
      </c>
      <c r="G843" s="1" t="s">
        <v>643</v>
      </c>
      <c r="H843" s="2">
        <v>45319</v>
      </c>
      <c r="I843" t="s">
        <v>19</v>
      </c>
      <c r="J843">
        <v>3</v>
      </c>
      <c r="K843">
        <v>45982.26</v>
      </c>
      <c r="L843" t="s">
        <v>653</v>
      </c>
      <c r="M843">
        <v>44</v>
      </c>
      <c r="N843" t="s">
        <v>21</v>
      </c>
      <c r="O843" s="3" t="s">
        <v>22</v>
      </c>
      <c r="P843" t="s">
        <v>29</v>
      </c>
      <c r="Q843" t="s">
        <v>41</v>
      </c>
      <c r="R843">
        <v>4</v>
      </c>
      <c r="S843" t="s">
        <v>25</v>
      </c>
      <c r="T843" s="4">
        <f t="shared" si="68"/>
        <v>137946.78</v>
      </c>
      <c r="U843" s="4" t="str">
        <f t="shared" si="69"/>
        <v>Good</v>
      </c>
      <c r="V843" s="4" t="str">
        <f t="shared" si="70"/>
        <v>Good</v>
      </c>
      <c r="W843" s="4"/>
      <c r="X843" s="4"/>
      <c r="AJ843" s="4"/>
    </row>
    <row r="844" spans="1:36">
      <c r="A844" t="str">
        <f t="shared" si="66"/>
        <v>Vive23843</v>
      </c>
      <c r="B844">
        <v>843</v>
      </c>
      <c r="C844">
        <v>6</v>
      </c>
      <c r="D844">
        <v>6</v>
      </c>
      <c r="E844">
        <v>2022</v>
      </c>
      <c r="F844" s="1">
        <f t="shared" si="67"/>
        <v>44718</v>
      </c>
      <c r="G844" s="1" t="s">
        <v>643</v>
      </c>
      <c r="H844" s="2">
        <v>45320</v>
      </c>
      <c r="I844" t="s">
        <v>38</v>
      </c>
      <c r="J844">
        <v>9</v>
      </c>
      <c r="K844">
        <v>56589.21</v>
      </c>
      <c r="L844" t="s">
        <v>229</v>
      </c>
      <c r="M844">
        <v>23</v>
      </c>
      <c r="N844" t="s">
        <v>36</v>
      </c>
      <c r="O844" s="3" t="s">
        <v>55</v>
      </c>
      <c r="P844" t="s">
        <v>137</v>
      </c>
      <c r="Q844" t="s">
        <v>30</v>
      </c>
      <c r="R844">
        <v>2</v>
      </c>
      <c r="S844" t="s">
        <v>48</v>
      </c>
      <c r="T844" s="4">
        <f t="shared" si="68"/>
        <v>509302.89</v>
      </c>
      <c r="U844" s="4" t="str">
        <f t="shared" si="69"/>
        <v>Average</v>
      </c>
      <c r="V844" s="4" t="str">
        <f t="shared" si="70"/>
        <v>Excellent</v>
      </c>
      <c r="W844" s="4"/>
      <c r="X844" s="4"/>
      <c r="AJ844" s="4"/>
    </row>
    <row r="845" spans="1:36">
      <c r="A845" t="str">
        <f t="shared" si="66"/>
        <v>Navi49844</v>
      </c>
      <c r="B845">
        <v>844</v>
      </c>
      <c r="C845">
        <v>6</v>
      </c>
      <c r="D845">
        <v>6</v>
      </c>
      <c r="E845">
        <v>2022</v>
      </c>
      <c r="F845" s="1">
        <f t="shared" si="67"/>
        <v>44718</v>
      </c>
      <c r="G845" s="1" t="s">
        <v>643</v>
      </c>
      <c r="H845" s="2">
        <v>45321</v>
      </c>
      <c r="I845" t="s">
        <v>26</v>
      </c>
      <c r="J845">
        <v>5</v>
      </c>
      <c r="K845">
        <v>54949.47</v>
      </c>
      <c r="L845" t="s">
        <v>582</v>
      </c>
      <c r="M845">
        <v>49</v>
      </c>
      <c r="N845" t="s">
        <v>61</v>
      </c>
      <c r="O845" s="3" t="s">
        <v>22</v>
      </c>
      <c r="P845" t="s">
        <v>114</v>
      </c>
      <c r="Q845" t="s">
        <v>24</v>
      </c>
      <c r="R845">
        <v>4</v>
      </c>
      <c r="S845" t="s">
        <v>31</v>
      </c>
      <c r="T845" s="4">
        <f t="shared" si="68"/>
        <v>274747.34999999998</v>
      </c>
      <c r="U845" s="4" t="str">
        <f t="shared" si="69"/>
        <v>Good</v>
      </c>
      <c r="V845" s="4" t="str">
        <f t="shared" si="70"/>
        <v>Excellent</v>
      </c>
      <c r="W845" s="4"/>
      <c r="X845" s="4"/>
      <c r="AJ845" s="4"/>
    </row>
    <row r="846" spans="1:36">
      <c r="A846" t="str">
        <f t="shared" si="66"/>
        <v>Tanu25845</v>
      </c>
      <c r="B846">
        <v>845</v>
      </c>
      <c r="C846">
        <v>6</v>
      </c>
      <c r="D846">
        <v>6</v>
      </c>
      <c r="E846">
        <v>2022</v>
      </c>
      <c r="F846" s="1">
        <f t="shared" si="67"/>
        <v>44718</v>
      </c>
      <c r="G846" s="1" t="s">
        <v>643</v>
      </c>
      <c r="H846" s="2">
        <v>45322</v>
      </c>
      <c r="I846" t="s">
        <v>26</v>
      </c>
      <c r="J846">
        <v>9</v>
      </c>
      <c r="K846">
        <v>29726.46</v>
      </c>
      <c r="L846" t="s">
        <v>193</v>
      </c>
      <c r="M846">
        <v>25</v>
      </c>
      <c r="N846" t="s">
        <v>36</v>
      </c>
      <c r="O846" s="3" t="s">
        <v>22</v>
      </c>
      <c r="P846" t="s">
        <v>29</v>
      </c>
      <c r="Q846" t="s">
        <v>24</v>
      </c>
      <c r="R846">
        <v>5</v>
      </c>
      <c r="S846" t="s">
        <v>67</v>
      </c>
      <c r="T846" s="4">
        <f t="shared" si="68"/>
        <v>267538.14</v>
      </c>
      <c r="U846" s="4" t="str">
        <f t="shared" si="69"/>
        <v>Good</v>
      </c>
      <c r="V846" s="4" t="str">
        <f t="shared" si="70"/>
        <v>Excellent</v>
      </c>
      <c r="W846" s="4"/>
      <c r="X846" s="4"/>
      <c r="AJ846" s="4"/>
    </row>
    <row r="847" spans="1:36">
      <c r="A847" t="str">
        <f t="shared" si="66"/>
        <v>Tanu56846</v>
      </c>
      <c r="B847">
        <v>846</v>
      </c>
      <c r="C847">
        <v>7</v>
      </c>
      <c r="D847">
        <v>6</v>
      </c>
      <c r="E847">
        <v>2022</v>
      </c>
      <c r="F847" s="1">
        <f t="shared" si="67"/>
        <v>44719</v>
      </c>
      <c r="G847" s="1" t="s">
        <v>643</v>
      </c>
      <c r="H847" s="2">
        <v>45323</v>
      </c>
      <c r="I847" t="s">
        <v>26</v>
      </c>
      <c r="J847">
        <v>7</v>
      </c>
      <c r="K847">
        <v>46651.61</v>
      </c>
      <c r="L847" t="s">
        <v>654</v>
      </c>
      <c r="M847">
        <v>56</v>
      </c>
      <c r="N847" t="s">
        <v>61</v>
      </c>
      <c r="O847" s="3" t="s">
        <v>28</v>
      </c>
      <c r="P847" t="s">
        <v>29</v>
      </c>
      <c r="Q847" t="s">
        <v>41</v>
      </c>
      <c r="R847">
        <v>3</v>
      </c>
      <c r="S847" t="s">
        <v>67</v>
      </c>
      <c r="T847" s="4">
        <f t="shared" si="68"/>
        <v>326561.27</v>
      </c>
      <c r="U847" s="4" t="str">
        <f t="shared" si="69"/>
        <v>Average</v>
      </c>
      <c r="V847" s="4" t="str">
        <f t="shared" si="70"/>
        <v>Excellent</v>
      </c>
      <c r="W847" s="4"/>
      <c r="X847" s="4"/>
      <c r="AJ847" s="4"/>
    </row>
    <row r="848" spans="1:36">
      <c r="A848" t="str">
        <f t="shared" si="66"/>
        <v>Moni38847</v>
      </c>
      <c r="B848">
        <v>847</v>
      </c>
      <c r="C848">
        <v>7</v>
      </c>
      <c r="D848">
        <v>6</v>
      </c>
      <c r="E848">
        <v>2022</v>
      </c>
      <c r="F848" s="1">
        <f t="shared" si="67"/>
        <v>44719</v>
      </c>
      <c r="G848" s="1" t="s">
        <v>643</v>
      </c>
      <c r="H848" s="2">
        <v>45324</v>
      </c>
      <c r="I848" t="s">
        <v>43</v>
      </c>
      <c r="J848">
        <v>7</v>
      </c>
      <c r="K848">
        <v>62275.88</v>
      </c>
      <c r="L848" t="s">
        <v>146</v>
      </c>
      <c r="M848">
        <v>38</v>
      </c>
      <c r="N848" t="s">
        <v>21</v>
      </c>
      <c r="O848" s="3" t="s">
        <v>22</v>
      </c>
      <c r="P848" t="s">
        <v>90</v>
      </c>
      <c r="Q848" t="s">
        <v>24</v>
      </c>
      <c r="R848">
        <v>4</v>
      </c>
      <c r="S848" t="s">
        <v>95</v>
      </c>
      <c r="T848" s="4">
        <f t="shared" si="68"/>
        <v>435931.16</v>
      </c>
      <c r="U848" s="4" t="str">
        <f t="shared" si="69"/>
        <v>Good</v>
      </c>
      <c r="V848" s="4" t="str">
        <f t="shared" si="70"/>
        <v>Excellent</v>
      </c>
      <c r="W848" s="4"/>
      <c r="X848" s="4"/>
      <c r="AJ848" s="4"/>
    </row>
    <row r="849" spans="1:36">
      <c r="A849" t="str">
        <f t="shared" si="66"/>
        <v>Priy35848</v>
      </c>
      <c r="B849">
        <v>848</v>
      </c>
      <c r="C849">
        <v>7</v>
      </c>
      <c r="D849">
        <v>6</v>
      </c>
      <c r="E849">
        <v>2022</v>
      </c>
      <c r="F849" s="1">
        <f t="shared" si="67"/>
        <v>44719</v>
      </c>
      <c r="G849" s="1" t="s">
        <v>643</v>
      </c>
      <c r="H849" s="2">
        <v>45325</v>
      </c>
      <c r="I849" t="s">
        <v>38</v>
      </c>
      <c r="J849">
        <v>6</v>
      </c>
      <c r="K849">
        <v>10926.85</v>
      </c>
      <c r="L849" t="s">
        <v>588</v>
      </c>
      <c r="M849">
        <v>35</v>
      </c>
      <c r="N849" t="s">
        <v>21</v>
      </c>
      <c r="O849" s="3" t="s">
        <v>55</v>
      </c>
      <c r="P849" t="s">
        <v>93</v>
      </c>
      <c r="Q849" t="s">
        <v>24</v>
      </c>
      <c r="R849">
        <v>2</v>
      </c>
      <c r="S849" t="s">
        <v>42</v>
      </c>
      <c r="T849" s="4">
        <f t="shared" si="68"/>
        <v>65561.100000000006</v>
      </c>
      <c r="U849" s="4" t="str">
        <f t="shared" si="69"/>
        <v>Average</v>
      </c>
      <c r="V849" s="4" t="str">
        <f t="shared" si="70"/>
        <v>Average</v>
      </c>
      <c r="W849" s="4"/>
      <c r="X849" s="4"/>
      <c r="AJ849" s="4"/>
    </row>
    <row r="850" spans="1:36">
      <c r="A850" t="str">
        <f t="shared" si="66"/>
        <v>Hari31849</v>
      </c>
      <c r="B850">
        <v>849</v>
      </c>
      <c r="C850">
        <v>8</v>
      </c>
      <c r="D850">
        <v>6</v>
      </c>
      <c r="E850">
        <v>2022</v>
      </c>
      <c r="F850" s="1">
        <f t="shared" si="67"/>
        <v>44720</v>
      </c>
      <c r="G850" s="1" t="s">
        <v>643</v>
      </c>
      <c r="H850" s="2">
        <v>45326</v>
      </c>
      <c r="I850" t="s">
        <v>38</v>
      </c>
      <c r="J850">
        <v>2</v>
      </c>
      <c r="K850">
        <v>36144.06</v>
      </c>
      <c r="L850" t="s">
        <v>655</v>
      </c>
      <c r="M850">
        <v>31</v>
      </c>
      <c r="N850" t="s">
        <v>21</v>
      </c>
      <c r="O850" s="3" t="s">
        <v>22</v>
      </c>
      <c r="P850" t="s">
        <v>33</v>
      </c>
      <c r="Q850" t="s">
        <v>24</v>
      </c>
      <c r="R850">
        <v>5</v>
      </c>
      <c r="S850" t="s">
        <v>99</v>
      </c>
      <c r="T850" s="4">
        <f t="shared" si="68"/>
        <v>72288.12</v>
      </c>
      <c r="U850" s="4" t="str">
        <f t="shared" si="69"/>
        <v>Good</v>
      </c>
      <c r="V850" s="4" t="str">
        <f t="shared" si="70"/>
        <v>Average</v>
      </c>
      <c r="W850" s="4"/>
      <c r="X850" s="4"/>
      <c r="AJ850" s="4"/>
    </row>
    <row r="851" spans="1:36">
      <c r="A851" t="str">
        <f t="shared" si="66"/>
        <v>Vino32850</v>
      </c>
      <c r="B851">
        <v>850</v>
      </c>
      <c r="C851">
        <v>8</v>
      </c>
      <c r="D851">
        <v>6</v>
      </c>
      <c r="E851">
        <v>2022</v>
      </c>
      <c r="F851" s="1">
        <f t="shared" si="67"/>
        <v>44720</v>
      </c>
      <c r="G851" s="1" t="s">
        <v>643</v>
      </c>
      <c r="H851" s="2">
        <v>45327</v>
      </c>
      <c r="I851" t="s">
        <v>49</v>
      </c>
      <c r="J851">
        <v>9</v>
      </c>
      <c r="K851">
        <v>23456.41</v>
      </c>
      <c r="L851" t="s">
        <v>656</v>
      </c>
      <c r="M851">
        <v>32</v>
      </c>
      <c r="N851" t="s">
        <v>21</v>
      </c>
      <c r="O851" s="3" t="s">
        <v>22</v>
      </c>
      <c r="P851" t="s">
        <v>137</v>
      </c>
      <c r="Q851" t="s">
        <v>30</v>
      </c>
      <c r="R851">
        <v>4</v>
      </c>
      <c r="S851" t="s">
        <v>102</v>
      </c>
      <c r="T851" s="4">
        <f t="shared" si="68"/>
        <v>211107.69</v>
      </c>
      <c r="U851" s="4" t="str">
        <f t="shared" si="69"/>
        <v>Good</v>
      </c>
      <c r="V851" s="4" t="str">
        <f t="shared" si="70"/>
        <v>Excellent</v>
      </c>
      <c r="W851" s="4"/>
      <c r="X851" s="4"/>
      <c r="AJ851" s="4"/>
    </row>
    <row r="852" spans="1:36">
      <c r="A852" t="str">
        <f t="shared" si="66"/>
        <v>Tapa59851</v>
      </c>
      <c r="B852">
        <v>851</v>
      </c>
      <c r="C852">
        <v>8</v>
      </c>
      <c r="D852">
        <v>6</v>
      </c>
      <c r="E852">
        <v>2022</v>
      </c>
      <c r="F852" s="1">
        <f t="shared" si="67"/>
        <v>44720</v>
      </c>
      <c r="G852" s="1" t="s">
        <v>643</v>
      </c>
      <c r="H852" s="2">
        <v>45328</v>
      </c>
      <c r="I852" t="s">
        <v>49</v>
      </c>
      <c r="J852">
        <v>6</v>
      </c>
      <c r="K852">
        <v>33317.94</v>
      </c>
      <c r="L852" t="s">
        <v>174</v>
      </c>
      <c r="M852">
        <v>59</v>
      </c>
      <c r="N852" t="s">
        <v>61</v>
      </c>
      <c r="O852" s="3" t="s">
        <v>22</v>
      </c>
      <c r="P852" t="s">
        <v>23</v>
      </c>
      <c r="Q852" t="s">
        <v>41</v>
      </c>
      <c r="R852">
        <v>5</v>
      </c>
      <c r="S852" t="s">
        <v>102</v>
      </c>
      <c r="T852" s="4">
        <f t="shared" si="68"/>
        <v>199907.64</v>
      </c>
      <c r="U852" s="4" t="str">
        <f t="shared" si="69"/>
        <v>Good</v>
      </c>
      <c r="V852" s="4" t="str">
        <f t="shared" si="70"/>
        <v>Good</v>
      </c>
      <c r="W852" s="4"/>
      <c r="X852" s="4"/>
      <c r="AJ852" s="4"/>
    </row>
    <row r="853" spans="1:36">
      <c r="A853" t="str">
        <f t="shared" si="66"/>
        <v>Tapa43852</v>
      </c>
      <c r="B853">
        <v>852</v>
      </c>
      <c r="C853">
        <v>8</v>
      </c>
      <c r="D853">
        <v>6</v>
      </c>
      <c r="E853">
        <v>2022</v>
      </c>
      <c r="F853" s="1">
        <f t="shared" si="67"/>
        <v>44720</v>
      </c>
      <c r="G853" s="1" t="s">
        <v>643</v>
      </c>
      <c r="H853" s="2">
        <v>45329</v>
      </c>
      <c r="I853" t="s">
        <v>49</v>
      </c>
      <c r="J853">
        <v>8</v>
      </c>
      <c r="K853">
        <v>34959.379999999997</v>
      </c>
      <c r="L853" t="s">
        <v>446</v>
      </c>
      <c r="M853">
        <v>43</v>
      </c>
      <c r="N853" t="s">
        <v>21</v>
      </c>
      <c r="O853" s="3" t="s">
        <v>22</v>
      </c>
      <c r="P853" t="s">
        <v>117</v>
      </c>
      <c r="Q853" t="s">
        <v>56</v>
      </c>
      <c r="R853">
        <v>5</v>
      </c>
      <c r="S853" t="s">
        <v>88</v>
      </c>
      <c r="T853" s="4">
        <f t="shared" si="68"/>
        <v>279675.03999999998</v>
      </c>
      <c r="U853" s="4" t="str">
        <f t="shared" si="69"/>
        <v>Good</v>
      </c>
      <c r="V853" s="4" t="str">
        <f t="shared" si="70"/>
        <v>Excellent</v>
      </c>
      <c r="W853" s="4"/>
      <c r="X853" s="4"/>
      <c r="AJ853" s="4"/>
    </row>
    <row r="854" spans="1:36">
      <c r="A854" t="str">
        <f t="shared" si="66"/>
        <v>Kris49853</v>
      </c>
      <c r="B854">
        <v>853</v>
      </c>
      <c r="C854">
        <v>9</v>
      </c>
      <c r="D854">
        <v>6</v>
      </c>
      <c r="E854">
        <v>2022</v>
      </c>
      <c r="F854" s="1">
        <f t="shared" si="67"/>
        <v>44721</v>
      </c>
      <c r="G854" s="1" t="s">
        <v>643</v>
      </c>
      <c r="H854" s="2">
        <v>45330</v>
      </c>
      <c r="I854" t="s">
        <v>26</v>
      </c>
      <c r="J854">
        <v>1</v>
      </c>
      <c r="K854">
        <v>54800.26</v>
      </c>
      <c r="L854" t="s">
        <v>266</v>
      </c>
      <c r="M854">
        <v>49</v>
      </c>
      <c r="N854" t="s">
        <v>61</v>
      </c>
      <c r="O854" s="3" t="s">
        <v>22</v>
      </c>
      <c r="P854" t="s">
        <v>29</v>
      </c>
      <c r="Q854" t="s">
        <v>41</v>
      </c>
      <c r="R854">
        <v>5</v>
      </c>
      <c r="S854" t="s">
        <v>34</v>
      </c>
      <c r="T854" s="4">
        <f t="shared" si="68"/>
        <v>54800.26</v>
      </c>
      <c r="U854" s="4" t="str">
        <f t="shared" si="69"/>
        <v>Good</v>
      </c>
      <c r="V854" s="4" t="str">
        <f t="shared" si="70"/>
        <v>Average</v>
      </c>
      <c r="W854" s="4"/>
      <c r="X854" s="4"/>
      <c r="AJ854" s="4"/>
    </row>
    <row r="855" spans="1:36">
      <c r="A855" t="str">
        <f t="shared" si="66"/>
        <v>Pank56854</v>
      </c>
      <c r="B855">
        <v>854</v>
      </c>
      <c r="C855">
        <v>9</v>
      </c>
      <c r="D855">
        <v>6</v>
      </c>
      <c r="E855">
        <v>2022</v>
      </c>
      <c r="F855" s="1">
        <f t="shared" si="67"/>
        <v>44721</v>
      </c>
      <c r="G855" s="1" t="s">
        <v>643</v>
      </c>
      <c r="H855" s="2">
        <v>45331</v>
      </c>
      <c r="I855" t="s">
        <v>38</v>
      </c>
      <c r="J855">
        <v>5</v>
      </c>
      <c r="K855">
        <v>15629.31</v>
      </c>
      <c r="L855" t="s">
        <v>657</v>
      </c>
      <c r="M855">
        <v>56</v>
      </c>
      <c r="N855" t="s">
        <v>61</v>
      </c>
      <c r="O855" s="3" t="s">
        <v>28</v>
      </c>
      <c r="P855" t="s">
        <v>33</v>
      </c>
      <c r="Q855" t="s">
        <v>41</v>
      </c>
      <c r="R855">
        <v>3</v>
      </c>
      <c r="S855" t="s">
        <v>42</v>
      </c>
      <c r="T855" s="4">
        <f t="shared" si="68"/>
        <v>78146.55</v>
      </c>
      <c r="U855" s="4" t="str">
        <f t="shared" si="69"/>
        <v>Average</v>
      </c>
      <c r="V855" s="4" t="str">
        <f t="shared" si="70"/>
        <v>Average</v>
      </c>
      <c r="W855" s="4"/>
      <c r="X855" s="4"/>
      <c r="AJ855" s="4"/>
    </row>
    <row r="856" spans="1:36">
      <c r="A856" t="str">
        <f t="shared" si="66"/>
        <v>Anan45855</v>
      </c>
      <c r="B856">
        <v>855</v>
      </c>
      <c r="C856">
        <v>9</v>
      </c>
      <c r="D856">
        <v>6</v>
      </c>
      <c r="E856">
        <v>2022</v>
      </c>
      <c r="F856" s="1">
        <f t="shared" si="67"/>
        <v>44721</v>
      </c>
      <c r="G856" s="1" t="s">
        <v>643</v>
      </c>
      <c r="H856" s="2">
        <v>45332</v>
      </c>
      <c r="I856" t="s">
        <v>26</v>
      </c>
      <c r="J856">
        <v>1</v>
      </c>
      <c r="K856">
        <v>40755.03</v>
      </c>
      <c r="L856" t="s">
        <v>658</v>
      </c>
      <c r="M856">
        <v>45</v>
      </c>
      <c r="N856" t="s">
        <v>21</v>
      </c>
      <c r="O856" s="3" t="s">
        <v>22</v>
      </c>
      <c r="P856" t="s">
        <v>33</v>
      </c>
      <c r="Q856" t="s">
        <v>41</v>
      </c>
      <c r="R856">
        <v>5</v>
      </c>
      <c r="S856" t="s">
        <v>31</v>
      </c>
      <c r="T856" s="4">
        <f t="shared" si="68"/>
        <v>40755.03</v>
      </c>
      <c r="U856" s="4" t="str">
        <f t="shared" si="69"/>
        <v>Good</v>
      </c>
      <c r="V856" s="4" t="str">
        <f t="shared" si="70"/>
        <v>Low</v>
      </c>
      <c r="W856" s="4"/>
      <c r="X856" s="4"/>
      <c r="AJ856" s="4"/>
    </row>
    <row r="857" spans="1:36">
      <c r="A857" t="str">
        <f t="shared" si="66"/>
        <v>Roha56856</v>
      </c>
      <c r="B857">
        <v>856</v>
      </c>
      <c r="C857">
        <v>10</v>
      </c>
      <c r="D857">
        <v>6</v>
      </c>
      <c r="E857">
        <v>2022</v>
      </c>
      <c r="F857" s="1">
        <f t="shared" si="67"/>
        <v>44722</v>
      </c>
      <c r="G857" s="1" t="s">
        <v>643</v>
      </c>
      <c r="H857" s="2">
        <v>45333</v>
      </c>
      <c r="I857" t="s">
        <v>43</v>
      </c>
      <c r="J857">
        <v>8</v>
      </c>
      <c r="K857">
        <v>43851.69</v>
      </c>
      <c r="L857" t="s">
        <v>659</v>
      </c>
      <c r="M857">
        <v>56</v>
      </c>
      <c r="N857" t="s">
        <v>61</v>
      </c>
      <c r="O857" s="3" t="s">
        <v>22</v>
      </c>
      <c r="P857" t="s">
        <v>29</v>
      </c>
      <c r="Q857" t="s">
        <v>56</v>
      </c>
      <c r="R857">
        <v>5</v>
      </c>
      <c r="S857" t="s">
        <v>95</v>
      </c>
      <c r="T857" s="4">
        <f t="shared" si="68"/>
        <v>350813.52</v>
      </c>
      <c r="U857" s="4" t="str">
        <f t="shared" si="69"/>
        <v>Good</v>
      </c>
      <c r="V857" s="4" t="str">
        <f t="shared" si="70"/>
        <v>Excellent</v>
      </c>
      <c r="W857" s="4"/>
      <c r="X857" s="4"/>
      <c r="AJ857" s="4"/>
    </row>
    <row r="858" spans="1:36">
      <c r="A858" t="str">
        <f t="shared" si="66"/>
        <v>Pooj49857</v>
      </c>
      <c r="B858">
        <v>857</v>
      </c>
      <c r="C858">
        <v>10</v>
      </c>
      <c r="D858">
        <v>6</v>
      </c>
      <c r="E858">
        <v>2022</v>
      </c>
      <c r="F858" s="1">
        <f t="shared" si="67"/>
        <v>44722</v>
      </c>
      <c r="G858" s="1" t="s">
        <v>643</v>
      </c>
      <c r="H858" s="2">
        <v>45334</v>
      </c>
      <c r="I858" t="s">
        <v>49</v>
      </c>
      <c r="J858">
        <v>8</v>
      </c>
      <c r="K858">
        <v>39649.46</v>
      </c>
      <c r="L858" t="s">
        <v>646</v>
      </c>
      <c r="M858">
        <v>49</v>
      </c>
      <c r="N858" t="s">
        <v>61</v>
      </c>
      <c r="O858" s="3" t="s">
        <v>55</v>
      </c>
      <c r="P858" t="s">
        <v>29</v>
      </c>
      <c r="Q858" t="s">
        <v>56</v>
      </c>
      <c r="R858">
        <v>2</v>
      </c>
      <c r="S858" t="s">
        <v>102</v>
      </c>
      <c r="T858" s="4">
        <f t="shared" si="68"/>
        <v>317195.68</v>
      </c>
      <c r="U858" s="4" t="str">
        <f t="shared" si="69"/>
        <v>Average</v>
      </c>
      <c r="V858" s="4" t="str">
        <f t="shared" si="70"/>
        <v>Excellent</v>
      </c>
      <c r="W858" s="4"/>
      <c r="X858" s="4"/>
      <c r="AJ858" s="4"/>
    </row>
    <row r="859" spans="1:36">
      <c r="A859" t="str">
        <f t="shared" si="66"/>
        <v>Yoge30858</v>
      </c>
      <c r="B859">
        <v>858</v>
      </c>
      <c r="C859">
        <v>10</v>
      </c>
      <c r="D859">
        <v>6</v>
      </c>
      <c r="E859">
        <v>2022</v>
      </c>
      <c r="F859" s="1">
        <f t="shared" si="67"/>
        <v>44722</v>
      </c>
      <c r="G859" s="1" t="s">
        <v>643</v>
      </c>
      <c r="H859" s="2">
        <v>45335</v>
      </c>
      <c r="I859" t="s">
        <v>26</v>
      </c>
      <c r="J859">
        <v>1</v>
      </c>
      <c r="K859">
        <v>53912.4</v>
      </c>
      <c r="L859" t="s">
        <v>660</v>
      </c>
      <c r="M859">
        <v>30</v>
      </c>
      <c r="N859" t="s">
        <v>36</v>
      </c>
      <c r="O859" s="3" t="s">
        <v>55</v>
      </c>
      <c r="P859" t="s">
        <v>93</v>
      </c>
      <c r="Q859" t="s">
        <v>24</v>
      </c>
      <c r="R859">
        <v>2</v>
      </c>
      <c r="S859" t="s">
        <v>34</v>
      </c>
      <c r="T859" s="4">
        <f t="shared" si="68"/>
        <v>53912.4</v>
      </c>
      <c r="U859" s="4" t="str">
        <f t="shared" si="69"/>
        <v>Average</v>
      </c>
      <c r="V859" s="4" t="str">
        <f t="shared" si="70"/>
        <v>Average</v>
      </c>
      <c r="W859" s="4"/>
      <c r="X859" s="4"/>
      <c r="AJ859" s="4"/>
    </row>
    <row r="860" spans="1:36">
      <c r="A860" t="str">
        <f t="shared" si="66"/>
        <v>Sach32859</v>
      </c>
      <c r="B860">
        <v>859</v>
      </c>
      <c r="C860">
        <v>11</v>
      </c>
      <c r="D860">
        <v>6</v>
      </c>
      <c r="E860">
        <v>2022</v>
      </c>
      <c r="F860" s="1">
        <f t="shared" si="67"/>
        <v>44723</v>
      </c>
      <c r="G860" s="1" t="s">
        <v>643</v>
      </c>
      <c r="H860" s="2">
        <v>45336</v>
      </c>
      <c r="I860" t="s">
        <v>26</v>
      </c>
      <c r="J860">
        <v>9</v>
      </c>
      <c r="K860">
        <v>33027.480000000003</v>
      </c>
      <c r="L860" t="s">
        <v>183</v>
      </c>
      <c r="M860">
        <v>32</v>
      </c>
      <c r="N860" t="s">
        <v>21</v>
      </c>
      <c r="O860" s="3" t="s">
        <v>22</v>
      </c>
      <c r="P860" t="s">
        <v>114</v>
      </c>
      <c r="Q860" t="s">
        <v>30</v>
      </c>
      <c r="R860">
        <v>5</v>
      </c>
      <c r="S860" t="s">
        <v>67</v>
      </c>
      <c r="T860" s="4">
        <f t="shared" si="68"/>
        <v>297247.32</v>
      </c>
      <c r="U860" s="4" t="str">
        <f t="shared" si="69"/>
        <v>Good</v>
      </c>
      <c r="V860" s="4" t="str">
        <f t="shared" si="70"/>
        <v>Excellent</v>
      </c>
      <c r="W860" s="4"/>
      <c r="X860" s="4"/>
      <c r="AJ860" s="4"/>
    </row>
    <row r="861" spans="1:36">
      <c r="A861" t="str">
        <f t="shared" si="66"/>
        <v>Deve35860</v>
      </c>
      <c r="B861">
        <v>860</v>
      </c>
      <c r="C861">
        <v>11</v>
      </c>
      <c r="D861">
        <v>6</v>
      </c>
      <c r="E861">
        <v>2022</v>
      </c>
      <c r="F861" s="1">
        <f t="shared" si="67"/>
        <v>44723</v>
      </c>
      <c r="G861" s="1" t="s">
        <v>643</v>
      </c>
      <c r="H861" s="2">
        <v>45337</v>
      </c>
      <c r="I861" t="s">
        <v>43</v>
      </c>
      <c r="J861">
        <v>2</v>
      </c>
      <c r="K861">
        <v>66698.02</v>
      </c>
      <c r="L861" t="s">
        <v>454</v>
      </c>
      <c r="M861">
        <v>35</v>
      </c>
      <c r="N861" t="s">
        <v>21</v>
      </c>
      <c r="O861" s="3" t="s">
        <v>55</v>
      </c>
      <c r="P861" t="s">
        <v>132</v>
      </c>
      <c r="Q861" t="s">
        <v>24</v>
      </c>
      <c r="R861">
        <v>2</v>
      </c>
      <c r="S861" t="s">
        <v>46</v>
      </c>
      <c r="T861" s="4">
        <f t="shared" si="68"/>
        <v>133396.04</v>
      </c>
      <c r="U861" s="4" t="str">
        <f t="shared" si="69"/>
        <v>Average</v>
      </c>
      <c r="V861" s="4" t="str">
        <f t="shared" si="70"/>
        <v>Good</v>
      </c>
      <c r="W861" s="4"/>
      <c r="X861" s="4"/>
      <c r="AJ861" s="4"/>
    </row>
    <row r="862" spans="1:36">
      <c r="A862" t="str">
        <f t="shared" si="66"/>
        <v>Mano56861</v>
      </c>
      <c r="B862">
        <v>861</v>
      </c>
      <c r="C862">
        <v>11</v>
      </c>
      <c r="D862">
        <v>6</v>
      </c>
      <c r="E862">
        <v>2022</v>
      </c>
      <c r="F862" s="1">
        <f t="shared" si="67"/>
        <v>44723</v>
      </c>
      <c r="G862" s="1" t="s">
        <v>643</v>
      </c>
      <c r="H862" s="2">
        <v>45338</v>
      </c>
      <c r="I862" t="s">
        <v>19</v>
      </c>
      <c r="J862">
        <v>9</v>
      </c>
      <c r="K862">
        <v>38908.21</v>
      </c>
      <c r="L862" t="s">
        <v>309</v>
      </c>
      <c r="M862">
        <v>56</v>
      </c>
      <c r="N862" t="s">
        <v>61</v>
      </c>
      <c r="O862" s="3" t="s">
        <v>22</v>
      </c>
      <c r="P862" t="s">
        <v>114</v>
      </c>
      <c r="Q862" t="s">
        <v>24</v>
      </c>
      <c r="R862">
        <v>5</v>
      </c>
      <c r="S862" t="s">
        <v>37</v>
      </c>
      <c r="T862" s="4">
        <f t="shared" si="68"/>
        <v>350173.89</v>
      </c>
      <c r="U862" s="4" t="str">
        <f t="shared" si="69"/>
        <v>Good</v>
      </c>
      <c r="V862" s="4" t="str">
        <f t="shared" si="70"/>
        <v>Excellent</v>
      </c>
      <c r="W862" s="4"/>
      <c r="X862" s="4"/>
      <c r="AJ862" s="4"/>
    </row>
    <row r="863" spans="1:36">
      <c r="A863" t="str">
        <f t="shared" si="66"/>
        <v>Kuna23862</v>
      </c>
      <c r="B863">
        <v>862</v>
      </c>
      <c r="C863">
        <v>11</v>
      </c>
      <c r="D863">
        <v>6</v>
      </c>
      <c r="E863">
        <v>2022</v>
      </c>
      <c r="F863" s="1">
        <f t="shared" si="67"/>
        <v>44723</v>
      </c>
      <c r="G863" s="1" t="s">
        <v>643</v>
      </c>
      <c r="H863" s="2">
        <v>45339</v>
      </c>
      <c r="I863" t="s">
        <v>38</v>
      </c>
      <c r="J863">
        <v>1</v>
      </c>
      <c r="K863">
        <v>44272.83</v>
      </c>
      <c r="L863" t="s">
        <v>604</v>
      </c>
      <c r="M863">
        <v>23</v>
      </c>
      <c r="N863" t="s">
        <v>36</v>
      </c>
      <c r="O863" s="3" t="s">
        <v>22</v>
      </c>
      <c r="P863" t="s">
        <v>40</v>
      </c>
      <c r="Q863" t="s">
        <v>56</v>
      </c>
      <c r="R863">
        <v>4</v>
      </c>
      <c r="S863" t="s">
        <v>99</v>
      </c>
      <c r="T863" s="4">
        <f t="shared" si="68"/>
        <v>44272.83</v>
      </c>
      <c r="U863" s="4" t="str">
        <f t="shared" si="69"/>
        <v>Good</v>
      </c>
      <c r="V863" s="4" t="str">
        <f t="shared" si="70"/>
        <v>Low</v>
      </c>
      <c r="W863" s="4"/>
      <c r="X863" s="4"/>
      <c r="AJ863" s="4"/>
    </row>
    <row r="864" spans="1:36">
      <c r="A864" t="str">
        <f t="shared" si="66"/>
        <v>Ayes28863</v>
      </c>
      <c r="B864">
        <v>863</v>
      </c>
      <c r="C864">
        <v>12</v>
      </c>
      <c r="D864">
        <v>6</v>
      </c>
      <c r="E864">
        <v>2022</v>
      </c>
      <c r="F864" s="1">
        <f t="shared" si="67"/>
        <v>44724</v>
      </c>
      <c r="G864" s="1" t="s">
        <v>643</v>
      </c>
      <c r="H864" s="2">
        <v>45340</v>
      </c>
      <c r="I864" t="s">
        <v>19</v>
      </c>
      <c r="J864">
        <v>9</v>
      </c>
      <c r="K864">
        <v>59531.85</v>
      </c>
      <c r="L864" t="s">
        <v>136</v>
      </c>
      <c r="M864">
        <v>28</v>
      </c>
      <c r="N864" t="s">
        <v>36</v>
      </c>
      <c r="O864" s="3" t="s">
        <v>22</v>
      </c>
      <c r="P864" t="s">
        <v>114</v>
      </c>
      <c r="Q864" t="s">
        <v>24</v>
      </c>
      <c r="R864">
        <v>5</v>
      </c>
      <c r="S864" t="s">
        <v>25</v>
      </c>
      <c r="T864" s="4">
        <f t="shared" si="68"/>
        <v>535786.65</v>
      </c>
      <c r="U864" s="4" t="str">
        <f t="shared" si="69"/>
        <v>Good</v>
      </c>
      <c r="V864" s="4" t="str">
        <f t="shared" si="70"/>
        <v>Excellent</v>
      </c>
      <c r="W864" s="4"/>
      <c r="X864" s="4"/>
      <c r="AJ864" s="4"/>
    </row>
    <row r="865" spans="1:36">
      <c r="A865" t="str">
        <f t="shared" si="66"/>
        <v>Roha49864</v>
      </c>
      <c r="B865">
        <v>864</v>
      </c>
      <c r="C865">
        <v>12</v>
      </c>
      <c r="D865">
        <v>6</v>
      </c>
      <c r="E865">
        <v>2022</v>
      </c>
      <c r="F865" s="1">
        <f t="shared" si="67"/>
        <v>44724</v>
      </c>
      <c r="G865" s="1" t="s">
        <v>643</v>
      </c>
      <c r="H865" s="2">
        <v>45341</v>
      </c>
      <c r="I865" t="s">
        <v>49</v>
      </c>
      <c r="J865">
        <v>4</v>
      </c>
      <c r="K865">
        <v>26514.17</v>
      </c>
      <c r="L865" t="s">
        <v>661</v>
      </c>
      <c r="M865">
        <v>49</v>
      </c>
      <c r="N865" t="s">
        <v>61</v>
      </c>
      <c r="O865" s="3" t="s">
        <v>22</v>
      </c>
      <c r="P865" t="s">
        <v>33</v>
      </c>
      <c r="Q865" t="s">
        <v>24</v>
      </c>
      <c r="R865">
        <v>4</v>
      </c>
      <c r="S865" t="s">
        <v>88</v>
      </c>
      <c r="T865" s="4">
        <f t="shared" si="68"/>
        <v>106056.68</v>
      </c>
      <c r="U865" s="4" t="str">
        <f t="shared" si="69"/>
        <v>Good</v>
      </c>
      <c r="V865" s="4" t="str">
        <f t="shared" si="70"/>
        <v>Good</v>
      </c>
      <c r="W865" s="4"/>
      <c r="X865" s="4"/>
      <c r="AJ865" s="4"/>
    </row>
    <row r="866" spans="1:36">
      <c r="A866" t="str">
        <f t="shared" si="66"/>
        <v>Sumi57865</v>
      </c>
      <c r="B866">
        <v>865</v>
      </c>
      <c r="C866">
        <v>12</v>
      </c>
      <c r="D866">
        <v>6</v>
      </c>
      <c r="E866">
        <v>2022</v>
      </c>
      <c r="F866" s="1">
        <f t="shared" si="67"/>
        <v>44724</v>
      </c>
      <c r="G866" s="1" t="s">
        <v>643</v>
      </c>
      <c r="H866" s="2">
        <v>45342</v>
      </c>
      <c r="I866" t="s">
        <v>26</v>
      </c>
      <c r="J866">
        <v>9</v>
      </c>
      <c r="K866">
        <v>14512.12</v>
      </c>
      <c r="L866" t="s">
        <v>313</v>
      </c>
      <c r="M866">
        <v>57</v>
      </c>
      <c r="N866" t="s">
        <v>61</v>
      </c>
      <c r="O866" s="3" t="s">
        <v>55</v>
      </c>
      <c r="P866" t="s">
        <v>23</v>
      </c>
      <c r="Q866" t="s">
        <v>56</v>
      </c>
      <c r="R866">
        <v>2</v>
      </c>
      <c r="S866" t="s">
        <v>31</v>
      </c>
      <c r="T866" s="4">
        <f t="shared" si="68"/>
        <v>130609.08</v>
      </c>
      <c r="U866" s="4" t="str">
        <f t="shared" si="69"/>
        <v>Average</v>
      </c>
      <c r="V866" s="4" t="str">
        <f t="shared" si="70"/>
        <v>Good</v>
      </c>
      <c r="W866" s="4"/>
      <c r="X866" s="4"/>
      <c r="AJ866" s="4"/>
    </row>
    <row r="867" spans="1:36">
      <c r="A867" t="str">
        <f t="shared" si="66"/>
        <v>Anit37866</v>
      </c>
      <c r="B867">
        <v>866</v>
      </c>
      <c r="C867">
        <v>13</v>
      </c>
      <c r="D867">
        <v>6</v>
      </c>
      <c r="E867">
        <v>2022</v>
      </c>
      <c r="F867" s="1">
        <f t="shared" si="67"/>
        <v>44725</v>
      </c>
      <c r="G867" s="1" t="s">
        <v>643</v>
      </c>
      <c r="H867" s="2">
        <v>45343</v>
      </c>
      <c r="I867" t="s">
        <v>43</v>
      </c>
      <c r="J867">
        <v>7</v>
      </c>
      <c r="K867">
        <v>52467.040000000001</v>
      </c>
      <c r="L867" t="s">
        <v>662</v>
      </c>
      <c r="M867">
        <v>37</v>
      </c>
      <c r="N867" t="s">
        <v>21</v>
      </c>
      <c r="O867" s="3" t="s">
        <v>28</v>
      </c>
      <c r="P867" t="s">
        <v>33</v>
      </c>
      <c r="Q867" t="s">
        <v>41</v>
      </c>
      <c r="R867">
        <v>3</v>
      </c>
      <c r="S867" t="s">
        <v>95</v>
      </c>
      <c r="T867" s="4">
        <f t="shared" si="68"/>
        <v>367269.28</v>
      </c>
      <c r="U867" s="4" t="str">
        <f t="shared" si="69"/>
        <v>Average</v>
      </c>
      <c r="V867" s="4" t="str">
        <f t="shared" si="70"/>
        <v>Excellent</v>
      </c>
      <c r="W867" s="4"/>
      <c r="X867" s="4"/>
      <c r="AJ867" s="4"/>
    </row>
    <row r="868" spans="1:36">
      <c r="A868" t="str">
        <f t="shared" si="66"/>
        <v>Umes50867</v>
      </c>
      <c r="B868">
        <v>867</v>
      </c>
      <c r="C868">
        <v>13</v>
      </c>
      <c r="D868">
        <v>6</v>
      </c>
      <c r="E868">
        <v>2022</v>
      </c>
      <c r="F868" s="1">
        <f t="shared" si="67"/>
        <v>44725</v>
      </c>
      <c r="G868" s="1" t="s">
        <v>643</v>
      </c>
      <c r="H868" s="2">
        <v>45344</v>
      </c>
      <c r="I868" t="s">
        <v>43</v>
      </c>
      <c r="J868">
        <v>6</v>
      </c>
      <c r="K868">
        <v>38980.71</v>
      </c>
      <c r="L868" t="s">
        <v>663</v>
      </c>
      <c r="M868">
        <v>50</v>
      </c>
      <c r="N868" t="s">
        <v>61</v>
      </c>
      <c r="O868" s="3" t="s">
        <v>28</v>
      </c>
      <c r="P868" t="s">
        <v>77</v>
      </c>
      <c r="Q868" t="s">
        <v>41</v>
      </c>
      <c r="R868">
        <v>3</v>
      </c>
      <c r="S868" t="s">
        <v>46</v>
      </c>
      <c r="T868" s="4">
        <f t="shared" si="68"/>
        <v>233884.26</v>
      </c>
      <c r="U868" s="4" t="str">
        <f t="shared" si="69"/>
        <v>Average</v>
      </c>
      <c r="V868" s="4" t="str">
        <f t="shared" si="70"/>
        <v>Excellent</v>
      </c>
      <c r="W868" s="4"/>
      <c r="X868" s="4"/>
      <c r="AJ868" s="4"/>
    </row>
    <row r="869" spans="1:36">
      <c r="A869" t="str">
        <f t="shared" si="66"/>
        <v>Deep57868</v>
      </c>
      <c r="B869">
        <v>868</v>
      </c>
      <c r="C869">
        <v>13</v>
      </c>
      <c r="D869">
        <v>6</v>
      </c>
      <c r="E869">
        <v>2022</v>
      </c>
      <c r="F869" s="1">
        <f t="shared" si="67"/>
        <v>44725</v>
      </c>
      <c r="G869" s="1" t="s">
        <v>643</v>
      </c>
      <c r="H869" s="2">
        <v>45345</v>
      </c>
      <c r="I869" t="s">
        <v>38</v>
      </c>
      <c r="J869">
        <v>5</v>
      </c>
      <c r="K869">
        <v>63790.26</v>
      </c>
      <c r="L869" t="s">
        <v>664</v>
      </c>
      <c r="M869">
        <v>57</v>
      </c>
      <c r="N869" t="s">
        <v>61</v>
      </c>
      <c r="O869" s="3" t="s">
        <v>22</v>
      </c>
      <c r="P869" t="s">
        <v>132</v>
      </c>
      <c r="Q869" t="s">
        <v>56</v>
      </c>
      <c r="R869">
        <v>5</v>
      </c>
      <c r="S869" t="s">
        <v>42</v>
      </c>
      <c r="T869" s="4">
        <f t="shared" si="68"/>
        <v>318951.3</v>
      </c>
      <c r="U869" s="4" t="str">
        <f t="shared" si="69"/>
        <v>Good</v>
      </c>
      <c r="V869" s="4" t="str">
        <f t="shared" si="70"/>
        <v>Excellent</v>
      </c>
      <c r="W869" s="4"/>
      <c r="X869" s="4"/>
      <c r="AJ869" s="4"/>
    </row>
    <row r="870" spans="1:36">
      <c r="A870" t="str">
        <f t="shared" si="66"/>
        <v>Tanu25869</v>
      </c>
      <c r="B870">
        <v>869</v>
      </c>
      <c r="C870">
        <v>14</v>
      </c>
      <c r="D870">
        <v>6</v>
      </c>
      <c r="E870">
        <v>2022</v>
      </c>
      <c r="F870" s="1">
        <f t="shared" si="67"/>
        <v>44726</v>
      </c>
      <c r="G870" s="1" t="s">
        <v>643</v>
      </c>
      <c r="H870" s="2">
        <v>45346</v>
      </c>
      <c r="I870" t="s">
        <v>19</v>
      </c>
      <c r="J870">
        <v>9</v>
      </c>
      <c r="K870">
        <v>68960.800000000003</v>
      </c>
      <c r="L870" t="s">
        <v>129</v>
      </c>
      <c r="M870">
        <v>25</v>
      </c>
      <c r="N870" t="s">
        <v>36</v>
      </c>
      <c r="O870" s="3" t="s">
        <v>22</v>
      </c>
      <c r="P870" t="s">
        <v>77</v>
      </c>
      <c r="Q870" t="s">
        <v>30</v>
      </c>
      <c r="R870">
        <v>5</v>
      </c>
      <c r="S870" t="s">
        <v>84</v>
      </c>
      <c r="T870" s="4">
        <f t="shared" si="68"/>
        <v>620647.20000000007</v>
      </c>
      <c r="U870" s="4" t="str">
        <f t="shared" si="69"/>
        <v>Good</v>
      </c>
      <c r="V870" s="4" t="str">
        <f t="shared" si="70"/>
        <v>Excellent</v>
      </c>
      <c r="W870" s="4"/>
      <c r="X870" s="4"/>
      <c r="AJ870" s="4"/>
    </row>
    <row r="871" spans="1:36">
      <c r="A871" t="str">
        <f t="shared" si="66"/>
        <v>Sach52870</v>
      </c>
      <c r="B871">
        <v>870</v>
      </c>
      <c r="C871">
        <v>14</v>
      </c>
      <c r="D871">
        <v>6</v>
      </c>
      <c r="E871">
        <v>2022</v>
      </c>
      <c r="F871" s="1">
        <f t="shared" si="67"/>
        <v>44726</v>
      </c>
      <c r="G871" s="1" t="s">
        <v>643</v>
      </c>
      <c r="H871" s="2">
        <v>45347</v>
      </c>
      <c r="I871" t="s">
        <v>38</v>
      </c>
      <c r="J871">
        <v>2</v>
      </c>
      <c r="K871">
        <v>33946.559999999998</v>
      </c>
      <c r="L871" t="s">
        <v>534</v>
      </c>
      <c r="M871">
        <v>52</v>
      </c>
      <c r="N871" t="s">
        <v>61</v>
      </c>
      <c r="O871" s="3" t="s">
        <v>55</v>
      </c>
      <c r="P871" t="s">
        <v>51</v>
      </c>
      <c r="Q871" t="s">
        <v>24</v>
      </c>
      <c r="R871">
        <v>2</v>
      </c>
      <c r="S871" t="s">
        <v>99</v>
      </c>
      <c r="T871" s="4">
        <f t="shared" si="68"/>
        <v>67893.119999999995</v>
      </c>
      <c r="U871" s="4" t="str">
        <f t="shared" si="69"/>
        <v>Average</v>
      </c>
      <c r="V871" s="4" t="str">
        <f t="shared" si="70"/>
        <v>Average</v>
      </c>
      <c r="W871" s="4"/>
      <c r="X871" s="4"/>
      <c r="AJ871" s="4"/>
    </row>
    <row r="872" spans="1:36">
      <c r="A872" t="str">
        <f t="shared" si="66"/>
        <v>Ayes22871</v>
      </c>
      <c r="B872">
        <v>871</v>
      </c>
      <c r="C872">
        <v>14</v>
      </c>
      <c r="D872">
        <v>6</v>
      </c>
      <c r="E872">
        <v>2022</v>
      </c>
      <c r="F872" s="1">
        <f t="shared" si="67"/>
        <v>44726</v>
      </c>
      <c r="G872" s="1" t="s">
        <v>643</v>
      </c>
      <c r="H872" s="2">
        <v>45348</v>
      </c>
      <c r="I872" t="s">
        <v>26</v>
      </c>
      <c r="J872">
        <v>2</v>
      </c>
      <c r="K872">
        <v>34926.339999999997</v>
      </c>
      <c r="L872" t="s">
        <v>665</v>
      </c>
      <c r="M872">
        <v>22</v>
      </c>
      <c r="N872" t="s">
        <v>36</v>
      </c>
      <c r="O872" s="3" t="s">
        <v>28</v>
      </c>
      <c r="P872" t="s">
        <v>45</v>
      </c>
      <c r="Q872" t="s">
        <v>41</v>
      </c>
      <c r="R872">
        <v>3</v>
      </c>
      <c r="S872" t="s">
        <v>67</v>
      </c>
      <c r="T872" s="4">
        <f t="shared" si="68"/>
        <v>69852.679999999993</v>
      </c>
      <c r="U872" s="4" t="str">
        <f t="shared" si="69"/>
        <v>Average</v>
      </c>
      <c r="V872" s="4" t="str">
        <f t="shared" si="70"/>
        <v>Average</v>
      </c>
      <c r="W872" s="4"/>
      <c r="X872" s="4"/>
      <c r="AJ872" s="4"/>
    </row>
    <row r="873" spans="1:36">
      <c r="A873" t="str">
        <f t="shared" si="66"/>
        <v>Anja52872</v>
      </c>
      <c r="B873">
        <v>872</v>
      </c>
      <c r="C873">
        <v>15</v>
      </c>
      <c r="D873">
        <v>6</v>
      </c>
      <c r="E873">
        <v>2022</v>
      </c>
      <c r="F873" s="1">
        <f t="shared" si="67"/>
        <v>44727</v>
      </c>
      <c r="G873" s="1" t="s">
        <v>643</v>
      </c>
      <c r="H873" s="2">
        <v>45349</v>
      </c>
      <c r="I873" t="s">
        <v>38</v>
      </c>
      <c r="J873">
        <v>9</v>
      </c>
      <c r="K873">
        <v>34477.760000000002</v>
      </c>
      <c r="L873" t="s">
        <v>202</v>
      </c>
      <c r="M873">
        <v>52</v>
      </c>
      <c r="N873" t="s">
        <v>61</v>
      </c>
      <c r="O873" s="3" t="s">
        <v>28</v>
      </c>
      <c r="P873" t="s">
        <v>70</v>
      </c>
      <c r="Q873" t="s">
        <v>56</v>
      </c>
      <c r="R873">
        <v>3</v>
      </c>
      <c r="S873" t="s">
        <v>99</v>
      </c>
      <c r="T873" s="4">
        <f t="shared" si="68"/>
        <v>310299.84000000003</v>
      </c>
      <c r="U873" s="4" t="str">
        <f t="shared" si="69"/>
        <v>Average</v>
      </c>
      <c r="V873" s="4" t="str">
        <f t="shared" si="70"/>
        <v>Excellent</v>
      </c>
      <c r="W873" s="4"/>
      <c r="X873" s="4"/>
      <c r="AJ873" s="4"/>
    </row>
    <row r="874" spans="1:36">
      <c r="A874" t="str">
        <f t="shared" si="66"/>
        <v>Isha31873</v>
      </c>
      <c r="B874">
        <v>873</v>
      </c>
      <c r="C874">
        <v>15</v>
      </c>
      <c r="D874">
        <v>6</v>
      </c>
      <c r="E874">
        <v>2022</v>
      </c>
      <c r="F874" s="1">
        <f t="shared" si="67"/>
        <v>44727</v>
      </c>
      <c r="G874" s="1" t="s">
        <v>643</v>
      </c>
      <c r="H874" s="2">
        <v>45350</v>
      </c>
      <c r="I874" t="s">
        <v>43</v>
      </c>
      <c r="J874">
        <v>3</v>
      </c>
      <c r="K874">
        <v>29473.25</v>
      </c>
      <c r="L874" t="s">
        <v>423</v>
      </c>
      <c r="M874">
        <v>31</v>
      </c>
      <c r="N874" t="s">
        <v>21</v>
      </c>
      <c r="O874" s="3" t="s">
        <v>22</v>
      </c>
      <c r="P874" t="s">
        <v>45</v>
      </c>
      <c r="Q874" t="s">
        <v>30</v>
      </c>
      <c r="R874">
        <v>5</v>
      </c>
      <c r="S874" t="s">
        <v>95</v>
      </c>
      <c r="T874" s="4">
        <f t="shared" si="68"/>
        <v>88419.75</v>
      </c>
      <c r="U874" s="4" t="str">
        <f t="shared" si="69"/>
        <v>Good</v>
      </c>
      <c r="V874" s="4" t="str">
        <f t="shared" si="70"/>
        <v>Average</v>
      </c>
      <c r="W874" s="4"/>
      <c r="X874" s="4"/>
      <c r="AJ874" s="4"/>
    </row>
    <row r="875" spans="1:36">
      <c r="A875" t="str">
        <f t="shared" si="66"/>
        <v>Bhav38874</v>
      </c>
      <c r="B875">
        <v>874</v>
      </c>
      <c r="C875">
        <v>15</v>
      </c>
      <c r="D875">
        <v>6</v>
      </c>
      <c r="E875">
        <v>2022</v>
      </c>
      <c r="F875" s="1">
        <f t="shared" si="67"/>
        <v>44727</v>
      </c>
      <c r="G875" s="1" t="s">
        <v>643</v>
      </c>
      <c r="H875" s="2">
        <v>45351</v>
      </c>
      <c r="I875" t="s">
        <v>43</v>
      </c>
      <c r="J875">
        <v>8</v>
      </c>
      <c r="K875">
        <v>56901.23</v>
      </c>
      <c r="L875" t="s">
        <v>223</v>
      </c>
      <c r="M875">
        <v>38</v>
      </c>
      <c r="N875" t="s">
        <v>21</v>
      </c>
      <c r="O875" s="3" t="s">
        <v>28</v>
      </c>
      <c r="P875" t="s">
        <v>117</v>
      </c>
      <c r="Q875" t="s">
        <v>24</v>
      </c>
      <c r="R875">
        <v>3</v>
      </c>
      <c r="S875" t="s">
        <v>57</v>
      </c>
      <c r="T875" s="4">
        <f t="shared" si="68"/>
        <v>455209.84</v>
      </c>
      <c r="U875" s="4" t="str">
        <f t="shared" si="69"/>
        <v>Average</v>
      </c>
      <c r="V875" s="4" t="str">
        <f t="shared" si="70"/>
        <v>Excellent</v>
      </c>
      <c r="W875" s="4"/>
      <c r="X875" s="4"/>
      <c r="AJ875" s="4"/>
    </row>
    <row r="876" spans="1:36">
      <c r="A876" t="str">
        <f t="shared" si="66"/>
        <v>Pras41875</v>
      </c>
      <c r="B876">
        <v>875</v>
      </c>
      <c r="C876">
        <v>16</v>
      </c>
      <c r="D876">
        <v>6</v>
      </c>
      <c r="E876">
        <v>2022</v>
      </c>
      <c r="F876" s="1">
        <f t="shared" si="67"/>
        <v>44728</v>
      </c>
      <c r="G876" s="1" t="s">
        <v>643</v>
      </c>
      <c r="H876" s="2">
        <v>45352</v>
      </c>
      <c r="I876" t="s">
        <v>49</v>
      </c>
      <c r="J876">
        <v>9</v>
      </c>
      <c r="K876">
        <v>55539.75</v>
      </c>
      <c r="L876" t="s">
        <v>147</v>
      </c>
      <c r="M876">
        <v>41</v>
      </c>
      <c r="N876" t="s">
        <v>21</v>
      </c>
      <c r="O876" s="3" t="s">
        <v>22</v>
      </c>
      <c r="P876" t="s">
        <v>110</v>
      </c>
      <c r="Q876" t="s">
        <v>56</v>
      </c>
      <c r="R876">
        <v>5</v>
      </c>
      <c r="S876" t="s">
        <v>88</v>
      </c>
      <c r="T876" s="4">
        <f t="shared" si="68"/>
        <v>499857.75</v>
      </c>
      <c r="U876" s="4" t="str">
        <f t="shared" si="69"/>
        <v>Good</v>
      </c>
      <c r="V876" s="4" t="str">
        <f t="shared" si="70"/>
        <v>Excellent</v>
      </c>
      <c r="W876" s="4"/>
      <c r="X876" s="4"/>
      <c r="AJ876" s="4"/>
    </row>
    <row r="877" spans="1:36">
      <c r="A877" t="str">
        <f t="shared" si="66"/>
        <v>Anan34876</v>
      </c>
      <c r="B877">
        <v>876</v>
      </c>
      <c r="C877">
        <v>16</v>
      </c>
      <c r="D877">
        <v>6</v>
      </c>
      <c r="E877">
        <v>2022</v>
      </c>
      <c r="F877" s="1">
        <f t="shared" si="67"/>
        <v>44728</v>
      </c>
      <c r="G877" s="1" t="s">
        <v>643</v>
      </c>
      <c r="H877" s="2">
        <v>45353</v>
      </c>
      <c r="I877" t="s">
        <v>49</v>
      </c>
      <c r="J877">
        <v>8</v>
      </c>
      <c r="K877">
        <v>38718.69</v>
      </c>
      <c r="L877" t="s">
        <v>618</v>
      </c>
      <c r="M877">
        <v>34</v>
      </c>
      <c r="N877" t="s">
        <v>21</v>
      </c>
      <c r="O877" s="3" t="s">
        <v>22</v>
      </c>
      <c r="P877" t="s">
        <v>90</v>
      </c>
      <c r="Q877" t="s">
        <v>56</v>
      </c>
      <c r="R877">
        <v>5</v>
      </c>
      <c r="S877" t="s">
        <v>52</v>
      </c>
      <c r="T877" s="4">
        <f t="shared" si="68"/>
        <v>309749.52</v>
      </c>
      <c r="U877" s="4" t="str">
        <f t="shared" si="69"/>
        <v>Good</v>
      </c>
      <c r="V877" s="4" t="str">
        <f t="shared" si="70"/>
        <v>Excellent</v>
      </c>
      <c r="W877" s="4"/>
      <c r="X877" s="4"/>
      <c r="AJ877" s="4"/>
    </row>
    <row r="878" spans="1:36">
      <c r="A878" t="str">
        <f t="shared" si="66"/>
        <v>Deep35877</v>
      </c>
      <c r="B878">
        <v>877</v>
      </c>
      <c r="C878">
        <v>16</v>
      </c>
      <c r="D878">
        <v>6</v>
      </c>
      <c r="E878">
        <v>2022</v>
      </c>
      <c r="F878" s="1">
        <f t="shared" si="67"/>
        <v>44728</v>
      </c>
      <c r="G878" s="1" t="s">
        <v>643</v>
      </c>
      <c r="H878" s="2">
        <v>45354</v>
      </c>
      <c r="I878" t="s">
        <v>26</v>
      </c>
      <c r="J878">
        <v>4</v>
      </c>
      <c r="K878">
        <v>12679.67</v>
      </c>
      <c r="L878" t="s">
        <v>96</v>
      </c>
      <c r="M878">
        <v>35</v>
      </c>
      <c r="N878" t="s">
        <v>21</v>
      </c>
      <c r="O878" s="3" t="s">
        <v>28</v>
      </c>
      <c r="P878" t="s">
        <v>93</v>
      </c>
      <c r="Q878" t="s">
        <v>56</v>
      </c>
      <c r="R878">
        <v>3</v>
      </c>
      <c r="S878" t="s">
        <v>34</v>
      </c>
      <c r="T878" s="4">
        <f t="shared" si="68"/>
        <v>50718.68</v>
      </c>
      <c r="U878" s="4" t="str">
        <f t="shared" si="69"/>
        <v>Average</v>
      </c>
      <c r="V878" s="4" t="str">
        <f t="shared" si="70"/>
        <v>Average</v>
      </c>
      <c r="W878" s="4"/>
      <c r="X878" s="4"/>
      <c r="AJ878" s="4"/>
    </row>
    <row r="879" spans="1:36">
      <c r="A879" t="str">
        <f t="shared" si="66"/>
        <v>Kira51878</v>
      </c>
      <c r="B879">
        <v>878</v>
      </c>
      <c r="C879">
        <v>16</v>
      </c>
      <c r="D879">
        <v>6</v>
      </c>
      <c r="E879">
        <v>2022</v>
      </c>
      <c r="F879" s="1">
        <f t="shared" si="67"/>
        <v>44728</v>
      </c>
      <c r="G879" s="1" t="s">
        <v>643</v>
      </c>
      <c r="H879" s="2">
        <v>45355</v>
      </c>
      <c r="I879" t="s">
        <v>19</v>
      </c>
      <c r="J879">
        <v>1</v>
      </c>
      <c r="K879">
        <v>28573.56</v>
      </c>
      <c r="L879" t="s">
        <v>265</v>
      </c>
      <c r="M879">
        <v>51</v>
      </c>
      <c r="N879" t="s">
        <v>61</v>
      </c>
      <c r="O879" s="3" t="s">
        <v>22</v>
      </c>
      <c r="P879" t="s">
        <v>59</v>
      </c>
      <c r="Q879" t="s">
        <v>24</v>
      </c>
      <c r="R879">
        <v>4</v>
      </c>
      <c r="S879" t="s">
        <v>37</v>
      </c>
      <c r="T879" s="4">
        <f t="shared" si="68"/>
        <v>28573.56</v>
      </c>
      <c r="U879" s="4" t="str">
        <f t="shared" si="69"/>
        <v>Good</v>
      </c>
      <c r="V879" s="4" t="str">
        <f t="shared" si="70"/>
        <v>Low</v>
      </c>
      <c r="W879" s="4"/>
      <c r="X879" s="4"/>
      <c r="AJ879" s="4"/>
    </row>
    <row r="880" spans="1:36">
      <c r="A880" t="str">
        <f t="shared" si="66"/>
        <v>Meen29879</v>
      </c>
      <c r="B880">
        <v>879</v>
      </c>
      <c r="C880">
        <v>17</v>
      </c>
      <c r="D880">
        <v>6</v>
      </c>
      <c r="E880">
        <v>2022</v>
      </c>
      <c r="F880" s="1">
        <f t="shared" si="67"/>
        <v>44729</v>
      </c>
      <c r="G880" s="1" t="s">
        <v>643</v>
      </c>
      <c r="H880" s="2">
        <v>45356</v>
      </c>
      <c r="I880" t="s">
        <v>38</v>
      </c>
      <c r="J880">
        <v>4</v>
      </c>
      <c r="K880">
        <v>27538.18</v>
      </c>
      <c r="L880" t="s">
        <v>666</v>
      </c>
      <c r="M880">
        <v>29</v>
      </c>
      <c r="N880" t="s">
        <v>36</v>
      </c>
      <c r="O880" s="3" t="s">
        <v>55</v>
      </c>
      <c r="P880" t="s">
        <v>33</v>
      </c>
      <c r="Q880" t="s">
        <v>41</v>
      </c>
      <c r="R880">
        <v>2</v>
      </c>
      <c r="S880" t="s">
        <v>48</v>
      </c>
      <c r="T880" s="4">
        <f t="shared" si="68"/>
        <v>110152.72</v>
      </c>
      <c r="U880" s="4" t="str">
        <f t="shared" si="69"/>
        <v>Average</v>
      </c>
      <c r="V880" s="4" t="str">
        <f t="shared" si="70"/>
        <v>Good</v>
      </c>
      <c r="W880" s="4"/>
      <c r="X880" s="4"/>
      <c r="AJ880" s="4"/>
    </row>
    <row r="881" spans="1:36">
      <c r="A881" t="str">
        <f t="shared" si="66"/>
        <v>Pank33880</v>
      </c>
      <c r="B881">
        <v>880</v>
      </c>
      <c r="C881">
        <v>17</v>
      </c>
      <c r="D881">
        <v>6</v>
      </c>
      <c r="E881">
        <v>2022</v>
      </c>
      <c r="F881" s="1">
        <f t="shared" si="67"/>
        <v>44729</v>
      </c>
      <c r="G881" s="1" t="s">
        <v>643</v>
      </c>
      <c r="H881" s="2">
        <v>45357</v>
      </c>
      <c r="I881" t="s">
        <v>26</v>
      </c>
      <c r="J881">
        <v>9</v>
      </c>
      <c r="K881">
        <v>58665.23</v>
      </c>
      <c r="L881" t="s">
        <v>605</v>
      </c>
      <c r="M881">
        <v>33</v>
      </c>
      <c r="N881" t="s">
        <v>21</v>
      </c>
      <c r="O881" s="3" t="s">
        <v>22</v>
      </c>
      <c r="P881" t="s">
        <v>29</v>
      </c>
      <c r="Q881" t="s">
        <v>24</v>
      </c>
      <c r="R881">
        <v>5</v>
      </c>
      <c r="S881" t="s">
        <v>31</v>
      </c>
      <c r="T881" s="4">
        <f t="shared" si="68"/>
        <v>527987.07000000007</v>
      </c>
      <c r="U881" s="4" t="str">
        <f t="shared" si="69"/>
        <v>Good</v>
      </c>
      <c r="V881" s="4" t="str">
        <f t="shared" si="70"/>
        <v>Excellent</v>
      </c>
      <c r="W881" s="4"/>
      <c r="X881" s="4"/>
      <c r="AJ881" s="4"/>
    </row>
    <row r="882" spans="1:36">
      <c r="A882" t="str">
        <f t="shared" si="66"/>
        <v>Sneh21881</v>
      </c>
      <c r="B882">
        <v>881</v>
      </c>
      <c r="C882">
        <v>17</v>
      </c>
      <c r="D882">
        <v>6</v>
      </c>
      <c r="E882">
        <v>2022</v>
      </c>
      <c r="F882" s="1">
        <f t="shared" si="67"/>
        <v>44729</v>
      </c>
      <c r="G882" s="1" t="s">
        <v>643</v>
      </c>
      <c r="H882" s="2">
        <v>45358</v>
      </c>
      <c r="I882" t="s">
        <v>49</v>
      </c>
      <c r="J882">
        <v>2</v>
      </c>
      <c r="K882">
        <v>15254.53</v>
      </c>
      <c r="L882" t="s">
        <v>152</v>
      </c>
      <c r="M882">
        <v>21</v>
      </c>
      <c r="N882" t="s">
        <v>36</v>
      </c>
      <c r="O882" s="3" t="s">
        <v>28</v>
      </c>
      <c r="P882" t="s">
        <v>114</v>
      </c>
      <c r="Q882" t="s">
        <v>24</v>
      </c>
      <c r="R882">
        <v>3</v>
      </c>
      <c r="S882" t="s">
        <v>88</v>
      </c>
      <c r="T882" s="4">
        <f t="shared" si="68"/>
        <v>30509.06</v>
      </c>
      <c r="U882" s="4" t="str">
        <f t="shared" si="69"/>
        <v>Average</v>
      </c>
      <c r="V882" s="4" t="str">
        <f t="shared" si="70"/>
        <v>Low</v>
      </c>
      <c r="W882" s="4"/>
      <c r="X882" s="4"/>
      <c r="AJ882" s="4"/>
    </row>
    <row r="883" spans="1:36">
      <c r="A883" t="str">
        <f t="shared" si="66"/>
        <v>Nikh42882</v>
      </c>
      <c r="B883">
        <v>882</v>
      </c>
      <c r="C883">
        <v>18</v>
      </c>
      <c r="D883">
        <v>6</v>
      </c>
      <c r="E883">
        <v>2022</v>
      </c>
      <c r="F883" s="1">
        <f t="shared" si="67"/>
        <v>44730</v>
      </c>
      <c r="G883" s="1" t="s">
        <v>643</v>
      </c>
      <c r="H883" s="2">
        <v>45359</v>
      </c>
      <c r="I883" t="s">
        <v>38</v>
      </c>
      <c r="J883">
        <v>3</v>
      </c>
      <c r="K883">
        <v>58340.52</v>
      </c>
      <c r="L883" t="s">
        <v>667</v>
      </c>
      <c r="M883">
        <v>42</v>
      </c>
      <c r="N883" t="s">
        <v>21</v>
      </c>
      <c r="O883" s="3" t="s">
        <v>28</v>
      </c>
      <c r="P883" t="s">
        <v>45</v>
      </c>
      <c r="Q883" t="s">
        <v>41</v>
      </c>
      <c r="R883">
        <v>3</v>
      </c>
      <c r="S883" t="s">
        <v>48</v>
      </c>
      <c r="T883" s="4">
        <f t="shared" si="68"/>
        <v>175021.56</v>
      </c>
      <c r="U883" s="4" t="str">
        <f t="shared" si="69"/>
        <v>Average</v>
      </c>
      <c r="V883" s="4" t="str">
        <f t="shared" si="70"/>
        <v>Good</v>
      </c>
      <c r="W883" s="4"/>
      <c r="X883" s="4"/>
      <c r="AJ883" s="4"/>
    </row>
    <row r="884" spans="1:36">
      <c r="A884" t="str">
        <f t="shared" si="66"/>
        <v>Lali51883</v>
      </c>
      <c r="B884">
        <v>883</v>
      </c>
      <c r="C884">
        <v>18</v>
      </c>
      <c r="D884">
        <v>6</v>
      </c>
      <c r="E884">
        <v>2022</v>
      </c>
      <c r="F884" s="1">
        <f t="shared" si="67"/>
        <v>44730</v>
      </c>
      <c r="G884" s="1" t="s">
        <v>643</v>
      </c>
      <c r="H884" s="2">
        <v>45360</v>
      </c>
      <c r="I884" t="s">
        <v>49</v>
      </c>
      <c r="J884">
        <v>8</v>
      </c>
      <c r="K884">
        <v>50151.02</v>
      </c>
      <c r="L884" t="s">
        <v>668</v>
      </c>
      <c r="M884">
        <v>51</v>
      </c>
      <c r="N884" t="s">
        <v>61</v>
      </c>
      <c r="O884" s="3" t="s">
        <v>22</v>
      </c>
      <c r="P884" t="s">
        <v>29</v>
      </c>
      <c r="Q884" t="s">
        <v>56</v>
      </c>
      <c r="R884">
        <v>5</v>
      </c>
      <c r="S884" t="s">
        <v>102</v>
      </c>
      <c r="T884" s="4">
        <f t="shared" si="68"/>
        <v>401208.16</v>
      </c>
      <c r="U884" s="4" t="str">
        <f t="shared" si="69"/>
        <v>Good</v>
      </c>
      <c r="V884" s="4" t="str">
        <f t="shared" si="70"/>
        <v>Excellent</v>
      </c>
      <c r="W884" s="4"/>
      <c r="X884" s="4"/>
      <c r="AJ884" s="4"/>
    </row>
    <row r="885" spans="1:36">
      <c r="A885" t="str">
        <f t="shared" si="66"/>
        <v>Radh45884</v>
      </c>
      <c r="B885">
        <v>884</v>
      </c>
      <c r="C885">
        <v>18</v>
      </c>
      <c r="D885">
        <v>6</v>
      </c>
      <c r="E885">
        <v>2022</v>
      </c>
      <c r="F885" s="1">
        <f t="shared" si="67"/>
        <v>44730</v>
      </c>
      <c r="G885" s="1" t="s">
        <v>643</v>
      </c>
      <c r="H885" s="2">
        <v>45361</v>
      </c>
      <c r="I885" t="s">
        <v>38</v>
      </c>
      <c r="J885">
        <v>6</v>
      </c>
      <c r="K885">
        <v>53946.49</v>
      </c>
      <c r="L885" t="s">
        <v>669</v>
      </c>
      <c r="M885">
        <v>45</v>
      </c>
      <c r="N885" t="s">
        <v>21</v>
      </c>
      <c r="O885" s="3" t="s">
        <v>22</v>
      </c>
      <c r="P885" t="s">
        <v>29</v>
      </c>
      <c r="Q885" t="s">
        <v>30</v>
      </c>
      <c r="R885">
        <v>4</v>
      </c>
      <c r="S885" t="s">
        <v>48</v>
      </c>
      <c r="T885" s="4">
        <f t="shared" si="68"/>
        <v>323678.94</v>
      </c>
      <c r="U885" s="4" t="str">
        <f t="shared" si="69"/>
        <v>Good</v>
      </c>
      <c r="V885" s="4" t="str">
        <f t="shared" si="70"/>
        <v>Excellent</v>
      </c>
      <c r="W885" s="4"/>
      <c r="X885" s="4"/>
      <c r="AJ885" s="4"/>
    </row>
    <row r="886" spans="1:36">
      <c r="A886" t="str">
        <f t="shared" si="66"/>
        <v>Meen28885</v>
      </c>
      <c r="B886">
        <v>885</v>
      </c>
      <c r="C886">
        <v>18</v>
      </c>
      <c r="D886">
        <v>6</v>
      </c>
      <c r="E886">
        <v>2022</v>
      </c>
      <c r="F886" s="1">
        <f t="shared" si="67"/>
        <v>44730</v>
      </c>
      <c r="G886" s="1" t="s">
        <v>643</v>
      </c>
      <c r="H886" s="2">
        <v>45362</v>
      </c>
      <c r="I886" t="s">
        <v>19</v>
      </c>
      <c r="J886">
        <v>8</v>
      </c>
      <c r="K886">
        <v>35932.79</v>
      </c>
      <c r="L886" t="s">
        <v>670</v>
      </c>
      <c r="M886">
        <v>28</v>
      </c>
      <c r="N886" t="s">
        <v>36</v>
      </c>
      <c r="O886" s="3" t="s">
        <v>28</v>
      </c>
      <c r="P886" t="s">
        <v>51</v>
      </c>
      <c r="Q886" t="s">
        <v>30</v>
      </c>
      <c r="R886">
        <v>3</v>
      </c>
      <c r="S886" t="s">
        <v>37</v>
      </c>
      <c r="T886" s="4">
        <f t="shared" si="68"/>
        <v>287462.32</v>
      </c>
      <c r="U886" s="4" t="str">
        <f t="shared" si="69"/>
        <v>Average</v>
      </c>
      <c r="V886" s="4" t="str">
        <f t="shared" si="70"/>
        <v>Excellent</v>
      </c>
      <c r="W886" s="4"/>
      <c r="X886" s="4"/>
      <c r="AJ886" s="4"/>
    </row>
    <row r="887" spans="1:36">
      <c r="A887" t="str">
        <f t="shared" si="66"/>
        <v>Vino30886</v>
      </c>
      <c r="B887">
        <v>886</v>
      </c>
      <c r="C887">
        <v>19</v>
      </c>
      <c r="D887">
        <v>6</v>
      </c>
      <c r="E887">
        <v>2022</v>
      </c>
      <c r="F887" s="1">
        <f t="shared" si="67"/>
        <v>44731</v>
      </c>
      <c r="G887" s="1" t="s">
        <v>643</v>
      </c>
      <c r="H887" s="2">
        <v>45363</v>
      </c>
      <c r="I887" t="s">
        <v>26</v>
      </c>
      <c r="J887">
        <v>7</v>
      </c>
      <c r="K887">
        <v>50783.55</v>
      </c>
      <c r="L887" t="s">
        <v>398</v>
      </c>
      <c r="M887">
        <v>30</v>
      </c>
      <c r="N887" t="s">
        <v>36</v>
      </c>
      <c r="O887" s="3" t="s">
        <v>22</v>
      </c>
      <c r="P887" t="s">
        <v>77</v>
      </c>
      <c r="Q887" t="s">
        <v>41</v>
      </c>
      <c r="R887">
        <v>5</v>
      </c>
      <c r="S887" t="s">
        <v>31</v>
      </c>
      <c r="T887" s="4">
        <f t="shared" si="68"/>
        <v>355484.85000000003</v>
      </c>
      <c r="U887" s="4" t="str">
        <f t="shared" si="69"/>
        <v>Good</v>
      </c>
      <c r="V887" s="4" t="str">
        <f t="shared" si="70"/>
        <v>Excellent</v>
      </c>
      <c r="W887" s="4"/>
      <c r="X887" s="4"/>
      <c r="AJ887" s="4"/>
    </row>
    <row r="888" spans="1:36">
      <c r="A888" t="str">
        <f t="shared" si="66"/>
        <v>Priy48887</v>
      </c>
      <c r="B888">
        <v>887</v>
      </c>
      <c r="C888">
        <v>19</v>
      </c>
      <c r="D888">
        <v>6</v>
      </c>
      <c r="E888">
        <v>2022</v>
      </c>
      <c r="F888" s="1">
        <f t="shared" si="67"/>
        <v>44731</v>
      </c>
      <c r="G888" s="1" t="s">
        <v>643</v>
      </c>
      <c r="H888" s="2">
        <v>45364</v>
      </c>
      <c r="I888" t="s">
        <v>38</v>
      </c>
      <c r="J888">
        <v>5</v>
      </c>
      <c r="K888">
        <v>46541.74</v>
      </c>
      <c r="L888" t="s">
        <v>671</v>
      </c>
      <c r="M888">
        <v>48</v>
      </c>
      <c r="N888" t="s">
        <v>61</v>
      </c>
      <c r="O888" s="3" t="s">
        <v>55</v>
      </c>
      <c r="P888" t="s">
        <v>90</v>
      </c>
      <c r="Q888" t="s">
        <v>41</v>
      </c>
      <c r="R888">
        <v>2</v>
      </c>
      <c r="S888" t="s">
        <v>48</v>
      </c>
      <c r="T888" s="4">
        <f t="shared" si="68"/>
        <v>232708.69999999998</v>
      </c>
      <c r="U888" s="4" t="str">
        <f t="shared" si="69"/>
        <v>Average</v>
      </c>
      <c r="V888" s="4" t="str">
        <f t="shared" si="70"/>
        <v>Excellent</v>
      </c>
      <c r="W888" s="4"/>
      <c r="X888" s="4"/>
      <c r="AJ888" s="4"/>
    </row>
    <row r="889" spans="1:36">
      <c r="A889" t="str">
        <f t="shared" si="66"/>
        <v>Reen42888</v>
      </c>
      <c r="B889">
        <v>888</v>
      </c>
      <c r="C889">
        <v>19</v>
      </c>
      <c r="D889">
        <v>6</v>
      </c>
      <c r="E889">
        <v>2022</v>
      </c>
      <c r="F889" s="1">
        <f t="shared" si="67"/>
        <v>44731</v>
      </c>
      <c r="G889" s="1" t="s">
        <v>643</v>
      </c>
      <c r="H889" s="2">
        <v>45365</v>
      </c>
      <c r="I889" t="s">
        <v>43</v>
      </c>
      <c r="J889">
        <v>9</v>
      </c>
      <c r="K889">
        <v>56138.81</v>
      </c>
      <c r="L889" t="s">
        <v>79</v>
      </c>
      <c r="M889">
        <v>42</v>
      </c>
      <c r="N889" t="s">
        <v>21</v>
      </c>
      <c r="O889" s="3" t="s">
        <v>22</v>
      </c>
      <c r="P889" t="s">
        <v>29</v>
      </c>
      <c r="Q889" t="s">
        <v>56</v>
      </c>
      <c r="R889">
        <v>5</v>
      </c>
      <c r="S889" t="s">
        <v>57</v>
      </c>
      <c r="T889" s="4">
        <f t="shared" si="68"/>
        <v>505249.29</v>
      </c>
      <c r="U889" s="4" t="str">
        <f t="shared" si="69"/>
        <v>Good</v>
      </c>
      <c r="V889" s="4" t="str">
        <f t="shared" si="70"/>
        <v>Excellent</v>
      </c>
      <c r="W889" s="4"/>
      <c r="X889" s="4"/>
      <c r="AJ889" s="4"/>
    </row>
    <row r="890" spans="1:36">
      <c r="A890" t="str">
        <f t="shared" si="66"/>
        <v>Mano56889</v>
      </c>
      <c r="B890">
        <v>889</v>
      </c>
      <c r="C890">
        <v>20</v>
      </c>
      <c r="D890">
        <v>6</v>
      </c>
      <c r="E890">
        <v>2022</v>
      </c>
      <c r="F890" s="1">
        <f t="shared" si="67"/>
        <v>44732</v>
      </c>
      <c r="G890" s="1" t="s">
        <v>643</v>
      </c>
      <c r="H890" s="2">
        <v>45366</v>
      </c>
      <c r="I890" t="s">
        <v>43</v>
      </c>
      <c r="J890">
        <v>4</v>
      </c>
      <c r="K890">
        <v>36806.19</v>
      </c>
      <c r="L890" t="s">
        <v>105</v>
      </c>
      <c r="M890">
        <v>56</v>
      </c>
      <c r="N890" t="s">
        <v>61</v>
      </c>
      <c r="O890" s="3" t="s">
        <v>28</v>
      </c>
      <c r="P890" t="s">
        <v>70</v>
      </c>
      <c r="Q890" t="s">
        <v>30</v>
      </c>
      <c r="R890">
        <v>3</v>
      </c>
      <c r="S890" t="s">
        <v>46</v>
      </c>
      <c r="T890" s="4">
        <f t="shared" si="68"/>
        <v>147224.76</v>
      </c>
      <c r="U890" s="4" t="str">
        <f t="shared" si="69"/>
        <v>Average</v>
      </c>
      <c r="V890" s="4" t="str">
        <f t="shared" si="70"/>
        <v>Good</v>
      </c>
      <c r="W890" s="4"/>
      <c r="X890" s="4"/>
      <c r="AJ890" s="4"/>
    </row>
    <row r="891" spans="1:36">
      <c r="A891" t="str">
        <f t="shared" si="66"/>
        <v>Rame27890</v>
      </c>
      <c r="B891">
        <v>890</v>
      </c>
      <c r="C891">
        <v>20</v>
      </c>
      <c r="D891">
        <v>6</v>
      </c>
      <c r="E891">
        <v>2022</v>
      </c>
      <c r="F891" s="1">
        <f t="shared" si="67"/>
        <v>44732</v>
      </c>
      <c r="G891" s="1" t="s">
        <v>643</v>
      </c>
      <c r="H891" s="2">
        <v>45367</v>
      </c>
      <c r="I891" t="s">
        <v>38</v>
      </c>
      <c r="J891">
        <v>6</v>
      </c>
      <c r="K891">
        <v>38369.54</v>
      </c>
      <c r="L891" t="s">
        <v>554</v>
      </c>
      <c r="M891">
        <v>27</v>
      </c>
      <c r="N891" t="s">
        <v>36</v>
      </c>
      <c r="O891" s="3" t="s">
        <v>55</v>
      </c>
      <c r="P891" t="s">
        <v>29</v>
      </c>
      <c r="Q891" t="s">
        <v>30</v>
      </c>
      <c r="R891">
        <v>2</v>
      </c>
      <c r="S891" t="s">
        <v>42</v>
      </c>
      <c r="T891" s="4">
        <f t="shared" si="68"/>
        <v>230217.24</v>
      </c>
      <c r="U891" s="4" t="str">
        <f t="shared" si="69"/>
        <v>Average</v>
      </c>
      <c r="V891" s="4" t="str">
        <f t="shared" si="70"/>
        <v>Excellent</v>
      </c>
      <c r="W891" s="4"/>
      <c r="X891" s="4"/>
      <c r="AJ891" s="4"/>
    </row>
    <row r="892" spans="1:36">
      <c r="A892" t="str">
        <f t="shared" si="66"/>
        <v>Anit41891</v>
      </c>
      <c r="B892">
        <v>891</v>
      </c>
      <c r="C892">
        <v>20</v>
      </c>
      <c r="D892">
        <v>6</v>
      </c>
      <c r="E892">
        <v>2022</v>
      </c>
      <c r="F892" s="1">
        <f t="shared" si="67"/>
        <v>44732</v>
      </c>
      <c r="G892" s="1" t="s">
        <v>643</v>
      </c>
      <c r="H892" s="2">
        <v>45368</v>
      </c>
      <c r="I892" t="s">
        <v>38</v>
      </c>
      <c r="J892">
        <v>2</v>
      </c>
      <c r="K892">
        <v>48614.57</v>
      </c>
      <c r="L892" t="s">
        <v>291</v>
      </c>
      <c r="M892">
        <v>41</v>
      </c>
      <c r="N892" t="s">
        <v>21</v>
      </c>
      <c r="O892" s="3" t="s">
        <v>22</v>
      </c>
      <c r="P892" t="s">
        <v>77</v>
      </c>
      <c r="Q892" t="s">
        <v>56</v>
      </c>
      <c r="R892">
        <v>5</v>
      </c>
      <c r="S892" t="s">
        <v>48</v>
      </c>
      <c r="T892" s="4">
        <f t="shared" si="68"/>
        <v>97229.14</v>
      </c>
      <c r="U892" s="4" t="str">
        <f t="shared" si="69"/>
        <v>Good</v>
      </c>
      <c r="V892" s="4" t="str">
        <f t="shared" si="70"/>
        <v>Average</v>
      </c>
      <c r="W892" s="4"/>
      <c r="X892" s="4"/>
      <c r="AJ892" s="4"/>
    </row>
    <row r="893" spans="1:36">
      <c r="A893" t="str">
        <f t="shared" si="66"/>
        <v>Nami18892</v>
      </c>
      <c r="B893">
        <v>892</v>
      </c>
      <c r="C893">
        <v>21</v>
      </c>
      <c r="D893">
        <v>6</v>
      </c>
      <c r="E893">
        <v>2022</v>
      </c>
      <c r="F893" s="1">
        <f t="shared" si="67"/>
        <v>44733</v>
      </c>
      <c r="G893" s="1" t="s">
        <v>643</v>
      </c>
      <c r="H893" s="2">
        <v>45369</v>
      </c>
      <c r="I893" t="s">
        <v>38</v>
      </c>
      <c r="J893">
        <v>2</v>
      </c>
      <c r="K893">
        <v>16484.650000000001</v>
      </c>
      <c r="L893" t="s">
        <v>381</v>
      </c>
      <c r="M893">
        <v>18</v>
      </c>
      <c r="N893" t="s">
        <v>36</v>
      </c>
      <c r="O893" s="3" t="s">
        <v>22</v>
      </c>
      <c r="P893" t="s">
        <v>77</v>
      </c>
      <c r="Q893" t="s">
        <v>41</v>
      </c>
      <c r="R893">
        <v>5</v>
      </c>
      <c r="S893" t="s">
        <v>48</v>
      </c>
      <c r="T893" s="4">
        <f t="shared" si="68"/>
        <v>32969.300000000003</v>
      </c>
      <c r="U893" s="4" t="str">
        <f t="shared" si="69"/>
        <v>Good</v>
      </c>
      <c r="V893" s="4" t="str">
        <f t="shared" si="70"/>
        <v>Low</v>
      </c>
      <c r="W893" s="4"/>
      <c r="X893" s="4"/>
      <c r="AJ893" s="4"/>
    </row>
    <row r="894" spans="1:36">
      <c r="A894" t="str">
        <f t="shared" si="66"/>
        <v>Mala42893</v>
      </c>
      <c r="B894">
        <v>893</v>
      </c>
      <c r="C894">
        <v>21</v>
      </c>
      <c r="D894">
        <v>6</v>
      </c>
      <c r="E894">
        <v>2022</v>
      </c>
      <c r="F894" s="1">
        <f t="shared" si="67"/>
        <v>44733</v>
      </c>
      <c r="G894" s="1" t="s">
        <v>643</v>
      </c>
      <c r="H894" s="2">
        <v>45370</v>
      </c>
      <c r="I894" t="s">
        <v>43</v>
      </c>
      <c r="J894">
        <v>2</v>
      </c>
      <c r="K894">
        <v>36174.67</v>
      </c>
      <c r="L894" t="s">
        <v>672</v>
      </c>
      <c r="M894">
        <v>42</v>
      </c>
      <c r="N894" t="s">
        <v>21</v>
      </c>
      <c r="O894" s="3" t="s">
        <v>22</v>
      </c>
      <c r="P894" t="s">
        <v>40</v>
      </c>
      <c r="Q894" t="s">
        <v>41</v>
      </c>
      <c r="R894">
        <v>5</v>
      </c>
      <c r="S894" t="s">
        <v>95</v>
      </c>
      <c r="T894" s="4">
        <f t="shared" si="68"/>
        <v>72349.34</v>
      </c>
      <c r="U894" s="4" t="str">
        <f t="shared" si="69"/>
        <v>Good</v>
      </c>
      <c r="V894" s="4" t="str">
        <f t="shared" si="70"/>
        <v>Average</v>
      </c>
      <c r="W894" s="4"/>
      <c r="X894" s="4"/>
      <c r="AJ894" s="4"/>
    </row>
    <row r="895" spans="1:36">
      <c r="A895" t="str">
        <f t="shared" si="66"/>
        <v>Sumi45894</v>
      </c>
      <c r="B895">
        <v>894</v>
      </c>
      <c r="C895">
        <v>21</v>
      </c>
      <c r="D895">
        <v>6</v>
      </c>
      <c r="E895">
        <v>2022</v>
      </c>
      <c r="F895" s="1">
        <f t="shared" si="67"/>
        <v>44733</v>
      </c>
      <c r="G895" s="1" t="s">
        <v>643</v>
      </c>
      <c r="H895" s="2">
        <v>45371</v>
      </c>
      <c r="I895" t="s">
        <v>43</v>
      </c>
      <c r="J895">
        <v>7</v>
      </c>
      <c r="K895">
        <v>68317.05</v>
      </c>
      <c r="L895" t="s">
        <v>596</v>
      </c>
      <c r="M895">
        <v>45</v>
      </c>
      <c r="N895" t="s">
        <v>21</v>
      </c>
      <c r="O895" s="3" t="s">
        <v>22</v>
      </c>
      <c r="P895" t="s">
        <v>40</v>
      </c>
      <c r="Q895" t="s">
        <v>56</v>
      </c>
      <c r="R895">
        <v>4</v>
      </c>
      <c r="S895" t="s">
        <v>95</v>
      </c>
      <c r="T895" s="4">
        <f t="shared" si="68"/>
        <v>478219.35000000003</v>
      </c>
      <c r="U895" s="4" t="str">
        <f t="shared" si="69"/>
        <v>Good</v>
      </c>
      <c r="V895" s="4" t="str">
        <f t="shared" si="70"/>
        <v>Excellent</v>
      </c>
      <c r="W895" s="4"/>
      <c r="X895" s="4"/>
      <c r="AJ895" s="4"/>
    </row>
    <row r="896" spans="1:36">
      <c r="A896" t="str">
        <f t="shared" si="66"/>
        <v>Vive53895</v>
      </c>
      <c r="B896">
        <v>895</v>
      </c>
      <c r="C896">
        <v>22</v>
      </c>
      <c r="D896">
        <v>6</v>
      </c>
      <c r="E896">
        <v>2022</v>
      </c>
      <c r="F896" s="1">
        <f t="shared" si="67"/>
        <v>44734</v>
      </c>
      <c r="G896" s="1" t="s">
        <v>643</v>
      </c>
      <c r="H896" s="2">
        <v>45372</v>
      </c>
      <c r="I896" t="s">
        <v>38</v>
      </c>
      <c r="J896">
        <v>2</v>
      </c>
      <c r="K896">
        <v>12253.14</v>
      </c>
      <c r="L896" t="s">
        <v>549</v>
      </c>
      <c r="M896">
        <v>53</v>
      </c>
      <c r="N896" t="s">
        <v>61</v>
      </c>
      <c r="O896" s="3" t="s">
        <v>22</v>
      </c>
      <c r="P896" t="s">
        <v>29</v>
      </c>
      <c r="Q896" t="s">
        <v>41</v>
      </c>
      <c r="R896">
        <v>5</v>
      </c>
      <c r="S896" t="s">
        <v>48</v>
      </c>
      <c r="T896" s="4">
        <f t="shared" si="68"/>
        <v>24506.28</v>
      </c>
      <c r="U896" s="4" t="str">
        <f t="shared" si="69"/>
        <v>Good</v>
      </c>
      <c r="V896" s="4" t="str">
        <f t="shared" si="70"/>
        <v>Low</v>
      </c>
      <c r="W896" s="4"/>
      <c r="X896" s="4"/>
      <c r="AJ896" s="4"/>
    </row>
    <row r="897" spans="1:36">
      <c r="A897" t="str">
        <f t="shared" si="66"/>
        <v>Radh35896</v>
      </c>
      <c r="B897">
        <v>896</v>
      </c>
      <c r="C897">
        <v>22</v>
      </c>
      <c r="D897">
        <v>6</v>
      </c>
      <c r="E897">
        <v>2022</v>
      </c>
      <c r="F897" s="1">
        <f t="shared" si="67"/>
        <v>44734</v>
      </c>
      <c r="G897" s="1" t="s">
        <v>643</v>
      </c>
      <c r="H897" s="2">
        <v>45373</v>
      </c>
      <c r="I897" t="s">
        <v>49</v>
      </c>
      <c r="J897">
        <v>2</v>
      </c>
      <c r="K897">
        <v>28960.28</v>
      </c>
      <c r="L897" t="s">
        <v>669</v>
      </c>
      <c r="M897">
        <v>35</v>
      </c>
      <c r="N897" t="s">
        <v>21</v>
      </c>
      <c r="O897" s="3" t="s">
        <v>22</v>
      </c>
      <c r="P897" t="s">
        <v>114</v>
      </c>
      <c r="Q897" t="s">
        <v>24</v>
      </c>
      <c r="R897">
        <v>5</v>
      </c>
      <c r="S897" t="s">
        <v>88</v>
      </c>
      <c r="T897" s="4">
        <f t="shared" si="68"/>
        <v>57920.56</v>
      </c>
      <c r="U897" s="4" t="str">
        <f t="shared" si="69"/>
        <v>Good</v>
      </c>
      <c r="V897" s="4" t="str">
        <f t="shared" si="70"/>
        <v>Average</v>
      </c>
      <c r="W897" s="4"/>
      <c r="X897" s="4"/>
      <c r="AJ897" s="4"/>
    </row>
    <row r="898" spans="1:36">
      <c r="A898" t="str">
        <f t="shared" ref="A898:A961" si="71">LEFT(L898,4)&amp;M898&amp;B898</f>
        <v>Tapa23897</v>
      </c>
      <c r="B898">
        <v>897</v>
      </c>
      <c r="C898">
        <v>22</v>
      </c>
      <c r="D898">
        <v>6</v>
      </c>
      <c r="E898">
        <v>2022</v>
      </c>
      <c r="F898" s="1">
        <f t="shared" si="67"/>
        <v>44734</v>
      </c>
      <c r="G898" s="1" t="s">
        <v>643</v>
      </c>
      <c r="H898" s="2">
        <v>45374</v>
      </c>
      <c r="I898" t="s">
        <v>49</v>
      </c>
      <c r="J898">
        <v>9</v>
      </c>
      <c r="K898">
        <v>28846.59</v>
      </c>
      <c r="L898" t="s">
        <v>376</v>
      </c>
      <c r="M898">
        <v>23</v>
      </c>
      <c r="N898" t="s">
        <v>36</v>
      </c>
      <c r="O898" s="3" t="s">
        <v>22</v>
      </c>
      <c r="P898" t="s">
        <v>29</v>
      </c>
      <c r="Q898" t="s">
        <v>41</v>
      </c>
      <c r="R898">
        <v>4</v>
      </c>
      <c r="S898" t="s">
        <v>88</v>
      </c>
      <c r="T898" s="4">
        <f t="shared" si="68"/>
        <v>259619.31</v>
      </c>
      <c r="U898" s="4" t="str">
        <f t="shared" si="69"/>
        <v>Good</v>
      </c>
      <c r="V898" s="4" t="str">
        <f t="shared" si="70"/>
        <v>Excellent</v>
      </c>
      <c r="W898" s="4"/>
      <c r="X898" s="4"/>
      <c r="AJ898" s="4"/>
    </row>
    <row r="899" spans="1:36">
      <c r="A899" t="str">
        <f t="shared" si="71"/>
        <v>Sach19898</v>
      </c>
      <c r="B899">
        <v>898</v>
      </c>
      <c r="C899">
        <v>23</v>
      </c>
      <c r="D899">
        <v>6</v>
      </c>
      <c r="E899">
        <v>2022</v>
      </c>
      <c r="F899" s="1">
        <f t="shared" ref="F899:F962" si="72">DATE(E899,D899,C899)</f>
        <v>44735</v>
      </c>
      <c r="G899" s="1" t="s">
        <v>643</v>
      </c>
      <c r="H899" s="2">
        <v>45375</v>
      </c>
      <c r="I899" t="s">
        <v>19</v>
      </c>
      <c r="J899">
        <v>7</v>
      </c>
      <c r="K899">
        <v>48007.85</v>
      </c>
      <c r="L899" t="s">
        <v>476</v>
      </c>
      <c r="M899">
        <v>19</v>
      </c>
      <c r="N899" t="s">
        <v>36</v>
      </c>
      <c r="O899" s="3" t="s">
        <v>22</v>
      </c>
      <c r="P899" t="s">
        <v>29</v>
      </c>
      <c r="Q899" t="s">
        <v>24</v>
      </c>
      <c r="R899">
        <v>5</v>
      </c>
      <c r="S899" t="s">
        <v>25</v>
      </c>
      <c r="T899" s="4">
        <f t="shared" ref="T899:T962" si="73">J899*K899</f>
        <v>336054.95</v>
      </c>
      <c r="U899" s="4" t="str">
        <f t="shared" ref="U899:U962" si="74">IF(R899&gt;=4,"Good","Average")</f>
        <v>Good</v>
      </c>
      <c r="V899" s="4" t="str">
        <f t="shared" ref="V899:V962" si="75">IF(T899&gt;200000,"Excellent",IF(T899&gt;100000,"Good",IF(T899&gt;50000,"Average","Low")))</f>
        <v>Excellent</v>
      </c>
      <c r="W899" s="4"/>
      <c r="X899" s="4"/>
      <c r="AJ899" s="4"/>
    </row>
    <row r="900" spans="1:36">
      <c r="A900" t="str">
        <f t="shared" si="71"/>
        <v>Gita20899</v>
      </c>
      <c r="B900">
        <v>899</v>
      </c>
      <c r="C900">
        <v>23</v>
      </c>
      <c r="D900">
        <v>6</v>
      </c>
      <c r="E900">
        <v>2022</v>
      </c>
      <c r="F900" s="1">
        <f t="shared" si="72"/>
        <v>44735</v>
      </c>
      <c r="G900" s="1" t="s">
        <v>643</v>
      </c>
      <c r="H900" s="2">
        <v>45376</v>
      </c>
      <c r="I900" t="s">
        <v>26</v>
      </c>
      <c r="J900">
        <v>3</v>
      </c>
      <c r="K900">
        <v>16348.02</v>
      </c>
      <c r="L900" t="s">
        <v>410</v>
      </c>
      <c r="M900">
        <v>20</v>
      </c>
      <c r="N900" t="s">
        <v>36</v>
      </c>
      <c r="O900" s="3" t="s">
        <v>22</v>
      </c>
      <c r="P900" t="s">
        <v>29</v>
      </c>
      <c r="Q900" t="s">
        <v>30</v>
      </c>
      <c r="R900">
        <v>5</v>
      </c>
      <c r="S900" t="s">
        <v>34</v>
      </c>
      <c r="T900" s="4">
        <f t="shared" si="73"/>
        <v>49044.06</v>
      </c>
      <c r="U900" s="4" t="str">
        <f t="shared" si="74"/>
        <v>Good</v>
      </c>
      <c r="V900" s="4" t="str">
        <f t="shared" si="75"/>
        <v>Low</v>
      </c>
      <c r="W900" s="4"/>
      <c r="X900" s="4"/>
      <c r="AJ900" s="4"/>
    </row>
    <row r="901" spans="1:36">
      <c r="A901" t="str">
        <f t="shared" si="71"/>
        <v>Priy25900</v>
      </c>
      <c r="B901">
        <v>900</v>
      </c>
      <c r="C901">
        <v>23</v>
      </c>
      <c r="D901">
        <v>6</v>
      </c>
      <c r="E901">
        <v>2022</v>
      </c>
      <c r="F901" s="1">
        <f t="shared" si="72"/>
        <v>44735</v>
      </c>
      <c r="G901" s="1" t="s">
        <v>643</v>
      </c>
      <c r="H901" s="2">
        <v>45377</v>
      </c>
      <c r="I901" t="s">
        <v>49</v>
      </c>
      <c r="J901">
        <v>3</v>
      </c>
      <c r="K901">
        <v>47712.639999999999</v>
      </c>
      <c r="L901" t="s">
        <v>673</v>
      </c>
      <c r="M901">
        <v>25</v>
      </c>
      <c r="N901" t="s">
        <v>36</v>
      </c>
      <c r="O901" s="3" t="s">
        <v>22</v>
      </c>
      <c r="P901" t="s">
        <v>29</v>
      </c>
      <c r="Q901" t="s">
        <v>30</v>
      </c>
      <c r="R901">
        <v>4</v>
      </c>
      <c r="S901" t="s">
        <v>52</v>
      </c>
      <c r="T901" s="4">
        <f t="shared" si="73"/>
        <v>143137.91999999998</v>
      </c>
      <c r="U901" s="4" t="str">
        <f t="shared" si="74"/>
        <v>Good</v>
      </c>
      <c r="V901" s="4" t="str">
        <f t="shared" si="75"/>
        <v>Good</v>
      </c>
      <c r="W901" s="4"/>
      <c r="X901" s="4"/>
      <c r="AJ901" s="4"/>
    </row>
    <row r="902" spans="1:36">
      <c r="A902" t="str">
        <f t="shared" si="71"/>
        <v>Anan48901</v>
      </c>
      <c r="B902">
        <v>901</v>
      </c>
      <c r="C902">
        <v>23</v>
      </c>
      <c r="D902">
        <v>6</v>
      </c>
      <c r="E902">
        <v>2022</v>
      </c>
      <c r="F902" s="1">
        <f t="shared" si="72"/>
        <v>44735</v>
      </c>
      <c r="G902" s="1" t="s">
        <v>643</v>
      </c>
      <c r="H902" s="2">
        <v>45378</v>
      </c>
      <c r="I902" t="s">
        <v>43</v>
      </c>
      <c r="J902">
        <v>7</v>
      </c>
      <c r="K902">
        <v>15702.41</v>
      </c>
      <c r="L902" t="s">
        <v>674</v>
      </c>
      <c r="M902">
        <v>48</v>
      </c>
      <c r="N902" t="s">
        <v>61</v>
      </c>
      <c r="O902" s="3" t="s">
        <v>22</v>
      </c>
      <c r="P902" t="s">
        <v>117</v>
      </c>
      <c r="Q902" t="s">
        <v>41</v>
      </c>
      <c r="R902">
        <v>5</v>
      </c>
      <c r="S902" t="s">
        <v>95</v>
      </c>
      <c r="T902" s="4">
        <f t="shared" si="73"/>
        <v>109916.87</v>
      </c>
      <c r="U902" s="4" t="str">
        <f t="shared" si="74"/>
        <v>Good</v>
      </c>
      <c r="V902" s="4" t="str">
        <f t="shared" si="75"/>
        <v>Good</v>
      </c>
      <c r="W902" s="4"/>
      <c r="X902" s="4"/>
      <c r="AJ902" s="4"/>
    </row>
    <row r="903" spans="1:36">
      <c r="A903" t="str">
        <f t="shared" si="71"/>
        <v>Sneh36902</v>
      </c>
      <c r="B903">
        <v>902</v>
      </c>
      <c r="C903">
        <v>24</v>
      </c>
      <c r="D903">
        <v>6</v>
      </c>
      <c r="E903">
        <v>2022</v>
      </c>
      <c r="F903" s="1">
        <f t="shared" si="72"/>
        <v>44736</v>
      </c>
      <c r="G903" s="1" t="s">
        <v>643</v>
      </c>
      <c r="H903" s="2">
        <v>45379</v>
      </c>
      <c r="I903" t="s">
        <v>49</v>
      </c>
      <c r="J903">
        <v>5</v>
      </c>
      <c r="K903">
        <v>15697.22</v>
      </c>
      <c r="L903" t="s">
        <v>675</v>
      </c>
      <c r="M903">
        <v>36</v>
      </c>
      <c r="N903" t="s">
        <v>21</v>
      </c>
      <c r="O903" s="3" t="s">
        <v>55</v>
      </c>
      <c r="P903" t="s">
        <v>137</v>
      </c>
      <c r="Q903" t="s">
        <v>56</v>
      </c>
      <c r="R903">
        <v>2</v>
      </c>
      <c r="S903" t="s">
        <v>102</v>
      </c>
      <c r="T903" s="4">
        <f t="shared" si="73"/>
        <v>78486.099999999991</v>
      </c>
      <c r="U903" s="4" t="str">
        <f t="shared" si="74"/>
        <v>Average</v>
      </c>
      <c r="V903" s="4" t="str">
        <f t="shared" si="75"/>
        <v>Average</v>
      </c>
      <c r="W903" s="4"/>
      <c r="X903" s="4"/>
      <c r="AJ903" s="4"/>
    </row>
    <row r="904" spans="1:36">
      <c r="A904" t="str">
        <f t="shared" si="71"/>
        <v>Arun23903</v>
      </c>
      <c r="B904">
        <v>903</v>
      </c>
      <c r="C904">
        <v>24</v>
      </c>
      <c r="D904">
        <v>6</v>
      </c>
      <c r="E904">
        <v>2022</v>
      </c>
      <c r="F904" s="1">
        <f t="shared" si="72"/>
        <v>44736</v>
      </c>
      <c r="G904" s="1" t="s">
        <v>643</v>
      </c>
      <c r="H904" s="2">
        <v>45380</v>
      </c>
      <c r="I904" t="s">
        <v>19</v>
      </c>
      <c r="J904">
        <v>6</v>
      </c>
      <c r="K904">
        <v>53691</v>
      </c>
      <c r="L904" t="s">
        <v>426</v>
      </c>
      <c r="M904">
        <v>23</v>
      </c>
      <c r="N904" t="s">
        <v>36</v>
      </c>
      <c r="O904" s="3" t="s">
        <v>28</v>
      </c>
      <c r="P904" t="s">
        <v>33</v>
      </c>
      <c r="Q904" t="s">
        <v>41</v>
      </c>
      <c r="R904">
        <v>3</v>
      </c>
      <c r="S904" t="s">
        <v>25</v>
      </c>
      <c r="T904" s="4">
        <f t="shared" si="73"/>
        <v>322146</v>
      </c>
      <c r="U904" s="4" t="str">
        <f t="shared" si="74"/>
        <v>Average</v>
      </c>
      <c r="V904" s="4" t="str">
        <f t="shared" si="75"/>
        <v>Excellent</v>
      </c>
      <c r="W904" s="4"/>
      <c r="X904" s="4"/>
      <c r="AJ904" s="4"/>
    </row>
    <row r="905" spans="1:36">
      <c r="A905" t="str">
        <f t="shared" si="71"/>
        <v>Isha31904</v>
      </c>
      <c r="B905">
        <v>904</v>
      </c>
      <c r="C905">
        <v>24</v>
      </c>
      <c r="D905">
        <v>6</v>
      </c>
      <c r="E905">
        <v>2022</v>
      </c>
      <c r="F905" s="1">
        <f t="shared" si="72"/>
        <v>44736</v>
      </c>
      <c r="G905" s="1" t="s">
        <v>643</v>
      </c>
      <c r="H905" s="2">
        <v>45381</v>
      </c>
      <c r="I905" t="s">
        <v>19</v>
      </c>
      <c r="J905">
        <v>8</v>
      </c>
      <c r="K905">
        <v>29448.11</v>
      </c>
      <c r="L905" t="s">
        <v>423</v>
      </c>
      <c r="M905">
        <v>31</v>
      </c>
      <c r="N905" t="s">
        <v>21</v>
      </c>
      <c r="O905" s="3" t="s">
        <v>22</v>
      </c>
      <c r="P905" t="s">
        <v>90</v>
      </c>
      <c r="Q905" t="s">
        <v>56</v>
      </c>
      <c r="R905">
        <v>5</v>
      </c>
      <c r="S905" t="s">
        <v>37</v>
      </c>
      <c r="T905" s="4">
        <f t="shared" si="73"/>
        <v>235584.88</v>
      </c>
      <c r="U905" s="4" t="str">
        <f t="shared" si="74"/>
        <v>Good</v>
      </c>
      <c r="V905" s="4" t="str">
        <f t="shared" si="75"/>
        <v>Excellent</v>
      </c>
      <c r="W905" s="4"/>
      <c r="X905" s="4"/>
      <c r="AJ905" s="4"/>
    </row>
    <row r="906" spans="1:36">
      <c r="A906" t="str">
        <f t="shared" si="71"/>
        <v>Bina20905</v>
      </c>
      <c r="B906">
        <v>905</v>
      </c>
      <c r="C906">
        <v>24</v>
      </c>
      <c r="D906">
        <v>6</v>
      </c>
      <c r="E906">
        <v>2022</v>
      </c>
      <c r="F906" s="1">
        <f t="shared" si="72"/>
        <v>44736</v>
      </c>
      <c r="G906" s="1" t="s">
        <v>643</v>
      </c>
      <c r="H906" s="2">
        <v>45382</v>
      </c>
      <c r="I906" t="s">
        <v>26</v>
      </c>
      <c r="J906">
        <v>9</v>
      </c>
      <c r="K906">
        <v>68645.38</v>
      </c>
      <c r="L906" t="s">
        <v>676</v>
      </c>
      <c r="M906">
        <v>20</v>
      </c>
      <c r="N906" t="s">
        <v>36</v>
      </c>
      <c r="O906" s="3" t="s">
        <v>22</v>
      </c>
      <c r="P906" t="s">
        <v>40</v>
      </c>
      <c r="Q906" t="s">
        <v>30</v>
      </c>
      <c r="R906">
        <v>5</v>
      </c>
      <c r="S906" t="s">
        <v>67</v>
      </c>
      <c r="T906" s="4">
        <f t="shared" si="73"/>
        <v>617808.42000000004</v>
      </c>
      <c r="U906" s="4" t="str">
        <f t="shared" si="74"/>
        <v>Good</v>
      </c>
      <c r="V906" s="4" t="str">
        <f t="shared" si="75"/>
        <v>Excellent</v>
      </c>
      <c r="W906" s="4"/>
      <c r="X906" s="4"/>
      <c r="AJ906" s="4"/>
    </row>
    <row r="907" spans="1:36">
      <c r="A907" t="str">
        <f t="shared" si="71"/>
        <v>Arun18906</v>
      </c>
      <c r="B907">
        <v>906</v>
      </c>
      <c r="C907">
        <v>25</v>
      </c>
      <c r="D907">
        <v>6</v>
      </c>
      <c r="E907">
        <v>2022</v>
      </c>
      <c r="F907" s="1">
        <f t="shared" si="72"/>
        <v>44737</v>
      </c>
      <c r="G907" s="1" t="s">
        <v>643</v>
      </c>
      <c r="H907" s="2">
        <v>45383</v>
      </c>
      <c r="I907" t="s">
        <v>49</v>
      </c>
      <c r="J907">
        <v>1</v>
      </c>
      <c r="K907">
        <v>12241.18</v>
      </c>
      <c r="L907" t="s">
        <v>428</v>
      </c>
      <c r="M907">
        <v>18</v>
      </c>
      <c r="N907" t="s">
        <v>36</v>
      </c>
      <c r="O907" s="3" t="s">
        <v>28</v>
      </c>
      <c r="P907" t="s">
        <v>117</v>
      </c>
      <c r="Q907" t="s">
        <v>30</v>
      </c>
      <c r="R907">
        <v>3</v>
      </c>
      <c r="S907" t="s">
        <v>52</v>
      </c>
      <c r="T907" s="4">
        <f t="shared" si="73"/>
        <v>12241.18</v>
      </c>
      <c r="U907" s="4" t="str">
        <f t="shared" si="74"/>
        <v>Average</v>
      </c>
      <c r="V907" s="4" t="str">
        <f t="shared" si="75"/>
        <v>Low</v>
      </c>
      <c r="W907" s="4"/>
      <c r="X907" s="4"/>
      <c r="AJ907" s="4"/>
    </row>
    <row r="908" spans="1:36">
      <c r="A908" t="str">
        <f t="shared" si="71"/>
        <v>Adit47907</v>
      </c>
      <c r="B908">
        <v>907</v>
      </c>
      <c r="C908">
        <v>25</v>
      </c>
      <c r="D908">
        <v>6</v>
      </c>
      <c r="E908">
        <v>2022</v>
      </c>
      <c r="F908" s="1">
        <f t="shared" si="72"/>
        <v>44737</v>
      </c>
      <c r="G908" s="1" t="s">
        <v>643</v>
      </c>
      <c r="H908" s="2">
        <v>45384</v>
      </c>
      <c r="I908" t="s">
        <v>43</v>
      </c>
      <c r="J908">
        <v>3</v>
      </c>
      <c r="K908">
        <v>36706.400000000001</v>
      </c>
      <c r="L908" t="s">
        <v>602</v>
      </c>
      <c r="M908">
        <v>47</v>
      </c>
      <c r="N908" t="s">
        <v>61</v>
      </c>
      <c r="O908" s="3" t="s">
        <v>22</v>
      </c>
      <c r="P908" t="s">
        <v>132</v>
      </c>
      <c r="Q908" t="s">
        <v>30</v>
      </c>
      <c r="R908">
        <v>5</v>
      </c>
      <c r="S908" t="s">
        <v>46</v>
      </c>
      <c r="T908" s="4">
        <f t="shared" si="73"/>
        <v>110119.20000000001</v>
      </c>
      <c r="U908" s="4" t="str">
        <f t="shared" si="74"/>
        <v>Good</v>
      </c>
      <c r="V908" s="4" t="str">
        <f t="shared" si="75"/>
        <v>Good</v>
      </c>
      <c r="W908" s="4"/>
      <c r="X908" s="4"/>
      <c r="AJ908" s="4"/>
    </row>
    <row r="909" spans="1:36">
      <c r="A909" t="str">
        <f t="shared" si="71"/>
        <v>Kira36908</v>
      </c>
      <c r="B909">
        <v>908</v>
      </c>
      <c r="C909">
        <v>25</v>
      </c>
      <c r="D909">
        <v>6</v>
      </c>
      <c r="E909">
        <v>2022</v>
      </c>
      <c r="F909" s="1">
        <f t="shared" si="72"/>
        <v>44737</v>
      </c>
      <c r="G909" s="1" t="s">
        <v>643</v>
      </c>
      <c r="H909" s="2">
        <v>45385</v>
      </c>
      <c r="I909" t="s">
        <v>43</v>
      </c>
      <c r="J909">
        <v>7</v>
      </c>
      <c r="K909">
        <v>16788.16</v>
      </c>
      <c r="L909" t="s">
        <v>72</v>
      </c>
      <c r="M909">
        <v>36</v>
      </c>
      <c r="N909" t="s">
        <v>21</v>
      </c>
      <c r="O909" s="3" t="s">
        <v>28</v>
      </c>
      <c r="P909" t="s">
        <v>33</v>
      </c>
      <c r="Q909" t="s">
        <v>56</v>
      </c>
      <c r="R909">
        <v>3</v>
      </c>
      <c r="S909" t="s">
        <v>46</v>
      </c>
      <c r="T909" s="4">
        <f t="shared" si="73"/>
        <v>117517.12</v>
      </c>
      <c r="U909" s="4" t="str">
        <f t="shared" si="74"/>
        <v>Average</v>
      </c>
      <c r="V909" s="4" t="str">
        <f t="shared" si="75"/>
        <v>Good</v>
      </c>
      <c r="W909" s="4"/>
      <c r="X909" s="4"/>
      <c r="AJ909" s="4"/>
    </row>
    <row r="910" spans="1:36">
      <c r="A910" t="str">
        <f t="shared" si="71"/>
        <v>Rame36909</v>
      </c>
      <c r="B910">
        <v>909</v>
      </c>
      <c r="C910">
        <v>26</v>
      </c>
      <c r="D910">
        <v>6</v>
      </c>
      <c r="E910">
        <v>2022</v>
      </c>
      <c r="F910" s="1">
        <f t="shared" si="72"/>
        <v>44738</v>
      </c>
      <c r="G910" s="1" t="s">
        <v>643</v>
      </c>
      <c r="H910" s="2">
        <v>45386</v>
      </c>
      <c r="I910" t="s">
        <v>38</v>
      </c>
      <c r="J910">
        <v>6</v>
      </c>
      <c r="K910">
        <v>31082.74</v>
      </c>
      <c r="L910" t="s">
        <v>677</v>
      </c>
      <c r="M910">
        <v>36</v>
      </c>
      <c r="N910" t="s">
        <v>21</v>
      </c>
      <c r="O910" s="3" t="s">
        <v>22</v>
      </c>
      <c r="P910" t="s">
        <v>29</v>
      </c>
      <c r="Q910" t="s">
        <v>56</v>
      </c>
      <c r="R910">
        <v>4</v>
      </c>
      <c r="S910" t="s">
        <v>99</v>
      </c>
      <c r="T910" s="4">
        <f t="shared" si="73"/>
        <v>186496.44</v>
      </c>
      <c r="U910" s="4" t="str">
        <f t="shared" si="74"/>
        <v>Good</v>
      </c>
      <c r="V910" s="4" t="str">
        <f t="shared" si="75"/>
        <v>Good</v>
      </c>
      <c r="W910" s="4"/>
      <c r="X910" s="4"/>
      <c r="AJ910" s="4"/>
    </row>
    <row r="911" spans="1:36">
      <c r="A911" t="str">
        <f t="shared" si="71"/>
        <v>Meen26910</v>
      </c>
      <c r="B911">
        <v>910</v>
      </c>
      <c r="C911">
        <v>26</v>
      </c>
      <c r="D911">
        <v>6</v>
      </c>
      <c r="E911">
        <v>2022</v>
      </c>
      <c r="F911" s="1">
        <f t="shared" si="72"/>
        <v>44738</v>
      </c>
      <c r="G911" s="1" t="s">
        <v>643</v>
      </c>
      <c r="H911" s="2">
        <v>45387</v>
      </c>
      <c r="I911" t="s">
        <v>43</v>
      </c>
      <c r="J911">
        <v>7</v>
      </c>
      <c r="K911">
        <v>69893.350000000006</v>
      </c>
      <c r="L911" t="s">
        <v>87</v>
      </c>
      <c r="M911">
        <v>26</v>
      </c>
      <c r="N911" t="s">
        <v>36</v>
      </c>
      <c r="O911" s="3" t="s">
        <v>22</v>
      </c>
      <c r="P911" t="s">
        <v>110</v>
      </c>
      <c r="Q911" t="s">
        <v>30</v>
      </c>
      <c r="R911">
        <v>5</v>
      </c>
      <c r="S911" t="s">
        <v>46</v>
      </c>
      <c r="T911" s="4">
        <f t="shared" si="73"/>
        <v>489253.45000000007</v>
      </c>
      <c r="U911" s="4" t="str">
        <f t="shared" si="74"/>
        <v>Good</v>
      </c>
      <c r="V911" s="4" t="str">
        <f t="shared" si="75"/>
        <v>Excellent</v>
      </c>
      <c r="W911" s="4"/>
      <c r="X911" s="4"/>
      <c r="AJ911" s="4"/>
    </row>
    <row r="912" spans="1:36">
      <c r="A912" t="str">
        <f t="shared" si="71"/>
        <v>Kris24911</v>
      </c>
      <c r="B912">
        <v>911</v>
      </c>
      <c r="C912">
        <v>26</v>
      </c>
      <c r="D912">
        <v>6</v>
      </c>
      <c r="E912">
        <v>2022</v>
      </c>
      <c r="F912" s="1">
        <f t="shared" si="72"/>
        <v>44738</v>
      </c>
      <c r="G912" s="1" t="s">
        <v>643</v>
      </c>
      <c r="H912" s="2">
        <v>45388</v>
      </c>
      <c r="I912" t="s">
        <v>26</v>
      </c>
      <c r="J912">
        <v>8</v>
      </c>
      <c r="K912">
        <v>63330.55</v>
      </c>
      <c r="L912" t="s">
        <v>116</v>
      </c>
      <c r="M912">
        <v>24</v>
      </c>
      <c r="N912" t="s">
        <v>36</v>
      </c>
      <c r="O912" s="3" t="s">
        <v>22</v>
      </c>
      <c r="P912" t="s">
        <v>29</v>
      </c>
      <c r="Q912" t="s">
        <v>41</v>
      </c>
      <c r="R912">
        <v>5</v>
      </c>
      <c r="S912" t="s">
        <v>31</v>
      </c>
      <c r="T912" s="4">
        <f t="shared" si="73"/>
        <v>506644.4</v>
      </c>
      <c r="U912" s="4" t="str">
        <f t="shared" si="74"/>
        <v>Good</v>
      </c>
      <c r="V912" s="4" t="str">
        <f t="shared" si="75"/>
        <v>Excellent</v>
      </c>
      <c r="W912" s="4"/>
      <c r="X912" s="4"/>
      <c r="AJ912" s="4"/>
    </row>
    <row r="913" spans="1:36">
      <c r="A913" t="str">
        <f t="shared" si="71"/>
        <v>Pank54912</v>
      </c>
      <c r="B913">
        <v>912</v>
      </c>
      <c r="C913">
        <v>27</v>
      </c>
      <c r="D913">
        <v>6</v>
      </c>
      <c r="E913">
        <v>2022</v>
      </c>
      <c r="F913" s="1">
        <f t="shared" si="72"/>
        <v>44739</v>
      </c>
      <c r="G913" s="1" t="s">
        <v>643</v>
      </c>
      <c r="H913" s="2">
        <v>45389</v>
      </c>
      <c r="I913" t="s">
        <v>26</v>
      </c>
      <c r="J913">
        <v>6</v>
      </c>
      <c r="K913">
        <v>12899.46</v>
      </c>
      <c r="L913" t="s">
        <v>186</v>
      </c>
      <c r="M913">
        <v>54</v>
      </c>
      <c r="N913" t="s">
        <v>61</v>
      </c>
      <c r="O913" s="3" t="s">
        <v>55</v>
      </c>
      <c r="P913" t="s">
        <v>70</v>
      </c>
      <c r="Q913" t="s">
        <v>56</v>
      </c>
      <c r="R913">
        <v>2</v>
      </c>
      <c r="S913" t="s">
        <v>31</v>
      </c>
      <c r="T913" s="4">
        <f t="shared" si="73"/>
        <v>77396.759999999995</v>
      </c>
      <c r="U913" s="4" t="str">
        <f t="shared" si="74"/>
        <v>Average</v>
      </c>
      <c r="V913" s="4" t="str">
        <f t="shared" si="75"/>
        <v>Average</v>
      </c>
      <c r="W913" s="4"/>
      <c r="X913" s="4"/>
      <c r="AJ913" s="4"/>
    </row>
    <row r="914" spans="1:36">
      <c r="A914" t="str">
        <f t="shared" si="71"/>
        <v>Navi58913</v>
      </c>
      <c r="B914">
        <v>913</v>
      </c>
      <c r="C914">
        <v>27</v>
      </c>
      <c r="D914">
        <v>6</v>
      </c>
      <c r="E914">
        <v>2022</v>
      </c>
      <c r="F914" s="1">
        <f t="shared" si="72"/>
        <v>44739</v>
      </c>
      <c r="G914" s="1" t="s">
        <v>643</v>
      </c>
      <c r="H914" s="2">
        <v>45390</v>
      </c>
      <c r="I914" t="s">
        <v>43</v>
      </c>
      <c r="J914">
        <v>3</v>
      </c>
      <c r="K914">
        <v>43795.35</v>
      </c>
      <c r="L914" t="s">
        <v>540</v>
      </c>
      <c r="M914">
        <v>58</v>
      </c>
      <c r="N914" t="s">
        <v>61</v>
      </c>
      <c r="O914" s="3" t="s">
        <v>55</v>
      </c>
      <c r="P914" t="s">
        <v>64</v>
      </c>
      <c r="Q914" t="s">
        <v>24</v>
      </c>
      <c r="R914">
        <v>2</v>
      </c>
      <c r="S914" t="s">
        <v>46</v>
      </c>
      <c r="T914" s="4">
        <f t="shared" si="73"/>
        <v>131386.04999999999</v>
      </c>
      <c r="U914" s="4" t="str">
        <f t="shared" si="74"/>
        <v>Average</v>
      </c>
      <c r="V914" s="4" t="str">
        <f t="shared" si="75"/>
        <v>Good</v>
      </c>
      <c r="W914" s="4"/>
      <c r="X914" s="4"/>
      <c r="AJ914" s="4"/>
    </row>
    <row r="915" spans="1:36">
      <c r="A915" t="str">
        <f t="shared" si="71"/>
        <v>Ravi24914</v>
      </c>
      <c r="B915">
        <v>914</v>
      </c>
      <c r="C915">
        <v>27</v>
      </c>
      <c r="D915">
        <v>6</v>
      </c>
      <c r="E915">
        <v>2022</v>
      </c>
      <c r="F915" s="1">
        <f t="shared" si="72"/>
        <v>44739</v>
      </c>
      <c r="G915" s="1" t="s">
        <v>643</v>
      </c>
      <c r="H915" s="2">
        <v>45391</v>
      </c>
      <c r="I915" t="s">
        <v>43</v>
      </c>
      <c r="J915">
        <v>2</v>
      </c>
      <c r="K915">
        <v>48869.34</v>
      </c>
      <c r="L915" t="s">
        <v>678</v>
      </c>
      <c r="M915">
        <v>24</v>
      </c>
      <c r="N915" t="s">
        <v>36</v>
      </c>
      <c r="O915" s="3" t="s">
        <v>28</v>
      </c>
      <c r="P915" t="s">
        <v>117</v>
      </c>
      <c r="Q915" t="s">
        <v>30</v>
      </c>
      <c r="R915">
        <v>3</v>
      </c>
      <c r="S915" t="s">
        <v>95</v>
      </c>
      <c r="T915" s="4">
        <f t="shared" si="73"/>
        <v>97738.68</v>
      </c>
      <c r="U915" s="4" t="str">
        <f t="shared" si="74"/>
        <v>Average</v>
      </c>
      <c r="V915" s="4" t="str">
        <f t="shared" si="75"/>
        <v>Average</v>
      </c>
      <c r="W915" s="4"/>
      <c r="X915" s="4"/>
      <c r="AJ915" s="4"/>
    </row>
    <row r="916" spans="1:36">
      <c r="A916" t="str">
        <f t="shared" si="71"/>
        <v>Neet26915</v>
      </c>
      <c r="B916">
        <v>915</v>
      </c>
      <c r="C916">
        <v>27</v>
      </c>
      <c r="D916">
        <v>6</v>
      </c>
      <c r="E916">
        <v>2022</v>
      </c>
      <c r="F916" s="1">
        <f t="shared" si="72"/>
        <v>44739</v>
      </c>
      <c r="G916" s="1" t="s">
        <v>643</v>
      </c>
      <c r="H916" s="2">
        <v>45392</v>
      </c>
      <c r="I916" t="s">
        <v>38</v>
      </c>
      <c r="J916">
        <v>7</v>
      </c>
      <c r="K916">
        <v>22572.080000000002</v>
      </c>
      <c r="L916" t="s">
        <v>496</v>
      </c>
      <c r="M916">
        <v>26</v>
      </c>
      <c r="N916" t="s">
        <v>36</v>
      </c>
      <c r="O916" s="3" t="s">
        <v>22</v>
      </c>
      <c r="P916" t="s">
        <v>64</v>
      </c>
      <c r="Q916" t="s">
        <v>56</v>
      </c>
      <c r="R916">
        <v>4</v>
      </c>
      <c r="S916" t="s">
        <v>42</v>
      </c>
      <c r="T916" s="4">
        <f t="shared" si="73"/>
        <v>158004.56</v>
      </c>
      <c r="U916" s="4" t="str">
        <f t="shared" si="74"/>
        <v>Good</v>
      </c>
      <c r="V916" s="4" t="str">
        <f t="shared" si="75"/>
        <v>Good</v>
      </c>
      <c r="W916" s="4"/>
      <c r="X916" s="4"/>
      <c r="AJ916" s="4"/>
    </row>
    <row r="917" spans="1:36">
      <c r="A917" t="str">
        <f t="shared" si="71"/>
        <v>Vija21916</v>
      </c>
      <c r="B917">
        <v>916</v>
      </c>
      <c r="C917">
        <v>28</v>
      </c>
      <c r="D917">
        <v>6</v>
      </c>
      <c r="E917">
        <v>2022</v>
      </c>
      <c r="F917" s="1">
        <f t="shared" si="72"/>
        <v>44740</v>
      </c>
      <c r="G917" s="1" t="s">
        <v>643</v>
      </c>
      <c r="H917" s="2">
        <v>45393</v>
      </c>
      <c r="I917" t="s">
        <v>43</v>
      </c>
      <c r="J917">
        <v>1</v>
      </c>
      <c r="K917">
        <v>18706.330000000002</v>
      </c>
      <c r="L917" t="s">
        <v>679</v>
      </c>
      <c r="M917">
        <v>21</v>
      </c>
      <c r="N917" t="s">
        <v>36</v>
      </c>
      <c r="O917" s="3" t="s">
        <v>28</v>
      </c>
      <c r="P917" t="s">
        <v>45</v>
      </c>
      <c r="Q917" t="s">
        <v>30</v>
      </c>
      <c r="R917">
        <v>3</v>
      </c>
      <c r="S917" t="s">
        <v>46</v>
      </c>
      <c r="T917" s="4">
        <f t="shared" si="73"/>
        <v>18706.330000000002</v>
      </c>
      <c r="U917" s="4" t="str">
        <f t="shared" si="74"/>
        <v>Average</v>
      </c>
      <c r="V917" s="4" t="str">
        <f t="shared" si="75"/>
        <v>Low</v>
      </c>
      <c r="W917" s="4"/>
      <c r="X917" s="4"/>
      <c r="AJ917" s="4"/>
    </row>
    <row r="918" spans="1:36">
      <c r="A918" t="str">
        <f t="shared" si="71"/>
        <v>Sumi42917</v>
      </c>
      <c r="B918">
        <v>917</v>
      </c>
      <c r="C918">
        <v>28</v>
      </c>
      <c r="D918">
        <v>6</v>
      </c>
      <c r="E918">
        <v>2022</v>
      </c>
      <c r="F918" s="1">
        <f t="shared" si="72"/>
        <v>44740</v>
      </c>
      <c r="G918" s="1" t="s">
        <v>643</v>
      </c>
      <c r="H918" s="2">
        <v>45394</v>
      </c>
      <c r="I918" t="s">
        <v>38</v>
      </c>
      <c r="J918">
        <v>3</v>
      </c>
      <c r="K918">
        <v>64262.87</v>
      </c>
      <c r="L918" t="s">
        <v>256</v>
      </c>
      <c r="M918">
        <v>42</v>
      </c>
      <c r="N918" t="s">
        <v>21</v>
      </c>
      <c r="O918" s="3" t="s">
        <v>22</v>
      </c>
      <c r="P918" t="s">
        <v>33</v>
      </c>
      <c r="Q918" t="s">
        <v>24</v>
      </c>
      <c r="R918">
        <v>5</v>
      </c>
      <c r="S918" t="s">
        <v>48</v>
      </c>
      <c r="T918" s="4">
        <f t="shared" si="73"/>
        <v>192788.61000000002</v>
      </c>
      <c r="U918" s="4" t="str">
        <f t="shared" si="74"/>
        <v>Good</v>
      </c>
      <c r="V918" s="4" t="str">
        <f t="shared" si="75"/>
        <v>Good</v>
      </c>
      <c r="W918" s="4"/>
      <c r="X918" s="4"/>
      <c r="AJ918" s="4"/>
    </row>
    <row r="919" spans="1:36">
      <c r="A919" t="str">
        <f t="shared" si="71"/>
        <v>Vive29918</v>
      </c>
      <c r="B919">
        <v>918</v>
      </c>
      <c r="C919">
        <v>28</v>
      </c>
      <c r="D919">
        <v>6</v>
      </c>
      <c r="E919">
        <v>2022</v>
      </c>
      <c r="F919" s="1">
        <f t="shared" si="72"/>
        <v>44740</v>
      </c>
      <c r="G919" s="1" t="s">
        <v>643</v>
      </c>
      <c r="H919" s="2">
        <v>45395</v>
      </c>
      <c r="I919" t="s">
        <v>38</v>
      </c>
      <c r="J919">
        <v>4</v>
      </c>
      <c r="K919">
        <v>68128.990000000005</v>
      </c>
      <c r="L919" t="s">
        <v>420</v>
      </c>
      <c r="M919">
        <v>29</v>
      </c>
      <c r="N919" t="s">
        <v>36</v>
      </c>
      <c r="O919" s="3" t="s">
        <v>22</v>
      </c>
      <c r="P919" t="s">
        <v>150</v>
      </c>
      <c r="Q919" t="s">
        <v>41</v>
      </c>
      <c r="R919">
        <v>5</v>
      </c>
      <c r="S919" t="s">
        <v>99</v>
      </c>
      <c r="T919" s="4">
        <f t="shared" si="73"/>
        <v>272515.96000000002</v>
      </c>
      <c r="U919" s="4" t="str">
        <f t="shared" si="74"/>
        <v>Good</v>
      </c>
      <c r="V919" s="4" t="str">
        <f t="shared" si="75"/>
        <v>Excellent</v>
      </c>
      <c r="W919" s="4"/>
      <c r="X919" s="4"/>
      <c r="AJ919" s="4"/>
    </row>
    <row r="920" spans="1:36">
      <c r="A920" t="str">
        <f t="shared" si="71"/>
        <v>Pooj23919</v>
      </c>
      <c r="B920">
        <v>919</v>
      </c>
      <c r="C920">
        <v>29</v>
      </c>
      <c r="D920">
        <v>6</v>
      </c>
      <c r="E920">
        <v>2022</v>
      </c>
      <c r="F920" s="1">
        <f t="shared" si="72"/>
        <v>44741</v>
      </c>
      <c r="G920" s="1" t="s">
        <v>643</v>
      </c>
      <c r="H920" s="2">
        <v>45396</v>
      </c>
      <c r="I920" t="s">
        <v>43</v>
      </c>
      <c r="J920">
        <v>1</v>
      </c>
      <c r="K920">
        <v>69513.570000000007</v>
      </c>
      <c r="L920" t="s">
        <v>680</v>
      </c>
      <c r="M920">
        <v>23</v>
      </c>
      <c r="N920" t="s">
        <v>36</v>
      </c>
      <c r="O920" s="3" t="s">
        <v>28</v>
      </c>
      <c r="P920" t="s">
        <v>29</v>
      </c>
      <c r="Q920" t="s">
        <v>24</v>
      </c>
      <c r="R920">
        <v>3</v>
      </c>
      <c r="S920" t="s">
        <v>57</v>
      </c>
      <c r="T920" s="4">
        <f t="shared" si="73"/>
        <v>69513.570000000007</v>
      </c>
      <c r="U920" s="4" t="str">
        <f t="shared" si="74"/>
        <v>Average</v>
      </c>
      <c r="V920" s="4" t="str">
        <f t="shared" si="75"/>
        <v>Average</v>
      </c>
      <c r="W920" s="4"/>
      <c r="X920" s="4"/>
      <c r="AJ920" s="4"/>
    </row>
    <row r="921" spans="1:36">
      <c r="A921" t="str">
        <f t="shared" si="71"/>
        <v>Arun35920</v>
      </c>
      <c r="B921">
        <v>920</v>
      </c>
      <c r="C921">
        <v>29</v>
      </c>
      <c r="D921">
        <v>6</v>
      </c>
      <c r="E921">
        <v>2022</v>
      </c>
      <c r="F921" s="1">
        <f t="shared" si="72"/>
        <v>44741</v>
      </c>
      <c r="G921" s="1" t="s">
        <v>643</v>
      </c>
      <c r="H921" s="2">
        <v>45397</v>
      </c>
      <c r="I921" t="s">
        <v>19</v>
      </c>
      <c r="J921">
        <v>5</v>
      </c>
      <c r="K921">
        <v>57385.71</v>
      </c>
      <c r="L921" t="s">
        <v>681</v>
      </c>
      <c r="M921">
        <v>35</v>
      </c>
      <c r="N921" t="s">
        <v>21</v>
      </c>
      <c r="O921" s="3" t="s">
        <v>28</v>
      </c>
      <c r="P921" t="s">
        <v>59</v>
      </c>
      <c r="Q921" t="s">
        <v>41</v>
      </c>
      <c r="R921">
        <v>3</v>
      </c>
      <c r="S921" t="s">
        <v>25</v>
      </c>
      <c r="T921" s="4">
        <f t="shared" si="73"/>
        <v>286928.55</v>
      </c>
      <c r="U921" s="4" t="str">
        <f t="shared" si="74"/>
        <v>Average</v>
      </c>
      <c r="V921" s="4" t="str">
        <f t="shared" si="75"/>
        <v>Excellent</v>
      </c>
      <c r="W921" s="4"/>
      <c r="X921" s="4"/>
      <c r="AJ921" s="4"/>
    </row>
    <row r="922" spans="1:36">
      <c r="A922" t="str">
        <f t="shared" si="71"/>
        <v>Sach57921</v>
      </c>
      <c r="B922">
        <v>921</v>
      </c>
      <c r="C922">
        <v>29</v>
      </c>
      <c r="D922">
        <v>6</v>
      </c>
      <c r="E922">
        <v>2022</v>
      </c>
      <c r="F922" s="1">
        <f t="shared" si="72"/>
        <v>44741</v>
      </c>
      <c r="G922" s="1" t="s">
        <v>643</v>
      </c>
      <c r="H922" s="2">
        <v>45398</v>
      </c>
      <c r="I922" t="s">
        <v>19</v>
      </c>
      <c r="J922">
        <v>3</v>
      </c>
      <c r="K922">
        <v>49810.12</v>
      </c>
      <c r="L922" t="s">
        <v>483</v>
      </c>
      <c r="M922">
        <v>57</v>
      </c>
      <c r="N922" t="s">
        <v>61</v>
      </c>
      <c r="O922" s="3" t="s">
        <v>22</v>
      </c>
      <c r="P922" t="s">
        <v>132</v>
      </c>
      <c r="Q922" t="s">
        <v>41</v>
      </c>
      <c r="R922">
        <v>5</v>
      </c>
      <c r="S922" t="s">
        <v>25</v>
      </c>
      <c r="T922" s="4">
        <f t="shared" si="73"/>
        <v>149430.36000000002</v>
      </c>
      <c r="U922" s="4" t="str">
        <f t="shared" si="74"/>
        <v>Good</v>
      </c>
      <c r="V922" s="4" t="str">
        <f t="shared" si="75"/>
        <v>Good</v>
      </c>
      <c r="W922" s="4"/>
      <c r="X922" s="4"/>
      <c r="AJ922" s="4"/>
    </row>
    <row r="923" spans="1:36">
      <c r="A923" t="str">
        <f t="shared" si="71"/>
        <v>Mano38922</v>
      </c>
      <c r="B923">
        <v>922</v>
      </c>
      <c r="C923">
        <v>30</v>
      </c>
      <c r="D923">
        <v>6</v>
      </c>
      <c r="E923">
        <v>2022</v>
      </c>
      <c r="F923" s="1">
        <f t="shared" si="72"/>
        <v>44742</v>
      </c>
      <c r="G923" s="1" t="s">
        <v>643</v>
      </c>
      <c r="H923" s="2">
        <v>45399</v>
      </c>
      <c r="I923" t="s">
        <v>38</v>
      </c>
      <c r="J923">
        <v>2</v>
      </c>
      <c r="K923">
        <v>30743.82</v>
      </c>
      <c r="L923" t="s">
        <v>105</v>
      </c>
      <c r="M923">
        <v>38</v>
      </c>
      <c r="N923" t="s">
        <v>21</v>
      </c>
      <c r="O923" s="3" t="s">
        <v>22</v>
      </c>
      <c r="P923" t="s">
        <v>29</v>
      </c>
      <c r="Q923" t="s">
        <v>56</v>
      </c>
      <c r="R923">
        <v>5</v>
      </c>
      <c r="S923" t="s">
        <v>48</v>
      </c>
      <c r="T923" s="4">
        <f t="shared" si="73"/>
        <v>61487.64</v>
      </c>
      <c r="U923" s="4" t="str">
        <f t="shared" si="74"/>
        <v>Good</v>
      </c>
      <c r="V923" s="4" t="str">
        <f t="shared" si="75"/>
        <v>Average</v>
      </c>
      <c r="W923" s="4"/>
      <c r="X923" s="4"/>
      <c r="AJ923" s="4"/>
    </row>
    <row r="924" spans="1:36">
      <c r="A924" t="str">
        <f t="shared" si="71"/>
        <v>Meen32923</v>
      </c>
      <c r="B924">
        <v>923</v>
      </c>
      <c r="C924">
        <v>30</v>
      </c>
      <c r="D924">
        <v>6</v>
      </c>
      <c r="E924">
        <v>2022</v>
      </c>
      <c r="F924" s="1">
        <f t="shared" si="72"/>
        <v>44742</v>
      </c>
      <c r="G924" s="1" t="s">
        <v>643</v>
      </c>
      <c r="H924" s="2">
        <v>45400</v>
      </c>
      <c r="I924" t="s">
        <v>43</v>
      </c>
      <c r="J924">
        <v>3</v>
      </c>
      <c r="K924">
        <v>20283.900000000001</v>
      </c>
      <c r="L924" t="s">
        <v>682</v>
      </c>
      <c r="M924">
        <v>32</v>
      </c>
      <c r="N924" t="s">
        <v>21</v>
      </c>
      <c r="O924" s="3" t="s">
        <v>55</v>
      </c>
      <c r="P924" t="s">
        <v>117</v>
      </c>
      <c r="Q924" t="s">
        <v>41</v>
      </c>
      <c r="R924">
        <v>2</v>
      </c>
      <c r="S924" t="s">
        <v>95</v>
      </c>
      <c r="T924" s="4">
        <f t="shared" si="73"/>
        <v>60851.700000000004</v>
      </c>
      <c r="U924" s="4" t="str">
        <f t="shared" si="74"/>
        <v>Average</v>
      </c>
      <c r="V924" s="4" t="str">
        <f t="shared" si="75"/>
        <v>Average</v>
      </c>
      <c r="W924" s="4"/>
      <c r="X924" s="4"/>
      <c r="AJ924" s="4"/>
    </row>
    <row r="925" spans="1:36">
      <c r="A925" t="str">
        <f t="shared" si="71"/>
        <v>Vino20924</v>
      </c>
      <c r="B925">
        <v>924</v>
      </c>
      <c r="C925">
        <v>30</v>
      </c>
      <c r="D925">
        <v>6</v>
      </c>
      <c r="E925">
        <v>2022</v>
      </c>
      <c r="F925" s="1">
        <f t="shared" si="72"/>
        <v>44742</v>
      </c>
      <c r="G925" s="1" t="s">
        <v>643</v>
      </c>
      <c r="H925" s="2">
        <v>45401</v>
      </c>
      <c r="I925" t="s">
        <v>19</v>
      </c>
      <c r="J925">
        <v>8</v>
      </c>
      <c r="K925">
        <v>14738.84</v>
      </c>
      <c r="L925" t="s">
        <v>539</v>
      </c>
      <c r="M925">
        <v>20</v>
      </c>
      <c r="N925" t="s">
        <v>36</v>
      </c>
      <c r="O925" s="3" t="s">
        <v>55</v>
      </c>
      <c r="P925" t="s">
        <v>29</v>
      </c>
      <c r="Q925" t="s">
        <v>41</v>
      </c>
      <c r="R925">
        <v>2</v>
      </c>
      <c r="S925" t="s">
        <v>37</v>
      </c>
      <c r="T925" s="4">
        <f t="shared" si="73"/>
        <v>117910.72</v>
      </c>
      <c r="U925" s="4" t="str">
        <f t="shared" si="74"/>
        <v>Average</v>
      </c>
      <c r="V925" s="4" t="str">
        <f t="shared" si="75"/>
        <v>Good</v>
      </c>
      <c r="W925" s="4"/>
      <c r="X925" s="4"/>
      <c r="AJ925" s="4"/>
    </row>
    <row r="926" spans="1:36">
      <c r="A926" t="str">
        <f t="shared" si="71"/>
        <v>Vino19925</v>
      </c>
      <c r="B926">
        <v>925</v>
      </c>
      <c r="C926">
        <v>1</v>
      </c>
      <c r="D926">
        <v>7</v>
      </c>
      <c r="E926">
        <v>2022</v>
      </c>
      <c r="F926" s="1">
        <f t="shared" si="72"/>
        <v>44743</v>
      </c>
      <c r="G926" s="1" t="s">
        <v>683</v>
      </c>
      <c r="H926" s="2">
        <v>45402</v>
      </c>
      <c r="I926" t="s">
        <v>43</v>
      </c>
      <c r="J926">
        <v>6</v>
      </c>
      <c r="K926">
        <v>51597.85</v>
      </c>
      <c r="L926" t="s">
        <v>684</v>
      </c>
      <c r="M926">
        <v>19</v>
      </c>
      <c r="N926" t="s">
        <v>36</v>
      </c>
      <c r="O926" s="3" t="s">
        <v>22</v>
      </c>
      <c r="P926" t="s">
        <v>77</v>
      </c>
      <c r="Q926" t="s">
        <v>41</v>
      </c>
      <c r="R926">
        <v>5</v>
      </c>
      <c r="S926" t="s">
        <v>57</v>
      </c>
      <c r="T926" s="4">
        <f t="shared" si="73"/>
        <v>309587.09999999998</v>
      </c>
      <c r="U926" s="4" t="str">
        <f t="shared" si="74"/>
        <v>Good</v>
      </c>
      <c r="V926" s="4" t="str">
        <f t="shared" si="75"/>
        <v>Excellent</v>
      </c>
      <c r="W926" s="4"/>
      <c r="X926" s="4"/>
      <c r="AJ926" s="4"/>
    </row>
    <row r="927" spans="1:36">
      <c r="A927" t="str">
        <f t="shared" si="71"/>
        <v>Suni58926</v>
      </c>
      <c r="B927">
        <v>926</v>
      </c>
      <c r="C927">
        <v>1</v>
      </c>
      <c r="D927">
        <v>7</v>
      </c>
      <c r="E927">
        <v>2022</v>
      </c>
      <c r="F927" s="1">
        <f t="shared" si="72"/>
        <v>44743</v>
      </c>
      <c r="G927" s="1" t="s">
        <v>683</v>
      </c>
      <c r="H927" s="2">
        <v>45403</v>
      </c>
      <c r="I927" t="s">
        <v>43</v>
      </c>
      <c r="J927">
        <v>7</v>
      </c>
      <c r="K927">
        <v>57083.4</v>
      </c>
      <c r="L927" t="s">
        <v>617</v>
      </c>
      <c r="M927">
        <v>58</v>
      </c>
      <c r="N927" t="s">
        <v>61</v>
      </c>
      <c r="O927" s="3" t="s">
        <v>28</v>
      </c>
      <c r="P927" t="s">
        <v>33</v>
      </c>
      <c r="Q927" t="s">
        <v>30</v>
      </c>
      <c r="R927">
        <v>3</v>
      </c>
      <c r="S927" t="s">
        <v>57</v>
      </c>
      <c r="T927" s="4">
        <f t="shared" si="73"/>
        <v>399583.8</v>
      </c>
      <c r="U927" s="4" t="str">
        <f t="shared" si="74"/>
        <v>Average</v>
      </c>
      <c r="V927" s="4" t="str">
        <f t="shared" si="75"/>
        <v>Excellent</v>
      </c>
      <c r="W927" s="4"/>
      <c r="X927" s="4"/>
      <c r="AJ927" s="4"/>
    </row>
    <row r="928" spans="1:36">
      <c r="A928" t="str">
        <f t="shared" si="71"/>
        <v>Bina57927</v>
      </c>
      <c r="B928">
        <v>927</v>
      </c>
      <c r="C928">
        <v>1</v>
      </c>
      <c r="D928">
        <v>7</v>
      </c>
      <c r="E928">
        <v>2022</v>
      </c>
      <c r="F928" s="1">
        <f t="shared" si="72"/>
        <v>44743</v>
      </c>
      <c r="G928" s="1" t="s">
        <v>683</v>
      </c>
      <c r="H928" s="2">
        <v>45404</v>
      </c>
      <c r="I928" t="s">
        <v>43</v>
      </c>
      <c r="J928">
        <v>6</v>
      </c>
      <c r="K928">
        <v>59587.22</v>
      </c>
      <c r="L928" t="s">
        <v>165</v>
      </c>
      <c r="M928">
        <v>57</v>
      </c>
      <c r="N928" t="s">
        <v>61</v>
      </c>
      <c r="O928" s="3" t="s">
        <v>22</v>
      </c>
      <c r="P928" t="s">
        <v>150</v>
      </c>
      <c r="Q928" t="s">
        <v>56</v>
      </c>
      <c r="R928">
        <v>5</v>
      </c>
      <c r="S928" t="s">
        <v>95</v>
      </c>
      <c r="T928" s="4">
        <f t="shared" si="73"/>
        <v>357523.32</v>
      </c>
      <c r="U928" s="4" t="str">
        <f t="shared" si="74"/>
        <v>Good</v>
      </c>
      <c r="V928" s="4" t="str">
        <f t="shared" si="75"/>
        <v>Excellent</v>
      </c>
      <c r="W928" s="4"/>
      <c r="X928" s="4"/>
      <c r="AJ928" s="4"/>
    </row>
    <row r="929" spans="1:36">
      <c r="A929" t="str">
        <f t="shared" si="71"/>
        <v>Pank21928</v>
      </c>
      <c r="B929">
        <v>928</v>
      </c>
      <c r="C929">
        <v>1</v>
      </c>
      <c r="D929">
        <v>7</v>
      </c>
      <c r="E929">
        <v>2022</v>
      </c>
      <c r="F929" s="1">
        <f t="shared" si="72"/>
        <v>44743</v>
      </c>
      <c r="G929" s="1" t="s">
        <v>683</v>
      </c>
      <c r="H929" s="2">
        <v>45405</v>
      </c>
      <c r="I929" t="s">
        <v>49</v>
      </c>
      <c r="J929">
        <v>6</v>
      </c>
      <c r="K929">
        <v>64825.9</v>
      </c>
      <c r="L929" t="s">
        <v>685</v>
      </c>
      <c r="M929">
        <v>21</v>
      </c>
      <c r="N929" t="s">
        <v>36</v>
      </c>
      <c r="O929" s="3" t="s">
        <v>28</v>
      </c>
      <c r="P929" t="s">
        <v>66</v>
      </c>
      <c r="Q929" t="s">
        <v>56</v>
      </c>
      <c r="R929">
        <v>3</v>
      </c>
      <c r="S929" t="s">
        <v>88</v>
      </c>
      <c r="T929" s="4">
        <f t="shared" si="73"/>
        <v>388955.4</v>
      </c>
      <c r="U929" s="4" t="str">
        <f t="shared" si="74"/>
        <v>Average</v>
      </c>
      <c r="V929" s="4" t="str">
        <f t="shared" si="75"/>
        <v>Excellent</v>
      </c>
      <c r="W929" s="4"/>
      <c r="X929" s="4"/>
      <c r="AJ929" s="4"/>
    </row>
    <row r="930" spans="1:36">
      <c r="A930" t="str">
        <f t="shared" si="71"/>
        <v>Jyot49929</v>
      </c>
      <c r="B930">
        <v>929</v>
      </c>
      <c r="C930">
        <v>2</v>
      </c>
      <c r="D930">
        <v>7</v>
      </c>
      <c r="E930">
        <v>2022</v>
      </c>
      <c r="F930" s="1">
        <f t="shared" si="72"/>
        <v>44744</v>
      </c>
      <c r="G930" s="1" t="s">
        <v>683</v>
      </c>
      <c r="H930" s="2">
        <v>45406</v>
      </c>
      <c r="I930" t="s">
        <v>43</v>
      </c>
      <c r="J930">
        <v>3</v>
      </c>
      <c r="K930">
        <v>62795.77</v>
      </c>
      <c r="L930" t="s">
        <v>281</v>
      </c>
      <c r="M930">
        <v>49</v>
      </c>
      <c r="N930" t="s">
        <v>61</v>
      </c>
      <c r="O930" s="3" t="s">
        <v>22</v>
      </c>
      <c r="P930" t="s">
        <v>29</v>
      </c>
      <c r="Q930" t="s">
        <v>41</v>
      </c>
      <c r="R930">
        <v>5</v>
      </c>
      <c r="S930" t="s">
        <v>57</v>
      </c>
      <c r="T930" s="4">
        <f t="shared" si="73"/>
        <v>188387.31</v>
      </c>
      <c r="U930" s="4" t="str">
        <f t="shared" si="74"/>
        <v>Good</v>
      </c>
      <c r="V930" s="4" t="str">
        <f t="shared" si="75"/>
        <v>Good</v>
      </c>
      <c r="W930" s="4"/>
      <c r="X930" s="4"/>
      <c r="AJ930" s="4"/>
    </row>
    <row r="931" spans="1:36">
      <c r="A931" t="str">
        <f t="shared" si="71"/>
        <v>Kuna19930</v>
      </c>
      <c r="B931">
        <v>930</v>
      </c>
      <c r="C931">
        <v>2</v>
      </c>
      <c r="D931">
        <v>7</v>
      </c>
      <c r="E931">
        <v>2022</v>
      </c>
      <c r="F931" s="1">
        <f t="shared" si="72"/>
        <v>44744</v>
      </c>
      <c r="G931" s="1" t="s">
        <v>683</v>
      </c>
      <c r="H931" s="2">
        <v>45407</v>
      </c>
      <c r="I931" t="s">
        <v>49</v>
      </c>
      <c r="J931">
        <v>8</v>
      </c>
      <c r="K931">
        <v>69984.479999999996</v>
      </c>
      <c r="L931" t="s">
        <v>619</v>
      </c>
      <c r="M931">
        <v>19</v>
      </c>
      <c r="N931" t="s">
        <v>36</v>
      </c>
      <c r="O931" s="3" t="s">
        <v>22</v>
      </c>
      <c r="P931" t="s">
        <v>33</v>
      </c>
      <c r="Q931" t="s">
        <v>30</v>
      </c>
      <c r="R931">
        <v>5</v>
      </c>
      <c r="S931" t="s">
        <v>88</v>
      </c>
      <c r="T931" s="4">
        <f t="shared" si="73"/>
        <v>559875.83999999997</v>
      </c>
      <c r="U931" s="4" t="str">
        <f t="shared" si="74"/>
        <v>Good</v>
      </c>
      <c r="V931" s="4" t="str">
        <f t="shared" si="75"/>
        <v>Excellent</v>
      </c>
      <c r="W931" s="4"/>
      <c r="X931" s="4"/>
      <c r="AJ931" s="4"/>
    </row>
    <row r="932" spans="1:36">
      <c r="A932" t="str">
        <f t="shared" si="71"/>
        <v>Pank46931</v>
      </c>
      <c r="B932">
        <v>931</v>
      </c>
      <c r="C932">
        <v>2</v>
      </c>
      <c r="D932">
        <v>7</v>
      </c>
      <c r="E932">
        <v>2022</v>
      </c>
      <c r="F932" s="1">
        <f t="shared" si="72"/>
        <v>44744</v>
      </c>
      <c r="G932" s="1" t="s">
        <v>683</v>
      </c>
      <c r="H932" s="2">
        <v>45408</v>
      </c>
      <c r="I932" t="s">
        <v>38</v>
      </c>
      <c r="J932">
        <v>7</v>
      </c>
      <c r="K932">
        <v>24643.84</v>
      </c>
      <c r="L932" t="s">
        <v>685</v>
      </c>
      <c r="M932">
        <v>46</v>
      </c>
      <c r="N932" t="s">
        <v>61</v>
      </c>
      <c r="O932" s="3" t="s">
        <v>22</v>
      </c>
      <c r="P932" t="s">
        <v>114</v>
      </c>
      <c r="Q932" t="s">
        <v>41</v>
      </c>
      <c r="R932">
        <v>5</v>
      </c>
      <c r="S932" t="s">
        <v>42</v>
      </c>
      <c r="T932" s="4">
        <f t="shared" si="73"/>
        <v>172506.88</v>
      </c>
      <c r="U932" s="4" t="str">
        <f t="shared" si="74"/>
        <v>Good</v>
      </c>
      <c r="V932" s="4" t="str">
        <f t="shared" si="75"/>
        <v>Good</v>
      </c>
      <c r="W932" s="4"/>
      <c r="X932" s="4"/>
      <c r="AJ932" s="4"/>
    </row>
    <row r="933" spans="1:36">
      <c r="A933" t="str">
        <f t="shared" si="71"/>
        <v>Neet19932</v>
      </c>
      <c r="B933">
        <v>932</v>
      </c>
      <c r="C933">
        <v>2</v>
      </c>
      <c r="D933">
        <v>7</v>
      </c>
      <c r="E933">
        <v>2022</v>
      </c>
      <c r="F933" s="1">
        <f t="shared" si="72"/>
        <v>44744</v>
      </c>
      <c r="G933" s="1" t="s">
        <v>683</v>
      </c>
      <c r="H933" s="2">
        <v>45409</v>
      </c>
      <c r="I933" t="s">
        <v>19</v>
      </c>
      <c r="J933">
        <v>7</v>
      </c>
      <c r="K933">
        <v>55798.46</v>
      </c>
      <c r="L933" t="s">
        <v>485</v>
      </c>
      <c r="M933">
        <v>19</v>
      </c>
      <c r="N933" t="s">
        <v>36</v>
      </c>
      <c r="O933" s="3" t="s">
        <v>55</v>
      </c>
      <c r="P933" t="s">
        <v>114</v>
      </c>
      <c r="Q933" t="s">
        <v>56</v>
      </c>
      <c r="R933">
        <v>2</v>
      </c>
      <c r="S933" t="s">
        <v>84</v>
      </c>
      <c r="T933" s="4">
        <f t="shared" si="73"/>
        <v>390589.22</v>
      </c>
      <c r="U933" s="4" t="str">
        <f t="shared" si="74"/>
        <v>Average</v>
      </c>
      <c r="V933" s="4" t="str">
        <f t="shared" si="75"/>
        <v>Excellent</v>
      </c>
      <c r="W933" s="4"/>
      <c r="X933" s="4"/>
      <c r="AJ933" s="4"/>
    </row>
    <row r="934" spans="1:36">
      <c r="A934" t="str">
        <f t="shared" si="71"/>
        <v>Navi51933</v>
      </c>
      <c r="B934">
        <v>933</v>
      </c>
      <c r="C934">
        <v>3</v>
      </c>
      <c r="D934">
        <v>7</v>
      </c>
      <c r="E934">
        <v>2022</v>
      </c>
      <c r="F934" s="1">
        <f t="shared" si="72"/>
        <v>44745</v>
      </c>
      <c r="G934" s="1" t="s">
        <v>683</v>
      </c>
      <c r="H934" s="2">
        <v>45410</v>
      </c>
      <c r="I934" t="s">
        <v>19</v>
      </c>
      <c r="J934">
        <v>6</v>
      </c>
      <c r="K934">
        <v>45187.57</v>
      </c>
      <c r="L934" t="s">
        <v>686</v>
      </c>
      <c r="M934">
        <v>51</v>
      </c>
      <c r="N934" t="s">
        <v>61</v>
      </c>
      <c r="O934" s="3" t="s">
        <v>22</v>
      </c>
      <c r="P934" t="s">
        <v>33</v>
      </c>
      <c r="Q934" t="s">
        <v>56</v>
      </c>
      <c r="R934">
        <v>5</v>
      </c>
      <c r="S934" t="s">
        <v>84</v>
      </c>
      <c r="T934" s="4">
        <f t="shared" si="73"/>
        <v>271125.42</v>
      </c>
      <c r="U934" s="4" t="str">
        <f t="shared" si="74"/>
        <v>Good</v>
      </c>
      <c r="V934" s="4" t="str">
        <f t="shared" si="75"/>
        <v>Excellent</v>
      </c>
      <c r="W934" s="4"/>
      <c r="X934" s="4"/>
      <c r="AJ934" s="4"/>
    </row>
    <row r="935" spans="1:36">
      <c r="A935" t="str">
        <f t="shared" si="71"/>
        <v>Sumi44934</v>
      </c>
      <c r="B935">
        <v>934</v>
      </c>
      <c r="C935">
        <v>3</v>
      </c>
      <c r="D935">
        <v>7</v>
      </c>
      <c r="E935">
        <v>2022</v>
      </c>
      <c r="F935" s="1">
        <f t="shared" si="72"/>
        <v>44745</v>
      </c>
      <c r="G935" s="1" t="s">
        <v>683</v>
      </c>
      <c r="H935" s="2">
        <v>45411</v>
      </c>
      <c r="I935" t="s">
        <v>19</v>
      </c>
      <c r="J935">
        <v>5</v>
      </c>
      <c r="K935">
        <v>25674.71</v>
      </c>
      <c r="L935" t="s">
        <v>256</v>
      </c>
      <c r="M935">
        <v>44</v>
      </c>
      <c r="N935" t="s">
        <v>21</v>
      </c>
      <c r="O935" s="3" t="s">
        <v>22</v>
      </c>
      <c r="P935" t="s">
        <v>33</v>
      </c>
      <c r="Q935" t="s">
        <v>56</v>
      </c>
      <c r="R935">
        <v>4</v>
      </c>
      <c r="S935" t="s">
        <v>37</v>
      </c>
      <c r="T935" s="4">
        <f t="shared" si="73"/>
        <v>128373.54999999999</v>
      </c>
      <c r="U935" s="4" t="str">
        <f t="shared" si="74"/>
        <v>Good</v>
      </c>
      <c r="V935" s="4" t="str">
        <f t="shared" si="75"/>
        <v>Good</v>
      </c>
      <c r="W935" s="4"/>
      <c r="X935" s="4"/>
      <c r="AJ935" s="4"/>
    </row>
    <row r="936" spans="1:36">
      <c r="A936" t="str">
        <f t="shared" si="71"/>
        <v>Navi56935</v>
      </c>
      <c r="B936">
        <v>935</v>
      </c>
      <c r="C936">
        <v>3</v>
      </c>
      <c r="D936">
        <v>7</v>
      </c>
      <c r="E936">
        <v>2022</v>
      </c>
      <c r="F936" s="1">
        <f t="shared" si="72"/>
        <v>44745</v>
      </c>
      <c r="G936" s="1" t="s">
        <v>683</v>
      </c>
      <c r="H936" s="2">
        <v>45412</v>
      </c>
      <c r="I936" t="s">
        <v>19</v>
      </c>
      <c r="J936">
        <v>8</v>
      </c>
      <c r="K936">
        <v>68914.320000000007</v>
      </c>
      <c r="L936" t="s">
        <v>608</v>
      </c>
      <c r="M936">
        <v>56</v>
      </c>
      <c r="N936" t="s">
        <v>61</v>
      </c>
      <c r="O936" s="3" t="s">
        <v>22</v>
      </c>
      <c r="P936" t="s">
        <v>29</v>
      </c>
      <c r="Q936" t="s">
        <v>56</v>
      </c>
      <c r="R936">
        <v>5</v>
      </c>
      <c r="S936" t="s">
        <v>37</v>
      </c>
      <c r="T936" s="4">
        <f t="shared" si="73"/>
        <v>551314.56000000006</v>
      </c>
      <c r="U936" s="4" t="str">
        <f t="shared" si="74"/>
        <v>Good</v>
      </c>
      <c r="V936" s="4" t="str">
        <f t="shared" si="75"/>
        <v>Excellent</v>
      </c>
      <c r="W936" s="4"/>
      <c r="X936" s="4"/>
      <c r="AJ936" s="4"/>
    </row>
    <row r="937" spans="1:36">
      <c r="A937" t="str">
        <f t="shared" si="71"/>
        <v>Nami55936</v>
      </c>
      <c r="B937">
        <v>936</v>
      </c>
      <c r="C937">
        <v>3</v>
      </c>
      <c r="D937">
        <v>7</v>
      </c>
      <c r="E937">
        <v>2022</v>
      </c>
      <c r="F937" s="1">
        <f t="shared" si="72"/>
        <v>44745</v>
      </c>
      <c r="G937" s="1" t="s">
        <v>683</v>
      </c>
      <c r="H937" s="2">
        <v>45413</v>
      </c>
      <c r="I937" t="s">
        <v>19</v>
      </c>
      <c r="J937">
        <v>5</v>
      </c>
      <c r="K937">
        <v>63873.89</v>
      </c>
      <c r="L937" t="s">
        <v>687</v>
      </c>
      <c r="M937">
        <v>55</v>
      </c>
      <c r="N937" t="s">
        <v>61</v>
      </c>
      <c r="O937" s="3" t="s">
        <v>22</v>
      </c>
      <c r="P937" t="s">
        <v>66</v>
      </c>
      <c r="Q937" t="s">
        <v>30</v>
      </c>
      <c r="R937">
        <v>5</v>
      </c>
      <c r="S937" t="s">
        <v>84</v>
      </c>
      <c r="T937" s="4">
        <f t="shared" si="73"/>
        <v>319369.45</v>
      </c>
      <c r="U937" s="4" t="str">
        <f t="shared" si="74"/>
        <v>Good</v>
      </c>
      <c r="V937" s="4" t="str">
        <f t="shared" si="75"/>
        <v>Excellent</v>
      </c>
      <c r="W937" s="4"/>
      <c r="X937" s="4"/>
      <c r="AJ937" s="4"/>
    </row>
    <row r="938" spans="1:36">
      <c r="A938" t="str">
        <f t="shared" si="71"/>
        <v>Moni35937</v>
      </c>
      <c r="B938">
        <v>937</v>
      </c>
      <c r="C938">
        <v>4</v>
      </c>
      <c r="D938">
        <v>7</v>
      </c>
      <c r="E938">
        <v>2022</v>
      </c>
      <c r="F938" s="1">
        <f t="shared" si="72"/>
        <v>44746</v>
      </c>
      <c r="G938" s="1" t="s">
        <v>683</v>
      </c>
      <c r="H938" s="2">
        <v>45414</v>
      </c>
      <c r="I938" t="s">
        <v>19</v>
      </c>
      <c r="J938">
        <v>9</v>
      </c>
      <c r="K938">
        <v>17710.939999999999</v>
      </c>
      <c r="L938" t="s">
        <v>508</v>
      </c>
      <c r="M938">
        <v>35</v>
      </c>
      <c r="N938" t="s">
        <v>21</v>
      </c>
      <c r="O938" s="3" t="s">
        <v>22</v>
      </c>
      <c r="P938" t="s">
        <v>23</v>
      </c>
      <c r="Q938" t="s">
        <v>24</v>
      </c>
      <c r="R938">
        <v>4</v>
      </c>
      <c r="S938" t="s">
        <v>25</v>
      </c>
      <c r="T938" s="4">
        <f t="shared" si="73"/>
        <v>159398.46</v>
      </c>
      <c r="U938" s="4" t="str">
        <f t="shared" si="74"/>
        <v>Good</v>
      </c>
      <c r="V938" s="4" t="str">
        <f t="shared" si="75"/>
        <v>Good</v>
      </c>
      <c r="W938" s="4"/>
      <c r="X938" s="4"/>
      <c r="AJ938" s="4"/>
    </row>
    <row r="939" spans="1:36">
      <c r="A939" t="str">
        <f t="shared" si="71"/>
        <v>Moni53938</v>
      </c>
      <c r="B939">
        <v>938</v>
      </c>
      <c r="C939">
        <v>4</v>
      </c>
      <c r="D939">
        <v>7</v>
      </c>
      <c r="E939">
        <v>2022</v>
      </c>
      <c r="F939" s="1">
        <f t="shared" si="72"/>
        <v>44746</v>
      </c>
      <c r="G939" s="1" t="s">
        <v>683</v>
      </c>
      <c r="H939" s="2">
        <v>45415</v>
      </c>
      <c r="I939" t="s">
        <v>19</v>
      </c>
      <c r="J939">
        <v>9</v>
      </c>
      <c r="K939">
        <v>11569.5</v>
      </c>
      <c r="L939" t="s">
        <v>688</v>
      </c>
      <c r="M939">
        <v>53</v>
      </c>
      <c r="N939" t="s">
        <v>61</v>
      </c>
      <c r="O939" s="3" t="s">
        <v>22</v>
      </c>
      <c r="P939" t="s">
        <v>40</v>
      </c>
      <c r="Q939" t="s">
        <v>24</v>
      </c>
      <c r="R939">
        <v>4</v>
      </c>
      <c r="S939" t="s">
        <v>84</v>
      </c>
      <c r="T939" s="4">
        <f t="shared" si="73"/>
        <v>104125.5</v>
      </c>
      <c r="U939" s="4" t="str">
        <f t="shared" si="74"/>
        <v>Good</v>
      </c>
      <c r="V939" s="4" t="str">
        <f t="shared" si="75"/>
        <v>Good</v>
      </c>
      <c r="W939" s="4"/>
      <c r="X939" s="4"/>
      <c r="AJ939" s="4"/>
    </row>
    <row r="940" spans="1:36">
      <c r="A940" t="str">
        <f t="shared" si="71"/>
        <v>Ayes36939</v>
      </c>
      <c r="B940">
        <v>939</v>
      </c>
      <c r="C940">
        <v>4</v>
      </c>
      <c r="D940">
        <v>7</v>
      </c>
      <c r="E940">
        <v>2022</v>
      </c>
      <c r="F940" s="1">
        <f t="shared" si="72"/>
        <v>44746</v>
      </c>
      <c r="G940" s="1" t="s">
        <v>683</v>
      </c>
      <c r="H940" s="2">
        <v>45416</v>
      </c>
      <c r="I940" t="s">
        <v>38</v>
      </c>
      <c r="J940">
        <v>1</v>
      </c>
      <c r="K940">
        <v>51299.85</v>
      </c>
      <c r="L940" t="s">
        <v>665</v>
      </c>
      <c r="M940">
        <v>36</v>
      </c>
      <c r="N940" t="s">
        <v>21</v>
      </c>
      <c r="O940" s="3" t="s">
        <v>22</v>
      </c>
      <c r="P940" t="s">
        <v>114</v>
      </c>
      <c r="Q940" t="s">
        <v>30</v>
      </c>
      <c r="R940">
        <v>5</v>
      </c>
      <c r="S940" t="s">
        <v>42</v>
      </c>
      <c r="T940" s="4">
        <f t="shared" si="73"/>
        <v>51299.85</v>
      </c>
      <c r="U940" s="4" t="str">
        <f t="shared" si="74"/>
        <v>Good</v>
      </c>
      <c r="V940" s="4" t="str">
        <f t="shared" si="75"/>
        <v>Average</v>
      </c>
      <c r="W940" s="4"/>
      <c r="X940" s="4"/>
      <c r="AJ940" s="4"/>
    </row>
    <row r="941" spans="1:36">
      <c r="A941" t="str">
        <f t="shared" si="71"/>
        <v>Vija44940</v>
      </c>
      <c r="B941">
        <v>940</v>
      </c>
      <c r="C941">
        <v>5</v>
      </c>
      <c r="D941">
        <v>7</v>
      </c>
      <c r="E941">
        <v>2022</v>
      </c>
      <c r="F941" s="1">
        <f t="shared" si="72"/>
        <v>44747</v>
      </c>
      <c r="G941" s="1" t="s">
        <v>683</v>
      </c>
      <c r="H941" s="2">
        <v>45417</v>
      </c>
      <c r="I941" t="s">
        <v>43</v>
      </c>
      <c r="J941">
        <v>6</v>
      </c>
      <c r="K941">
        <v>46247.839999999997</v>
      </c>
      <c r="L941" t="s">
        <v>507</v>
      </c>
      <c r="M941">
        <v>44</v>
      </c>
      <c r="N941" t="s">
        <v>21</v>
      </c>
      <c r="O941" s="3" t="s">
        <v>28</v>
      </c>
      <c r="P941" t="s">
        <v>29</v>
      </c>
      <c r="Q941" t="s">
        <v>41</v>
      </c>
      <c r="R941">
        <v>3</v>
      </c>
      <c r="S941" t="s">
        <v>46</v>
      </c>
      <c r="T941" s="4">
        <f t="shared" si="73"/>
        <v>277487.03999999998</v>
      </c>
      <c r="U941" s="4" t="str">
        <f t="shared" si="74"/>
        <v>Average</v>
      </c>
      <c r="V941" s="4" t="str">
        <f t="shared" si="75"/>
        <v>Excellent</v>
      </c>
      <c r="W941" s="4"/>
      <c r="X941" s="4"/>
      <c r="AJ941" s="4"/>
    </row>
    <row r="942" spans="1:36">
      <c r="A942" t="str">
        <f t="shared" si="71"/>
        <v>Sach37941</v>
      </c>
      <c r="B942">
        <v>941</v>
      </c>
      <c r="C942">
        <v>5</v>
      </c>
      <c r="D942">
        <v>7</v>
      </c>
      <c r="E942">
        <v>2022</v>
      </c>
      <c r="F942" s="1">
        <f t="shared" si="72"/>
        <v>44747</v>
      </c>
      <c r="G942" s="1" t="s">
        <v>683</v>
      </c>
      <c r="H942" s="2">
        <v>45418</v>
      </c>
      <c r="I942" t="s">
        <v>26</v>
      </c>
      <c r="J942">
        <v>7</v>
      </c>
      <c r="K942">
        <v>66148.94</v>
      </c>
      <c r="L942" t="s">
        <v>631</v>
      </c>
      <c r="M942">
        <v>37</v>
      </c>
      <c r="N942" t="s">
        <v>21</v>
      </c>
      <c r="O942" s="3" t="s">
        <v>22</v>
      </c>
      <c r="P942" t="s">
        <v>117</v>
      </c>
      <c r="Q942" t="s">
        <v>56</v>
      </c>
      <c r="R942">
        <v>4</v>
      </c>
      <c r="S942" t="s">
        <v>31</v>
      </c>
      <c r="T942" s="4">
        <f t="shared" si="73"/>
        <v>463042.58</v>
      </c>
      <c r="U942" s="4" t="str">
        <f t="shared" si="74"/>
        <v>Good</v>
      </c>
      <c r="V942" s="4" t="str">
        <f t="shared" si="75"/>
        <v>Excellent</v>
      </c>
      <c r="W942" s="4"/>
      <c r="X942" s="4"/>
      <c r="AJ942" s="4"/>
    </row>
    <row r="943" spans="1:36">
      <c r="A943" t="str">
        <f t="shared" si="71"/>
        <v>Ayes38942</v>
      </c>
      <c r="B943">
        <v>942</v>
      </c>
      <c r="C943">
        <v>5</v>
      </c>
      <c r="D943">
        <v>7</v>
      </c>
      <c r="E943">
        <v>2022</v>
      </c>
      <c r="F943" s="1">
        <f t="shared" si="72"/>
        <v>44747</v>
      </c>
      <c r="G943" s="1" t="s">
        <v>683</v>
      </c>
      <c r="H943" s="2">
        <v>45419</v>
      </c>
      <c r="I943" t="s">
        <v>49</v>
      </c>
      <c r="J943">
        <v>3</v>
      </c>
      <c r="K943">
        <v>24040.32</v>
      </c>
      <c r="L943" t="s">
        <v>689</v>
      </c>
      <c r="M943">
        <v>38</v>
      </c>
      <c r="N943" t="s">
        <v>21</v>
      </c>
      <c r="O943" s="3" t="s">
        <v>22</v>
      </c>
      <c r="P943" t="s">
        <v>29</v>
      </c>
      <c r="Q943" t="s">
        <v>56</v>
      </c>
      <c r="R943">
        <v>5</v>
      </c>
      <c r="S943" t="s">
        <v>88</v>
      </c>
      <c r="T943" s="4">
        <f t="shared" si="73"/>
        <v>72120.959999999992</v>
      </c>
      <c r="U943" s="4" t="str">
        <f t="shared" si="74"/>
        <v>Good</v>
      </c>
      <c r="V943" s="4" t="str">
        <f t="shared" si="75"/>
        <v>Average</v>
      </c>
      <c r="W943" s="4"/>
      <c r="X943" s="4"/>
      <c r="AJ943" s="4"/>
    </row>
    <row r="944" spans="1:36">
      <c r="A944" t="str">
        <f t="shared" si="71"/>
        <v>Ravi40943</v>
      </c>
      <c r="B944">
        <v>943</v>
      </c>
      <c r="C944">
        <v>6</v>
      </c>
      <c r="D944">
        <v>7</v>
      </c>
      <c r="E944">
        <v>2022</v>
      </c>
      <c r="F944" s="1">
        <f t="shared" si="72"/>
        <v>44748</v>
      </c>
      <c r="G944" s="1" t="s">
        <v>683</v>
      </c>
      <c r="H944" s="2">
        <v>45420</v>
      </c>
      <c r="I944" t="s">
        <v>26</v>
      </c>
      <c r="J944">
        <v>7</v>
      </c>
      <c r="K944">
        <v>15063.28</v>
      </c>
      <c r="L944" t="s">
        <v>581</v>
      </c>
      <c r="M944">
        <v>40</v>
      </c>
      <c r="N944" t="s">
        <v>21</v>
      </c>
      <c r="O944" s="3" t="s">
        <v>22</v>
      </c>
      <c r="P944" t="s">
        <v>29</v>
      </c>
      <c r="Q944" t="s">
        <v>56</v>
      </c>
      <c r="R944">
        <v>4</v>
      </c>
      <c r="S944" t="s">
        <v>67</v>
      </c>
      <c r="T944" s="4">
        <f t="shared" si="73"/>
        <v>105442.96</v>
      </c>
      <c r="U944" s="4" t="str">
        <f t="shared" si="74"/>
        <v>Good</v>
      </c>
      <c r="V944" s="4" t="str">
        <f t="shared" si="75"/>
        <v>Good</v>
      </c>
      <c r="W944" s="4"/>
      <c r="X944" s="4"/>
      <c r="AJ944" s="4"/>
    </row>
    <row r="945" spans="1:36">
      <c r="A945" t="str">
        <f t="shared" si="71"/>
        <v>Pank47944</v>
      </c>
      <c r="B945">
        <v>944</v>
      </c>
      <c r="C945">
        <v>6</v>
      </c>
      <c r="D945">
        <v>7</v>
      </c>
      <c r="E945">
        <v>2022</v>
      </c>
      <c r="F945" s="1">
        <f t="shared" si="72"/>
        <v>44748</v>
      </c>
      <c r="G945" s="1" t="s">
        <v>683</v>
      </c>
      <c r="H945" s="2">
        <v>45421</v>
      </c>
      <c r="I945" t="s">
        <v>26</v>
      </c>
      <c r="J945">
        <v>7</v>
      </c>
      <c r="K945">
        <v>25552.92</v>
      </c>
      <c r="L945" t="s">
        <v>512</v>
      </c>
      <c r="M945">
        <v>47</v>
      </c>
      <c r="N945" t="s">
        <v>61</v>
      </c>
      <c r="O945" s="3" t="s">
        <v>22</v>
      </c>
      <c r="P945" t="s">
        <v>29</v>
      </c>
      <c r="Q945" t="s">
        <v>30</v>
      </c>
      <c r="R945">
        <v>5</v>
      </c>
      <c r="S945" t="s">
        <v>67</v>
      </c>
      <c r="T945" s="4">
        <f t="shared" si="73"/>
        <v>178870.44</v>
      </c>
      <c r="U945" s="4" t="str">
        <f t="shared" si="74"/>
        <v>Good</v>
      </c>
      <c r="V945" s="4" t="str">
        <f t="shared" si="75"/>
        <v>Good</v>
      </c>
      <c r="W945" s="4"/>
      <c r="X945" s="4"/>
      <c r="AJ945" s="4"/>
    </row>
    <row r="946" spans="1:36">
      <c r="A946" t="str">
        <f t="shared" si="71"/>
        <v>Lali42945</v>
      </c>
      <c r="B946">
        <v>945</v>
      </c>
      <c r="C946">
        <v>6</v>
      </c>
      <c r="D946">
        <v>7</v>
      </c>
      <c r="E946">
        <v>2022</v>
      </c>
      <c r="F946" s="1">
        <f t="shared" si="72"/>
        <v>44748</v>
      </c>
      <c r="G946" s="1" t="s">
        <v>683</v>
      </c>
      <c r="H946" s="2">
        <v>45422</v>
      </c>
      <c r="I946" t="s">
        <v>43</v>
      </c>
      <c r="J946">
        <v>2</v>
      </c>
      <c r="K946">
        <v>11135.66</v>
      </c>
      <c r="L946" t="s">
        <v>486</v>
      </c>
      <c r="M946">
        <v>42</v>
      </c>
      <c r="N946" t="s">
        <v>21</v>
      </c>
      <c r="O946" s="3" t="s">
        <v>22</v>
      </c>
      <c r="P946" t="s">
        <v>90</v>
      </c>
      <c r="Q946" t="s">
        <v>30</v>
      </c>
      <c r="R946">
        <v>5</v>
      </c>
      <c r="S946" t="s">
        <v>95</v>
      </c>
      <c r="T946" s="4">
        <f t="shared" si="73"/>
        <v>22271.32</v>
      </c>
      <c r="U946" s="4" t="str">
        <f t="shared" si="74"/>
        <v>Good</v>
      </c>
      <c r="V946" s="4" t="str">
        <f t="shared" si="75"/>
        <v>Low</v>
      </c>
      <c r="W946" s="4"/>
      <c r="X946" s="4"/>
      <c r="AJ946" s="4"/>
    </row>
    <row r="947" spans="1:36">
      <c r="A947" t="str">
        <f t="shared" si="71"/>
        <v>Pank48946</v>
      </c>
      <c r="B947">
        <v>946</v>
      </c>
      <c r="C947">
        <v>6</v>
      </c>
      <c r="D947">
        <v>7</v>
      </c>
      <c r="E947">
        <v>2022</v>
      </c>
      <c r="F947" s="1">
        <f t="shared" si="72"/>
        <v>44748</v>
      </c>
      <c r="G947" s="1" t="s">
        <v>683</v>
      </c>
      <c r="H947" s="2">
        <v>45423</v>
      </c>
      <c r="I947" t="s">
        <v>43</v>
      </c>
      <c r="J947">
        <v>7</v>
      </c>
      <c r="K947">
        <v>12153.57</v>
      </c>
      <c r="L947" t="s">
        <v>47</v>
      </c>
      <c r="M947">
        <v>48</v>
      </c>
      <c r="N947" t="s">
        <v>61</v>
      </c>
      <c r="O947" s="3" t="s">
        <v>22</v>
      </c>
      <c r="P947" t="s">
        <v>150</v>
      </c>
      <c r="Q947" t="s">
        <v>56</v>
      </c>
      <c r="R947">
        <v>5</v>
      </c>
      <c r="S947" t="s">
        <v>57</v>
      </c>
      <c r="T947" s="4">
        <f t="shared" si="73"/>
        <v>85074.989999999991</v>
      </c>
      <c r="U947" s="4" t="str">
        <f t="shared" si="74"/>
        <v>Good</v>
      </c>
      <c r="V947" s="4" t="str">
        <f t="shared" si="75"/>
        <v>Average</v>
      </c>
      <c r="W947" s="4"/>
      <c r="X947" s="4"/>
      <c r="AJ947" s="4"/>
    </row>
    <row r="948" spans="1:36">
      <c r="A948" t="str">
        <f t="shared" si="71"/>
        <v>Ayes44947</v>
      </c>
      <c r="B948">
        <v>947</v>
      </c>
      <c r="C948">
        <v>7</v>
      </c>
      <c r="D948">
        <v>7</v>
      </c>
      <c r="E948">
        <v>2022</v>
      </c>
      <c r="F948" s="1">
        <f t="shared" si="72"/>
        <v>44749</v>
      </c>
      <c r="G948" s="1" t="s">
        <v>683</v>
      </c>
      <c r="H948" s="2">
        <v>45424</v>
      </c>
      <c r="I948" t="s">
        <v>43</v>
      </c>
      <c r="J948">
        <v>1</v>
      </c>
      <c r="K948">
        <v>64891.47</v>
      </c>
      <c r="L948" t="s">
        <v>690</v>
      </c>
      <c r="M948">
        <v>44</v>
      </c>
      <c r="N948" t="s">
        <v>21</v>
      </c>
      <c r="O948" s="3" t="s">
        <v>22</v>
      </c>
      <c r="P948" t="s">
        <v>90</v>
      </c>
      <c r="Q948" t="s">
        <v>56</v>
      </c>
      <c r="R948">
        <v>5</v>
      </c>
      <c r="S948" t="s">
        <v>95</v>
      </c>
      <c r="T948" s="4">
        <f t="shared" si="73"/>
        <v>64891.47</v>
      </c>
      <c r="U948" s="4" t="str">
        <f t="shared" si="74"/>
        <v>Good</v>
      </c>
      <c r="V948" s="4" t="str">
        <f t="shared" si="75"/>
        <v>Average</v>
      </c>
      <c r="W948" s="4"/>
      <c r="X948" s="4"/>
      <c r="AJ948" s="4"/>
    </row>
    <row r="949" spans="1:36">
      <c r="A949" t="str">
        <f t="shared" si="71"/>
        <v>Hari51948</v>
      </c>
      <c r="B949">
        <v>948</v>
      </c>
      <c r="C949">
        <v>7</v>
      </c>
      <c r="D949">
        <v>7</v>
      </c>
      <c r="E949">
        <v>2022</v>
      </c>
      <c r="F949" s="1">
        <f t="shared" si="72"/>
        <v>44749</v>
      </c>
      <c r="G949" s="1" t="s">
        <v>683</v>
      </c>
      <c r="H949" s="2">
        <v>45425</v>
      </c>
      <c r="I949" t="s">
        <v>19</v>
      </c>
      <c r="J949">
        <v>5</v>
      </c>
      <c r="K949">
        <v>31120.99</v>
      </c>
      <c r="L949" t="s">
        <v>691</v>
      </c>
      <c r="M949">
        <v>51</v>
      </c>
      <c r="N949" t="s">
        <v>61</v>
      </c>
      <c r="O949" s="3" t="s">
        <v>22</v>
      </c>
      <c r="P949" t="s">
        <v>117</v>
      </c>
      <c r="Q949" t="s">
        <v>41</v>
      </c>
      <c r="R949">
        <v>5</v>
      </c>
      <c r="S949" t="s">
        <v>37</v>
      </c>
      <c r="T949" s="4">
        <f t="shared" si="73"/>
        <v>155604.95000000001</v>
      </c>
      <c r="U949" s="4" t="str">
        <f t="shared" si="74"/>
        <v>Good</v>
      </c>
      <c r="V949" s="4" t="str">
        <f t="shared" si="75"/>
        <v>Good</v>
      </c>
      <c r="W949" s="4"/>
      <c r="X949" s="4"/>
      <c r="AJ949" s="4"/>
    </row>
    <row r="950" spans="1:36">
      <c r="A950" t="str">
        <f t="shared" si="71"/>
        <v>Yoge25949</v>
      </c>
      <c r="B950">
        <v>949</v>
      </c>
      <c r="C950">
        <v>7</v>
      </c>
      <c r="D950">
        <v>7</v>
      </c>
      <c r="E950">
        <v>2022</v>
      </c>
      <c r="F950" s="1">
        <f t="shared" si="72"/>
        <v>44749</v>
      </c>
      <c r="G950" s="1" t="s">
        <v>683</v>
      </c>
      <c r="H950" s="2">
        <v>45426</v>
      </c>
      <c r="I950" t="s">
        <v>38</v>
      </c>
      <c r="J950">
        <v>9</v>
      </c>
      <c r="K950">
        <v>34648.54</v>
      </c>
      <c r="L950" t="s">
        <v>692</v>
      </c>
      <c r="M950">
        <v>25</v>
      </c>
      <c r="N950" t="s">
        <v>36</v>
      </c>
      <c r="O950" s="3" t="s">
        <v>28</v>
      </c>
      <c r="P950" t="s">
        <v>29</v>
      </c>
      <c r="Q950" t="s">
        <v>24</v>
      </c>
      <c r="R950">
        <v>3</v>
      </c>
      <c r="S950" t="s">
        <v>42</v>
      </c>
      <c r="T950" s="4">
        <f t="shared" si="73"/>
        <v>311836.86</v>
      </c>
      <c r="U950" s="4" t="str">
        <f t="shared" si="74"/>
        <v>Average</v>
      </c>
      <c r="V950" s="4" t="str">
        <f t="shared" si="75"/>
        <v>Excellent</v>
      </c>
      <c r="W950" s="4"/>
      <c r="X950" s="4"/>
      <c r="AJ950" s="4"/>
    </row>
    <row r="951" spans="1:36">
      <c r="A951" t="str">
        <f t="shared" si="71"/>
        <v>Shru36950</v>
      </c>
      <c r="B951">
        <v>950</v>
      </c>
      <c r="C951">
        <v>7</v>
      </c>
      <c r="D951">
        <v>7</v>
      </c>
      <c r="E951">
        <v>2022</v>
      </c>
      <c r="F951" s="1">
        <f t="shared" si="72"/>
        <v>44749</v>
      </c>
      <c r="G951" s="1" t="s">
        <v>683</v>
      </c>
      <c r="H951" s="2">
        <v>45427</v>
      </c>
      <c r="I951" t="s">
        <v>19</v>
      </c>
      <c r="J951">
        <v>7</v>
      </c>
      <c r="K951">
        <v>11102.3</v>
      </c>
      <c r="L951" t="s">
        <v>122</v>
      </c>
      <c r="M951">
        <v>36</v>
      </c>
      <c r="N951" t="s">
        <v>21</v>
      </c>
      <c r="O951" s="3" t="s">
        <v>22</v>
      </c>
      <c r="P951" t="s">
        <v>33</v>
      </c>
      <c r="Q951" t="s">
        <v>30</v>
      </c>
      <c r="R951">
        <v>5</v>
      </c>
      <c r="S951" t="s">
        <v>25</v>
      </c>
      <c r="T951" s="4">
        <f t="shared" si="73"/>
        <v>77716.099999999991</v>
      </c>
      <c r="U951" s="4" t="str">
        <f t="shared" si="74"/>
        <v>Good</v>
      </c>
      <c r="V951" s="4" t="str">
        <f t="shared" si="75"/>
        <v>Average</v>
      </c>
      <c r="W951" s="4"/>
      <c r="X951" s="4"/>
      <c r="AJ951" s="4"/>
    </row>
    <row r="952" spans="1:36">
      <c r="A952" t="str">
        <f t="shared" si="71"/>
        <v>Neet58951</v>
      </c>
      <c r="B952">
        <v>951</v>
      </c>
      <c r="C952">
        <v>8</v>
      </c>
      <c r="D952">
        <v>7</v>
      </c>
      <c r="E952">
        <v>2022</v>
      </c>
      <c r="F952" s="1">
        <f t="shared" si="72"/>
        <v>44750</v>
      </c>
      <c r="G952" s="1" t="s">
        <v>683</v>
      </c>
      <c r="H952" s="2">
        <v>45428</v>
      </c>
      <c r="I952" t="s">
        <v>38</v>
      </c>
      <c r="J952">
        <v>7</v>
      </c>
      <c r="K952">
        <v>26231.31</v>
      </c>
      <c r="L952" t="s">
        <v>341</v>
      </c>
      <c r="M952">
        <v>58</v>
      </c>
      <c r="N952" t="s">
        <v>61</v>
      </c>
      <c r="O952" s="3" t="s">
        <v>22</v>
      </c>
      <c r="P952" t="s">
        <v>29</v>
      </c>
      <c r="Q952" t="s">
        <v>24</v>
      </c>
      <c r="R952">
        <v>5</v>
      </c>
      <c r="S952" t="s">
        <v>48</v>
      </c>
      <c r="T952" s="4">
        <f t="shared" si="73"/>
        <v>183619.17</v>
      </c>
      <c r="U952" s="4" t="str">
        <f t="shared" si="74"/>
        <v>Good</v>
      </c>
      <c r="V952" s="4" t="str">
        <f t="shared" si="75"/>
        <v>Good</v>
      </c>
      <c r="W952" s="4"/>
      <c r="X952" s="4"/>
      <c r="AJ952" s="4"/>
    </row>
    <row r="953" spans="1:36">
      <c r="A953" t="str">
        <f t="shared" si="71"/>
        <v>Tanu43952</v>
      </c>
      <c r="B953">
        <v>952</v>
      </c>
      <c r="C953">
        <v>8</v>
      </c>
      <c r="D953">
        <v>7</v>
      </c>
      <c r="E953">
        <v>2022</v>
      </c>
      <c r="F953" s="1">
        <f t="shared" si="72"/>
        <v>44750</v>
      </c>
      <c r="G953" s="1" t="s">
        <v>683</v>
      </c>
      <c r="H953" s="2">
        <v>45429</v>
      </c>
      <c r="I953" t="s">
        <v>38</v>
      </c>
      <c r="J953">
        <v>2</v>
      </c>
      <c r="K953">
        <v>58283.56</v>
      </c>
      <c r="L953" t="s">
        <v>693</v>
      </c>
      <c r="M953">
        <v>43</v>
      </c>
      <c r="N953" t="s">
        <v>21</v>
      </c>
      <c r="O953" s="3" t="s">
        <v>22</v>
      </c>
      <c r="P953" t="s">
        <v>114</v>
      </c>
      <c r="Q953" t="s">
        <v>56</v>
      </c>
      <c r="R953">
        <v>5</v>
      </c>
      <c r="S953" t="s">
        <v>48</v>
      </c>
      <c r="T953" s="4">
        <f t="shared" si="73"/>
        <v>116567.12</v>
      </c>
      <c r="U953" s="4" t="str">
        <f t="shared" si="74"/>
        <v>Good</v>
      </c>
      <c r="V953" s="4" t="str">
        <f t="shared" si="75"/>
        <v>Good</v>
      </c>
      <c r="W953" s="4"/>
      <c r="X953" s="4"/>
      <c r="AJ953" s="4"/>
    </row>
    <row r="954" spans="1:36">
      <c r="A954" t="str">
        <f t="shared" si="71"/>
        <v>Nami45953</v>
      </c>
      <c r="B954">
        <v>953</v>
      </c>
      <c r="C954">
        <v>8</v>
      </c>
      <c r="D954">
        <v>7</v>
      </c>
      <c r="E954">
        <v>2022</v>
      </c>
      <c r="F954" s="1">
        <f t="shared" si="72"/>
        <v>44750</v>
      </c>
      <c r="G954" s="1" t="s">
        <v>683</v>
      </c>
      <c r="H954" s="2">
        <v>45430</v>
      </c>
      <c r="I954" t="s">
        <v>26</v>
      </c>
      <c r="J954">
        <v>8</v>
      </c>
      <c r="K954">
        <v>46929.46</v>
      </c>
      <c r="L954" t="s">
        <v>694</v>
      </c>
      <c r="M954">
        <v>45</v>
      </c>
      <c r="N954" t="s">
        <v>21</v>
      </c>
      <c r="O954" s="3" t="s">
        <v>22</v>
      </c>
      <c r="P954" t="s">
        <v>29</v>
      </c>
      <c r="Q954" t="s">
        <v>24</v>
      </c>
      <c r="R954">
        <v>4</v>
      </c>
      <c r="S954" t="s">
        <v>34</v>
      </c>
      <c r="T954" s="4">
        <f t="shared" si="73"/>
        <v>375435.68</v>
      </c>
      <c r="U954" s="4" t="str">
        <f t="shared" si="74"/>
        <v>Good</v>
      </c>
      <c r="V954" s="4" t="str">
        <f t="shared" si="75"/>
        <v>Excellent</v>
      </c>
      <c r="W954" s="4"/>
      <c r="X954" s="4"/>
      <c r="AJ954" s="4"/>
    </row>
    <row r="955" spans="1:36">
      <c r="A955" t="str">
        <f t="shared" si="71"/>
        <v>Sumi21954</v>
      </c>
      <c r="B955">
        <v>954</v>
      </c>
      <c r="C955">
        <v>8</v>
      </c>
      <c r="D955">
        <v>7</v>
      </c>
      <c r="E955">
        <v>2022</v>
      </c>
      <c r="F955" s="1">
        <f t="shared" si="72"/>
        <v>44750</v>
      </c>
      <c r="G955" s="1" t="s">
        <v>683</v>
      </c>
      <c r="H955" s="2">
        <v>45431</v>
      </c>
      <c r="I955" t="s">
        <v>26</v>
      </c>
      <c r="J955">
        <v>3</v>
      </c>
      <c r="K955">
        <v>55226.84</v>
      </c>
      <c r="L955" t="s">
        <v>695</v>
      </c>
      <c r="M955">
        <v>21</v>
      </c>
      <c r="N955" t="s">
        <v>36</v>
      </c>
      <c r="O955" s="3" t="s">
        <v>22</v>
      </c>
      <c r="P955" t="s">
        <v>51</v>
      </c>
      <c r="Q955" t="s">
        <v>24</v>
      </c>
      <c r="R955">
        <v>5</v>
      </c>
      <c r="S955" t="s">
        <v>34</v>
      </c>
      <c r="T955" s="4">
        <f t="shared" si="73"/>
        <v>165680.51999999999</v>
      </c>
      <c r="U955" s="4" t="str">
        <f t="shared" si="74"/>
        <v>Good</v>
      </c>
      <c r="V955" s="4" t="str">
        <f t="shared" si="75"/>
        <v>Good</v>
      </c>
      <c r="W955" s="4"/>
      <c r="X955" s="4"/>
      <c r="AJ955" s="4"/>
    </row>
    <row r="956" spans="1:36">
      <c r="A956" t="str">
        <f t="shared" si="71"/>
        <v>Ravi48955</v>
      </c>
      <c r="B956">
        <v>955</v>
      </c>
      <c r="C956">
        <v>9</v>
      </c>
      <c r="D956">
        <v>7</v>
      </c>
      <c r="E956">
        <v>2022</v>
      </c>
      <c r="F956" s="1">
        <f t="shared" si="72"/>
        <v>44751</v>
      </c>
      <c r="G956" s="1" t="s">
        <v>683</v>
      </c>
      <c r="H956" s="2">
        <v>45432</v>
      </c>
      <c r="I956" t="s">
        <v>38</v>
      </c>
      <c r="J956">
        <v>8</v>
      </c>
      <c r="K956">
        <v>36832.82</v>
      </c>
      <c r="L956" t="s">
        <v>696</v>
      </c>
      <c r="M956">
        <v>48</v>
      </c>
      <c r="N956" t="s">
        <v>61</v>
      </c>
      <c r="O956" s="3" t="s">
        <v>28</v>
      </c>
      <c r="P956" t="s">
        <v>33</v>
      </c>
      <c r="Q956" t="s">
        <v>30</v>
      </c>
      <c r="R956">
        <v>3</v>
      </c>
      <c r="S956" t="s">
        <v>48</v>
      </c>
      <c r="T956" s="4">
        <f t="shared" si="73"/>
        <v>294662.56</v>
      </c>
      <c r="U956" s="4" t="str">
        <f t="shared" si="74"/>
        <v>Average</v>
      </c>
      <c r="V956" s="4" t="str">
        <f t="shared" si="75"/>
        <v>Excellent</v>
      </c>
      <c r="W956" s="4"/>
      <c r="X956" s="4"/>
      <c r="AJ956" s="4"/>
    </row>
    <row r="957" spans="1:36">
      <c r="A957" t="str">
        <f t="shared" si="71"/>
        <v>Roha33956</v>
      </c>
      <c r="B957">
        <v>956</v>
      </c>
      <c r="C957">
        <v>9</v>
      </c>
      <c r="D957">
        <v>7</v>
      </c>
      <c r="E957">
        <v>2022</v>
      </c>
      <c r="F957" s="1">
        <f t="shared" si="72"/>
        <v>44751</v>
      </c>
      <c r="G957" s="1" t="s">
        <v>683</v>
      </c>
      <c r="H957" s="2">
        <v>45433</v>
      </c>
      <c r="I957" t="s">
        <v>38</v>
      </c>
      <c r="J957">
        <v>3</v>
      </c>
      <c r="K957">
        <v>28583.75</v>
      </c>
      <c r="L957" t="s">
        <v>502</v>
      </c>
      <c r="M957">
        <v>33</v>
      </c>
      <c r="N957" t="s">
        <v>21</v>
      </c>
      <c r="O957" s="3" t="s">
        <v>55</v>
      </c>
      <c r="P957" t="s">
        <v>59</v>
      </c>
      <c r="Q957" t="s">
        <v>30</v>
      </c>
      <c r="R957">
        <v>2</v>
      </c>
      <c r="S957" t="s">
        <v>42</v>
      </c>
      <c r="T957" s="4">
        <f t="shared" si="73"/>
        <v>85751.25</v>
      </c>
      <c r="U957" s="4" t="str">
        <f t="shared" si="74"/>
        <v>Average</v>
      </c>
      <c r="V957" s="4" t="str">
        <f t="shared" si="75"/>
        <v>Average</v>
      </c>
      <c r="W957" s="4"/>
      <c r="X957" s="4"/>
      <c r="AJ957" s="4"/>
    </row>
    <row r="958" spans="1:36">
      <c r="A958" t="str">
        <f t="shared" si="71"/>
        <v>Roha27957</v>
      </c>
      <c r="B958">
        <v>957</v>
      </c>
      <c r="C958">
        <v>9</v>
      </c>
      <c r="D958">
        <v>7</v>
      </c>
      <c r="E958">
        <v>2022</v>
      </c>
      <c r="F958" s="1">
        <f t="shared" si="72"/>
        <v>44751</v>
      </c>
      <c r="G958" s="1" t="s">
        <v>683</v>
      </c>
      <c r="H958" s="2">
        <v>45434</v>
      </c>
      <c r="I958" t="s">
        <v>19</v>
      </c>
      <c r="J958">
        <v>7</v>
      </c>
      <c r="K958">
        <v>38968.61</v>
      </c>
      <c r="L958" t="s">
        <v>350</v>
      </c>
      <c r="M958">
        <v>27</v>
      </c>
      <c r="N958" t="s">
        <v>36</v>
      </c>
      <c r="O958" s="3" t="s">
        <v>22</v>
      </c>
      <c r="P958" t="s">
        <v>137</v>
      </c>
      <c r="Q958" t="s">
        <v>41</v>
      </c>
      <c r="R958">
        <v>4</v>
      </c>
      <c r="S958" t="s">
        <v>25</v>
      </c>
      <c r="T958" s="4">
        <f t="shared" si="73"/>
        <v>272780.27</v>
      </c>
      <c r="U958" s="4" t="str">
        <f t="shared" si="74"/>
        <v>Good</v>
      </c>
      <c r="V958" s="4" t="str">
        <f t="shared" si="75"/>
        <v>Excellent</v>
      </c>
      <c r="W958" s="4"/>
      <c r="X958" s="4"/>
      <c r="AJ958" s="4"/>
    </row>
    <row r="959" spans="1:36">
      <c r="A959" t="str">
        <f t="shared" si="71"/>
        <v>Nami55958</v>
      </c>
      <c r="B959">
        <v>958</v>
      </c>
      <c r="C959">
        <v>9</v>
      </c>
      <c r="D959">
        <v>7</v>
      </c>
      <c r="E959">
        <v>2022</v>
      </c>
      <c r="F959" s="1">
        <f t="shared" si="72"/>
        <v>44751</v>
      </c>
      <c r="G959" s="1" t="s">
        <v>683</v>
      </c>
      <c r="H959" s="2">
        <v>45435</v>
      </c>
      <c r="I959" t="s">
        <v>19</v>
      </c>
      <c r="J959">
        <v>2</v>
      </c>
      <c r="K959">
        <v>29384.26</v>
      </c>
      <c r="L959" t="s">
        <v>697</v>
      </c>
      <c r="M959">
        <v>55</v>
      </c>
      <c r="N959" t="s">
        <v>61</v>
      </c>
      <c r="O959" s="3" t="s">
        <v>28</v>
      </c>
      <c r="P959" t="s">
        <v>51</v>
      </c>
      <c r="Q959" t="s">
        <v>56</v>
      </c>
      <c r="R959">
        <v>3</v>
      </c>
      <c r="S959" t="s">
        <v>84</v>
      </c>
      <c r="T959" s="4">
        <f t="shared" si="73"/>
        <v>58768.52</v>
      </c>
      <c r="U959" s="4" t="str">
        <f t="shared" si="74"/>
        <v>Average</v>
      </c>
      <c r="V959" s="4" t="str">
        <f t="shared" si="75"/>
        <v>Average</v>
      </c>
      <c r="W959" s="4"/>
      <c r="X959" s="4"/>
      <c r="AJ959" s="4"/>
    </row>
    <row r="960" spans="1:36">
      <c r="A960" t="str">
        <f t="shared" si="71"/>
        <v>Tanu27959</v>
      </c>
      <c r="B960">
        <v>959</v>
      </c>
      <c r="C960">
        <v>10</v>
      </c>
      <c r="D960">
        <v>7</v>
      </c>
      <c r="E960">
        <v>2022</v>
      </c>
      <c r="F960" s="1">
        <f t="shared" si="72"/>
        <v>44752</v>
      </c>
      <c r="G960" s="1" t="s">
        <v>683</v>
      </c>
      <c r="H960" s="2">
        <v>45436</v>
      </c>
      <c r="I960" t="s">
        <v>26</v>
      </c>
      <c r="J960">
        <v>4</v>
      </c>
      <c r="K960">
        <v>60338.27</v>
      </c>
      <c r="L960" t="s">
        <v>654</v>
      </c>
      <c r="M960">
        <v>27</v>
      </c>
      <c r="N960" t="s">
        <v>36</v>
      </c>
      <c r="O960" s="3" t="s">
        <v>22</v>
      </c>
      <c r="P960" t="s">
        <v>117</v>
      </c>
      <c r="Q960" t="s">
        <v>41</v>
      </c>
      <c r="R960">
        <v>5</v>
      </c>
      <c r="S960" t="s">
        <v>34</v>
      </c>
      <c r="T960" s="4">
        <f t="shared" si="73"/>
        <v>241353.08</v>
      </c>
      <c r="U960" s="4" t="str">
        <f t="shared" si="74"/>
        <v>Good</v>
      </c>
      <c r="V960" s="4" t="str">
        <f t="shared" si="75"/>
        <v>Excellent</v>
      </c>
      <c r="W960" s="4"/>
      <c r="X960" s="4"/>
      <c r="AJ960" s="4"/>
    </row>
    <row r="961" spans="1:36">
      <c r="A961" t="str">
        <f t="shared" si="71"/>
        <v>Raje26960</v>
      </c>
      <c r="B961">
        <v>960</v>
      </c>
      <c r="C961">
        <v>10</v>
      </c>
      <c r="D961">
        <v>7</v>
      </c>
      <c r="E961">
        <v>2022</v>
      </c>
      <c r="F961" s="1">
        <f t="shared" si="72"/>
        <v>44752</v>
      </c>
      <c r="G961" s="1" t="s">
        <v>683</v>
      </c>
      <c r="H961" s="2">
        <v>45437</v>
      </c>
      <c r="I961" t="s">
        <v>43</v>
      </c>
      <c r="J961">
        <v>6</v>
      </c>
      <c r="K961">
        <v>27860.42</v>
      </c>
      <c r="L961" t="s">
        <v>323</v>
      </c>
      <c r="M961">
        <v>26</v>
      </c>
      <c r="N961" t="s">
        <v>36</v>
      </c>
      <c r="O961" s="3" t="s">
        <v>28</v>
      </c>
      <c r="P961" t="s">
        <v>33</v>
      </c>
      <c r="Q961" t="s">
        <v>30</v>
      </c>
      <c r="R961">
        <v>3</v>
      </c>
      <c r="S961" t="s">
        <v>95</v>
      </c>
      <c r="T961" s="4">
        <f t="shared" si="73"/>
        <v>167162.51999999999</v>
      </c>
      <c r="U961" s="4" t="str">
        <f t="shared" si="74"/>
        <v>Average</v>
      </c>
      <c r="V961" s="4" t="str">
        <f t="shared" si="75"/>
        <v>Good</v>
      </c>
      <c r="W961" s="4"/>
      <c r="X961" s="4"/>
      <c r="AJ961" s="4"/>
    </row>
    <row r="962" spans="1:36">
      <c r="A962" t="str">
        <f t="shared" ref="A962:A1025" si="76">LEFT(L962,4)&amp;M962&amp;B962</f>
        <v>Lali56961</v>
      </c>
      <c r="B962">
        <v>961</v>
      </c>
      <c r="C962">
        <v>10</v>
      </c>
      <c r="D962">
        <v>7</v>
      </c>
      <c r="E962">
        <v>2022</v>
      </c>
      <c r="F962" s="1">
        <f t="shared" si="72"/>
        <v>44752</v>
      </c>
      <c r="G962" s="1" t="s">
        <v>683</v>
      </c>
      <c r="H962" s="2">
        <v>45438</v>
      </c>
      <c r="I962" t="s">
        <v>38</v>
      </c>
      <c r="J962">
        <v>9</v>
      </c>
      <c r="K962">
        <v>49585.82</v>
      </c>
      <c r="L962" t="s">
        <v>698</v>
      </c>
      <c r="M962">
        <v>56</v>
      </c>
      <c r="N962" t="s">
        <v>61</v>
      </c>
      <c r="O962" s="3" t="s">
        <v>55</v>
      </c>
      <c r="P962" t="s">
        <v>66</v>
      </c>
      <c r="Q962" t="s">
        <v>41</v>
      </c>
      <c r="R962">
        <v>2</v>
      </c>
      <c r="S962" t="s">
        <v>48</v>
      </c>
      <c r="T962" s="4">
        <f t="shared" si="73"/>
        <v>446272.38</v>
      </c>
      <c r="U962" s="4" t="str">
        <f t="shared" si="74"/>
        <v>Average</v>
      </c>
      <c r="V962" s="4" t="str">
        <f t="shared" si="75"/>
        <v>Excellent</v>
      </c>
      <c r="W962" s="4"/>
      <c r="X962" s="4"/>
      <c r="AJ962" s="4"/>
    </row>
    <row r="963" spans="1:36">
      <c r="A963" t="str">
        <f t="shared" si="76"/>
        <v>Rame53962</v>
      </c>
      <c r="B963">
        <v>962</v>
      </c>
      <c r="C963">
        <v>11</v>
      </c>
      <c r="D963">
        <v>7</v>
      </c>
      <c r="E963">
        <v>2022</v>
      </c>
      <c r="F963" s="1">
        <f t="shared" ref="F963:F1026" si="77">DATE(E963,D963,C963)</f>
        <v>44753</v>
      </c>
      <c r="G963" s="1" t="s">
        <v>683</v>
      </c>
      <c r="H963" s="2">
        <v>45439</v>
      </c>
      <c r="I963" t="s">
        <v>19</v>
      </c>
      <c r="J963">
        <v>5</v>
      </c>
      <c r="K963">
        <v>18218.93</v>
      </c>
      <c r="L963" t="s">
        <v>699</v>
      </c>
      <c r="M963">
        <v>53</v>
      </c>
      <c r="N963" t="s">
        <v>61</v>
      </c>
      <c r="O963" s="3" t="s">
        <v>28</v>
      </c>
      <c r="P963" t="s">
        <v>137</v>
      </c>
      <c r="Q963" t="s">
        <v>24</v>
      </c>
      <c r="R963">
        <v>3</v>
      </c>
      <c r="S963" t="s">
        <v>37</v>
      </c>
      <c r="T963" s="4">
        <f t="shared" ref="T963:T1026" si="78">J963*K963</f>
        <v>91094.65</v>
      </c>
      <c r="U963" s="4" t="str">
        <f t="shared" ref="U963:U1026" si="79">IF(R963&gt;=4,"Good","Average")</f>
        <v>Average</v>
      </c>
      <c r="V963" s="4" t="str">
        <f t="shared" ref="V963:V1026" si="80">IF(T963&gt;200000,"Excellent",IF(T963&gt;100000,"Good",IF(T963&gt;50000,"Average","Low")))</f>
        <v>Average</v>
      </c>
      <c r="W963" s="4"/>
      <c r="X963" s="4"/>
      <c r="AJ963" s="4"/>
    </row>
    <row r="964" spans="1:36">
      <c r="A964" t="str">
        <f t="shared" si="76"/>
        <v>Sanj53963</v>
      </c>
      <c r="B964">
        <v>963</v>
      </c>
      <c r="C964">
        <v>11</v>
      </c>
      <c r="D964">
        <v>7</v>
      </c>
      <c r="E964">
        <v>2022</v>
      </c>
      <c r="F964" s="1">
        <f t="shared" si="77"/>
        <v>44753</v>
      </c>
      <c r="G964" s="1" t="s">
        <v>683</v>
      </c>
      <c r="H964" s="2">
        <v>45440</v>
      </c>
      <c r="I964" t="s">
        <v>26</v>
      </c>
      <c r="J964">
        <v>9</v>
      </c>
      <c r="K964">
        <v>51211.99</v>
      </c>
      <c r="L964" t="s">
        <v>700</v>
      </c>
      <c r="M964">
        <v>53</v>
      </c>
      <c r="N964" t="s">
        <v>61</v>
      </c>
      <c r="O964" s="3" t="s">
        <v>55</v>
      </c>
      <c r="P964" t="s">
        <v>40</v>
      </c>
      <c r="Q964" t="s">
        <v>24</v>
      </c>
      <c r="R964">
        <v>2</v>
      </c>
      <c r="S964" t="s">
        <v>67</v>
      </c>
      <c r="T964" s="4">
        <f t="shared" si="78"/>
        <v>460907.91</v>
      </c>
      <c r="U964" s="4" t="str">
        <f t="shared" si="79"/>
        <v>Average</v>
      </c>
      <c r="V964" s="4" t="str">
        <f t="shared" si="80"/>
        <v>Excellent</v>
      </c>
      <c r="W964" s="4"/>
      <c r="X964" s="4"/>
      <c r="AJ964" s="4"/>
    </row>
    <row r="965" spans="1:36">
      <c r="A965" t="str">
        <f t="shared" si="76"/>
        <v>Kris36964</v>
      </c>
      <c r="B965">
        <v>964</v>
      </c>
      <c r="C965">
        <v>11</v>
      </c>
      <c r="D965">
        <v>7</v>
      </c>
      <c r="E965">
        <v>2022</v>
      </c>
      <c r="F965" s="1">
        <f t="shared" si="77"/>
        <v>44753</v>
      </c>
      <c r="G965" s="1" t="s">
        <v>683</v>
      </c>
      <c r="H965" s="2">
        <v>45441</v>
      </c>
      <c r="I965" t="s">
        <v>19</v>
      </c>
      <c r="J965">
        <v>5</v>
      </c>
      <c r="K965">
        <v>64797.98</v>
      </c>
      <c r="L965" t="s">
        <v>116</v>
      </c>
      <c r="M965">
        <v>36</v>
      </c>
      <c r="N965" t="s">
        <v>21</v>
      </c>
      <c r="O965" s="3" t="s">
        <v>55</v>
      </c>
      <c r="P965" t="s">
        <v>114</v>
      </c>
      <c r="Q965" t="s">
        <v>30</v>
      </c>
      <c r="R965">
        <v>2</v>
      </c>
      <c r="S965" t="s">
        <v>37</v>
      </c>
      <c r="T965" s="4">
        <f t="shared" si="78"/>
        <v>323989.90000000002</v>
      </c>
      <c r="U965" s="4" t="str">
        <f t="shared" si="79"/>
        <v>Average</v>
      </c>
      <c r="V965" s="4" t="str">
        <f t="shared" si="80"/>
        <v>Excellent</v>
      </c>
      <c r="W965" s="4"/>
      <c r="X965" s="4"/>
      <c r="AJ965" s="4"/>
    </row>
    <row r="966" spans="1:36">
      <c r="A966" t="str">
        <f t="shared" si="76"/>
        <v>Vino36965</v>
      </c>
      <c r="B966">
        <v>965</v>
      </c>
      <c r="C966">
        <v>11</v>
      </c>
      <c r="D966">
        <v>7</v>
      </c>
      <c r="E966">
        <v>2022</v>
      </c>
      <c r="F966" s="1">
        <f t="shared" si="77"/>
        <v>44753</v>
      </c>
      <c r="G966" s="1" t="s">
        <v>683</v>
      </c>
      <c r="H966" s="2">
        <v>45442</v>
      </c>
      <c r="I966" t="s">
        <v>38</v>
      </c>
      <c r="J966">
        <v>8</v>
      </c>
      <c r="K966">
        <v>46514.99</v>
      </c>
      <c r="L966" t="s">
        <v>398</v>
      </c>
      <c r="M966">
        <v>36</v>
      </c>
      <c r="N966" t="s">
        <v>21</v>
      </c>
      <c r="O966" s="3" t="s">
        <v>55</v>
      </c>
      <c r="P966" t="s">
        <v>59</v>
      </c>
      <c r="Q966" t="s">
        <v>24</v>
      </c>
      <c r="R966">
        <v>2</v>
      </c>
      <c r="S966" t="s">
        <v>42</v>
      </c>
      <c r="T966" s="4">
        <f t="shared" si="78"/>
        <v>372119.92</v>
      </c>
      <c r="U966" s="4" t="str">
        <f t="shared" si="79"/>
        <v>Average</v>
      </c>
      <c r="V966" s="4" t="str">
        <f t="shared" si="80"/>
        <v>Excellent</v>
      </c>
      <c r="W966" s="4"/>
      <c r="X966" s="4"/>
      <c r="AJ966" s="4"/>
    </row>
    <row r="967" spans="1:36">
      <c r="A967" t="str">
        <f t="shared" si="76"/>
        <v>Kira29966</v>
      </c>
      <c r="B967">
        <v>966</v>
      </c>
      <c r="C967">
        <v>12</v>
      </c>
      <c r="D967">
        <v>7</v>
      </c>
      <c r="E967">
        <v>2022</v>
      </c>
      <c r="F967" s="1">
        <f t="shared" si="77"/>
        <v>44754</v>
      </c>
      <c r="G967" s="1" t="s">
        <v>683</v>
      </c>
      <c r="H967" s="2">
        <v>45443</v>
      </c>
      <c r="I967" t="s">
        <v>38</v>
      </c>
      <c r="J967">
        <v>1</v>
      </c>
      <c r="K967">
        <v>43591.32</v>
      </c>
      <c r="L967" t="s">
        <v>302</v>
      </c>
      <c r="M967">
        <v>29</v>
      </c>
      <c r="N967" t="s">
        <v>36</v>
      </c>
      <c r="O967" s="3" t="s">
        <v>28</v>
      </c>
      <c r="P967" t="s">
        <v>90</v>
      </c>
      <c r="Q967" t="s">
        <v>56</v>
      </c>
      <c r="R967">
        <v>3</v>
      </c>
      <c r="S967" t="s">
        <v>42</v>
      </c>
      <c r="T967" s="4">
        <f t="shared" si="78"/>
        <v>43591.32</v>
      </c>
      <c r="U967" s="4" t="str">
        <f t="shared" si="79"/>
        <v>Average</v>
      </c>
      <c r="V967" s="4" t="str">
        <f t="shared" si="80"/>
        <v>Low</v>
      </c>
      <c r="W967" s="4"/>
      <c r="X967" s="4"/>
      <c r="AJ967" s="4"/>
    </row>
    <row r="968" spans="1:36">
      <c r="A968" t="str">
        <f t="shared" si="76"/>
        <v>Anit30967</v>
      </c>
      <c r="B968">
        <v>967</v>
      </c>
      <c r="C968">
        <v>12</v>
      </c>
      <c r="D968">
        <v>7</v>
      </c>
      <c r="E968">
        <v>2022</v>
      </c>
      <c r="F968" s="1">
        <f t="shared" si="77"/>
        <v>44754</v>
      </c>
      <c r="G968" s="1" t="s">
        <v>683</v>
      </c>
      <c r="H968" s="2">
        <v>45444</v>
      </c>
      <c r="I968" t="s">
        <v>49</v>
      </c>
      <c r="J968">
        <v>7</v>
      </c>
      <c r="K968">
        <v>67667.100000000006</v>
      </c>
      <c r="L968" t="s">
        <v>327</v>
      </c>
      <c r="M968">
        <v>30</v>
      </c>
      <c r="N968" t="s">
        <v>36</v>
      </c>
      <c r="O968" s="3" t="s">
        <v>22</v>
      </c>
      <c r="P968" t="s">
        <v>59</v>
      </c>
      <c r="Q968" t="s">
        <v>30</v>
      </c>
      <c r="R968">
        <v>5</v>
      </c>
      <c r="S968" t="s">
        <v>52</v>
      </c>
      <c r="T968" s="4">
        <f t="shared" si="78"/>
        <v>473669.70000000007</v>
      </c>
      <c r="U968" s="4" t="str">
        <f t="shared" si="79"/>
        <v>Good</v>
      </c>
      <c r="V968" s="4" t="str">
        <f t="shared" si="80"/>
        <v>Excellent</v>
      </c>
      <c r="W968" s="4"/>
      <c r="X968" s="4"/>
      <c r="AJ968" s="4"/>
    </row>
    <row r="969" spans="1:36">
      <c r="A969" t="str">
        <f t="shared" si="76"/>
        <v>Radh42968</v>
      </c>
      <c r="B969">
        <v>968</v>
      </c>
      <c r="C969">
        <v>12</v>
      </c>
      <c r="D969">
        <v>7</v>
      </c>
      <c r="E969">
        <v>2022</v>
      </c>
      <c r="F969" s="1">
        <f t="shared" si="77"/>
        <v>44754</v>
      </c>
      <c r="G969" s="1" t="s">
        <v>683</v>
      </c>
      <c r="H969" s="2">
        <v>45445</v>
      </c>
      <c r="I969" t="s">
        <v>43</v>
      </c>
      <c r="J969">
        <v>4</v>
      </c>
      <c r="K969">
        <v>47643.79</v>
      </c>
      <c r="L969" t="s">
        <v>328</v>
      </c>
      <c r="M969">
        <v>42</v>
      </c>
      <c r="N969" t="s">
        <v>21</v>
      </c>
      <c r="O969" s="3" t="s">
        <v>22</v>
      </c>
      <c r="P969" t="s">
        <v>33</v>
      </c>
      <c r="Q969" t="s">
        <v>56</v>
      </c>
      <c r="R969">
        <v>5</v>
      </c>
      <c r="S969" t="s">
        <v>95</v>
      </c>
      <c r="T969" s="4">
        <f t="shared" si="78"/>
        <v>190575.16</v>
      </c>
      <c r="U969" s="4" t="str">
        <f t="shared" si="79"/>
        <v>Good</v>
      </c>
      <c r="V969" s="4" t="str">
        <f t="shared" si="80"/>
        <v>Good</v>
      </c>
      <c r="W969" s="4"/>
      <c r="X969" s="4"/>
      <c r="AJ969" s="4"/>
    </row>
    <row r="970" spans="1:36">
      <c r="A970" t="str">
        <f t="shared" si="76"/>
        <v>Nami53969</v>
      </c>
      <c r="B970">
        <v>969</v>
      </c>
      <c r="C970">
        <v>13</v>
      </c>
      <c r="D970">
        <v>7</v>
      </c>
      <c r="E970">
        <v>2022</v>
      </c>
      <c r="F970" s="1">
        <f t="shared" si="77"/>
        <v>44755</v>
      </c>
      <c r="G970" s="1" t="s">
        <v>683</v>
      </c>
      <c r="H970" s="2">
        <v>45446</v>
      </c>
      <c r="I970" t="s">
        <v>49</v>
      </c>
      <c r="J970">
        <v>5</v>
      </c>
      <c r="K970">
        <v>25573.03</v>
      </c>
      <c r="L970" t="s">
        <v>694</v>
      </c>
      <c r="M970">
        <v>53</v>
      </c>
      <c r="N970" t="s">
        <v>61</v>
      </c>
      <c r="O970" s="3" t="s">
        <v>22</v>
      </c>
      <c r="P970" t="s">
        <v>114</v>
      </c>
      <c r="Q970" t="s">
        <v>30</v>
      </c>
      <c r="R970">
        <v>5</v>
      </c>
      <c r="S970" t="s">
        <v>52</v>
      </c>
      <c r="T970" s="4">
        <f t="shared" si="78"/>
        <v>127865.15</v>
      </c>
      <c r="U970" s="4" t="str">
        <f t="shared" si="79"/>
        <v>Good</v>
      </c>
      <c r="V970" s="4" t="str">
        <f t="shared" si="80"/>
        <v>Good</v>
      </c>
      <c r="W970" s="4"/>
      <c r="X970" s="4"/>
      <c r="AJ970" s="4"/>
    </row>
    <row r="971" spans="1:36">
      <c r="A971" t="str">
        <f t="shared" si="76"/>
        <v>Navi42970</v>
      </c>
      <c r="B971">
        <v>970</v>
      </c>
      <c r="C971">
        <v>13</v>
      </c>
      <c r="D971">
        <v>7</v>
      </c>
      <c r="E971">
        <v>2022</v>
      </c>
      <c r="F971" s="1">
        <f t="shared" si="77"/>
        <v>44755</v>
      </c>
      <c r="G971" s="1" t="s">
        <v>683</v>
      </c>
      <c r="H971" s="2">
        <v>45447</v>
      </c>
      <c r="I971" t="s">
        <v>26</v>
      </c>
      <c r="J971">
        <v>6</v>
      </c>
      <c r="K971">
        <v>27543.46</v>
      </c>
      <c r="L971" t="s">
        <v>582</v>
      </c>
      <c r="M971">
        <v>42</v>
      </c>
      <c r="N971" t="s">
        <v>21</v>
      </c>
      <c r="O971" s="3" t="s">
        <v>28</v>
      </c>
      <c r="P971" t="s">
        <v>29</v>
      </c>
      <c r="Q971" t="s">
        <v>30</v>
      </c>
      <c r="R971">
        <v>3</v>
      </c>
      <c r="S971" t="s">
        <v>67</v>
      </c>
      <c r="T971" s="4">
        <f t="shared" si="78"/>
        <v>165260.76</v>
      </c>
      <c r="U971" s="4" t="str">
        <f t="shared" si="79"/>
        <v>Average</v>
      </c>
      <c r="V971" s="4" t="str">
        <f t="shared" si="80"/>
        <v>Good</v>
      </c>
      <c r="W971" s="4"/>
      <c r="X971" s="4"/>
      <c r="AJ971" s="4"/>
    </row>
    <row r="972" spans="1:36">
      <c r="A972" t="str">
        <f t="shared" si="76"/>
        <v>Rame45971</v>
      </c>
      <c r="B972">
        <v>971</v>
      </c>
      <c r="C972">
        <v>13</v>
      </c>
      <c r="D972">
        <v>7</v>
      </c>
      <c r="E972">
        <v>2022</v>
      </c>
      <c r="F972" s="1">
        <f t="shared" si="77"/>
        <v>44755</v>
      </c>
      <c r="G972" s="1" t="s">
        <v>683</v>
      </c>
      <c r="H972" s="2">
        <v>45448</v>
      </c>
      <c r="I972" t="s">
        <v>19</v>
      </c>
      <c r="J972">
        <v>5</v>
      </c>
      <c r="K972">
        <v>52318.400000000001</v>
      </c>
      <c r="L972" t="s">
        <v>701</v>
      </c>
      <c r="M972">
        <v>45</v>
      </c>
      <c r="N972" t="s">
        <v>21</v>
      </c>
      <c r="O972" s="3" t="s">
        <v>22</v>
      </c>
      <c r="P972" t="s">
        <v>33</v>
      </c>
      <c r="Q972" t="s">
        <v>24</v>
      </c>
      <c r="R972">
        <v>5</v>
      </c>
      <c r="S972" t="s">
        <v>25</v>
      </c>
      <c r="T972" s="4">
        <f t="shared" si="78"/>
        <v>261592</v>
      </c>
      <c r="U972" s="4" t="str">
        <f t="shared" si="79"/>
        <v>Good</v>
      </c>
      <c r="V972" s="4" t="str">
        <f t="shared" si="80"/>
        <v>Excellent</v>
      </c>
      <c r="W972" s="4"/>
      <c r="X972" s="4"/>
      <c r="AJ972" s="4"/>
    </row>
    <row r="973" spans="1:36">
      <c r="A973" t="str">
        <f t="shared" si="76"/>
        <v>Deve59972</v>
      </c>
      <c r="B973">
        <v>972</v>
      </c>
      <c r="C973">
        <v>13</v>
      </c>
      <c r="D973">
        <v>7</v>
      </c>
      <c r="E973">
        <v>2022</v>
      </c>
      <c r="F973" s="1">
        <f t="shared" si="77"/>
        <v>44755</v>
      </c>
      <c r="G973" s="1" t="s">
        <v>683</v>
      </c>
      <c r="H973" s="2">
        <v>45449</v>
      </c>
      <c r="I973" t="s">
        <v>26</v>
      </c>
      <c r="J973">
        <v>1</v>
      </c>
      <c r="K973">
        <v>54126.2</v>
      </c>
      <c r="L973" t="s">
        <v>702</v>
      </c>
      <c r="M973">
        <v>59</v>
      </c>
      <c r="N973" t="s">
        <v>61</v>
      </c>
      <c r="O973" s="3" t="s">
        <v>22</v>
      </c>
      <c r="P973" t="s">
        <v>23</v>
      </c>
      <c r="Q973" t="s">
        <v>30</v>
      </c>
      <c r="R973">
        <v>5</v>
      </c>
      <c r="S973" t="s">
        <v>34</v>
      </c>
      <c r="T973" s="4">
        <f t="shared" si="78"/>
        <v>54126.2</v>
      </c>
      <c r="U973" s="4" t="str">
        <f t="shared" si="79"/>
        <v>Good</v>
      </c>
      <c r="V973" s="4" t="str">
        <f t="shared" si="80"/>
        <v>Average</v>
      </c>
      <c r="W973" s="4"/>
      <c r="X973" s="4"/>
      <c r="AJ973" s="4"/>
    </row>
    <row r="974" spans="1:36">
      <c r="A974" t="str">
        <f t="shared" si="76"/>
        <v>Bhav56973</v>
      </c>
      <c r="B974">
        <v>973</v>
      </c>
      <c r="C974">
        <v>14</v>
      </c>
      <c r="D974">
        <v>7</v>
      </c>
      <c r="E974">
        <v>2022</v>
      </c>
      <c r="F974" s="1">
        <f t="shared" si="77"/>
        <v>44756</v>
      </c>
      <c r="G974" s="1" t="s">
        <v>683</v>
      </c>
      <c r="H974" s="2">
        <v>45450</v>
      </c>
      <c r="I974" t="s">
        <v>38</v>
      </c>
      <c r="J974">
        <v>9</v>
      </c>
      <c r="K974">
        <v>28209.77</v>
      </c>
      <c r="L974" t="s">
        <v>562</v>
      </c>
      <c r="M974">
        <v>56</v>
      </c>
      <c r="N974" t="s">
        <v>61</v>
      </c>
      <c r="O974" s="3" t="s">
        <v>55</v>
      </c>
      <c r="P974" t="s">
        <v>29</v>
      </c>
      <c r="Q974" t="s">
        <v>30</v>
      </c>
      <c r="R974">
        <v>2</v>
      </c>
      <c r="S974" t="s">
        <v>48</v>
      </c>
      <c r="T974" s="4">
        <f t="shared" si="78"/>
        <v>253887.93</v>
      </c>
      <c r="U974" s="4" t="str">
        <f t="shared" si="79"/>
        <v>Average</v>
      </c>
      <c r="V974" s="4" t="str">
        <f t="shared" si="80"/>
        <v>Excellent</v>
      </c>
      <c r="W974" s="4"/>
      <c r="X974" s="4"/>
      <c r="AJ974" s="4"/>
    </row>
    <row r="975" spans="1:36">
      <c r="A975" t="str">
        <f t="shared" si="76"/>
        <v>Yoge47974</v>
      </c>
      <c r="B975">
        <v>974</v>
      </c>
      <c r="C975">
        <v>14</v>
      </c>
      <c r="D975">
        <v>7</v>
      </c>
      <c r="E975">
        <v>2022</v>
      </c>
      <c r="F975" s="1">
        <f t="shared" si="77"/>
        <v>44756</v>
      </c>
      <c r="G975" s="1" t="s">
        <v>683</v>
      </c>
      <c r="H975" s="2">
        <v>45451</v>
      </c>
      <c r="I975" t="s">
        <v>49</v>
      </c>
      <c r="J975">
        <v>2</v>
      </c>
      <c r="K975">
        <v>30720.639999999999</v>
      </c>
      <c r="L975" t="s">
        <v>518</v>
      </c>
      <c r="M975">
        <v>47</v>
      </c>
      <c r="N975" t="s">
        <v>61</v>
      </c>
      <c r="O975" s="3" t="s">
        <v>28</v>
      </c>
      <c r="P975" t="s">
        <v>64</v>
      </c>
      <c r="Q975" t="s">
        <v>41</v>
      </c>
      <c r="R975">
        <v>3</v>
      </c>
      <c r="S975" t="s">
        <v>88</v>
      </c>
      <c r="T975" s="4">
        <f t="shared" si="78"/>
        <v>61441.279999999999</v>
      </c>
      <c r="U975" s="4" t="str">
        <f t="shared" si="79"/>
        <v>Average</v>
      </c>
      <c r="V975" s="4" t="str">
        <f t="shared" si="80"/>
        <v>Average</v>
      </c>
      <c r="W975" s="4"/>
      <c r="X975" s="4"/>
      <c r="AJ975" s="4"/>
    </row>
    <row r="976" spans="1:36">
      <c r="A976" t="str">
        <f t="shared" si="76"/>
        <v>Kavi22975</v>
      </c>
      <c r="B976">
        <v>975</v>
      </c>
      <c r="C976">
        <v>14</v>
      </c>
      <c r="D976">
        <v>7</v>
      </c>
      <c r="E976">
        <v>2022</v>
      </c>
      <c r="F976" s="1">
        <f t="shared" si="77"/>
        <v>44756</v>
      </c>
      <c r="G976" s="1" t="s">
        <v>683</v>
      </c>
      <c r="H976" s="2">
        <v>45452</v>
      </c>
      <c r="I976" t="s">
        <v>49</v>
      </c>
      <c r="J976">
        <v>9</v>
      </c>
      <c r="K976">
        <v>69463.39</v>
      </c>
      <c r="L976" t="s">
        <v>360</v>
      </c>
      <c r="M976">
        <v>22</v>
      </c>
      <c r="N976" t="s">
        <v>36</v>
      </c>
      <c r="O976" s="3" t="s">
        <v>28</v>
      </c>
      <c r="P976" t="s">
        <v>29</v>
      </c>
      <c r="Q976" t="s">
        <v>24</v>
      </c>
      <c r="R976">
        <v>3</v>
      </c>
      <c r="S976" t="s">
        <v>102</v>
      </c>
      <c r="T976" s="4">
        <f t="shared" si="78"/>
        <v>625170.51</v>
      </c>
      <c r="U976" s="4" t="str">
        <f t="shared" si="79"/>
        <v>Average</v>
      </c>
      <c r="V976" s="4" t="str">
        <f t="shared" si="80"/>
        <v>Excellent</v>
      </c>
      <c r="W976" s="4"/>
      <c r="X976" s="4"/>
      <c r="AJ976" s="4"/>
    </row>
    <row r="977" spans="1:36">
      <c r="A977" t="str">
        <f t="shared" si="76"/>
        <v>Suni34976</v>
      </c>
      <c r="B977">
        <v>976</v>
      </c>
      <c r="C977">
        <v>15</v>
      </c>
      <c r="D977">
        <v>7</v>
      </c>
      <c r="E977">
        <v>2022</v>
      </c>
      <c r="F977" s="1">
        <f t="shared" si="77"/>
        <v>44757</v>
      </c>
      <c r="G977" s="1" t="s">
        <v>683</v>
      </c>
      <c r="H977" s="2">
        <v>45453</v>
      </c>
      <c r="I977" t="s">
        <v>49</v>
      </c>
      <c r="J977">
        <v>2</v>
      </c>
      <c r="K977">
        <v>16117.15</v>
      </c>
      <c r="L977" t="s">
        <v>185</v>
      </c>
      <c r="M977">
        <v>34</v>
      </c>
      <c r="N977" t="s">
        <v>21</v>
      </c>
      <c r="O977" s="3" t="s">
        <v>22</v>
      </c>
      <c r="P977" t="s">
        <v>137</v>
      </c>
      <c r="Q977" t="s">
        <v>56</v>
      </c>
      <c r="R977">
        <v>4</v>
      </c>
      <c r="S977" t="s">
        <v>52</v>
      </c>
      <c r="T977" s="4">
        <f t="shared" si="78"/>
        <v>32234.3</v>
      </c>
      <c r="U977" s="4" t="str">
        <f t="shared" si="79"/>
        <v>Good</v>
      </c>
      <c r="V977" s="4" t="str">
        <f t="shared" si="80"/>
        <v>Low</v>
      </c>
      <c r="W977" s="4"/>
      <c r="X977" s="4"/>
      <c r="AJ977" s="4"/>
    </row>
    <row r="978" spans="1:36">
      <c r="A978" t="str">
        <f t="shared" si="76"/>
        <v>Arun35977</v>
      </c>
      <c r="B978">
        <v>977</v>
      </c>
      <c r="C978">
        <v>15</v>
      </c>
      <c r="D978">
        <v>7</v>
      </c>
      <c r="E978">
        <v>2022</v>
      </c>
      <c r="F978" s="1">
        <f t="shared" si="77"/>
        <v>44757</v>
      </c>
      <c r="G978" s="1" t="s">
        <v>683</v>
      </c>
      <c r="H978" s="2">
        <v>45454</v>
      </c>
      <c r="I978" t="s">
        <v>26</v>
      </c>
      <c r="J978">
        <v>9</v>
      </c>
      <c r="K978">
        <v>34278.699999999997</v>
      </c>
      <c r="L978" t="s">
        <v>703</v>
      </c>
      <c r="M978">
        <v>35</v>
      </c>
      <c r="N978" t="s">
        <v>21</v>
      </c>
      <c r="O978" s="3" t="s">
        <v>22</v>
      </c>
      <c r="P978" t="s">
        <v>137</v>
      </c>
      <c r="Q978" t="s">
        <v>30</v>
      </c>
      <c r="R978">
        <v>4</v>
      </c>
      <c r="S978" t="s">
        <v>34</v>
      </c>
      <c r="T978" s="4">
        <f t="shared" si="78"/>
        <v>308508.3</v>
      </c>
      <c r="U978" s="4" t="str">
        <f t="shared" si="79"/>
        <v>Good</v>
      </c>
      <c r="V978" s="4" t="str">
        <f t="shared" si="80"/>
        <v>Excellent</v>
      </c>
      <c r="W978" s="4"/>
      <c r="X978" s="4"/>
      <c r="AJ978" s="4"/>
    </row>
    <row r="979" spans="1:36">
      <c r="A979" t="str">
        <f t="shared" si="76"/>
        <v>Tanu38978</v>
      </c>
      <c r="B979">
        <v>978</v>
      </c>
      <c r="C979">
        <v>15</v>
      </c>
      <c r="D979">
        <v>7</v>
      </c>
      <c r="E979">
        <v>2022</v>
      </c>
      <c r="F979" s="1">
        <f t="shared" si="77"/>
        <v>44757</v>
      </c>
      <c r="G979" s="1" t="s">
        <v>683</v>
      </c>
      <c r="H979" s="2">
        <v>45455</v>
      </c>
      <c r="I979" t="s">
        <v>38</v>
      </c>
      <c r="J979">
        <v>6</v>
      </c>
      <c r="K979">
        <v>13746.85</v>
      </c>
      <c r="L979" t="s">
        <v>249</v>
      </c>
      <c r="M979">
        <v>38</v>
      </c>
      <c r="N979" t="s">
        <v>21</v>
      </c>
      <c r="O979" s="3" t="s">
        <v>22</v>
      </c>
      <c r="P979" t="s">
        <v>40</v>
      </c>
      <c r="Q979" t="s">
        <v>56</v>
      </c>
      <c r="R979">
        <v>4</v>
      </c>
      <c r="S979" t="s">
        <v>48</v>
      </c>
      <c r="T979" s="4">
        <f t="shared" si="78"/>
        <v>82481.100000000006</v>
      </c>
      <c r="U979" s="4" t="str">
        <f t="shared" si="79"/>
        <v>Good</v>
      </c>
      <c r="V979" s="4" t="str">
        <f t="shared" si="80"/>
        <v>Average</v>
      </c>
      <c r="W979" s="4"/>
      <c r="X979" s="4"/>
      <c r="AJ979" s="4"/>
    </row>
    <row r="980" spans="1:36">
      <c r="A980" t="str">
        <f t="shared" si="76"/>
        <v>Anan39979</v>
      </c>
      <c r="B980">
        <v>979</v>
      </c>
      <c r="C980">
        <v>15</v>
      </c>
      <c r="D980">
        <v>7</v>
      </c>
      <c r="E980">
        <v>2022</v>
      </c>
      <c r="F980" s="1">
        <f t="shared" si="77"/>
        <v>44757</v>
      </c>
      <c r="G980" s="1" t="s">
        <v>683</v>
      </c>
      <c r="H980" s="2">
        <v>45456</v>
      </c>
      <c r="I980" t="s">
        <v>19</v>
      </c>
      <c r="J980">
        <v>9</v>
      </c>
      <c r="K980">
        <v>59264.7</v>
      </c>
      <c r="L980" t="s">
        <v>335</v>
      </c>
      <c r="M980">
        <v>39</v>
      </c>
      <c r="N980" t="s">
        <v>21</v>
      </c>
      <c r="O980" s="3" t="s">
        <v>22</v>
      </c>
      <c r="P980" t="s">
        <v>93</v>
      </c>
      <c r="Q980" t="s">
        <v>41</v>
      </c>
      <c r="R980">
        <v>5</v>
      </c>
      <c r="S980" t="s">
        <v>84</v>
      </c>
      <c r="T980" s="4">
        <f t="shared" si="78"/>
        <v>533382.29999999993</v>
      </c>
      <c r="U980" s="4" t="str">
        <f t="shared" si="79"/>
        <v>Good</v>
      </c>
      <c r="V980" s="4" t="str">
        <f t="shared" si="80"/>
        <v>Excellent</v>
      </c>
      <c r="W980" s="4"/>
      <c r="X980" s="4"/>
      <c r="AJ980" s="4"/>
    </row>
    <row r="981" spans="1:36">
      <c r="A981" t="str">
        <f t="shared" si="76"/>
        <v>Bhav56980</v>
      </c>
      <c r="B981">
        <v>980</v>
      </c>
      <c r="C981">
        <v>16</v>
      </c>
      <c r="D981">
        <v>7</v>
      </c>
      <c r="E981">
        <v>2022</v>
      </c>
      <c r="F981" s="1">
        <f t="shared" si="77"/>
        <v>44758</v>
      </c>
      <c r="G981" s="1" t="s">
        <v>683</v>
      </c>
      <c r="H981" s="2">
        <v>45457</v>
      </c>
      <c r="I981" t="s">
        <v>19</v>
      </c>
      <c r="J981">
        <v>6</v>
      </c>
      <c r="K981">
        <v>15540.75</v>
      </c>
      <c r="L981" t="s">
        <v>326</v>
      </c>
      <c r="M981">
        <v>56</v>
      </c>
      <c r="N981" t="s">
        <v>61</v>
      </c>
      <c r="O981" s="3" t="s">
        <v>28</v>
      </c>
      <c r="P981" t="s">
        <v>51</v>
      </c>
      <c r="Q981" t="s">
        <v>30</v>
      </c>
      <c r="R981">
        <v>3</v>
      </c>
      <c r="S981" t="s">
        <v>25</v>
      </c>
      <c r="T981" s="4">
        <f t="shared" si="78"/>
        <v>93244.5</v>
      </c>
      <c r="U981" s="4" t="str">
        <f t="shared" si="79"/>
        <v>Average</v>
      </c>
      <c r="V981" s="4" t="str">
        <f t="shared" si="80"/>
        <v>Average</v>
      </c>
      <c r="W981" s="4"/>
      <c r="X981" s="4"/>
      <c r="AJ981" s="4"/>
    </row>
    <row r="982" spans="1:36">
      <c r="A982" t="str">
        <f t="shared" si="76"/>
        <v>Hari23981</v>
      </c>
      <c r="B982">
        <v>981</v>
      </c>
      <c r="C982">
        <v>16</v>
      </c>
      <c r="D982">
        <v>7</v>
      </c>
      <c r="E982">
        <v>2022</v>
      </c>
      <c r="F982" s="1">
        <f t="shared" si="77"/>
        <v>44758</v>
      </c>
      <c r="G982" s="1" t="s">
        <v>683</v>
      </c>
      <c r="H982" s="2">
        <v>45458</v>
      </c>
      <c r="I982" t="s">
        <v>26</v>
      </c>
      <c r="J982">
        <v>6</v>
      </c>
      <c r="K982">
        <v>50440.44</v>
      </c>
      <c r="L982" t="s">
        <v>704</v>
      </c>
      <c r="M982">
        <v>23</v>
      </c>
      <c r="N982" t="s">
        <v>36</v>
      </c>
      <c r="O982" s="3" t="s">
        <v>22</v>
      </c>
      <c r="P982" t="s">
        <v>29</v>
      </c>
      <c r="Q982" t="s">
        <v>56</v>
      </c>
      <c r="R982">
        <v>4</v>
      </c>
      <c r="S982" t="s">
        <v>67</v>
      </c>
      <c r="T982" s="4">
        <f t="shared" si="78"/>
        <v>302642.64</v>
      </c>
      <c r="U982" s="4" t="str">
        <f t="shared" si="79"/>
        <v>Good</v>
      </c>
      <c r="V982" s="4" t="str">
        <f t="shared" si="80"/>
        <v>Excellent</v>
      </c>
      <c r="W982" s="4"/>
      <c r="X982" s="4"/>
      <c r="AJ982" s="4"/>
    </row>
    <row r="983" spans="1:36">
      <c r="A983" t="str">
        <f t="shared" si="76"/>
        <v>Radh33982</v>
      </c>
      <c r="B983">
        <v>982</v>
      </c>
      <c r="C983">
        <v>16</v>
      </c>
      <c r="D983">
        <v>7</v>
      </c>
      <c r="E983">
        <v>2022</v>
      </c>
      <c r="F983" s="1">
        <f t="shared" si="77"/>
        <v>44758</v>
      </c>
      <c r="G983" s="1" t="s">
        <v>683</v>
      </c>
      <c r="H983" s="2">
        <v>45459</v>
      </c>
      <c r="I983" t="s">
        <v>49</v>
      </c>
      <c r="J983">
        <v>2</v>
      </c>
      <c r="K983">
        <v>13389.01</v>
      </c>
      <c r="L983" t="s">
        <v>649</v>
      </c>
      <c r="M983">
        <v>33</v>
      </c>
      <c r="N983" t="s">
        <v>21</v>
      </c>
      <c r="O983" s="3" t="s">
        <v>28</v>
      </c>
      <c r="P983" t="s">
        <v>51</v>
      </c>
      <c r="Q983" t="s">
        <v>24</v>
      </c>
      <c r="R983">
        <v>3</v>
      </c>
      <c r="S983" t="s">
        <v>102</v>
      </c>
      <c r="T983" s="4">
        <f t="shared" si="78"/>
        <v>26778.02</v>
      </c>
      <c r="U983" s="4" t="str">
        <f t="shared" si="79"/>
        <v>Average</v>
      </c>
      <c r="V983" s="4" t="str">
        <f t="shared" si="80"/>
        <v>Low</v>
      </c>
      <c r="W983" s="4"/>
      <c r="X983" s="4"/>
      <c r="AJ983" s="4"/>
    </row>
    <row r="984" spans="1:36">
      <c r="A984" t="str">
        <f t="shared" si="76"/>
        <v>Raje19983</v>
      </c>
      <c r="B984">
        <v>983</v>
      </c>
      <c r="C984">
        <v>16</v>
      </c>
      <c r="D984">
        <v>7</v>
      </c>
      <c r="E984">
        <v>2022</v>
      </c>
      <c r="F984" s="1">
        <f t="shared" si="77"/>
        <v>44758</v>
      </c>
      <c r="G984" s="1" t="s">
        <v>683</v>
      </c>
      <c r="H984" s="2">
        <v>45460</v>
      </c>
      <c r="I984" t="s">
        <v>43</v>
      </c>
      <c r="J984">
        <v>8</v>
      </c>
      <c r="K984">
        <v>50371.3</v>
      </c>
      <c r="L984" t="s">
        <v>532</v>
      </c>
      <c r="M984">
        <v>19</v>
      </c>
      <c r="N984" t="s">
        <v>36</v>
      </c>
      <c r="O984" s="3" t="s">
        <v>22</v>
      </c>
      <c r="P984" t="s">
        <v>33</v>
      </c>
      <c r="Q984" t="s">
        <v>41</v>
      </c>
      <c r="R984">
        <v>5</v>
      </c>
      <c r="S984" t="s">
        <v>46</v>
      </c>
      <c r="T984" s="4">
        <f t="shared" si="78"/>
        <v>402970.4</v>
      </c>
      <c r="U984" s="4" t="str">
        <f t="shared" si="79"/>
        <v>Good</v>
      </c>
      <c r="V984" s="4" t="str">
        <f t="shared" si="80"/>
        <v>Excellent</v>
      </c>
      <c r="W984" s="4"/>
      <c r="X984" s="4"/>
      <c r="AJ984" s="4"/>
    </row>
    <row r="985" spans="1:36">
      <c r="A985" t="str">
        <f t="shared" si="76"/>
        <v>Meen18984</v>
      </c>
      <c r="B985">
        <v>984</v>
      </c>
      <c r="C985">
        <v>17</v>
      </c>
      <c r="D985">
        <v>7</v>
      </c>
      <c r="E985">
        <v>2022</v>
      </c>
      <c r="F985" s="1">
        <f t="shared" si="77"/>
        <v>44759</v>
      </c>
      <c r="G985" s="1" t="s">
        <v>683</v>
      </c>
      <c r="H985" s="2">
        <v>45461</v>
      </c>
      <c r="I985" t="s">
        <v>26</v>
      </c>
      <c r="J985">
        <v>3</v>
      </c>
      <c r="K985">
        <v>60582.22</v>
      </c>
      <c r="L985" t="s">
        <v>670</v>
      </c>
      <c r="M985">
        <v>18</v>
      </c>
      <c r="N985" t="s">
        <v>36</v>
      </c>
      <c r="O985" s="3" t="s">
        <v>22</v>
      </c>
      <c r="P985" t="s">
        <v>33</v>
      </c>
      <c r="Q985" t="s">
        <v>41</v>
      </c>
      <c r="R985">
        <v>4</v>
      </c>
      <c r="S985" t="s">
        <v>67</v>
      </c>
      <c r="T985" s="4">
        <f t="shared" si="78"/>
        <v>181746.66</v>
      </c>
      <c r="U985" s="4" t="str">
        <f t="shared" si="79"/>
        <v>Good</v>
      </c>
      <c r="V985" s="4" t="str">
        <f t="shared" si="80"/>
        <v>Good</v>
      </c>
      <c r="W985" s="4"/>
      <c r="X985" s="4"/>
      <c r="AJ985" s="4"/>
    </row>
    <row r="986" spans="1:36">
      <c r="A986" t="str">
        <f t="shared" si="76"/>
        <v>Vive47985</v>
      </c>
      <c r="B986">
        <v>985</v>
      </c>
      <c r="C986">
        <v>17</v>
      </c>
      <c r="D986">
        <v>7</v>
      </c>
      <c r="E986">
        <v>2022</v>
      </c>
      <c r="F986" s="1">
        <f t="shared" si="77"/>
        <v>44759</v>
      </c>
      <c r="G986" s="1" t="s">
        <v>683</v>
      </c>
      <c r="H986" s="2">
        <v>45462</v>
      </c>
      <c r="I986" t="s">
        <v>26</v>
      </c>
      <c r="J986">
        <v>7</v>
      </c>
      <c r="K986">
        <v>33929.29</v>
      </c>
      <c r="L986" t="s">
        <v>334</v>
      </c>
      <c r="M986">
        <v>47</v>
      </c>
      <c r="N986" t="s">
        <v>61</v>
      </c>
      <c r="O986" s="3" t="s">
        <v>28</v>
      </c>
      <c r="P986" t="s">
        <v>29</v>
      </c>
      <c r="Q986" t="s">
        <v>56</v>
      </c>
      <c r="R986">
        <v>3</v>
      </c>
      <c r="S986" t="s">
        <v>31</v>
      </c>
      <c r="T986" s="4">
        <f t="shared" si="78"/>
        <v>237505.03</v>
      </c>
      <c r="U986" s="4" t="str">
        <f t="shared" si="79"/>
        <v>Average</v>
      </c>
      <c r="V986" s="4" t="str">
        <f t="shared" si="80"/>
        <v>Excellent</v>
      </c>
      <c r="W986" s="4"/>
      <c r="X986" s="4"/>
      <c r="AJ986" s="4"/>
    </row>
    <row r="987" spans="1:36">
      <c r="A987" t="str">
        <f t="shared" si="76"/>
        <v>Deve54986</v>
      </c>
      <c r="B987">
        <v>986</v>
      </c>
      <c r="C987">
        <v>17</v>
      </c>
      <c r="D987">
        <v>7</v>
      </c>
      <c r="E987">
        <v>2022</v>
      </c>
      <c r="F987" s="1">
        <f t="shared" si="77"/>
        <v>44759</v>
      </c>
      <c r="G987" s="1" t="s">
        <v>683</v>
      </c>
      <c r="H987" s="2">
        <v>45463</v>
      </c>
      <c r="I987" t="s">
        <v>38</v>
      </c>
      <c r="J987">
        <v>5</v>
      </c>
      <c r="K987">
        <v>41327.589999999997</v>
      </c>
      <c r="L987" t="s">
        <v>705</v>
      </c>
      <c r="M987">
        <v>54</v>
      </c>
      <c r="N987" t="s">
        <v>61</v>
      </c>
      <c r="O987" s="3" t="s">
        <v>22</v>
      </c>
      <c r="P987" t="s">
        <v>117</v>
      </c>
      <c r="Q987" t="s">
        <v>30</v>
      </c>
      <c r="R987">
        <v>5</v>
      </c>
      <c r="S987" t="s">
        <v>48</v>
      </c>
      <c r="T987" s="4">
        <f t="shared" si="78"/>
        <v>206637.94999999998</v>
      </c>
      <c r="U987" s="4" t="str">
        <f t="shared" si="79"/>
        <v>Good</v>
      </c>
      <c r="V987" s="4" t="str">
        <f t="shared" si="80"/>
        <v>Excellent</v>
      </c>
      <c r="W987" s="4"/>
      <c r="X987" s="4"/>
      <c r="AJ987" s="4"/>
    </row>
    <row r="988" spans="1:36">
      <c r="A988" t="str">
        <f t="shared" si="76"/>
        <v>Bhav40987</v>
      </c>
      <c r="B988">
        <v>987</v>
      </c>
      <c r="C988">
        <v>17</v>
      </c>
      <c r="D988">
        <v>7</v>
      </c>
      <c r="E988">
        <v>2022</v>
      </c>
      <c r="F988" s="1">
        <f t="shared" si="77"/>
        <v>44759</v>
      </c>
      <c r="G988" s="1" t="s">
        <v>683</v>
      </c>
      <c r="H988" s="2">
        <v>45464</v>
      </c>
      <c r="I988" t="s">
        <v>19</v>
      </c>
      <c r="J988">
        <v>3</v>
      </c>
      <c r="K988">
        <v>34092.5</v>
      </c>
      <c r="L988" t="s">
        <v>706</v>
      </c>
      <c r="M988">
        <v>40</v>
      </c>
      <c r="N988" t="s">
        <v>21</v>
      </c>
      <c r="O988" s="3" t="s">
        <v>22</v>
      </c>
      <c r="P988" t="s">
        <v>29</v>
      </c>
      <c r="Q988" t="s">
        <v>30</v>
      </c>
      <c r="R988">
        <v>5</v>
      </c>
      <c r="S988" t="s">
        <v>37</v>
      </c>
      <c r="T988" s="4">
        <f t="shared" si="78"/>
        <v>102277.5</v>
      </c>
      <c r="U988" s="4" t="str">
        <f t="shared" si="79"/>
        <v>Good</v>
      </c>
      <c r="V988" s="4" t="str">
        <f t="shared" si="80"/>
        <v>Good</v>
      </c>
      <c r="W988" s="4"/>
      <c r="X988" s="4"/>
      <c r="AJ988" s="4"/>
    </row>
    <row r="989" spans="1:36">
      <c r="A989" t="str">
        <f t="shared" si="76"/>
        <v>Lata18988</v>
      </c>
      <c r="B989">
        <v>988</v>
      </c>
      <c r="C989">
        <v>18</v>
      </c>
      <c r="D989">
        <v>7</v>
      </c>
      <c r="E989">
        <v>2022</v>
      </c>
      <c r="F989" s="1">
        <f t="shared" si="77"/>
        <v>44760</v>
      </c>
      <c r="G989" s="1" t="s">
        <v>683</v>
      </c>
      <c r="H989" s="2">
        <v>45465</v>
      </c>
      <c r="I989" t="s">
        <v>26</v>
      </c>
      <c r="J989">
        <v>1</v>
      </c>
      <c r="K989">
        <v>28029.33</v>
      </c>
      <c r="L989" t="s">
        <v>707</v>
      </c>
      <c r="M989">
        <v>18</v>
      </c>
      <c r="N989" t="s">
        <v>36</v>
      </c>
      <c r="O989" s="3" t="s">
        <v>22</v>
      </c>
      <c r="P989" t="s">
        <v>90</v>
      </c>
      <c r="Q989" t="s">
        <v>24</v>
      </c>
      <c r="R989">
        <v>5</v>
      </c>
      <c r="S989" t="s">
        <v>34</v>
      </c>
      <c r="T989" s="4">
        <f t="shared" si="78"/>
        <v>28029.33</v>
      </c>
      <c r="U989" s="4" t="str">
        <f t="shared" si="79"/>
        <v>Good</v>
      </c>
      <c r="V989" s="4" t="str">
        <f t="shared" si="80"/>
        <v>Low</v>
      </c>
      <c r="W989" s="4"/>
      <c r="X989" s="4"/>
      <c r="AJ989" s="4"/>
    </row>
    <row r="990" spans="1:36">
      <c r="A990" t="str">
        <f t="shared" si="76"/>
        <v>Isha36989</v>
      </c>
      <c r="B990">
        <v>989</v>
      </c>
      <c r="C990">
        <v>18</v>
      </c>
      <c r="D990">
        <v>7</v>
      </c>
      <c r="E990">
        <v>2022</v>
      </c>
      <c r="F990" s="1">
        <f t="shared" si="77"/>
        <v>44760</v>
      </c>
      <c r="G990" s="1" t="s">
        <v>683</v>
      </c>
      <c r="H990" s="2">
        <v>45466</v>
      </c>
      <c r="I990" t="s">
        <v>26</v>
      </c>
      <c r="J990">
        <v>8</v>
      </c>
      <c r="K990">
        <v>58195.8</v>
      </c>
      <c r="L990" t="s">
        <v>708</v>
      </c>
      <c r="M990">
        <v>36</v>
      </c>
      <c r="N990" t="s">
        <v>21</v>
      </c>
      <c r="O990" s="3" t="s">
        <v>22</v>
      </c>
      <c r="P990" t="s">
        <v>132</v>
      </c>
      <c r="Q990" t="s">
        <v>24</v>
      </c>
      <c r="R990">
        <v>4</v>
      </c>
      <c r="S990" t="s">
        <v>31</v>
      </c>
      <c r="T990" s="4">
        <f t="shared" si="78"/>
        <v>465566.4</v>
      </c>
      <c r="U990" s="4" t="str">
        <f t="shared" si="79"/>
        <v>Good</v>
      </c>
      <c r="V990" s="4" t="str">
        <f t="shared" si="80"/>
        <v>Excellent</v>
      </c>
      <c r="W990" s="4"/>
      <c r="X990" s="4"/>
      <c r="AJ990" s="4"/>
    </row>
    <row r="991" spans="1:36">
      <c r="A991" t="str">
        <f t="shared" si="76"/>
        <v>Neet20990</v>
      </c>
      <c r="B991">
        <v>990</v>
      </c>
      <c r="C991">
        <v>18</v>
      </c>
      <c r="D991">
        <v>7</v>
      </c>
      <c r="E991">
        <v>2022</v>
      </c>
      <c r="F991" s="1">
        <f t="shared" si="77"/>
        <v>44760</v>
      </c>
      <c r="G991" s="1" t="s">
        <v>683</v>
      </c>
      <c r="H991" s="2">
        <v>45467</v>
      </c>
      <c r="I991" t="s">
        <v>49</v>
      </c>
      <c r="J991">
        <v>3</v>
      </c>
      <c r="K991">
        <v>26320.15</v>
      </c>
      <c r="L991" t="s">
        <v>487</v>
      </c>
      <c r="M991">
        <v>20</v>
      </c>
      <c r="N991" t="s">
        <v>36</v>
      </c>
      <c r="O991" s="3" t="s">
        <v>22</v>
      </c>
      <c r="P991" t="s">
        <v>45</v>
      </c>
      <c r="Q991" t="s">
        <v>30</v>
      </c>
      <c r="R991">
        <v>5</v>
      </c>
      <c r="S991" t="s">
        <v>88</v>
      </c>
      <c r="T991" s="4">
        <f t="shared" si="78"/>
        <v>78960.450000000012</v>
      </c>
      <c r="U991" s="4" t="str">
        <f t="shared" si="79"/>
        <v>Good</v>
      </c>
      <c r="V991" s="4" t="str">
        <f t="shared" si="80"/>
        <v>Average</v>
      </c>
      <c r="W991" s="4"/>
      <c r="X991" s="4"/>
      <c r="AJ991" s="4"/>
    </row>
    <row r="992" spans="1:36">
      <c r="A992" t="str">
        <f t="shared" si="76"/>
        <v>Lali19991</v>
      </c>
      <c r="B992">
        <v>991</v>
      </c>
      <c r="C992">
        <v>18</v>
      </c>
      <c r="D992">
        <v>7</v>
      </c>
      <c r="E992">
        <v>2022</v>
      </c>
      <c r="F992" s="1">
        <f t="shared" si="77"/>
        <v>44760</v>
      </c>
      <c r="G992" s="1" t="s">
        <v>683</v>
      </c>
      <c r="H992" s="2">
        <v>45468</v>
      </c>
      <c r="I992" t="s">
        <v>49</v>
      </c>
      <c r="J992">
        <v>2</v>
      </c>
      <c r="K992">
        <v>53376.61</v>
      </c>
      <c r="L992" t="s">
        <v>709</v>
      </c>
      <c r="M992">
        <v>19</v>
      </c>
      <c r="N992" t="s">
        <v>36</v>
      </c>
      <c r="O992" s="3" t="s">
        <v>22</v>
      </c>
      <c r="P992" t="s">
        <v>66</v>
      </c>
      <c r="Q992" t="s">
        <v>41</v>
      </c>
      <c r="R992">
        <v>5</v>
      </c>
      <c r="S992" t="s">
        <v>102</v>
      </c>
      <c r="T992" s="4">
        <f t="shared" si="78"/>
        <v>106753.22</v>
      </c>
      <c r="U992" s="4" t="str">
        <f t="shared" si="79"/>
        <v>Good</v>
      </c>
      <c r="V992" s="4" t="str">
        <f t="shared" si="80"/>
        <v>Good</v>
      </c>
      <c r="W992" s="4"/>
      <c r="X992" s="4"/>
      <c r="AJ992" s="4"/>
    </row>
    <row r="993" spans="1:36">
      <c r="A993" t="str">
        <f t="shared" si="76"/>
        <v>Pras54992</v>
      </c>
      <c r="B993">
        <v>992</v>
      </c>
      <c r="C993">
        <v>19</v>
      </c>
      <c r="D993">
        <v>7</v>
      </c>
      <c r="E993">
        <v>2022</v>
      </c>
      <c r="F993" s="1">
        <f t="shared" si="77"/>
        <v>44761</v>
      </c>
      <c r="G993" s="1" t="s">
        <v>683</v>
      </c>
      <c r="H993" s="2">
        <v>45469</v>
      </c>
      <c r="I993" t="s">
        <v>43</v>
      </c>
      <c r="J993">
        <v>1</v>
      </c>
      <c r="K993">
        <v>22371.82</v>
      </c>
      <c r="L993" t="s">
        <v>710</v>
      </c>
      <c r="M993">
        <v>54</v>
      </c>
      <c r="N993" t="s">
        <v>61</v>
      </c>
      <c r="O993" s="3" t="s">
        <v>22</v>
      </c>
      <c r="P993" t="s">
        <v>29</v>
      </c>
      <c r="Q993" t="s">
        <v>24</v>
      </c>
      <c r="R993">
        <v>5</v>
      </c>
      <c r="S993" t="s">
        <v>46</v>
      </c>
      <c r="T993" s="4">
        <f t="shared" si="78"/>
        <v>22371.82</v>
      </c>
      <c r="U993" s="4" t="str">
        <f t="shared" si="79"/>
        <v>Good</v>
      </c>
      <c r="V993" s="4" t="str">
        <f t="shared" si="80"/>
        <v>Low</v>
      </c>
      <c r="W993" s="4"/>
      <c r="X993" s="4"/>
      <c r="AJ993" s="4"/>
    </row>
    <row r="994" spans="1:36">
      <c r="A994" t="str">
        <f t="shared" si="76"/>
        <v>Pras34993</v>
      </c>
      <c r="B994">
        <v>993</v>
      </c>
      <c r="C994">
        <v>19</v>
      </c>
      <c r="D994">
        <v>7</v>
      </c>
      <c r="E994">
        <v>2022</v>
      </c>
      <c r="F994" s="1">
        <f t="shared" si="77"/>
        <v>44761</v>
      </c>
      <c r="G994" s="1" t="s">
        <v>683</v>
      </c>
      <c r="H994" s="2">
        <v>45470</v>
      </c>
      <c r="I994" t="s">
        <v>38</v>
      </c>
      <c r="J994">
        <v>4</v>
      </c>
      <c r="K994">
        <v>24991.23</v>
      </c>
      <c r="L994" t="s">
        <v>711</v>
      </c>
      <c r="M994">
        <v>34</v>
      </c>
      <c r="N994" t="s">
        <v>21</v>
      </c>
      <c r="O994" s="3" t="s">
        <v>28</v>
      </c>
      <c r="P994" t="s">
        <v>33</v>
      </c>
      <c r="Q994" t="s">
        <v>24</v>
      </c>
      <c r="R994">
        <v>3</v>
      </c>
      <c r="S994" t="s">
        <v>42</v>
      </c>
      <c r="T994" s="4">
        <f t="shared" si="78"/>
        <v>99964.92</v>
      </c>
      <c r="U994" s="4" t="str">
        <f t="shared" si="79"/>
        <v>Average</v>
      </c>
      <c r="V994" s="4" t="str">
        <f t="shared" si="80"/>
        <v>Average</v>
      </c>
      <c r="W994" s="4"/>
      <c r="X994" s="4"/>
      <c r="AJ994" s="4"/>
    </row>
    <row r="995" spans="1:36">
      <c r="A995" t="str">
        <f t="shared" si="76"/>
        <v>Nikh45994</v>
      </c>
      <c r="B995">
        <v>994</v>
      </c>
      <c r="C995">
        <v>19</v>
      </c>
      <c r="D995">
        <v>7</v>
      </c>
      <c r="E995">
        <v>2022</v>
      </c>
      <c r="F995" s="1">
        <f t="shared" si="77"/>
        <v>44761</v>
      </c>
      <c r="G995" s="1" t="s">
        <v>683</v>
      </c>
      <c r="H995" s="2">
        <v>45471</v>
      </c>
      <c r="I995" t="s">
        <v>43</v>
      </c>
      <c r="J995">
        <v>8</v>
      </c>
      <c r="K995">
        <v>30187.67</v>
      </c>
      <c r="L995" t="s">
        <v>712</v>
      </c>
      <c r="M995">
        <v>45</v>
      </c>
      <c r="N995" t="s">
        <v>21</v>
      </c>
      <c r="O995" s="3" t="s">
        <v>22</v>
      </c>
      <c r="P995" t="s">
        <v>33</v>
      </c>
      <c r="Q995" t="s">
        <v>41</v>
      </c>
      <c r="R995">
        <v>5</v>
      </c>
      <c r="S995" t="s">
        <v>95</v>
      </c>
      <c r="T995" s="4">
        <f t="shared" si="78"/>
        <v>241501.36</v>
      </c>
      <c r="U995" s="4" t="str">
        <f t="shared" si="79"/>
        <v>Good</v>
      </c>
      <c r="V995" s="4" t="str">
        <f t="shared" si="80"/>
        <v>Excellent</v>
      </c>
      <c r="W995" s="4"/>
      <c r="X995" s="4"/>
      <c r="AJ995" s="4"/>
    </row>
    <row r="996" spans="1:36">
      <c r="A996" t="str">
        <f t="shared" si="76"/>
        <v>Pras35995</v>
      </c>
      <c r="B996">
        <v>995</v>
      </c>
      <c r="C996">
        <v>20</v>
      </c>
      <c r="D996">
        <v>7</v>
      </c>
      <c r="E996">
        <v>2022</v>
      </c>
      <c r="F996" s="1">
        <f t="shared" si="77"/>
        <v>44762</v>
      </c>
      <c r="G996" s="1" t="s">
        <v>683</v>
      </c>
      <c r="H996" s="2">
        <v>45472</v>
      </c>
      <c r="I996" t="s">
        <v>49</v>
      </c>
      <c r="J996">
        <v>3</v>
      </c>
      <c r="K996">
        <v>45349.38</v>
      </c>
      <c r="L996" t="s">
        <v>713</v>
      </c>
      <c r="M996">
        <v>35</v>
      </c>
      <c r="N996" t="s">
        <v>21</v>
      </c>
      <c r="O996" s="3" t="s">
        <v>22</v>
      </c>
      <c r="P996" t="s">
        <v>45</v>
      </c>
      <c r="Q996" t="s">
        <v>30</v>
      </c>
      <c r="R996">
        <v>4</v>
      </c>
      <c r="S996" t="s">
        <v>88</v>
      </c>
      <c r="T996" s="4">
        <f t="shared" si="78"/>
        <v>136048.13999999998</v>
      </c>
      <c r="U996" s="4" t="str">
        <f t="shared" si="79"/>
        <v>Good</v>
      </c>
      <c r="V996" s="4" t="str">
        <f t="shared" si="80"/>
        <v>Good</v>
      </c>
      <c r="W996" s="4"/>
      <c r="X996" s="4"/>
      <c r="AJ996" s="4"/>
    </row>
    <row r="997" spans="1:36">
      <c r="A997" t="str">
        <f t="shared" si="76"/>
        <v>Kira50996</v>
      </c>
      <c r="B997">
        <v>996</v>
      </c>
      <c r="C997">
        <v>20</v>
      </c>
      <c r="D997">
        <v>7</v>
      </c>
      <c r="E997">
        <v>2022</v>
      </c>
      <c r="F997" s="1">
        <f t="shared" si="77"/>
        <v>44762</v>
      </c>
      <c r="G997" s="1" t="s">
        <v>683</v>
      </c>
      <c r="H997" s="2">
        <v>45473</v>
      </c>
      <c r="I997" t="s">
        <v>19</v>
      </c>
      <c r="J997">
        <v>1</v>
      </c>
      <c r="K997">
        <v>37265.339999999997</v>
      </c>
      <c r="L997" t="s">
        <v>714</v>
      </c>
      <c r="M997">
        <v>50</v>
      </c>
      <c r="N997" t="s">
        <v>61</v>
      </c>
      <c r="O997" s="3" t="s">
        <v>28</v>
      </c>
      <c r="P997" t="s">
        <v>33</v>
      </c>
      <c r="Q997" t="s">
        <v>56</v>
      </c>
      <c r="R997">
        <v>3</v>
      </c>
      <c r="S997" t="s">
        <v>25</v>
      </c>
      <c r="T997" s="4">
        <f t="shared" si="78"/>
        <v>37265.339999999997</v>
      </c>
      <c r="U997" s="4" t="str">
        <f t="shared" si="79"/>
        <v>Average</v>
      </c>
      <c r="V997" s="4" t="str">
        <f t="shared" si="80"/>
        <v>Low</v>
      </c>
      <c r="W997" s="4"/>
      <c r="X997" s="4"/>
      <c r="AJ997" s="4"/>
    </row>
    <row r="998" spans="1:36">
      <c r="A998" t="str">
        <f t="shared" si="76"/>
        <v>Ravi32997</v>
      </c>
      <c r="B998">
        <v>997</v>
      </c>
      <c r="C998">
        <v>20</v>
      </c>
      <c r="D998">
        <v>7</v>
      </c>
      <c r="E998">
        <v>2022</v>
      </c>
      <c r="F998" s="1">
        <f t="shared" si="77"/>
        <v>44762</v>
      </c>
      <c r="G998" s="1" t="s">
        <v>683</v>
      </c>
      <c r="H998" s="2">
        <v>45474</v>
      </c>
      <c r="I998" t="s">
        <v>49</v>
      </c>
      <c r="J998">
        <v>4</v>
      </c>
      <c r="K998">
        <v>54708.69</v>
      </c>
      <c r="L998" t="s">
        <v>696</v>
      </c>
      <c r="M998">
        <v>32</v>
      </c>
      <c r="N998" t="s">
        <v>21</v>
      </c>
      <c r="O998" s="3" t="s">
        <v>28</v>
      </c>
      <c r="P998" t="s">
        <v>90</v>
      </c>
      <c r="Q998" t="s">
        <v>24</v>
      </c>
      <c r="R998">
        <v>3</v>
      </c>
      <c r="S998" t="s">
        <v>88</v>
      </c>
      <c r="T998" s="4">
        <f t="shared" si="78"/>
        <v>218834.76</v>
      </c>
      <c r="U998" s="4" t="str">
        <f t="shared" si="79"/>
        <v>Average</v>
      </c>
      <c r="V998" s="4" t="str">
        <f t="shared" si="80"/>
        <v>Excellent</v>
      </c>
      <c r="W998" s="4"/>
      <c r="X998" s="4"/>
      <c r="AJ998" s="4"/>
    </row>
    <row r="999" spans="1:36">
      <c r="A999" t="str">
        <f t="shared" si="76"/>
        <v>Yoge39998</v>
      </c>
      <c r="B999">
        <v>998</v>
      </c>
      <c r="C999">
        <v>20</v>
      </c>
      <c r="D999">
        <v>7</v>
      </c>
      <c r="E999">
        <v>2022</v>
      </c>
      <c r="F999" s="1">
        <f t="shared" si="77"/>
        <v>44762</v>
      </c>
      <c r="G999" s="1" t="s">
        <v>683</v>
      </c>
      <c r="H999" s="2">
        <v>45475</v>
      </c>
      <c r="I999" t="s">
        <v>38</v>
      </c>
      <c r="J999">
        <v>9</v>
      </c>
      <c r="K999">
        <v>22814.04</v>
      </c>
      <c r="L999" t="s">
        <v>182</v>
      </c>
      <c r="M999">
        <v>39</v>
      </c>
      <c r="N999" t="s">
        <v>21</v>
      </c>
      <c r="O999" s="3" t="s">
        <v>22</v>
      </c>
      <c r="P999" t="s">
        <v>33</v>
      </c>
      <c r="Q999" t="s">
        <v>41</v>
      </c>
      <c r="R999">
        <v>5</v>
      </c>
      <c r="S999" t="s">
        <v>42</v>
      </c>
      <c r="T999" s="4">
        <f t="shared" si="78"/>
        <v>205326.36000000002</v>
      </c>
      <c r="U999" s="4" t="str">
        <f t="shared" si="79"/>
        <v>Good</v>
      </c>
      <c r="V999" s="4" t="str">
        <f t="shared" si="80"/>
        <v>Excellent</v>
      </c>
      <c r="W999" s="4"/>
      <c r="X999" s="4"/>
      <c r="AJ999" s="4"/>
    </row>
    <row r="1000" spans="1:36">
      <c r="A1000" t="str">
        <f t="shared" si="76"/>
        <v>Arun58999</v>
      </c>
      <c r="B1000">
        <v>999</v>
      </c>
      <c r="C1000">
        <v>21</v>
      </c>
      <c r="D1000">
        <v>7</v>
      </c>
      <c r="E1000">
        <v>2022</v>
      </c>
      <c r="F1000" s="1">
        <f t="shared" si="77"/>
        <v>44763</v>
      </c>
      <c r="G1000" s="1" t="s">
        <v>683</v>
      </c>
      <c r="H1000" s="2">
        <v>45476</v>
      </c>
      <c r="I1000" t="s">
        <v>49</v>
      </c>
      <c r="J1000">
        <v>1</v>
      </c>
      <c r="K1000">
        <v>10640.34</v>
      </c>
      <c r="L1000" t="s">
        <v>63</v>
      </c>
      <c r="M1000">
        <v>58</v>
      </c>
      <c r="N1000" t="s">
        <v>61</v>
      </c>
      <c r="O1000" s="3" t="s">
        <v>28</v>
      </c>
      <c r="P1000" t="s">
        <v>137</v>
      </c>
      <c r="Q1000" t="s">
        <v>24</v>
      </c>
      <c r="R1000">
        <v>3</v>
      </c>
      <c r="S1000" t="s">
        <v>52</v>
      </c>
      <c r="T1000" s="4">
        <f t="shared" si="78"/>
        <v>10640.34</v>
      </c>
      <c r="U1000" s="4" t="str">
        <f t="shared" si="79"/>
        <v>Average</v>
      </c>
      <c r="V1000" s="4" t="str">
        <f t="shared" si="80"/>
        <v>Low</v>
      </c>
      <c r="W1000" s="4"/>
      <c r="X1000" s="4"/>
      <c r="AJ1000" s="4"/>
    </row>
    <row r="1001" spans="1:36">
      <c r="A1001" t="str">
        <f t="shared" si="76"/>
        <v>Anan441000</v>
      </c>
      <c r="B1001">
        <v>1000</v>
      </c>
      <c r="C1001">
        <v>21</v>
      </c>
      <c r="D1001">
        <v>7</v>
      </c>
      <c r="E1001">
        <v>2022</v>
      </c>
      <c r="F1001" s="1">
        <f t="shared" si="77"/>
        <v>44763</v>
      </c>
      <c r="G1001" s="1" t="s">
        <v>683</v>
      </c>
      <c r="H1001" s="2">
        <v>45477</v>
      </c>
      <c r="I1001" t="s">
        <v>38</v>
      </c>
      <c r="J1001">
        <v>2</v>
      </c>
      <c r="K1001">
        <v>56593.45</v>
      </c>
      <c r="L1001" t="s">
        <v>196</v>
      </c>
      <c r="M1001">
        <v>44</v>
      </c>
      <c r="N1001" t="s">
        <v>21</v>
      </c>
      <c r="O1001" s="3" t="s">
        <v>28</v>
      </c>
      <c r="P1001" t="s">
        <v>33</v>
      </c>
      <c r="Q1001" t="s">
        <v>41</v>
      </c>
      <c r="R1001">
        <v>3</v>
      </c>
      <c r="S1001" t="s">
        <v>48</v>
      </c>
      <c r="T1001" s="4">
        <f t="shared" si="78"/>
        <v>113186.9</v>
      </c>
      <c r="U1001" s="4" t="str">
        <f t="shared" si="79"/>
        <v>Average</v>
      </c>
      <c r="V1001" s="4" t="str">
        <f t="shared" si="80"/>
        <v>Good</v>
      </c>
      <c r="W1001" s="4"/>
      <c r="X1001" s="4"/>
      <c r="AJ1001" s="4"/>
    </row>
    <row r="1002" spans="1:36">
      <c r="A1002" t="str">
        <f t="shared" si="76"/>
        <v>Lata541001</v>
      </c>
      <c r="B1002">
        <v>1001</v>
      </c>
      <c r="C1002">
        <v>21</v>
      </c>
      <c r="D1002">
        <v>7</v>
      </c>
      <c r="E1002">
        <v>2022</v>
      </c>
      <c r="F1002" s="1">
        <f t="shared" si="77"/>
        <v>44763</v>
      </c>
      <c r="G1002" s="1" t="s">
        <v>683</v>
      </c>
      <c r="H1002" s="2">
        <v>45478</v>
      </c>
      <c r="I1002" t="s">
        <v>38</v>
      </c>
      <c r="J1002">
        <v>9</v>
      </c>
      <c r="K1002">
        <v>59298.96</v>
      </c>
      <c r="L1002" t="s">
        <v>715</v>
      </c>
      <c r="M1002">
        <v>54</v>
      </c>
      <c r="N1002" t="s">
        <v>61</v>
      </c>
      <c r="O1002" s="3" t="s">
        <v>22</v>
      </c>
      <c r="P1002" t="s">
        <v>132</v>
      </c>
      <c r="Q1002" t="s">
        <v>24</v>
      </c>
      <c r="R1002">
        <v>5</v>
      </c>
      <c r="S1002" t="s">
        <v>99</v>
      </c>
      <c r="T1002" s="4">
        <f t="shared" si="78"/>
        <v>533690.64</v>
      </c>
      <c r="U1002" s="4" t="str">
        <f t="shared" si="79"/>
        <v>Good</v>
      </c>
      <c r="V1002" s="4" t="str">
        <f t="shared" si="80"/>
        <v>Excellent</v>
      </c>
      <c r="W1002" s="4"/>
      <c r="X1002" s="4"/>
      <c r="AJ1002" s="4"/>
    </row>
    <row r="1003" spans="1:36">
      <c r="A1003" t="str">
        <f t="shared" si="76"/>
        <v>Arun491002</v>
      </c>
      <c r="B1003">
        <v>1002</v>
      </c>
      <c r="C1003">
        <v>22</v>
      </c>
      <c r="D1003">
        <v>7</v>
      </c>
      <c r="E1003">
        <v>2022</v>
      </c>
      <c r="F1003" s="1">
        <f t="shared" si="77"/>
        <v>44764</v>
      </c>
      <c r="G1003" s="1" t="s">
        <v>683</v>
      </c>
      <c r="H1003" s="2">
        <v>45479</v>
      </c>
      <c r="I1003" t="s">
        <v>38</v>
      </c>
      <c r="J1003">
        <v>2</v>
      </c>
      <c r="K1003">
        <v>13568.81</v>
      </c>
      <c r="L1003" t="s">
        <v>716</v>
      </c>
      <c r="M1003">
        <v>49</v>
      </c>
      <c r="N1003" t="s">
        <v>61</v>
      </c>
      <c r="O1003" s="3" t="s">
        <v>22</v>
      </c>
      <c r="P1003" t="s">
        <v>33</v>
      </c>
      <c r="Q1003" t="s">
        <v>30</v>
      </c>
      <c r="R1003">
        <v>4</v>
      </c>
      <c r="S1003" t="s">
        <v>48</v>
      </c>
      <c r="T1003" s="4">
        <f t="shared" si="78"/>
        <v>27137.62</v>
      </c>
      <c r="U1003" s="4" t="str">
        <f t="shared" si="79"/>
        <v>Good</v>
      </c>
      <c r="V1003" s="4" t="str">
        <f t="shared" si="80"/>
        <v>Low</v>
      </c>
      <c r="W1003" s="4"/>
      <c r="X1003" s="4"/>
      <c r="AJ1003" s="4"/>
    </row>
    <row r="1004" spans="1:36">
      <c r="A1004" t="str">
        <f t="shared" si="76"/>
        <v>Bhav361003</v>
      </c>
      <c r="B1004">
        <v>1003</v>
      </c>
      <c r="C1004">
        <v>22</v>
      </c>
      <c r="D1004">
        <v>7</v>
      </c>
      <c r="E1004">
        <v>2022</v>
      </c>
      <c r="F1004" s="1">
        <f t="shared" si="77"/>
        <v>44764</v>
      </c>
      <c r="G1004" s="1" t="s">
        <v>683</v>
      </c>
      <c r="H1004" s="2">
        <v>45480</v>
      </c>
      <c r="I1004" t="s">
        <v>38</v>
      </c>
      <c r="J1004">
        <v>3</v>
      </c>
      <c r="K1004">
        <v>46654.45</v>
      </c>
      <c r="L1004" t="s">
        <v>433</v>
      </c>
      <c r="M1004">
        <v>36</v>
      </c>
      <c r="N1004" t="s">
        <v>21</v>
      </c>
      <c r="O1004" s="3" t="s">
        <v>22</v>
      </c>
      <c r="P1004" t="s">
        <v>150</v>
      </c>
      <c r="Q1004" t="s">
        <v>41</v>
      </c>
      <c r="R1004">
        <v>5</v>
      </c>
      <c r="S1004" t="s">
        <v>48</v>
      </c>
      <c r="T1004" s="4">
        <f t="shared" si="78"/>
        <v>139963.34999999998</v>
      </c>
      <c r="U1004" s="4" t="str">
        <f t="shared" si="79"/>
        <v>Good</v>
      </c>
      <c r="V1004" s="4" t="str">
        <f t="shared" si="80"/>
        <v>Good</v>
      </c>
      <c r="W1004" s="4"/>
      <c r="X1004" s="4"/>
      <c r="AJ1004" s="4"/>
    </row>
    <row r="1005" spans="1:36">
      <c r="A1005" t="str">
        <f t="shared" si="76"/>
        <v>Kris451004</v>
      </c>
      <c r="B1005">
        <v>1004</v>
      </c>
      <c r="C1005">
        <v>22</v>
      </c>
      <c r="D1005">
        <v>7</v>
      </c>
      <c r="E1005">
        <v>2022</v>
      </c>
      <c r="F1005" s="1">
        <f t="shared" si="77"/>
        <v>44764</v>
      </c>
      <c r="G1005" s="1" t="s">
        <v>683</v>
      </c>
      <c r="H1005" s="2">
        <v>45481</v>
      </c>
      <c r="I1005" t="s">
        <v>38</v>
      </c>
      <c r="J1005">
        <v>7</v>
      </c>
      <c r="K1005">
        <v>32692.41</v>
      </c>
      <c r="L1005" t="s">
        <v>717</v>
      </c>
      <c r="M1005">
        <v>45</v>
      </c>
      <c r="N1005" t="s">
        <v>21</v>
      </c>
      <c r="O1005" s="3" t="s">
        <v>22</v>
      </c>
      <c r="P1005" t="s">
        <v>29</v>
      </c>
      <c r="Q1005" t="s">
        <v>56</v>
      </c>
      <c r="R1005">
        <v>5</v>
      </c>
      <c r="S1005" t="s">
        <v>48</v>
      </c>
      <c r="T1005" s="4">
        <f t="shared" si="78"/>
        <v>228846.87</v>
      </c>
      <c r="U1005" s="4" t="str">
        <f t="shared" si="79"/>
        <v>Good</v>
      </c>
      <c r="V1005" s="4" t="str">
        <f t="shared" si="80"/>
        <v>Excellent</v>
      </c>
      <c r="W1005" s="4"/>
      <c r="X1005" s="4"/>
      <c r="AJ1005" s="4"/>
    </row>
    <row r="1006" spans="1:36">
      <c r="A1006" t="str">
        <f t="shared" si="76"/>
        <v>Rame451005</v>
      </c>
      <c r="B1006">
        <v>1005</v>
      </c>
      <c r="C1006">
        <v>23</v>
      </c>
      <c r="D1006">
        <v>7</v>
      </c>
      <c r="E1006">
        <v>2022</v>
      </c>
      <c r="F1006" s="1">
        <f t="shared" si="77"/>
        <v>44765</v>
      </c>
      <c r="G1006" s="1" t="s">
        <v>683</v>
      </c>
      <c r="H1006" s="2">
        <v>45482</v>
      </c>
      <c r="I1006" t="s">
        <v>19</v>
      </c>
      <c r="J1006">
        <v>3</v>
      </c>
      <c r="K1006">
        <v>57633.74</v>
      </c>
      <c r="L1006" t="s">
        <v>718</v>
      </c>
      <c r="M1006">
        <v>45</v>
      </c>
      <c r="N1006" t="s">
        <v>21</v>
      </c>
      <c r="O1006" s="3" t="s">
        <v>22</v>
      </c>
      <c r="P1006" t="s">
        <v>51</v>
      </c>
      <c r="Q1006" t="s">
        <v>56</v>
      </c>
      <c r="R1006">
        <v>5</v>
      </c>
      <c r="S1006" t="s">
        <v>25</v>
      </c>
      <c r="T1006" s="4">
        <f t="shared" si="78"/>
        <v>172901.22</v>
      </c>
      <c r="U1006" s="4" t="str">
        <f t="shared" si="79"/>
        <v>Good</v>
      </c>
      <c r="V1006" s="4" t="str">
        <f t="shared" si="80"/>
        <v>Good</v>
      </c>
      <c r="W1006" s="4"/>
      <c r="X1006" s="4"/>
      <c r="AJ1006" s="4"/>
    </row>
    <row r="1007" spans="1:36">
      <c r="A1007" t="str">
        <f t="shared" si="76"/>
        <v>Yoge271006</v>
      </c>
      <c r="B1007">
        <v>1006</v>
      </c>
      <c r="C1007">
        <v>23</v>
      </c>
      <c r="D1007">
        <v>7</v>
      </c>
      <c r="E1007">
        <v>2022</v>
      </c>
      <c r="F1007" s="1">
        <f t="shared" si="77"/>
        <v>44765</v>
      </c>
      <c r="G1007" s="1" t="s">
        <v>683</v>
      </c>
      <c r="H1007" s="2">
        <v>45483</v>
      </c>
      <c r="I1007" t="s">
        <v>43</v>
      </c>
      <c r="J1007">
        <v>9</v>
      </c>
      <c r="K1007">
        <v>62464.87</v>
      </c>
      <c r="L1007" t="s">
        <v>600</v>
      </c>
      <c r="M1007">
        <v>27</v>
      </c>
      <c r="N1007" t="s">
        <v>36</v>
      </c>
      <c r="O1007" s="3" t="s">
        <v>22</v>
      </c>
      <c r="P1007" t="s">
        <v>64</v>
      </c>
      <c r="Q1007" t="s">
        <v>24</v>
      </c>
      <c r="R1007">
        <v>5</v>
      </c>
      <c r="S1007" t="s">
        <v>95</v>
      </c>
      <c r="T1007" s="4">
        <f t="shared" si="78"/>
        <v>562183.83000000007</v>
      </c>
      <c r="U1007" s="4" t="str">
        <f t="shared" si="79"/>
        <v>Good</v>
      </c>
      <c r="V1007" s="4" t="str">
        <f t="shared" si="80"/>
        <v>Excellent</v>
      </c>
      <c r="W1007" s="4"/>
      <c r="X1007" s="4"/>
      <c r="AJ1007" s="4"/>
    </row>
    <row r="1008" spans="1:36">
      <c r="A1008" t="str">
        <f t="shared" si="76"/>
        <v>Priy371007</v>
      </c>
      <c r="B1008">
        <v>1007</v>
      </c>
      <c r="C1008">
        <v>23</v>
      </c>
      <c r="D1008">
        <v>7</v>
      </c>
      <c r="E1008">
        <v>2022</v>
      </c>
      <c r="F1008" s="1">
        <f t="shared" si="77"/>
        <v>44765</v>
      </c>
      <c r="G1008" s="1" t="s">
        <v>683</v>
      </c>
      <c r="H1008" s="2">
        <v>45484</v>
      </c>
      <c r="I1008" t="s">
        <v>26</v>
      </c>
      <c r="J1008">
        <v>6</v>
      </c>
      <c r="K1008">
        <v>61060.23</v>
      </c>
      <c r="L1008" t="s">
        <v>719</v>
      </c>
      <c r="M1008">
        <v>37</v>
      </c>
      <c r="N1008" t="s">
        <v>21</v>
      </c>
      <c r="O1008" s="3" t="s">
        <v>22</v>
      </c>
      <c r="P1008" t="s">
        <v>45</v>
      </c>
      <c r="Q1008" t="s">
        <v>56</v>
      </c>
      <c r="R1008">
        <v>5</v>
      </c>
      <c r="S1008" t="s">
        <v>67</v>
      </c>
      <c r="T1008" s="4">
        <f t="shared" si="78"/>
        <v>366361.38</v>
      </c>
      <c r="U1008" s="4" t="str">
        <f t="shared" si="79"/>
        <v>Good</v>
      </c>
      <c r="V1008" s="4" t="str">
        <f t="shared" si="80"/>
        <v>Excellent</v>
      </c>
      <c r="W1008" s="4"/>
      <c r="X1008" s="4"/>
      <c r="AJ1008" s="4"/>
    </row>
    <row r="1009" spans="1:36">
      <c r="A1009" t="str">
        <f t="shared" si="76"/>
        <v>Mano421008</v>
      </c>
      <c r="B1009">
        <v>1008</v>
      </c>
      <c r="C1009">
        <v>24</v>
      </c>
      <c r="D1009">
        <v>7</v>
      </c>
      <c r="E1009">
        <v>2022</v>
      </c>
      <c r="F1009" s="1">
        <f t="shared" si="77"/>
        <v>44766</v>
      </c>
      <c r="G1009" s="1" t="s">
        <v>683</v>
      </c>
      <c r="H1009" s="2">
        <v>45485</v>
      </c>
      <c r="I1009" t="s">
        <v>43</v>
      </c>
      <c r="J1009">
        <v>3</v>
      </c>
      <c r="K1009">
        <v>56632.25</v>
      </c>
      <c r="L1009" t="s">
        <v>284</v>
      </c>
      <c r="M1009">
        <v>42</v>
      </c>
      <c r="N1009" t="s">
        <v>21</v>
      </c>
      <c r="O1009" s="3" t="s">
        <v>22</v>
      </c>
      <c r="P1009" t="s">
        <v>114</v>
      </c>
      <c r="Q1009" t="s">
        <v>24</v>
      </c>
      <c r="R1009">
        <v>5</v>
      </c>
      <c r="S1009" t="s">
        <v>57</v>
      </c>
      <c r="T1009" s="4">
        <f t="shared" si="78"/>
        <v>169896.75</v>
      </c>
      <c r="U1009" s="4" t="str">
        <f t="shared" si="79"/>
        <v>Good</v>
      </c>
      <c r="V1009" s="4" t="str">
        <f t="shared" si="80"/>
        <v>Good</v>
      </c>
      <c r="W1009" s="4"/>
      <c r="X1009" s="4"/>
      <c r="AJ1009" s="4"/>
    </row>
    <row r="1010" spans="1:36">
      <c r="A1010" t="str">
        <f t="shared" si="76"/>
        <v>Vija381009</v>
      </c>
      <c r="B1010">
        <v>1009</v>
      </c>
      <c r="C1010">
        <v>24</v>
      </c>
      <c r="D1010">
        <v>7</v>
      </c>
      <c r="E1010">
        <v>2022</v>
      </c>
      <c r="F1010" s="1">
        <f t="shared" si="77"/>
        <v>44766</v>
      </c>
      <c r="G1010" s="1" t="s">
        <v>683</v>
      </c>
      <c r="H1010" s="2">
        <v>45486</v>
      </c>
      <c r="I1010" t="s">
        <v>38</v>
      </c>
      <c r="J1010">
        <v>9</v>
      </c>
      <c r="K1010">
        <v>26143.13</v>
      </c>
      <c r="L1010" t="s">
        <v>427</v>
      </c>
      <c r="M1010">
        <v>38</v>
      </c>
      <c r="N1010" t="s">
        <v>21</v>
      </c>
      <c r="O1010" s="3" t="s">
        <v>22</v>
      </c>
      <c r="P1010" t="s">
        <v>110</v>
      </c>
      <c r="Q1010" t="s">
        <v>41</v>
      </c>
      <c r="R1010">
        <v>5</v>
      </c>
      <c r="S1010" t="s">
        <v>99</v>
      </c>
      <c r="T1010" s="4">
        <f t="shared" si="78"/>
        <v>235288.17</v>
      </c>
      <c r="U1010" s="4" t="str">
        <f t="shared" si="79"/>
        <v>Good</v>
      </c>
      <c r="V1010" s="4" t="str">
        <f t="shared" si="80"/>
        <v>Excellent</v>
      </c>
      <c r="W1010" s="4"/>
      <c r="X1010" s="4"/>
      <c r="AJ1010" s="4"/>
    </row>
    <row r="1011" spans="1:36">
      <c r="A1011" t="str">
        <f t="shared" si="76"/>
        <v>Umes311010</v>
      </c>
      <c r="B1011">
        <v>1010</v>
      </c>
      <c r="C1011">
        <v>24</v>
      </c>
      <c r="D1011">
        <v>7</v>
      </c>
      <c r="E1011">
        <v>2022</v>
      </c>
      <c r="F1011" s="1">
        <f t="shared" si="77"/>
        <v>44766</v>
      </c>
      <c r="G1011" s="1" t="s">
        <v>683</v>
      </c>
      <c r="H1011" s="2">
        <v>45487</v>
      </c>
      <c r="I1011" t="s">
        <v>19</v>
      </c>
      <c r="J1011">
        <v>1</v>
      </c>
      <c r="K1011">
        <v>58713.38</v>
      </c>
      <c r="L1011" t="s">
        <v>663</v>
      </c>
      <c r="M1011">
        <v>31</v>
      </c>
      <c r="N1011" t="s">
        <v>21</v>
      </c>
      <c r="O1011" s="3" t="s">
        <v>22</v>
      </c>
      <c r="P1011" t="s">
        <v>29</v>
      </c>
      <c r="Q1011" t="s">
        <v>41</v>
      </c>
      <c r="R1011">
        <v>4</v>
      </c>
      <c r="S1011" t="s">
        <v>37</v>
      </c>
      <c r="T1011" s="4">
        <f t="shared" si="78"/>
        <v>58713.38</v>
      </c>
      <c r="U1011" s="4" t="str">
        <f t="shared" si="79"/>
        <v>Good</v>
      </c>
      <c r="V1011" s="4" t="str">
        <f t="shared" si="80"/>
        <v>Average</v>
      </c>
      <c r="W1011" s="4"/>
      <c r="X1011" s="4"/>
      <c r="AJ1011" s="4"/>
    </row>
    <row r="1012" spans="1:36">
      <c r="A1012" t="str">
        <f t="shared" si="76"/>
        <v>Vino391011</v>
      </c>
      <c r="B1012">
        <v>1011</v>
      </c>
      <c r="C1012">
        <v>25</v>
      </c>
      <c r="D1012">
        <v>7</v>
      </c>
      <c r="E1012">
        <v>2022</v>
      </c>
      <c r="F1012" s="1">
        <f t="shared" si="77"/>
        <v>44767</v>
      </c>
      <c r="G1012" s="1" t="s">
        <v>683</v>
      </c>
      <c r="H1012" s="2">
        <v>45488</v>
      </c>
      <c r="I1012" t="s">
        <v>49</v>
      </c>
      <c r="J1012">
        <v>3</v>
      </c>
      <c r="K1012">
        <v>42008.71</v>
      </c>
      <c r="L1012" t="s">
        <v>448</v>
      </c>
      <c r="M1012">
        <v>39</v>
      </c>
      <c r="N1012" t="s">
        <v>21</v>
      </c>
      <c r="O1012" s="3" t="s">
        <v>22</v>
      </c>
      <c r="P1012" t="s">
        <v>110</v>
      </c>
      <c r="Q1012" t="s">
        <v>56</v>
      </c>
      <c r="R1012">
        <v>5</v>
      </c>
      <c r="S1012" t="s">
        <v>88</v>
      </c>
      <c r="T1012" s="4">
        <f t="shared" si="78"/>
        <v>126026.13</v>
      </c>
      <c r="U1012" s="4" t="str">
        <f t="shared" si="79"/>
        <v>Good</v>
      </c>
      <c r="V1012" s="4" t="str">
        <f t="shared" si="80"/>
        <v>Good</v>
      </c>
      <c r="W1012" s="4"/>
      <c r="X1012" s="4"/>
      <c r="AJ1012" s="4"/>
    </row>
    <row r="1013" spans="1:36">
      <c r="A1013" t="str">
        <f t="shared" si="76"/>
        <v>Hari431012</v>
      </c>
      <c r="B1013">
        <v>1012</v>
      </c>
      <c r="C1013">
        <v>25</v>
      </c>
      <c r="D1013">
        <v>7</v>
      </c>
      <c r="E1013">
        <v>2022</v>
      </c>
      <c r="F1013" s="1">
        <f t="shared" si="77"/>
        <v>44767</v>
      </c>
      <c r="G1013" s="1" t="s">
        <v>683</v>
      </c>
      <c r="H1013" s="2">
        <v>45489</v>
      </c>
      <c r="I1013" t="s">
        <v>19</v>
      </c>
      <c r="J1013">
        <v>1</v>
      </c>
      <c r="K1013">
        <v>13165.4</v>
      </c>
      <c r="L1013" t="s">
        <v>655</v>
      </c>
      <c r="M1013">
        <v>43</v>
      </c>
      <c r="N1013" t="s">
        <v>21</v>
      </c>
      <c r="O1013" s="3" t="s">
        <v>22</v>
      </c>
      <c r="P1013" t="s">
        <v>93</v>
      </c>
      <c r="Q1013" t="s">
        <v>56</v>
      </c>
      <c r="R1013">
        <v>5</v>
      </c>
      <c r="S1013" t="s">
        <v>84</v>
      </c>
      <c r="T1013" s="4">
        <f t="shared" si="78"/>
        <v>13165.4</v>
      </c>
      <c r="U1013" s="4" t="str">
        <f t="shared" si="79"/>
        <v>Good</v>
      </c>
      <c r="V1013" s="4" t="str">
        <f t="shared" si="80"/>
        <v>Low</v>
      </c>
      <c r="W1013" s="4"/>
      <c r="X1013" s="4"/>
      <c r="AJ1013" s="4"/>
    </row>
    <row r="1014" spans="1:36">
      <c r="A1014" t="str">
        <f t="shared" si="76"/>
        <v>Bina281013</v>
      </c>
      <c r="B1014">
        <v>1013</v>
      </c>
      <c r="C1014">
        <v>25</v>
      </c>
      <c r="D1014">
        <v>7</v>
      </c>
      <c r="E1014">
        <v>2022</v>
      </c>
      <c r="F1014" s="1">
        <f t="shared" si="77"/>
        <v>44767</v>
      </c>
      <c r="G1014" s="1" t="s">
        <v>683</v>
      </c>
      <c r="H1014" s="2">
        <v>45490</v>
      </c>
      <c r="I1014" t="s">
        <v>38</v>
      </c>
      <c r="J1014">
        <v>2</v>
      </c>
      <c r="K1014">
        <v>37416.33</v>
      </c>
      <c r="L1014" t="s">
        <v>387</v>
      </c>
      <c r="M1014">
        <v>28</v>
      </c>
      <c r="N1014" t="s">
        <v>36</v>
      </c>
      <c r="O1014" s="3" t="s">
        <v>22</v>
      </c>
      <c r="P1014" t="s">
        <v>29</v>
      </c>
      <c r="Q1014" t="s">
        <v>30</v>
      </c>
      <c r="R1014">
        <v>5</v>
      </c>
      <c r="S1014" t="s">
        <v>99</v>
      </c>
      <c r="T1014" s="4">
        <f t="shared" si="78"/>
        <v>74832.66</v>
      </c>
      <c r="U1014" s="4" t="str">
        <f t="shared" si="79"/>
        <v>Good</v>
      </c>
      <c r="V1014" s="4" t="str">
        <f t="shared" si="80"/>
        <v>Average</v>
      </c>
      <c r="W1014" s="4"/>
      <c r="X1014" s="4"/>
      <c r="AJ1014" s="4"/>
    </row>
    <row r="1015" spans="1:36">
      <c r="A1015" t="str">
        <f t="shared" si="76"/>
        <v>Pras241014</v>
      </c>
      <c r="B1015">
        <v>1014</v>
      </c>
      <c r="C1015">
        <v>25</v>
      </c>
      <c r="D1015">
        <v>7</v>
      </c>
      <c r="E1015">
        <v>2022</v>
      </c>
      <c r="F1015" s="1">
        <f t="shared" si="77"/>
        <v>44767</v>
      </c>
      <c r="G1015" s="1" t="s">
        <v>683</v>
      </c>
      <c r="H1015" s="2">
        <v>45491</v>
      </c>
      <c r="I1015" t="s">
        <v>19</v>
      </c>
      <c r="J1015">
        <v>8</v>
      </c>
      <c r="K1015">
        <v>66529.48</v>
      </c>
      <c r="L1015" t="s">
        <v>637</v>
      </c>
      <c r="M1015">
        <v>24</v>
      </c>
      <c r="N1015" t="s">
        <v>36</v>
      </c>
      <c r="O1015" s="3" t="s">
        <v>22</v>
      </c>
      <c r="P1015" t="s">
        <v>114</v>
      </c>
      <c r="Q1015" t="s">
        <v>41</v>
      </c>
      <c r="R1015">
        <v>5</v>
      </c>
      <c r="S1015" t="s">
        <v>25</v>
      </c>
      <c r="T1015" s="4">
        <f t="shared" si="78"/>
        <v>532235.84</v>
      </c>
      <c r="U1015" s="4" t="str">
        <f t="shared" si="79"/>
        <v>Good</v>
      </c>
      <c r="V1015" s="4" t="str">
        <f t="shared" si="80"/>
        <v>Excellent</v>
      </c>
      <c r="W1015" s="4"/>
      <c r="X1015" s="4"/>
      <c r="AJ1015" s="4"/>
    </row>
    <row r="1016" spans="1:36">
      <c r="A1016" t="str">
        <f t="shared" si="76"/>
        <v>Amit341015</v>
      </c>
      <c r="B1016">
        <v>1015</v>
      </c>
      <c r="C1016">
        <v>26</v>
      </c>
      <c r="D1016">
        <v>7</v>
      </c>
      <c r="E1016">
        <v>2022</v>
      </c>
      <c r="F1016" s="1">
        <f t="shared" si="77"/>
        <v>44768</v>
      </c>
      <c r="G1016" s="1" t="s">
        <v>683</v>
      </c>
      <c r="H1016" s="2">
        <v>45492</v>
      </c>
      <c r="I1016" t="s">
        <v>19</v>
      </c>
      <c r="J1016">
        <v>7</v>
      </c>
      <c r="K1016">
        <v>63271.56</v>
      </c>
      <c r="L1016" t="s">
        <v>527</v>
      </c>
      <c r="M1016">
        <v>34</v>
      </c>
      <c r="N1016" t="s">
        <v>21</v>
      </c>
      <c r="O1016" s="3" t="s">
        <v>22</v>
      </c>
      <c r="P1016" t="s">
        <v>150</v>
      </c>
      <c r="Q1016" t="s">
        <v>56</v>
      </c>
      <c r="R1016">
        <v>5</v>
      </c>
      <c r="S1016" t="s">
        <v>84</v>
      </c>
      <c r="T1016" s="4">
        <f t="shared" si="78"/>
        <v>442900.92</v>
      </c>
      <c r="U1016" s="4" t="str">
        <f t="shared" si="79"/>
        <v>Good</v>
      </c>
      <c r="V1016" s="4" t="str">
        <f t="shared" si="80"/>
        <v>Excellent</v>
      </c>
      <c r="W1016" s="4"/>
      <c r="X1016" s="4"/>
      <c r="AJ1016" s="4"/>
    </row>
    <row r="1017" spans="1:36">
      <c r="A1017" t="str">
        <f t="shared" si="76"/>
        <v>Arun351016</v>
      </c>
      <c r="B1017">
        <v>1016</v>
      </c>
      <c r="C1017">
        <v>26</v>
      </c>
      <c r="D1017">
        <v>7</v>
      </c>
      <c r="E1017">
        <v>2022</v>
      </c>
      <c r="F1017" s="1">
        <f t="shared" si="77"/>
        <v>44768</v>
      </c>
      <c r="G1017" s="1" t="s">
        <v>683</v>
      </c>
      <c r="H1017" s="2">
        <v>45493</v>
      </c>
      <c r="I1017" t="s">
        <v>38</v>
      </c>
      <c r="J1017">
        <v>2</v>
      </c>
      <c r="K1017">
        <v>16135.86</v>
      </c>
      <c r="L1017" t="s">
        <v>720</v>
      </c>
      <c r="M1017">
        <v>35</v>
      </c>
      <c r="N1017" t="s">
        <v>21</v>
      </c>
      <c r="O1017" s="3" t="s">
        <v>22</v>
      </c>
      <c r="P1017" t="s">
        <v>33</v>
      </c>
      <c r="Q1017" t="s">
        <v>56</v>
      </c>
      <c r="R1017">
        <v>5</v>
      </c>
      <c r="S1017" t="s">
        <v>99</v>
      </c>
      <c r="T1017" s="4">
        <f t="shared" si="78"/>
        <v>32271.72</v>
      </c>
      <c r="U1017" s="4" t="str">
        <f t="shared" si="79"/>
        <v>Good</v>
      </c>
      <c r="V1017" s="4" t="str">
        <f t="shared" si="80"/>
        <v>Low</v>
      </c>
      <c r="W1017" s="4"/>
      <c r="X1017" s="4"/>
      <c r="AJ1017" s="4"/>
    </row>
    <row r="1018" spans="1:36">
      <c r="A1018" t="str">
        <f t="shared" si="76"/>
        <v>Umes241017</v>
      </c>
      <c r="B1018">
        <v>1017</v>
      </c>
      <c r="C1018">
        <v>26</v>
      </c>
      <c r="D1018">
        <v>7</v>
      </c>
      <c r="E1018">
        <v>2022</v>
      </c>
      <c r="F1018" s="1">
        <f t="shared" si="77"/>
        <v>44768</v>
      </c>
      <c r="G1018" s="1" t="s">
        <v>683</v>
      </c>
      <c r="H1018" s="2">
        <v>45494</v>
      </c>
      <c r="I1018" t="s">
        <v>19</v>
      </c>
      <c r="J1018">
        <v>2</v>
      </c>
      <c r="K1018">
        <v>54647.6</v>
      </c>
      <c r="L1018" t="s">
        <v>721</v>
      </c>
      <c r="M1018">
        <v>24</v>
      </c>
      <c r="N1018" t="s">
        <v>36</v>
      </c>
      <c r="O1018" s="3" t="s">
        <v>28</v>
      </c>
      <c r="P1018" t="s">
        <v>90</v>
      </c>
      <c r="Q1018" t="s">
        <v>56</v>
      </c>
      <c r="R1018">
        <v>3</v>
      </c>
      <c r="S1018" t="s">
        <v>37</v>
      </c>
      <c r="T1018" s="4">
        <f t="shared" si="78"/>
        <v>109295.2</v>
      </c>
      <c r="U1018" s="4" t="str">
        <f t="shared" si="79"/>
        <v>Average</v>
      </c>
      <c r="V1018" s="4" t="str">
        <f t="shared" si="80"/>
        <v>Good</v>
      </c>
      <c r="W1018" s="4"/>
      <c r="X1018" s="4"/>
      <c r="AJ1018" s="4"/>
    </row>
    <row r="1019" spans="1:36">
      <c r="A1019" t="str">
        <f t="shared" si="76"/>
        <v>Bhav371018</v>
      </c>
      <c r="B1019">
        <v>1018</v>
      </c>
      <c r="C1019">
        <v>27</v>
      </c>
      <c r="D1019">
        <v>7</v>
      </c>
      <c r="E1019">
        <v>2022</v>
      </c>
      <c r="F1019" s="1">
        <f t="shared" si="77"/>
        <v>44769</v>
      </c>
      <c r="G1019" s="1" t="s">
        <v>683</v>
      </c>
      <c r="H1019" s="2">
        <v>45495</v>
      </c>
      <c r="I1019" t="s">
        <v>26</v>
      </c>
      <c r="J1019">
        <v>9</v>
      </c>
      <c r="K1019">
        <v>58347.57</v>
      </c>
      <c r="L1019" t="s">
        <v>283</v>
      </c>
      <c r="M1019">
        <v>37</v>
      </c>
      <c r="N1019" t="s">
        <v>21</v>
      </c>
      <c r="O1019" s="3" t="s">
        <v>28</v>
      </c>
      <c r="P1019" t="s">
        <v>117</v>
      </c>
      <c r="Q1019" t="s">
        <v>24</v>
      </c>
      <c r="R1019">
        <v>3</v>
      </c>
      <c r="S1019" t="s">
        <v>31</v>
      </c>
      <c r="T1019" s="4">
        <f t="shared" si="78"/>
        <v>525128.13</v>
      </c>
      <c r="U1019" s="4" t="str">
        <f t="shared" si="79"/>
        <v>Average</v>
      </c>
      <c r="V1019" s="4" t="str">
        <f t="shared" si="80"/>
        <v>Excellent</v>
      </c>
      <c r="W1019" s="4"/>
      <c r="X1019" s="4"/>
      <c r="AJ1019" s="4"/>
    </row>
    <row r="1020" spans="1:36">
      <c r="A1020" t="str">
        <f t="shared" si="76"/>
        <v>Nikh551019</v>
      </c>
      <c r="B1020">
        <v>1019</v>
      </c>
      <c r="C1020">
        <v>27</v>
      </c>
      <c r="D1020">
        <v>7</v>
      </c>
      <c r="E1020">
        <v>2022</v>
      </c>
      <c r="F1020" s="1">
        <f t="shared" si="77"/>
        <v>44769</v>
      </c>
      <c r="G1020" s="1" t="s">
        <v>683</v>
      </c>
      <c r="H1020" s="2">
        <v>45496</v>
      </c>
      <c r="I1020" t="s">
        <v>26</v>
      </c>
      <c r="J1020">
        <v>6</v>
      </c>
      <c r="K1020">
        <v>26283.29</v>
      </c>
      <c r="L1020" t="s">
        <v>271</v>
      </c>
      <c r="M1020">
        <v>55</v>
      </c>
      <c r="N1020" t="s">
        <v>61</v>
      </c>
      <c r="O1020" s="3" t="s">
        <v>28</v>
      </c>
      <c r="P1020" t="s">
        <v>23</v>
      </c>
      <c r="Q1020" t="s">
        <v>30</v>
      </c>
      <c r="R1020">
        <v>3</v>
      </c>
      <c r="S1020" t="s">
        <v>67</v>
      </c>
      <c r="T1020" s="4">
        <f t="shared" si="78"/>
        <v>157699.74</v>
      </c>
      <c r="U1020" s="4" t="str">
        <f t="shared" si="79"/>
        <v>Average</v>
      </c>
      <c r="V1020" s="4" t="str">
        <f t="shared" si="80"/>
        <v>Good</v>
      </c>
      <c r="W1020" s="4"/>
      <c r="X1020" s="4"/>
      <c r="AJ1020" s="4"/>
    </row>
    <row r="1021" spans="1:36">
      <c r="A1021" t="str">
        <f t="shared" si="76"/>
        <v>Anja281020</v>
      </c>
      <c r="B1021">
        <v>1020</v>
      </c>
      <c r="C1021">
        <v>27</v>
      </c>
      <c r="D1021">
        <v>7</v>
      </c>
      <c r="E1021">
        <v>2022</v>
      </c>
      <c r="F1021" s="1">
        <f t="shared" si="77"/>
        <v>44769</v>
      </c>
      <c r="G1021" s="1" t="s">
        <v>683</v>
      </c>
      <c r="H1021" s="2">
        <v>45497</v>
      </c>
      <c r="I1021" t="s">
        <v>19</v>
      </c>
      <c r="J1021">
        <v>5</v>
      </c>
      <c r="K1021">
        <v>38296.51</v>
      </c>
      <c r="L1021" t="s">
        <v>179</v>
      </c>
      <c r="M1021">
        <v>28</v>
      </c>
      <c r="N1021" t="s">
        <v>36</v>
      </c>
      <c r="O1021" s="3" t="s">
        <v>28</v>
      </c>
      <c r="P1021" t="s">
        <v>33</v>
      </c>
      <c r="Q1021" t="s">
        <v>41</v>
      </c>
      <c r="R1021">
        <v>3</v>
      </c>
      <c r="S1021" t="s">
        <v>37</v>
      </c>
      <c r="T1021" s="4">
        <f t="shared" si="78"/>
        <v>191482.55000000002</v>
      </c>
      <c r="U1021" s="4" t="str">
        <f t="shared" si="79"/>
        <v>Average</v>
      </c>
      <c r="V1021" s="4" t="str">
        <f t="shared" si="80"/>
        <v>Good</v>
      </c>
      <c r="W1021" s="4"/>
      <c r="X1021" s="4"/>
      <c r="AJ1021" s="4"/>
    </row>
    <row r="1022" spans="1:36">
      <c r="A1022" t="str">
        <f t="shared" si="76"/>
        <v>Anit331021</v>
      </c>
      <c r="B1022">
        <v>1021</v>
      </c>
      <c r="C1022">
        <v>28</v>
      </c>
      <c r="D1022">
        <v>7</v>
      </c>
      <c r="E1022">
        <v>2022</v>
      </c>
      <c r="F1022" s="1">
        <f t="shared" si="77"/>
        <v>44770</v>
      </c>
      <c r="G1022" s="1" t="s">
        <v>683</v>
      </c>
      <c r="H1022" s="2">
        <v>45498</v>
      </c>
      <c r="I1022" t="s">
        <v>49</v>
      </c>
      <c r="J1022">
        <v>6</v>
      </c>
      <c r="K1022">
        <v>52659.28</v>
      </c>
      <c r="L1022" t="s">
        <v>587</v>
      </c>
      <c r="M1022">
        <v>33</v>
      </c>
      <c r="N1022" t="s">
        <v>21</v>
      </c>
      <c r="O1022" s="3" t="s">
        <v>22</v>
      </c>
      <c r="P1022" t="s">
        <v>114</v>
      </c>
      <c r="Q1022" t="s">
        <v>56</v>
      </c>
      <c r="R1022">
        <v>5</v>
      </c>
      <c r="S1022" t="s">
        <v>102</v>
      </c>
      <c r="T1022" s="4">
        <f t="shared" si="78"/>
        <v>315955.68</v>
      </c>
      <c r="U1022" s="4" t="str">
        <f t="shared" si="79"/>
        <v>Good</v>
      </c>
      <c r="V1022" s="4" t="str">
        <f t="shared" si="80"/>
        <v>Excellent</v>
      </c>
      <c r="W1022" s="4"/>
      <c r="X1022" s="4"/>
      <c r="AJ1022" s="4"/>
    </row>
    <row r="1023" spans="1:36">
      <c r="A1023" t="str">
        <f t="shared" si="76"/>
        <v>Sumi441022</v>
      </c>
      <c r="B1023">
        <v>1022</v>
      </c>
      <c r="C1023">
        <v>28</v>
      </c>
      <c r="D1023">
        <v>7</v>
      </c>
      <c r="E1023">
        <v>2022</v>
      </c>
      <c r="F1023" s="1">
        <f t="shared" si="77"/>
        <v>44770</v>
      </c>
      <c r="G1023" s="1" t="s">
        <v>683</v>
      </c>
      <c r="H1023" s="2">
        <v>45499</v>
      </c>
      <c r="I1023" t="s">
        <v>38</v>
      </c>
      <c r="J1023">
        <v>9</v>
      </c>
      <c r="K1023">
        <v>36342.49</v>
      </c>
      <c r="L1023" t="s">
        <v>452</v>
      </c>
      <c r="M1023">
        <v>44</v>
      </c>
      <c r="N1023" t="s">
        <v>21</v>
      </c>
      <c r="O1023" s="3" t="s">
        <v>28</v>
      </c>
      <c r="P1023" t="s">
        <v>40</v>
      </c>
      <c r="Q1023" t="s">
        <v>56</v>
      </c>
      <c r="R1023">
        <v>3</v>
      </c>
      <c r="S1023" t="s">
        <v>99</v>
      </c>
      <c r="T1023" s="4">
        <f t="shared" si="78"/>
        <v>327082.40999999997</v>
      </c>
      <c r="U1023" s="4" t="str">
        <f t="shared" si="79"/>
        <v>Average</v>
      </c>
      <c r="V1023" s="4" t="str">
        <f t="shared" si="80"/>
        <v>Excellent</v>
      </c>
      <c r="W1023" s="4"/>
      <c r="X1023" s="4"/>
      <c r="AJ1023" s="4"/>
    </row>
    <row r="1024" spans="1:36">
      <c r="A1024" t="str">
        <f t="shared" si="76"/>
        <v>Moni281023</v>
      </c>
      <c r="B1024">
        <v>1023</v>
      </c>
      <c r="C1024">
        <v>28</v>
      </c>
      <c r="D1024">
        <v>7</v>
      </c>
      <c r="E1024">
        <v>2022</v>
      </c>
      <c r="F1024" s="1">
        <f t="shared" si="77"/>
        <v>44770</v>
      </c>
      <c r="G1024" s="1" t="s">
        <v>683</v>
      </c>
      <c r="H1024" s="2">
        <v>45500</v>
      </c>
      <c r="I1024" t="s">
        <v>26</v>
      </c>
      <c r="J1024">
        <v>7</v>
      </c>
      <c r="K1024">
        <v>16767.82</v>
      </c>
      <c r="L1024" t="s">
        <v>722</v>
      </c>
      <c r="M1024">
        <v>28</v>
      </c>
      <c r="N1024" t="s">
        <v>36</v>
      </c>
      <c r="O1024" s="3" t="s">
        <v>22</v>
      </c>
      <c r="P1024" t="s">
        <v>29</v>
      </c>
      <c r="Q1024" t="s">
        <v>56</v>
      </c>
      <c r="R1024">
        <v>5</v>
      </c>
      <c r="S1024" t="s">
        <v>34</v>
      </c>
      <c r="T1024" s="4">
        <f t="shared" si="78"/>
        <v>117374.73999999999</v>
      </c>
      <c r="U1024" s="4" t="str">
        <f t="shared" si="79"/>
        <v>Good</v>
      </c>
      <c r="V1024" s="4" t="str">
        <f t="shared" si="80"/>
        <v>Good</v>
      </c>
      <c r="W1024" s="4"/>
      <c r="X1024" s="4"/>
      <c r="AJ1024" s="4"/>
    </row>
    <row r="1025" spans="1:36">
      <c r="A1025" t="str">
        <f t="shared" si="76"/>
        <v>Sumi331024</v>
      </c>
      <c r="B1025">
        <v>1024</v>
      </c>
      <c r="C1025">
        <v>29</v>
      </c>
      <c r="D1025">
        <v>7</v>
      </c>
      <c r="E1025">
        <v>2022</v>
      </c>
      <c r="F1025" s="1">
        <f t="shared" si="77"/>
        <v>44771</v>
      </c>
      <c r="G1025" s="1" t="s">
        <v>683</v>
      </c>
      <c r="H1025" s="2">
        <v>45501</v>
      </c>
      <c r="I1025" t="s">
        <v>49</v>
      </c>
      <c r="J1025">
        <v>9</v>
      </c>
      <c r="K1025">
        <v>52352.95</v>
      </c>
      <c r="L1025" t="s">
        <v>128</v>
      </c>
      <c r="M1025">
        <v>33</v>
      </c>
      <c r="N1025" t="s">
        <v>21</v>
      </c>
      <c r="O1025" s="3" t="s">
        <v>22</v>
      </c>
      <c r="P1025" t="s">
        <v>117</v>
      </c>
      <c r="Q1025" t="s">
        <v>24</v>
      </c>
      <c r="R1025">
        <v>4</v>
      </c>
      <c r="S1025" t="s">
        <v>88</v>
      </c>
      <c r="T1025" s="4">
        <f t="shared" si="78"/>
        <v>471176.55</v>
      </c>
      <c r="U1025" s="4" t="str">
        <f t="shared" si="79"/>
        <v>Good</v>
      </c>
      <c r="V1025" s="4" t="str">
        <f t="shared" si="80"/>
        <v>Excellent</v>
      </c>
      <c r="W1025" s="4"/>
      <c r="X1025" s="4"/>
      <c r="AJ1025" s="4"/>
    </row>
    <row r="1026" spans="1:36">
      <c r="A1026" t="str">
        <f t="shared" ref="A1026:A1089" si="81">LEFT(L1026,4)&amp;M1026&amp;B1026</f>
        <v>Anit401025</v>
      </c>
      <c r="B1026">
        <v>1025</v>
      </c>
      <c r="C1026">
        <v>29</v>
      </c>
      <c r="D1026">
        <v>7</v>
      </c>
      <c r="E1026">
        <v>2022</v>
      </c>
      <c r="F1026" s="1">
        <f t="shared" si="77"/>
        <v>44771</v>
      </c>
      <c r="G1026" s="1" t="s">
        <v>683</v>
      </c>
      <c r="H1026" s="2">
        <v>45502</v>
      </c>
      <c r="I1026" t="s">
        <v>19</v>
      </c>
      <c r="J1026">
        <v>4</v>
      </c>
      <c r="K1026">
        <v>64698.32</v>
      </c>
      <c r="L1026" t="s">
        <v>375</v>
      </c>
      <c r="M1026">
        <v>40</v>
      </c>
      <c r="N1026" t="s">
        <v>21</v>
      </c>
      <c r="O1026" s="3" t="s">
        <v>28</v>
      </c>
      <c r="P1026" t="s">
        <v>117</v>
      </c>
      <c r="Q1026" t="s">
        <v>41</v>
      </c>
      <c r="R1026">
        <v>3</v>
      </c>
      <c r="S1026" t="s">
        <v>84</v>
      </c>
      <c r="T1026" s="4">
        <f t="shared" si="78"/>
        <v>258793.28</v>
      </c>
      <c r="U1026" s="4" t="str">
        <f t="shared" si="79"/>
        <v>Average</v>
      </c>
      <c r="V1026" s="4" t="str">
        <f t="shared" si="80"/>
        <v>Excellent</v>
      </c>
      <c r="W1026" s="4"/>
      <c r="X1026" s="4"/>
      <c r="AJ1026" s="4"/>
    </row>
    <row r="1027" spans="1:36">
      <c r="A1027" t="str">
        <f t="shared" si="81"/>
        <v>Bhav291026</v>
      </c>
      <c r="B1027">
        <v>1026</v>
      </c>
      <c r="C1027">
        <v>29</v>
      </c>
      <c r="D1027">
        <v>7</v>
      </c>
      <c r="E1027">
        <v>2022</v>
      </c>
      <c r="F1027" s="1">
        <f t="shared" ref="F1027:F1090" si="82">DATE(E1027,D1027,C1027)</f>
        <v>44771</v>
      </c>
      <c r="G1027" s="1" t="s">
        <v>683</v>
      </c>
      <c r="H1027" s="2">
        <v>45503</v>
      </c>
      <c r="I1027" t="s">
        <v>49</v>
      </c>
      <c r="J1027">
        <v>2</v>
      </c>
      <c r="K1027">
        <v>49149.08</v>
      </c>
      <c r="L1027" t="s">
        <v>257</v>
      </c>
      <c r="M1027">
        <v>29</v>
      </c>
      <c r="N1027" t="s">
        <v>36</v>
      </c>
      <c r="O1027" s="3" t="s">
        <v>22</v>
      </c>
      <c r="P1027" t="s">
        <v>33</v>
      </c>
      <c r="Q1027" t="s">
        <v>56</v>
      </c>
      <c r="R1027">
        <v>5</v>
      </c>
      <c r="S1027" t="s">
        <v>102</v>
      </c>
      <c r="T1027" s="4">
        <f t="shared" ref="T1027:T1090" si="83">J1027*K1027</f>
        <v>98298.16</v>
      </c>
      <c r="U1027" s="4" t="str">
        <f t="shared" ref="U1027:U1090" si="84">IF(R1027&gt;=4,"Good","Average")</f>
        <v>Good</v>
      </c>
      <c r="V1027" s="4" t="str">
        <f t="shared" ref="V1027:V1090" si="85">IF(T1027&gt;200000,"Excellent",IF(T1027&gt;100000,"Good",IF(T1027&gt;50000,"Average","Low")))</f>
        <v>Average</v>
      </c>
      <c r="W1027" s="4"/>
      <c r="X1027" s="4"/>
      <c r="AJ1027" s="4"/>
    </row>
    <row r="1028" spans="1:36">
      <c r="A1028" t="str">
        <f t="shared" si="81"/>
        <v>Umes571027</v>
      </c>
      <c r="B1028">
        <v>1027</v>
      </c>
      <c r="C1028">
        <v>29</v>
      </c>
      <c r="D1028">
        <v>7</v>
      </c>
      <c r="E1028">
        <v>2022</v>
      </c>
      <c r="F1028" s="1">
        <f t="shared" si="82"/>
        <v>44771</v>
      </c>
      <c r="G1028" s="1" t="s">
        <v>683</v>
      </c>
      <c r="H1028" s="2">
        <v>45504</v>
      </c>
      <c r="I1028" t="s">
        <v>43</v>
      </c>
      <c r="J1028">
        <v>8</v>
      </c>
      <c r="K1028">
        <v>56428.04</v>
      </c>
      <c r="L1028" t="s">
        <v>612</v>
      </c>
      <c r="M1028">
        <v>57</v>
      </c>
      <c r="N1028" t="s">
        <v>61</v>
      </c>
      <c r="O1028" s="3" t="s">
        <v>22</v>
      </c>
      <c r="P1028" t="s">
        <v>29</v>
      </c>
      <c r="Q1028" t="s">
        <v>56</v>
      </c>
      <c r="R1028">
        <v>4</v>
      </c>
      <c r="S1028" t="s">
        <v>46</v>
      </c>
      <c r="T1028" s="4">
        <f t="shared" si="83"/>
        <v>451424.32</v>
      </c>
      <c r="U1028" s="4" t="str">
        <f t="shared" si="84"/>
        <v>Good</v>
      </c>
      <c r="V1028" s="4" t="str">
        <f t="shared" si="85"/>
        <v>Excellent</v>
      </c>
      <c r="W1028" s="4"/>
      <c r="X1028" s="4"/>
      <c r="AJ1028" s="4"/>
    </row>
    <row r="1029" spans="1:36">
      <c r="A1029" t="str">
        <f t="shared" si="81"/>
        <v>Kris201028</v>
      </c>
      <c r="B1029">
        <v>1028</v>
      </c>
      <c r="C1029">
        <v>30</v>
      </c>
      <c r="D1029">
        <v>7</v>
      </c>
      <c r="E1029">
        <v>2022</v>
      </c>
      <c r="F1029" s="1">
        <f t="shared" si="82"/>
        <v>44772</v>
      </c>
      <c r="G1029" s="1" t="s">
        <v>683</v>
      </c>
      <c r="H1029" s="2">
        <v>45505</v>
      </c>
      <c r="I1029" t="s">
        <v>26</v>
      </c>
      <c r="J1029">
        <v>4</v>
      </c>
      <c r="K1029">
        <v>31501.75</v>
      </c>
      <c r="L1029" t="s">
        <v>723</v>
      </c>
      <c r="M1029">
        <v>20</v>
      </c>
      <c r="N1029" t="s">
        <v>36</v>
      </c>
      <c r="O1029" s="3" t="s">
        <v>22</v>
      </c>
      <c r="P1029" t="s">
        <v>137</v>
      </c>
      <c r="Q1029" t="s">
        <v>24</v>
      </c>
      <c r="R1029">
        <v>5</v>
      </c>
      <c r="S1029" t="s">
        <v>67</v>
      </c>
      <c r="T1029" s="4">
        <f t="shared" si="83"/>
        <v>126007</v>
      </c>
      <c r="U1029" s="4" t="str">
        <f t="shared" si="84"/>
        <v>Good</v>
      </c>
      <c r="V1029" s="4" t="str">
        <f t="shared" si="85"/>
        <v>Good</v>
      </c>
      <c r="W1029" s="4"/>
      <c r="X1029" s="4"/>
      <c r="AJ1029" s="4"/>
    </row>
    <row r="1030" spans="1:36">
      <c r="A1030" t="str">
        <f t="shared" si="81"/>
        <v>Lali191029</v>
      </c>
      <c r="B1030">
        <v>1029</v>
      </c>
      <c r="C1030">
        <v>30</v>
      </c>
      <c r="D1030">
        <v>7</v>
      </c>
      <c r="E1030">
        <v>2022</v>
      </c>
      <c r="F1030" s="1">
        <f t="shared" si="82"/>
        <v>44772</v>
      </c>
      <c r="G1030" s="1" t="s">
        <v>683</v>
      </c>
      <c r="H1030" s="2">
        <v>45506</v>
      </c>
      <c r="I1030" t="s">
        <v>19</v>
      </c>
      <c r="J1030">
        <v>9</v>
      </c>
      <c r="K1030">
        <v>20991.89</v>
      </c>
      <c r="L1030" t="s">
        <v>724</v>
      </c>
      <c r="M1030">
        <v>19</v>
      </c>
      <c r="N1030" t="s">
        <v>36</v>
      </c>
      <c r="O1030" s="3" t="s">
        <v>22</v>
      </c>
      <c r="P1030" t="s">
        <v>93</v>
      </c>
      <c r="Q1030" t="s">
        <v>24</v>
      </c>
      <c r="R1030">
        <v>4</v>
      </c>
      <c r="S1030" t="s">
        <v>37</v>
      </c>
      <c r="T1030" s="4">
        <f t="shared" si="83"/>
        <v>188927.01</v>
      </c>
      <c r="U1030" s="4" t="str">
        <f t="shared" si="84"/>
        <v>Good</v>
      </c>
      <c r="V1030" s="4" t="str">
        <f t="shared" si="85"/>
        <v>Good</v>
      </c>
      <c r="W1030" s="4"/>
      <c r="X1030" s="4"/>
      <c r="AJ1030" s="4"/>
    </row>
    <row r="1031" spans="1:36">
      <c r="A1031" t="str">
        <f t="shared" si="81"/>
        <v>Kavi551030</v>
      </c>
      <c r="B1031">
        <v>1030</v>
      </c>
      <c r="C1031">
        <v>30</v>
      </c>
      <c r="D1031">
        <v>7</v>
      </c>
      <c r="E1031">
        <v>2022</v>
      </c>
      <c r="F1031" s="1">
        <f t="shared" si="82"/>
        <v>44772</v>
      </c>
      <c r="G1031" s="1" t="s">
        <v>683</v>
      </c>
      <c r="H1031" s="2">
        <v>45507</v>
      </c>
      <c r="I1031" t="s">
        <v>38</v>
      </c>
      <c r="J1031">
        <v>4</v>
      </c>
      <c r="K1031">
        <v>48566.42</v>
      </c>
      <c r="L1031" t="s">
        <v>725</v>
      </c>
      <c r="M1031">
        <v>55</v>
      </c>
      <c r="N1031" t="s">
        <v>61</v>
      </c>
      <c r="O1031" s="3" t="s">
        <v>22</v>
      </c>
      <c r="P1031" t="s">
        <v>29</v>
      </c>
      <c r="Q1031" t="s">
        <v>30</v>
      </c>
      <c r="R1031">
        <v>4</v>
      </c>
      <c r="S1031" t="s">
        <v>42</v>
      </c>
      <c r="T1031" s="4">
        <f t="shared" si="83"/>
        <v>194265.68</v>
      </c>
      <c r="U1031" s="4" t="str">
        <f t="shared" si="84"/>
        <v>Good</v>
      </c>
      <c r="V1031" s="4" t="str">
        <f t="shared" si="85"/>
        <v>Good</v>
      </c>
      <c r="W1031" s="4"/>
      <c r="X1031" s="4"/>
      <c r="AJ1031" s="4"/>
    </row>
    <row r="1032" spans="1:36">
      <c r="A1032" t="str">
        <f t="shared" si="81"/>
        <v>Neet411031</v>
      </c>
      <c r="B1032">
        <v>1031</v>
      </c>
      <c r="C1032">
        <v>30</v>
      </c>
      <c r="D1032">
        <v>7</v>
      </c>
      <c r="E1032">
        <v>2022</v>
      </c>
      <c r="F1032" s="1">
        <f t="shared" si="82"/>
        <v>44772</v>
      </c>
      <c r="G1032" s="1" t="s">
        <v>683</v>
      </c>
      <c r="H1032" s="2">
        <v>45508</v>
      </c>
      <c r="I1032" t="s">
        <v>19</v>
      </c>
      <c r="J1032">
        <v>8</v>
      </c>
      <c r="K1032">
        <v>29666.27</v>
      </c>
      <c r="L1032" t="s">
        <v>726</v>
      </c>
      <c r="M1032">
        <v>41</v>
      </c>
      <c r="N1032" t="s">
        <v>21</v>
      </c>
      <c r="O1032" s="3" t="s">
        <v>22</v>
      </c>
      <c r="P1032" t="s">
        <v>90</v>
      </c>
      <c r="Q1032" t="s">
        <v>30</v>
      </c>
      <c r="R1032">
        <v>5</v>
      </c>
      <c r="S1032" t="s">
        <v>37</v>
      </c>
      <c r="T1032" s="4">
        <f t="shared" si="83"/>
        <v>237330.16</v>
      </c>
      <c r="U1032" s="4" t="str">
        <f t="shared" si="84"/>
        <v>Good</v>
      </c>
      <c r="V1032" s="4" t="str">
        <f t="shared" si="85"/>
        <v>Excellent</v>
      </c>
      <c r="W1032" s="4"/>
      <c r="X1032" s="4"/>
      <c r="AJ1032" s="4"/>
    </row>
    <row r="1033" spans="1:36">
      <c r="A1033" t="str">
        <f t="shared" si="81"/>
        <v>Nami461032</v>
      </c>
      <c r="B1033">
        <v>1032</v>
      </c>
      <c r="C1033">
        <v>31</v>
      </c>
      <c r="D1033">
        <v>7</v>
      </c>
      <c r="E1033">
        <v>2022</v>
      </c>
      <c r="F1033" s="1">
        <f t="shared" si="82"/>
        <v>44773</v>
      </c>
      <c r="G1033" s="1" t="s">
        <v>683</v>
      </c>
      <c r="H1033" s="2">
        <v>45509</v>
      </c>
      <c r="I1033" t="s">
        <v>38</v>
      </c>
      <c r="J1033">
        <v>9</v>
      </c>
      <c r="K1033">
        <v>61604.41</v>
      </c>
      <c r="L1033" t="s">
        <v>727</v>
      </c>
      <c r="M1033">
        <v>46</v>
      </c>
      <c r="N1033" t="s">
        <v>61</v>
      </c>
      <c r="O1033" s="3" t="s">
        <v>28</v>
      </c>
      <c r="P1033" t="s">
        <v>117</v>
      </c>
      <c r="Q1033" t="s">
        <v>41</v>
      </c>
      <c r="R1033">
        <v>3</v>
      </c>
      <c r="S1033" t="s">
        <v>42</v>
      </c>
      <c r="T1033" s="4">
        <f t="shared" si="83"/>
        <v>554439.69000000006</v>
      </c>
      <c r="U1033" s="4" t="str">
        <f t="shared" si="84"/>
        <v>Average</v>
      </c>
      <c r="V1033" s="4" t="str">
        <f t="shared" si="85"/>
        <v>Excellent</v>
      </c>
      <c r="W1033" s="4"/>
      <c r="X1033" s="4"/>
      <c r="AJ1033" s="4"/>
    </row>
    <row r="1034" spans="1:36">
      <c r="A1034" t="str">
        <f t="shared" si="81"/>
        <v>Anan511033</v>
      </c>
      <c r="B1034">
        <v>1033</v>
      </c>
      <c r="C1034">
        <v>31</v>
      </c>
      <c r="D1034">
        <v>7</v>
      </c>
      <c r="E1034">
        <v>2022</v>
      </c>
      <c r="F1034" s="1">
        <f t="shared" si="82"/>
        <v>44773</v>
      </c>
      <c r="G1034" s="1" t="s">
        <v>683</v>
      </c>
      <c r="H1034" s="2">
        <v>45510</v>
      </c>
      <c r="I1034" t="s">
        <v>19</v>
      </c>
      <c r="J1034">
        <v>9</v>
      </c>
      <c r="K1034">
        <v>17357.68</v>
      </c>
      <c r="L1034" t="s">
        <v>248</v>
      </c>
      <c r="M1034">
        <v>51</v>
      </c>
      <c r="N1034" t="s">
        <v>61</v>
      </c>
      <c r="O1034" s="3" t="s">
        <v>22</v>
      </c>
      <c r="P1034" t="s">
        <v>93</v>
      </c>
      <c r="Q1034" t="s">
        <v>30</v>
      </c>
      <c r="R1034">
        <v>5</v>
      </c>
      <c r="S1034" t="s">
        <v>84</v>
      </c>
      <c r="T1034" s="4">
        <f t="shared" si="83"/>
        <v>156219.12</v>
      </c>
      <c r="U1034" s="4" t="str">
        <f t="shared" si="84"/>
        <v>Good</v>
      </c>
      <c r="V1034" s="4" t="str">
        <f t="shared" si="85"/>
        <v>Good</v>
      </c>
      <c r="W1034" s="4"/>
      <c r="X1034" s="4"/>
      <c r="AJ1034" s="4"/>
    </row>
    <row r="1035" spans="1:36">
      <c r="A1035" t="str">
        <f t="shared" si="81"/>
        <v>Kavi371034</v>
      </c>
      <c r="B1035">
        <v>1034</v>
      </c>
      <c r="C1035">
        <v>31</v>
      </c>
      <c r="D1035">
        <v>7</v>
      </c>
      <c r="E1035">
        <v>2022</v>
      </c>
      <c r="F1035" s="1">
        <f t="shared" si="82"/>
        <v>44773</v>
      </c>
      <c r="G1035" s="1" t="s">
        <v>683</v>
      </c>
      <c r="H1035" s="2">
        <v>45511</v>
      </c>
      <c r="I1035" t="s">
        <v>49</v>
      </c>
      <c r="J1035">
        <v>4</v>
      </c>
      <c r="K1035">
        <v>36007.82</v>
      </c>
      <c r="L1035" t="s">
        <v>524</v>
      </c>
      <c r="M1035">
        <v>37</v>
      </c>
      <c r="N1035" t="s">
        <v>21</v>
      </c>
      <c r="O1035" s="3" t="s">
        <v>22</v>
      </c>
      <c r="P1035" t="s">
        <v>29</v>
      </c>
      <c r="Q1035" t="s">
        <v>41</v>
      </c>
      <c r="R1035">
        <v>5</v>
      </c>
      <c r="S1035" t="s">
        <v>102</v>
      </c>
      <c r="T1035" s="4">
        <f t="shared" si="83"/>
        <v>144031.28</v>
      </c>
      <c r="U1035" s="4" t="str">
        <f t="shared" si="84"/>
        <v>Good</v>
      </c>
      <c r="V1035" s="4" t="str">
        <f t="shared" si="85"/>
        <v>Good</v>
      </c>
      <c r="W1035" s="4"/>
      <c r="X1035" s="4"/>
      <c r="AJ1035" s="4"/>
    </row>
    <row r="1036" spans="1:36">
      <c r="A1036" t="str">
        <f t="shared" si="81"/>
        <v>Arun351035</v>
      </c>
      <c r="B1036">
        <v>1035</v>
      </c>
      <c r="C1036">
        <v>31</v>
      </c>
      <c r="D1036">
        <v>7</v>
      </c>
      <c r="E1036">
        <v>2022</v>
      </c>
      <c r="F1036" s="1">
        <f t="shared" si="82"/>
        <v>44773</v>
      </c>
      <c r="G1036" s="1" t="s">
        <v>683</v>
      </c>
      <c r="H1036" s="2">
        <v>45512</v>
      </c>
      <c r="I1036" t="s">
        <v>49</v>
      </c>
      <c r="J1036">
        <v>1</v>
      </c>
      <c r="K1036">
        <v>33803.660000000003</v>
      </c>
      <c r="L1036" t="s">
        <v>728</v>
      </c>
      <c r="M1036">
        <v>35</v>
      </c>
      <c r="N1036" t="s">
        <v>21</v>
      </c>
      <c r="O1036" s="3" t="s">
        <v>22</v>
      </c>
      <c r="P1036" t="s">
        <v>137</v>
      </c>
      <c r="Q1036" t="s">
        <v>30</v>
      </c>
      <c r="R1036">
        <v>5</v>
      </c>
      <c r="S1036" t="s">
        <v>52</v>
      </c>
      <c r="T1036" s="4">
        <f t="shared" si="83"/>
        <v>33803.660000000003</v>
      </c>
      <c r="U1036" s="4" t="str">
        <f t="shared" si="84"/>
        <v>Good</v>
      </c>
      <c r="V1036" s="4" t="str">
        <f t="shared" si="85"/>
        <v>Low</v>
      </c>
      <c r="W1036" s="4"/>
      <c r="X1036" s="4"/>
      <c r="AJ1036" s="4"/>
    </row>
    <row r="1037" spans="1:36">
      <c r="A1037" t="str">
        <f t="shared" si="81"/>
        <v>Kira311036</v>
      </c>
      <c r="B1037">
        <v>1036</v>
      </c>
      <c r="C1037">
        <v>1</v>
      </c>
      <c r="D1037">
        <v>8</v>
      </c>
      <c r="E1037">
        <v>2022</v>
      </c>
      <c r="F1037" s="1">
        <f t="shared" si="82"/>
        <v>44774</v>
      </c>
      <c r="G1037" s="1" t="s">
        <v>729</v>
      </c>
      <c r="H1037" s="2">
        <v>45513</v>
      </c>
      <c r="I1037" t="s">
        <v>49</v>
      </c>
      <c r="J1037">
        <v>3</v>
      </c>
      <c r="K1037">
        <v>66283.23</v>
      </c>
      <c r="L1037" t="s">
        <v>265</v>
      </c>
      <c r="M1037">
        <v>31</v>
      </c>
      <c r="N1037" t="s">
        <v>21</v>
      </c>
      <c r="O1037" s="3" t="s">
        <v>22</v>
      </c>
      <c r="P1037" t="s">
        <v>29</v>
      </c>
      <c r="Q1037" t="s">
        <v>56</v>
      </c>
      <c r="R1037">
        <v>5</v>
      </c>
      <c r="S1037" t="s">
        <v>88</v>
      </c>
      <c r="T1037" s="4">
        <f t="shared" si="83"/>
        <v>198849.69</v>
      </c>
      <c r="U1037" s="4" t="str">
        <f t="shared" si="84"/>
        <v>Good</v>
      </c>
      <c r="V1037" s="4" t="str">
        <f t="shared" si="85"/>
        <v>Good</v>
      </c>
      <c r="W1037" s="4"/>
      <c r="X1037" s="4"/>
      <c r="AJ1037" s="4"/>
    </row>
    <row r="1038" spans="1:36">
      <c r="A1038" t="str">
        <f t="shared" si="81"/>
        <v>Bina351037</v>
      </c>
      <c r="B1038">
        <v>1037</v>
      </c>
      <c r="C1038">
        <v>1</v>
      </c>
      <c r="D1038">
        <v>8</v>
      </c>
      <c r="E1038">
        <v>2022</v>
      </c>
      <c r="F1038" s="1">
        <f t="shared" si="82"/>
        <v>44774</v>
      </c>
      <c r="G1038" s="1" t="s">
        <v>729</v>
      </c>
      <c r="H1038" s="2">
        <v>45514</v>
      </c>
      <c r="I1038" t="s">
        <v>43</v>
      </c>
      <c r="J1038">
        <v>9</v>
      </c>
      <c r="K1038">
        <v>19188.09</v>
      </c>
      <c r="L1038" t="s">
        <v>572</v>
      </c>
      <c r="M1038">
        <v>35</v>
      </c>
      <c r="N1038" t="s">
        <v>21</v>
      </c>
      <c r="O1038" s="3" t="s">
        <v>22</v>
      </c>
      <c r="P1038" t="s">
        <v>45</v>
      </c>
      <c r="Q1038" t="s">
        <v>30</v>
      </c>
      <c r="R1038">
        <v>5</v>
      </c>
      <c r="S1038" t="s">
        <v>57</v>
      </c>
      <c r="T1038" s="4">
        <f t="shared" si="83"/>
        <v>172692.81</v>
      </c>
      <c r="U1038" s="4" t="str">
        <f t="shared" si="84"/>
        <v>Good</v>
      </c>
      <c r="V1038" s="4" t="str">
        <f t="shared" si="85"/>
        <v>Good</v>
      </c>
      <c r="W1038" s="4"/>
      <c r="X1038" s="4"/>
      <c r="AJ1038" s="4"/>
    </row>
    <row r="1039" spans="1:36">
      <c r="A1039" t="str">
        <f t="shared" si="81"/>
        <v>Deve191038</v>
      </c>
      <c r="B1039">
        <v>1038</v>
      </c>
      <c r="C1039">
        <v>1</v>
      </c>
      <c r="D1039">
        <v>8</v>
      </c>
      <c r="E1039">
        <v>2022</v>
      </c>
      <c r="F1039" s="1">
        <f t="shared" si="82"/>
        <v>44774</v>
      </c>
      <c r="G1039" s="1" t="s">
        <v>729</v>
      </c>
      <c r="H1039" s="2">
        <v>45515</v>
      </c>
      <c r="I1039" t="s">
        <v>38</v>
      </c>
      <c r="J1039">
        <v>4</v>
      </c>
      <c r="K1039">
        <v>10590.81</v>
      </c>
      <c r="L1039" t="s">
        <v>422</v>
      </c>
      <c r="M1039">
        <v>19</v>
      </c>
      <c r="N1039" t="s">
        <v>36</v>
      </c>
      <c r="O1039" s="3" t="s">
        <v>22</v>
      </c>
      <c r="P1039" t="s">
        <v>77</v>
      </c>
      <c r="Q1039" t="s">
        <v>56</v>
      </c>
      <c r="R1039">
        <v>4</v>
      </c>
      <c r="S1039" t="s">
        <v>99</v>
      </c>
      <c r="T1039" s="4">
        <f t="shared" si="83"/>
        <v>42363.24</v>
      </c>
      <c r="U1039" s="4" t="str">
        <f t="shared" si="84"/>
        <v>Good</v>
      </c>
      <c r="V1039" s="4" t="str">
        <f t="shared" si="85"/>
        <v>Low</v>
      </c>
      <c r="W1039" s="4"/>
      <c r="X1039" s="4"/>
      <c r="AJ1039" s="4"/>
    </row>
    <row r="1040" spans="1:36">
      <c r="A1040" t="str">
        <f t="shared" si="81"/>
        <v>Lali181039</v>
      </c>
      <c r="B1040">
        <v>1039</v>
      </c>
      <c r="C1040">
        <v>1</v>
      </c>
      <c r="D1040">
        <v>8</v>
      </c>
      <c r="E1040">
        <v>2022</v>
      </c>
      <c r="F1040" s="1">
        <f t="shared" si="82"/>
        <v>44774</v>
      </c>
      <c r="G1040" s="1" t="s">
        <v>729</v>
      </c>
      <c r="H1040" s="2">
        <v>45516</v>
      </c>
      <c r="I1040" t="s">
        <v>49</v>
      </c>
      <c r="J1040">
        <v>5</v>
      </c>
      <c r="K1040">
        <v>24285.11</v>
      </c>
      <c r="L1040" t="s">
        <v>730</v>
      </c>
      <c r="M1040">
        <v>18</v>
      </c>
      <c r="N1040" t="s">
        <v>36</v>
      </c>
      <c r="O1040" s="3" t="s">
        <v>28</v>
      </c>
      <c r="P1040" t="s">
        <v>114</v>
      </c>
      <c r="Q1040" t="s">
        <v>41</v>
      </c>
      <c r="R1040">
        <v>3</v>
      </c>
      <c r="S1040" t="s">
        <v>52</v>
      </c>
      <c r="T1040" s="4">
        <f t="shared" si="83"/>
        <v>121425.55</v>
      </c>
      <c r="U1040" s="4" t="str">
        <f t="shared" si="84"/>
        <v>Average</v>
      </c>
      <c r="V1040" s="4" t="str">
        <f t="shared" si="85"/>
        <v>Good</v>
      </c>
      <c r="W1040" s="4"/>
      <c r="X1040" s="4"/>
      <c r="AJ1040" s="4"/>
    </row>
    <row r="1041" spans="1:36">
      <c r="A1041" t="str">
        <f t="shared" si="81"/>
        <v>Tanu371040</v>
      </c>
      <c r="B1041">
        <v>1040</v>
      </c>
      <c r="C1041">
        <v>2</v>
      </c>
      <c r="D1041">
        <v>8</v>
      </c>
      <c r="E1041">
        <v>2022</v>
      </c>
      <c r="F1041" s="1">
        <f t="shared" si="82"/>
        <v>44775</v>
      </c>
      <c r="G1041" s="1" t="s">
        <v>729</v>
      </c>
      <c r="H1041" s="2">
        <v>45517</v>
      </c>
      <c r="I1041" t="s">
        <v>43</v>
      </c>
      <c r="J1041">
        <v>7</v>
      </c>
      <c r="K1041">
        <v>59216.61</v>
      </c>
      <c r="L1041" t="s">
        <v>599</v>
      </c>
      <c r="M1041">
        <v>37</v>
      </c>
      <c r="N1041" t="s">
        <v>21</v>
      </c>
      <c r="O1041" s="3" t="s">
        <v>28</v>
      </c>
      <c r="P1041" t="s">
        <v>29</v>
      </c>
      <c r="Q1041" t="s">
        <v>30</v>
      </c>
      <c r="R1041">
        <v>3</v>
      </c>
      <c r="S1041" t="s">
        <v>95</v>
      </c>
      <c r="T1041" s="4">
        <f t="shared" si="83"/>
        <v>414516.27</v>
      </c>
      <c r="U1041" s="4" t="str">
        <f t="shared" si="84"/>
        <v>Average</v>
      </c>
      <c r="V1041" s="4" t="str">
        <f t="shared" si="85"/>
        <v>Excellent</v>
      </c>
      <c r="W1041" s="4"/>
      <c r="X1041" s="4"/>
      <c r="AJ1041" s="4"/>
    </row>
    <row r="1042" spans="1:36">
      <c r="A1042" t="str">
        <f t="shared" si="81"/>
        <v>Pras511041</v>
      </c>
      <c r="B1042">
        <v>1041</v>
      </c>
      <c r="C1042">
        <v>2</v>
      </c>
      <c r="D1042">
        <v>8</v>
      </c>
      <c r="E1042">
        <v>2022</v>
      </c>
      <c r="F1042" s="1">
        <f t="shared" si="82"/>
        <v>44775</v>
      </c>
      <c r="G1042" s="1" t="s">
        <v>729</v>
      </c>
      <c r="H1042" s="2">
        <v>45518</v>
      </c>
      <c r="I1042" t="s">
        <v>38</v>
      </c>
      <c r="J1042">
        <v>5</v>
      </c>
      <c r="K1042">
        <v>22559.31</v>
      </c>
      <c r="L1042" t="s">
        <v>711</v>
      </c>
      <c r="M1042">
        <v>51</v>
      </c>
      <c r="N1042" t="s">
        <v>61</v>
      </c>
      <c r="O1042" s="3" t="s">
        <v>22</v>
      </c>
      <c r="P1042" t="s">
        <v>29</v>
      </c>
      <c r="Q1042" t="s">
        <v>30</v>
      </c>
      <c r="R1042">
        <v>5</v>
      </c>
      <c r="S1042" t="s">
        <v>42</v>
      </c>
      <c r="T1042" s="4">
        <f t="shared" si="83"/>
        <v>112796.55</v>
      </c>
      <c r="U1042" s="4" t="str">
        <f t="shared" si="84"/>
        <v>Good</v>
      </c>
      <c r="V1042" s="4" t="str">
        <f t="shared" si="85"/>
        <v>Good</v>
      </c>
      <c r="W1042" s="4"/>
      <c r="X1042" s="4"/>
      <c r="AJ1042" s="4"/>
    </row>
    <row r="1043" spans="1:36">
      <c r="A1043" t="str">
        <f t="shared" si="81"/>
        <v>Raje581042</v>
      </c>
      <c r="B1043">
        <v>1042</v>
      </c>
      <c r="C1043">
        <v>2</v>
      </c>
      <c r="D1043">
        <v>8</v>
      </c>
      <c r="E1043">
        <v>2022</v>
      </c>
      <c r="F1043" s="1">
        <f t="shared" si="82"/>
        <v>44775</v>
      </c>
      <c r="G1043" s="1" t="s">
        <v>729</v>
      </c>
      <c r="H1043" s="2">
        <v>45519</v>
      </c>
      <c r="I1043" t="s">
        <v>19</v>
      </c>
      <c r="J1043">
        <v>4</v>
      </c>
      <c r="K1043">
        <v>24452.68</v>
      </c>
      <c r="L1043" t="s">
        <v>564</v>
      </c>
      <c r="M1043">
        <v>58</v>
      </c>
      <c r="N1043" t="s">
        <v>61</v>
      </c>
      <c r="O1043" s="3" t="s">
        <v>22</v>
      </c>
      <c r="P1043" t="s">
        <v>33</v>
      </c>
      <c r="Q1043" t="s">
        <v>30</v>
      </c>
      <c r="R1043">
        <v>5</v>
      </c>
      <c r="S1043" t="s">
        <v>84</v>
      </c>
      <c r="T1043" s="4">
        <f t="shared" si="83"/>
        <v>97810.72</v>
      </c>
      <c r="U1043" s="4" t="str">
        <f t="shared" si="84"/>
        <v>Good</v>
      </c>
      <c r="V1043" s="4" t="str">
        <f t="shared" si="85"/>
        <v>Average</v>
      </c>
      <c r="W1043" s="4"/>
      <c r="X1043" s="4"/>
      <c r="AJ1043" s="4"/>
    </row>
    <row r="1044" spans="1:36">
      <c r="A1044" t="str">
        <f t="shared" si="81"/>
        <v>Jyot581043</v>
      </c>
      <c r="B1044">
        <v>1043</v>
      </c>
      <c r="C1044">
        <v>3</v>
      </c>
      <c r="D1044">
        <v>8</v>
      </c>
      <c r="E1044">
        <v>2022</v>
      </c>
      <c r="F1044" s="1">
        <f t="shared" si="82"/>
        <v>44776</v>
      </c>
      <c r="G1044" s="1" t="s">
        <v>729</v>
      </c>
      <c r="H1044" s="2">
        <v>45520</v>
      </c>
      <c r="I1044" t="s">
        <v>43</v>
      </c>
      <c r="J1044">
        <v>2</v>
      </c>
      <c r="K1044">
        <v>17793.93</v>
      </c>
      <c r="L1044" t="s">
        <v>731</v>
      </c>
      <c r="M1044">
        <v>58</v>
      </c>
      <c r="N1044" t="s">
        <v>61</v>
      </c>
      <c r="O1044" s="3" t="s">
        <v>22</v>
      </c>
      <c r="P1044" t="s">
        <v>29</v>
      </c>
      <c r="Q1044" t="s">
        <v>56</v>
      </c>
      <c r="R1044">
        <v>5</v>
      </c>
      <c r="S1044" t="s">
        <v>95</v>
      </c>
      <c r="T1044" s="4">
        <f t="shared" si="83"/>
        <v>35587.86</v>
      </c>
      <c r="U1044" s="4" t="str">
        <f t="shared" si="84"/>
        <v>Good</v>
      </c>
      <c r="V1044" s="4" t="str">
        <f t="shared" si="85"/>
        <v>Low</v>
      </c>
      <c r="W1044" s="4"/>
      <c r="X1044" s="4"/>
      <c r="AJ1044" s="4"/>
    </row>
    <row r="1045" spans="1:36">
      <c r="A1045" t="str">
        <f t="shared" si="81"/>
        <v>Sach281044</v>
      </c>
      <c r="B1045">
        <v>1044</v>
      </c>
      <c r="C1045">
        <v>3</v>
      </c>
      <c r="D1045">
        <v>8</v>
      </c>
      <c r="E1045">
        <v>2022</v>
      </c>
      <c r="F1045" s="1">
        <f t="shared" si="82"/>
        <v>44776</v>
      </c>
      <c r="G1045" s="1" t="s">
        <v>729</v>
      </c>
      <c r="H1045" s="2">
        <v>45521</v>
      </c>
      <c r="I1045" t="s">
        <v>26</v>
      </c>
      <c r="J1045">
        <v>2</v>
      </c>
      <c r="K1045">
        <v>52926.17</v>
      </c>
      <c r="L1045" t="s">
        <v>198</v>
      </c>
      <c r="M1045">
        <v>28</v>
      </c>
      <c r="N1045" t="s">
        <v>36</v>
      </c>
      <c r="O1045" s="3" t="s">
        <v>22</v>
      </c>
      <c r="P1045" t="s">
        <v>150</v>
      </c>
      <c r="Q1045" t="s">
        <v>56</v>
      </c>
      <c r="R1045">
        <v>5</v>
      </c>
      <c r="S1045" t="s">
        <v>34</v>
      </c>
      <c r="T1045" s="4">
        <f t="shared" si="83"/>
        <v>105852.34</v>
      </c>
      <c r="U1045" s="4" t="str">
        <f t="shared" si="84"/>
        <v>Good</v>
      </c>
      <c r="V1045" s="4" t="str">
        <f t="shared" si="85"/>
        <v>Good</v>
      </c>
      <c r="W1045" s="4"/>
      <c r="X1045" s="4"/>
      <c r="AJ1045" s="4"/>
    </row>
    <row r="1046" spans="1:36">
      <c r="A1046" t="str">
        <f t="shared" si="81"/>
        <v>Pank441045</v>
      </c>
      <c r="B1046">
        <v>1045</v>
      </c>
      <c r="C1046">
        <v>3</v>
      </c>
      <c r="D1046">
        <v>8</v>
      </c>
      <c r="E1046">
        <v>2022</v>
      </c>
      <c r="F1046" s="1">
        <f t="shared" si="82"/>
        <v>44776</v>
      </c>
      <c r="G1046" s="1" t="s">
        <v>729</v>
      </c>
      <c r="H1046" s="2">
        <v>45522</v>
      </c>
      <c r="I1046" t="s">
        <v>43</v>
      </c>
      <c r="J1046">
        <v>4</v>
      </c>
      <c r="K1046">
        <v>14150.45</v>
      </c>
      <c r="L1046" t="s">
        <v>178</v>
      </c>
      <c r="M1046">
        <v>44</v>
      </c>
      <c r="N1046" t="s">
        <v>21</v>
      </c>
      <c r="O1046" s="3" t="s">
        <v>22</v>
      </c>
      <c r="P1046" t="s">
        <v>29</v>
      </c>
      <c r="Q1046" t="s">
        <v>30</v>
      </c>
      <c r="R1046">
        <v>5</v>
      </c>
      <c r="S1046" t="s">
        <v>95</v>
      </c>
      <c r="T1046" s="4">
        <f t="shared" si="83"/>
        <v>56601.8</v>
      </c>
      <c r="U1046" s="4" t="str">
        <f t="shared" si="84"/>
        <v>Good</v>
      </c>
      <c r="V1046" s="4" t="str">
        <f t="shared" si="85"/>
        <v>Average</v>
      </c>
      <c r="W1046" s="4"/>
      <c r="X1046" s="4"/>
      <c r="AJ1046" s="4"/>
    </row>
    <row r="1047" spans="1:36">
      <c r="A1047" t="str">
        <f t="shared" si="81"/>
        <v>Meen401046</v>
      </c>
      <c r="B1047">
        <v>1046</v>
      </c>
      <c r="C1047">
        <v>4</v>
      </c>
      <c r="D1047">
        <v>8</v>
      </c>
      <c r="E1047">
        <v>2022</v>
      </c>
      <c r="F1047" s="1">
        <f t="shared" si="82"/>
        <v>44777</v>
      </c>
      <c r="G1047" s="1" t="s">
        <v>729</v>
      </c>
      <c r="H1047" s="2">
        <v>45523</v>
      </c>
      <c r="I1047" t="s">
        <v>43</v>
      </c>
      <c r="J1047">
        <v>9</v>
      </c>
      <c r="K1047">
        <v>29872.5</v>
      </c>
      <c r="L1047" t="s">
        <v>732</v>
      </c>
      <c r="M1047">
        <v>40</v>
      </c>
      <c r="N1047" t="s">
        <v>21</v>
      </c>
      <c r="O1047" s="3" t="s">
        <v>22</v>
      </c>
      <c r="P1047" t="s">
        <v>132</v>
      </c>
      <c r="Q1047" t="s">
        <v>41</v>
      </c>
      <c r="R1047">
        <v>5</v>
      </c>
      <c r="S1047" t="s">
        <v>57</v>
      </c>
      <c r="T1047" s="4">
        <f t="shared" si="83"/>
        <v>268852.5</v>
      </c>
      <c r="U1047" s="4" t="str">
        <f t="shared" si="84"/>
        <v>Good</v>
      </c>
      <c r="V1047" s="4" t="str">
        <f t="shared" si="85"/>
        <v>Excellent</v>
      </c>
      <c r="W1047" s="4"/>
      <c r="X1047" s="4"/>
      <c r="AJ1047" s="4"/>
    </row>
    <row r="1048" spans="1:36">
      <c r="A1048" t="str">
        <f t="shared" si="81"/>
        <v>Moni551047</v>
      </c>
      <c r="B1048">
        <v>1047</v>
      </c>
      <c r="C1048">
        <v>4</v>
      </c>
      <c r="D1048">
        <v>8</v>
      </c>
      <c r="E1048">
        <v>2022</v>
      </c>
      <c r="F1048" s="1">
        <f t="shared" si="82"/>
        <v>44777</v>
      </c>
      <c r="G1048" s="1" t="s">
        <v>729</v>
      </c>
      <c r="H1048" s="2">
        <v>45524</v>
      </c>
      <c r="I1048" t="s">
        <v>38</v>
      </c>
      <c r="J1048">
        <v>8</v>
      </c>
      <c r="K1048">
        <v>26949.919999999998</v>
      </c>
      <c r="L1048" t="s">
        <v>301</v>
      </c>
      <c r="M1048">
        <v>55</v>
      </c>
      <c r="N1048" t="s">
        <v>61</v>
      </c>
      <c r="O1048" s="3" t="s">
        <v>22</v>
      </c>
      <c r="P1048" t="s">
        <v>59</v>
      </c>
      <c r="Q1048" t="s">
        <v>56</v>
      </c>
      <c r="R1048">
        <v>5</v>
      </c>
      <c r="S1048" t="s">
        <v>99</v>
      </c>
      <c r="T1048" s="4">
        <f t="shared" si="83"/>
        <v>215599.35999999999</v>
      </c>
      <c r="U1048" s="4" t="str">
        <f t="shared" si="84"/>
        <v>Good</v>
      </c>
      <c r="V1048" s="4" t="str">
        <f t="shared" si="85"/>
        <v>Excellent</v>
      </c>
      <c r="W1048" s="4"/>
      <c r="X1048" s="4"/>
      <c r="AJ1048" s="4"/>
    </row>
    <row r="1049" spans="1:36">
      <c r="A1049" t="str">
        <f t="shared" si="81"/>
        <v>Tapa201048</v>
      </c>
      <c r="B1049">
        <v>1048</v>
      </c>
      <c r="C1049">
        <v>4</v>
      </c>
      <c r="D1049">
        <v>8</v>
      </c>
      <c r="E1049">
        <v>2022</v>
      </c>
      <c r="F1049" s="1">
        <f t="shared" si="82"/>
        <v>44777</v>
      </c>
      <c r="G1049" s="1" t="s">
        <v>729</v>
      </c>
      <c r="H1049" s="2">
        <v>45525</v>
      </c>
      <c r="I1049" t="s">
        <v>19</v>
      </c>
      <c r="J1049">
        <v>3</v>
      </c>
      <c r="K1049">
        <v>43309.58</v>
      </c>
      <c r="L1049" t="s">
        <v>733</v>
      </c>
      <c r="M1049">
        <v>20</v>
      </c>
      <c r="N1049" t="s">
        <v>36</v>
      </c>
      <c r="O1049" s="3" t="s">
        <v>22</v>
      </c>
      <c r="P1049" t="s">
        <v>33</v>
      </c>
      <c r="Q1049" t="s">
        <v>24</v>
      </c>
      <c r="R1049">
        <v>5</v>
      </c>
      <c r="S1049" t="s">
        <v>84</v>
      </c>
      <c r="T1049" s="4">
        <f t="shared" si="83"/>
        <v>129928.74</v>
      </c>
      <c r="U1049" s="4" t="str">
        <f t="shared" si="84"/>
        <v>Good</v>
      </c>
      <c r="V1049" s="4" t="str">
        <f t="shared" si="85"/>
        <v>Good</v>
      </c>
      <c r="W1049" s="4"/>
      <c r="X1049" s="4"/>
      <c r="AJ1049" s="4"/>
    </row>
    <row r="1050" spans="1:36">
      <c r="A1050" t="str">
        <f t="shared" si="81"/>
        <v>Suni291049</v>
      </c>
      <c r="B1050">
        <v>1049</v>
      </c>
      <c r="C1050">
        <v>4</v>
      </c>
      <c r="D1050">
        <v>8</v>
      </c>
      <c r="E1050">
        <v>2022</v>
      </c>
      <c r="F1050" s="1">
        <f t="shared" si="82"/>
        <v>44777</v>
      </c>
      <c r="G1050" s="1" t="s">
        <v>729</v>
      </c>
      <c r="H1050" s="2">
        <v>45526</v>
      </c>
      <c r="I1050" t="s">
        <v>26</v>
      </c>
      <c r="J1050">
        <v>9</v>
      </c>
      <c r="K1050">
        <v>53824.98</v>
      </c>
      <c r="L1050" t="s">
        <v>615</v>
      </c>
      <c r="M1050">
        <v>29</v>
      </c>
      <c r="N1050" t="s">
        <v>36</v>
      </c>
      <c r="O1050" s="3" t="s">
        <v>22</v>
      </c>
      <c r="P1050" t="s">
        <v>33</v>
      </c>
      <c r="Q1050" t="s">
        <v>41</v>
      </c>
      <c r="R1050">
        <v>5</v>
      </c>
      <c r="S1050" t="s">
        <v>67</v>
      </c>
      <c r="T1050" s="4">
        <f t="shared" si="83"/>
        <v>484424.82</v>
      </c>
      <c r="U1050" s="4" t="str">
        <f t="shared" si="84"/>
        <v>Good</v>
      </c>
      <c r="V1050" s="4" t="str">
        <f t="shared" si="85"/>
        <v>Excellent</v>
      </c>
      <c r="W1050" s="4"/>
      <c r="X1050" s="4"/>
      <c r="AJ1050" s="4"/>
    </row>
    <row r="1051" spans="1:36">
      <c r="A1051" t="str">
        <f t="shared" si="81"/>
        <v>Nami471050</v>
      </c>
      <c r="B1051">
        <v>1050</v>
      </c>
      <c r="C1051">
        <v>5</v>
      </c>
      <c r="D1051">
        <v>8</v>
      </c>
      <c r="E1051">
        <v>2022</v>
      </c>
      <c r="F1051" s="1">
        <f t="shared" si="82"/>
        <v>44778</v>
      </c>
      <c r="G1051" s="1" t="s">
        <v>729</v>
      </c>
      <c r="H1051" s="2">
        <v>45527</v>
      </c>
      <c r="I1051" t="s">
        <v>49</v>
      </c>
      <c r="J1051">
        <v>5</v>
      </c>
      <c r="K1051">
        <v>41972.59</v>
      </c>
      <c r="L1051" t="s">
        <v>727</v>
      </c>
      <c r="M1051">
        <v>47</v>
      </c>
      <c r="N1051" t="s">
        <v>61</v>
      </c>
      <c r="O1051" s="3" t="s">
        <v>22</v>
      </c>
      <c r="P1051" t="s">
        <v>66</v>
      </c>
      <c r="Q1051" t="s">
        <v>41</v>
      </c>
      <c r="R1051">
        <v>5</v>
      </c>
      <c r="S1051" t="s">
        <v>88</v>
      </c>
      <c r="T1051" s="4">
        <f t="shared" si="83"/>
        <v>209862.94999999998</v>
      </c>
      <c r="U1051" s="4" t="str">
        <f t="shared" si="84"/>
        <v>Good</v>
      </c>
      <c r="V1051" s="4" t="str">
        <f t="shared" si="85"/>
        <v>Excellent</v>
      </c>
      <c r="W1051" s="4"/>
      <c r="X1051" s="4"/>
      <c r="AJ1051" s="4"/>
    </row>
    <row r="1052" spans="1:36">
      <c r="A1052" t="str">
        <f t="shared" si="81"/>
        <v>Pras481051</v>
      </c>
      <c r="B1052">
        <v>1051</v>
      </c>
      <c r="C1052">
        <v>5</v>
      </c>
      <c r="D1052">
        <v>8</v>
      </c>
      <c r="E1052">
        <v>2022</v>
      </c>
      <c r="F1052" s="1">
        <f t="shared" si="82"/>
        <v>44778</v>
      </c>
      <c r="G1052" s="1" t="s">
        <v>729</v>
      </c>
      <c r="H1052" s="2">
        <v>45528</v>
      </c>
      <c r="I1052" t="s">
        <v>49</v>
      </c>
      <c r="J1052">
        <v>3</v>
      </c>
      <c r="K1052">
        <v>65861.56</v>
      </c>
      <c r="L1052" t="s">
        <v>734</v>
      </c>
      <c r="M1052">
        <v>48</v>
      </c>
      <c r="N1052" t="s">
        <v>61</v>
      </c>
      <c r="O1052" s="3" t="s">
        <v>22</v>
      </c>
      <c r="P1052" t="s">
        <v>45</v>
      </c>
      <c r="Q1052" t="s">
        <v>41</v>
      </c>
      <c r="R1052">
        <v>5</v>
      </c>
      <c r="S1052" t="s">
        <v>52</v>
      </c>
      <c r="T1052" s="4">
        <f t="shared" si="83"/>
        <v>197584.68</v>
      </c>
      <c r="U1052" s="4" t="str">
        <f t="shared" si="84"/>
        <v>Good</v>
      </c>
      <c r="V1052" s="4" t="str">
        <f t="shared" si="85"/>
        <v>Good</v>
      </c>
      <c r="W1052" s="4"/>
      <c r="X1052" s="4"/>
      <c r="AJ1052" s="4"/>
    </row>
    <row r="1053" spans="1:36">
      <c r="A1053" t="str">
        <f t="shared" si="81"/>
        <v>Kuna401052</v>
      </c>
      <c r="B1053">
        <v>1052</v>
      </c>
      <c r="C1053">
        <v>5</v>
      </c>
      <c r="D1053">
        <v>8</v>
      </c>
      <c r="E1053">
        <v>2022</v>
      </c>
      <c r="F1053" s="1">
        <f t="shared" si="82"/>
        <v>44778</v>
      </c>
      <c r="G1053" s="1" t="s">
        <v>729</v>
      </c>
      <c r="H1053" s="2">
        <v>45529</v>
      </c>
      <c r="I1053" t="s">
        <v>43</v>
      </c>
      <c r="J1053">
        <v>5</v>
      </c>
      <c r="K1053">
        <v>67086.559999999998</v>
      </c>
      <c r="L1053" t="s">
        <v>619</v>
      </c>
      <c r="M1053">
        <v>40</v>
      </c>
      <c r="N1053" t="s">
        <v>21</v>
      </c>
      <c r="O1053" s="3" t="s">
        <v>22</v>
      </c>
      <c r="P1053" t="s">
        <v>33</v>
      </c>
      <c r="Q1053" t="s">
        <v>56</v>
      </c>
      <c r="R1053">
        <v>5</v>
      </c>
      <c r="S1053" t="s">
        <v>46</v>
      </c>
      <c r="T1053" s="4">
        <f t="shared" si="83"/>
        <v>335432.8</v>
      </c>
      <c r="U1053" s="4" t="str">
        <f t="shared" si="84"/>
        <v>Good</v>
      </c>
      <c r="V1053" s="4" t="str">
        <f t="shared" si="85"/>
        <v>Excellent</v>
      </c>
      <c r="W1053" s="4"/>
      <c r="X1053" s="4"/>
      <c r="AJ1053" s="4"/>
    </row>
    <row r="1054" spans="1:36">
      <c r="A1054" t="str">
        <f t="shared" si="81"/>
        <v>Umes181053</v>
      </c>
      <c r="B1054">
        <v>1053</v>
      </c>
      <c r="C1054">
        <v>6</v>
      </c>
      <c r="D1054">
        <v>8</v>
      </c>
      <c r="E1054">
        <v>2022</v>
      </c>
      <c r="F1054" s="1">
        <f t="shared" si="82"/>
        <v>44779</v>
      </c>
      <c r="G1054" s="1" t="s">
        <v>729</v>
      </c>
      <c r="H1054" s="2">
        <v>45530</v>
      </c>
      <c r="I1054" t="s">
        <v>38</v>
      </c>
      <c r="J1054">
        <v>4</v>
      </c>
      <c r="K1054">
        <v>31687.919999999998</v>
      </c>
      <c r="L1054" t="s">
        <v>363</v>
      </c>
      <c r="M1054">
        <v>18</v>
      </c>
      <c r="N1054" t="s">
        <v>36</v>
      </c>
      <c r="O1054" s="3" t="s">
        <v>22</v>
      </c>
      <c r="P1054" t="s">
        <v>90</v>
      </c>
      <c r="Q1054" t="s">
        <v>30</v>
      </c>
      <c r="R1054">
        <v>4</v>
      </c>
      <c r="S1054" t="s">
        <v>48</v>
      </c>
      <c r="T1054" s="4">
        <f t="shared" si="83"/>
        <v>126751.67999999999</v>
      </c>
      <c r="U1054" s="4" t="str">
        <f t="shared" si="84"/>
        <v>Good</v>
      </c>
      <c r="V1054" s="4" t="str">
        <f t="shared" si="85"/>
        <v>Good</v>
      </c>
      <c r="W1054" s="4"/>
      <c r="X1054" s="4"/>
      <c r="AJ1054" s="4"/>
    </row>
    <row r="1055" spans="1:36">
      <c r="A1055" t="str">
        <f t="shared" si="81"/>
        <v>Lata581054</v>
      </c>
      <c r="B1055">
        <v>1054</v>
      </c>
      <c r="C1055">
        <v>6</v>
      </c>
      <c r="D1055">
        <v>8</v>
      </c>
      <c r="E1055">
        <v>2022</v>
      </c>
      <c r="F1055" s="1">
        <f t="shared" si="82"/>
        <v>44779</v>
      </c>
      <c r="G1055" s="1" t="s">
        <v>729</v>
      </c>
      <c r="H1055" s="2">
        <v>45531</v>
      </c>
      <c r="I1055" t="s">
        <v>38</v>
      </c>
      <c r="J1055">
        <v>8</v>
      </c>
      <c r="K1055">
        <v>56660.82</v>
      </c>
      <c r="L1055" t="s">
        <v>735</v>
      </c>
      <c r="M1055">
        <v>58</v>
      </c>
      <c r="N1055" t="s">
        <v>61</v>
      </c>
      <c r="O1055" s="3" t="s">
        <v>22</v>
      </c>
      <c r="P1055" t="s">
        <v>114</v>
      </c>
      <c r="Q1055" t="s">
        <v>30</v>
      </c>
      <c r="R1055">
        <v>5</v>
      </c>
      <c r="S1055" t="s">
        <v>99</v>
      </c>
      <c r="T1055" s="4">
        <f t="shared" si="83"/>
        <v>453286.56</v>
      </c>
      <c r="U1055" s="4" t="str">
        <f t="shared" si="84"/>
        <v>Good</v>
      </c>
      <c r="V1055" s="4" t="str">
        <f t="shared" si="85"/>
        <v>Excellent</v>
      </c>
      <c r="W1055" s="4"/>
      <c r="X1055" s="4"/>
      <c r="AJ1055" s="4"/>
    </row>
    <row r="1056" spans="1:36">
      <c r="A1056" t="str">
        <f t="shared" si="81"/>
        <v>Ravi371055</v>
      </c>
      <c r="B1056">
        <v>1055</v>
      </c>
      <c r="C1056">
        <v>6</v>
      </c>
      <c r="D1056">
        <v>8</v>
      </c>
      <c r="E1056">
        <v>2022</v>
      </c>
      <c r="F1056" s="1">
        <f t="shared" si="82"/>
        <v>44779</v>
      </c>
      <c r="G1056" s="1" t="s">
        <v>729</v>
      </c>
      <c r="H1056" s="2">
        <v>45532</v>
      </c>
      <c r="I1056" t="s">
        <v>49</v>
      </c>
      <c r="J1056">
        <v>5</v>
      </c>
      <c r="K1056">
        <v>54328.08</v>
      </c>
      <c r="L1056" t="s">
        <v>158</v>
      </c>
      <c r="M1056">
        <v>37</v>
      </c>
      <c r="N1056" t="s">
        <v>21</v>
      </c>
      <c r="O1056" s="3" t="s">
        <v>22</v>
      </c>
      <c r="P1056" t="s">
        <v>33</v>
      </c>
      <c r="Q1056" t="s">
        <v>24</v>
      </c>
      <c r="R1056">
        <v>5</v>
      </c>
      <c r="S1056" t="s">
        <v>88</v>
      </c>
      <c r="T1056" s="4">
        <f t="shared" si="83"/>
        <v>271640.40000000002</v>
      </c>
      <c r="U1056" s="4" t="str">
        <f t="shared" si="84"/>
        <v>Good</v>
      </c>
      <c r="V1056" s="4" t="str">
        <f t="shared" si="85"/>
        <v>Excellent</v>
      </c>
      <c r="W1056" s="4"/>
      <c r="X1056" s="4"/>
      <c r="AJ1056" s="4"/>
    </row>
    <row r="1057" spans="1:36">
      <c r="A1057" t="str">
        <f t="shared" si="81"/>
        <v>Kavi231056</v>
      </c>
      <c r="B1057">
        <v>1056</v>
      </c>
      <c r="C1057">
        <v>7</v>
      </c>
      <c r="D1057">
        <v>8</v>
      </c>
      <c r="E1057">
        <v>2022</v>
      </c>
      <c r="F1057" s="1">
        <f t="shared" si="82"/>
        <v>44780</v>
      </c>
      <c r="G1057" s="1" t="s">
        <v>729</v>
      </c>
      <c r="H1057" s="2">
        <v>45533</v>
      </c>
      <c r="I1057" t="s">
        <v>26</v>
      </c>
      <c r="J1057">
        <v>8</v>
      </c>
      <c r="K1057">
        <v>63577.88</v>
      </c>
      <c r="L1057" t="s">
        <v>736</v>
      </c>
      <c r="M1057">
        <v>23</v>
      </c>
      <c r="N1057" t="s">
        <v>36</v>
      </c>
      <c r="O1057" s="3" t="s">
        <v>22</v>
      </c>
      <c r="P1057" t="s">
        <v>132</v>
      </c>
      <c r="Q1057" t="s">
        <v>30</v>
      </c>
      <c r="R1057">
        <v>5</v>
      </c>
      <c r="S1057" t="s">
        <v>34</v>
      </c>
      <c r="T1057" s="4">
        <f t="shared" si="83"/>
        <v>508623.04</v>
      </c>
      <c r="U1057" s="4" t="str">
        <f t="shared" si="84"/>
        <v>Good</v>
      </c>
      <c r="V1057" s="4" t="str">
        <f t="shared" si="85"/>
        <v>Excellent</v>
      </c>
      <c r="W1057" s="4"/>
      <c r="X1057" s="4"/>
      <c r="AJ1057" s="4"/>
    </row>
    <row r="1058" spans="1:36">
      <c r="A1058" t="str">
        <f t="shared" si="81"/>
        <v>Kavi281057</v>
      </c>
      <c r="B1058">
        <v>1057</v>
      </c>
      <c r="C1058">
        <v>7</v>
      </c>
      <c r="D1058">
        <v>8</v>
      </c>
      <c r="E1058">
        <v>2022</v>
      </c>
      <c r="F1058" s="1">
        <f t="shared" si="82"/>
        <v>44780</v>
      </c>
      <c r="G1058" s="1" t="s">
        <v>729</v>
      </c>
      <c r="H1058" s="2">
        <v>45534</v>
      </c>
      <c r="I1058" t="s">
        <v>19</v>
      </c>
      <c r="J1058">
        <v>9</v>
      </c>
      <c r="K1058">
        <v>36876.620000000003</v>
      </c>
      <c r="L1058" t="s">
        <v>292</v>
      </c>
      <c r="M1058">
        <v>28</v>
      </c>
      <c r="N1058" t="s">
        <v>36</v>
      </c>
      <c r="O1058" s="3" t="s">
        <v>22</v>
      </c>
      <c r="P1058" t="s">
        <v>66</v>
      </c>
      <c r="Q1058" t="s">
        <v>24</v>
      </c>
      <c r="R1058">
        <v>5</v>
      </c>
      <c r="S1058" t="s">
        <v>37</v>
      </c>
      <c r="T1058" s="4">
        <f t="shared" si="83"/>
        <v>331889.58</v>
      </c>
      <c r="U1058" s="4" t="str">
        <f t="shared" si="84"/>
        <v>Good</v>
      </c>
      <c r="V1058" s="4" t="str">
        <f t="shared" si="85"/>
        <v>Excellent</v>
      </c>
      <c r="W1058" s="4"/>
      <c r="X1058" s="4"/>
      <c r="AJ1058" s="4"/>
    </row>
    <row r="1059" spans="1:36">
      <c r="A1059" t="str">
        <f t="shared" si="81"/>
        <v>Suni521058</v>
      </c>
      <c r="B1059">
        <v>1058</v>
      </c>
      <c r="C1059">
        <v>7</v>
      </c>
      <c r="D1059">
        <v>8</v>
      </c>
      <c r="E1059">
        <v>2022</v>
      </c>
      <c r="F1059" s="1">
        <f t="shared" si="82"/>
        <v>44780</v>
      </c>
      <c r="G1059" s="1" t="s">
        <v>729</v>
      </c>
      <c r="H1059" s="2">
        <v>45535</v>
      </c>
      <c r="I1059" t="s">
        <v>26</v>
      </c>
      <c r="J1059">
        <v>4</v>
      </c>
      <c r="K1059">
        <v>41828.39</v>
      </c>
      <c r="L1059" t="s">
        <v>737</v>
      </c>
      <c r="M1059">
        <v>52</v>
      </c>
      <c r="N1059" t="s">
        <v>61</v>
      </c>
      <c r="O1059" s="3" t="s">
        <v>22</v>
      </c>
      <c r="P1059" t="s">
        <v>77</v>
      </c>
      <c r="Q1059" t="s">
        <v>24</v>
      </c>
      <c r="R1059">
        <v>5</v>
      </c>
      <c r="S1059" t="s">
        <v>31</v>
      </c>
      <c r="T1059" s="4">
        <f t="shared" si="83"/>
        <v>167313.56</v>
      </c>
      <c r="U1059" s="4" t="str">
        <f t="shared" si="84"/>
        <v>Good</v>
      </c>
      <c r="V1059" s="4" t="str">
        <f t="shared" si="85"/>
        <v>Good</v>
      </c>
      <c r="W1059" s="4"/>
      <c r="X1059" s="4"/>
      <c r="AJ1059" s="4"/>
    </row>
    <row r="1060" spans="1:36">
      <c r="A1060" t="str">
        <f t="shared" si="81"/>
        <v>Isha211059</v>
      </c>
      <c r="B1060">
        <v>1059</v>
      </c>
      <c r="C1060">
        <v>8</v>
      </c>
      <c r="D1060">
        <v>8</v>
      </c>
      <c r="E1060">
        <v>2022</v>
      </c>
      <c r="F1060" s="1">
        <f t="shared" si="82"/>
        <v>44781</v>
      </c>
      <c r="G1060" s="1" t="s">
        <v>729</v>
      </c>
      <c r="H1060" s="2">
        <v>45536</v>
      </c>
      <c r="I1060" t="s">
        <v>19</v>
      </c>
      <c r="J1060">
        <v>7</v>
      </c>
      <c r="K1060">
        <v>34946.46</v>
      </c>
      <c r="L1060" t="s">
        <v>738</v>
      </c>
      <c r="M1060">
        <v>21</v>
      </c>
      <c r="N1060" t="s">
        <v>36</v>
      </c>
      <c r="O1060" s="3" t="s">
        <v>28</v>
      </c>
      <c r="P1060" t="s">
        <v>137</v>
      </c>
      <c r="Q1060" t="s">
        <v>30</v>
      </c>
      <c r="R1060">
        <v>3</v>
      </c>
      <c r="S1060" t="s">
        <v>84</v>
      </c>
      <c r="T1060" s="4">
        <f t="shared" si="83"/>
        <v>244625.22</v>
      </c>
      <c r="U1060" s="4" t="str">
        <f t="shared" si="84"/>
        <v>Average</v>
      </c>
      <c r="V1060" s="4" t="str">
        <f t="shared" si="85"/>
        <v>Excellent</v>
      </c>
      <c r="W1060" s="4"/>
      <c r="X1060" s="4"/>
      <c r="AJ1060" s="4"/>
    </row>
    <row r="1061" spans="1:36">
      <c r="A1061" t="str">
        <f t="shared" si="81"/>
        <v>Ravi461060</v>
      </c>
      <c r="B1061">
        <v>1060</v>
      </c>
      <c r="C1061">
        <v>8</v>
      </c>
      <c r="D1061">
        <v>8</v>
      </c>
      <c r="E1061">
        <v>2022</v>
      </c>
      <c r="F1061" s="1">
        <f t="shared" si="82"/>
        <v>44781</v>
      </c>
      <c r="G1061" s="1" t="s">
        <v>729</v>
      </c>
      <c r="H1061" s="2">
        <v>45537</v>
      </c>
      <c r="I1061" t="s">
        <v>49</v>
      </c>
      <c r="J1061">
        <v>2</v>
      </c>
      <c r="K1061">
        <v>61022.62</v>
      </c>
      <c r="L1061" t="s">
        <v>678</v>
      </c>
      <c r="M1061">
        <v>46</v>
      </c>
      <c r="N1061" t="s">
        <v>61</v>
      </c>
      <c r="O1061" s="3" t="s">
        <v>22</v>
      </c>
      <c r="P1061" t="s">
        <v>29</v>
      </c>
      <c r="Q1061" t="s">
        <v>24</v>
      </c>
      <c r="R1061">
        <v>5</v>
      </c>
      <c r="S1061" t="s">
        <v>88</v>
      </c>
      <c r="T1061" s="4">
        <f t="shared" si="83"/>
        <v>122045.24</v>
      </c>
      <c r="U1061" s="4" t="str">
        <f t="shared" si="84"/>
        <v>Good</v>
      </c>
      <c r="V1061" s="4" t="str">
        <f t="shared" si="85"/>
        <v>Good</v>
      </c>
      <c r="W1061" s="4"/>
      <c r="X1061" s="4"/>
      <c r="AJ1061" s="4"/>
    </row>
    <row r="1062" spans="1:36">
      <c r="A1062" t="str">
        <f t="shared" si="81"/>
        <v>Rame271061</v>
      </c>
      <c r="B1062">
        <v>1061</v>
      </c>
      <c r="C1062">
        <v>8</v>
      </c>
      <c r="D1062">
        <v>8</v>
      </c>
      <c r="E1062">
        <v>2022</v>
      </c>
      <c r="F1062" s="1">
        <f t="shared" si="82"/>
        <v>44781</v>
      </c>
      <c r="G1062" s="1" t="s">
        <v>729</v>
      </c>
      <c r="H1062" s="2">
        <v>45538</v>
      </c>
      <c r="I1062" t="s">
        <v>19</v>
      </c>
      <c r="J1062">
        <v>6</v>
      </c>
      <c r="K1062">
        <v>23782.14</v>
      </c>
      <c r="L1062" t="s">
        <v>739</v>
      </c>
      <c r="M1062">
        <v>27</v>
      </c>
      <c r="N1062" t="s">
        <v>36</v>
      </c>
      <c r="O1062" s="3" t="s">
        <v>22</v>
      </c>
      <c r="P1062" t="s">
        <v>64</v>
      </c>
      <c r="Q1062" t="s">
        <v>41</v>
      </c>
      <c r="R1062">
        <v>5</v>
      </c>
      <c r="S1062" t="s">
        <v>84</v>
      </c>
      <c r="T1062" s="4">
        <f t="shared" si="83"/>
        <v>142692.84</v>
      </c>
      <c r="U1062" s="4" t="str">
        <f t="shared" si="84"/>
        <v>Good</v>
      </c>
      <c r="V1062" s="4" t="str">
        <f t="shared" si="85"/>
        <v>Good</v>
      </c>
      <c r="W1062" s="4"/>
      <c r="X1062" s="4"/>
      <c r="AJ1062" s="4"/>
    </row>
    <row r="1063" spans="1:36">
      <c r="A1063" t="str">
        <f t="shared" si="81"/>
        <v>Sneh461062</v>
      </c>
      <c r="B1063">
        <v>1062</v>
      </c>
      <c r="C1063">
        <v>8</v>
      </c>
      <c r="D1063">
        <v>8</v>
      </c>
      <c r="E1063">
        <v>2022</v>
      </c>
      <c r="F1063" s="1">
        <f t="shared" si="82"/>
        <v>44781</v>
      </c>
      <c r="G1063" s="1" t="s">
        <v>729</v>
      </c>
      <c r="H1063" s="2">
        <v>45539</v>
      </c>
      <c r="I1063" t="s">
        <v>38</v>
      </c>
      <c r="J1063">
        <v>8</v>
      </c>
      <c r="K1063">
        <v>24382.54</v>
      </c>
      <c r="L1063" t="s">
        <v>152</v>
      </c>
      <c r="M1063">
        <v>46</v>
      </c>
      <c r="N1063" t="s">
        <v>61</v>
      </c>
      <c r="O1063" s="3" t="s">
        <v>28</v>
      </c>
      <c r="P1063" t="s">
        <v>23</v>
      </c>
      <c r="Q1063" t="s">
        <v>41</v>
      </c>
      <c r="R1063">
        <v>3</v>
      </c>
      <c r="S1063" t="s">
        <v>99</v>
      </c>
      <c r="T1063" s="4">
        <f t="shared" si="83"/>
        <v>195060.32</v>
      </c>
      <c r="U1063" s="4" t="str">
        <f t="shared" si="84"/>
        <v>Average</v>
      </c>
      <c r="V1063" s="4" t="str">
        <f t="shared" si="85"/>
        <v>Good</v>
      </c>
      <c r="W1063" s="4"/>
      <c r="X1063" s="4"/>
      <c r="AJ1063" s="4"/>
    </row>
    <row r="1064" spans="1:36">
      <c r="A1064" t="str">
        <f t="shared" si="81"/>
        <v>Vive551063</v>
      </c>
      <c r="B1064">
        <v>1063</v>
      </c>
      <c r="C1064">
        <v>9</v>
      </c>
      <c r="D1064">
        <v>8</v>
      </c>
      <c r="E1064">
        <v>2022</v>
      </c>
      <c r="F1064" s="1">
        <f t="shared" si="82"/>
        <v>44782</v>
      </c>
      <c r="G1064" s="1" t="s">
        <v>729</v>
      </c>
      <c r="H1064" s="2">
        <v>45540</v>
      </c>
      <c r="I1064" t="s">
        <v>43</v>
      </c>
      <c r="J1064">
        <v>7</v>
      </c>
      <c r="K1064">
        <v>32356.31</v>
      </c>
      <c r="L1064" t="s">
        <v>549</v>
      </c>
      <c r="M1064">
        <v>55</v>
      </c>
      <c r="N1064" t="s">
        <v>61</v>
      </c>
      <c r="O1064" s="3" t="s">
        <v>22</v>
      </c>
      <c r="P1064" t="s">
        <v>137</v>
      </c>
      <c r="Q1064" t="s">
        <v>41</v>
      </c>
      <c r="R1064">
        <v>5</v>
      </c>
      <c r="S1064" t="s">
        <v>95</v>
      </c>
      <c r="T1064" s="4">
        <f t="shared" si="83"/>
        <v>226494.17</v>
      </c>
      <c r="U1064" s="4" t="str">
        <f t="shared" si="84"/>
        <v>Good</v>
      </c>
      <c r="V1064" s="4" t="str">
        <f t="shared" si="85"/>
        <v>Excellent</v>
      </c>
      <c r="W1064" s="4"/>
      <c r="X1064" s="4"/>
      <c r="AJ1064" s="4"/>
    </row>
    <row r="1065" spans="1:36">
      <c r="A1065" t="str">
        <f t="shared" si="81"/>
        <v>Navi181064</v>
      </c>
      <c r="B1065">
        <v>1064</v>
      </c>
      <c r="C1065">
        <v>9</v>
      </c>
      <c r="D1065">
        <v>8</v>
      </c>
      <c r="E1065">
        <v>2022</v>
      </c>
      <c r="F1065" s="1">
        <f t="shared" si="82"/>
        <v>44782</v>
      </c>
      <c r="G1065" s="1" t="s">
        <v>729</v>
      </c>
      <c r="H1065" s="2">
        <v>45541</v>
      </c>
      <c r="I1065" t="s">
        <v>43</v>
      </c>
      <c r="J1065">
        <v>7</v>
      </c>
      <c r="K1065">
        <v>23820.57</v>
      </c>
      <c r="L1065" t="s">
        <v>258</v>
      </c>
      <c r="M1065">
        <v>18</v>
      </c>
      <c r="N1065" t="s">
        <v>36</v>
      </c>
      <c r="O1065" s="3" t="s">
        <v>22</v>
      </c>
      <c r="P1065" t="s">
        <v>33</v>
      </c>
      <c r="Q1065" t="s">
        <v>56</v>
      </c>
      <c r="R1065">
        <v>5</v>
      </c>
      <c r="S1065" t="s">
        <v>46</v>
      </c>
      <c r="T1065" s="4">
        <f t="shared" si="83"/>
        <v>166743.99</v>
      </c>
      <c r="U1065" s="4" t="str">
        <f t="shared" si="84"/>
        <v>Good</v>
      </c>
      <c r="V1065" s="4" t="str">
        <f t="shared" si="85"/>
        <v>Good</v>
      </c>
      <c r="W1065" s="4"/>
      <c r="X1065" s="4"/>
      <c r="AJ1065" s="4"/>
    </row>
    <row r="1066" spans="1:36">
      <c r="A1066" t="str">
        <f t="shared" si="81"/>
        <v>Priy571065</v>
      </c>
      <c r="B1066">
        <v>1065</v>
      </c>
      <c r="C1066">
        <v>9</v>
      </c>
      <c r="D1066">
        <v>8</v>
      </c>
      <c r="E1066">
        <v>2022</v>
      </c>
      <c r="F1066" s="1">
        <f t="shared" si="82"/>
        <v>44782</v>
      </c>
      <c r="G1066" s="1" t="s">
        <v>729</v>
      </c>
      <c r="H1066" s="2">
        <v>45542</v>
      </c>
      <c r="I1066" t="s">
        <v>49</v>
      </c>
      <c r="J1066">
        <v>8</v>
      </c>
      <c r="K1066">
        <v>43660.41</v>
      </c>
      <c r="L1066" t="s">
        <v>740</v>
      </c>
      <c r="M1066">
        <v>57</v>
      </c>
      <c r="N1066" t="s">
        <v>61</v>
      </c>
      <c r="O1066" s="3" t="s">
        <v>22</v>
      </c>
      <c r="P1066" t="s">
        <v>150</v>
      </c>
      <c r="Q1066" t="s">
        <v>24</v>
      </c>
      <c r="R1066">
        <v>4</v>
      </c>
      <c r="S1066" t="s">
        <v>88</v>
      </c>
      <c r="T1066" s="4">
        <f t="shared" si="83"/>
        <v>349283.28</v>
      </c>
      <c r="U1066" s="4" t="str">
        <f t="shared" si="84"/>
        <v>Good</v>
      </c>
      <c r="V1066" s="4" t="str">
        <f t="shared" si="85"/>
        <v>Excellent</v>
      </c>
      <c r="W1066" s="4"/>
      <c r="X1066" s="4"/>
      <c r="AJ1066" s="4"/>
    </row>
    <row r="1067" spans="1:36">
      <c r="A1067" t="str">
        <f t="shared" si="81"/>
        <v>Shru251066</v>
      </c>
      <c r="B1067">
        <v>1066</v>
      </c>
      <c r="C1067">
        <v>9</v>
      </c>
      <c r="D1067">
        <v>8</v>
      </c>
      <c r="E1067">
        <v>2022</v>
      </c>
      <c r="F1067" s="1">
        <f t="shared" si="82"/>
        <v>44782</v>
      </c>
      <c r="G1067" s="1" t="s">
        <v>729</v>
      </c>
      <c r="H1067" s="2">
        <v>45543</v>
      </c>
      <c r="I1067" t="s">
        <v>38</v>
      </c>
      <c r="J1067">
        <v>7</v>
      </c>
      <c r="K1067">
        <v>18069.41</v>
      </c>
      <c r="L1067" t="s">
        <v>741</v>
      </c>
      <c r="M1067">
        <v>25</v>
      </c>
      <c r="N1067" t="s">
        <v>36</v>
      </c>
      <c r="O1067" s="3" t="s">
        <v>22</v>
      </c>
      <c r="P1067" t="s">
        <v>59</v>
      </c>
      <c r="Q1067" t="s">
        <v>24</v>
      </c>
      <c r="R1067">
        <v>4</v>
      </c>
      <c r="S1067" t="s">
        <v>48</v>
      </c>
      <c r="T1067" s="4">
        <f t="shared" si="83"/>
        <v>126485.87</v>
      </c>
      <c r="U1067" s="4" t="str">
        <f t="shared" si="84"/>
        <v>Good</v>
      </c>
      <c r="V1067" s="4" t="str">
        <f t="shared" si="85"/>
        <v>Good</v>
      </c>
      <c r="W1067" s="4"/>
      <c r="X1067" s="4"/>
      <c r="AJ1067" s="4"/>
    </row>
    <row r="1068" spans="1:36">
      <c r="A1068" t="str">
        <f t="shared" si="81"/>
        <v>Nikh551067</v>
      </c>
      <c r="B1068">
        <v>1067</v>
      </c>
      <c r="C1068">
        <v>10</v>
      </c>
      <c r="D1068">
        <v>8</v>
      </c>
      <c r="E1068">
        <v>2022</v>
      </c>
      <c r="F1068" s="1">
        <f t="shared" si="82"/>
        <v>44783</v>
      </c>
      <c r="G1068" s="1" t="s">
        <v>729</v>
      </c>
      <c r="H1068" s="2">
        <v>45544</v>
      </c>
      <c r="I1068" t="s">
        <v>26</v>
      </c>
      <c r="J1068">
        <v>5</v>
      </c>
      <c r="K1068">
        <v>29211.17</v>
      </c>
      <c r="L1068" t="s">
        <v>138</v>
      </c>
      <c r="M1068">
        <v>55</v>
      </c>
      <c r="N1068" t="s">
        <v>61</v>
      </c>
      <c r="O1068" s="3" t="s">
        <v>22</v>
      </c>
      <c r="P1068" t="s">
        <v>137</v>
      </c>
      <c r="Q1068" t="s">
        <v>41</v>
      </c>
      <c r="R1068">
        <v>4</v>
      </c>
      <c r="S1068" t="s">
        <v>31</v>
      </c>
      <c r="T1068" s="4">
        <f t="shared" si="83"/>
        <v>146055.84999999998</v>
      </c>
      <c r="U1068" s="4" t="str">
        <f t="shared" si="84"/>
        <v>Good</v>
      </c>
      <c r="V1068" s="4" t="str">
        <f t="shared" si="85"/>
        <v>Good</v>
      </c>
      <c r="W1068" s="4"/>
      <c r="X1068" s="4"/>
      <c r="AJ1068" s="4"/>
    </row>
    <row r="1069" spans="1:36">
      <c r="A1069" t="str">
        <f t="shared" si="81"/>
        <v>Navi341068</v>
      </c>
      <c r="B1069">
        <v>1068</v>
      </c>
      <c r="C1069">
        <v>10</v>
      </c>
      <c r="D1069">
        <v>8</v>
      </c>
      <c r="E1069">
        <v>2022</v>
      </c>
      <c r="F1069" s="1">
        <f t="shared" si="82"/>
        <v>44783</v>
      </c>
      <c r="G1069" s="1" t="s">
        <v>729</v>
      </c>
      <c r="H1069" s="2">
        <v>45545</v>
      </c>
      <c r="I1069" t="s">
        <v>38</v>
      </c>
      <c r="J1069">
        <v>7</v>
      </c>
      <c r="K1069">
        <v>64806.68</v>
      </c>
      <c r="L1069" t="s">
        <v>347</v>
      </c>
      <c r="M1069">
        <v>34</v>
      </c>
      <c r="N1069" t="s">
        <v>21</v>
      </c>
      <c r="O1069" s="3" t="s">
        <v>22</v>
      </c>
      <c r="P1069" t="s">
        <v>33</v>
      </c>
      <c r="Q1069" t="s">
        <v>56</v>
      </c>
      <c r="R1069">
        <v>5</v>
      </c>
      <c r="S1069" t="s">
        <v>48</v>
      </c>
      <c r="T1069" s="4">
        <f t="shared" si="83"/>
        <v>453646.76</v>
      </c>
      <c r="U1069" s="4" t="str">
        <f t="shared" si="84"/>
        <v>Good</v>
      </c>
      <c r="V1069" s="4" t="str">
        <f t="shared" si="85"/>
        <v>Excellent</v>
      </c>
      <c r="W1069" s="4"/>
      <c r="X1069" s="4"/>
      <c r="AJ1069" s="4"/>
    </row>
    <row r="1070" spans="1:36">
      <c r="A1070" t="str">
        <f t="shared" si="81"/>
        <v>Reen361069</v>
      </c>
      <c r="B1070">
        <v>1069</v>
      </c>
      <c r="C1070">
        <v>10</v>
      </c>
      <c r="D1070">
        <v>8</v>
      </c>
      <c r="E1070">
        <v>2022</v>
      </c>
      <c r="F1070" s="1">
        <f t="shared" si="82"/>
        <v>44783</v>
      </c>
      <c r="G1070" s="1" t="s">
        <v>729</v>
      </c>
      <c r="H1070" s="2">
        <v>45546</v>
      </c>
      <c r="I1070" t="s">
        <v>43</v>
      </c>
      <c r="J1070">
        <v>3</v>
      </c>
      <c r="K1070">
        <v>34553.53</v>
      </c>
      <c r="L1070" t="s">
        <v>742</v>
      </c>
      <c r="M1070">
        <v>36</v>
      </c>
      <c r="N1070" t="s">
        <v>21</v>
      </c>
      <c r="O1070" s="3" t="s">
        <v>22</v>
      </c>
      <c r="P1070" t="s">
        <v>29</v>
      </c>
      <c r="Q1070" t="s">
        <v>30</v>
      </c>
      <c r="R1070">
        <v>5</v>
      </c>
      <c r="S1070" t="s">
        <v>57</v>
      </c>
      <c r="T1070" s="4">
        <f t="shared" si="83"/>
        <v>103660.59</v>
      </c>
      <c r="U1070" s="4" t="str">
        <f t="shared" si="84"/>
        <v>Good</v>
      </c>
      <c r="V1070" s="4" t="str">
        <f t="shared" si="85"/>
        <v>Good</v>
      </c>
      <c r="W1070" s="4"/>
      <c r="X1070" s="4"/>
      <c r="AJ1070" s="4"/>
    </row>
    <row r="1071" spans="1:36">
      <c r="A1071" t="str">
        <f t="shared" si="81"/>
        <v>Radh501070</v>
      </c>
      <c r="B1071">
        <v>1070</v>
      </c>
      <c r="C1071">
        <v>11</v>
      </c>
      <c r="D1071">
        <v>8</v>
      </c>
      <c r="E1071">
        <v>2022</v>
      </c>
      <c r="F1071" s="1">
        <f t="shared" si="82"/>
        <v>44784</v>
      </c>
      <c r="G1071" s="1" t="s">
        <v>729</v>
      </c>
      <c r="H1071" s="2">
        <v>45547</v>
      </c>
      <c r="I1071" t="s">
        <v>43</v>
      </c>
      <c r="J1071">
        <v>5</v>
      </c>
      <c r="K1071">
        <v>54894.02</v>
      </c>
      <c r="L1071" t="s">
        <v>743</v>
      </c>
      <c r="M1071">
        <v>50</v>
      </c>
      <c r="N1071" t="s">
        <v>61</v>
      </c>
      <c r="O1071" s="3" t="s">
        <v>28</v>
      </c>
      <c r="P1071" t="s">
        <v>70</v>
      </c>
      <c r="Q1071" t="s">
        <v>41</v>
      </c>
      <c r="R1071">
        <v>3</v>
      </c>
      <c r="S1071" t="s">
        <v>57</v>
      </c>
      <c r="T1071" s="4">
        <f t="shared" si="83"/>
        <v>274470.09999999998</v>
      </c>
      <c r="U1071" s="4" t="str">
        <f t="shared" si="84"/>
        <v>Average</v>
      </c>
      <c r="V1071" s="4" t="str">
        <f t="shared" si="85"/>
        <v>Excellent</v>
      </c>
      <c r="W1071" s="4"/>
      <c r="X1071" s="4"/>
      <c r="AJ1071" s="4"/>
    </row>
    <row r="1072" spans="1:36">
      <c r="A1072" t="str">
        <f t="shared" si="81"/>
        <v>Moni321071</v>
      </c>
      <c r="B1072">
        <v>1071</v>
      </c>
      <c r="C1072">
        <v>11</v>
      </c>
      <c r="D1072">
        <v>8</v>
      </c>
      <c r="E1072">
        <v>2022</v>
      </c>
      <c r="F1072" s="1">
        <f t="shared" si="82"/>
        <v>44784</v>
      </c>
      <c r="G1072" s="1" t="s">
        <v>729</v>
      </c>
      <c r="H1072" s="2">
        <v>45548</v>
      </c>
      <c r="I1072" t="s">
        <v>38</v>
      </c>
      <c r="J1072">
        <v>7</v>
      </c>
      <c r="K1072">
        <v>16807.73</v>
      </c>
      <c r="L1072" t="s">
        <v>744</v>
      </c>
      <c r="M1072">
        <v>32</v>
      </c>
      <c r="N1072" t="s">
        <v>21</v>
      </c>
      <c r="O1072" s="3" t="s">
        <v>22</v>
      </c>
      <c r="P1072" t="s">
        <v>114</v>
      </c>
      <c r="Q1072" t="s">
        <v>56</v>
      </c>
      <c r="R1072">
        <v>5</v>
      </c>
      <c r="S1072" t="s">
        <v>48</v>
      </c>
      <c r="T1072" s="4">
        <f t="shared" si="83"/>
        <v>117654.11</v>
      </c>
      <c r="U1072" s="4" t="str">
        <f t="shared" si="84"/>
        <v>Good</v>
      </c>
      <c r="V1072" s="4" t="str">
        <f t="shared" si="85"/>
        <v>Good</v>
      </c>
      <c r="W1072" s="4"/>
      <c r="X1072" s="4"/>
      <c r="AJ1072" s="4"/>
    </row>
    <row r="1073" spans="1:36">
      <c r="A1073" t="str">
        <f t="shared" si="81"/>
        <v>Tapa481072</v>
      </c>
      <c r="B1073">
        <v>1072</v>
      </c>
      <c r="C1073">
        <v>11</v>
      </c>
      <c r="D1073">
        <v>8</v>
      </c>
      <c r="E1073">
        <v>2022</v>
      </c>
      <c r="F1073" s="1">
        <f t="shared" si="82"/>
        <v>44784</v>
      </c>
      <c r="G1073" s="1" t="s">
        <v>729</v>
      </c>
      <c r="H1073" s="2">
        <v>45549</v>
      </c>
      <c r="I1073" t="s">
        <v>38</v>
      </c>
      <c r="J1073">
        <v>9</v>
      </c>
      <c r="K1073">
        <v>24853.87</v>
      </c>
      <c r="L1073" t="s">
        <v>745</v>
      </c>
      <c r="M1073">
        <v>48</v>
      </c>
      <c r="N1073" t="s">
        <v>61</v>
      </c>
      <c r="O1073" s="3" t="s">
        <v>22</v>
      </c>
      <c r="P1073" t="s">
        <v>29</v>
      </c>
      <c r="Q1073" t="s">
        <v>30</v>
      </c>
      <c r="R1073">
        <v>5</v>
      </c>
      <c r="S1073" t="s">
        <v>48</v>
      </c>
      <c r="T1073" s="4">
        <f t="shared" si="83"/>
        <v>223684.83</v>
      </c>
      <c r="U1073" s="4" t="str">
        <f t="shared" si="84"/>
        <v>Good</v>
      </c>
      <c r="V1073" s="4" t="str">
        <f t="shared" si="85"/>
        <v>Excellent</v>
      </c>
      <c r="W1073" s="4"/>
      <c r="X1073" s="4"/>
      <c r="AJ1073" s="4"/>
    </row>
    <row r="1074" spans="1:36">
      <c r="A1074" t="str">
        <f t="shared" si="81"/>
        <v>Ayes381073</v>
      </c>
      <c r="B1074">
        <v>1073</v>
      </c>
      <c r="C1074">
        <v>11</v>
      </c>
      <c r="D1074">
        <v>8</v>
      </c>
      <c r="E1074">
        <v>2022</v>
      </c>
      <c r="F1074" s="1">
        <f t="shared" si="82"/>
        <v>44784</v>
      </c>
      <c r="G1074" s="1" t="s">
        <v>729</v>
      </c>
      <c r="H1074" s="2">
        <v>45550</v>
      </c>
      <c r="I1074" t="s">
        <v>43</v>
      </c>
      <c r="J1074">
        <v>2</v>
      </c>
      <c r="K1074">
        <v>58440.74</v>
      </c>
      <c r="L1074" t="s">
        <v>746</v>
      </c>
      <c r="M1074">
        <v>38</v>
      </c>
      <c r="N1074" t="s">
        <v>21</v>
      </c>
      <c r="O1074" s="3" t="s">
        <v>28</v>
      </c>
      <c r="P1074" t="s">
        <v>33</v>
      </c>
      <c r="Q1074" t="s">
        <v>56</v>
      </c>
      <c r="R1074">
        <v>3</v>
      </c>
      <c r="S1074" t="s">
        <v>95</v>
      </c>
      <c r="T1074" s="4">
        <f t="shared" si="83"/>
        <v>116881.48</v>
      </c>
      <c r="U1074" s="4" t="str">
        <f t="shared" si="84"/>
        <v>Average</v>
      </c>
      <c r="V1074" s="4" t="str">
        <f t="shared" si="85"/>
        <v>Good</v>
      </c>
      <c r="W1074" s="4"/>
      <c r="X1074" s="4"/>
      <c r="AJ1074" s="4"/>
    </row>
    <row r="1075" spans="1:36">
      <c r="A1075" t="str">
        <f t="shared" si="81"/>
        <v>Lali201074</v>
      </c>
      <c r="B1075">
        <v>1074</v>
      </c>
      <c r="C1075">
        <v>12</v>
      </c>
      <c r="D1075">
        <v>8</v>
      </c>
      <c r="E1075">
        <v>2022</v>
      </c>
      <c r="F1075" s="1">
        <f t="shared" si="82"/>
        <v>44785</v>
      </c>
      <c r="G1075" s="1" t="s">
        <v>729</v>
      </c>
      <c r="H1075" s="2">
        <v>45551</v>
      </c>
      <c r="I1075" t="s">
        <v>26</v>
      </c>
      <c r="J1075">
        <v>4</v>
      </c>
      <c r="K1075">
        <v>55779.58</v>
      </c>
      <c r="L1075" t="s">
        <v>730</v>
      </c>
      <c r="M1075">
        <v>20</v>
      </c>
      <c r="N1075" t="s">
        <v>36</v>
      </c>
      <c r="O1075" s="3" t="s">
        <v>28</v>
      </c>
      <c r="P1075" t="s">
        <v>51</v>
      </c>
      <c r="Q1075" t="s">
        <v>30</v>
      </c>
      <c r="R1075">
        <v>3</v>
      </c>
      <c r="S1075" t="s">
        <v>31</v>
      </c>
      <c r="T1075" s="4">
        <f t="shared" si="83"/>
        <v>223118.32</v>
      </c>
      <c r="U1075" s="4" t="str">
        <f t="shared" si="84"/>
        <v>Average</v>
      </c>
      <c r="V1075" s="4" t="str">
        <f t="shared" si="85"/>
        <v>Excellent</v>
      </c>
      <c r="W1075" s="4"/>
      <c r="X1075" s="4"/>
      <c r="AJ1075" s="4"/>
    </row>
    <row r="1076" spans="1:36">
      <c r="A1076" t="str">
        <f t="shared" si="81"/>
        <v>Vive191075</v>
      </c>
      <c r="B1076">
        <v>1075</v>
      </c>
      <c r="C1076">
        <v>12</v>
      </c>
      <c r="D1076">
        <v>8</v>
      </c>
      <c r="E1076">
        <v>2022</v>
      </c>
      <c r="F1076" s="1">
        <f t="shared" si="82"/>
        <v>44785</v>
      </c>
      <c r="G1076" s="1" t="s">
        <v>729</v>
      </c>
      <c r="H1076" s="2">
        <v>45552</v>
      </c>
      <c r="I1076" t="s">
        <v>49</v>
      </c>
      <c r="J1076">
        <v>7</v>
      </c>
      <c r="K1076">
        <v>33169.360000000001</v>
      </c>
      <c r="L1076" t="s">
        <v>747</v>
      </c>
      <c r="M1076">
        <v>19</v>
      </c>
      <c r="N1076" t="s">
        <v>36</v>
      </c>
      <c r="O1076" s="3" t="s">
        <v>22</v>
      </c>
      <c r="P1076" t="s">
        <v>29</v>
      </c>
      <c r="Q1076" t="s">
        <v>24</v>
      </c>
      <c r="R1076">
        <v>5</v>
      </c>
      <c r="S1076" t="s">
        <v>102</v>
      </c>
      <c r="T1076" s="4">
        <f t="shared" si="83"/>
        <v>232185.52000000002</v>
      </c>
      <c r="U1076" s="4" t="str">
        <f t="shared" si="84"/>
        <v>Good</v>
      </c>
      <c r="V1076" s="4" t="str">
        <f t="shared" si="85"/>
        <v>Excellent</v>
      </c>
      <c r="W1076" s="4"/>
      <c r="X1076" s="4"/>
      <c r="AJ1076" s="4"/>
    </row>
    <row r="1077" spans="1:36">
      <c r="A1077" t="str">
        <f t="shared" si="81"/>
        <v>Priy521076</v>
      </c>
      <c r="B1077">
        <v>1076</v>
      </c>
      <c r="C1077">
        <v>12</v>
      </c>
      <c r="D1077">
        <v>8</v>
      </c>
      <c r="E1077">
        <v>2022</v>
      </c>
      <c r="F1077" s="1">
        <f t="shared" si="82"/>
        <v>44785</v>
      </c>
      <c r="G1077" s="1" t="s">
        <v>729</v>
      </c>
      <c r="H1077" s="2">
        <v>45553</v>
      </c>
      <c r="I1077" t="s">
        <v>49</v>
      </c>
      <c r="J1077">
        <v>1</v>
      </c>
      <c r="K1077">
        <v>67263.81</v>
      </c>
      <c r="L1077" t="s">
        <v>332</v>
      </c>
      <c r="M1077">
        <v>52</v>
      </c>
      <c r="N1077" t="s">
        <v>61</v>
      </c>
      <c r="O1077" s="3" t="s">
        <v>22</v>
      </c>
      <c r="P1077" t="s">
        <v>29</v>
      </c>
      <c r="Q1077" t="s">
        <v>24</v>
      </c>
      <c r="R1077">
        <v>5</v>
      </c>
      <c r="S1077" t="s">
        <v>102</v>
      </c>
      <c r="T1077" s="4">
        <f t="shared" si="83"/>
        <v>67263.81</v>
      </c>
      <c r="U1077" s="4" t="str">
        <f t="shared" si="84"/>
        <v>Good</v>
      </c>
      <c r="V1077" s="4" t="str">
        <f t="shared" si="85"/>
        <v>Average</v>
      </c>
      <c r="W1077" s="4"/>
      <c r="X1077" s="4"/>
      <c r="AJ1077" s="4"/>
    </row>
    <row r="1078" spans="1:36">
      <c r="A1078" t="str">
        <f t="shared" si="81"/>
        <v>Sneh581077</v>
      </c>
      <c r="B1078">
        <v>1077</v>
      </c>
      <c r="C1078">
        <v>12</v>
      </c>
      <c r="D1078">
        <v>8</v>
      </c>
      <c r="E1078">
        <v>2022</v>
      </c>
      <c r="F1078" s="1">
        <f t="shared" si="82"/>
        <v>44785</v>
      </c>
      <c r="G1078" s="1" t="s">
        <v>729</v>
      </c>
      <c r="H1078" s="2">
        <v>45554</v>
      </c>
      <c r="I1078" t="s">
        <v>38</v>
      </c>
      <c r="J1078">
        <v>2</v>
      </c>
      <c r="K1078">
        <v>64638.58</v>
      </c>
      <c r="L1078" t="s">
        <v>27</v>
      </c>
      <c r="M1078">
        <v>58</v>
      </c>
      <c r="N1078" t="s">
        <v>61</v>
      </c>
      <c r="O1078" s="3" t="s">
        <v>22</v>
      </c>
      <c r="P1078" t="s">
        <v>114</v>
      </c>
      <c r="Q1078" t="s">
        <v>56</v>
      </c>
      <c r="R1078">
        <v>5</v>
      </c>
      <c r="S1078" t="s">
        <v>42</v>
      </c>
      <c r="T1078" s="4">
        <f t="shared" si="83"/>
        <v>129277.16</v>
      </c>
      <c r="U1078" s="4" t="str">
        <f t="shared" si="84"/>
        <v>Good</v>
      </c>
      <c r="V1078" s="4" t="str">
        <f t="shared" si="85"/>
        <v>Good</v>
      </c>
      <c r="W1078" s="4"/>
      <c r="X1078" s="4"/>
      <c r="AJ1078" s="4"/>
    </row>
    <row r="1079" spans="1:36">
      <c r="A1079" t="str">
        <f t="shared" si="81"/>
        <v>Mala331078</v>
      </c>
      <c r="B1079">
        <v>1078</v>
      </c>
      <c r="C1079">
        <v>13</v>
      </c>
      <c r="D1079">
        <v>8</v>
      </c>
      <c r="E1079">
        <v>2022</v>
      </c>
      <c r="F1079" s="1">
        <f t="shared" si="82"/>
        <v>44786</v>
      </c>
      <c r="G1079" s="1" t="s">
        <v>729</v>
      </c>
      <c r="H1079" s="2">
        <v>45555</v>
      </c>
      <c r="I1079" t="s">
        <v>49</v>
      </c>
      <c r="J1079">
        <v>9</v>
      </c>
      <c r="K1079">
        <v>67738.039999999994</v>
      </c>
      <c r="L1079" t="s">
        <v>748</v>
      </c>
      <c r="M1079">
        <v>33</v>
      </c>
      <c r="N1079" t="s">
        <v>21</v>
      </c>
      <c r="O1079" s="3" t="s">
        <v>22</v>
      </c>
      <c r="P1079" t="s">
        <v>51</v>
      </c>
      <c r="Q1079" t="s">
        <v>56</v>
      </c>
      <c r="R1079">
        <v>5</v>
      </c>
      <c r="S1079" t="s">
        <v>52</v>
      </c>
      <c r="T1079" s="4">
        <f t="shared" si="83"/>
        <v>609642.36</v>
      </c>
      <c r="U1079" s="4" t="str">
        <f t="shared" si="84"/>
        <v>Good</v>
      </c>
      <c r="V1079" s="4" t="str">
        <f t="shared" si="85"/>
        <v>Excellent</v>
      </c>
      <c r="W1079" s="4"/>
      <c r="X1079" s="4"/>
      <c r="AJ1079" s="4"/>
    </row>
    <row r="1080" spans="1:36">
      <c r="A1080" t="str">
        <f t="shared" si="81"/>
        <v>Navi381079</v>
      </c>
      <c r="B1080">
        <v>1079</v>
      </c>
      <c r="C1080">
        <v>13</v>
      </c>
      <c r="D1080">
        <v>8</v>
      </c>
      <c r="E1080">
        <v>2022</v>
      </c>
      <c r="F1080" s="1">
        <f t="shared" si="82"/>
        <v>44786</v>
      </c>
      <c r="G1080" s="1" t="s">
        <v>729</v>
      </c>
      <c r="H1080" s="2">
        <v>45556</v>
      </c>
      <c r="I1080" t="s">
        <v>43</v>
      </c>
      <c r="J1080">
        <v>7</v>
      </c>
      <c r="K1080">
        <v>35674.879999999997</v>
      </c>
      <c r="L1080" t="s">
        <v>608</v>
      </c>
      <c r="M1080">
        <v>38</v>
      </c>
      <c r="N1080" t="s">
        <v>21</v>
      </c>
      <c r="O1080" s="3" t="s">
        <v>22</v>
      </c>
      <c r="P1080" t="s">
        <v>29</v>
      </c>
      <c r="Q1080" t="s">
        <v>30</v>
      </c>
      <c r="R1080">
        <v>4</v>
      </c>
      <c r="S1080" t="s">
        <v>46</v>
      </c>
      <c r="T1080" s="4">
        <f t="shared" si="83"/>
        <v>249724.15999999997</v>
      </c>
      <c r="U1080" s="4" t="str">
        <f t="shared" si="84"/>
        <v>Good</v>
      </c>
      <c r="V1080" s="4" t="str">
        <f t="shared" si="85"/>
        <v>Excellent</v>
      </c>
      <c r="W1080" s="4"/>
      <c r="X1080" s="4"/>
      <c r="AJ1080" s="4"/>
    </row>
    <row r="1081" spans="1:36">
      <c r="A1081" t="str">
        <f t="shared" si="81"/>
        <v>Tapa291080</v>
      </c>
      <c r="B1081">
        <v>1080</v>
      </c>
      <c r="C1081">
        <v>13</v>
      </c>
      <c r="D1081">
        <v>8</v>
      </c>
      <c r="E1081">
        <v>2022</v>
      </c>
      <c r="F1081" s="1">
        <f t="shared" si="82"/>
        <v>44786</v>
      </c>
      <c r="G1081" s="1" t="s">
        <v>729</v>
      </c>
      <c r="H1081" s="2">
        <v>45557</v>
      </c>
      <c r="I1081" t="s">
        <v>43</v>
      </c>
      <c r="J1081">
        <v>7</v>
      </c>
      <c r="K1081">
        <v>21848.42</v>
      </c>
      <c r="L1081" t="s">
        <v>312</v>
      </c>
      <c r="M1081">
        <v>29</v>
      </c>
      <c r="N1081" t="s">
        <v>36</v>
      </c>
      <c r="O1081" s="3" t="s">
        <v>22</v>
      </c>
      <c r="P1081" t="s">
        <v>29</v>
      </c>
      <c r="Q1081" t="s">
        <v>56</v>
      </c>
      <c r="R1081">
        <v>5</v>
      </c>
      <c r="S1081" t="s">
        <v>46</v>
      </c>
      <c r="T1081" s="4">
        <f t="shared" si="83"/>
        <v>152938.94</v>
      </c>
      <c r="U1081" s="4" t="str">
        <f t="shared" si="84"/>
        <v>Good</v>
      </c>
      <c r="V1081" s="4" t="str">
        <f t="shared" si="85"/>
        <v>Good</v>
      </c>
      <c r="W1081" s="4"/>
      <c r="X1081" s="4"/>
      <c r="AJ1081" s="4"/>
    </row>
    <row r="1082" spans="1:36">
      <c r="A1082" t="str">
        <f t="shared" si="81"/>
        <v>Rame451081</v>
      </c>
      <c r="B1082">
        <v>1081</v>
      </c>
      <c r="C1082">
        <v>13</v>
      </c>
      <c r="D1082">
        <v>8</v>
      </c>
      <c r="E1082">
        <v>2022</v>
      </c>
      <c r="F1082" s="1">
        <f t="shared" si="82"/>
        <v>44786</v>
      </c>
      <c r="G1082" s="1" t="s">
        <v>729</v>
      </c>
      <c r="H1082" s="2">
        <v>45558</v>
      </c>
      <c r="I1082" t="s">
        <v>38</v>
      </c>
      <c r="J1082">
        <v>6</v>
      </c>
      <c r="K1082">
        <v>47599.519999999997</v>
      </c>
      <c r="L1082" t="s">
        <v>458</v>
      </c>
      <c r="M1082">
        <v>45</v>
      </c>
      <c r="N1082" t="s">
        <v>21</v>
      </c>
      <c r="O1082" s="3" t="s">
        <v>28</v>
      </c>
      <c r="P1082" t="s">
        <v>29</v>
      </c>
      <c r="Q1082" t="s">
        <v>56</v>
      </c>
      <c r="R1082">
        <v>3</v>
      </c>
      <c r="S1082" t="s">
        <v>99</v>
      </c>
      <c r="T1082" s="4">
        <f t="shared" si="83"/>
        <v>285597.12</v>
      </c>
      <c r="U1082" s="4" t="str">
        <f t="shared" si="84"/>
        <v>Average</v>
      </c>
      <c r="V1082" s="4" t="str">
        <f t="shared" si="85"/>
        <v>Excellent</v>
      </c>
      <c r="W1082" s="4"/>
      <c r="X1082" s="4"/>
      <c r="AJ1082" s="4"/>
    </row>
    <row r="1083" spans="1:36">
      <c r="A1083" t="str">
        <f t="shared" si="81"/>
        <v>Yoge291082</v>
      </c>
      <c r="B1083">
        <v>1082</v>
      </c>
      <c r="C1083">
        <v>14</v>
      </c>
      <c r="D1083">
        <v>8</v>
      </c>
      <c r="E1083">
        <v>2022</v>
      </c>
      <c r="F1083" s="1">
        <f t="shared" si="82"/>
        <v>44787</v>
      </c>
      <c r="G1083" s="1" t="s">
        <v>729</v>
      </c>
      <c r="H1083" s="2">
        <v>45559</v>
      </c>
      <c r="I1083" t="s">
        <v>38</v>
      </c>
      <c r="J1083">
        <v>3</v>
      </c>
      <c r="K1083">
        <v>51086.39</v>
      </c>
      <c r="L1083" t="s">
        <v>503</v>
      </c>
      <c r="M1083">
        <v>29</v>
      </c>
      <c r="N1083" t="s">
        <v>36</v>
      </c>
      <c r="O1083" s="3" t="s">
        <v>28</v>
      </c>
      <c r="P1083" t="s">
        <v>64</v>
      </c>
      <c r="Q1083" t="s">
        <v>30</v>
      </c>
      <c r="R1083">
        <v>3</v>
      </c>
      <c r="S1083" t="s">
        <v>48</v>
      </c>
      <c r="T1083" s="4">
        <f t="shared" si="83"/>
        <v>153259.16999999998</v>
      </c>
      <c r="U1083" s="4" t="str">
        <f t="shared" si="84"/>
        <v>Average</v>
      </c>
      <c r="V1083" s="4" t="str">
        <f t="shared" si="85"/>
        <v>Good</v>
      </c>
      <c r="W1083" s="4"/>
      <c r="X1083" s="4"/>
      <c r="AJ1083" s="4"/>
    </row>
    <row r="1084" spans="1:36">
      <c r="A1084" t="str">
        <f t="shared" si="81"/>
        <v>Nikh501083</v>
      </c>
      <c r="B1084">
        <v>1083</v>
      </c>
      <c r="C1084">
        <v>14</v>
      </c>
      <c r="D1084">
        <v>8</v>
      </c>
      <c r="E1084">
        <v>2022</v>
      </c>
      <c r="F1084" s="1">
        <f t="shared" si="82"/>
        <v>44787</v>
      </c>
      <c r="G1084" s="1" t="s">
        <v>729</v>
      </c>
      <c r="H1084" s="2">
        <v>45560</v>
      </c>
      <c r="I1084" t="s">
        <v>38</v>
      </c>
      <c r="J1084">
        <v>3</v>
      </c>
      <c r="K1084">
        <v>17526.509999999998</v>
      </c>
      <c r="L1084" t="s">
        <v>749</v>
      </c>
      <c r="M1084">
        <v>50</v>
      </c>
      <c r="N1084" t="s">
        <v>61</v>
      </c>
      <c r="O1084" s="3" t="s">
        <v>22</v>
      </c>
      <c r="P1084" t="s">
        <v>29</v>
      </c>
      <c r="Q1084" t="s">
        <v>30</v>
      </c>
      <c r="R1084">
        <v>4</v>
      </c>
      <c r="S1084" t="s">
        <v>42</v>
      </c>
      <c r="T1084" s="4">
        <f t="shared" si="83"/>
        <v>52579.53</v>
      </c>
      <c r="U1084" s="4" t="str">
        <f t="shared" si="84"/>
        <v>Good</v>
      </c>
      <c r="V1084" s="4" t="str">
        <f t="shared" si="85"/>
        <v>Average</v>
      </c>
      <c r="W1084" s="4"/>
      <c r="X1084" s="4"/>
      <c r="AJ1084" s="4"/>
    </row>
    <row r="1085" spans="1:36">
      <c r="A1085" t="str">
        <f t="shared" si="81"/>
        <v>Vive371084</v>
      </c>
      <c r="B1085">
        <v>1084</v>
      </c>
      <c r="C1085">
        <v>14</v>
      </c>
      <c r="D1085">
        <v>8</v>
      </c>
      <c r="E1085">
        <v>2022</v>
      </c>
      <c r="F1085" s="1">
        <f t="shared" si="82"/>
        <v>44787</v>
      </c>
      <c r="G1085" s="1" t="s">
        <v>729</v>
      </c>
      <c r="H1085" s="2">
        <v>45561</v>
      </c>
      <c r="I1085" t="s">
        <v>26</v>
      </c>
      <c r="J1085">
        <v>2</v>
      </c>
      <c r="K1085">
        <v>57188.98</v>
      </c>
      <c r="L1085" t="s">
        <v>750</v>
      </c>
      <c r="M1085">
        <v>37</v>
      </c>
      <c r="N1085" t="s">
        <v>21</v>
      </c>
      <c r="O1085" s="3" t="s">
        <v>28</v>
      </c>
      <c r="P1085" t="s">
        <v>137</v>
      </c>
      <c r="Q1085" t="s">
        <v>24</v>
      </c>
      <c r="R1085">
        <v>3</v>
      </c>
      <c r="S1085" t="s">
        <v>67</v>
      </c>
      <c r="T1085" s="4">
        <f t="shared" si="83"/>
        <v>114377.96</v>
      </c>
      <c r="U1085" s="4" t="str">
        <f t="shared" si="84"/>
        <v>Average</v>
      </c>
      <c r="V1085" s="4" t="str">
        <f t="shared" si="85"/>
        <v>Good</v>
      </c>
      <c r="W1085" s="4"/>
      <c r="X1085" s="4"/>
      <c r="AJ1085" s="4"/>
    </row>
    <row r="1086" spans="1:36">
      <c r="A1086" t="str">
        <f t="shared" si="81"/>
        <v>Navi571085</v>
      </c>
      <c r="B1086">
        <v>1085</v>
      </c>
      <c r="C1086">
        <v>14</v>
      </c>
      <c r="D1086">
        <v>8</v>
      </c>
      <c r="E1086">
        <v>2022</v>
      </c>
      <c r="F1086" s="1">
        <f t="shared" si="82"/>
        <v>44787</v>
      </c>
      <c r="G1086" s="1" t="s">
        <v>729</v>
      </c>
      <c r="H1086" s="2">
        <v>45562</v>
      </c>
      <c r="I1086" t="s">
        <v>49</v>
      </c>
      <c r="J1086">
        <v>6</v>
      </c>
      <c r="K1086">
        <v>11083.61</v>
      </c>
      <c r="L1086" t="s">
        <v>421</v>
      </c>
      <c r="M1086">
        <v>57</v>
      </c>
      <c r="N1086" t="s">
        <v>61</v>
      </c>
      <c r="O1086" s="3" t="s">
        <v>22</v>
      </c>
      <c r="P1086" t="s">
        <v>150</v>
      </c>
      <c r="Q1086" t="s">
        <v>41</v>
      </c>
      <c r="R1086">
        <v>4</v>
      </c>
      <c r="S1086" t="s">
        <v>88</v>
      </c>
      <c r="T1086" s="4">
        <f t="shared" si="83"/>
        <v>66501.66</v>
      </c>
      <c r="U1086" s="4" t="str">
        <f t="shared" si="84"/>
        <v>Good</v>
      </c>
      <c r="V1086" s="4" t="str">
        <f t="shared" si="85"/>
        <v>Average</v>
      </c>
      <c r="W1086" s="4"/>
      <c r="X1086" s="4"/>
      <c r="AJ1086" s="4"/>
    </row>
    <row r="1087" spans="1:36">
      <c r="A1087" t="str">
        <f t="shared" si="81"/>
        <v>Suni381086</v>
      </c>
      <c r="B1087">
        <v>1086</v>
      </c>
      <c r="C1087">
        <v>15</v>
      </c>
      <c r="D1087">
        <v>8</v>
      </c>
      <c r="E1087">
        <v>2022</v>
      </c>
      <c r="F1087" s="1">
        <f t="shared" si="82"/>
        <v>44788</v>
      </c>
      <c r="G1087" s="1" t="s">
        <v>729</v>
      </c>
      <c r="H1087" s="2">
        <v>45563</v>
      </c>
      <c r="I1087" t="s">
        <v>38</v>
      </c>
      <c r="J1087">
        <v>4</v>
      </c>
      <c r="K1087">
        <v>38963.699999999997</v>
      </c>
      <c r="L1087" t="s">
        <v>260</v>
      </c>
      <c r="M1087">
        <v>38</v>
      </c>
      <c r="N1087" t="s">
        <v>21</v>
      </c>
      <c r="O1087" s="3" t="s">
        <v>22</v>
      </c>
      <c r="P1087" t="s">
        <v>29</v>
      </c>
      <c r="Q1087" t="s">
        <v>56</v>
      </c>
      <c r="R1087">
        <v>5</v>
      </c>
      <c r="S1087" t="s">
        <v>42</v>
      </c>
      <c r="T1087" s="4">
        <f t="shared" si="83"/>
        <v>155854.79999999999</v>
      </c>
      <c r="U1087" s="4" t="str">
        <f t="shared" si="84"/>
        <v>Good</v>
      </c>
      <c r="V1087" s="4" t="str">
        <f t="shared" si="85"/>
        <v>Good</v>
      </c>
      <c r="W1087" s="4"/>
      <c r="X1087" s="4"/>
      <c r="AJ1087" s="4"/>
    </row>
    <row r="1088" spans="1:36">
      <c r="A1088" t="str">
        <f t="shared" si="81"/>
        <v>Bhav561087</v>
      </c>
      <c r="B1088">
        <v>1087</v>
      </c>
      <c r="C1088">
        <v>15</v>
      </c>
      <c r="D1088">
        <v>8</v>
      </c>
      <c r="E1088">
        <v>2022</v>
      </c>
      <c r="F1088" s="1">
        <f t="shared" si="82"/>
        <v>44788</v>
      </c>
      <c r="G1088" s="1" t="s">
        <v>729</v>
      </c>
      <c r="H1088" s="2">
        <v>45564</v>
      </c>
      <c r="I1088" t="s">
        <v>19</v>
      </c>
      <c r="J1088">
        <v>5</v>
      </c>
      <c r="K1088">
        <v>29860.98</v>
      </c>
      <c r="L1088" t="s">
        <v>326</v>
      </c>
      <c r="M1088">
        <v>56</v>
      </c>
      <c r="N1088" t="s">
        <v>61</v>
      </c>
      <c r="O1088" s="3" t="s">
        <v>22</v>
      </c>
      <c r="P1088" t="s">
        <v>29</v>
      </c>
      <c r="Q1088" t="s">
        <v>30</v>
      </c>
      <c r="R1088">
        <v>4</v>
      </c>
      <c r="S1088" t="s">
        <v>37</v>
      </c>
      <c r="T1088" s="4">
        <f t="shared" si="83"/>
        <v>149304.9</v>
      </c>
      <c r="U1088" s="4" t="str">
        <f t="shared" si="84"/>
        <v>Good</v>
      </c>
      <c r="V1088" s="4" t="str">
        <f t="shared" si="85"/>
        <v>Good</v>
      </c>
      <c r="W1088" s="4"/>
      <c r="X1088" s="4"/>
      <c r="AJ1088" s="4"/>
    </row>
    <row r="1089" spans="1:36">
      <c r="A1089" t="str">
        <f t="shared" si="81"/>
        <v>Adit581088</v>
      </c>
      <c r="B1089">
        <v>1088</v>
      </c>
      <c r="C1089">
        <v>15</v>
      </c>
      <c r="D1089">
        <v>8</v>
      </c>
      <c r="E1089">
        <v>2022</v>
      </c>
      <c r="F1089" s="1">
        <f t="shared" si="82"/>
        <v>44788</v>
      </c>
      <c r="G1089" s="1" t="s">
        <v>729</v>
      </c>
      <c r="H1089" s="2">
        <v>45565</v>
      </c>
      <c r="I1089" t="s">
        <v>19</v>
      </c>
      <c r="J1089">
        <v>3</v>
      </c>
      <c r="K1089">
        <v>54418.18</v>
      </c>
      <c r="L1089" t="s">
        <v>299</v>
      </c>
      <c r="M1089">
        <v>58</v>
      </c>
      <c r="N1089" t="s">
        <v>61</v>
      </c>
      <c r="O1089" s="3" t="s">
        <v>22</v>
      </c>
      <c r="P1089" t="s">
        <v>90</v>
      </c>
      <c r="Q1089" t="s">
        <v>24</v>
      </c>
      <c r="R1089">
        <v>5</v>
      </c>
      <c r="S1089" t="s">
        <v>25</v>
      </c>
      <c r="T1089" s="4">
        <f t="shared" si="83"/>
        <v>163254.54</v>
      </c>
      <c r="U1089" s="4" t="str">
        <f t="shared" si="84"/>
        <v>Good</v>
      </c>
      <c r="V1089" s="4" t="str">
        <f t="shared" si="85"/>
        <v>Good</v>
      </c>
      <c r="W1089" s="4"/>
      <c r="X1089" s="4"/>
      <c r="AJ1089" s="4"/>
    </row>
    <row r="1090" spans="1:36">
      <c r="A1090" t="str">
        <f t="shared" ref="A1090:A1153" si="86">LEFT(L1090,4)&amp;M1090&amp;B1090</f>
        <v>Anit591089</v>
      </c>
      <c r="B1090">
        <v>1089</v>
      </c>
      <c r="C1090">
        <v>15</v>
      </c>
      <c r="D1090">
        <v>8</v>
      </c>
      <c r="E1090">
        <v>2022</v>
      </c>
      <c r="F1090" s="1">
        <f t="shared" si="82"/>
        <v>44788</v>
      </c>
      <c r="G1090" s="1" t="s">
        <v>729</v>
      </c>
      <c r="H1090" s="2">
        <v>45566</v>
      </c>
      <c r="I1090" t="s">
        <v>43</v>
      </c>
      <c r="J1090">
        <v>6</v>
      </c>
      <c r="K1090">
        <v>28765.64</v>
      </c>
      <c r="L1090" t="s">
        <v>327</v>
      </c>
      <c r="M1090">
        <v>59</v>
      </c>
      <c r="N1090" t="s">
        <v>61</v>
      </c>
      <c r="O1090" s="3" t="s">
        <v>22</v>
      </c>
      <c r="P1090" t="s">
        <v>51</v>
      </c>
      <c r="Q1090" t="s">
        <v>41</v>
      </c>
      <c r="R1090">
        <v>4</v>
      </c>
      <c r="S1090" t="s">
        <v>57</v>
      </c>
      <c r="T1090" s="4">
        <f t="shared" si="83"/>
        <v>172593.84</v>
      </c>
      <c r="U1090" s="4" t="str">
        <f t="shared" si="84"/>
        <v>Good</v>
      </c>
      <c r="V1090" s="4" t="str">
        <f t="shared" si="85"/>
        <v>Good</v>
      </c>
      <c r="W1090" s="4"/>
      <c r="X1090" s="4"/>
      <c r="AJ1090" s="4"/>
    </row>
    <row r="1091" spans="1:36">
      <c r="A1091" t="str">
        <f t="shared" si="86"/>
        <v>Mano531090</v>
      </c>
      <c r="B1091">
        <v>1090</v>
      </c>
      <c r="C1091">
        <v>16</v>
      </c>
      <c r="D1091">
        <v>8</v>
      </c>
      <c r="E1091">
        <v>2022</v>
      </c>
      <c r="F1091" s="1">
        <f t="shared" ref="F1091:F1154" si="87">DATE(E1091,D1091,C1091)</f>
        <v>44789</v>
      </c>
      <c r="G1091" s="1" t="s">
        <v>729</v>
      </c>
      <c r="H1091" s="2">
        <v>45567</v>
      </c>
      <c r="I1091" t="s">
        <v>49</v>
      </c>
      <c r="J1091">
        <v>3</v>
      </c>
      <c r="K1091">
        <v>59608.43</v>
      </c>
      <c r="L1091" t="s">
        <v>235</v>
      </c>
      <c r="M1091">
        <v>53</v>
      </c>
      <c r="N1091" t="s">
        <v>61</v>
      </c>
      <c r="O1091" s="3" t="s">
        <v>22</v>
      </c>
      <c r="P1091" t="s">
        <v>90</v>
      </c>
      <c r="Q1091" t="s">
        <v>56</v>
      </c>
      <c r="R1091">
        <v>5</v>
      </c>
      <c r="S1091" t="s">
        <v>102</v>
      </c>
      <c r="T1091" s="4">
        <f t="shared" ref="T1091:T1154" si="88">J1091*K1091</f>
        <v>178825.29</v>
      </c>
      <c r="U1091" s="4" t="str">
        <f t="shared" ref="U1091:U1154" si="89">IF(R1091&gt;=4,"Good","Average")</f>
        <v>Good</v>
      </c>
      <c r="V1091" s="4" t="str">
        <f t="shared" ref="V1091:V1154" si="90">IF(T1091&gt;200000,"Excellent",IF(T1091&gt;100000,"Good",IF(T1091&gt;50000,"Average","Low")))</f>
        <v>Good</v>
      </c>
      <c r="W1091" s="4"/>
      <c r="X1091" s="4"/>
      <c r="AJ1091" s="4"/>
    </row>
    <row r="1092" spans="1:36">
      <c r="A1092" t="str">
        <f t="shared" si="86"/>
        <v>Deep391091</v>
      </c>
      <c r="B1092">
        <v>1091</v>
      </c>
      <c r="C1092">
        <v>16</v>
      </c>
      <c r="D1092">
        <v>8</v>
      </c>
      <c r="E1092">
        <v>2022</v>
      </c>
      <c r="F1092" s="1">
        <f t="shared" si="87"/>
        <v>44789</v>
      </c>
      <c r="G1092" s="1" t="s">
        <v>729</v>
      </c>
      <c r="H1092" s="2">
        <v>45568</v>
      </c>
      <c r="I1092" t="s">
        <v>38</v>
      </c>
      <c r="J1092">
        <v>8</v>
      </c>
      <c r="K1092">
        <v>45697.21</v>
      </c>
      <c r="L1092" t="s">
        <v>106</v>
      </c>
      <c r="M1092">
        <v>39</v>
      </c>
      <c r="N1092" t="s">
        <v>21</v>
      </c>
      <c r="O1092" s="3" t="s">
        <v>22</v>
      </c>
      <c r="P1092" t="s">
        <v>150</v>
      </c>
      <c r="Q1092" t="s">
        <v>24</v>
      </c>
      <c r="R1092">
        <v>4</v>
      </c>
      <c r="S1092" t="s">
        <v>42</v>
      </c>
      <c r="T1092" s="4">
        <f t="shared" si="88"/>
        <v>365577.68</v>
      </c>
      <c r="U1092" s="4" t="str">
        <f t="shared" si="89"/>
        <v>Good</v>
      </c>
      <c r="V1092" s="4" t="str">
        <f t="shared" si="90"/>
        <v>Excellent</v>
      </c>
      <c r="W1092" s="4"/>
      <c r="X1092" s="4"/>
      <c r="AJ1092" s="4"/>
    </row>
    <row r="1093" spans="1:36">
      <c r="A1093" t="str">
        <f t="shared" si="86"/>
        <v>Amit431092</v>
      </c>
      <c r="B1093">
        <v>1092</v>
      </c>
      <c r="C1093">
        <v>16</v>
      </c>
      <c r="D1093">
        <v>8</v>
      </c>
      <c r="E1093">
        <v>2022</v>
      </c>
      <c r="F1093" s="1">
        <f t="shared" si="87"/>
        <v>44789</v>
      </c>
      <c r="G1093" s="1" t="s">
        <v>729</v>
      </c>
      <c r="H1093" s="2">
        <v>45569</v>
      </c>
      <c r="I1093" t="s">
        <v>19</v>
      </c>
      <c r="J1093">
        <v>9</v>
      </c>
      <c r="K1093">
        <v>57633.599999999999</v>
      </c>
      <c r="L1093" t="s">
        <v>751</v>
      </c>
      <c r="M1093">
        <v>43</v>
      </c>
      <c r="N1093" t="s">
        <v>21</v>
      </c>
      <c r="O1093" s="3" t="s">
        <v>22</v>
      </c>
      <c r="P1093" t="s">
        <v>29</v>
      </c>
      <c r="Q1093" t="s">
        <v>41</v>
      </c>
      <c r="R1093">
        <v>5</v>
      </c>
      <c r="S1093" t="s">
        <v>37</v>
      </c>
      <c r="T1093" s="4">
        <f t="shared" si="88"/>
        <v>518702.39999999997</v>
      </c>
      <c r="U1093" s="4" t="str">
        <f t="shared" si="89"/>
        <v>Good</v>
      </c>
      <c r="V1093" s="4" t="str">
        <f t="shared" si="90"/>
        <v>Excellent</v>
      </c>
      <c r="W1093" s="4"/>
      <c r="X1093" s="4"/>
      <c r="AJ1093" s="4"/>
    </row>
    <row r="1094" spans="1:36">
      <c r="A1094" t="str">
        <f t="shared" si="86"/>
        <v>Pooj241093</v>
      </c>
      <c r="B1094">
        <v>1093</v>
      </c>
      <c r="C1094">
        <v>17</v>
      </c>
      <c r="D1094">
        <v>8</v>
      </c>
      <c r="E1094">
        <v>2022</v>
      </c>
      <c r="F1094" s="1">
        <f t="shared" si="87"/>
        <v>44790</v>
      </c>
      <c r="G1094" s="1" t="s">
        <v>729</v>
      </c>
      <c r="H1094" s="2">
        <v>45570</v>
      </c>
      <c r="I1094" t="s">
        <v>49</v>
      </c>
      <c r="J1094">
        <v>4</v>
      </c>
      <c r="K1094">
        <v>69360.44</v>
      </c>
      <c r="L1094" t="s">
        <v>752</v>
      </c>
      <c r="M1094">
        <v>24</v>
      </c>
      <c r="N1094" t="s">
        <v>36</v>
      </c>
      <c r="O1094" s="3" t="s">
        <v>22</v>
      </c>
      <c r="P1094" t="s">
        <v>29</v>
      </c>
      <c r="Q1094" t="s">
        <v>56</v>
      </c>
      <c r="R1094">
        <v>5</v>
      </c>
      <c r="S1094" t="s">
        <v>52</v>
      </c>
      <c r="T1094" s="4">
        <f t="shared" si="88"/>
        <v>277441.76</v>
      </c>
      <c r="U1094" s="4" t="str">
        <f t="shared" si="89"/>
        <v>Good</v>
      </c>
      <c r="V1094" s="4" t="str">
        <f t="shared" si="90"/>
        <v>Excellent</v>
      </c>
      <c r="W1094" s="4"/>
      <c r="X1094" s="4"/>
      <c r="AJ1094" s="4"/>
    </row>
    <row r="1095" spans="1:36">
      <c r="A1095" t="str">
        <f t="shared" si="86"/>
        <v>Yoge241094</v>
      </c>
      <c r="B1095">
        <v>1094</v>
      </c>
      <c r="C1095">
        <v>17</v>
      </c>
      <c r="D1095">
        <v>8</v>
      </c>
      <c r="E1095">
        <v>2022</v>
      </c>
      <c r="F1095" s="1">
        <f t="shared" si="87"/>
        <v>44790</v>
      </c>
      <c r="G1095" s="1" t="s">
        <v>729</v>
      </c>
      <c r="H1095" s="2">
        <v>45571</v>
      </c>
      <c r="I1095" t="s">
        <v>43</v>
      </c>
      <c r="J1095">
        <v>9</v>
      </c>
      <c r="K1095">
        <v>50749.5</v>
      </c>
      <c r="L1095" t="s">
        <v>753</v>
      </c>
      <c r="M1095">
        <v>24</v>
      </c>
      <c r="N1095" t="s">
        <v>36</v>
      </c>
      <c r="O1095" s="3" t="s">
        <v>22</v>
      </c>
      <c r="P1095" t="s">
        <v>117</v>
      </c>
      <c r="Q1095" t="s">
        <v>24</v>
      </c>
      <c r="R1095">
        <v>5</v>
      </c>
      <c r="S1095" t="s">
        <v>46</v>
      </c>
      <c r="T1095" s="4">
        <f t="shared" si="88"/>
        <v>456745.5</v>
      </c>
      <c r="U1095" s="4" t="str">
        <f t="shared" si="89"/>
        <v>Good</v>
      </c>
      <c r="V1095" s="4" t="str">
        <f t="shared" si="90"/>
        <v>Excellent</v>
      </c>
      <c r="W1095" s="4"/>
      <c r="X1095" s="4"/>
      <c r="AJ1095" s="4"/>
    </row>
    <row r="1096" spans="1:36">
      <c r="A1096" t="str">
        <f t="shared" si="86"/>
        <v>Anja251095</v>
      </c>
      <c r="B1096">
        <v>1095</v>
      </c>
      <c r="C1096">
        <v>17</v>
      </c>
      <c r="D1096">
        <v>8</v>
      </c>
      <c r="E1096">
        <v>2022</v>
      </c>
      <c r="F1096" s="1">
        <f t="shared" si="87"/>
        <v>44790</v>
      </c>
      <c r="G1096" s="1" t="s">
        <v>729</v>
      </c>
      <c r="H1096" s="2">
        <v>45572</v>
      </c>
      <c r="I1096" t="s">
        <v>26</v>
      </c>
      <c r="J1096">
        <v>7</v>
      </c>
      <c r="K1096">
        <v>69097.02</v>
      </c>
      <c r="L1096" t="s">
        <v>754</v>
      </c>
      <c r="M1096">
        <v>25</v>
      </c>
      <c r="N1096" t="s">
        <v>36</v>
      </c>
      <c r="O1096" s="3" t="s">
        <v>22</v>
      </c>
      <c r="P1096" t="s">
        <v>29</v>
      </c>
      <c r="Q1096" t="s">
        <v>56</v>
      </c>
      <c r="R1096">
        <v>5</v>
      </c>
      <c r="S1096" t="s">
        <v>34</v>
      </c>
      <c r="T1096" s="4">
        <f t="shared" si="88"/>
        <v>483679.14</v>
      </c>
      <c r="U1096" s="4" t="str">
        <f t="shared" si="89"/>
        <v>Good</v>
      </c>
      <c r="V1096" s="4" t="str">
        <f t="shared" si="90"/>
        <v>Excellent</v>
      </c>
      <c r="W1096" s="4"/>
      <c r="X1096" s="4"/>
      <c r="AJ1096" s="4"/>
    </row>
    <row r="1097" spans="1:36">
      <c r="A1097" t="str">
        <f t="shared" si="86"/>
        <v>Sanj431096</v>
      </c>
      <c r="B1097">
        <v>1096</v>
      </c>
      <c r="C1097">
        <v>17</v>
      </c>
      <c r="D1097">
        <v>8</v>
      </c>
      <c r="E1097">
        <v>2022</v>
      </c>
      <c r="F1097" s="1">
        <f t="shared" si="87"/>
        <v>44790</v>
      </c>
      <c r="G1097" s="1" t="s">
        <v>729</v>
      </c>
      <c r="H1097" s="2">
        <v>45573</v>
      </c>
      <c r="I1097" t="s">
        <v>49</v>
      </c>
      <c r="J1097">
        <v>3</v>
      </c>
      <c r="K1097">
        <v>11730.18</v>
      </c>
      <c r="L1097" t="s">
        <v>460</v>
      </c>
      <c r="M1097">
        <v>43</v>
      </c>
      <c r="N1097" t="s">
        <v>21</v>
      </c>
      <c r="O1097" s="3" t="s">
        <v>22</v>
      </c>
      <c r="P1097" t="s">
        <v>29</v>
      </c>
      <c r="Q1097" t="s">
        <v>41</v>
      </c>
      <c r="R1097">
        <v>5</v>
      </c>
      <c r="S1097" t="s">
        <v>88</v>
      </c>
      <c r="T1097" s="4">
        <f t="shared" si="88"/>
        <v>35190.54</v>
      </c>
      <c r="U1097" s="4" t="str">
        <f t="shared" si="89"/>
        <v>Good</v>
      </c>
      <c r="V1097" s="4" t="str">
        <f t="shared" si="90"/>
        <v>Low</v>
      </c>
      <c r="W1097" s="4"/>
      <c r="X1097" s="4"/>
      <c r="AJ1097" s="4"/>
    </row>
    <row r="1098" spans="1:36">
      <c r="A1098" t="str">
        <f t="shared" si="86"/>
        <v>Anja411097</v>
      </c>
      <c r="B1098">
        <v>1097</v>
      </c>
      <c r="C1098">
        <v>18</v>
      </c>
      <c r="D1098">
        <v>8</v>
      </c>
      <c r="E1098">
        <v>2022</v>
      </c>
      <c r="F1098" s="1">
        <f t="shared" si="87"/>
        <v>44791</v>
      </c>
      <c r="G1098" s="1" t="s">
        <v>729</v>
      </c>
      <c r="H1098" s="2">
        <v>45574</v>
      </c>
      <c r="I1098" t="s">
        <v>49</v>
      </c>
      <c r="J1098">
        <v>7</v>
      </c>
      <c r="K1098">
        <v>30288.400000000001</v>
      </c>
      <c r="L1098" t="s">
        <v>754</v>
      </c>
      <c r="M1098">
        <v>41</v>
      </c>
      <c r="N1098" t="s">
        <v>21</v>
      </c>
      <c r="O1098" s="3" t="s">
        <v>22</v>
      </c>
      <c r="P1098" t="s">
        <v>29</v>
      </c>
      <c r="Q1098" t="s">
        <v>30</v>
      </c>
      <c r="R1098">
        <v>5</v>
      </c>
      <c r="S1098" t="s">
        <v>52</v>
      </c>
      <c r="T1098" s="4">
        <f t="shared" si="88"/>
        <v>212018.80000000002</v>
      </c>
      <c r="U1098" s="4" t="str">
        <f t="shared" si="89"/>
        <v>Good</v>
      </c>
      <c r="V1098" s="4" t="str">
        <f t="shared" si="90"/>
        <v>Excellent</v>
      </c>
      <c r="W1098" s="4"/>
      <c r="X1098" s="4"/>
      <c r="AJ1098" s="4"/>
    </row>
    <row r="1099" spans="1:36">
      <c r="A1099" t="str">
        <f t="shared" si="86"/>
        <v>Vino411098</v>
      </c>
      <c r="B1099">
        <v>1098</v>
      </c>
      <c r="C1099">
        <v>18</v>
      </c>
      <c r="D1099">
        <v>8</v>
      </c>
      <c r="E1099">
        <v>2022</v>
      </c>
      <c r="F1099" s="1">
        <f t="shared" si="87"/>
        <v>44791</v>
      </c>
      <c r="G1099" s="1" t="s">
        <v>729</v>
      </c>
      <c r="H1099" s="2">
        <v>45575</v>
      </c>
      <c r="I1099" t="s">
        <v>26</v>
      </c>
      <c r="J1099">
        <v>1</v>
      </c>
      <c r="K1099">
        <v>16471.2</v>
      </c>
      <c r="L1099" t="s">
        <v>91</v>
      </c>
      <c r="M1099">
        <v>41</v>
      </c>
      <c r="N1099" t="s">
        <v>21</v>
      </c>
      <c r="O1099" s="3" t="s">
        <v>22</v>
      </c>
      <c r="P1099" t="s">
        <v>33</v>
      </c>
      <c r="Q1099" t="s">
        <v>24</v>
      </c>
      <c r="R1099">
        <v>4</v>
      </c>
      <c r="S1099" t="s">
        <v>67</v>
      </c>
      <c r="T1099" s="4">
        <f t="shared" si="88"/>
        <v>16471.2</v>
      </c>
      <c r="U1099" s="4" t="str">
        <f t="shared" si="89"/>
        <v>Good</v>
      </c>
      <c r="V1099" s="4" t="str">
        <f t="shared" si="90"/>
        <v>Low</v>
      </c>
      <c r="W1099" s="4"/>
      <c r="X1099" s="4"/>
      <c r="AJ1099" s="4"/>
    </row>
    <row r="1100" spans="1:36">
      <c r="A1100" t="str">
        <f t="shared" si="86"/>
        <v>Meen571099</v>
      </c>
      <c r="B1100">
        <v>1099</v>
      </c>
      <c r="C1100">
        <v>18</v>
      </c>
      <c r="D1100">
        <v>8</v>
      </c>
      <c r="E1100">
        <v>2022</v>
      </c>
      <c r="F1100" s="1">
        <f t="shared" si="87"/>
        <v>44791</v>
      </c>
      <c r="G1100" s="1" t="s">
        <v>729</v>
      </c>
      <c r="H1100" s="2">
        <v>45576</v>
      </c>
      <c r="I1100" t="s">
        <v>49</v>
      </c>
      <c r="J1100">
        <v>3</v>
      </c>
      <c r="K1100">
        <v>25738.3</v>
      </c>
      <c r="L1100" t="s">
        <v>755</v>
      </c>
      <c r="M1100">
        <v>57</v>
      </c>
      <c r="N1100" t="s">
        <v>61</v>
      </c>
      <c r="O1100" s="3" t="s">
        <v>22</v>
      </c>
      <c r="P1100" t="s">
        <v>29</v>
      </c>
      <c r="Q1100" t="s">
        <v>41</v>
      </c>
      <c r="R1100">
        <v>5</v>
      </c>
      <c r="S1100" t="s">
        <v>102</v>
      </c>
      <c r="T1100" s="4">
        <f t="shared" si="88"/>
        <v>77214.899999999994</v>
      </c>
      <c r="U1100" s="4" t="str">
        <f t="shared" si="89"/>
        <v>Good</v>
      </c>
      <c r="V1100" s="4" t="str">
        <f t="shared" si="90"/>
        <v>Average</v>
      </c>
      <c r="W1100" s="4"/>
      <c r="X1100" s="4"/>
      <c r="AJ1100" s="4"/>
    </row>
    <row r="1101" spans="1:36">
      <c r="A1101" t="str">
        <f t="shared" si="86"/>
        <v>Umes291100</v>
      </c>
      <c r="B1101">
        <v>1100</v>
      </c>
      <c r="C1101">
        <v>19</v>
      </c>
      <c r="D1101">
        <v>8</v>
      </c>
      <c r="E1101">
        <v>2022</v>
      </c>
      <c r="F1101" s="1">
        <f t="shared" si="87"/>
        <v>44792</v>
      </c>
      <c r="G1101" s="1" t="s">
        <v>729</v>
      </c>
      <c r="H1101" s="2">
        <v>45577</v>
      </c>
      <c r="I1101" t="s">
        <v>43</v>
      </c>
      <c r="J1101">
        <v>6</v>
      </c>
      <c r="K1101">
        <v>60333.27</v>
      </c>
      <c r="L1101" t="s">
        <v>303</v>
      </c>
      <c r="M1101">
        <v>29</v>
      </c>
      <c r="N1101" t="s">
        <v>36</v>
      </c>
      <c r="O1101" s="3" t="s">
        <v>22</v>
      </c>
      <c r="P1101" t="s">
        <v>29</v>
      </c>
      <c r="Q1101" t="s">
        <v>56</v>
      </c>
      <c r="R1101">
        <v>5</v>
      </c>
      <c r="S1101" t="s">
        <v>57</v>
      </c>
      <c r="T1101" s="4">
        <f t="shared" si="88"/>
        <v>361999.62</v>
      </c>
      <c r="U1101" s="4" t="str">
        <f t="shared" si="89"/>
        <v>Good</v>
      </c>
      <c r="V1101" s="4" t="str">
        <f t="shared" si="90"/>
        <v>Excellent</v>
      </c>
      <c r="W1101" s="4"/>
      <c r="X1101" s="4"/>
      <c r="AJ1101" s="4"/>
    </row>
    <row r="1102" spans="1:36">
      <c r="A1102" t="str">
        <f t="shared" si="86"/>
        <v>Pank251101</v>
      </c>
      <c r="B1102">
        <v>1101</v>
      </c>
      <c r="C1102">
        <v>19</v>
      </c>
      <c r="D1102">
        <v>8</v>
      </c>
      <c r="E1102">
        <v>2022</v>
      </c>
      <c r="F1102" s="1">
        <f t="shared" si="87"/>
        <v>44792</v>
      </c>
      <c r="G1102" s="1" t="s">
        <v>729</v>
      </c>
      <c r="H1102" s="2">
        <v>45578</v>
      </c>
      <c r="I1102" t="s">
        <v>43</v>
      </c>
      <c r="J1102">
        <v>4</v>
      </c>
      <c r="K1102">
        <v>11939.4</v>
      </c>
      <c r="L1102" t="s">
        <v>465</v>
      </c>
      <c r="M1102">
        <v>25</v>
      </c>
      <c r="N1102" t="s">
        <v>36</v>
      </c>
      <c r="O1102" s="3" t="s">
        <v>22</v>
      </c>
      <c r="P1102" t="s">
        <v>40</v>
      </c>
      <c r="Q1102" t="s">
        <v>41</v>
      </c>
      <c r="R1102">
        <v>5</v>
      </c>
      <c r="S1102" t="s">
        <v>46</v>
      </c>
      <c r="T1102" s="4">
        <f t="shared" si="88"/>
        <v>47757.599999999999</v>
      </c>
      <c r="U1102" s="4" t="str">
        <f t="shared" si="89"/>
        <v>Good</v>
      </c>
      <c r="V1102" s="4" t="str">
        <f t="shared" si="90"/>
        <v>Low</v>
      </c>
      <c r="W1102" s="4"/>
      <c r="X1102" s="4"/>
      <c r="AJ1102" s="4"/>
    </row>
    <row r="1103" spans="1:36">
      <c r="A1103" t="str">
        <f t="shared" si="86"/>
        <v>Sumi261102</v>
      </c>
      <c r="B1103">
        <v>1102</v>
      </c>
      <c r="C1103">
        <v>19</v>
      </c>
      <c r="D1103">
        <v>8</v>
      </c>
      <c r="E1103">
        <v>2022</v>
      </c>
      <c r="F1103" s="1">
        <f t="shared" si="87"/>
        <v>44792</v>
      </c>
      <c r="G1103" s="1" t="s">
        <v>729</v>
      </c>
      <c r="H1103" s="2">
        <v>45579</v>
      </c>
      <c r="I1103" t="s">
        <v>26</v>
      </c>
      <c r="J1103">
        <v>7</v>
      </c>
      <c r="K1103">
        <v>41210.980000000003</v>
      </c>
      <c r="L1103" t="s">
        <v>226</v>
      </c>
      <c r="M1103">
        <v>26</v>
      </c>
      <c r="N1103" t="s">
        <v>36</v>
      </c>
      <c r="O1103" s="3" t="s">
        <v>22</v>
      </c>
      <c r="P1103" t="s">
        <v>33</v>
      </c>
      <c r="Q1103" t="s">
        <v>41</v>
      </c>
      <c r="R1103">
        <v>5</v>
      </c>
      <c r="S1103" t="s">
        <v>34</v>
      </c>
      <c r="T1103" s="4">
        <f t="shared" si="88"/>
        <v>288476.86000000004</v>
      </c>
      <c r="U1103" s="4" t="str">
        <f t="shared" si="89"/>
        <v>Good</v>
      </c>
      <c r="V1103" s="4" t="str">
        <f t="shared" si="90"/>
        <v>Excellent</v>
      </c>
      <c r="W1103" s="4"/>
      <c r="X1103" s="4"/>
      <c r="AJ1103" s="4"/>
    </row>
    <row r="1104" spans="1:36">
      <c r="A1104" t="str">
        <f t="shared" si="86"/>
        <v>Nikh201103</v>
      </c>
      <c r="B1104">
        <v>1103</v>
      </c>
      <c r="C1104">
        <v>20</v>
      </c>
      <c r="D1104">
        <v>8</v>
      </c>
      <c r="E1104">
        <v>2022</v>
      </c>
      <c r="F1104" s="1">
        <f t="shared" si="87"/>
        <v>44793</v>
      </c>
      <c r="G1104" s="1" t="s">
        <v>729</v>
      </c>
      <c r="H1104" s="2">
        <v>45580</v>
      </c>
      <c r="I1104" t="s">
        <v>38</v>
      </c>
      <c r="J1104">
        <v>3</v>
      </c>
      <c r="K1104">
        <v>44027.72</v>
      </c>
      <c r="L1104" t="s">
        <v>756</v>
      </c>
      <c r="M1104">
        <v>20</v>
      </c>
      <c r="N1104" t="s">
        <v>36</v>
      </c>
      <c r="O1104" s="3" t="s">
        <v>22</v>
      </c>
      <c r="P1104" t="s">
        <v>137</v>
      </c>
      <c r="Q1104" t="s">
        <v>30</v>
      </c>
      <c r="R1104">
        <v>5</v>
      </c>
      <c r="S1104" t="s">
        <v>99</v>
      </c>
      <c r="T1104" s="4">
        <f t="shared" si="88"/>
        <v>132083.16</v>
      </c>
      <c r="U1104" s="4" t="str">
        <f t="shared" si="89"/>
        <v>Good</v>
      </c>
      <c r="V1104" s="4" t="str">
        <f t="shared" si="90"/>
        <v>Good</v>
      </c>
      <c r="W1104" s="4"/>
      <c r="X1104" s="4"/>
      <c r="AJ1104" s="4"/>
    </row>
    <row r="1105" spans="1:36">
      <c r="A1105" t="str">
        <f t="shared" si="86"/>
        <v>Amit381104</v>
      </c>
      <c r="B1105">
        <v>1104</v>
      </c>
      <c r="C1105">
        <v>20</v>
      </c>
      <c r="D1105">
        <v>8</v>
      </c>
      <c r="E1105">
        <v>2022</v>
      </c>
      <c r="F1105" s="1">
        <f t="shared" si="87"/>
        <v>44793</v>
      </c>
      <c r="G1105" s="1" t="s">
        <v>729</v>
      </c>
      <c r="H1105" s="2">
        <v>45581</v>
      </c>
      <c r="I1105" t="s">
        <v>19</v>
      </c>
      <c r="J1105">
        <v>1</v>
      </c>
      <c r="K1105">
        <v>43669.07</v>
      </c>
      <c r="L1105" t="s">
        <v>416</v>
      </c>
      <c r="M1105">
        <v>38</v>
      </c>
      <c r="N1105" t="s">
        <v>21</v>
      </c>
      <c r="O1105" s="3" t="s">
        <v>22</v>
      </c>
      <c r="P1105" t="s">
        <v>29</v>
      </c>
      <c r="Q1105" t="s">
        <v>24</v>
      </c>
      <c r="R1105">
        <v>5</v>
      </c>
      <c r="S1105" t="s">
        <v>37</v>
      </c>
      <c r="T1105" s="4">
        <f t="shared" si="88"/>
        <v>43669.07</v>
      </c>
      <c r="U1105" s="4" t="str">
        <f t="shared" si="89"/>
        <v>Good</v>
      </c>
      <c r="V1105" s="4" t="str">
        <f t="shared" si="90"/>
        <v>Low</v>
      </c>
      <c r="W1105" s="4"/>
      <c r="X1105" s="4"/>
      <c r="AJ1105" s="4"/>
    </row>
    <row r="1106" spans="1:36">
      <c r="A1106" t="str">
        <f t="shared" si="86"/>
        <v>Ayes481105</v>
      </c>
      <c r="B1106">
        <v>1105</v>
      </c>
      <c r="C1106">
        <v>20</v>
      </c>
      <c r="D1106">
        <v>8</v>
      </c>
      <c r="E1106">
        <v>2022</v>
      </c>
      <c r="F1106" s="1">
        <f t="shared" si="87"/>
        <v>44793</v>
      </c>
      <c r="G1106" s="1" t="s">
        <v>729</v>
      </c>
      <c r="H1106" s="2">
        <v>45582</v>
      </c>
      <c r="I1106" t="s">
        <v>38</v>
      </c>
      <c r="J1106">
        <v>9</v>
      </c>
      <c r="K1106">
        <v>38517.82</v>
      </c>
      <c r="L1106" t="s">
        <v>757</v>
      </c>
      <c r="M1106">
        <v>48</v>
      </c>
      <c r="N1106" t="s">
        <v>61</v>
      </c>
      <c r="O1106" s="3" t="s">
        <v>22</v>
      </c>
      <c r="P1106" t="s">
        <v>66</v>
      </c>
      <c r="Q1106" t="s">
        <v>41</v>
      </c>
      <c r="R1106">
        <v>5</v>
      </c>
      <c r="S1106" t="s">
        <v>99</v>
      </c>
      <c r="T1106" s="4">
        <f t="shared" si="88"/>
        <v>346660.38</v>
      </c>
      <c r="U1106" s="4" t="str">
        <f t="shared" si="89"/>
        <v>Good</v>
      </c>
      <c r="V1106" s="4" t="str">
        <f t="shared" si="90"/>
        <v>Excellent</v>
      </c>
      <c r="W1106" s="4"/>
      <c r="X1106" s="4"/>
      <c r="AJ1106" s="4"/>
    </row>
    <row r="1107" spans="1:36">
      <c r="A1107" t="str">
        <f t="shared" si="86"/>
        <v>Raje411106</v>
      </c>
      <c r="B1107">
        <v>1106</v>
      </c>
      <c r="C1107">
        <v>20</v>
      </c>
      <c r="D1107">
        <v>8</v>
      </c>
      <c r="E1107">
        <v>2022</v>
      </c>
      <c r="F1107" s="1">
        <f t="shared" si="87"/>
        <v>44793</v>
      </c>
      <c r="G1107" s="1" t="s">
        <v>729</v>
      </c>
      <c r="H1107" s="2">
        <v>45583</v>
      </c>
      <c r="I1107" t="s">
        <v>49</v>
      </c>
      <c r="J1107">
        <v>6</v>
      </c>
      <c r="K1107">
        <v>57436.18</v>
      </c>
      <c r="L1107" t="s">
        <v>466</v>
      </c>
      <c r="M1107">
        <v>41</v>
      </c>
      <c r="N1107" t="s">
        <v>21</v>
      </c>
      <c r="O1107" s="3" t="s">
        <v>28</v>
      </c>
      <c r="P1107" t="s">
        <v>93</v>
      </c>
      <c r="Q1107" t="s">
        <v>30</v>
      </c>
      <c r="R1107">
        <v>3</v>
      </c>
      <c r="S1107" t="s">
        <v>52</v>
      </c>
      <c r="T1107" s="4">
        <f t="shared" si="88"/>
        <v>344617.08</v>
      </c>
      <c r="U1107" s="4" t="str">
        <f t="shared" si="89"/>
        <v>Average</v>
      </c>
      <c r="V1107" s="4" t="str">
        <f t="shared" si="90"/>
        <v>Excellent</v>
      </c>
      <c r="W1107" s="4"/>
      <c r="X1107" s="4"/>
      <c r="AJ1107" s="4"/>
    </row>
    <row r="1108" spans="1:36">
      <c r="A1108" t="str">
        <f t="shared" si="86"/>
        <v>Gita211107</v>
      </c>
      <c r="B1108">
        <v>1107</v>
      </c>
      <c r="C1108">
        <v>21</v>
      </c>
      <c r="D1108">
        <v>8</v>
      </c>
      <c r="E1108">
        <v>2022</v>
      </c>
      <c r="F1108" s="1">
        <f t="shared" si="87"/>
        <v>44794</v>
      </c>
      <c r="G1108" s="1" t="s">
        <v>729</v>
      </c>
      <c r="H1108" s="2">
        <v>45584</v>
      </c>
      <c r="I1108" t="s">
        <v>19</v>
      </c>
      <c r="J1108">
        <v>8</v>
      </c>
      <c r="K1108">
        <v>18012.59</v>
      </c>
      <c r="L1108" t="s">
        <v>758</v>
      </c>
      <c r="M1108">
        <v>21</v>
      </c>
      <c r="N1108" t="s">
        <v>36</v>
      </c>
      <c r="O1108" s="3" t="s">
        <v>22</v>
      </c>
      <c r="P1108" t="s">
        <v>29</v>
      </c>
      <c r="Q1108" t="s">
        <v>30</v>
      </c>
      <c r="R1108">
        <v>5</v>
      </c>
      <c r="S1108" t="s">
        <v>84</v>
      </c>
      <c r="T1108" s="4">
        <f t="shared" si="88"/>
        <v>144100.72</v>
      </c>
      <c r="U1108" s="4" t="str">
        <f t="shared" si="89"/>
        <v>Good</v>
      </c>
      <c r="V1108" s="4" t="str">
        <f t="shared" si="90"/>
        <v>Good</v>
      </c>
      <c r="W1108" s="4"/>
      <c r="X1108" s="4"/>
      <c r="AJ1108" s="4"/>
    </row>
    <row r="1109" spans="1:36">
      <c r="A1109" t="str">
        <f t="shared" si="86"/>
        <v>Sanj371108</v>
      </c>
      <c r="B1109">
        <v>1108</v>
      </c>
      <c r="C1109">
        <v>21</v>
      </c>
      <c r="D1109">
        <v>8</v>
      </c>
      <c r="E1109">
        <v>2022</v>
      </c>
      <c r="F1109" s="1">
        <f t="shared" si="87"/>
        <v>44794</v>
      </c>
      <c r="G1109" s="1" t="s">
        <v>729</v>
      </c>
      <c r="H1109" s="2">
        <v>45585</v>
      </c>
      <c r="I1109" t="s">
        <v>26</v>
      </c>
      <c r="J1109">
        <v>3</v>
      </c>
      <c r="K1109">
        <v>28634.62</v>
      </c>
      <c r="L1109" t="s">
        <v>247</v>
      </c>
      <c r="M1109">
        <v>37</v>
      </c>
      <c r="N1109" t="s">
        <v>21</v>
      </c>
      <c r="O1109" s="3" t="s">
        <v>55</v>
      </c>
      <c r="P1109" t="s">
        <v>29</v>
      </c>
      <c r="Q1109" t="s">
        <v>30</v>
      </c>
      <c r="R1109">
        <v>1</v>
      </c>
      <c r="S1109" t="s">
        <v>67</v>
      </c>
      <c r="T1109" s="4">
        <f t="shared" si="88"/>
        <v>85903.86</v>
      </c>
      <c r="U1109" s="4" t="str">
        <f t="shared" si="89"/>
        <v>Average</v>
      </c>
      <c r="V1109" s="4" t="str">
        <f t="shared" si="90"/>
        <v>Average</v>
      </c>
      <c r="W1109" s="4"/>
      <c r="X1109" s="4"/>
      <c r="AJ1109" s="4"/>
    </row>
    <row r="1110" spans="1:36">
      <c r="A1110" t="str">
        <f t="shared" si="86"/>
        <v>Deep331109</v>
      </c>
      <c r="B1110">
        <v>1109</v>
      </c>
      <c r="C1110">
        <v>21</v>
      </c>
      <c r="D1110">
        <v>8</v>
      </c>
      <c r="E1110">
        <v>2022</v>
      </c>
      <c r="F1110" s="1">
        <f t="shared" si="87"/>
        <v>44794</v>
      </c>
      <c r="G1110" s="1" t="s">
        <v>729</v>
      </c>
      <c r="H1110" s="2">
        <v>45586</v>
      </c>
      <c r="I1110" t="s">
        <v>26</v>
      </c>
      <c r="J1110">
        <v>8</v>
      </c>
      <c r="K1110">
        <v>46943.56</v>
      </c>
      <c r="L1110" t="s">
        <v>759</v>
      </c>
      <c r="M1110">
        <v>33</v>
      </c>
      <c r="N1110" t="s">
        <v>21</v>
      </c>
      <c r="O1110" s="3" t="s">
        <v>22</v>
      </c>
      <c r="P1110" t="s">
        <v>40</v>
      </c>
      <c r="Q1110" t="s">
        <v>56</v>
      </c>
      <c r="R1110">
        <v>4</v>
      </c>
      <c r="S1110" t="s">
        <v>67</v>
      </c>
      <c r="T1110" s="4">
        <f t="shared" si="88"/>
        <v>375548.48</v>
      </c>
      <c r="U1110" s="4" t="str">
        <f t="shared" si="89"/>
        <v>Good</v>
      </c>
      <c r="V1110" s="4" t="str">
        <f t="shared" si="90"/>
        <v>Excellent</v>
      </c>
      <c r="W1110" s="4"/>
      <c r="X1110" s="4"/>
      <c r="AJ1110" s="4"/>
    </row>
    <row r="1111" spans="1:36">
      <c r="A1111" t="str">
        <f t="shared" si="86"/>
        <v>Kris271110</v>
      </c>
      <c r="B1111">
        <v>1110</v>
      </c>
      <c r="C1111">
        <v>22</v>
      </c>
      <c r="D1111">
        <v>8</v>
      </c>
      <c r="E1111">
        <v>2022</v>
      </c>
      <c r="F1111" s="1">
        <f t="shared" si="87"/>
        <v>44795</v>
      </c>
      <c r="G1111" s="1" t="s">
        <v>729</v>
      </c>
      <c r="H1111" s="2">
        <v>45587</v>
      </c>
      <c r="I1111" t="s">
        <v>19</v>
      </c>
      <c r="J1111">
        <v>2</v>
      </c>
      <c r="K1111">
        <v>51457.08</v>
      </c>
      <c r="L1111" t="s">
        <v>392</v>
      </c>
      <c r="M1111">
        <v>27</v>
      </c>
      <c r="N1111" t="s">
        <v>36</v>
      </c>
      <c r="O1111" s="3" t="s">
        <v>22</v>
      </c>
      <c r="P1111" t="s">
        <v>23</v>
      </c>
      <c r="Q1111" t="s">
        <v>30</v>
      </c>
      <c r="R1111">
        <v>4</v>
      </c>
      <c r="S1111" t="s">
        <v>37</v>
      </c>
      <c r="T1111" s="4">
        <f t="shared" si="88"/>
        <v>102914.16</v>
      </c>
      <c r="U1111" s="4" t="str">
        <f t="shared" si="89"/>
        <v>Good</v>
      </c>
      <c r="V1111" s="4" t="str">
        <f t="shared" si="90"/>
        <v>Good</v>
      </c>
      <c r="W1111" s="4"/>
      <c r="X1111" s="4"/>
      <c r="AJ1111" s="4"/>
    </row>
    <row r="1112" spans="1:36">
      <c r="A1112" t="str">
        <f t="shared" si="86"/>
        <v>Mala431111</v>
      </c>
      <c r="B1112">
        <v>1111</v>
      </c>
      <c r="C1112">
        <v>22</v>
      </c>
      <c r="D1112">
        <v>8</v>
      </c>
      <c r="E1112">
        <v>2022</v>
      </c>
      <c r="F1112" s="1">
        <f t="shared" si="87"/>
        <v>44795</v>
      </c>
      <c r="G1112" s="1" t="s">
        <v>729</v>
      </c>
      <c r="H1112" s="2">
        <v>45588</v>
      </c>
      <c r="I1112" t="s">
        <v>43</v>
      </c>
      <c r="J1112">
        <v>4</v>
      </c>
      <c r="K1112">
        <v>34248.910000000003</v>
      </c>
      <c r="L1112" t="s">
        <v>607</v>
      </c>
      <c r="M1112">
        <v>43</v>
      </c>
      <c r="N1112" t="s">
        <v>21</v>
      </c>
      <c r="O1112" s="3" t="s">
        <v>28</v>
      </c>
      <c r="P1112" t="s">
        <v>29</v>
      </c>
      <c r="Q1112" t="s">
        <v>30</v>
      </c>
      <c r="R1112">
        <v>3</v>
      </c>
      <c r="S1112" t="s">
        <v>57</v>
      </c>
      <c r="T1112" s="4">
        <f t="shared" si="88"/>
        <v>136995.64000000001</v>
      </c>
      <c r="U1112" s="4" t="str">
        <f t="shared" si="89"/>
        <v>Average</v>
      </c>
      <c r="V1112" s="4" t="str">
        <f t="shared" si="90"/>
        <v>Good</v>
      </c>
      <c r="W1112" s="4"/>
      <c r="X1112" s="4"/>
      <c r="AJ1112" s="4"/>
    </row>
    <row r="1113" spans="1:36">
      <c r="A1113" t="str">
        <f t="shared" si="86"/>
        <v>Kris461112</v>
      </c>
      <c r="B1113">
        <v>1112</v>
      </c>
      <c r="C1113">
        <v>22</v>
      </c>
      <c r="D1113">
        <v>8</v>
      </c>
      <c r="E1113">
        <v>2022</v>
      </c>
      <c r="F1113" s="1">
        <f t="shared" si="87"/>
        <v>44795</v>
      </c>
      <c r="G1113" s="1" t="s">
        <v>729</v>
      </c>
      <c r="H1113" s="2">
        <v>45589</v>
      </c>
      <c r="I1113" t="s">
        <v>19</v>
      </c>
      <c r="J1113">
        <v>3</v>
      </c>
      <c r="K1113">
        <v>62522.28</v>
      </c>
      <c r="L1113" t="s">
        <v>266</v>
      </c>
      <c r="M1113">
        <v>46</v>
      </c>
      <c r="N1113" t="s">
        <v>61</v>
      </c>
      <c r="O1113" s="3" t="s">
        <v>55</v>
      </c>
      <c r="P1113" t="s">
        <v>29</v>
      </c>
      <c r="Q1113" t="s">
        <v>30</v>
      </c>
      <c r="R1113">
        <v>1</v>
      </c>
      <c r="S1113" t="s">
        <v>25</v>
      </c>
      <c r="T1113" s="4">
        <f t="shared" si="88"/>
        <v>187566.84</v>
      </c>
      <c r="U1113" s="4" t="str">
        <f t="shared" si="89"/>
        <v>Average</v>
      </c>
      <c r="V1113" s="4" t="str">
        <f t="shared" si="90"/>
        <v>Good</v>
      </c>
      <c r="W1113" s="4"/>
      <c r="X1113" s="4"/>
      <c r="AJ1113" s="4"/>
    </row>
    <row r="1114" spans="1:36">
      <c r="A1114" t="str">
        <f t="shared" si="86"/>
        <v>Raje221113</v>
      </c>
      <c r="B1114">
        <v>1113</v>
      </c>
      <c r="C1114">
        <v>23</v>
      </c>
      <c r="D1114">
        <v>8</v>
      </c>
      <c r="E1114">
        <v>2022</v>
      </c>
      <c r="F1114" s="1">
        <f t="shared" si="87"/>
        <v>44796</v>
      </c>
      <c r="G1114" s="1" t="s">
        <v>729</v>
      </c>
      <c r="H1114" s="2">
        <v>45590</v>
      </c>
      <c r="I1114" t="s">
        <v>49</v>
      </c>
      <c r="J1114">
        <v>1</v>
      </c>
      <c r="K1114">
        <v>34929.599999999999</v>
      </c>
      <c r="L1114" t="s">
        <v>160</v>
      </c>
      <c r="M1114">
        <v>22</v>
      </c>
      <c r="N1114" t="s">
        <v>36</v>
      </c>
      <c r="O1114" s="3" t="s">
        <v>22</v>
      </c>
      <c r="P1114" t="s">
        <v>45</v>
      </c>
      <c r="Q1114" t="s">
        <v>30</v>
      </c>
      <c r="R1114">
        <v>5</v>
      </c>
      <c r="S1114" t="s">
        <v>102</v>
      </c>
      <c r="T1114" s="4">
        <f t="shared" si="88"/>
        <v>34929.599999999999</v>
      </c>
      <c r="U1114" s="4" t="str">
        <f t="shared" si="89"/>
        <v>Good</v>
      </c>
      <c r="V1114" s="4" t="str">
        <f t="shared" si="90"/>
        <v>Low</v>
      </c>
      <c r="W1114" s="4"/>
      <c r="X1114" s="4"/>
      <c r="AJ1114" s="4"/>
    </row>
    <row r="1115" spans="1:36">
      <c r="A1115" t="str">
        <f t="shared" si="86"/>
        <v>Deve281114</v>
      </c>
      <c r="B1115">
        <v>1114</v>
      </c>
      <c r="C1115">
        <v>23</v>
      </c>
      <c r="D1115">
        <v>8</v>
      </c>
      <c r="E1115">
        <v>2022</v>
      </c>
      <c r="F1115" s="1">
        <f t="shared" si="87"/>
        <v>44796</v>
      </c>
      <c r="G1115" s="1" t="s">
        <v>729</v>
      </c>
      <c r="H1115" s="2">
        <v>45591</v>
      </c>
      <c r="I1115" t="s">
        <v>43</v>
      </c>
      <c r="J1115">
        <v>7</v>
      </c>
      <c r="K1115">
        <v>34166.57</v>
      </c>
      <c r="L1115" t="s">
        <v>760</v>
      </c>
      <c r="M1115">
        <v>28</v>
      </c>
      <c r="N1115" t="s">
        <v>36</v>
      </c>
      <c r="O1115" s="3" t="s">
        <v>22</v>
      </c>
      <c r="P1115" t="s">
        <v>110</v>
      </c>
      <c r="Q1115" t="s">
        <v>24</v>
      </c>
      <c r="R1115">
        <v>5</v>
      </c>
      <c r="S1115" t="s">
        <v>57</v>
      </c>
      <c r="T1115" s="4">
        <f t="shared" si="88"/>
        <v>239165.99</v>
      </c>
      <c r="U1115" s="4" t="str">
        <f t="shared" si="89"/>
        <v>Good</v>
      </c>
      <c r="V1115" s="4" t="str">
        <f t="shared" si="90"/>
        <v>Excellent</v>
      </c>
      <c r="W1115" s="4"/>
      <c r="X1115" s="4"/>
      <c r="AJ1115" s="4"/>
    </row>
    <row r="1116" spans="1:36">
      <c r="A1116" t="str">
        <f t="shared" si="86"/>
        <v>Sanj461115</v>
      </c>
      <c r="B1116">
        <v>1115</v>
      </c>
      <c r="C1116">
        <v>23</v>
      </c>
      <c r="D1116">
        <v>8</v>
      </c>
      <c r="E1116">
        <v>2022</v>
      </c>
      <c r="F1116" s="1">
        <f t="shared" si="87"/>
        <v>44796</v>
      </c>
      <c r="G1116" s="1" t="s">
        <v>729</v>
      </c>
      <c r="H1116" s="2">
        <v>45592</v>
      </c>
      <c r="I1116" t="s">
        <v>26</v>
      </c>
      <c r="J1116">
        <v>2</v>
      </c>
      <c r="K1116">
        <v>12172.44</v>
      </c>
      <c r="L1116" t="s">
        <v>190</v>
      </c>
      <c r="M1116">
        <v>46</v>
      </c>
      <c r="N1116" t="s">
        <v>61</v>
      </c>
      <c r="O1116" s="3" t="s">
        <v>22</v>
      </c>
      <c r="P1116" t="s">
        <v>29</v>
      </c>
      <c r="Q1116" t="s">
        <v>24</v>
      </c>
      <c r="R1116">
        <v>5</v>
      </c>
      <c r="S1116" t="s">
        <v>34</v>
      </c>
      <c r="T1116" s="4">
        <f t="shared" si="88"/>
        <v>24344.880000000001</v>
      </c>
      <c r="U1116" s="4" t="str">
        <f t="shared" si="89"/>
        <v>Good</v>
      </c>
      <c r="V1116" s="4" t="str">
        <f t="shared" si="90"/>
        <v>Low</v>
      </c>
      <c r="W1116" s="4"/>
      <c r="X1116" s="4"/>
      <c r="AJ1116" s="4"/>
    </row>
    <row r="1117" spans="1:36">
      <c r="A1117" t="str">
        <f t="shared" si="86"/>
        <v>Suni321116</v>
      </c>
      <c r="B1117">
        <v>1116</v>
      </c>
      <c r="C1117">
        <v>24</v>
      </c>
      <c r="D1117">
        <v>8</v>
      </c>
      <c r="E1117">
        <v>2022</v>
      </c>
      <c r="F1117" s="1">
        <f t="shared" si="87"/>
        <v>44797</v>
      </c>
      <c r="G1117" s="1" t="s">
        <v>729</v>
      </c>
      <c r="H1117" s="2">
        <v>45593</v>
      </c>
      <c r="I1117" t="s">
        <v>19</v>
      </c>
      <c r="J1117">
        <v>4</v>
      </c>
      <c r="K1117">
        <v>43068.480000000003</v>
      </c>
      <c r="L1117" t="s">
        <v>566</v>
      </c>
      <c r="M1117">
        <v>32</v>
      </c>
      <c r="N1117" t="s">
        <v>21</v>
      </c>
      <c r="O1117" s="3" t="s">
        <v>28</v>
      </c>
      <c r="P1117" t="s">
        <v>137</v>
      </c>
      <c r="Q1117" t="s">
        <v>30</v>
      </c>
      <c r="R1117">
        <v>3</v>
      </c>
      <c r="S1117" t="s">
        <v>25</v>
      </c>
      <c r="T1117" s="4">
        <f t="shared" si="88"/>
        <v>172273.92000000001</v>
      </c>
      <c r="U1117" s="4" t="str">
        <f t="shared" si="89"/>
        <v>Average</v>
      </c>
      <c r="V1117" s="4" t="str">
        <f t="shared" si="90"/>
        <v>Good</v>
      </c>
      <c r="W1117" s="4"/>
      <c r="X1117" s="4"/>
      <c r="AJ1117" s="4"/>
    </row>
    <row r="1118" spans="1:36">
      <c r="A1118" t="str">
        <f t="shared" si="86"/>
        <v>Sach231117</v>
      </c>
      <c r="B1118">
        <v>1117</v>
      </c>
      <c r="C1118">
        <v>24</v>
      </c>
      <c r="D1118">
        <v>8</v>
      </c>
      <c r="E1118">
        <v>2022</v>
      </c>
      <c r="F1118" s="1">
        <f t="shared" si="87"/>
        <v>44797</v>
      </c>
      <c r="G1118" s="1" t="s">
        <v>729</v>
      </c>
      <c r="H1118" s="2">
        <v>45594</v>
      </c>
      <c r="I1118" t="s">
        <v>38</v>
      </c>
      <c r="J1118">
        <v>9</v>
      </c>
      <c r="K1118">
        <v>52520.85</v>
      </c>
      <c r="L1118" t="s">
        <v>183</v>
      </c>
      <c r="M1118">
        <v>23</v>
      </c>
      <c r="N1118" t="s">
        <v>36</v>
      </c>
      <c r="O1118" s="3" t="s">
        <v>28</v>
      </c>
      <c r="P1118" t="s">
        <v>33</v>
      </c>
      <c r="Q1118" t="s">
        <v>41</v>
      </c>
      <c r="R1118">
        <v>3</v>
      </c>
      <c r="S1118" t="s">
        <v>99</v>
      </c>
      <c r="T1118" s="4">
        <f t="shared" si="88"/>
        <v>472687.64999999997</v>
      </c>
      <c r="U1118" s="4" t="str">
        <f t="shared" si="89"/>
        <v>Average</v>
      </c>
      <c r="V1118" s="4" t="str">
        <f t="shared" si="90"/>
        <v>Excellent</v>
      </c>
      <c r="W1118" s="4"/>
      <c r="X1118" s="4"/>
      <c r="AJ1118" s="4"/>
    </row>
    <row r="1119" spans="1:36">
      <c r="A1119" t="str">
        <f t="shared" si="86"/>
        <v>Kris321118</v>
      </c>
      <c r="B1119">
        <v>1118</v>
      </c>
      <c r="C1119">
        <v>24</v>
      </c>
      <c r="D1119">
        <v>8</v>
      </c>
      <c r="E1119">
        <v>2022</v>
      </c>
      <c r="F1119" s="1">
        <f t="shared" si="87"/>
        <v>44797</v>
      </c>
      <c r="G1119" s="1" t="s">
        <v>729</v>
      </c>
      <c r="H1119" s="2">
        <v>45595</v>
      </c>
      <c r="I1119" t="s">
        <v>38</v>
      </c>
      <c r="J1119">
        <v>6</v>
      </c>
      <c r="K1119">
        <v>16866.29</v>
      </c>
      <c r="L1119" t="s">
        <v>761</v>
      </c>
      <c r="M1119">
        <v>32</v>
      </c>
      <c r="N1119" t="s">
        <v>21</v>
      </c>
      <c r="O1119" s="3" t="s">
        <v>28</v>
      </c>
      <c r="P1119" t="s">
        <v>45</v>
      </c>
      <c r="Q1119" t="s">
        <v>56</v>
      </c>
      <c r="R1119">
        <v>3</v>
      </c>
      <c r="S1119" t="s">
        <v>42</v>
      </c>
      <c r="T1119" s="4">
        <f t="shared" si="88"/>
        <v>101197.74</v>
      </c>
      <c r="U1119" s="4" t="str">
        <f t="shared" si="89"/>
        <v>Average</v>
      </c>
      <c r="V1119" s="4" t="str">
        <f t="shared" si="90"/>
        <v>Good</v>
      </c>
      <c r="W1119" s="4"/>
      <c r="X1119" s="4"/>
      <c r="AJ1119" s="4"/>
    </row>
    <row r="1120" spans="1:36">
      <c r="A1120" t="str">
        <f t="shared" si="86"/>
        <v>Amit371119</v>
      </c>
      <c r="B1120">
        <v>1119</v>
      </c>
      <c r="C1120">
        <v>24</v>
      </c>
      <c r="D1120">
        <v>8</v>
      </c>
      <c r="E1120">
        <v>2022</v>
      </c>
      <c r="F1120" s="1">
        <f t="shared" si="87"/>
        <v>44797</v>
      </c>
      <c r="G1120" s="1" t="s">
        <v>729</v>
      </c>
      <c r="H1120" s="2">
        <v>45596</v>
      </c>
      <c r="I1120" t="s">
        <v>49</v>
      </c>
      <c r="J1120">
        <v>8</v>
      </c>
      <c r="K1120">
        <v>28325.97</v>
      </c>
      <c r="L1120" t="s">
        <v>762</v>
      </c>
      <c r="M1120">
        <v>37</v>
      </c>
      <c r="N1120" t="s">
        <v>21</v>
      </c>
      <c r="O1120" s="3" t="s">
        <v>28</v>
      </c>
      <c r="P1120" t="s">
        <v>77</v>
      </c>
      <c r="Q1120" t="s">
        <v>41</v>
      </c>
      <c r="R1120">
        <v>3</v>
      </c>
      <c r="S1120" t="s">
        <v>88</v>
      </c>
      <c r="T1120" s="4">
        <f t="shared" si="88"/>
        <v>226607.76</v>
      </c>
      <c r="U1120" s="4" t="str">
        <f t="shared" si="89"/>
        <v>Average</v>
      </c>
      <c r="V1120" s="4" t="str">
        <f t="shared" si="90"/>
        <v>Excellent</v>
      </c>
      <c r="W1120" s="4"/>
      <c r="X1120" s="4"/>
      <c r="AJ1120" s="4"/>
    </row>
    <row r="1121" spans="1:36">
      <c r="A1121" t="str">
        <f t="shared" si="86"/>
        <v>Lali511120</v>
      </c>
      <c r="B1121">
        <v>1120</v>
      </c>
      <c r="C1121">
        <v>25</v>
      </c>
      <c r="D1121">
        <v>8</v>
      </c>
      <c r="E1121">
        <v>2022</v>
      </c>
      <c r="F1121" s="1">
        <f t="shared" si="87"/>
        <v>44798</v>
      </c>
      <c r="G1121" s="1" t="s">
        <v>729</v>
      </c>
      <c r="H1121" s="2">
        <v>45597</v>
      </c>
      <c r="I1121" t="s">
        <v>38</v>
      </c>
      <c r="J1121">
        <v>2</v>
      </c>
      <c r="K1121">
        <v>56875.42</v>
      </c>
      <c r="L1121" t="s">
        <v>709</v>
      </c>
      <c r="M1121">
        <v>51</v>
      </c>
      <c r="N1121" t="s">
        <v>61</v>
      </c>
      <c r="O1121" s="3" t="s">
        <v>28</v>
      </c>
      <c r="P1121" t="s">
        <v>29</v>
      </c>
      <c r="Q1121" t="s">
        <v>41</v>
      </c>
      <c r="R1121">
        <v>3</v>
      </c>
      <c r="S1121" t="s">
        <v>42</v>
      </c>
      <c r="T1121" s="4">
        <f t="shared" si="88"/>
        <v>113750.84</v>
      </c>
      <c r="U1121" s="4" t="str">
        <f t="shared" si="89"/>
        <v>Average</v>
      </c>
      <c r="V1121" s="4" t="str">
        <f t="shared" si="90"/>
        <v>Good</v>
      </c>
      <c r="W1121" s="4"/>
      <c r="X1121" s="4"/>
      <c r="AJ1121" s="4"/>
    </row>
    <row r="1122" spans="1:36">
      <c r="A1122" t="str">
        <f t="shared" si="86"/>
        <v>Anit191121</v>
      </c>
      <c r="B1122">
        <v>1121</v>
      </c>
      <c r="C1122">
        <v>25</v>
      </c>
      <c r="D1122">
        <v>8</v>
      </c>
      <c r="E1122">
        <v>2022</v>
      </c>
      <c r="F1122" s="1">
        <f t="shared" si="87"/>
        <v>44798</v>
      </c>
      <c r="G1122" s="1" t="s">
        <v>729</v>
      </c>
      <c r="H1122" s="2">
        <v>45598</v>
      </c>
      <c r="I1122" t="s">
        <v>19</v>
      </c>
      <c r="J1122">
        <v>7</v>
      </c>
      <c r="K1122">
        <v>31955.17</v>
      </c>
      <c r="L1122" t="s">
        <v>205</v>
      </c>
      <c r="M1122">
        <v>19</v>
      </c>
      <c r="N1122" t="s">
        <v>36</v>
      </c>
      <c r="O1122" s="3" t="s">
        <v>28</v>
      </c>
      <c r="P1122" t="s">
        <v>29</v>
      </c>
      <c r="Q1122" t="s">
        <v>30</v>
      </c>
      <c r="R1122">
        <v>3</v>
      </c>
      <c r="S1122" t="s">
        <v>37</v>
      </c>
      <c r="T1122" s="4">
        <f t="shared" si="88"/>
        <v>223686.19</v>
      </c>
      <c r="U1122" s="4" t="str">
        <f t="shared" si="89"/>
        <v>Average</v>
      </c>
      <c r="V1122" s="4" t="str">
        <f t="shared" si="90"/>
        <v>Excellent</v>
      </c>
      <c r="W1122" s="4"/>
      <c r="X1122" s="4"/>
      <c r="AJ1122" s="4"/>
    </row>
    <row r="1123" spans="1:36">
      <c r="A1123" t="str">
        <f t="shared" si="86"/>
        <v>Vive331122</v>
      </c>
      <c r="B1123">
        <v>1122</v>
      </c>
      <c r="C1123">
        <v>25</v>
      </c>
      <c r="D1123">
        <v>8</v>
      </c>
      <c r="E1123">
        <v>2022</v>
      </c>
      <c r="F1123" s="1">
        <f t="shared" si="87"/>
        <v>44798</v>
      </c>
      <c r="G1123" s="1" t="s">
        <v>729</v>
      </c>
      <c r="H1123" s="2">
        <v>45599</v>
      </c>
      <c r="I1123" t="s">
        <v>19</v>
      </c>
      <c r="J1123">
        <v>6</v>
      </c>
      <c r="K1123">
        <v>24496.15</v>
      </c>
      <c r="L1123" t="s">
        <v>420</v>
      </c>
      <c r="M1123">
        <v>33</v>
      </c>
      <c r="N1123" t="s">
        <v>21</v>
      </c>
      <c r="O1123" s="3" t="s">
        <v>22</v>
      </c>
      <c r="P1123" t="s">
        <v>59</v>
      </c>
      <c r="Q1123" t="s">
        <v>41</v>
      </c>
      <c r="R1123">
        <v>5</v>
      </c>
      <c r="S1123" t="s">
        <v>84</v>
      </c>
      <c r="T1123" s="4">
        <f t="shared" si="88"/>
        <v>146976.90000000002</v>
      </c>
      <c r="U1123" s="4" t="str">
        <f t="shared" si="89"/>
        <v>Good</v>
      </c>
      <c r="V1123" s="4" t="str">
        <f t="shared" si="90"/>
        <v>Good</v>
      </c>
      <c r="W1123" s="4"/>
      <c r="X1123" s="4"/>
      <c r="AJ1123" s="4"/>
    </row>
    <row r="1124" spans="1:36">
      <c r="A1124" t="str">
        <f t="shared" si="86"/>
        <v>Kira361123</v>
      </c>
      <c r="B1124">
        <v>1123</v>
      </c>
      <c r="C1124">
        <v>25</v>
      </c>
      <c r="D1124">
        <v>8</v>
      </c>
      <c r="E1124">
        <v>2022</v>
      </c>
      <c r="F1124" s="1">
        <f t="shared" si="87"/>
        <v>44798</v>
      </c>
      <c r="G1124" s="1" t="s">
        <v>729</v>
      </c>
      <c r="H1124" s="2">
        <v>45600</v>
      </c>
      <c r="I1124" t="s">
        <v>38</v>
      </c>
      <c r="J1124">
        <v>9</v>
      </c>
      <c r="K1124">
        <v>50332.04</v>
      </c>
      <c r="L1124" t="s">
        <v>763</v>
      </c>
      <c r="M1124">
        <v>36</v>
      </c>
      <c r="N1124" t="s">
        <v>21</v>
      </c>
      <c r="O1124" s="3" t="s">
        <v>22</v>
      </c>
      <c r="P1124" t="s">
        <v>132</v>
      </c>
      <c r="Q1124" t="s">
        <v>24</v>
      </c>
      <c r="R1124">
        <v>5</v>
      </c>
      <c r="S1124" t="s">
        <v>99</v>
      </c>
      <c r="T1124" s="4">
        <f t="shared" si="88"/>
        <v>452988.36</v>
      </c>
      <c r="U1124" s="4" t="str">
        <f t="shared" si="89"/>
        <v>Good</v>
      </c>
      <c r="V1124" s="4" t="str">
        <f t="shared" si="90"/>
        <v>Excellent</v>
      </c>
      <c r="W1124" s="4"/>
      <c r="X1124" s="4"/>
      <c r="AJ1124" s="4"/>
    </row>
    <row r="1125" spans="1:36">
      <c r="A1125" t="str">
        <f t="shared" si="86"/>
        <v>Vino511124</v>
      </c>
      <c r="B1125">
        <v>1124</v>
      </c>
      <c r="C1125">
        <v>26</v>
      </c>
      <c r="D1125">
        <v>8</v>
      </c>
      <c r="E1125">
        <v>2022</v>
      </c>
      <c r="F1125" s="1">
        <f t="shared" si="87"/>
        <v>44799</v>
      </c>
      <c r="G1125" s="1" t="s">
        <v>729</v>
      </c>
      <c r="H1125" s="2">
        <v>45601</v>
      </c>
      <c r="I1125" t="s">
        <v>19</v>
      </c>
      <c r="J1125">
        <v>7</v>
      </c>
      <c r="K1125">
        <v>21805.53</v>
      </c>
      <c r="L1125" t="s">
        <v>85</v>
      </c>
      <c r="M1125">
        <v>51</v>
      </c>
      <c r="N1125" t="s">
        <v>61</v>
      </c>
      <c r="O1125" s="3" t="s">
        <v>22</v>
      </c>
      <c r="P1125" t="s">
        <v>77</v>
      </c>
      <c r="Q1125" t="s">
        <v>24</v>
      </c>
      <c r="R1125">
        <v>5</v>
      </c>
      <c r="S1125" t="s">
        <v>37</v>
      </c>
      <c r="T1125" s="4">
        <f t="shared" si="88"/>
        <v>152638.71</v>
      </c>
      <c r="U1125" s="4" t="str">
        <f t="shared" si="89"/>
        <v>Good</v>
      </c>
      <c r="V1125" s="4" t="str">
        <f t="shared" si="90"/>
        <v>Good</v>
      </c>
      <c r="W1125" s="4"/>
      <c r="X1125" s="4"/>
      <c r="AJ1125" s="4"/>
    </row>
    <row r="1126" spans="1:36">
      <c r="A1126" t="str">
        <f t="shared" si="86"/>
        <v>Nikh311125</v>
      </c>
      <c r="B1126">
        <v>1125</v>
      </c>
      <c r="C1126">
        <v>26</v>
      </c>
      <c r="D1126">
        <v>8</v>
      </c>
      <c r="E1126">
        <v>2022</v>
      </c>
      <c r="F1126" s="1">
        <f t="shared" si="87"/>
        <v>44799</v>
      </c>
      <c r="G1126" s="1" t="s">
        <v>729</v>
      </c>
      <c r="H1126" s="2">
        <v>45602</v>
      </c>
      <c r="I1126" t="s">
        <v>49</v>
      </c>
      <c r="J1126">
        <v>1</v>
      </c>
      <c r="K1126">
        <v>63739.18</v>
      </c>
      <c r="L1126" t="s">
        <v>271</v>
      </c>
      <c r="M1126">
        <v>31</v>
      </c>
      <c r="N1126" t="s">
        <v>21</v>
      </c>
      <c r="O1126" s="3" t="s">
        <v>22</v>
      </c>
      <c r="P1126" t="s">
        <v>29</v>
      </c>
      <c r="Q1126" t="s">
        <v>56</v>
      </c>
      <c r="R1126">
        <v>5</v>
      </c>
      <c r="S1126" t="s">
        <v>88</v>
      </c>
      <c r="T1126" s="4">
        <f t="shared" si="88"/>
        <v>63739.18</v>
      </c>
      <c r="U1126" s="4" t="str">
        <f t="shared" si="89"/>
        <v>Good</v>
      </c>
      <c r="V1126" s="4" t="str">
        <f t="shared" si="90"/>
        <v>Average</v>
      </c>
      <c r="W1126" s="4"/>
      <c r="X1126" s="4"/>
      <c r="AJ1126" s="4"/>
    </row>
    <row r="1127" spans="1:36">
      <c r="A1127" t="str">
        <f t="shared" si="86"/>
        <v>Lata411126</v>
      </c>
      <c r="B1127">
        <v>1126</v>
      </c>
      <c r="C1127">
        <v>26</v>
      </c>
      <c r="D1127">
        <v>8</v>
      </c>
      <c r="E1127">
        <v>2022</v>
      </c>
      <c r="F1127" s="1">
        <f t="shared" si="87"/>
        <v>44799</v>
      </c>
      <c r="G1127" s="1" t="s">
        <v>729</v>
      </c>
      <c r="H1127" s="2">
        <v>45603</v>
      </c>
      <c r="I1127" t="s">
        <v>43</v>
      </c>
      <c r="J1127">
        <v>8</v>
      </c>
      <c r="K1127">
        <v>16335.9</v>
      </c>
      <c r="L1127" t="s">
        <v>764</v>
      </c>
      <c r="M1127">
        <v>41</v>
      </c>
      <c r="N1127" t="s">
        <v>21</v>
      </c>
      <c r="O1127" s="3" t="s">
        <v>28</v>
      </c>
      <c r="P1127" t="s">
        <v>33</v>
      </c>
      <c r="Q1127" t="s">
        <v>24</v>
      </c>
      <c r="R1127">
        <v>3</v>
      </c>
      <c r="S1127" t="s">
        <v>46</v>
      </c>
      <c r="T1127" s="4">
        <f t="shared" si="88"/>
        <v>130687.2</v>
      </c>
      <c r="U1127" s="4" t="str">
        <f t="shared" si="89"/>
        <v>Average</v>
      </c>
      <c r="V1127" s="4" t="str">
        <f t="shared" si="90"/>
        <v>Good</v>
      </c>
      <c r="W1127" s="4"/>
      <c r="X1127" s="4"/>
      <c r="AJ1127" s="4"/>
    </row>
    <row r="1128" spans="1:36">
      <c r="A1128" t="str">
        <f t="shared" si="86"/>
        <v>Kuna451127</v>
      </c>
      <c r="B1128">
        <v>1127</v>
      </c>
      <c r="C1128">
        <v>27</v>
      </c>
      <c r="D1128">
        <v>8</v>
      </c>
      <c r="E1128">
        <v>2022</v>
      </c>
      <c r="F1128" s="1">
        <f t="shared" si="87"/>
        <v>44800</v>
      </c>
      <c r="G1128" s="1" t="s">
        <v>729</v>
      </c>
      <c r="H1128" s="2">
        <v>45604</v>
      </c>
      <c r="I1128" t="s">
        <v>49</v>
      </c>
      <c r="J1128">
        <v>3</v>
      </c>
      <c r="K1128">
        <v>52392.99</v>
      </c>
      <c r="L1128" t="s">
        <v>494</v>
      </c>
      <c r="M1128">
        <v>45</v>
      </c>
      <c r="N1128" t="s">
        <v>21</v>
      </c>
      <c r="O1128" s="3" t="s">
        <v>22</v>
      </c>
      <c r="P1128" t="s">
        <v>29</v>
      </c>
      <c r="Q1128" t="s">
        <v>24</v>
      </c>
      <c r="R1128">
        <v>5</v>
      </c>
      <c r="S1128" t="s">
        <v>102</v>
      </c>
      <c r="T1128" s="4">
        <f t="shared" si="88"/>
        <v>157178.97</v>
      </c>
      <c r="U1128" s="4" t="str">
        <f t="shared" si="89"/>
        <v>Good</v>
      </c>
      <c r="V1128" s="4" t="str">
        <f t="shared" si="90"/>
        <v>Good</v>
      </c>
      <c r="W1128" s="4"/>
      <c r="X1128" s="4"/>
      <c r="AJ1128" s="4"/>
    </row>
    <row r="1129" spans="1:36">
      <c r="A1129" t="str">
        <f t="shared" si="86"/>
        <v>Deep491128</v>
      </c>
      <c r="B1129">
        <v>1128</v>
      </c>
      <c r="C1129">
        <v>27</v>
      </c>
      <c r="D1129">
        <v>8</v>
      </c>
      <c r="E1129">
        <v>2022</v>
      </c>
      <c r="F1129" s="1">
        <f t="shared" si="87"/>
        <v>44800</v>
      </c>
      <c r="G1129" s="1" t="s">
        <v>729</v>
      </c>
      <c r="H1129" s="2">
        <v>45605</v>
      </c>
      <c r="I1129" t="s">
        <v>49</v>
      </c>
      <c r="J1129">
        <v>2</v>
      </c>
      <c r="K1129">
        <v>39972.92</v>
      </c>
      <c r="L1129" t="s">
        <v>765</v>
      </c>
      <c r="M1129">
        <v>49</v>
      </c>
      <c r="N1129" t="s">
        <v>61</v>
      </c>
      <c r="O1129" s="3" t="s">
        <v>28</v>
      </c>
      <c r="P1129" t="s">
        <v>33</v>
      </c>
      <c r="Q1129" t="s">
        <v>30</v>
      </c>
      <c r="R1129">
        <v>3</v>
      </c>
      <c r="S1129" t="s">
        <v>102</v>
      </c>
      <c r="T1129" s="4">
        <f t="shared" si="88"/>
        <v>79945.84</v>
      </c>
      <c r="U1129" s="4" t="str">
        <f t="shared" si="89"/>
        <v>Average</v>
      </c>
      <c r="V1129" s="4" t="str">
        <f t="shared" si="90"/>
        <v>Average</v>
      </c>
      <c r="W1129" s="4"/>
      <c r="X1129" s="4"/>
      <c r="AJ1129" s="4"/>
    </row>
    <row r="1130" spans="1:36">
      <c r="A1130" t="str">
        <f t="shared" si="86"/>
        <v>Radh541129</v>
      </c>
      <c r="B1130">
        <v>1129</v>
      </c>
      <c r="C1130">
        <v>27</v>
      </c>
      <c r="D1130">
        <v>8</v>
      </c>
      <c r="E1130">
        <v>2022</v>
      </c>
      <c r="F1130" s="1">
        <f t="shared" si="87"/>
        <v>44800</v>
      </c>
      <c r="G1130" s="1" t="s">
        <v>729</v>
      </c>
      <c r="H1130" s="2">
        <v>45606</v>
      </c>
      <c r="I1130" t="s">
        <v>19</v>
      </c>
      <c r="J1130">
        <v>3</v>
      </c>
      <c r="K1130">
        <v>62195.77</v>
      </c>
      <c r="L1130" t="s">
        <v>209</v>
      </c>
      <c r="M1130">
        <v>54</v>
      </c>
      <c r="N1130" t="s">
        <v>61</v>
      </c>
      <c r="O1130" s="3" t="s">
        <v>22</v>
      </c>
      <c r="P1130" t="s">
        <v>33</v>
      </c>
      <c r="Q1130" t="s">
        <v>24</v>
      </c>
      <c r="R1130">
        <v>5</v>
      </c>
      <c r="S1130" t="s">
        <v>84</v>
      </c>
      <c r="T1130" s="4">
        <f t="shared" si="88"/>
        <v>186587.31</v>
      </c>
      <c r="U1130" s="4" t="str">
        <f t="shared" si="89"/>
        <v>Good</v>
      </c>
      <c r="V1130" s="4" t="str">
        <f t="shared" si="90"/>
        <v>Good</v>
      </c>
      <c r="W1130" s="4"/>
      <c r="X1130" s="4"/>
      <c r="AJ1130" s="4"/>
    </row>
    <row r="1131" spans="1:36">
      <c r="A1131" t="str">
        <f t="shared" si="86"/>
        <v>Kira271130</v>
      </c>
      <c r="B1131">
        <v>1130</v>
      </c>
      <c r="C1131">
        <v>27</v>
      </c>
      <c r="D1131">
        <v>8</v>
      </c>
      <c r="E1131">
        <v>2022</v>
      </c>
      <c r="F1131" s="1">
        <f t="shared" si="87"/>
        <v>44800</v>
      </c>
      <c r="G1131" s="1" t="s">
        <v>729</v>
      </c>
      <c r="H1131" s="2">
        <v>45607</v>
      </c>
      <c r="I1131" t="s">
        <v>43</v>
      </c>
      <c r="J1131">
        <v>6</v>
      </c>
      <c r="K1131">
        <v>17571.71</v>
      </c>
      <c r="L1131" t="s">
        <v>714</v>
      </c>
      <c r="M1131">
        <v>27</v>
      </c>
      <c r="N1131" t="s">
        <v>36</v>
      </c>
      <c r="O1131" s="3" t="s">
        <v>22</v>
      </c>
      <c r="P1131" t="s">
        <v>64</v>
      </c>
      <c r="Q1131" t="s">
        <v>41</v>
      </c>
      <c r="R1131">
        <v>4</v>
      </c>
      <c r="S1131" t="s">
        <v>46</v>
      </c>
      <c r="T1131" s="4">
        <f t="shared" si="88"/>
        <v>105430.26</v>
      </c>
      <c r="U1131" s="4" t="str">
        <f t="shared" si="89"/>
        <v>Good</v>
      </c>
      <c r="V1131" s="4" t="str">
        <f t="shared" si="90"/>
        <v>Good</v>
      </c>
      <c r="W1131" s="4"/>
      <c r="X1131" s="4"/>
      <c r="AJ1131" s="4"/>
    </row>
    <row r="1132" spans="1:36">
      <c r="A1132" t="str">
        <f t="shared" si="86"/>
        <v>Kris261131</v>
      </c>
      <c r="B1132">
        <v>1131</v>
      </c>
      <c r="C1132">
        <v>28</v>
      </c>
      <c r="D1132">
        <v>8</v>
      </c>
      <c r="E1132">
        <v>2022</v>
      </c>
      <c r="F1132" s="1">
        <f t="shared" si="87"/>
        <v>44801</v>
      </c>
      <c r="G1132" s="1" t="s">
        <v>729</v>
      </c>
      <c r="H1132" s="2">
        <v>45608</v>
      </c>
      <c r="I1132" t="s">
        <v>19</v>
      </c>
      <c r="J1132">
        <v>3</v>
      </c>
      <c r="K1132">
        <v>50673.7</v>
      </c>
      <c r="L1132" t="s">
        <v>644</v>
      </c>
      <c r="M1132">
        <v>26</v>
      </c>
      <c r="N1132" t="s">
        <v>36</v>
      </c>
      <c r="O1132" s="3" t="s">
        <v>22</v>
      </c>
      <c r="P1132" t="s">
        <v>117</v>
      </c>
      <c r="Q1132" t="s">
        <v>41</v>
      </c>
      <c r="R1132">
        <v>5</v>
      </c>
      <c r="S1132" t="s">
        <v>25</v>
      </c>
      <c r="T1132" s="4">
        <f t="shared" si="88"/>
        <v>152021.09999999998</v>
      </c>
      <c r="U1132" s="4" t="str">
        <f t="shared" si="89"/>
        <v>Good</v>
      </c>
      <c r="V1132" s="4" t="str">
        <f t="shared" si="90"/>
        <v>Good</v>
      </c>
      <c r="W1132" s="4"/>
      <c r="X1132" s="4"/>
      <c r="AJ1132" s="4"/>
    </row>
    <row r="1133" spans="1:36">
      <c r="A1133" t="str">
        <f t="shared" si="86"/>
        <v>Tapa411132</v>
      </c>
      <c r="B1133">
        <v>1132</v>
      </c>
      <c r="C1133">
        <v>28</v>
      </c>
      <c r="D1133">
        <v>8</v>
      </c>
      <c r="E1133">
        <v>2022</v>
      </c>
      <c r="F1133" s="1">
        <f t="shared" si="87"/>
        <v>44801</v>
      </c>
      <c r="G1133" s="1" t="s">
        <v>729</v>
      </c>
      <c r="H1133" s="2">
        <v>45609</v>
      </c>
      <c r="I1133" t="s">
        <v>26</v>
      </c>
      <c r="J1133">
        <v>5</v>
      </c>
      <c r="K1133">
        <v>44323.28</v>
      </c>
      <c r="L1133" t="s">
        <v>312</v>
      </c>
      <c r="M1133">
        <v>41</v>
      </c>
      <c r="N1133" t="s">
        <v>21</v>
      </c>
      <c r="O1133" s="3" t="s">
        <v>55</v>
      </c>
      <c r="P1133" t="s">
        <v>29</v>
      </c>
      <c r="Q1133" t="s">
        <v>24</v>
      </c>
      <c r="R1133">
        <v>1</v>
      </c>
      <c r="S1133" t="s">
        <v>67</v>
      </c>
      <c r="T1133" s="4">
        <f t="shared" si="88"/>
        <v>221616.4</v>
      </c>
      <c r="U1133" s="4" t="str">
        <f t="shared" si="89"/>
        <v>Average</v>
      </c>
      <c r="V1133" s="4" t="str">
        <f t="shared" si="90"/>
        <v>Excellent</v>
      </c>
      <c r="W1133" s="4"/>
      <c r="X1133" s="4"/>
      <c r="AJ1133" s="4"/>
    </row>
    <row r="1134" spans="1:36">
      <c r="A1134" t="str">
        <f t="shared" si="86"/>
        <v>Priy531133</v>
      </c>
      <c r="B1134">
        <v>1133</v>
      </c>
      <c r="C1134">
        <v>28</v>
      </c>
      <c r="D1134">
        <v>8</v>
      </c>
      <c r="E1134">
        <v>2022</v>
      </c>
      <c r="F1134" s="1">
        <f t="shared" si="87"/>
        <v>44801</v>
      </c>
      <c r="G1134" s="1" t="s">
        <v>729</v>
      </c>
      <c r="H1134" s="2">
        <v>45610</v>
      </c>
      <c r="I1134" t="s">
        <v>19</v>
      </c>
      <c r="J1134">
        <v>6</v>
      </c>
      <c r="K1134">
        <v>38805.410000000003</v>
      </c>
      <c r="L1134" t="s">
        <v>673</v>
      </c>
      <c r="M1134">
        <v>53</v>
      </c>
      <c r="N1134" t="s">
        <v>61</v>
      </c>
      <c r="O1134" s="3" t="s">
        <v>22</v>
      </c>
      <c r="P1134" t="s">
        <v>64</v>
      </c>
      <c r="Q1134" t="s">
        <v>56</v>
      </c>
      <c r="R1134">
        <v>5</v>
      </c>
      <c r="S1134" t="s">
        <v>37</v>
      </c>
      <c r="T1134" s="4">
        <f t="shared" si="88"/>
        <v>232832.46000000002</v>
      </c>
      <c r="U1134" s="4" t="str">
        <f t="shared" si="89"/>
        <v>Good</v>
      </c>
      <c r="V1134" s="4" t="str">
        <f t="shared" si="90"/>
        <v>Excellent</v>
      </c>
      <c r="W1134" s="4"/>
      <c r="X1134" s="4"/>
      <c r="AJ1134" s="4"/>
    </row>
    <row r="1135" spans="1:36">
      <c r="A1135" t="str">
        <f t="shared" si="86"/>
        <v>Anit461134</v>
      </c>
      <c r="B1135">
        <v>1134</v>
      </c>
      <c r="C1135">
        <v>28</v>
      </c>
      <c r="D1135">
        <v>8</v>
      </c>
      <c r="E1135">
        <v>2022</v>
      </c>
      <c r="F1135" s="1">
        <f t="shared" si="87"/>
        <v>44801</v>
      </c>
      <c r="G1135" s="1" t="s">
        <v>729</v>
      </c>
      <c r="H1135" s="2">
        <v>45611</v>
      </c>
      <c r="I1135" t="s">
        <v>19</v>
      </c>
      <c r="J1135">
        <v>8</v>
      </c>
      <c r="K1135">
        <v>39484.44</v>
      </c>
      <c r="L1135" t="s">
        <v>766</v>
      </c>
      <c r="M1135">
        <v>46</v>
      </c>
      <c r="N1135" t="s">
        <v>61</v>
      </c>
      <c r="O1135" s="3" t="s">
        <v>55</v>
      </c>
      <c r="P1135" t="s">
        <v>23</v>
      </c>
      <c r="Q1135" t="s">
        <v>56</v>
      </c>
      <c r="R1135">
        <v>1</v>
      </c>
      <c r="S1135" t="s">
        <v>25</v>
      </c>
      <c r="T1135" s="4">
        <f t="shared" si="88"/>
        <v>315875.52</v>
      </c>
      <c r="U1135" s="4" t="str">
        <f t="shared" si="89"/>
        <v>Average</v>
      </c>
      <c r="V1135" s="4" t="str">
        <f t="shared" si="90"/>
        <v>Excellent</v>
      </c>
      <c r="W1135" s="4"/>
      <c r="X1135" s="4"/>
      <c r="AJ1135" s="4"/>
    </row>
    <row r="1136" spans="1:36">
      <c r="A1136" t="str">
        <f t="shared" si="86"/>
        <v>Deep461135</v>
      </c>
      <c r="B1136">
        <v>1135</v>
      </c>
      <c r="C1136">
        <v>29</v>
      </c>
      <c r="D1136">
        <v>8</v>
      </c>
      <c r="E1136">
        <v>2022</v>
      </c>
      <c r="F1136" s="1">
        <f t="shared" si="87"/>
        <v>44802</v>
      </c>
      <c r="G1136" s="1" t="s">
        <v>729</v>
      </c>
      <c r="H1136" s="2">
        <v>45612</v>
      </c>
      <c r="I1136" t="s">
        <v>19</v>
      </c>
      <c r="J1136">
        <v>7</v>
      </c>
      <c r="K1136">
        <v>53318.62</v>
      </c>
      <c r="L1136" t="s">
        <v>767</v>
      </c>
      <c r="M1136">
        <v>46</v>
      </c>
      <c r="N1136" t="s">
        <v>61</v>
      </c>
      <c r="O1136" s="3" t="s">
        <v>22</v>
      </c>
      <c r="P1136" t="s">
        <v>33</v>
      </c>
      <c r="Q1136" t="s">
        <v>56</v>
      </c>
      <c r="R1136">
        <v>5</v>
      </c>
      <c r="S1136" t="s">
        <v>25</v>
      </c>
      <c r="T1136" s="4">
        <f t="shared" si="88"/>
        <v>373230.34</v>
      </c>
      <c r="U1136" s="4" t="str">
        <f t="shared" si="89"/>
        <v>Good</v>
      </c>
      <c r="V1136" s="4" t="str">
        <f t="shared" si="90"/>
        <v>Excellent</v>
      </c>
      <c r="W1136" s="4"/>
      <c r="X1136" s="4"/>
      <c r="AJ1136" s="4"/>
    </row>
    <row r="1137" spans="1:36">
      <c r="A1137" t="str">
        <f t="shared" si="86"/>
        <v>Vino401136</v>
      </c>
      <c r="B1137">
        <v>1136</v>
      </c>
      <c r="C1137">
        <v>29</v>
      </c>
      <c r="D1137">
        <v>8</v>
      </c>
      <c r="E1137">
        <v>2022</v>
      </c>
      <c r="F1137" s="1">
        <f t="shared" si="87"/>
        <v>44802</v>
      </c>
      <c r="G1137" s="1" t="s">
        <v>729</v>
      </c>
      <c r="H1137" s="2">
        <v>45613</v>
      </c>
      <c r="I1137" t="s">
        <v>43</v>
      </c>
      <c r="J1137">
        <v>8</v>
      </c>
      <c r="K1137">
        <v>66264.5</v>
      </c>
      <c r="L1137" t="s">
        <v>113</v>
      </c>
      <c r="M1137">
        <v>40</v>
      </c>
      <c r="N1137" t="s">
        <v>21</v>
      </c>
      <c r="O1137" s="3" t="s">
        <v>22</v>
      </c>
      <c r="P1137" t="s">
        <v>33</v>
      </c>
      <c r="Q1137" t="s">
        <v>24</v>
      </c>
      <c r="R1137">
        <v>5</v>
      </c>
      <c r="S1137" t="s">
        <v>57</v>
      </c>
      <c r="T1137" s="4">
        <f t="shared" si="88"/>
        <v>530116</v>
      </c>
      <c r="U1137" s="4" t="str">
        <f t="shared" si="89"/>
        <v>Good</v>
      </c>
      <c r="V1137" s="4" t="str">
        <f t="shared" si="90"/>
        <v>Excellent</v>
      </c>
      <c r="W1137" s="4"/>
      <c r="X1137" s="4"/>
      <c r="AJ1137" s="4"/>
    </row>
    <row r="1138" spans="1:36">
      <c r="A1138" t="str">
        <f t="shared" si="86"/>
        <v>Kris441137</v>
      </c>
      <c r="B1138">
        <v>1137</v>
      </c>
      <c r="C1138">
        <v>29</v>
      </c>
      <c r="D1138">
        <v>8</v>
      </c>
      <c r="E1138">
        <v>2022</v>
      </c>
      <c r="F1138" s="1">
        <f t="shared" si="87"/>
        <v>44802</v>
      </c>
      <c r="G1138" s="1" t="s">
        <v>729</v>
      </c>
      <c r="H1138" s="2">
        <v>45614</v>
      </c>
      <c r="I1138" t="s">
        <v>19</v>
      </c>
      <c r="J1138">
        <v>3</v>
      </c>
      <c r="K1138">
        <v>15475.1</v>
      </c>
      <c r="L1138" t="s">
        <v>163</v>
      </c>
      <c r="M1138">
        <v>44</v>
      </c>
      <c r="N1138" t="s">
        <v>21</v>
      </c>
      <c r="O1138" s="3" t="s">
        <v>22</v>
      </c>
      <c r="P1138" t="s">
        <v>137</v>
      </c>
      <c r="Q1138" t="s">
        <v>56</v>
      </c>
      <c r="R1138">
        <v>4</v>
      </c>
      <c r="S1138" t="s">
        <v>37</v>
      </c>
      <c r="T1138" s="4">
        <f t="shared" si="88"/>
        <v>46425.3</v>
      </c>
      <c r="U1138" s="4" t="str">
        <f t="shared" si="89"/>
        <v>Good</v>
      </c>
      <c r="V1138" s="4" t="str">
        <f t="shared" si="90"/>
        <v>Low</v>
      </c>
      <c r="W1138" s="4"/>
      <c r="X1138" s="4"/>
      <c r="AJ1138" s="4"/>
    </row>
    <row r="1139" spans="1:36">
      <c r="A1139" t="str">
        <f t="shared" si="86"/>
        <v>Arun481138</v>
      </c>
      <c r="B1139">
        <v>1138</v>
      </c>
      <c r="C1139">
        <v>29</v>
      </c>
      <c r="D1139">
        <v>8</v>
      </c>
      <c r="E1139">
        <v>2022</v>
      </c>
      <c r="F1139" s="1">
        <f t="shared" si="87"/>
        <v>44802</v>
      </c>
      <c r="G1139" s="1" t="s">
        <v>729</v>
      </c>
      <c r="H1139" s="2">
        <v>45615</v>
      </c>
      <c r="I1139" t="s">
        <v>43</v>
      </c>
      <c r="J1139">
        <v>4</v>
      </c>
      <c r="K1139">
        <v>11170.16</v>
      </c>
      <c r="L1139" t="s">
        <v>768</v>
      </c>
      <c r="M1139">
        <v>48</v>
      </c>
      <c r="N1139" t="s">
        <v>61</v>
      </c>
      <c r="O1139" s="3" t="s">
        <v>22</v>
      </c>
      <c r="P1139" t="s">
        <v>137</v>
      </c>
      <c r="Q1139" t="s">
        <v>24</v>
      </c>
      <c r="R1139">
        <v>5</v>
      </c>
      <c r="S1139" t="s">
        <v>57</v>
      </c>
      <c r="T1139" s="4">
        <f t="shared" si="88"/>
        <v>44680.639999999999</v>
      </c>
      <c r="U1139" s="4" t="str">
        <f t="shared" si="89"/>
        <v>Good</v>
      </c>
      <c r="V1139" s="4" t="str">
        <f t="shared" si="90"/>
        <v>Low</v>
      </c>
      <c r="W1139" s="4"/>
      <c r="X1139" s="4"/>
      <c r="AJ1139" s="4"/>
    </row>
    <row r="1140" spans="1:36">
      <c r="A1140" t="str">
        <f t="shared" si="86"/>
        <v>Deep241139</v>
      </c>
      <c r="B1140">
        <v>1139</v>
      </c>
      <c r="C1140">
        <v>30</v>
      </c>
      <c r="D1140">
        <v>8</v>
      </c>
      <c r="E1140">
        <v>2022</v>
      </c>
      <c r="F1140" s="1">
        <f t="shared" si="87"/>
        <v>44803</v>
      </c>
      <c r="G1140" s="1" t="s">
        <v>729</v>
      </c>
      <c r="H1140" s="2">
        <v>45616</v>
      </c>
      <c r="I1140" t="s">
        <v>38</v>
      </c>
      <c r="J1140">
        <v>6</v>
      </c>
      <c r="K1140">
        <v>58342.29</v>
      </c>
      <c r="L1140" t="s">
        <v>769</v>
      </c>
      <c r="M1140">
        <v>24</v>
      </c>
      <c r="N1140" t="s">
        <v>36</v>
      </c>
      <c r="O1140" s="3" t="s">
        <v>22</v>
      </c>
      <c r="P1140" t="s">
        <v>33</v>
      </c>
      <c r="Q1140" t="s">
        <v>41</v>
      </c>
      <c r="R1140">
        <v>5</v>
      </c>
      <c r="S1140" t="s">
        <v>99</v>
      </c>
      <c r="T1140" s="4">
        <f t="shared" si="88"/>
        <v>350053.74</v>
      </c>
      <c r="U1140" s="4" t="str">
        <f t="shared" si="89"/>
        <v>Good</v>
      </c>
      <c r="V1140" s="4" t="str">
        <f t="shared" si="90"/>
        <v>Excellent</v>
      </c>
      <c r="W1140" s="4"/>
      <c r="X1140" s="4"/>
      <c r="AJ1140" s="4"/>
    </row>
    <row r="1141" spans="1:36">
      <c r="A1141" t="str">
        <f t="shared" si="86"/>
        <v>Raje211140</v>
      </c>
      <c r="B1141">
        <v>1140</v>
      </c>
      <c r="C1141">
        <v>30</v>
      </c>
      <c r="D1141">
        <v>8</v>
      </c>
      <c r="E1141">
        <v>2022</v>
      </c>
      <c r="F1141" s="1">
        <f t="shared" si="87"/>
        <v>44803</v>
      </c>
      <c r="G1141" s="1" t="s">
        <v>729</v>
      </c>
      <c r="H1141" s="2">
        <v>45617</v>
      </c>
      <c r="I1141" t="s">
        <v>26</v>
      </c>
      <c r="J1141">
        <v>7</v>
      </c>
      <c r="K1141">
        <v>16490.16</v>
      </c>
      <c r="L1141" t="s">
        <v>564</v>
      </c>
      <c r="M1141">
        <v>21</v>
      </c>
      <c r="N1141" t="s">
        <v>36</v>
      </c>
      <c r="O1141" s="3" t="s">
        <v>22</v>
      </c>
      <c r="P1141" t="s">
        <v>29</v>
      </c>
      <c r="Q1141" t="s">
        <v>56</v>
      </c>
      <c r="R1141">
        <v>5</v>
      </c>
      <c r="S1141" t="s">
        <v>67</v>
      </c>
      <c r="T1141" s="4">
        <f t="shared" si="88"/>
        <v>115431.12</v>
      </c>
      <c r="U1141" s="4" t="str">
        <f t="shared" si="89"/>
        <v>Good</v>
      </c>
      <c r="V1141" s="4" t="str">
        <f t="shared" si="90"/>
        <v>Good</v>
      </c>
      <c r="W1141" s="4"/>
      <c r="X1141" s="4"/>
      <c r="AJ1141" s="4"/>
    </row>
    <row r="1142" spans="1:36">
      <c r="A1142" t="str">
        <f t="shared" si="86"/>
        <v>Priy311141</v>
      </c>
      <c r="B1142">
        <v>1141</v>
      </c>
      <c r="C1142">
        <v>30</v>
      </c>
      <c r="D1142">
        <v>8</v>
      </c>
      <c r="E1142">
        <v>2022</v>
      </c>
      <c r="F1142" s="1">
        <f t="shared" si="87"/>
        <v>44803</v>
      </c>
      <c r="G1142" s="1" t="s">
        <v>729</v>
      </c>
      <c r="H1142" s="2">
        <v>45618</v>
      </c>
      <c r="I1142" t="s">
        <v>43</v>
      </c>
      <c r="J1142">
        <v>9</v>
      </c>
      <c r="K1142">
        <v>69201.81</v>
      </c>
      <c r="L1142" t="s">
        <v>441</v>
      </c>
      <c r="M1142">
        <v>31</v>
      </c>
      <c r="N1142" t="s">
        <v>21</v>
      </c>
      <c r="O1142" s="3" t="s">
        <v>28</v>
      </c>
      <c r="P1142" t="s">
        <v>29</v>
      </c>
      <c r="Q1142" t="s">
        <v>56</v>
      </c>
      <c r="R1142">
        <v>3</v>
      </c>
      <c r="S1142" t="s">
        <v>57</v>
      </c>
      <c r="T1142" s="4">
        <f t="shared" si="88"/>
        <v>622816.29</v>
      </c>
      <c r="U1142" s="4" t="str">
        <f t="shared" si="89"/>
        <v>Average</v>
      </c>
      <c r="V1142" s="4" t="str">
        <f t="shared" si="90"/>
        <v>Excellent</v>
      </c>
      <c r="W1142" s="4"/>
      <c r="X1142" s="4"/>
      <c r="AJ1142" s="4"/>
    </row>
    <row r="1143" spans="1:36">
      <c r="A1143" t="str">
        <f t="shared" si="86"/>
        <v>Vino591142</v>
      </c>
      <c r="B1143">
        <v>1142</v>
      </c>
      <c r="C1143">
        <v>30</v>
      </c>
      <c r="D1143">
        <v>8</v>
      </c>
      <c r="E1143">
        <v>2022</v>
      </c>
      <c r="F1143" s="1">
        <f t="shared" si="87"/>
        <v>44803</v>
      </c>
      <c r="G1143" s="1" t="s">
        <v>729</v>
      </c>
      <c r="H1143" s="2">
        <v>45619</v>
      </c>
      <c r="I1143" t="s">
        <v>38</v>
      </c>
      <c r="J1143">
        <v>1</v>
      </c>
      <c r="K1143">
        <v>47160.89</v>
      </c>
      <c r="L1143" t="s">
        <v>91</v>
      </c>
      <c r="M1143">
        <v>59</v>
      </c>
      <c r="N1143" t="s">
        <v>61</v>
      </c>
      <c r="O1143" s="3" t="s">
        <v>22</v>
      </c>
      <c r="P1143" t="s">
        <v>59</v>
      </c>
      <c r="Q1143" t="s">
        <v>56</v>
      </c>
      <c r="R1143">
        <v>5</v>
      </c>
      <c r="S1143" t="s">
        <v>48</v>
      </c>
      <c r="T1143" s="4">
        <f t="shared" si="88"/>
        <v>47160.89</v>
      </c>
      <c r="U1143" s="4" t="str">
        <f t="shared" si="89"/>
        <v>Good</v>
      </c>
      <c r="V1143" s="4" t="str">
        <f t="shared" si="90"/>
        <v>Low</v>
      </c>
      <c r="W1143" s="4"/>
      <c r="X1143" s="4"/>
      <c r="AJ1143" s="4"/>
    </row>
    <row r="1144" spans="1:36">
      <c r="A1144" t="str">
        <f t="shared" si="86"/>
        <v>Meen591143</v>
      </c>
      <c r="B1144">
        <v>1143</v>
      </c>
      <c r="C1144">
        <v>31</v>
      </c>
      <c r="D1144">
        <v>8</v>
      </c>
      <c r="E1144">
        <v>2022</v>
      </c>
      <c r="F1144" s="1">
        <f t="shared" si="87"/>
        <v>44804</v>
      </c>
      <c r="G1144" s="1" t="s">
        <v>729</v>
      </c>
      <c r="H1144" s="2">
        <v>45620</v>
      </c>
      <c r="I1144" t="s">
        <v>43</v>
      </c>
      <c r="J1144">
        <v>8</v>
      </c>
      <c r="K1144">
        <v>49051.98</v>
      </c>
      <c r="L1144" t="s">
        <v>505</v>
      </c>
      <c r="M1144">
        <v>59</v>
      </c>
      <c r="N1144" t="s">
        <v>61</v>
      </c>
      <c r="O1144" s="3" t="s">
        <v>22</v>
      </c>
      <c r="P1144" t="s">
        <v>29</v>
      </c>
      <c r="Q1144" t="s">
        <v>41</v>
      </c>
      <c r="R1144">
        <v>5</v>
      </c>
      <c r="S1144" t="s">
        <v>95</v>
      </c>
      <c r="T1144" s="4">
        <f t="shared" si="88"/>
        <v>392415.84</v>
      </c>
      <c r="U1144" s="4" t="str">
        <f t="shared" si="89"/>
        <v>Good</v>
      </c>
      <c r="V1144" s="4" t="str">
        <f t="shared" si="90"/>
        <v>Excellent</v>
      </c>
      <c r="W1144" s="4"/>
      <c r="X1144" s="4"/>
      <c r="AJ1144" s="4"/>
    </row>
    <row r="1145" spans="1:36">
      <c r="A1145" t="str">
        <f t="shared" si="86"/>
        <v>Roha271144</v>
      </c>
      <c r="B1145">
        <v>1144</v>
      </c>
      <c r="C1145">
        <v>31</v>
      </c>
      <c r="D1145">
        <v>8</v>
      </c>
      <c r="E1145">
        <v>2022</v>
      </c>
      <c r="F1145" s="1">
        <f t="shared" si="87"/>
        <v>44804</v>
      </c>
      <c r="G1145" s="1" t="s">
        <v>729</v>
      </c>
      <c r="H1145" s="2">
        <v>45621</v>
      </c>
      <c r="I1145" t="s">
        <v>43</v>
      </c>
      <c r="J1145">
        <v>8</v>
      </c>
      <c r="K1145">
        <v>21933.5</v>
      </c>
      <c r="L1145" t="s">
        <v>590</v>
      </c>
      <c r="M1145">
        <v>27</v>
      </c>
      <c r="N1145" t="s">
        <v>36</v>
      </c>
      <c r="O1145" s="3" t="s">
        <v>22</v>
      </c>
      <c r="P1145" t="s">
        <v>117</v>
      </c>
      <c r="Q1145" t="s">
        <v>24</v>
      </c>
      <c r="R1145">
        <v>4</v>
      </c>
      <c r="S1145" t="s">
        <v>95</v>
      </c>
      <c r="T1145" s="4">
        <f t="shared" si="88"/>
        <v>175468</v>
      </c>
      <c r="U1145" s="4" t="str">
        <f t="shared" si="89"/>
        <v>Good</v>
      </c>
      <c r="V1145" s="4" t="str">
        <f t="shared" si="90"/>
        <v>Good</v>
      </c>
      <c r="W1145" s="4"/>
      <c r="X1145" s="4"/>
      <c r="AJ1145" s="4"/>
    </row>
    <row r="1146" spans="1:36">
      <c r="A1146" t="str">
        <f t="shared" si="86"/>
        <v>Priy511145</v>
      </c>
      <c r="B1146">
        <v>1145</v>
      </c>
      <c r="C1146">
        <v>31</v>
      </c>
      <c r="D1146">
        <v>8</v>
      </c>
      <c r="E1146">
        <v>2022</v>
      </c>
      <c r="F1146" s="1">
        <f t="shared" si="87"/>
        <v>44804</v>
      </c>
      <c r="G1146" s="1" t="s">
        <v>729</v>
      </c>
      <c r="H1146" s="2">
        <v>45622</v>
      </c>
      <c r="I1146" t="s">
        <v>26</v>
      </c>
      <c r="J1146">
        <v>6</v>
      </c>
      <c r="K1146">
        <v>24418.74</v>
      </c>
      <c r="L1146" t="s">
        <v>740</v>
      </c>
      <c r="M1146">
        <v>51</v>
      </c>
      <c r="N1146" t="s">
        <v>61</v>
      </c>
      <c r="O1146" s="3" t="s">
        <v>55</v>
      </c>
      <c r="P1146" t="s">
        <v>33</v>
      </c>
      <c r="Q1146" t="s">
        <v>41</v>
      </c>
      <c r="R1146">
        <v>1</v>
      </c>
      <c r="S1146" t="s">
        <v>31</v>
      </c>
      <c r="T1146" s="4">
        <f t="shared" si="88"/>
        <v>146512.44</v>
      </c>
      <c r="U1146" s="4" t="str">
        <f t="shared" si="89"/>
        <v>Average</v>
      </c>
      <c r="V1146" s="4" t="str">
        <f t="shared" si="90"/>
        <v>Good</v>
      </c>
      <c r="W1146" s="4"/>
      <c r="X1146" s="4"/>
      <c r="AJ1146" s="4"/>
    </row>
    <row r="1147" spans="1:36">
      <c r="A1147" t="str">
        <f t="shared" si="86"/>
        <v>Meen431146</v>
      </c>
      <c r="B1147">
        <v>1146</v>
      </c>
      <c r="C1147">
        <v>1</v>
      </c>
      <c r="D1147">
        <v>9</v>
      </c>
      <c r="E1147">
        <v>2022</v>
      </c>
      <c r="F1147" s="1">
        <f t="shared" si="87"/>
        <v>44805</v>
      </c>
      <c r="G1147" s="1" t="s">
        <v>770</v>
      </c>
      <c r="H1147" s="2">
        <v>45623</v>
      </c>
      <c r="I1147" t="s">
        <v>49</v>
      </c>
      <c r="J1147">
        <v>4</v>
      </c>
      <c r="K1147">
        <v>49561.02</v>
      </c>
      <c r="L1147" t="s">
        <v>771</v>
      </c>
      <c r="M1147">
        <v>43</v>
      </c>
      <c r="N1147" t="s">
        <v>21</v>
      </c>
      <c r="O1147" s="3" t="s">
        <v>55</v>
      </c>
      <c r="P1147" t="s">
        <v>33</v>
      </c>
      <c r="Q1147" t="s">
        <v>41</v>
      </c>
      <c r="R1147">
        <v>1</v>
      </c>
      <c r="S1147" t="s">
        <v>102</v>
      </c>
      <c r="T1147" s="4">
        <f t="shared" si="88"/>
        <v>198244.08</v>
      </c>
      <c r="U1147" s="4" t="str">
        <f t="shared" si="89"/>
        <v>Average</v>
      </c>
      <c r="V1147" s="4" t="str">
        <f t="shared" si="90"/>
        <v>Good</v>
      </c>
      <c r="W1147" s="4"/>
      <c r="X1147" s="4"/>
      <c r="AJ1147" s="4"/>
    </row>
    <row r="1148" spans="1:36">
      <c r="A1148" t="str">
        <f t="shared" si="86"/>
        <v>Adit401147</v>
      </c>
      <c r="B1148">
        <v>1147</v>
      </c>
      <c r="C1148">
        <v>1</v>
      </c>
      <c r="D1148">
        <v>9</v>
      </c>
      <c r="E1148">
        <v>2022</v>
      </c>
      <c r="F1148" s="1">
        <f t="shared" si="87"/>
        <v>44805</v>
      </c>
      <c r="G1148" s="1" t="s">
        <v>770</v>
      </c>
      <c r="H1148" s="2">
        <v>45624</v>
      </c>
      <c r="I1148" t="s">
        <v>49</v>
      </c>
      <c r="J1148">
        <v>3</v>
      </c>
      <c r="K1148">
        <v>64583.61</v>
      </c>
      <c r="L1148" t="s">
        <v>772</v>
      </c>
      <c r="M1148">
        <v>40</v>
      </c>
      <c r="N1148" t="s">
        <v>21</v>
      </c>
      <c r="O1148" s="3" t="s">
        <v>22</v>
      </c>
      <c r="P1148" t="s">
        <v>29</v>
      </c>
      <c r="Q1148" t="s">
        <v>30</v>
      </c>
      <c r="R1148">
        <v>4</v>
      </c>
      <c r="S1148" t="s">
        <v>52</v>
      </c>
      <c r="T1148" s="4">
        <f t="shared" si="88"/>
        <v>193750.83000000002</v>
      </c>
      <c r="U1148" s="4" t="str">
        <f t="shared" si="89"/>
        <v>Good</v>
      </c>
      <c r="V1148" s="4" t="str">
        <f t="shared" si="90"/>
        <v>Good</v>
      </c>
      <c r="W1148" s="4"/>
      <c r="X1148" s="4"/>
      <c r="AJ1148" s="4"/>
    </row>
    <row r="1149" spans="1:36">
      <c r="A1149" t="str">
        <f t="shared" si="86"/>
        <v>Roha261148</v>
      </c>
      <c r="B1149">
        <v>1148</v>
      </c>
      <c r="C1149">
        <v>1</v>
      </c>
      <c r="D1149">
        <v>9</v>
      </c>
      <c r="E1149">
        <v>2022</v>
      </c>
      <c r="F1149" s="1">
        <f t="shared" si="87"/>
        <v>44805</v>
      </c>
      <c r="G1149" s="1" t="s">
        <v>770</v>
      </c>
      <c r="H1149" s="2">
        <v>45625</v>
      </c>
      <c r="I1149" t="s">
        <v>43</v>
      </c>
      <c r="J1149">
        <v>3</v>
      </c>
      <c r="K1149">
        <v>68943.429999999993</v>
      </c>
      <c r="L1149" t="s">
        <v>773</v>
      </c>
      <c r="M1149">
        <v>26</v>
      </c>
      <c r="N1149" t="s">
        <v>36</v>
      </c>
      <c r="O1149" s="3" t="s">
        <v>22</v>
      </c>
      <c r="P1149" t="s">
        <v>33</v>
      </c>
      <c r="Q1149" t="s">
        <v>56</v>
      </c>
      <c r="R1149">
        <v>5</v>
      </c>
      <c r="S1149" t="s">
        <v>95</v>
      </c>
      <c r="T1149" s="4">
        <f t="shared" si="88"/>
        <v>206830.28999999998</v>
      </c>
      <c r="U1149" s="4" t="str">
        <f t="shared" si="89"/>
        <v>Good</v>
      </c>
      <c r="V1149" s="4" t="str">
        <f t="shared" si="90"/>
        <v>Excellent</v>
      </c>
      <c r="W1149" s="4"/>
      <c r="X1149" s="4"/>
      <c r="AJ1149" s="4"/>
    </row>
    <row r="1150" spans="1:36">
      <c r="A1150" t="str">
        <f t="shared" si="86"/>
        <v>Ravi541149</v>
      </c>
      <c r="B1150">
        <v>1149</v>
      </c>
      <c r="C1150">
        <v>2</v>
      </c>
      <c r="D1150">
        <v>9</v>
      </c>
      <c r="E1150">
        <v>2022</v>
      </c>
      <c r="F1150" s="1">
        <f t="shared" si="87"/>
        <v>44806</v>
      </c>
      <c r="G1150" s="1" t="s">
        <v>770</v>
      </c>
      <c r="H1150" s="2">
        <v>45626</v>
      </c>
      <c r="I1150" t="s">
        <v>19</v>
      </c>
      <c r="J1150">
        <v>6</v>
      </c>
      <c r="K1150">
        <v>21881.86</v>
      </c>
      <c r="L1150" t="s">
        <v>678</v>
      </c>
      <c r="M1150">
        <v>54</v>
      </c>
      <c r="N1150" t="s">
        <v>61</v>
      </c>
      <c r="O1150" s="3" t="s">
        <v>22</v>
      </c>
      <c r="P1150" t="s">
        <v>29</v>
      </c>
      <c r="Q1150" t="s">
        <v>24</v>
      </c>
      <c r="R1150">
        <v>5</v>
      </c>
      <c r="S1150" t="s">
        <v>84</v>
      </c>
      <c r="T1150" s="4">
        <f t="shared" si="88"/>
        <v>131291.16</v>
      </c>
      <c r="U1150" s="4" t="str">
        <f t="shared" si="89"/>
        <v>Good</v>
      </c>
      <c r="V1150" s="4" t="str">
        <f t="shared" si="90"/>
        <v>Good</v>
      </c>
      <c r="W1150" s="4"/>
      <c r="X1150" s="4"/>
      <c r="AJ1150" s="4"/>
    </row>
    <row r="1151" spans="1:36">
      <c r="A1151" t="str">
        <f t="shared" si="86"/>
        <v>Lata251150</v>
      </c>
      <c r="B1151">
        <v>1150</v>
      </c>
      <c r="C1151">
        <v>2</v>
      </c>
      <c r="D1151">
        <v>9</v>
      </c>
      <c r="E1151">
        <v>2022</v>
      </c>
      <c r="F1151" s="1">
        <f t="shared" si="87"/>
        <v>44806</v>
      </c>
      <c r="G1151" s="1" t="s">
        <v>770</v>
      </c>
      <c r="H1151" s="2">
        <v>45627</v>
      </c>
      <c r="I1151" t="s">
        <v>38</v>
      </c>
      <c r="J1151">
        <v>8</v>
      </c>
      <c r="K1151">
        <v>18047.18</v>
      </c>
      <c r="L1151" t="s">
        <v>774</v>
      </c>
      <c r="M1151">
        <v>25</v>
      </c>
      <c r="N1151" t="s">
        <v>36</v>
      </c>
      <c r="O1151" s="3" t="s">
        <v>22</v>
      </c>
      <c r="P1151" t="s">
        <v>117</v>
      </c>
      <c r="Q1151" t="s">
        <v>24</v>
      </c>
      <c r="R1151">
        <v>5</v>
      </c>
      <c r="S1151" t="s">
        <v>48</v>
      </c>
      <c r="T1151" s="4">
        <f t="shared" si="88"/>
        <v>144377.44</v>
      </c>
      <c r="U1151" s="4" t="str">
        <f t="shared" si="89"/>
        <v>Good</v>
      </c>
      <c r="V1151" s="4" t="str">
        <f t="shared" si="90"/>
        <v>Good</v>
      </c>
      <c r="W1151" s="4"/>
      <c r="X1151" s="4"/>
      <c r="AJ1151" s="4"/>
    </row>
    <row r="1152" spans="1:36">
      <c r="A1152" t="str">
        <f t="shared" si="86"/>
        <v>Bhav311151</v>
      </c>
      <c r="B1152">
        <v>1151</v>
      </c>
      <c r="C1152">
        <v>2</v>
      </c>
      <c r="D1152">
        <v>9</v>
      </c>
      <c r="E1152">
        <v>2022</v>
      </c>
      <c r="F1152" s="1">
        <f t="shared" si="87"/>
        <v>44806</v>
      </c>
      <c r="G1152" s="1" t="s">
        <v>770</v>
      </c>
      <c r="H1152" s="2">
        <v>45628</v>
      </c>
      <c r="I1152" t="s">
        <v>19</v>
      </c>
      <c r="J1152">
        <v>7</v>
      </c>
      <c r="K1152">
        <v>13384.08</v>
      </c>
      <c r="L1152" t="s">
        <v>775</v>
      </c>
      <c r="M1152">
        <v>31</v>
      </c>
      <c r="N1152" t="s">
        <v>21</v>
      </c>
      <c r="O1152" s="3" t="s">
        <v>22</v>
      </c>
      <c r="P1152" t="s">
        <v>59</v>
      </c>
      <c r="Q1152" t="s">
        <v>30</v>
      </c>
      <c r="R1152">
        <v>4</v>
      </c>
      <c r="S1152" t="s">
        <v>37</v>
      </c>
      <c r="T1152" s="4">
        <f t="shared" si="88"/>
        <v>93688.56</v>
      </c>
      <c r="U1152" s="4" t="str">
        <f t="shared" si="89"/>
        <v>Good</v>
      </c>
      <c r="V1152" s="4" t="str">
        <f t="shared" si="90"/>
        <v>Average</v>
      </c>
      <c r="W1152" s="4"/>
      <c r="X1152" s="4"/>
      <c r="AJ1152" s="4"/>
    </row>
    <row r="1153" spans="1:36">
      <c r="A1153" t="str">
        <f t="shared" si="86"/>
        <v>Suni241152</v>
      </c>
      <c r="B1153">
        <v>1152</v>
      </c>
      <c r="C1153">
        <v>2</v>
      </c>
      <c r="D1153">
        <v>9</v>
      </c>
      <c r="E1153">
        <v>2022</v>
      </c>
      <c r="F1153" s="1">
        <f t="shared" si="87"/>
        <v>44806</v>
      </c>
      <c r="G1153" s="1" t="s">
        <v>770</v>
      </c>
      <c r="H1153" s="2">
        <v>45629</v>
      </c>
      <c r="I1153" t="s">
        <v>19</v>
      </c>
      <c r="J1153">
        <v>1</v>
      </c>
      <c r="K1153">
        <v>62097.82</v>
      </c>
      <c r="L1153" t="s">
        <v>776</v>
      </c>
      <c r="M1153">
        <v>24</v>
      </c>
      <c r="N1153" t="s">
        <v>36</v>
      </c>
      <c r="O1153" s="3" t="s">
        <v>22</v>
      </c>
      <c r="P1153" t="s">
        <v>114</v>
      </c>
      <c r="Q1153" t="s">
        <v>30</v>
      </c>
      <c r="R1153">
        <v>5</v>
      </c>
      <c r="S1153" t="s">
        <v>84</v>
      </c>
      <c r="T1153" s="4">
        <f t="shared" si="88"/>
        <v>62097.82</v>
      </c>
      <c r="U1153" s="4" t="str">
        <f t="shared" si="89"/>
        <v>Good</v>
      </c>
      <c r="V1153" s="4" t="str">
        <f t="shared" si="90"/>
        <v>Average</v>
      </c>
      <c r="W1153" s="4"/>
      <c r="X1153" s="4"/>
      <c r="AJ1153" s="4"/>
    </row>
    <row r="1154" spans="1:36">
      <c r="A1154" t="str">
        <f t="shared" ref="A1154:A1217" si="91">LEFT(L1154,4)&amp;M1154&amp;B1154</f>
        <v>Deep241153</v>
      </c>
      <c r="B1154">
        <v>1153</v>
      </c>
      <c r="C1154">
        <v>3</v>
      </c>
      <c r="D1154">
        <v>9</v>
      </c>
      <c r="E1154">
        <v>2022</v>
      </c>
      <c r="F1154" s="1">
        <f t="shared" si="87"/>
        <v>44807</v>
      </c>
      <c r="G1154" s="1" t="s">
        <v>770</v>
      </c>
      <c r="H1154" s="2">
        <v>45630</v>
      </c>
      <c r="I1154" t="s">
        <v>43</v>
      </c>
      <c r="J1154">
        <v>6</v>
      </c>
      <c r="K1154">
        <v>27682.89</v>
      </c>
      <c r="L1154" t="s">
        <v>664</v>
      </c>
      <c r="M1154">
        <v>24</v>
      </c>
      <c r="N1154" t="s">
        <v>36</v>
      </c>
      <c r="O1154" s="3" t="s">
        <v>55</v>
      </c>
      <c r="P1154" t="s">
        <v>77</v>
      </c>
      <c r="Q1154" t="s">
        <v>41</v>
      </c>
      <c r="R1154">
        <v>1</v>
      </c>
      <c r="S1154" t="s">
        <v>95</v>
      </c>
      <c r="T1154" s="4">
        <f t="shared" si="88"/>
        <v>166097.34</v>
      </c>
      <c r="U1154" s="4" t="str">
        <f t="shared" si="89"/>
        <v>Average</v>
      </c>
      <c r="V1154" s="4" t="str">
        <f t="shared" si="90"/>
        <v>Good</v>
      </c>
      <c r="W1154" s="4"/>
      <c r="X1154" s="4"/>
      <c r="AJ1154" s="4"/>
    </row>
    <row r="1155" spans="1:36">
      <c r="A1155" t="str">
        <f t="shared" si="91"/>
        <v>Amit261154</v>
      </c>
      <c r="B1155">
        <v>1154</v>
      </c>
      <c r="C1155">
        <v>3</v>
      </c>
      <c r="D1155">
        <v>9</v>
      </c>
      <c r="E1155">
        <v>2022</v>
      </c>
      <c r="F1155" s="1">
        <f t="shared" ref="F1155:F1218" si="92">DATE(E1155,D1155,C1155)</f>
        <v>44807</v>
      </c>
      <c r="G1155" s="1" t="s">
        <v>770</v>
      </c>
      <c r="H1155" s="2">
        <v>45631</v>
      </c>
      <c r="I1155" t="s">
        <v>43</v>
      </c>
      <c r="J1155">
        <v>7</v>
      </c>
      <c r="K1155">
        <v>10108.719999999999</v>
      </c>
      <c r="L1155" t="s">
        <v>416</v>
      </c>
      <c r="M1155">
        <v>26</v>
      </c>
      <c r="N1155" t="s">
        <v>36</v>
      </c>
      <c r="O1155" s="3" t="s">
        <v>28</v>
      </c>
      <c r="P1155" t="s">
        <v>29</v>
      </c>
      <c r="Q1155" t="s">
        <v>30</v>
      </c>
      <c r="R1155">
        <v>3</v>
      </c>
      <c r="S1155" t="s">
        <v>95</v>
      </c>
      <c r="T1155" s="4">
        <f t="shared" ref="T1155:T1218" si="93">J1155*K1155</f>
        <v>70761.039999999994</v>
      </c>
      <c r="U1155" s="4" t="str">
        <f t="shared" ref="U1155:U1218" si="94">IF(R1155&gt;=4,"Good","Average")</f>
        <v>Average</v>
      </c>
      <c r="V1155" s="4" t="str">
        <f t="shared" ref="V1155:V1218" si="95">IF(T1155&gt;200000,"Excellent",IF(T1155&gt;100000,"Good",IF(T1155&gt;50000,"Average","Low")))</f>
        <v>Average</v>
      </c>
      <c r="W1155" s="4"/>
      <c r="X1155" s="4"/>
      <c r="AJ1155" s="4"/>
    </row>
    <row r="1156" spans="1:36">
      <c r="A1156" t="str">
        <f t="shared" si="91"/>
        <v>Pras201155</v>
      </c>
      <c r="B1156">
        <v>1155</v>
      </c>
      <c r="C1156">
        <v>3</v>
      </c>
      <c r="D1156">
        <v>9</v>
      </c>
      <c r="E1156">
        <v>2022</v>
      </c>
      <c r="F1156" s="1">
        <f t="shared" si="92"/>
        <v>44807</v>
      </c>
      <c r="G1156" s="1" t="s">
        <v>770</v>
      </c>
      <c r="H1156" s="2">
        <v>45632</v>
      </c>
      <c r="I1156" t="s">
        <v>43</v>
      </c>
      <c r="J1156">
        <v>7</v>
      </c>
      <c r="K1156">
        <v>23429.09</v>
      </c>
      <c r="L1156" t="s">
        <v>777</v>
      </c>
      <c r="M1156">
        <v>20</v>
      </c>
      <c r="N1156" t="s">
        <v>36</v>
      </c>
      <c r="O1156" s="3" t="s">
        <v>22</v>
      </c>
      <c r="P1156" t="s">
        <v>33</v>
      </c>
      <c r="Q1156" t="s">
        <v>24</v>
      </c>
      <c r="R1156">
        <v>5</v>
      </c>
      <c r="S1156" t="s">
        <v>95</v>
      </c>
      <c r="T1156" s="4">
        <f t="shared" si="93"/>
        <v>164003.63</v>
      </c>
      <c r="U1156" s="4" t="str">
        <f t="shared" si="94"/>
        <v>Good</v>
      </c>
      <c r="V1156" s="4" t="str">
        <f t="shared" si="95"/>
        <v>Good</v>
      </c>
      <c r="W1156" s="4"/>
      <c r="X1156" s="4"/>
      <c r="AJ1156" s="4"/>
    </row>
    <row r="1157" spans="1:36">
      <c r="A1157" t="str">
        <f t="shared" si="91"/>
        <v>Anja311156</v>
      </c>
      <c r="B1157">
        <v>1156</v>
      </c>
      <c r="C1157">
        <v>3</v>
      </c>
      <c r="D1157">
        <v>9</v>
      </c>
      <c r="E1157">
        <v>2022</v>
      </c>
      <c r="F1157" s="1">
        <f t="shared" si="92"/>
        <v>44807</v>
      </c>
      <c r="G1157" s="1" t="s">
        <v>770</v>
      </c>
      <c r="H1157" s="2">
        <v>45633</v>
      </c>
      <c r="I1157" t="s">
        <v>43</v>
      </c>
      <c r="J1157">
        <v>9</v>
      </c>
      <c r="K1157">
        <v>30426.46</v>
      </c>
      <c r="L1157" t="s">
        <v>231</v>
      </c>
      <c r="M1157">
        <v>31</v>
      </c>
      <c r="N1157" t="s">
        <v>21</v>
      </c>
      <c r="O1157" s="3" t="s">
        <v>28</v>
      </c>
      <c r="P1157" t="s">
        <v>51</v>
      </c>
      <c r="Q1157" t="s">
        <v>24</v>
      </c>
      <c r="R1157">
        <v>3</v>
      </c>
      <c r="S1157" t="s">
        <v>95</v>
      </c>
      <c r="T1157" s="4">
        <f t="shared" si="93"/>
        <v>273838.14</v>
      </c>
      <c r="U1157" s="4" t="str">
        <f t="shared" si="94"/>
        <v>Average</v>
      </c>
      <c r="V1157" s="4" t="str">
        <f t="shared" si="95"/>
        <v>Excellent</v>
      </c>
      <c r="W1157" s="4"/>
      <c r="X1157" s="4"/>
      <c r="AJ1157" s="4"/>
    </row>
    <row r="1158" spans="1:36">
      <c r="A1158" t="str">
        <f t="shared" si="91"/>
        <v>Mano341157</v>
      </c>
      <c r="B1158">
        <v>1157</v>
      </c>
      <c r="C1158">
        <v>4</v>
      </c>
      <c r="D1158">
        <v>9</v>
      </c>
      <c r="E1158">
        <v>2022</v>
      </c>
      <c r="F1158" s="1">
        <f t="shared" si="92"/>
        <v>44808</v>
      </c>
      <c r="G1158" s="1" t="s">
        <v>770</v>
      </c>
      <c r="H1158" s="2">
        <v>45634</v>
      </c>
      <c r="I1158" t="s">
        <v>49</v>
      </c>
      <c r="J1158">
        <v>5</v>
      </c>
      <c r="K1158">
        <v>69459.17</v>
      </c>
      <c r="L1158" t="s">
        <v>293</v>
      </c>
      <c r="M1158">
        <v>34</v>
      </c>
      <c r="N1158" t="s">
        <v>21</v>
      </c>
      <c r="O1158" s="3" t="s">
        <v>22</v>
      </c>
      <c r="P1158" t="s">
        <v>45</v>
      </c>
      <c r="Q1158" t="s">
        <v>24</v>
      </c>
      <c r="R1158">
        <v>5</v>
      </c>
      <c r="S1158" t="s">
        <v>102</v>
      </c>
      <c r="T1158" s="4">
        <f t="shared" si="93"/>
        <v>347295.85</v>
      </c>
      <c r="U1158" s="4" t="str">
        <f t="shared" si="94"/>
        <v>Good</v>
      </c>
      <c r="V1158" s="4" t="str">
        <f t="shared" si="95"/>
        <v>Excellent</v>
      </c>
      <c r="W1158" s="4"/>
      <c r="X1158" s="4"/>
      <c r="AJ1158" s="4"/>
    </row>
    <row r="1159" spans="1:36">
      <c r="A1159" t="str">
        <f t="shared" si="91"/>
        <v>Pras391158</v>
      </c>
      <c r="B1159">
        <v>1158</v>
      </c>
      <c r="C1159">
        <v>4</v>
      </c>
      <c r="D1159">
        <v>9</v>
      </c>
      <c r="E1159">
        <v>2022</v>
      </c>
      <c r="F1159" s="1">
        <f t="shared" si="92"/>
        <v>44808</v>
      </c>
      <c r="G1159" s="1" t="s">
        <v>770</v>
      </c>
      <c r="H1159" s="2">
        <v>45635</v>
      </c>
      <c r="I1159" t="s">
        <v>43</v>
      </c>
      <c r="J1159">
        <v>1</v>
      </c>
      <c r="K1159">
        <v>41412.5</v>
      </c>
      <c r="L1159" t="s">
        <v>778</v>
      </c>
      <c r="M1159">
        <v>39</v>
      </c>
      <c r="N1159" t="s">
        <v>21</v>
      </c>
      <c r="O1159" s="3" t="s">
        <v>22</v>
      </c>
      <c r="P1159" t="s">
        <v>29</v>
      </c>
      <c r="Q1159" t="s">
        <v>41</v>
      </c>
      <c r="R1159">
        <v>4</v>
      </c>
      <c r="S1159" t="s">
        <v>95</v>
      </c>
      <c r="T1159" s="4">
        <f t="shared" si="93"/>
        <v>41412.5</v>
      </c>
      <c r="U1159" s="4" t="str">
        <f t="shared" si="94"/>
        <v>Good</v>
      </c>
      <c r="V1159" s="4" t="str">
        <f t="shared" si="95"/>
        <v>Low</v>
      </c>
      <c r="W1159" s="4"/>
      <c r="X1159" s="4"/>
      <c r="AJ1159" s="4"/>
    </row>
    <row r="1160" spans="1:36">
      <c r="A1160" t="str">
        <f t="shared" si="91"/>
        <v>Pras431159</v>
      </c>
      <c r="B1160">
        <v>1159</v>
      </c>
      <c r="C1160">
        <v>4</v>
      </c>
      <c r="D1160">
        <v>9</v>
      </c>
      <c r="E1160">
        <v>2022</v>
      </c>
      <c r="F1160" s="1">
        <f t="shared" si="92"/>
        <v>44808</v>
      </c>
      <c r="G1160" s="1" t="s">
        <v>770</v>
      </c>
      <c r="H1160" s="2">
        <v>45636</v>
      </c>
      <c r="I1160" t="s">
        <v>49</v>
      </c>
      <c r="J1160">
        <v>2</v>
      </c>
      <c r="K1160">
        <v>22282.84</v>
      </c>
      <c r="L1160" t="s">
        <v>778</v>
      </c>
      <c r="M1160">
        <v>43</v>
      </c>
      <c r="N1160" t="s">
        <v>21</v>
      </c>
      <c r="O1160" s="3" t="s">
        <v>28</v>
      </c>
      <c r="P1160" t="s">
        <v>114</v>
      </c>
      <c r="Q1160" t="s">
        <v>56</v>
      </c>
      <c r="R1160">
        <v>3</v>
      </c>
      <c r="S1160" t="s">
        <v>52</v>
      </c>
      <c r="T1160" s="4">
        <f t="shared" si="93"/>
        <v>44565.68</v>
      </c>
      <c r="U1160" s="4" t="str">
        <f t="shared" si="94"/>
        <v>Average</v>
      </c>
      <c r="V1160" s="4" t="str">
        <f t="shared" si="95"/>
        <v>Low</v>
      </c>
      <c r="W1160" s="4"/>
      <c r="X1160" s="4"/>
      <c r="AJ1160" s="4"/>
    </row>
    <row r="1161" spans="1:36">
      <c r="A1161" t="str">
        <f t="shared" si="91"/>
        <v>Kavi451160</v>
      </c>
      <c r="B1161">
        <v>1160</v>
      </c>
      <c r="C1161">
        <v>5</v>
      </c>
      <c r="D1161">
        <v>9</v>
      </c>
      <c r="E1161">
        <v>2022</v>
      </c>
      <c r="F1161" s="1">
        <f t="shared" si="92"/>
        <v>44809</v>
      </c>
      <c r="G1161" s="1" t="s">
        <v>770</v>
      </c>
      <c r="H1161" s="2">
        <v>45637</v>
      </c>
      <c r="I1161" t="s">
        <v>49</v>
      </c>
      <c r="J1161">
        <v>4</v>
      </c>
      <c r="K1161">
        <v>30089.1</v>
      </c>
      <c r="L1161" t="s">
        <v>360</v>
      </c>
      <c r="M1161">
        <v>45</v>
      </c>
      <c r="N1161" t="s">
        <v>21</v>
      </c>
      <c r="O1161" s="3" t="s">
        <v>22</v>
      </c>
      <c r="P1161" t="s">
        <v>23</v>
      </c>
      <c r="Q1161" t="s">
        <v>56</v>
      </c>
      <c r="R1161">
        <v>5</v>
      </c>
      <c r="S1161" t="s">
        <v>52</v>
      </c>
      <c r="T1161" s="4">
        <f t="shared" si="93"/>
        <v>120356.4</v>
      </c>
      <c r="U1161" s="4" t="str">
        <f t="shared" si="94"/>
        <v>Good</v>
      </c>
      <c r="V1161" s="4" t="str">
        <f t="shared" si="95"/>
        <v>Good</v>
      </c>
      <c r="W1161" s="4"/>
      <c r="X1161" s="4"/>
      <c r="AJ1161" s="4"/>
    </row>
    <row r="1162" spans="1:36">
      <c r="A1162" t="str">
        <f t="shared" si="91"/>
        <v>Nami311161</v>
      </c>
      <c r="B1162">
        <v>1161</v>
      </c>
      <c r="C1162">
        <v>5</v>
      </c>
      <c r="D1162">
        <v>9</v>
      </c>
      <c r="E1162">
        <v>2022</v>
      </c>
      <c r="F1162" s="1">
        <f t="shared" si="92"/>
        <v>44809</v>
      </c>
      <c r="G1162" s="1" t="s">
        <v>770</v>
      </c>
      <c r="H1162" s="2">
        <v>45638</v>
      </c>
      <c r="I1162" t="s">
        <v>43</v>
      </c>
      <c r="J1162">
        <v>5</v>
      </c>
      <c r="K1162">
        <v>29818.46</v>
      </c>
      <c r="L1162" t="s">
        <v>779</v>
      </c>
      <c r="M1162">
        <v>31</v>
      </c>
      <c r="N1162" t="s">
        <v>21</v>
      </c>
      <c r="O1162" s="3" t="s">
        <v>22</v>
      </c>
      <c r="P1162" t="s">
        <v>33</v>
      </c>
      <c r="Q1162" t="s">
        <v>41</v>
      </c>
      <c r="R1162">
        <v>4</v>
      </c>
      <c r="S1162" t="s">
        <v>95</v>
      </c>
      <c r="T1162" s="4">
        <f t="shared" si="93"/>
        <v>149092.29999999999</v>
      </c>
      <c r="U1162" s="4" t="str">
        <f t="shared" si="94"/>
        <v>Good</v>
      </c>
      <c r="V1162" s="4" t="str">
        <f t="shared" si="95"/>
        <v>Good</v>
      </c>
      <c r="W1162" s="4"/>
      <c r="X1162" s="4"/>
      <c r="AJ1162" s="4"/>
    </row>
    <row r="1163" spans="1:36">
      <c r="A1163" t="str">
        <f t="shared" si="91"/>
        <v>Nikh261162</v>
      </c>
      <c r="B1163">
        <v>1162</v>
      </c>
      <c r="C1163">
        <v>5</v>
      </c>
      <c r="D1163">
        <v>9</v>
      </c>
      <c r="E1163">
        <v>2022</v>
      </c>
      <c r="F1163" s="1">
        <f t="shared" si="92"/>
        <v>44809</v>
      </c>
      <c r="G1163" s="1" t="s">
        <v>770</v>
      </c>
      <c r="H1163" s="2">
        <v>45639</v>
      </c>
      <c r="I1163" t="s">
        <v>26</v>
      </c>
      <c r="J1163">
        <v>9</v>
      </c>
      <c r="K1163">
        <v>11183.54</v>
      </c>
      <c r="L1163" t="s">
        <v>497</v>
      </c>
      <c r="M1163">
        <v>26</v>
      </c>
      <c r="N1163" t="s">
        <v>36</v>
      </c>
      <c r="O1163" s="3" t="s">
        <v>55</v>
      </c>
      <c r="P1163" t="s">
        <v>29</v>
      </c>
      <c r="Q1163" t="s">
        <v>24</v>
      </c>
      <c r="R1163">
        <v>1</v>
      </c>
      <c r="S1163" t="s">
        <v>31</v>
      </c>
      <c r="T1163" s="4">
        <f t="shared" si="93"/>
        <v>100651.86000000002</v>
      </c>
      <c r="U1163" s="4" t="str">
        <f t="shared" si="94"/>
        <v>Average</v>
      </c>
      <c r="V1163" s="4" t="str">
        <f t="shared" si="95"/>
        <v>Good</v>
      </c>
      <c r="W1163" s="4"/>
      <c r="X1163" s="4"/>
      <c r="AJ1163" s="4"/>
    </row>
    <row r="1164" spans="1:36">
      <c r="A1164" t="str">
        <f t="shared" si="91"/>
        <v>Raje431163</v>
      </c>
      <c r="B1164">
        <v>1163</v>
      </c>
      <c r="C1164">
        <v>6</v>
      </c>
      <c r="D1164">
        <v>9</v>
      </c>
      <c r="E1164">
        <v>2022</v>
      </c>
      <c r="F1164" s="1">
        <f t="shared" si="92"/>
        <v>44810</v>
      </c>
      <c r="G1164" s="1" t="s">
        <v>770</v>
      </c>
      <c r="H1164" s="2">
        <v>45640</v>
      </c>
      <c r="I1164" t="s">
        <v>38</v>
      </c>
      <c r="J1164">
        <v>1</v>
      </c>
      <c r="K1164">
        <v>18110.98</v>
      </c>
      <c r="L1164" t="s">
        <v>780</v>
      </c>
      <c r="M1164">
        <v>43</v>
      </c>
      <c r="N1164" t="s">
        <v>21</v>
      </c>
      <c r="O1164" s="3" t="s">
        <v>22</v>
      </c>
      <c r="P1164" t="s">
        <v>29</v>
      </c>
      <c r="Q1164" t="s">
        <v>24</v>
      </c>
      <c r="R1164">
        <v>5</v>
      </c>
      <c r="S1164" t="s">
        <v>99</v>
      </c>
      <c r="T1164" s="4">
        <f t="shared" si="93"/>
        <v>18110.98</v>
      </c>
      <c r="U1164" s="4" t="str">
        <f t="shared" si="94"/>
        <v>Good</v>
      </c>
      <c r="V1164" s="4" t="str">
        <f t="shared" si="95"/>
        <v>Low</v>
      </c>
      <c r="W1164" s="4"/>
      <c r="X1164" s="4"/>
      <c r="AJ1164" s="4"/>
    </row>
    <row r="1165" spans="1:36">
      <c r="A1165" t="str">
        <f t="shared" si="91"/>
        <v>Nami191164</v>
      </c>
      <c r="B1165">
        <v>1164</v>
      </c>
      <c r="C1165">
        <v>6</v>
      </c>
      <c r="D1165">
        <v>9</v>
      </c>
      <c r="E1165">
        <v>2022</v>
      </c>
      <c r="F1165" s="1">
        <f t="shared" si="92"/>
        <v>44810</v>
      </c>
      <c r="G1165" s="1" t="s">
        <v>770</v>
      </c>
      <c r="H1165" s="2">
        <v>45641</v>
      </c>
      <c r="I1165" t="s">
        <v>19</v>
      </c>
      <c r="J1165">
        <v>3</v>
      </c>
      <c r="K1165">
        <v>51711.79</v>
      </c>
      <c r="L1165" t="s">
        <v>453</v>
      </c>
      <c r="M1165">
        <v>19</v>
      </c>
      <c r="N1165" t="s">
        <v>36</v>
      </c>
      <c r="O1165" s="3" t="s">
        <v>22</v>
      </c>
      <c r="P1165" t="s">
        <v>33</v>
      </c>
      <c r="Q1165" t="s">
        <v>41</v>
      </c>
      <c r="R1165">
        <v>4</v>
      </c>
      <c r="S1165" t="s">
        <v>84</v>
      </c>
      <c r="T1165" s="4">
        <f t="shared" si="93"/>
        <v>155135.37</v>
      </c>
      <c r="U1165" s="4" t="str">
        <f t="shared" si="94"/>
        <v>Good</v>
      </c>
      <c r="V1165" s="4" t="str">
        <f t="shared" si="95"/>
        <v>Good</v>
      </c>
      <c r="W1165" s="4"/>
      <c r="X1165" s="4"/>
      <c r="AJ1165" s="4"/>
    </row>
    <row r="1166" spans="1:36">
      <c r="A1166" t="str">
        <f t="shared" si="91"/>
        <v>Kris281165</v>
      </c>
      <c r="B1166">
        <v>1165</v>
      </c>
      <c r="C1166">
        <v>6</v>
      </c>
      <c r="D1166">
        <v>9</v>
      </c>
      <c r="E1166">
        <v>2022</v>
      </c>
      <c r="F1166" s="1">
        <f t="shared" si="92"/>
        <v>44810</v>
      </c>
      <c r="G1166" s="1" t="s">
        <v>770</v>
      </c>
      <c r="H1166" s="2">
        <v>45642</v>
      </c>
      <c r="I1166" t="s">
        <v>49</v>
      </c>
      <c r="J1166">
        <v>5</v>
      </c>
      <c r="K1166">
        <v>17215.060000000001</v>
      </c>
      <c r="L1166" t="s">
        <v>781</v>
      </c>
      <c r="M1166">
        <v>28</v>
      </c>
      <c r="N1166" t="s">
        <v>36</v>
      </c>
      <c r="O1166" s="3" t="s">
        <v>22</v>
      </c>
      <c r="P1166" t="s">
        <v>45</v>
      </c>
      <c r="Q1166" t="s">
        <v>41</v>
      </c>
      <c r="R1166">
        <v>4</v>
      </c>
      <c r="S1166" t="s">
        <v>102</v>
      </c>
      <c r="T1166" s="4">
        <f t="shared" si="93"/>
        <v>86075.3</v>
      </c>
      <c r="U1166" s="4" t="str">
        <f t="shared" si="94"/>
        <v>Good</v>
      </c>
      <c r="V1166" s="4" t="str">
        <f t="shared" si="95"/>
        <v>Average</v>
      </c>
      <c r="W1166" s="4"/>
      <c r="X1166" s="4"/>
      <c r="AJ1166" s="4"/>
    </row>
    <row r="1167" spans="1:36">
      <c r="A1167" t="str">
        <f t="shared" si="91"/>
        <v>Isha341166</v>
      </c>
      <c r="B1167">
        <v>1166</v>
      </c>
      <c r="C1167">
        <v>6</v>
      </c>
      <c r="D1167">
        <v>9</v>
      </c>
      <c r="E1167">
        <v>2022</v>
      </c>
      <c r="F1167" s="1">
        <f t="shared" si="92"/>
        <v>44810</v>
      </c>
      <c r="G1167" s="1" t="s">
        <v>770</v>
      </c>
      <c r="H1167" s="2">
        <v>45643</v>
      </c>
      <c r="I1167" t="s">
        <v>38</v>
      </c>
      <c r="J1167">
        <v>3</v>
      </c>
      <c r="K1167">
        <v>23844.06</v>
      </c>
      <c r="L1167" t="s">
        <v>782</v>
      </c>
      <c r="M1167">
        <v>34</v>
      </c>
      <c r="N1167" t="s">
        <v>21</v>
      </c>
      <c r="O1167" s="3" t="s">
        <v>55</v>
      </c>
      <c r="P1167" t="s">
        <v>33</v>
      </c>
      <c r="Q1167" t="s">
        <v>30</v>
      </c>
      <c r="R1167">
        <v>1</v>
      </c>
      <c r="S1167" t="s">
        <v>99</v>
      </c>
      <c r="T1167" s="4">
        <f t="shared" si="93"/>
        <v>71532.180000000008</v>
      </c>
      <c r="U1167" s="4" t="str">
        <f t="shared" si="94"/>
        <v>Average</v>
      </c>
      <c r="V1167" s="4" t="str">
        <f t="shared" si="95"/>
        <v>Average</v>
      </c>
      <c r="W1167" s="4"/>
      <c r="X1167" s="4"/>
      <c r="AJ1167" s="4"/>
    </row>
    <row r="1168" spans="1:36">
      <c r="A1168" t="str">
        <f t="shared" si="91"/>
        <v>Roha511167</v>
      </c>
      <c r="B1168">
        <v>1167</v>
      </c>
      <c r="C1168">
        <v>7</v>
      </c>
      <c r="D1168">
        <v>9</v>
      </c>
      <c r="E1168">
        <v>2022</v>
      </c>
      <c r="F1168" s="1">
        <f t="shared" si="92"/>
        <v>44811</v>
      </c>
      <c r="G1168" s="1" t="s">
        <v>770</v>
      </c>
      <c r="H1168" s="2">
        <v>45644</v>
      </c>
      <c r="I1168" t="s">
        <v>26</v>
      </c>
      <c r="J1168">
        <v>4</v>
      </c>
      <c r="K1168">
        <v>31044.240000000002</v>
      </c>
      <c r="L1168" t="s">
        <v>620</v>
      </c>
      <c r="M1168">
        <v>51</v>
      </c>
      <c r="N1168" t="s">
        <v>61</v>
      </c>
      <c r="O1168" s="3" t="s">
        <v>28</v>
      </c>
      <c r="P1168" t="s">
        <v>64</v>
      </c>
      <c r="Q1168" t="s">
        <v>41</v>
      </c>
      <c r="R1168">
        <v>3</v>
      </c>
      <c r="S1168" t="s">
        <v>31</v>
      </c>
      <c r="T1168" s="4">
        <f t="shared" si="93"/>
        <v>124176.96000000001</v>
      </c>
      <c r="U1168" s="4" t="str">
        <f t="shared" si="94"/>
        <v>Average</v>
      </c>
      <c r="V1168" s="4" t="str">
        <f t="shared" si="95"/>
        <v>Good</v>
      </c>
      <c r="W1168" s="4"/>
      <c r="X1168" s="4"/>
      <c r="AJ1168" s="4"/>
    </row>
    <row r="1169" spans="1:36">
      <c r="A1169" t="str">
        <f t="shared" si="91"/>
        <v>Radh361168</v>
      </c>
      <c r="B1169">
        <v>1168</v>
      </c>
      <c r="C1169">
        <v>7</v>
      </c>
      <c r="D1169">
        <v>9</v>
      </c>
      <c r="E1169">
        <v>2022</v>
      </c>
      <c r="F1169" s="1">
        <f t="shared" si="92"/>
        <v>44811</v>
      </c>
      <c r="G1169" s="1" t="s">
        <v>770</v>
      </c>
      <c r="H1169" s="2">
        <v>45645</v>
      </c>
      <c r="I1169" t="s">
        <v>19</v>
      </c>
      <c r="J1169">
        <v>3</v>
      </c>
      <c r="K1169">
        <v>55464.1</v>
      </c>
      <c r="L1169" t="s">
        <v>783</v>
      </c>
      <c r="M1169">
        <v>36</v>
      </c>
      <c r="N1169" t="s">
        <v>21</v>
      </c>
      <c r="O1169" s="3" t="s">
        <v>22</v>
      </c>
      <c r="P1169" t="s">
        <v>137</v>
      </c>
      <c r="Q1169" t="s">
        <v>56</v>
      </c>
      <c r="R1169">
        <v>5</v>
      </c>
      <c r="S1169" t="s">
        <v>84</v>
      </c>
      <c r="T1169" s="4">
        <f t="shared" si="93"/>
        <v>166392.29999999999</v>
      </c>
      <c r="U1169" s="4" t="str">
        <f t="shared" si="94"/>
        <v>Good</v>
      </c>
      <c r="V1169" s="4" t="str">
        <f t="shared" si="95"/>
        <v>Good</v>
      </c>
      <c r="W1169" s="4"/>
      <c r="X1169" s="4"/>
      <c r="AJ1169" s="4"/>
    </row>
    <row r="1170" spans="1:36">
      <c r="A1170" t="str">
        <f t="shared" si="91"/>
        <v>Meen561169</v>
      </c>
      <c r="B1170">
        <v>1169</v>
      </c>
      <c r="C1170">
        <v>7</v>
      </c>
      <c r="D1170">
        <v>9</v>
      </c>
      <c r="E1170">
        <v>2022</v>
      </c>
      <c r="F1170" s="1">
        <f t="shared" si="92"/>
        <v>44811</v>
      </c>
      <c r="G1170" s="1" t="s">
        <v>770</v>
      </c>
      <c r="H1170" s="2">
        <v>45646</v>
      </c>
      <c r="I1170" t="s">
        <v>19</v>
      </c>
      <c r="J1170">
        <v>4</v>
      </c>
      <c r="K1170">
        <v>44944.06</v>
      </c>
      <c r="L1170" t="s">
        <v>538</v>
      </c>
      <c r="M1170">
        <v>56</v>
      </c>
      <c r="N1170" t="s">
        <v>61</v>
      </c>
      <c r="O1170" s="3" t="s">
        <v>28</v>
      </c>
      <c r="P1170" t="s">
        <v>33</v>
      </c>
      <c r="Q1170" t="s">
        <v>41</v>
      </c>
      <c r="R1170">
        <v>3</v>
      </c>
      <c r="S1170" t="s">
        <v>25</v>
      </c>
      <c r="T1170" s="4">
        <f t="shared" si="93"/>
        <v>179776.24</v>
      </c>
      <c r="U1170" s="4" t="str">
        <f t="shared" si="94"/>
        <v>Average</v>
      </c>
      <c r="V1170" s="4" t="str">
        <f t="shared" si="95"/>
        <v>Good</v>
      </c>
      <c r="W1170" s="4"/>
      <c r="X1170" s="4"/>
      <c r="AJ1170" s="4"/>
    </row>
    <row r="1171" spans="1:36">
      <c r="A1171" t="str">
        <f t="shared" si="91"/>
        <v>Pooj351170</v>
      </c>
      <c r="B1171">
        <v>1170</v>
      </c>
      <c r="C1171">
        <v>8</v>
      </c>
      <c r="D1171">
        <v>9</v>
      </c>
      <c r="E1171">
        <v>2022</v>
      </c>
      <c r="F1171" s="1">
        <f t="shared" si="92"/>
        <v>44812</v>
      </c>
      <c r="G1171" s="1" t="s">
        <v>770</v>
      </c>
      <c r="H1171" s="2">
        <v>45647</v>
      </c>
      <c r="I1171" t="s">
        <v>49</v>
      </c>
      <c r="J1171">
        <v>1</v>
      </c>
      <c r="K1171">
        <v>51340</v>
      </c>
      <c r="L1171" t="s">
        <v>220</v>
      </c>
      <c r="M1171">
        <v>35</v>
      </c>
      <c r="N1171" t="s">
        <v>21</v>
      </c>
      <c r="O1171" s="3" t="s">
        <v>22</v>
      </c>
      <c r="P1171" t="s">
        <v>33</v>
      </c>
      <c r="Q1171" t="s">
        <v>24</v>
      </c>
      <c r="R1171">
        <v>4</v>
      </c>
      <c r="S1171" t="s">
        <v>88</v>
      </c>
      <c r="T1171" s="4">
        <f t="shared" si="93"/>
        <v>51340</v>
      </c>
      <c r="U1171" s="4" t="str">
        <f t="shared" si="94"/>
        <v>Good</v>
      </c>
      <c r="V1171" s="4" t="str">
        <f t="shared" si="95"/>
        <v>Average</v>
      </c>
      <c r="W1171" s="4"/>
      <c r="X1171" s="4"/>
      <c r="AJ1171" s="4"/>
    </row>
    <row r="1172" spans="1:36">
      <c r="A1172" t="str">
        <f t="shared" si="91"/>
        <v>Pank301171</v>
      </c>
      <c r="B1172">
        <v>1171</v>
      </c>
      <c r="C1172">
        <v>8</v>
      </c>
      <c r="D1172">
        <v>9</v>
      </c>
      <c r="E1172">
        <v>2022</v>
      </c>
      <c r="F1172" s="1">
        <f t="shared" si="92"/>
        <v>44812</v>
      </c>
      <c r="G1172" s="1" t="s">
        <v>770</v>
      </c>
      <c r="H1172" s="2">
        <v>45648</v>
      </c>
      <c r="I1172" t="s">
        <v>43</v>
      </c>
      <c r="J1172">
        <v>8</v>
      </c>
      <c r="K1172">
        <v>44020.74</v>
      </c>
      <c r="L1172" t="s">
        <v>353</v>
      </c>
      <c r="M1172">
        <v>30</v>
      </c>
      <c r="N1172" t="s">
        <v>36</v>
      </c>
      <c r="O1172" s="3" t="s">
        <v>22</v>
      </c>
      <c r="P1172" t="s">
        <v>40</v>
      </c>
      <c r="Q1172" t="s">
        <v>24</v>
      </c>
      <c r="R1172">
        <v>5</v>
      </c>
      <c r="S1172" t="s">
        <v>95</v>
      </c>
      <c r="T1172" s="4">
        <f t="shared" si="93"/>
        <v>352165.92</v>
      </c>
      <c r="U1172" s="4" t="str">
        <f t="shared" si="94"/>
        <v>Good</v>
      </c>
      <c r="V1172" s="4" t="str">
        <f t="shared" si="95"/>
        <v>Excellent</v>
      </c>
      <c r="W1172" s="4"/>
      <c r="X1172" s="4"/>
      <c r="AJ1172" s="4"/>
    </row>
    <row r="1173" spans="1:36">
      <c r="A1173" t="str">
        <f t="shared" si="91"/>
        <v>Anan221172</v>
      </c>
      <c r="B1173">
        <v>1172</v>
      </c>
      <c r="C1173">
        <v>8</v>
      </c>
      <c r="D1173">
        <v>9</v>
      </c>
      <c r="E1173">
        <v>2022</v>
      </c>
      <c r="F1173" s="1">
        <f t="shared" si="92"/>
        <v>44812</v>
      </c>
      <c r="G1173" s="1" t="s">
        <v>770</v>
      </c>
      <c r="H1173" s="2">
        <v>45649</v>
      </c>
      <c r="I1173" t="s">
        <v>26</v>
      </c>
      <c r="J1173">
        <v>4</v>
      </c>
      <c r="K1173">
        <v>51015.55</v>
      </c>
      <c r="L1173" t="s">
        <v>71</v>
      </c>
      <c r="M1173">
        <v>22</v>
      </c>
      <c r="N1173" t="s">
        <v>36</v>
      </c>
      <c r="O1173" s="3" t="s">
        <v>22</v>
      </c>
      <c r="P1173" t="s">
        <v>110</v>
      </c>
      <c r="Q1173" t="s">
        <v>24</v>
      </c>
      <c r="R1173">
        <v>5</v>
      </c>
      <c r="S1173" t="s">
        <v>31</v>
      </c>
      <c r="T1173" s="4">
        <f t="shared" si="93"/>
        <v>204062.2</v>
      </c>
      <c r="U1173" s="4" t="str">
        <f t="shared" si="94"/>
        <v>Good</v>
      </c>
      <c r="V1173" s="4" t="str">
        <f t="shared" si="95"/>
        <v>Excellent</v>
      </c>
      <c r="W1173" s="4"/>
      <c r="X1173" s="4"/>
      <c r="AJ1173" s="4"/>
    </row>
    <row r="1174" spans="1:36">
      <c r="A1174" t="str">
        <f t="shared" si="91"/>
        <v>Vija401173</v>
      </c>
      <c r="B1174">
        <v>1173</v>
      </c>
      <c r="C1174">
        <v>8</v>
      </c>
      <c r="D1174">
        <v>9</v>
      </c>
      <c r="E1174">
        <v>2022</v>
      </c>
      <c r="F1174" s="1">
        <f t="shared" si="92"/>
        <v>44812</v>
      </c>
      <c r="G1174" s="1" t="s">
        <v>770</v>
      </c>
      <c r="H1174" s="2">
        <v>45650</v>
      </c>
      <c r="I1174" t="s">
        <v>49</v>
      </c>
      <c r="J1174">
        <v>7</v>
      </c>
      <c r="K1174">
        <v>10170.530000000001</v>
      </c>
      <c r="L1174" t="s">
        <v>679</v>
      </c>
      <c r="M1174">
        <v>40</v>
      </c>
      <c r="N1174" t="s">
        <v>21</v>
      </c>
      <c r="O1174" s="3" t="s">
        <v>22</v>
      </c>
      <c r="P1174" t="s">
        <v>29</v>
      </c>
      <c r="Q1174" t="s">
        <v>56</v>
      </c>
      <c r="R1174">
        <v>5</v>
      </c>
      <c r="S1174" t="s">
        <v>52</v>
      </c>
      <c r="T1174" s="4">
        <f t="shared" si="93"/>
        <v>71193.710000000006</v>
      </c>
      <c r="U1174" s="4" t="str">
        <f t="shared" si="94"/>
        <v>Good</v>
      </c>
      <c r="V1174" s="4" t="str">
        <f t="shared" si="95"/>
        <v>Average</v>
      </c>
      <c r="W1174" s="4"/>
      <c r="X1174" s="4"/>
      <c r="AJ1174" s="4"/>
    </row>
    <row r="1175" spans="1:36">
      <c r="A1175" t="str">
        <f t="shared" si="91"/>
        <v>Raje411174</v>
      </c>
      <c r="B1175">
        <v>1174</v>
      </c>
      <c r="C1175">
        <v>9</v>
      </c>
      <c r="D1175">
        <v>9</v>
      </c>
      <c r="E1175">
        <v>2022</v>
      </c>
      <c r="F1175" s="1">
        <f t="shared" si="92"/>
        <v>44813</v>
      </c>
      <c r="G1175" s="1" t="s">
        <v>770</v>
      </c>
      <c r="H1175" s="2">
        <v>45651</v>
      </c>
      <c r="I1175" t="s">
        <v>26</v>
      </c>
      <c r="J1175">
        <v>2</v>
      </c>
      <c r="K1175">
        <v>65853.89</v>
      </c>
      <c r="L1175" t="s">
        <v>784</v>
      </c>
      <c r="M1175">
        <v>41</v>
      </c>
      <c r="N1175" t="s">
        <v>21</v>
      </c>
      <c r="O1175" s="3" t="s">
        <v>22</v>
      </c>
      <c r="P1175" t="s">
        <v>40</v>
      </c>
      <c r="Q1175" t="s">
        <v>56</v>
      </c>
      <c r="R1175">
        <v>5</v>
      </c>
      <c r="S1175" t="s">
        <v>34</v>
      </c>
      <c r="T1175" s="4">
        <f t="shared" si="93"/>
        <v>131707.78</v>
      </c>
      <c r="U1175" s="4" t="str">
        <f t="shared" si="94"/>
        <v>Good</v>
      </c>
      <c r="V1175" s="4" t="str">
        <f t="shared" si="95"/>
        <v>Good</v>
      </c>
      <c r="W1175" s="4"/>
      <c r="X1175" s="4"/>
      <c r="AJ1175" s="4"/>
    </row>
    <row r="1176" spans="1:36">
      <c r="A1176" t="str">
        <f t="shared" si="91"/>
        <v>Anja461175</v>
      </c>
      <c r="B1176">
        <v>1175</v>
      </c>
      <c r="C1176">
        <v>9</v>
      </c>
      <c r="D1176">
        <v>9</v>
      </c>
      <c r="E1176">
        <v>2022</v>
      </c>
      <c r="F1176" s="1">
        <f t="shared" si="92"/>
        <v>44813</v>
      </c>
      <c r="G1176" s="1" t="s">
        <v>770</v>
      </c>
      <c r="H1176" s="2">
        <v>45652</v>
      </c>
      <c r="I1176" t="s">
        <v>43</v>
      </c>
      <c r="J1176">
        <v>2</v>
      </c>
      <c r="K1176">
        <v>16655.21</v>
      </c>
      <c r="L1176" t="s">
        <v>231</v>
      </c>
      <c r="M1176">
        <v>46</v>
      </c>
      <c r="N1176" t="s">
        <v>61</v>
      </c>
      <c r="O1176" s="3" t="s">
        <v>22</v>
      </c>
      <c r="P1176" t="s">
        <v>110</v>
      </c>
      <c r="Q1176" t="s">
        <v>30</v>
      </c>
      <c r="R1176">
        <v>4</v>
      </c>
      <c r="S1176" t="s">
        <v>95</v>
      </c>
      <c r="T1176" s="4">
        <f t="shared" si="93"/>
        <v>33310.42</v>
      </c>
      <c r="U1176" s="4" t="str">
        <f t="shared" si="94"/>
        <v>Good</v>
      </c>
      <c r="V1176" s="4" t="str">
        <f t="shared" si="95"/>
        <v>Low</v>
      </c>
      <c r="W1176" s="4"/>
      <c r="X1176" s="4"/>
      <c r="AJ1176" s="4"/>
    </row>
    <row r="1177" spans="1:36">
      <c r="A1177" t="str">
        <f t="shared" si="91"/>
        <v>Suni251176</v>
      </c>
      <c r="B1177">
        <v>1176</v>
      </c>
      <c r="C1177">
        <v>9</v>
      </c>
      <c r="D1177">
        <v>9</v>
      </c>
      <c r="E1177">
        <v>2022</v>
      </c>
      <c r="F1177" s="1">
        <f t="shared" si="92"/>
        <v>44813</v>
      </c>
      <c r="G1177" s="1" t="s">
        <v>770</v>
      </c>
      <c r="H1177" s="2">
        <v>45653</v>
      </c>
      <c r="I1177" t="s">
        <v>43</v>
      </c>
      <c r="J1177">
        <v>6</v>
      </c>
      <c r="K1177">
        <v>34374.949999999997</v>
      </c>
      <c r="L1177" t="s">
        <v>185</v>
      </c>
      <c r="M1177">
        <v>25</v>
      </c>
      <c r="N1177" t="s">
        <v>36</v>
      </c>
      <c r="O1177" s="3" t="s">
        <v>55</v>
      </c>
      <c r="P1177" t="s">
        <v>33</v>
      </c>
      <c r="Q1177" t="s">
        <v>41</v>
      </c>
      <c r="R1177">
        <v>1</v>
      </c>
      <c r="S1177" t="s">
        <v>95</v>
      </c>
      <c r="T1177" s="4">
        <f t="shared" si="93"/>
        <v>206249.69999999998</v>
      </c>
      <c r="U1177" s="4" t="str">
        <f t="shared" si="94"/>
        <v>Average</v>
      </c>
      <c r="V1177" s="4" t="str">
        <f t="shared" si="95"/>
        <v>Excellent</v>
      </c>
      <c r="W1177" s="4"/>
      <c r="X1177" s="4"/>
      <c r="AJ1177" s="4"/>
    </row>
    <row r="1178" spans="1:36">
      <c r="A1178" t="str">
        <f t="shared" si="91"/>
        <v>Kavi431177</v>
      </c>
      <c r="B1178">
        <v>1177</v>
      </c>
      <c r="C1178">
        <v>9</v>
      </c>
      <c r="D1178">
        <v>9</v>
      </c>
      <c r="E1178">
        <v>2022</v>
      </c>
      <c r="F1178" s="1">
        <f t="shared" si="92"/>
        <v>44813</v>
      </c>
      <c r="G1178" s="1" t="s">
        <v>770</v>
      </c>
      <c r="H1178" s="2">
        <v>45654</v>
      </c>
      <c r="I1178" t="s">
        <v>49</v>
      </c>
      <c r="J1178">
        <v>2</v>
      </c>
      <c r="K1178">
        <v>56262.3</v>
      </c>
      <c r="L1178" t="s">
        <v>785</v>
      </c>
      <c r="M1178">
        <v>43</v>
      </c>
      <c r="N1178" t="s">
        <v>21</v>
      </c>
      <c r="O1178" s="3" t="s">
        <v>28</v>
      </c>
      <c r="P1178" t="s">
        <v>45</v>
      </c>
      <c r="Q1178" t="s">
        <v>30</v>
      </c>
      <c r="R1178">
        <v>3</v>
      </c>
      <c r="S1178" t="s">
        <v>102</v>
      </c>
      <c r="T1178" s="4">
        <f t="shared" si="93"/>
        <v>112524.6</v>
      </c>
      <c r="U1178" s="4" t="str">
        <f t="shared" si="94"/>
        <v>Average</v>
      </c>
      <c r="V1178" s="4" t="str">
        <f t="shared" si="95"/>
        <v>Good</v>
      </c>
      <c r="W1178" s="4"/>
      <c r="X1178" s="4"/>
      <c r="AJ1178" s="4"/>
    </row>
    <row r="1179" spans="1:36">
      <c r="A1179" t="str">
        <f t="shared" si="91"/>
        <v>Kira321178</v>
      </c>
      <c r="B1179">
        <v>1178</v>
      </c>
      <c r="C1179">
        <v>10</v>
      </c>
      <c r="D1179">
        <v>9</v>
      </c>
      <c r="E1179">
        <v>2022</v>
      </c>
      <c r="F1179" s="1">
        <f t="shared" si="92"/>
        <v>44814</v>
      </c>
      <c r="G1179" s="1" t="s">
        <v>770</v>
      </c>
      <c r="H1179" s="2">
        <v>45655</v>
      </c>
      <c r="I1179" t="s">
        <v>43</v>
      </c>
      <c r="J1179">
        <v>6</v>
      </c>
      <c r="K1179">
        <v>36113.839999999997</v>
      </c>
      <c r="L1179" t="s">
        <v>786</v>
      </c>
      <c r="M1179">
        <v>32</v>
      </c>
      <c r="N1179" t="s">
        <v>21</v>
      </c>
      <c r="O1179" s="3" t="s">
        <v>28</v>
      </c>
      <c r="P1179" t="s">
        <v>29</v>
      </c>
      <c r="Q1179" t="s">
        <v>41</v>
      </c>
      <c r="R1179">
        <v>3</v>
      </c>
      <c r="S1179" t="s">
        <v>95</v>
      </c>
      <c r="T1179" s="4">
        <f t="shared" si="93"/>
        <v>216683.03999999998</v>
      </c>
      <c r="U1179" s="4" t="str">
        <f t="shared" si="94"/>
        <v>Average</v>
      </c>
      <c r="V1179" s="4" t="str">
        <f t="shared" si="95"/>
        <v>Excellent</v>
      </c>
      <c r="W1179" s="4"/>
      <c r="X1179" s="4"/>
      <c r="AJ1179" s="4"/>
    </row>
    <row r="1180" spans="1:36">
      <c r="A1180" t="str">
        <f t="shared" si="91"/>
        <v>Lata181179</v>
      </c>
      <c r="B1180">
        <v>1179</v>
      </c>
      <c r="C1180">
        <v>10</v>
      </c>
      <c r="D1180">
        <v>9</v>
      </c>
      <c r="E1180">
        <v>2022</v>
      </c>
      <c r="F1180" s="1">
        <f t="shared" si="92"/>
        <v>44814</v>
      </c>
      <c r="G1180" s="1" t="s">
        <v>770</v>
      </c>
      <c r="H1180" s="2">
        <v>45656</v>
      </c>
      <c r="I1180" t="s">
        <v>38</v>
      </c>
      <c r="J1180">
        <v>2</v>
      </c>
      <c r="K1180">
        <v>66810.55</v>
      </c>
      <c r="L1180" t="s">
        <v>787</v>
      </c>
      <c r="M1180">
        <v>18</v>
      </c>
      <c r="N1180" t="s">
        <v>36</v>
      </c>
      <c r="O1180" s="3" t="s">
        <v>55</v>
      </c>
      <c r="P1180" t="s">
        <v>29</v>
      </c>
      <c r="Q1180" t="s">
        <v>41</v>
      </c>
      <c r="R1180">
        <v>1</v>
      </c>
      <c r="S1180" t="s">
        <v>42</v>
      </c>
      <c r="T1180" s="4">
        <f t="shared" si="93"/>
        <v>133621.1</v>
      </c>
      <c r="U1180" s="4" t="str">
        <f t="shared" si="94"/>
        <v>Average</v>
      </c>
      <c r="V1180" s="4" t="str">
        <f t="shared" si="95"/>
        <v>Good</v>
      </c>
      <c r="W1180" s="4"/>
      <c r="X1180" s="4"/>
      <c r="AJ1180" s="4"/>
    </row>
    <row r="1181" spans="1:36">
      <c r="A1181" t="str">
        <f t="shared" si="91"/>
        <v>Meen451180</v>
      </c>
      <c r="B1181">
        <v>1180</v>
      </c>
      <c r="C1181">
        <v>10</v>
      </c>
      <c r="D1181">
        <v>9</v>
      </c>
      <c r="E1181">
        <v>2022</v>
      </c>
      <c r="F1181" s="1">
        <f t="shared" si="92"/>
        <v>44814</v>
      </c>
      <c r="G1181" s="1" t="s">
        <v>770</v>
      </c>
      <c r="H1181" s="2">
        <v>45657</v>
      </c>
      <c r="I1181" t="s">
        <v>19</v>
      </c>
      <c r="J1181">
        <v>4</v>
      </c>
      <c r="K1181">
        <v>38055.339999999997</v>
      </c>
      <c r="L1181" t="s">
        <v>442</v>
      </c>
      <c r="M1181">
        <v>45</v>
      </c>
      <c r="N1181" t="s">
        <v>21</v>
      </c>
      <c r="O1181" s="3" t="s">
        <v>55</v>
      </c>
      <c r="P1181" t="s">
        <v>29</v>
      </c>
      <c r="Q1181" t="s">
        <v>56</v>
      </c>
      <c r="R1181">
        <v>1</v>
      </c>
      <c r="S1181" t="s">
        <v>37</v>
      </c>
      <c r="T1181" s="4">
        <f t="shared" si="93"/>
        <v>152221.35999999999</v>
      </c>
      <c r="U1181" s="4" t="str">
        <f t="shared" si="94"/>
        <v>Average</v>
      </c>
      <c r="V1181" s="4" t="str">
        <f t="shared" si="95"/>
        <v>Good</v>
      </c>
      <c r="W1181" s="4"/>
      <c r="X1181" s="4"/>
      <c r="AJ1181" s="4"/>
    </row>
    <row r="1182" spans="1:36">
      <c r="A1182" t="str">
        <f t="shared" si="91"/>
        <v>Roha311181</v>
      </c>
      <c r="B1182">
        <v>1181</v>
      </c>
      <c r="C1182">
        <v>11</v>
      </c>
      <c r="D1182">
        <v>9</v>
      </c>
      <c r="E1182">
        <v>2022</v>
      </c>
      <c r="F1182" s="1">
        <f t="shared" si="92"/>
        <v>44815</v>
      </c>
      <c r="G1182" s="1" t="s">
        <v>770</v>
      </c>
      <c r="H1182" s="2">
        <v>45658</v>
      </c>
      <c r="I1182" t="s">
        <v>49</v>
      </c>
      <c r="J1182">
        <v>7</v>
      </c>
      <c r="K1182">
        <v>62496.36</v>
      </c>
      <c r="L1182" t="s">
        <v>788</v>
      </c>
      <c r="M1182">
        <v>31</v>
      </c>
      <c r="N1182" t="s">
        <v>21</v>
      </c>
      <c r="O1182" s="3" t="s">
        <v>22</v>
      </c>
      <c r="P1182" t="s">
        <v>29</v>
      </c>
      <c r="Q1182" t="s">
        <v>24</v>
      </c>
      <c r="R1182">
        <v>5</v>
      </c>
      <c r="S1182" t="s">
        <v>88</v>
      </c>
      <c r="T1182" s="4">
        <f t="shared" si="93"/>
        <v>437474.52</v>
      </c>
      <c r="U1182" s="4" t="str">
        <f t="shared" si="94"/>
        <v>Good</v>
      </c>
      <c r="V1182" s="4" t="str">
        <f t="shared" si="95"/>
        <v>Excellent</v>
      </c>
      <c r="W1182" s="4"/>
      <c r="X1182" s="4"/>
      <c r="AJ1182" s="4"/>
    </row>
    <row r="1183" spans="1:36">
      <c r="A1183" t="str">
        <f t="shared" si="91"/>
        <v>Mala591182</v>
      </c>
      <c r="B1183">
        <v>1182</v>
      </c>
      <c r="C1183">
        <v>11</v>
      </c>
      <c r="D1183">
        <v>9</v>
      </c>
      <c r="E1183">
        <v>2022</v>
      </c>
      <c r="F1183" s="1">
        <f t="shared" si="92"/>
        <v>44815</v>
      </c>
      <c r="G1183" s="1" t="s">
        <v>770</v>
      </c>
      <c r="H1183" s="2">
        <v>45659</v>
      </c>
      <c r="I1183" t="s">
        <v>26</v>
      </c>
      <c r="J1183">
        <v>8</v>
      </c>
      <c r="K1183">
        <v>58649.69</v>
      </c>
      <c r="L1183" t="s">
        <v>78</v>
      </c>
      <c r="M1183">
        <v>59</v>
      </c>
      <c r="N1183" t="s">
        <v>61</v>
      </c>
      <c r="O1183" s="3" t="s">
        <v>55</v>
      </c>
      <c r="P1183" t="s">
        <v>114</v>
      </c>
      <c r="Q1183" t="s">
        <v>41</v>
      </c>
      <c r="R1183">
        <v>1</v>
      </c>
      <c r="S1183" t="s">
        <v>31</v>
      </c>
      <c r="T1183" s="4">
        <f t="shared" si="93"/>
        <v>469197.52</v>
      </c>
      <c r="U1183" s="4" t="str">
        <f t="shared" si="94"/>
        <v>Average</v>
      </c>
      <c r="V1183" s="4" t="str">
        <f t="shared" si="95"/>
        <v>Excellent</v>
      </c>
      <c r="W1183" s="4"/>
      <c r="X1183" s="4"/>
      <c r="AJ1183" s="4"/>
    </row>
    <row r="1184" spans="1:36">
      <c r="A1184" t="str">
        <f t="shared" si="91"/>
        <v>Lali511183</v>
      </c>
      <c r="B1184">
        <v>1183</v>
      </c>
      <c r="C1184">
        <v>11</v>
      </c>
      <c r="D1184">
        <v>9</v>
      </c>
      <c r="E1184">
        <v>2022</v>
      </c>
      <c r="F1184" s="1">
        <f t="shared" si="92"/>
        <v>44815</v>
      </c>
      <c r="G1184" s="1" t="s">
        <v>770</v>
      </c>
      <c r="H1184" s="2">
        <v>45660</v>
      </c>
      <c r="I1184" t="s">
        <v>38</v>
      </c>
      <c r="J1184">
        <v>3</v>
      </c>
      <c r="K1184">
        <v>68859.179999999993</v>
      </c>
      <c r="L1184" t="s">
        <v>668</v>
      </c>
      <c r="M1184">
        <v>51</v>
      </c>
      <c r="N1184" t="s">
        <v>61</v>
      </c>
      <c r="O1184" s="3" t="s">
        <v>22</v>
      </c>
      <c r="P1184" t="s">
        <v>29</v>
      </c>
      <c r="Q1184" t="s">
        <v>56</v>
      </c>
      <c r="R1184">
        <v>5</v>
      </c>
      <c r="S1184" t="s">
        <v>42</v>
      </c>
      <c r="T1184" s="4">
        <f t="shared" si="93"/>
        <v>206577.53999999998</v>
      </c>
      <c r="U1184" s="4" t="str">
        <f t="shared" si="94"/>
        <v>Good</v>
      </c>
      <c r="V1184" s="4" t="str">
        <f t="shared" si="95"/>
        <v>Excellent</v>
      </c>
      <c r="W1184" s="4"/>
      <c r="X1184" s="4"/>
      <c r="AJ1184" s="4"/>
    </row>
    <row r="1185" spans="1:36">
      <c r="A1185" t="str">
        <f t="shared" si="91"/>
        <v>Sach481184</v>
      </c>
      <c r="B1185">
        <v>1184</v>
      </c>
      <c r="C1185">
        <v>12</v>
      </c>
      <c r="D1185">
        <v>9</v>
      </c>
      <c r="E1185">
        <v>2022</v>
      </c>
      <c r="F1185" s="1">
        <f t="shared" si="92"/>
        <v>44816</v>
      </c>
      <c r="G1185" s="1" t="s">
        <v>770</v>
      </c>
      <c r="H1185" s="2">
        <v>45661</v>
      </c>
      <c r="I1185" t="s">
        <v>49</v>
      </c>
      <c r="J1185">
        <v>9</v>
      </c>
      <c r="K1185">
        <v>65592.87</v>
      </c>
      <c r="L1185" t="s">
        <v>531</v>
      </c>
      <c r="M1185">
        <v>48</v>
      </c>
      <c r="N1185" t="s">
        <v>61</v>
      </c>
      <c r="O1185" s="3" t="s">
        <v>22</v>
      </c>
      <c r="P1185" t="s">
        <v>66</v>
      </c>
      <c r="Q1185" t="s">
        <v>30</v>
      </c>
      <c r="R1185">
        <v>5</v>
      </c>
      <c r="S1185" t="s">
        <v>102</v>
      </c>
      <c r="T1185" s="4">
        <f t="shared" si="93"/>
        <v>590335.82999999996</v>
      </c>
      <c r="U1185" s="4" t="str">
        <f t="shared" si="94"/>
        <v>Good</v>
      </c>
      <c r="V1185" s="4" t="str">
        <f t="shared" si="95"/>
        <v>Excellent</v>
      </c>
      <c r="W1185" s="4"/>
      <c r="X1185" s="4"/>
      <c r="AJ1185" s="4"/>
    </row>
    <row r="1186" spans="1:36">
      <c r="A1186" t="str">
        <f t="shared" si="91"/>
        <v>Suni231185</v>
      </c>
      <c r="B1186">
        <v>1185</v>
      </c>
      <c r="C1186">
        <v>12</v>
      </c>
      <c r="D1186">
        <v>9</v>
      </c>
      <c r="E1186">
        <v>2022</v>
      </c>
      <c r="F1186" s="1">
        <f t="shared" si="92"/>
        <v>44816</v>
      </c>
      <c r="G1186" s="1" t="s">
        <v>770</v>
      </c>
      <c r="H1186" s="2">
        <v>45662</v>
      </c>
      <c r="I1186" t="s">
        <v>43</v>
      </c>
      <c r="J1186">
        <v>2</v>
      </c>
      <c r="K1186">
        <v>63887.43</v>
      </c>
      <c r="L1186" t="s">
        <v>776</v>
      </c>
      <c r="M1186">
        <v>23</v>
      </c>
      <c r="N1186" t="s">
        <v>36</v>
      </c>
      <c r="O1186" s="3" t="s">
        <v>22</v>
      </c>
      <c r="P1186" t="s">
        <v>59</v>
      </c>
      <c r="Q1186" t="s">
        <v>24</v>
      </c>
      <c r="R1186">
        <v>4</v>
      </c>
      <c r="S1186" t="s">
        <v>46</v>
      </c>
      <c r="T1186" s="4">
        <f t="shared" si="93"/>
        <v>127774.86</v>
      </c>
      <c r="U1186" s="4" t="str">
        <f t="shared" si="94"/>
        <v>Good</v>
      </c>
      <c r="V1186" s="4" t="str">
        <f t="shared" si="95"/>
        <v>Good</v>
      </c>
      <c r="W1186" s="4"/>
      <c r="X1186" s="4"/>
      <c r="AJ1186" s="4"/>
    </row>
    <row r="1187" spans="1:36">
      <c r="A1187" t="str">
        <f t="shared" si="91"/>
        <v>Kira221186</v>
      </c>
      <c r="B1187">
        <v>1186</v>
      </c>
      <c r="C1187">
        <v>12</v>
      </c>
      <c r="D1187">
        <v>9</v>
      </c>
      <c r="E1187">
        <v>2022</v>
      </c>
      <c r="F1187" s="1">
        <f t="shared" si="92"/>
        <v>44816</v>
      </c>
      <c r="G1187" s="1" t="s">
        <v>770</v>
      </c>
      <c r="H1187" s="2">
        <v>45663</v>
      </c>
      <c r="I1187" t="s">
        <v>43</v>
      </c>
      <c r="J1187">
        <v>8</v>
      </c>
      <c r="K1187">
        <v>53896.26</v>
      </c>
      <c r="L1187" t="s">
        <v>297</v>
      </c>
      <c r="M1187">
        <v>22</v>
      </c>
      <c r="N1187" t="s">
        <v>36</v>
      </c>
      <c r="O1187" s="3" t="s">
        <v>22</v>
      </c>
      <c r="P1187" t="s">
        <v>29</v>
      </c>
      <c r="Q1187" t="s">
        <v>30</v>
      </c>
      <c r="R1187">
        <v>5</v>
      </c>
      <c r="S1187" t="s">
        <v>95</v>
      </c>
      <c r="T1187" s="4">
        <f t="shared" si="93"/>
        <v>431170.08</v>
      </c>
      <c r="U1187" s="4" t="str">
        <f t="shared" si="94"/>
        <v>Good</v>
      </c>
      <c r="V1187" s="4" t="str">
        <f t="shared" si="95"/>
        <v>Excellent</v>
      </c>
      <c r="W1187" s="4"/>
      <c r="X1187" s="4"/>
      <c r="AJ1187" s="4"/>
    </row>
    <row r="1188" spans="1:36">
      <c r="A1188" t="str">
        <f t="shared" si="91"/>
        <v>Shru481187</v>
      </c>
      <c r="B1188">
        <v>1187</v>
      </c>
      <c r="C1188">
        <v>12</v>
      </c>
      <c r="D1188">
        <v>9</v>
      </c>
      <c r="E1188">
        <v>2022</v>
      </c>
      <c r="F1188" s="1">
        <f t="shared" si="92"/>
        <v>44816</v>
      </c>
      <c r="G1188" s="1" t="s">
        <v>770</v>
      </c>
      <c r="H1188" s="2">
        <v>45664</v>
      </c>
      <c r="I1188" t="s">
        <v>43</v>
      </c>
      <c r="J1188">
        <v>8</v>
      </c>
      <c r="K1188">
        <v>32019.89</v>
      </c>
      <c r="L1188" t="s">
        <v>623</v>
      </c>
      <c r="M1188">
        <v>48</v>
      </c>
      <c r="N1188" t="s">
        <v>61</v>
      </c>
      <c r="O1188" s="3" t="s">
        <v>22</v>
      </c>
      <c r="P1188" t="s">
        <v>29</v>
      </c>
      <c r="Q1188" t="s">
        <v>30</v>
      </c>
      <c r="R1188">
        <v>5</v>
      </c>
      <c r="S1188" t="s">
        <v>57</v>
      </c>
      <c r="T1188" s="4">
        <f t="shared" si="93"/>
        <v>256159.12</v>
      </c>
      <c r="U1188" s="4" t="str">
        <f t="shared" si="94"/>
        <v>Good</v>
      </c>
      <c r="V1188" s="4" t="str">
        <f t="shared" si="95"/>
        <v>Excellent</v>
      </c>
      <c r="W1188" s="4"/>
      <c r="X1188" s="4"/>
      <c r="AJ1188" s="4"/>
    </row>
    <row r="1189" spans="1:36">
      <c r="A1189" t="str">
        <f t="shared" si="91"/>
        <v>Amit541188</v>
      </c>
      <c r="B1189">
        <v>1188</v>
      </c>
      <c r="C1189">
        <v>13</v>
      </c>
      <c r="D1189">
        <v>9</v>
      </c>
      <c r="E1189">
        <v>2022</v>
      </c>
      <c r="F1189" s="1">
        <f t="shared" si="92"/>
        <v>44817</v>
      </c>
      <c r="G1189" s="1" t="s">
        <v>770</v>
      </c>
      <c r="H1189" s="2">
        <v>45665</v>
      </c>
      <c r="I1189" t="s">
        <v>43</v>
      </c>
      <c r="J1189">
        <v>4</v>
      </c>
      <c r="K1189">
        <v>16367.53</v>
      </c>
      <c r="L1189" t="s">
        <v>640</v>
      </c>
      <c r="M1189">
        <v>54</v>
      </c>
      <c r="N1189" t="s">
        <v>61</v>
      </c>
      <c r="O1189" s="3" t="s">
        <v>28</v>
      </c>
      <c r="P1189" t="s">
        <v>23</v>
      </c>
      <c r="Q1189" t="s">
        <v>56</v>
      </c>
      <c r="R1189">
        <v>3</v>
      </c>
      <c r="S1189" t="s">
        <v>46</v>
      </c>
      <c r="T1189" s="4">
        <f t="shared" si="93"/>
        <v>65470.12</v>
      </c>
      <c r="U1189" s="4" t="str">
        <f t="shared" si="94"/>
        <v>Average</v>
      </c>
      <c r="V1189" s="4" t="str">
        <f t="shared" si="95"/>
        <v>Average</v>
      </c>
      <c r="W1189" s="4"/>
      <c r="X1189" s="4"/>
      <c r="AJ1189" s="4"/>
    </row>
    <row r="1190" spans="1:36">
      <c r="A1190" t="str">
        <f t="shared" si="91"/>
        <v>Pooj321189</v>
      </c>
      <c r="B1190">
        <v>1189</v>
      </c>
      <c r="C1190">
        <v>13</v>
      </c>
      <c r="D1190">
        <v>9</v>
      </c>
      <c r="E1190">
        <v>2022</v>
      </c>
      <c r="F1190" s="1">
        <f t="shared" si="92"/>
        <v>44817</v>
      </c>
      <c r="G1190" s="1" t="s">
        <v>770</v>
      </c>
      <c r="H1190" s="2">
        <v>45666</v>
      </c>
      <c r="I1190" t="s">
        <v>26</v>
      </c>
      <c r="J1190">
        <v>1</v>
      </c>
      <c r="K1190">
        <v>51318.7</v>
      </c>
      <c r="L1190" t="s">
        <v>340</v>
      </c>
      <c r="M1190">
        <v>32</v>
      </c>
      <c r="N1190" t="s">
        <v>21</v>
      </c>
      <c r="O1190" s="3" t="s">
        <v>55</v>
      </c>
      <c r="P1190" t="s">
        <v>29</v>
      </c>
      <c r="Q1190" t="s">
        <v>24</v>
      </c>
      <c r="R1190">
        <v>1</v>
      </c>
      <c r="S1190" t="s">
        <v>34</v>
      </c>
      <c r="T1190" s="4">
        <f t="shared" si="93"/>
        <v>51318.7</v>
      </c>
      <c r="U1190" s="4" t="str">
        <f t="shared" si="94"/>
        <v>Average</v>
      </c>
      <c r="V1190" s="4" t="str">
        <f t="shared" si="95"/>
        <v>Average</v>
      </c>
      <c r="W1190" s="4"/>
      <c r="X1190" s="4"/>
      <c r="AJ1190" s="4"/>
    </row>
    <row r="1191" spans="1:36">
      <c r="A1191" t="str">
        <f t="shared" si="91"/>
        <v>Suni321190</v>
      </c>
      <c r="B1191">
        <v>1190</v>
      </c>
      <c r="C1191">
        <v>13</v>
      </c>
      <c r="D1191">
        <v>9</v>
      </c>
      <c r="E1191">
        <v>2022</v>
      </c>
      <c r="F1191" s="1">
        <f t="shared" si="92"/>
        <v>44817</v>
      </c>
      <c r="G1191" s="1" t="s">
        <v>770</v>
      </c>
      <c r="H1191" s="2">
        <v>45667</v>
      </c>
      <c r="I1191" t="s">
        <v>38</v>
      </c>
      <c r="J1191">
        <v>1</v>
      </c>
      <c r="K1191">
        <v>68719.240000000005</v>
      </c>
      <c r="L1191" t="s">
        <v>172</v>
      </c>
      <c r="M1191">
        <v>32</v>
      </c>
      <c r="N1191" t="s">
        <v>21</v>
      </c>
      <c r="O1191" s="3" t="s">
        <v>22</v>
      </c>
      <c r="P1191" t="s">
        <v>110</v>
      </c>
      <c r="Q1191" t="s">
        <v>41</v>
      </c>
      <c r="R1191">
        <v>5</v>
      </c>
      <c r="S1191" t="s">
        <v>99</v>
      </c>
      <c r="T1191" s="4">
        <f t="shared" si="93"/>
        <v>68719.240000000005</v>
      </c>
      <c r="U1191" s="4" t="str">
        <f t="shared" si="94"/>
        <v>Good</v>
      </c>
      <c r="V1191" s="4" t="str">
        <f t="shared" si="95"/>
        <v>Average</v>
      </c>
      <c r="W1191" s="4"/>
      <c r="X1191" s="4"/>
      <c r="AJ1191" s="4"/>
    </row>
    <row r="1192" spans="1:36">
      <c r="A1192" t="str">
        <f t="shared" si="91"/>
        <v>Pank221191</v>
      </c>
      <c r="B1192">
        <v>1191</v>
      </c>
      <c r="C1192">
        <v>13</v>
      </c>
      <c r="D1192">
        <v>9</v>
      </c>
      <c r="E1192">
        <v>2022</v>
      </c>
      <c r="F1192" s="1">
        <f t="shared" si="92"/>
        <v>44817</v>
      </c>
      <c r="G1192" s="1" t="s">
        <v>770</v>
      </c>
      <c r="H1192" s="2">
        <v>45668</v>
      </c>
      <c r="I1192" t="s">
        <v>19</v>
      </c>
      <c r="J1192">
        <v>2</v>
      </c>
      <c r="K1192">
        <v>53596.27</v>
      </c>
      <c r="L1192" t="s">
        <v>789</v>
      </c>
      <c r="M1192">
        <v>22</v>
      </c>
      <c r="N1192" t="s">
        <v>36</v>
      </c>
      <c r="O1192" s="3" t="s">
        <v>55</v>
      </c>
      <c r="P1192" t="s">
        <v>137</v>
      </c>
      <c r="Q1192" t="s">
        <v>30</v>
      </c>
      <c r="R1192">
        <v>1</v>
      </c>
      <c r="S1192" t="s">
        <v>25</v>
      </c>
      <c r="T1192" s="4">
        <f t="shared" si="93"/>
        <v>107192.54</v>
      </c>
      <c r="U1192" s="4" t="str">
        <f t="shared" si="94"/>
        <v>Average</v>
      </c>
      <c r="V1192" s="4" t="str">
        <f t="shared" si="95"/>
        <v>Good</v>
      </c>
      <c r="W1192" s="4"/>
      <c r="X1192" s="4"/>
      <c r="AJ1192" s="4"/>
    </row>
    <row r="1193" spans="1:36">
      <c r="A1193" t="str">
        <f t="shared" si="91"/>
        <v>Bhav451192</v>
      </c>
      <c r="B1193">
        <v>1192</v>
      </c>
      <c r="C1193">
        <v>14</v>
      </c>
      <c r="D1193">
        <v>9</v>
      </c>
      <c r="E1193">
        <v>2022</v>
      </c>
      <c r="F1193" s="1">
        <f t="shared" si="92"/>
        <v>44818</v>
      </c>
      <c r="G1193" s="1" t="s">
        <v>770</v>
      </c>
      <c r="H1193" s="2">
        <v>45669</v>
      </c>
      <c r="I1193" t="s">
        <v>26</v>
      </c>
      <c r="J1193">
        <v>9</v>
      </c>
      <c r="K1193">
        <v>65723.759999999995</v>
      </c>
      <c r="L1193" t="s">
        <v>504</v>
      </c>
      <c r="M1193">
        <v>45</v>
      </c>
      <c r="N1193" t="s">
        <v>21</v>
      </c>
      <c r="O1193" s="3" t="s">
        <v>28</v>
      </c>
      <c r="P1193" t="s">
        <v>29</v>
      </c>
      <c r="Q1193" t="s">
        <v>41</v>
      </c>
      <c r="R1193">
        <v>3</v>
      </c>
      <c r="S1193" t="s">
        <v>67</v>
      </c>
      <c r="T1193" s="4">
        <f t="shared" si="93"/>
        <v>591513.84</v>
      </c>
      <c r="U1193" s="4" t="str">
        <f t="shared" si="94"/>
        <v>Average</v>
      </c>
      <c r="V1193" s="4" t="str">
        <f t="shared" si="95"/>
        <v>Excellent</v>
      </c>
      <c r="W1193" s="4"/>
      <c r="X1193" s="4"/>
      <c r="AJ1193" s="4"/>
    </row>
    <row r="1194" spans="1:36">
      <c r="A1194" t="str">
        <f t="shared" si="91"/>
        <v>Navi501193</v>
      </c>
      <c r="B1194">
        <v>1193</v>
      </c>
      <c r="C1194">
        <v>14</v>
      </c>
      <c r="D1194">
        <v>9</v>
      </c>
      <c r="E1194">
        <v>2022</v>
      </c>
      <c r="F1194" s="1">
        <f t="shared" si="92"/>
        <v>44818</v>
      </c>
      <c r="G1194" s="1" t="s">
        <v>770</v>
      </c>
      <c r="H1194" s="2">
        <v>45670</v>
      </c>
      <c r="I1194" t="s">
        <v>26</v>
      </c>
      <c r="J1194">
        <v>2</v>
      </c>
      <c r="K1194">
        <v>58258.28</v>
      </c>
      <c r="L1194" t="s">
        <v>635</v>
      </c>
      <c r="M1194">
        <v>50</v>
      </c>
      <c r="N1194" t="s">
        <v>61</v>
      </c>
      <c r="O1194" s="3" t="s">
        <v>55</v>
      </c>
      <c r="P1194" t="s">
        <v>23</v>
      </c>
      <c r="Q1194" t="s">
        <v>24</v>
      </c>
      <c r="R1194">
        <v>1</v>
      </c>
      <c r="S1194" t="s">
        <v>31</v>
      </c>
      <c r="T1194" s="4">
        <f t="shared" si="93"/>
        <v>116516.56</v>
      </c>
      <c r="U1194" s="4" t="str">
        <f t="shared" si="94"/>
        <v>Average</v>
      </c>
      <c r="V1194" s="4" t="str">
        <f t="shared" si="95"/>
        <v>Good</v>
      </c>
      <c r="W1194" s="4"/>
      <c r="X1194" s="4"/>
      <c r="AJ1194" s="4"/>
    </row>
    <row r="1195" spans="1:36">
      <c r="A1195" t="str">
        <f t="shared" si="91"/>
        <v>Kris281194</v>
      </c>
      <c r="B1195">
        <v>1194</v>
      </c>
      <c r="C1195">
        <v>14</v>
      </c>
      <c r="D1195">
        <v>9</v>
      </c>
      <c r="E1195">
        <v>2022</v>
      </c>
      <c r="F1195" s="1">
        <f t="shared" si="92"/>
        <v>44818</v>
      </c>
      <c r="G1195" s="1" t="s">
        <v>770</v>
      </c>
      <c r="H1195" s="2">
        <v>45671</v>
      </c>
      <c r="I1195" t="s">
        <v>19</v>
      </c>
      <c r="J1195">
        <v>2</v>
      </c>
      <c r="K1195">
        <v>19786.88</v>
      </c>
      <c r="L1195" t="s">
        <v>116</v>
      </c>
      <c r="M1195">
        <v>28</v>
      </c>
      <c r="N1195" t="s">
        <v>36</v>
      </c>
      <c r="O1195" s="3" t="s">
        <v>22</v>
      </c>
      <c r="P1195" t="s">
        <v>29</v>
      </c>
      <c r="Q1195" t="s">
        <v>56</v>
      </c>
      <c r="R1195">
        <v>5</v>
      </c>
      <c r="S1195" t="s">
        <v>37</v>
      </c>
      <c r="T1195" s="4">
        <f t="shared" si="93"/>
        <v>39573.760000000002</v>
      </c>
      <c r="U1195" s="4" t="str">
        <f t="shared" si="94"/>
        <v>Good</v>
      </c>
      <c r="V1195" s="4" t="str">
        <f t="shared" si="95"/>
        <v>Low</v>
      </c>
      <c r="W1195" s="4"/>
      <c r="X1195" s="4"/>
      <c r="AJ1195" s="4"/>
    </row>
    <row r="1196" spans="1:36">
      <c r="A1196" t="str">
        <f t="shared" si="91"/>
        <v>Suni231195</v>
      </c>
      <c r="B1196">
        <v>1195</v>
      </c>
      <c r="C1196">
        <v>15</v>
      </c>
      <c r="D1196">
        <v>9</v>
      </c>
      <c r="E1196">
        <v>2022</v>
      </c>
      <c r="F1196" s="1">
        <f t="shared" si="92"/>
        <v>44819</v>
      </c>
      <c r="G1196" s="1" t="s">
        <v>770</v>
      </c>
      <c r="H1196" s="2">
        <v>45672</v>
      </c>
      <c r="I1196" t="s">
        <v>19</v>
      </c>
      <c r="J1196">
        <v>6</v>
      </c>
      <c r="K1196">
        <v>24952.23</v>
      </c>
      <c r="L1196" t="s">
        <v>737</v>
      </c>
      <c r="M1196">
        <v>23</v>
      </c>
      <c r="N1196" t="s">
        <v>36</v>
      </c>
      <c r="O1196" s="3" t="s">
        <v>55</v>
      </c>
      <c r="P1196" t="s">
        <v>40</v>
      </c>
      <c r="Q1196" t="s">
        <v>56</v>
      </c>
      <c r="R1196">
        <v>1</v>
      </c>
      <c r="S1196" t="s">
        <v>37</v>
      </c>
      <c r="T1196" s="4">
        <f t="shared" si="93"/>
        <v>149713.38</v>
      </c>
      <c r="U1196" s="4" t="str">
        <f t="shared" si="94"/>
        <v>Average</v>
      </c>
      <c r="V1196" s="4" t="str">
        <f t="shared" si="95"/>
        <v>Good</v>
      </c>
      <c r="W1196" s="4"/>
      <c r="X1196" s="4"/>
      <c r="AJ1196" s="4"/>
    </row>
    <row r="1197" spans="1:36">
      <c r="A1197" t="str">
        <f t="shared" si="91"/>
        <v>Lali401196</v>
      </c>
      <c r="B1197">
        <v>1196</v>
      </c>
      <c r="C1197">
        <v>15</v>
      </c>
      <c r="D1197">
        <v>9</v>
      </c>
      <c r="E1197">
        <v>2022</v>
      </c>
      <c r="F1197" s="1">
        <f t="shared" si="92"/>
        <v>44819</v>
      </c>
      <c r="G1197" s="1" t="s">
        <v>770</v>
      </c>
      <c r="H1197" s="2">
        <v>45673</v>
      </c>
      <c r="I1197" t="s">
        <v>43</v>
      </c>
      <c r="J1197">
        <v>7</v>
      </c>
      <c r="K1197">
        <v>30511.94</v>
      </c>
      <c r="L1197" t="s">
        <v>790</v>
      </c>
      <c r="M1197">
        <v>40</v>
      </c>
      <c r="N1197" t="s">
        <v>21</v>
      </c>
      <c r="O1197" s="3" t="s">
        <v>28</v>
      </c>
      <c r="P1197" t="s">
        <v>150</v>
      </c>
      <c r="Q1197" t="s">
        <v>56</v>
      </c>
      <c r="R1197">
        <v>3</v>
      </c>
      <c r="S1197" t="s">
        <v>95</v>
      </c>
      <c r="T1197" s="4">
        <f t="shared" si="93"/>
        <v>213583.58</v>
      </c>
      <c r="U1197" s="4" t="str">
        <f t="shared" si="94"/>
        <v>Average</v>
      </c>
      <c r="V1197" s="4" t="str">
        <f t="shared" si="95"/>
        <v>Excellent</v>
      </c>
      <c r="W1197" s="4"/>
      <c r="X1197" s="4"/>
      <c r="AJ1197" s="4"/>
    </row>
    <row r="1198" spans="1:36">
      <c r="A1198" t="str">
        <f t="shared" si="91"/>
        <v>Suni571197</v>
      </c>
      <c r="B1198">
        <v>1197</v>
      </c>
      <c r="C1198">
        <v>15</v>
      </c>
      <c r="D1198">
        <v>9</v>
      </c>
      <c r="E1198">
        <v>2022</v>
      </c>
      <c r="F1198" s="1">
        <f t="shared" si="92"/>
        <v>44819</v>
      </c>
      <c r="G1198" s="1" t="s">
        <v>770</v>
      </c>
      <c r="H1198" s="2">
        <v>45674</v>
      </c>
      <c r="I1198" t="s">
        <v>26</v>
      </c>
      <c r="J1198">
        <v>7</v>
      </c>
      <c r="K1198">
        <v>20095.63</v>
      </c>
      <c r="L1198" t="s">
        <v>791</v>
      </c>
      <c r="M1198">
        <v>57</v>
      </c>
      <c r="N1198" t="s">
        <v>61</v>
      </c>
      <c r="O1198" s="3" t="s">
        <v>22</v>
      </c>
      <c r="P1198" t="s">
        <v>29</v>
      </c>
      <c r="Q1198" t="s">
        <v>41</v>
      </c>
      <c r="R1198">
        <v>5</v>
      </c>
      <c r="S1198" t="s">
        <v>31</v>
      </c>
      <c r="T1198" s="4">
        <f t="shared" si="93"/>
        <v>140669.41</v>
      </c>
      <c r="U1198" s="4" t="str">
        <f t="shared" si="94"/>
        <v>Good</v>
      </c>
      <c r="V1198" s="4" t="str">
        <f t="shared" si="95"/>
        <v>Good</v>
      </c>
      <c r="W1198" s="4"/>
      <c r="X1198" s="4"/>
      <c r="AJ1198" s="4"/>
    </row>
    <row r="1199" spans="1:36">
      <c r="A1199" t="str">
        <f t="shared" si="91"/>
        <v>Mano191198</v>
      </c>
      <c r="B1199">
        <v>1198</v>
      </c>
      <c r="C1199">
        <v>15</v>
      </c>
      <c r="D1199">
        <v>9</v>
      </c>
      <c r="E1199">
        <v>2022</v>
      </c>
      <c r="F1199" s="1">
        <f t="shared" si="92"/>
        <v>44819</v>
      </c>
      <c r="G1199" s="1" t="s">
        <v>770</v>
      </c>
      <c r="H1199" s="2">
        <v>45675</v>
      </c>
      <c r="I1199" t="s">
        <v>49</v>
      </c>
      <c r="J1199">
        <v>9</v>
      </c>
      <c r="K1199">
        <v>44899.08</v>
      </c>
      <c r="L1199" t="s">
        <v>792</v>
      </c>
      <c r="M1199">
        <v>19</v>
      </c>
      <c r="N1199" t="s">
        <v>36</v>
      </c>
      <c r="O1199" s="3" t="s">
        <v>55</v>
      </c>
      <c r="P1199" t="s">
        <v>132</v>
      </c>
      <c r="Q1199" t="s">
        <v>41</v>
      </c>
      <c r="R1199">
        <v>1</v>
      </c>
      <c r="S1199" t="s">
        <v>52</v>
      </c>
      <c r="T1199" s="4">
        <f t="shared" si="93"/>
        <v>404091.72000000003</v>
      </c>
      <c r="U1199" s="4" t="str">
        <f t="shared" si="94"/>
        <v>Average</v>
      </c>
      <c r="V1199" s="4" t="str">
        <f t="shared" si="95"/>
        <v>Excellent</v>
      </c>
      <c r="W1199" s="4"/>
      <c r="X1199" s="4"/>
      <c r="AJ1199" s="4"/>
    </row>
    <row r="1200" spans="1:36">
      <c r="A1200" t="str">
        <f t="shared" si="91"/>
        <v>Radh321199</v>
      </c>
      <c r="B1200">
        <v>1199</v>
      </c>
      <c r="C1200">
        <v>16</v>
      </c>
      <c r="D1200">
        <v>9</v>
      </c>
      <c r="E1200">
        <v>2022</v>
      </c>
      <c r="F1200" s="1">
        <f t="shared" si="92"/>
        <v>44820</v>
      </c>
      <c r="G1200" s="1" t="s">
        <v>770</v>
      </c>
      <c r="H1200" s="2">
        <v>45676</v>
      </c>
      <c r="I1200" t="s">
        <v>19</v>
      </c>
      <c r="J1200">
        <v>6</v>
      </c>
      <c r="K1200">
        <v>68527.03</v>
      </c>
      <c r="L1200" t="s">
        <v>743</v>
      </c>
      <c r="M1200">
        <v>32</v>
      </c>
      <c r="N1200" t="s">
        <v>21</v>
      </c>
      <c r="O1200" s="3" t="s">
        <v>28</v>
      </c>
      <c r="P1200" t="s">
        <v>64</v>
      </c>
      <c r="Q1200" t="s">
        <v>24</v>
      </c>
      <c r="R1200">
        <v>3</v>
      </c>
      <c r="S1200" t="s">
        <v>37</v>
      </c>
      <c r="T1200" s="4">
        <f t="shared" si="93"/>
        <v>411162.18</v>
      </c>
      <c r="U1200" s="4" t="str">
        <f t="shared" si="94"/>
        <v>Average</v>
      </c>
      <c r="V1200" s="4" t="str">
        <f t="shared" si="95"/>
        <v>Excellent</v>
      </c>
      <c r="W1200" s="4"/>
      <c r="X1200" s="4"/>
      <c r="AJ1200" s="4"/>
    </row>
    <row r="1201" spans="1:36">
      <c r="A1201" t="str">
        <f t="shared" si="91"/>
        <v>Priy401200</v>
      </c>
      <c r="B1201">
        <v>1200</v>
      </c>
      <c r="C1201">
        <v>16</v>
      </c>
      <c r="D1201">
        <v>9</v>
      </c>
      <c r="E1201">
        <v>2022</v>
      </c>
      <c r="F1201" s="1">
        <f t="shared" si="92"/>
        <v>44820</v>
      </c>
      <c r="G1201" s="1" t="s">
        <v>770</v>
      </c>
      <c r="H1201" s="2">
        <v>45677</v>
      </c>
      <c r="I1201" t="s">
        <v>19</v>
      </c>
      <c r="J1201">
        <v>8</v>
      </c>
      <c r="K1201">
        <v>55687.53</v>
      </c>
      <c r="L1201" t="s">
        <v>317</v>
      </c>
      <c r="M1201">
        <v>40</v>
      </c>
      <c r="N1201" t="s">
        <v>21</v>
      </c>
      <c r="O1201" s="3" t="s">
        <v>28</v>
      </c>
      <c r="P1201" t="s">
        <v>150</v>
      </c>
      <c r="Q1201" t="s">
        <v>41</v>
      </c>
      <c r="R1201">
        <v>3</v>
      </c>
      <c r="S1201" t="s">
        <v>25</v>
      </c>
      <c r="T1201" s="4">
        <f t="shared" si="93"/>
        <v>445500.24</v>
      </c>
      <c r="U1201" s="4" t="str">
        <f t="shared" si="94"/>
        <v>Average</v>
      </c>
      <c r="V1201" s="4" t="str">
        <f t="shared" si="95"/>
        <v>Excellent</v>
      </c>
      <c r="W1201" s="4"/>
      <c r="X1201" s="4"/>
      <c r="AJ1201" s="4"/>
    </row>
    <row r="1202" spans="1:36">
      <c r="A1202" t="str">
        <f t="shared" si="91"/>
        <v>Reen391201</v>
      </c>
      <c r="B1202">
        <v>1201</v>
      </c>
      <c r="C1202">
        <v>16</v>
      </c>
      <c r="D1202">
        <v>9</v>
      </c>
      <c r="E1202">
        <v>2022</v>
      </c>
      <c r="F1202" s="1">
        <f t="shared" si="92"/>
        <v>44820</v>
      </c>
      <c r="G1202" s="1" t="s">
        <v>770</v>
      </c>
      <c r="H1202" s="2">
        <v>45678</v>
      </c>
      <c r="I1202" t="s">
        <v>38</v>
      </c>
      <c r="J1202">
        <v>6</v>
      </c>
      <c r="K1202">
        <v>35403.199999999997</v>
      </c>
      <c r="L1202" t="s">
        <v>651</v>
      </c>
      <c r="M1202">
        <v>39</v>
      </c>
      <c r="N1202" t="s">
        <v>21</v>
      </c>
      <c r="O1202" s="3" t="s">
        <v>22</v>
      </c>
      <c r="P1202" t="s">
        <v>93</v>
      </c>
      <c r="Q1202" t="s">
        <v>56</v>
      </c>
      <c r="R1202">
        <v>5</v>
      </c>
      <c r="S1202" t="s">
        <v>99</v>
      </c>
      <c r="T1202" s="4">
        <f t="shared" si="93"/>
        <v>212419.19999999998</v>
      </c>
      <c r="U1202" s="4" t="str">
        <f t="shared" si="94"/>
        <v>Good</v>
      </c>
      <c r="V1202" s="4" t="str">
        <f t="shared" si="95"/>
        <v>Excellent</v>
      </c>
      <c r="W1202" s="4"/>
      <c r="X1202" s="4"/>
      <c r="AJ1202" s="4"/>
    </row>
    <row r="1203" spans="1:36">
      <c r="A1203" t="str">
        <f t="shared" si="91"/>
        <v>Deep261202</v>
      </c>
      <c r="B1203">
        <v>1202</v>
      </c>
      <c r="C1203">
        <v>17</v>
      </c>
      <c r="D1203">
        <v>9</v>
      </c>
      <c r="E1203">
        <v>2022</v>
      </c>
      <c r="F1203" s="1">
        <f t="shared" si="92"/>
        <v>44821</v>
      </c>
      <c r="G1203" s="1" t="s">
        <v>770</v>
      </c>
      <c r="H1203" s="2">
        <v>45679</v>
      </c>
      <c r="I1203" t="s">
        <v>49</v>
      </c>
      <c r="J1203">
        <v>2</v>
      </c>
      <c r="K1203">
        <v>10270.27</v>
      </c>
      <c r="L1203" t="s">
        <v>793</v>
      </c>
      <c r="M1203">
        <v>26</v>
      </c>
      <c r="N1203" t="s">
        <v>36</v>
      </c>
      <c r="O1203" s="3" t="s">
        <v>22</v>
      </c>
      <c r="P1203" t="s">
        <v>33</v>
      </c>
      <c r="Q1203" t="s">
        <v>30</v>
      </c>
      <c r="R1203">
        <v>5</v>
      </c>
      <c r="S1203" t="s">
        <v>88</v>
      </c>
      <c r="T1203" s="4">
        <f t="shared" si="93"/>
        <v>20540.54</v>
      </c>
      <c r="U1203" s="4" t="str">
        <f t="shared" si="94"/>
        <v>Good</v>
      </c>
      <c r="V1203" s="4" t="str">
        <f t="shared" si="95"/>
        <v>Low</v>
      </c>
      <c r="W1203" s="4"/>
      <c r="X1203" s="4"/>
      <c r="AJ1203" s="4"/>
    </row>
    <row r="1204" spans="1:36">
      <c r="A1204" t="str">
        <f t="shared" si="91"/>
        <v>Vino571203</v>
      </c>
      <c r="B1204">
        <v>1203</v>
      </c>
      <c r="C1204">
        <v>17</v>
      </c>
      <c r="D1204">
        <v>9</v>
      </c>
      <c r="E1204">
        <v>2022</v>
      </c>
      <c r="F1204" s="1">
        <f t="shared" si="92"/>
        <v>44821</v>
      </c>
      <c r="G1204" s="1" t="s">
        <v>770</v>
      </c>
      <c r="H1204" s="2">
        <v>45680</v>
      </c>
      <c r="I1204" t="s">
        <v>49</v>
      </c>
      <c r="J1204">
        <v>1</v>
      </c>
      <c r="K1204">
        <v>28796.560000000001</v>
      </c>
      <c r="L1204" t="s">
        <v>481</v>
      </c>
      <c r="M1204">
        <v>57</v>
      </c>
      <c r="N1204" t="s">
        <v>61</v>
      </c>
      <c r="O1204" s="3" t="s">
        <v>22</v>
      </c>
      <c r="P1204" t="s">
        <v>29</v>
      </c>
      <c r="Q1204" t="s">
        <v>30</v>
      </c>
      <c r="R1204">
        <v>5</v>
      </c>
      <c r="S1204" t="s">
        <v>88</v>
      </c>
      <c r="T1204" s="4">
        <f t="shared" si="93"/>
        <v>28796.560000000001</v>
      </c>
      <c r="U1204" s="4" t="str">
        <f t="shared" si="94"/>
        <v>Good</v>
      </c>
      <c r="V1204" s="4" t="str">
        <f t="shared" si="95"/>
        <v>Low</v>
      </c>
      <c r="W1204" s="4"/>
      <c r="X1204" s="4"/>
      <c r="AJ1204" s="4"/>
    </row>
    <row r="1205" spans="1:36">
      <c r="A1205" t="str">
        <f t="shared" si="91"/>
        <v>Raje471204</v>
      </c>
      <c r="B1205">
        <v>1204</v>
      </c>
      <c r="C1205">
        <v>17</v>
      </c>
      <c r="D1205">
        <v>9</v>
      </c>
      <c r="E1205">
        <v>2022</v>
      </c>
      <c r="F1205" s="1">
        <f t="shared" si="92"/>
        <v>44821</v>
      </c>
      <c r="G1205" s="1" t="s">
        <v>770</v>
      </c>
      <c r="H1205" s="2">
        <v>45681</v>
      </c>
      <c r="I1205" t="s">
        <v>19</v>
      </c>
      <c r="J1205">
        <v>5</v>
      </c>
      <c r="K1205">
        <v>41605.56</v>
      </c>
      <c r="L1205" t="s">
        <v>466</v>
      </c>
      <c r="M1205">
        <v>47</v>
      </c>
      <c r="N1205" t="s">
        <v>61</v>
      </c>
      <c r="O1205" s="3" t="s">
        <v>55</v>
      </c>
      <c r="P1205" t="s">
        <v>33</v>
      </c>
      <c r="Q1205" t="s">
        <v>30</v>
      </c>
      <c r="R1205">
        <v>1</v>
      </c>
      <c r="S1205" t="s">
        <v>25</v>
      </c>
      <c r="T1205" s="4">
        <f t="shared" si="93"/>
        <v>208027.8</v>
      </c>
      <c r="U1205" s="4" t="str">
        <f t="shared" si="94"/>
        <v>Average</v>
      </c>
      <c r="V1205" s="4" t="str">
        <f t="shared" si="95"/>
        <v>Excellent</v>
      </c>
      <c r="W1205" s="4"/>
      <c r="X1205" s="4"/>
      <c r="AJ1205" s="4"/>
    </row>
    <row r="1206" spans="1:36">
      <c r="A1206" t="str">
        <f t="shared" si="91"/>
        <v>Arun331205</v>
      </c>
      <c r="B1206">
        <v>1205</v>
      </c>
      <c r="C1206">
        <v>17</v>
      </c>
      <c r="D1206">
        <v>9</v>
      </c>
      <c r="E1206">
        <v>2022</v>
      </c>
      <c r="F1206" s="1">
        <f t="shared" si="92"/>
        <v>44821</v>
      </c>
      <c r="G1206" s="1" t="s">
        <v>770</v>
      </c>
      <c r="H1206" s="2">
        <v>45682</v>
      </c>
      <c r="I1206" t="s">
        <v>43</v>
      </c>
      <c r="J1206">
        <v>9</v>
      </c>
      <c r="K1206">
        <v>29455.05</v>
      </c>
      <c r="L1206" t="s">
        <v>681</v>
      </c>
      <c r="M1206">
        <v>33</v>
      </c>
      <c r="N1206" t="s">
        <v>21</v>
      </c>
      <c r="O1206" s="3" t="s">
        <v>22</v>
      </c>
      <c r="P1206" t="s">
        <v>110</v>
      </c>
      <c r="Q1206" t="s">
        <v>56</v>
      </c>
      <c r="R1206">
        <v>5</v>
      </c>
      <c r="S1206" t="s">
        <v>46</v>
      </c>
      <c r="T1206" s="4">
        <f t="shared" si="93"/>
        <v>265095.45</v>
      </c>
      <c r="U1206" s="4" t="str">
        <f t="shared" si="94"/>
        <v>Good</v>
      </c>
      <c r="V1206" s="4" t="str">
        <f t="shared" si="95"/>
        <v>Excellent</v>
      </c>
      <c r="W1206" s="4"/>
      <c r="X1206" s="4"/>
      <c r="AJ1206" s="4"/>
    </row>
    <row r="1207" spans="1:36">
      <c r="A1207" t="str">
        <f t="shared" si="91"/>
        <v>Mala471206</v>
      </c>
      <c r="B1207">
        <v>1206</v>
      </c>
      <c r="C1207">
        <v>18</v>
      </c>
      <c r="D1207">
        <v>9</v>
      </c>
      <c r="E1207">
        <v>2022</v>
      </c>
      <c r="F1207" s="1">
        <f t="shared" si="92"/>
        <v>44822</v>
      </c>
      <c r="G1207" s="1" t="s">
        <v>770</v>
      </c>
      <c r="H1207" s="2">
        <v>45683</v>
      </c>
      <c r="I1207" t="s">
        <v>38</v>
      </c>
      <c r="J1207">
        <v>8</v>
      </c>
      <c r="K1207">
        <v>16662.099999999999</v>
      </c>
      <c r="L1207" t="s">
        <v>794</v>
      </c>
      <c r="M1207">
        <v>47</v>
      </c>
      <c r="N1207" t="s">
        <v>61</v>
      </c>
      <c r="O1207" s="3" t="s">
        <v>22</v>
      </c>
      <c r="P1207" t="s">
        <v>29</v>
      </c>
      <c r="Q1207" t="s">
        <v>41</v>
      </c>
      <c r="R1207">
        <v>5</v>
      </c>
      <c r="S1207" t="s">
        <v>48</v>
      </c>
      <c r="T1207" s="4">
        <f t="shared" si="93"/>
        <v>133296.79999999999</v>
      </c>
      <c r="U1207" s="4" t="str">
        <f t="shared" si="94"/>
        <v>Good</v>
      </c>
      <c r="V1207" s="4" t="str">
        <f t="shared" si="95"/>
        <v>Good</v>
      </c>
      <c r="W1207" s="4"/>
      <c r="X1207" s="4"/>
      <c r="AJ1207" s="4"/>
    </row>
    <row r="1208" spans="1:36">
      <c r="A1208" t="str">
        <f t="shared" si="91"/>
        <v>Nikh261207</v>
      </c>
      <c r="B1208">
        <v>1207</v>
      </c>
      <c r="C1208">
        <v>18</v>
      </c>
      <c r="D1208">
        <v>9</v>
      </c>
      <c r="E1208">
        <v>2022</v>
      </c>
      <c r="F1208" s="1">
        <f t="shared" si="92"/>
        <v>44822</v>
      </c>
      <c r="G1208" s="1" t="s">
        <v>770</v>
      </c>
      <c r="H1208" s="2">
        <v>45684</v>
      </c>
      <c r="I1208" t="s">
        <v>49</v>
      </c>
      <c r="J1208">
        <v>4</v>
      </c>
      <c r="K1208">
        <v>36565.9</v>
      </c>
      <c r="L1208" t="s">
        <v>169</v>
      </c>
      <c r="M1208">
        <v>26</v>
      </c>
      <c r="N1208" t="s">
        <v>36</v>
      </c>
      <c r="O1208" s="3" t="s">
        <v>28</v>
      </c>
      <c r="P1208" t="s">
        <v>29</v>
      </c>
      <c r="Q1208" t="s">
        <v>30</v>
      </c>
      <c r="R1208">
        <v>3</v>
      </c>
      <c r="S1208" t="s">
        <v>102</v>
      </c>
      <c r="T1208" s="4">
        <f t="shared" si="93"/>
        <v>146263.6</v>
      </c>
      <c r="U1208" s="4" t="str">
        <f t="shared" si="94"/>
        <v>Average</v>
      </c>
      <c r="V1208" s="4" t="str">
        <f t="shared" si="95"/>
        <v>Good</v>
      </c>
      <c r="W1208" s="4"/>
      <c r="X1208" s="4"/>
      <c r="AJ1208" s="4"/>
    </row>
    <row r="1209" spans="1:36">
      <c r="A1209" t="str">
        <f t="shared" si="91"/>
        <v>Priy181208</v>
      </c>
      <c r="B1209">
        <v>1208</v>
      </c>
      <c r="C1209">
        <v>18</v>
      </c>
      <c r="D1209">
        <v>9</v>
      </c>
      <c r="E1209">
        <v>2022</v>
      </c>
      <c r="F1209" s="1">
        <f t="shared" si="92"/>
        <v>44822</v>
      </c>
      <c r="G1209" s="1" t="s">
        <v>770</v>
      </c>
      <c r="H1209" s="2">
        <v>45685</v>
      </c>
      <c r="I1209" t="s">
        <v>19</v>
      </c>
      <c r="J1209">
        <v>5</v>
      </c>
      <c r="K1209">
        <v>25195.17</v>
      </c>
      <c r="L1209" t="s">
        <v>435</v>
      </c>
      <c r="M1209">
        <v>18</v>
      </c>
      <c r="N1209" t="s">
        <v>36</v>
      </c>
      <c r="O1209" s="3" t="s">
        <v>22</v>
      </c>
      <c r="P1209" t="s">
        <v>114</v>
      </c>
      <c r="Q1209" t="s">
        <v>41</v>
      </c>
      <c r="R1209">
        <v>5</v>
      </c>
      <c r="S1209" t="s">
        <v>37</v>
      </c>
      <c r="T1209" s="4">
        <f t="shared" si="93"/>
        <v>125975.84999999999</v>
      </c>
      <c r="U1209" s="4" t="str">
        <f t="shared" si="94"/>
        <v>Good</v>
      </c>
      <c r="V1209" s="4" t="str">
        <f t="shared" si="95"/>
        <v>Good</v>
      </c>
      <c r="W1209" s="4"/>
      <c r="X1209" s="4"/>
      <c r="AJ1209" s="4"/>
    </row>
    <row r="1210" spans="1:36">
      <c r="A1210" t="str">
        <f t="shared" si="91"/>
        <v>Ayes551209</v>
      </c>
      <c r="B1210">
        <v>1209</v>
      </c>
      <c r="C1210">
        <v>19</v>
      </c>
      <c r="D1210">
        <v>9</v>
      </c>
      <c r="E1210">
        <v>2022</v>
      </c>
      <c r="F1210" s="1">
        <f t="shared" si="92"/>
        <v>44823</v>
      </c>
      <c r="G1210" s="1" t="s">
        <v>770</v>
      </c>
      <c r="H1210" s="2">
        <v>45686</v>
      </c>
      <c r="I1210" t="s">
        <v>49</v>
      </c>
      <c r="J1210">
        <v>5</v>
      </c>
      <c r="K1210">
        <v>64553.94</v>
      </c>
      <c r="L1210" t="s">
        <v>509</v>
      </c>
      <c r="M1210">
        <v>55</v>
      </c>
      <c r="N1210" t="s">
        <v>61</v>
      </c>
      <c r="O1210" s="3" t="s">
        <v>22</v>
      </c>
      <c r="P1210" t="s">
        <v>137</v>
      </c>
      <c r="Q1210" t="s">
        <v>41</v>
      </c>
      <c r="R1210">
        <v>5</v>
      </c>
      <c r="S1210" t="s">
        <v>102</v>
      </c>
      <c r="T1210" s="4">
        <f t="shared" si="93"/>
        <v>322769.7</v>
      </c>
      <c r="U1210" s="4" t="str">
        <f t="shared" si="94"/>
        <v>Good</v>
      </c>
      <c r="V1210" s="4" t="str">
        <f t="shared" si="95"/>
        <v>Excellent</v>
      </c>
      <c r="W1210" s="4"/>
      <c r="X1210" s="4"/>
      <c r="AJ1210" s="4"/>
    </row>
    <row r="1211" spans="1:36">
      <c r="A1211" t="str">
        <f t="shared" si="91"/>
        <v>Meen251210</v>
      </c>
      <c r="B1211">
        <v>1210</v>
      </c>
      <c r="C1211">
        <v>19</v>
      </c>
      <c r="D1211">
        <v>9</v>
      </c>
      <c r="E1211">
        <v>2022</v>
      </c>
      <c r="F1211" s="1">
        <f t="shared" si="92"/>
        <v>44823</v>
      </c>
      <c r="G1211" s="1" t="s">
        <v>770</v>
      </c>
      <c r="H1211" s="2">
        <v>45687</v>
      </c>
      <c r="I1211" t="s">
        <v>38</v>
      </c>
      <c r="J1211">
        <v>6</v>
      </c>
      <c r="K1211">
        <v>16105.27</v>
      </c>
      <c r="L1211" t="s">
        <v>682</v>
      </c>
      <c r="M1211">
        <v>25</v>
      </c>
      <c r="N1211" t="s">
        <v>36</v>
      </c>
      <c r="O1211" s="3" t="s">
        <v>22</v>
      </c>
      <c r="P1211" t="s">
        <v>33</v>
      </c>
      <c r="Q1211" t="s">
        <v>56</v>
      </c>
      <c r="R1211">
        <v>4</v>
      </c>
      <c r="S1211" t="s">
        <v>48</v>
      </c>
      <c r="T1211" s="4">
        <f t="shared" si="93"/>
        <v>96631.62</v>
      </c>
      <c r="U1211" s="4" t="str">
        <f t="shared" si="94"/>
        <v>Good</v>
      </c>
      <c r="V1211" s="4" t="str">
        <f t="shared" si="95"/>
        <v>Average</v>
      </c>
      <c r="W1211" s="4"/>
      <c r="X1211" s="4"/>
      <c r="AJ1211" s="4"/>
    </row>
    <row r="1212" spans="1:36">
      <c r="A1212" t="str">
        <f t="shared" si="91"/>
        <v>Nikh351211</v>
      </c>
      <c r="B1212">
        <v>1211</v>
      </c>
      <c r="C1212">
        <v>19</v>
      </c>
      <c r="D1212">
        <v>9</v>
      </c>
      <c r="E1212">
        <v>2022</v>
      </c>
      <c r="F1212" s="1">
        <f t="shared" si="92"/>
        <v>44823</v>
      </c>
      <c r="G1212" s="1" t="s">
        <v>770</v>
      </c>
      <c r="H1212" s="2">
        <v>45688</v>
      </c>
      <c r="I1212" t="s">
        <v>38</v>
      </c>
      <c r="J1212">
        <v>3</v>
      </c>
      <c r="K1212">
        <v>12949.16</v>
      </c>
      <c r="L1212" t="s">
        <v>169</v>
      </c>
      <c r="M1212">
        <v>35</v>
      </c>
      <c r="N1212" t="s">
        <v>21</v>
      </c>
      <c r="O1212" s="3" t="s">
        <v>28</v>
      </c>
      <c r="P1212" t="s">
        <v>70</v>
      </c>
      <c r="Q1212" t="s">
        <v>41</v>
      </c>
      <c r="R1212">
        <v>3</v>
      </c>
      <c r="S1212" t="s">
        <v>42</v>
      </c>
      <c r="T1212" s="4">
        <f t="shared" si="93"/>
        <v>38847.479999999996</v>
      </c>
      <c r="U1212" s="4" t="str">
        <f t="shared" si="94"/>
        <v>Average</v>
      </c>
      <c r="V1212" s="4" t="str">
        <f t="shared" si="95"/>
        <v>Low</v>
      </c>
      <c r="W1212" s="4"/>
      <c r="X1212" s="4"/>
      <c r="AJ1212" s="4"/>
    </row>
    <row r="1213" spans="1:36">
      <c r="A1213" t="str">
        <f t="shared" si="91"/>
        <v>Ayes441212</v>
      </c>
      <c r="B1213">
        <v>1212</v>
      </c>
      <c r="C1213">
        <v>20</v>
      </c>
      <c r="D1213">
        <v>9</v>
      </c>
      <c r="E1213">
        <v>2022</v>
      </c>
      <c r="F1213" s="1">
        <f t="shared" si="92"/>
        <v>44824</v>
      </c>
      <c r="G1213" s="1" t="s">
        <v>770</v>
      </c>
      <c r="H1213" s="2">
        <v>45689</v>
      </c>
      <c r="I1213" t="s">
        <v>26</v>
      </c>
      <c r="J1213">
        <v>5</v>
      </c>
      <c r="K1213">
        <v>10318.85</v>
      </c>
      <c r="L1213" t="s">
        <v>509</v>
      </c>
      <c r="M1213">
        <v>44</v>
      </c>
      <c r="N1213" t="s">
        <v>21</v>
      </c>
      <c r="O1213" s="3" t="s">
        <v>22</v>
      </c>
      <c r="P1213" t="s">
        <v>29</v>
      </c>
      <c r="Q1213" t="s">
        <v>41</v>
      </c>
      <c r="R1213">
        <v>5</v>
      </c>
      <c r="S1213" t="s">
        <v>34</v>
      </c>
      <c r="T1213" s="4">
        <f t="shared" si="93"/>
        <v>51594.25</v>
      </c>
      <c r="U1213" s="4" t="str">
        <f t="shared" si="94"/>
        <v>Good</v>
      </c>
      <c r="V1213" s="4" t="str">
        <f t="shared" si="95"/>
        <v>Average</v>
      </c>
      <c r="W1213" s="4"/>
      <c r="X1213" s="4"/>
      <c r="AJ1213" s="4"/>
    </row>
    <row r="1214" spans="1:36">
      <c r="A1214" t="str">
        <f t="shared" si="91"/>
        <v>Ayes351213</v>
      </c>
      <c r="B1214">
        <v>1213</v>
      </c>
      <c r="C1214">
        <v>20</v>
      </c>
      <c r="D1214">
        <v>9</v>
      </c>
      <c r="E1214">
        <v>2022</v>
      </c>
      <c r="F1214" s="1">
        <f t="shared" si="92"/>
        <v>44824</v>
      </c>
      <c r="G1214" s="1" t="s">
        <v>770</v>
      </c>
      <c r="H1214" s="2">
        <v>45690</v>
      </c>
      <c r="I1214" t="s">
        <v>19</v>
      </c>
      <c r="J1214">
        <v>2</v>
      </c>
      <c r="K1214">
        <v>29684.18</v>
      </c>
      <c r="L1214" t="s">
        <v>576</v>
      </c>
      <c r="M1214">
        <v>35</v>
      </c>
      <c r="N1214" t="s">
        <v>21</v>
      </c>
      <c r="O1214" s="3" t="s">
        <v>28</v>
      </c>
      <c r="P1214" t="s">
        <v>132</v>
      </c>
      <c r="Q1214" t="s">
        <v>56</v>
      </c>
      <c r="R1214">
        <v>3</v>
      </c>
      <c r="S1214" t="s">
        <v>25</v>
      </c>
      <c r="T1214" s="4">
        <f t="shared" si="93"/>
        <v>59368.36</v>
      </c>
      <c r="U1214" s="4" t="str">
        <f t="shared" si="94"/>
        <v>Average</v>
      </c>
      <c r="V1214" s="4" t="str">
        <f t="shared" si="95"/>
        <v>Average</v>
      </c>
      <c r="W1214" s="4"/>
      <c r="X1214" s="4"/>
      <c r="AJ1214" s="4"/>
    </row>
    <row r="1215" spans="1:36">
      <c r="A1215" t="str">
        <f t="shared" si="91"/>
        <v>Vive491214</v>
      </c>
      <c r="B1215">
        <v>1214</v>
      </c>
      <c r="C1215">
        <v>20</v>
      </c>
      <c r="D1215">
        <v>9</v>
      </c>
      <c r="E1215">
        <v>2022</v>
      </c>
      <c r="F1215" s="1">
        <f t="shared" si="92"/>
        <v>44824</v>
      </c>
      <c r="G1215" s="1" t="s">
        <v>770</v>
      </c>
      <c r="H1215" s="2">
        <v>45691</v>
      </c>
      <c r="I1215" t="s">
        <v>38</v>
      </c>
      <c r="J1215">
        <v>1</v>
      </c>
      <c r="K1215">
        <v>49623.21</v>
      </c>
      <c r="L1215" t="s">
        <v>320</v>
      </c>
      <c r="M1215">
        <v>49</v>
      </c>
      <c r="N1215" t="s">
        <v>61</v>
      </c>
      <c r="O1215" s="3" t="s">
        <v>55</v>
      </c>
      <c r="P1215" t="s">
        <v>93</v>
      </c>
      <c r="Q1215" t="s">
        <v>24</v>
      </c>
      <c r="R1215">
        <v>1</v>
      </c>
      <c r="S1215" t="s">
        <v>48</v>
      </c>
      <c r="T1215" s="4">
        <f t="shared" si="93"/>
        <v>49623.21</v>
      </c>
      <c r="U1215" s="4" t="str">
        <f t="shared" si="94"/>
        <v>Average</v>
      </c>
      <c r="V1215" s="4" t="str">
        <f t="shared" si="95"/>
        <v>Low</v>
      </c>
      <c r="W1215" s="4"/>
      <c r="X1215" s="4"/>
      <c r="AJ1215" s="4"/>
    </row>
    <row r="1216" spans="1:36">
      <c r="A1216" t="str">
        <f t="shared" si="91"/>
        <v>Pras491215</v>
      </c>
      <c r="B1216">
        <v>1215</v>
      </c>
      <c r="C1216">
        <v>21</v>
      </c>
      <c r="D1216">
        <v>9</v>
      </c>
      <c r="E1216">
        <v>2022</v>
      </c>
      <c r="F1216" s="1">
        <f t="shared" si="92"/>
        <v>44825</v>
      </c>
      <c r="G1216" s="1" t="s">
        <v>770</v>
      </c>
      <c r="H1216" s="2">
        <v>45692</v>
      </c>
      <c r="I1216" t="s">
        <v>26</v>
      </c>
      <c r="J1216">
        <v>1</v>
      </c>
      <c r="K1216">
        <v>53824.83</v>
      </c>
      <c r="L1216" t="s">
        <v>710</v>
      </c>
      <c r="M1216">
        <v>49</v>
      </c>
      <c r="N1216" t="s">
        <v>61</v>
      </c>
      <c r="O1216" s="3" t="s">
        <v>28</v>
      </c>
      <c r="P1216" t="s">
        <v>29</v>
      </c>
      <c r="Q1216" t="s">
        <v>30</v>
      </c>
      <c r="R1216">
        <v>3</v>
      </c>
      <c r="S1216" t="s">
        <v>31</v>
      </c>
      <c r="T1216" s="4">
        <f t="shared" si="93"/>
        <v>53824.83</v>
      </c>
      <c r="U1216" s="4" t="str">
        <f t="shared" si="94"/>
        <v>Average</v>
      </c>
      <c r="V1216" s="4" t="str">
        <f t="shared" si="95"/>
        <v>Average</v>
      </c>
      <c r="W1216" s="4"/>
      <c r="X1216" s="4"/>
      <c r="AJ1216" s="4"/>
    </row>
    <row r="1217" spans="1:36">
      <c r="A1217" t="str">
        <f t="shared" si="91"/>
        <v>Gita531216</v>
      </c>
      <c r="B1217">
        <v>1216</v>
      </c>
      <c r="C1217">
        <v>21</v>
      </c>
      <c r="D1217">
        <v>9</v>
      </c>
      <c r="E1217">
        <v>2022</v>
      </c>
      <c r="F1217" s="1">
        <f t="shared" si="92"/>
        <v>44825</v>
      </c>
      <c r="G1217" s="1" t="s">
        <v>770</v>
      </c>
      <c r="H1217" s="2">
        <v>45693</v>
      </c>
      <c r="I1217" t="s">
        <v>26</v>
      </c>
      <c r="J1217">
        <v>7</v>
      </c>
      <c r="K1217">
        <v>37195.699999999997</v>
      </c>
      <c r="L1217" t="s">
        <v>795</v>
      </c>
      <c r="M1217">
        <v>53</v>
      </c>
      <c r="N1217" t="s">
        <v>61</v>
      </c>
      <c r="O1217" s="3" t="s">
        <v>22</v>
      </c>
      <c r="P1217" t="s">
        <v>93</v>
      </c>
      <c r="Q1217" t="s">
        <v>30</v>
      </c>
      <c r="R1217">
        <v>5</v>
      </c>
      <c r="S1217" t="s">
        <v>31</v>
      </c>
      <c r="T1217" s="4">
        <f t="shared" si="93"/>
        <v>260369.89999999997</v>
      </c>
      <c r="U1217" s="4" t="str">
        <f t="shared" si="94"/>
        <v>Good</v>
      </c>
      <c r="V1217" s="4" t="str">
        <f t="shared" si="95"/>
        <v>Excellent</v>
      </c>
      <c r="W1217" s="4"/>
      <c r="X1217" s="4"/>
      <c r="AJ1217" s="4"/>
    </row>
    <row r="1218" spans="1:36">
      <c r="A1218" t="str">
        <f t="shared" ref="A1218:A1281" si="96">LEFT(L1218,4)&amp;M1218&amp;B1218</f>
        <v>Raje531217</v>
      </c>
      <c r="B1218">
        <v>1217</v>
      </c>
      <c r="C1218">
        <v>21</v>
      </c>
      <c r="D1218">
        <v>9</v>
      </c>
      <c r="E1218">
        <v>2022</v>
      </c>
      <c r="F1218" s="1">
        <f t="shared" si="92"/>
        <v>44825</v>
      </c>
      <c r="G1218" s="1" t="s">
        <v>770</v>
      </c>
      <c r="H1218" s="2">
        <v>45694</v>
      </c>
      <c r="I1218" t="s">
        <v>49</v>
      </c>
      <c r="J1218">
        <v>2</v>
      </c>
      <c r="K1218">
        <v>51059.72</v>
      </c>
      <c r="L1218" t="s">
        <v>544</v>
      </c>
      <c r="M1218">
        <v>53</v>
      </c>
      <c r="N1218" t="s">
        <v>61</v>
      </c>
      <c r="O1218" s="3" t="s">
        <v>55</v>
      </c>
      <c r="P1218" t="s">
        <v>150</v>
      </c>
      <c r="Q1218" t="s">
        <v>41</v>
      </c>
      <c r="R1218">
        <v>1</v>
      </c>
      <c r="S1218" t="s">
        <v>102</v>
      </c>
      <c r="T1218" s="4">
        <f t="shared" si="93"/>
        <v>102119.44</v>
      </c>
      <c r="U1218" s="4" t="str">
        <f t="shared" si="94"/>
        <v>Average</v>
      </c>
      <c r="V1218" s="4" t="str">
        <f t="shared" si="95"/>
        <v>Good</v>
      </c>
      <c r="W1218" s="4"/>
      <c r="X1218" s="4"/>
      <c r="AJ1218" s="4"/>
    </row>
    <row r="1219" spans="1:36">
      <c r="A1219" t="str">
        <f t="shared" si="96"/>
        <v>Pank381218</v>
      </c>
      <c r="B1219">
        <v>1218</v>
      </c>
      <c r="C1219">
        <v>21</v>
      </c>
      <c r="D1219">
        <v>9</v>
      </c>
      <c r="E1219">
        <v>2022</v>
      </c>
      <c r="F1219" s="1">
        <f t="shared" ref="F1219:F1282" si="97">DATE(E1219,D1219,C1219)</f>
        <v>44825</v>
      </c>
      <c r="G1219" s="1" t="s">
        <v>770</v>
      </c>
      <c r="H1219" s="2">
        <v>45695</v>
      </c>
      <c r="I1219" t="s">
        <v>49</v>
      </c>
      <c r="J1219">
        <v>4</v>
      </c>
      <c r="K1219">
        <v>31594.84</v>
      </c>
      <c r="L1219" t="s">
        <v>796</v>
      </c>
      <c r="M1219">
        <v>38</v>
      </c>
      <c r="N1219" t="s">
        <v>21</v>
      </c>
      <c r="O1219" s="3" t="s">
        <v>55</v>
      </c>
      <c r="P1219" t="s">
        <v>40</v>
      </c>
      <c r="Q1219" t="s">
        <v>24</v>
      </c>
      <c r="R1219">
        <v>1</v>
      </c>
      <c r="S1219" t="s">
        <v>88</v>
      </c>
      <c r="T1219" s="4">
        <f t="shared" ref="T1219:T1282" si="98">J1219*K1219</f>
        <v>126379.36</v>
      </c>
      <c r="U1219" s="4" t="str">
        <f t="shared" ref="U1219:U1282" si="99">IF(R1219&gt;=4,"Good","Average")</f>
        <v>Average</v>
      </c>
      <c r="V1219" s="4" t="str">
        <f t="shared" ref="V1219:V1282" si="100">IF(T1219&gt;200000,"Excellent",IF(T1219&gt;100000,"Good",IF(T1219&gt;50000,"Average","Low")))</f>
        <v>Good</v>
      </c>
      <c r="W1219" s="4"/>
      <c r="X1219" s="4"/>
      <c r="AJ1219" s="4"/>
    </row>
    <row r="1220" spans="1:36">
      <c r="A1220" t="str">
        <f t="shared" si="96"/>
        <v>Suni491219</v>
      </c>
      <c r="B1220">
        <v>1219</v>
      </c>
      <c r="C1220">
        <v>22</v>
      </c>
      <c r="D1220">
        <v>9</v>
      </c>
      <c r="E1220">
        <v>2022</v>
      </c>
      <c r="F1220" s="1">
        <f t="shared" si="97"/>
        <v>44826</v>
      </c>
      <c r="G1220" s="1" t="s">
        <v>770</v>
      </c>
      <c r="H1220" s="2">
        <v>45696</v>
      </c>
      <c r="I1220" t="s">
        <v>26</v>
      </c>
      <c r="J1220">
        <v>5</v>
      </c>
      <c r="K1220">
        <v>50068.37</v>
      </c>
      <c r="L1220" t="s">
        <v>270</v>
      </c>
      <c r="M1220">
        <v>49</v>
      </c>
      <c r="N1220" t="s">
        <v>61</v>
      </c>
      <c r="O1220" s="3" t="s">
        <v>55</v>
      </c>
      <c r="P1220" t="s">
        <v>64</v>
      </c>
      <c r="Q1220" t="s">
        <v>56</v>
      </c>
      <c r="R1220">
        <v>1</v>
      </c>
      <c r="S1220" t="s">
        <v>34</v>
      </c>
      <c r="T1220" s="4">
        <f t="shared" si="98"/>
        <v>250341.85</v>
      </c>
      <c r="U1220" s="4" t="str">
        <f t="shared" si="99"/>
        <v>Average</v>
      </c>
      <c r="V1220" s="4" t="str">
        <f t="shared" si="100"/>
        <v>Excellent</v>
      </c>
      <c r="W1220" s="4"/>
      <c r="X1220" s="4"/>
      <c r="AJ1220" s="4"/>
    </row>
    <row r="1221" spans="1:36">
      <c r="A1221" t="str">
        <f t="shared" si="96"/>
        <v>Mano481220</v>
      </c>
      <c r="B1221">
        <v>1220</v>
      </c>
      <c r="C1221">
        <v>22</v>
      </c>
      <c r="D1221">
        <v>9</v>
      </c>
      <c r="E1221">
        <v>2022</v>
      </c>
      <c r="F1221" s="1">
        <f t="shared" si="97"/>
        <v>44826</v>
      </c>
      <c r="G1221" s="1" t="s">
        <v>770</v>
      </c>
      <c r="H1221" s="2">
        <v>45697</v>
      </c>
      <c r="I1221" t="s">
        <v>49</v>
      </c>
      <c r="J1221">
        <v>7</v>
      </c>
      <c r="K1221">
        <v>12435.76</v>
      </c>
      <c r="L1221" t="s">
        <v>797</v>
      </c>
      <c r="M1221">
        <v>48</v>
      </c>
      <c r="N1221" t="s">
        <v>61</v>
      </c>
      <c r="O1221" s="3" t="s">
        <v>22</v>
      </c>
      <c r="P1221" t="s">
        <v>117</v>
      </c>
      <c r="Q1221" t="s">
        <v>41</v>
      </c>
      <c r="R1221">
        <v>4</v>
      </c>
      <c r="S1221" t="s">
        <v>52</v>
      </c>
      <c r="T1221" s="4">
        <f t="shared" si="98"/>
        <v>87050.32</v>
      </c>
      <c r="U1221" s="4" t="str">
        <f t="shared" si="99"/>
        <v>Good</v>
      </c>
      <c r="V1221" s="4" t="str">
        <f t="shared" si="100"/>
        <v>Average</v>
      </c>
      <c r="W1221" s="4"/>
      <c r="X1221" s="4"/>
      <c r="AJ1221" s="4"/>
    </row>
    <row r="1222" spans="1:36">
      <c r="A1222" t="str">
        <f t="shared" si="96"/>
        <v>Tapa541221</v>
      </c>
      <c r="B1222">
        <v>1221</v>
      </c>
      <c r="C1222">
        <v>22</v>
      </c>
      <c r="D1222">
        <v>9</v>
      </c>
      <c r="E1222">
        <v>2022</v>
      </c>
      <c r="F1222" s="1">
        <f t="shared" si="97"/>
        <v>44826</v>
      </c>
      <c r="G1222" s="1" t="s">
        <v>770</v>
      </c>
      <c r="H1222" s="2">
        <v>45698</v>
      </c>
      <c r="I1222" t="s">
        <v>38</v>
      </c>
      <c r="J1222">
        <v>2</v>
      </c>
      <c r="K1222">
        <v>33445.18</v>
      </c>
      <c r="L1222" t="s">
        <v>414</v>
      </c>
      <c r="M1222">
        <v>54</v>
      </c>
      <c r="N1222" t="s">
        <v>61</v>
      </c>
      <c r="O1222" s="3" t="s">
        <v>22</v>
      </c>
      <c r="P1222" t="s">
        <v>51</v>
      </c>
      <c r="Q1222" t="s">
        <v>56</v>
      </c>
      <c r="R1222">
        <v>4</v>
      </c>
      <c r="S1222" t="s">
        <v>48</v>
      </c>
      <c r="T1222" s="4">
        <f t="shared" si="98"/>
        <v>66890.36</v>
      </c>
      <c r="U1222" s="4" t="str">
        <f t="shared" si="99"/>
        <v>Good</v>
      </c>
      <c r="V1222" s="4" t="str">
        <f t="shared" si="100"/>
        <v>Average</v>
      </c>
      <c r="W1222" s="4"/>
      <c r="X1222" s="4"/>
      <c r="AJ1222" s="4"/>
    </row>
    <row r="1223" spans="1:36">
      <c r="A1223" t="str">
        <f t="shared" si="96"/>
        <v>Mano331222</v>
      </c>
      <c r="B1223">
        <v>1222</v>
      </c>
      <c r="C1223">
        <v>22</v>
      </c>
      <c r="D1223">
        <v>9</v>
      </c>
      <c r="E1223">
        <v>2022</v>
      </c>
      <c r="F1223" s="1">
        <f t="shared" si="97"/>
        <v>44826</v>
      </c>
      <c r="G1223" s="1" t="s">
        <v>770</v>
      </c>
      <c r="H1223" s="2">
        <v>45699</v>
      </c>
      <c r="I1223" t="s">
        <v>43</v>
      </c>
      <c r="J1223">
        <v>6</v>
      </c>
      <c r="K1223">
        <v>57450.98</v>
      </c>
      <c r="L1223" t="s">
        <v>798</v>
      </c>
      <c r="M1223">
        <v>33</v>
      </c>
      <c r="N1223" t="s">
        <v>21</v>
      </c>
      <c r="O1223" s="3" t="s">
        <v>55</v>
      </c>
      <c r="P1223" t="s">
        <v>40</v>
      </c>
      <c r="Q1223" t="s">
        <v>30</v>
      </c>
      <c r="R1223">
        <v>1</v>
      </c>
      <c r="S1223" t="s">
        <v>95</v>
      </c>
      <c r="T1223" s="4">
        <f t="shared" si="98"/>
        <v>344705.88</v>
      </c>
      <c r="U1223" s="4" t="str">
        <f t="shared" si="99"/>
        <v>Average</v>
      </c>
      <c r="V1223" s="4" t="str">
        <f t="shared" si="100"/>
        <v>Excellent</v>
      </c>
      <c r="W1223" s="4"/>
      <c r="X1223" s="4"/>
      <c r="AJ1223" s="4"/>
    </row>
    <row r="1224" spans="1:36">
      <c r="A1224" t="str">
        <f t="shared" si="96"/>
        <v>Pras311223</v>
      </c>
      <c r="B1224">
        <v>1223</v>
      </c>
      <c r="C1224">
        <v>23</v>
      </c>
      <c r="D1224">
        <v>9</v>
      </c>
      <c r="E1224">
        <v>2022</v>
      </c>
      <c r="F1224" s="1">
        <f t="shared" si="97"/>
        <v>44827</v>
      </c>
      <c r="G1224" s="1" t="s">
        <v>770</v>
      </c>
      <c r="H1224" s="2">
        <v>45700</v>
      </c>
      <c r="I1224" t="s">
        <v>38</v>
      </c>
      <c r="J1224">
        <v>1</v>
      </c>
      <c r="K1224">
        <v>58180.36</v>
      </c>
      <c r="L1224" t="s">
        <v>637</v>
      </c>
      <c r="M1224">
        <v>31</v>
      </c>
      <c r="N1224" t="s">
        <v>21</v>
      </c>
      <c r="O1224" s="3" t="s">
        <v>22</v>
      </c>
      <c r="P1224" t="s">
        <v>117</v>
      </c>
      <c r="Q1224" t="s">
        <v>56</v>
      </c>
      <c r="R1224">
        <v>5</v>
      </c>
      <c r="S1224" t="s">
        <v>48</v>
      </c>
      <c r="T1224" s="4">
        <f t="shared" si="98"/>
        <v>58180.36</v>
      </c>
      <c r="U1224" s="4" t="str">
        <f t="shared" si="99"/>
        <v>Good</v>
      </c>
      <c r="V1224" s="4" t="str">
        <f t="shared" si="100"/>
        <v>Average</v>
      </c>
      <c r="W1224" s="4"/>
      <c r="X1224" s="4"/>
      <c r="AJ1224" s="4"/>
    </row>
    <row r="1225" spans="1:36">
      <c r="A1225" t="str">
        <f t="shared" si="96"/>
        <v>Jyot411224</v>
      </c>
      <c r="B1225">
        <v>1224</v>
      </c>
      <c r="C1225">
        <v>23</v>
      </c>
      <c r="D1225">
        <v>9</v>
      </c>
      <c r="E1225">
        <v>2022</v>
      </c>
      <c r="F1225" s="1">
        <f t="shared" si="97"/>
        <v>44827</v>
      </c>
      <c r="G1225" s="1" t="s">
        <v>770</v>
      </c>
      <c r="H1225" s="2">
        <v>45701</v>
      </c>
      <c r="I1225" t="s">
        <v>26</v>
      </c>
      <c r="J1225">
        <v>7</v>
      </c>
      <c r="K1225">
        <v>52968.93</v>
      </c>
      <c r="L1225" t="s">
        <v>281</v>
      </c>
      <c r="M1225">
        <v>41</v>
      </c>
      <c r="N1225" t="s">
        <v>21</v>
      </c>
      <c r="O1225" s="3" t="s">
        <v>55</v>
      </c>
      <c r="P1225" t="s">
        <v>70</v>
      </c>
      <c r="Q1225" t="s">
        <v>30</v>
      </c>
      <c r="R1225">
        <v>1</v>
      </c>
      <c r="S1225" t="s">
        <v>31</v>
      </c>
      <c r="T1225" s="4">
        <f t="shared" si="98"/>
        <v>370782.51</v>
      </c>
      <c r="U1225" s="4" t="str">
        <f t="shared" si="99"/>
        <v>Average</v>
      </c>
      <c r="V1225" s="4" t="str">
        <f t="shared" si="100"/>
        <v>Excellent</v>
      </c>
      <c r="W1225" s="4"/>
      <c r="X1225" s="4"/>
      <c r="AJ1225" s="4"/>
    </row>
    <row r="1226" spans="1:36">
      <c r="A1226" t="str">
        <f t="shared" si="96"/>
        <v>Lali421225</v>
      </c>
      <c r="B1226">
        <v>1225</v>
      </c>
      <c r="C1226">
        <v>23</v>
      </c>
      <c r="D1226">
        <v>9</v>
      </c>
      <c r="E1226">
        <v>2022</v>
      </c>
      <c r="F1226" s="1">
        <f t="shared" si="97"/>
        <v>44827</v>
      </c>
      <c r="G1226" s="1" t="s">
        <v>770</v>
      </c>
      <c r="H1226" s="2">
        <v>45702</v>
      </c>
      <c r="I1226" t="s">
        <v>26</v>
      </c>
      <c r="J1226">
        <v>9</v>
      </c>
      <c r="K1226">
        <v>22254.32</v>
      </c>
      <c r="L1226" t="s">
        <v>583</v>
      </c>
      <c r="M1226">
        <v>42</v>
      </c>
      <c r="N1226" t="s">
        <v>21</v>
      </c>
      <c r="O1226" s="3" t="s">
        <v>55</v>
      </c>
      <c r="P1226" t="s">
        <v>64</v>
      </c>
      <c r="Q1226" t="s">
        <v>56</v>
      </c>
      <c r="R1226">
        <v>1</v>
      </c>
      <c r="S1226" t="s">
        <v>34</v>
      </c>
      <c r="T1226" s="4">
        <f t="shared" si="98"/>
        <v>200288.88</v>
      </c>
      <c r="U1226" s="4" t="str">
        <f t="shared" si="99"/>
        <v>Average</v>
      </c>
      <c r="V1226" s="4" t="str">
        <f t="shared" si="100"/>
        <v>Excellent</v>
      </c>
      <c r="W1226" s="4"/>
      <c r="X1226" s="4"/>
      <c r="AJ1226" s="4"/>
    </row>
    <row r="1227" spans="1:36">
      <c r="A1227" t="str">
        <f t="shared" si="96"/>
        <v>Vive521226</v>
      </c>
      <c r="B1227">
        <v>1226</v>
      </c>
      <c r="C1227">
        <v>24</v>
      </c>
      <c r="D1227">
        <v>9</v>
      </c>
      <c r="E1227">
        <v>2022</v>
      </c>
      <c r="F1227" s="1">
        <f t="shared" si="97"/>
        <v>44828</v>
      </c>
      <c r="G1227" s="1" t="s">
        <v>770</v>
      </c>
      <c r="H1227" s="2">
        <v>45703</v>
      </c>
      <c r="I1227" t="s">
        <v>38</v>
      </c>
      <c r="J1227">
        <v>5</v>
      </c>
      <c r="K1227">
        <v>24832.31</v>
      </c>
      <c r="L1227" t="s">
        <v>334</v>
      </c>
      <c r="M1227">
        <v>52</v>
      </c>
      <c r="N1227" t="s">
        <v>61</v>
      </c>
      <c r="O1227" s="3" t="s">
        <v>28</v>
      </c>
      <c r="P1227" t="s">
        <v>110</v>
      </c>
      <c r="Q1227" t="s">
        <v>56</v>
      </c>
      <c r="R1227">
        <v>3</v>
      </c>
      <c r="S1227" t="s">
        <v>99</v>
      </c>
      <c r="T1227" s="4">
        <f t="shared" si="98"/>
        <v>124161.55</v>
      </c>
      <c r="U1227" s="4" t="str">
        <f t="shared" si="99"/>
        <v>Average</v>
      </c>
      <c r="V1227" s="4" t="str">
        <f t="shared" si="100"/>
        <v>Good</v>
      </c>
      <c r="W1227" s="4"/>
      <c r="X1227" s="4"/>
      <c r="AJ1227" s="4"/>
    </row>
    <row r="1228" spans="1:36">
      <c r="A1228" t="str">
        <f t="shared" si="96"/>
        <v>Sumi341227</v>
      </c>
      <c r="B1228">
        <v>1227</v>
      </c>
      <c r="C1228">
        <v>24</v>
      </c>
      <c r="D1228">
        <v>9</v>
      </c>
      <c r="E1228">
        <v>2022</v>
      </c>
      <c r="F1228" s="1">
        <f t="shared" si="97"/>
        <v>44828</v>
      </c>
      <c r="G1228" s="1" t="s">
        <v>770</v>
      </c>
      <c r="H1228" s="2">
        <v>45704</v>
      </c>
      <c r="I1228" t="s">
        <v>49</v>
      </c>
      <c r="J1228">
        <v>5</v>
      </c>
      <c r="K1228">
        <v>69765.320000000007</v>
      </c>
      <c r="L1228" t="s">
        <v>256</v>
      </c>
      <c r="M1228">
        <v>34</v>
      </c>
      <c r="N1228" t="s">
        <v>21</v>
      </c>
      <c r="O1228" s="3" t="s">
        <v>28</v>
      </c>
      <c r="P1228" t="s">
        <v>59</v>
      </c>
      <c r="Q1228" t="s">
        <v>24</v>
      </c>
      <c r="R1228">
        <v>3</v>
      </c>
      <c r="S1228" t="s">
        <v>88</v>
      </c>
      <c r="T1228" s="4">
        <f t="shared" si="98"/>
        <v>348826.60000000003</v>
      </c>
      <c r="U1228" s="4" t="str">
        <f t="shared" si="99"/>
        <v>Average</v>
      </c>
      <c r="V1228" s="4" t="str">
        <f t="shared" si="100"/>
        <v>Excellent</v>
      </c>
      <c r="W1228" s="4"/>
      <c r="X1228" s="4"/>
      <c r="AJ1228" s="4"/>
    </row>
    <row r="1229" spans="1:36">
      <c r="A1229" t="str">
        <f t="shared" si="96"/>
        <v>Anja591228</v>
      </c>
      <c r="B1229">
        <v>1228</v>
      </c>
      <c r="C1229">
        <v>24</v>
      </c>
      <c r="D1229">
        <v>9</v>
      </c>
      <c r="E1229">
        <v>2022</v>
      </c>
      <c r="F1229" s="1">
        <f t="shared" si="97"/>
        <v>44828</v>
      </c>
      <c r="G1229" s="1" t="s">
        <v>770</v>
      </c>
      <c r="H1229" s="2">
        <v>45705</v>
      </c>
      <c r="I1229" t="s">
        <v>49</v>
      </c>
      <c r="J1229">
        <v>4</v>
      </c>
      <c r="K1229">
        <v>16202.68</v>
      </c>
      <c r="L1229" t="s">
        <v>799</v>
      </c>
      <c r="M1229">
        <v>59</v>
      </c>
      <c r="N1229" t="s">
        <v>61</v>
      </c>
      <c r="O1229" s="3" t="s">
        <v>28</v>
      </c>
      <c r="P1229" t="s">
        <v>64</v>
      </c>
      <c r="Q1229" t="s">
        <v>56</v>
      </c>
      <c r="R1229">
        <v>3</v>
      </c>
      <c r="S1229" t="s">
        <v>52</v>
      </c>
      <c r="T1229" s="4">
        <f t="shared" si="98"/>
        <v>64810.720000000001</v>
      </c>
      <c r="U1229" s="4" t="str">
        <f t="shared" si="99"/>
        <v>Average</v>
      </c>
      <c r="V1229" s="4" t="str">
        <f t="shared" si="100"/>
        <v>Average</v>
      </c>
      <c r="W1229" s="4"/>
      <c r="X1229" s="4"/>
      <c r="AJ1229" s="4"/>
    </row>
    <row r="1230" spans="1:36">
      <c r="A1230" t="str">
        <f t="shared" si="96"/>
        <v>Lata211229</v>
      </c>
      <c r="B1230">
        <v>1229</v>
      </c>
      <c r="C1230">
        <v>24</v>
      </c>
      <c r="D1230">
        <v>9</v>
      </c>
      <c r="E1230">
        <v>2022</v>
      </c>
      <c r="F1230" s="1">
        <f t="shared" si="97"/>
        <v>44828</v>
      </c>
      <c r="G1230" s="1" t="s">
        <v>770</v>
      </c>
      <c r="H1230" s="2">
        <v>45706</v>
      </c>
      <c r="I1230" t="s">
        <v>26</v>
      </c>
      <c r="J1230">
        <v>3</v>
      </c>
      <c r="K1230">
        <v>20839.759999999998</v>
      </c>
      <c r="L1230" t="s">
        <v>238</v>
      </c>
      <c r="M1230">
        <v>21</v>
      </c>
      <c r="N1230" t="s">
        <v>36</v>
      </c>
      <c r="O1230" s="3" t="s">
        <v>22</v>
      </c>
      <c r="P1230" t="s">
        <v>117</v>
      </c>
      <c r="Q1230" t="s">
        <v>41</v>
      </c>
      <c r="R1230">
        <v>5</v>
      </c>
      <c r="S1230" t="s">
        <v>34</v>
      </c>
      <c r="T1230" s="4">
        <f t="shared" si="98"/>
        <v>62519.28</v>
      </c>
      <c r="U1230" s="4" t="str">
        <f t="shared" si="99"/>
        <v>Good</v>
      </c>
      <c r="V1230" s="4" t="str">
        <f t="shared" si="100"/>
        <v>Average</v>
      </c>
      <c r="W1230" s="4"/>
      <c r="X1230" s="4"/>
      <c r="AJ1230" s="4"/>
    </row>
    <row r="1231" spans="1:36">
      <c r="A1231" t="str">
        <f t="shared" si="96"/>
        <v>Ayes281230</v>
      </c>
      <c r="B1231">
        <v>1230</v>
      </c>
      <c r="C1231">
        <v>25</v>
      </c>
      <c r="D1231">
        <v>9</v>
      </c>
      <c r="E1231">
        <v>2022</v>
      </c>
      <c r="F1231" s="1">
        <f t="shared" si="97"/>
        <v>44829</v>
      </c>
      <c r="G1231" s="1" t="s">
        <v>770</v>
      </c>
      <c r="H1231" s="2">
        <v>45707</v>
      </c>
      <c r="I1231" t="s">
        <v>19</v>
      </c>
      <c r="J1231">
        <v>9</v>
      </c>
      <c r="K1231">
        <v>17801.580000000002</v>
      </c>
      <c r="L1231" t="s">
        <v>546</v>
      </c>
      <c r="M1231">
        <v>28</v>
      </c>
      <c r="N1231" t="s">
        <v>36</v>
      </c>
      <c r="O1231" s="3" t="s">
        <v>28</v>
      </c>
      <c r="P1231" t="s">
        <v>132</v>
      </c>
      <c r="Q1231" t="s">
        <v>24</v>
      </c>
      <c r="R1231">
        <v>3</v>
      </c>
      <c r="S1231" t="s">
        <v>37</v>
      </c>
      <c r="T1231" s="4">
        <f t="shared" si="98"/>
        <v>160214.22000000003</v>
      </c>
      <c r="U1231" s="4" t="str">
        <f t="shared" si="99"/>
        <v>Average</v>
      </c>
      <c r="V1231" s="4" t="str">
        <f t="shared" si="100"/>
        <v>Good</v>
      </c>
      <c r="W1231" s="4"/>
      <c r="X1231" s="4"/>
      <c r="AJ1231" s="4"/>
    </row>
    <row r="1232" spans="1:36">
      <c r="A1232" t="str">
        <f t="shared" si="96"/>
        <v>Vino321231</v>
      </c>
      <c r="B1232">
        <v>1231</v>
      </c>
      <c r="C1232">
        <v>25</v>
      </c>
      <c r="D1232">
        <v>9</v>
      </c>
      <c r="E1232">
        <v>2022</v>
      </c>
      <c r="F1232" s="1">
        <f t="shared" si="97"/>
        <v>44829</v>
      </c>
      <c r="G1232" s="1" t="s">
        <v>770</v>
      </c>
      <c r="H1232" s="2">
        <v>45708</v>
      </c>
      <c r="I1232" t="s">
        <v>49</v>
      </c>
      <c r="J1232">
        <v>5</v>
      </c>
      <c r="K1232">
        <v>29659.3</v>
      </c>
      <c r="L1232" t="s">
        <v>448</v>
      </c>
      <c r="M1232">
        <v>32</v>
      </c>
      <c r="N1232" t="s">
        <v>21</v>
      </c>
      <c r="O1232" s="3" t="s">
        <v>28</v>
      </c>
      <c r="P1232" t="s">
        <v>29</v>
      </c>
      <c r="Q1232" t="s">
        <v>41</v>
      </c>
      <c r="R1232">
        <v>3</v>
      </c>
      <c r="S1232" t="s">
        <v>88</v>
      </c>
      <c r="T1232" s="4">
        <f t="shared" si="98"/>
        <v>148296.5</v>
      </c>
      <c r="U1232" s="4" t="str">
        <f t="shared" si="99"/>
        <v>Average</v>
      </c>
      <c r="V1232" s="4" t="str">
        <f t="shared" si="100"/>
        <v>Good</v>
      </c>
      <c r="W1232" s="4"/>
      <c r="X1232" s="4"/>
      <c r="AJ1232" s="4"/>
    </row>
    <row r="1233" spans="1:36">
      <c r="A1233" t="str">
        <f t="shared" si="96"/>
        <v>Umes471232</v>
      </c>
      <c r="B1233">
        <v>1232</v>
      </c>
      <c r="C1233">
        <v>25</v>
      </c>
      <c r="D1233">
        <v>9</v>
      </c>
      <c r="E1233">
        <v>2022</v>
      </c>
      <c r="F1233" s="1">
        <f t="shared" si="97"/>
        <v>44829</v>
      </c>
      <c r="G1233" s="1" t="s">
        <v>770</v>
      </c>
      <c r="H1233" s="2">
        <v>45709</v>
      </c>
      <c r="I1233" t="s">
        <v>38</v>
      </c>
      <c r="J1233">
        <v>8</v>
      </c>
      <c r="K1233">
        <v>22610.55</v>
      </c>
      <c r="L1233" t="s">
        <v>253</v>
      </c>
      <c r="M1233">
        <v>47</v>
      </c>
      <c r="N1233" t="s">
        <v>61</v>
      </c>
      <c r="O1233" s="3" t="s">
        <v>22</v>
      </c>
      <c r="P1233" t="s">
        <v>29</v>
      </c>
      <c r="Q1233" t="s">
        <v>56</v>
      </c>
      <c r="R1233">
        <v>5</v>
      </c>
      <c r="S1233" t="s">
        <v>42</v>
      </c>
      <c r="T1233" s="4">
        <f t="shared" si="98"/>
        <v>180884.4</v>
      </c>
      <c r="U1233" s="4" t="str">
        <f t="shared" si="99"/>
        <v>Good</v>
      </c>
      <c r="V1233" s="4" t="str">
        <f t="shared" si="100"/>
        <v>Good</v>
      </c>
      <c r="W1233" s="4"/>
      <c r="X1233" s="4"/>
      <c r="AJ1233" s="4"/>
    </row>
    <row r="1234" spans="1:36">
      <c r="A1234" t="str">
        <f t="shared" si="96"/>
        <v>Radh411233</v>
      </c>
      <c r="B1234">
        <v>1233</v>
      </c>
      <c r="C1234">
        <v>26</v>
      </c>
      <c r="D1234">
        <v>9</v>
      </c>
      <c r="E1234">
        <v>2022</v>
      </c>
      <c r="F1234" s="1">
        <f t="shared" si="97"/>
        <v>44830</v>
      </c>
      <c r="G1234" s="1" t="s">
        <v>770</v>
      </c>
      <c r="H1234" s="2">
        <v>45710</v>
      </c>
      <c r="I1234" t="s">
        <v>49</v>
      </c>
      <c r="J1234">
        <v>9</v>
      </c>
      <c r="K1234">
        <v>39861.279999999999</v>
      </c>
      <c r="L1234" t="s">
        <v>391</v>
      </c>
      <c r="M1234">
        <v>41</v>
      </c>
      <c r="N1234" t="s">
        <v>21</v>
      </c>
      <c r="O1234" s="3" t="s">
        <v>22</v>
      </c>
      <c r="P1234" t="s">
        <v>132</v>
      </c>
      <c r="Q1234" t="s">
        <v>56</v>
      </c>
      <c r="R1234">
        <v>4</v>
      </c>
      <c r="S1234" t="s">
        <v>52</v>
      </c>
      <c r="T1234" s="4">
        <f t="shared" si="98"/>
        <v>358751.52</v>
      </c>
      <c r="U1234" s="4" t="str">
        <f t="shared" si="99"/>
        <v>Good</v>
      </c>
      <c r="V1234" s="4" t="str">
        <f t="shared" si="100"/>
        <v>Excellent</v>
      </c>
      <c r="W1234" s="4"/>
      <c r="X1234" s="4"/>
      <c r="AJ1234" s="4"/>
    </row>
    <row r="1235" spans="1:36">
      <c r="A1235" t="str">
        <f t="shared" si="96"/>
        <v>Lata191234</v>
      </c>
      <c r="B1235">
        <v>1234</v>
      </c>
      <c r="C1235">
        <v>26</v>
      </c>
      <c r="D1235">
        <v>9</v>
      </c>
      <c r="E1235">
        <v>2022</v>
      </c>
      <c r="F1235" s="1">
        <f t="shared" si="97"/>
        <v>44830</v>
      </c>
      <c r="G1235" s="1" t="s">
        <v>770</v>
      </c>
      <c r="H1235" s="2">
        <v>45711</v>
      </c>
      <c r="I1235" t="s">
        <v>38</v>
      </c>
      <c r="J1235">
        <v>5</v>
      </c>
      <c r="K1235">
        <v>38561.24</v>
      </c>
      <c r="L1235" t="s">
        <v>800</v>
      </c>
      <c r="M1235">
        <v>19</v>
      </c>
      <c r="N1235" t="s">
        <v>36</v>
      </c>
      <c r="O1235" s="3" t="s">
        <v>22</v>
      </c>
      <c r="P1235" t="s">
        <v>77</v>
      </c>
      <c r="Q1235" t="s">
        <v>24</v>
      </c>
      <c r="R1235">
        <v>4</v>
      </c>
      <c r="S1235" t="s">
        <v>42</v>
      </c>
      <c r="T1235" s="4">
        <f t="shared" si="98"/>
        <v>192806.19999999998</v>
      </c>
      <c r="U1235" s="4" t="str">
        <f t="shared" si="99"/>
        <v>Good</v>
      </c>
      <c r="V1235" s="4" t="str">
        <f t="shared" si="100"/>
        <v>Good</v>
      </c>
      <c r="W1235" s="4"/>
      <c r="X1235" s="4"/>
      <c r="AJ1235" s="4"/>
    </row>
    <row r="1236" spans="1:36">
      <c r="A1236" t="str">
        <f t="shared" si="96"/>
        <v>Vive511235</v>
      </c>
      <c r="B1236">
        <v>1235</v>
      </c>
      <c r="C1236">
        <v>26</v>
      </c>
      <c r="D1236">
        <v>9</v>
      </c>
      <c r="E1236">
        <v>2022</v>
      </c>
      <c r="F1236" s="1">
        <f t="shared" si="97"/>
        <v>44830</v>
      </c>
      <c r="G1236" s="1" t="s">
        <v>770</v>
      </c>
      <c r="H1236" s="2">
        <v>45712</v>
      </c>
      <c r="I1236" t="s">
        <v>26</v>
      </c>
      <c r="J1236">
        <v>9</v>
      </c>
      <c r="K1236">
        <v>64090.34</v>
      </c>
      <c r="L1236" t="s">
        <v>801</v>
      </c>
      <c r="M1236">
        <v>51</v>
      </c>
      <c r="N1236" t="s">
        <v>61</v>
      </c>
      <c r="O1236" s="3" t="s">
        <v>22</v>
      </c>
      <c r="P1236" t="s">
        <v>33</v>
      </c>
      <c r="Q1236" t="s">
        <v>30</v>
      </c>
      <c r="R1236">
        <v>4</v>
      </c>
      <c r="S1236" t="s">
        <v>67</v>
      </c>
      <c r="T1236" s="4">
        <f t="shared" si="98"/>
        <v>576813.05999999994</v>
      </c>
      <c r="U1236" s="4" t="str">
        <f t="shared" si="99"/>
        <v>Good</v>
      </c>
      <c r="V1236" s="4" t="str">
        <f t="shared" si="100"/>
        <v>Excellent</v>
      </c>
      <c r="W1236" s="4"/>
      <c r="X1236" s="4"/>
      <c r="AJ1236" s="4"/>
    </row>
    <row r="1237" spans="1:36">
      <c r="A1237" t="str">
        <f t="shared" si="96"/>
        <v>Bhav401236</v>
      </c>
      <c r="B1237">
        <v>1236</v>
      </c>
      <c r="C1237">
        <v>27</v>
      </c>
      <c r="D1237">
        <v>9</v>
      </c>
      <c r="E1237">
        <v>2022</v>
      </c>
      <c r="F1237" s="1">
        <f t="shared" si="97"/>
        <v>44831</v>
      </c>
      <c r="G1237" s="1" t="s">
        <v>770</v>
      </c>
      <c r="H1237" s="2">
        <v>45713</v>
      </c>
      <c r="I1237" t="s">
        <v>49</v>
      </c>
      <c r="J1237">
        <v>2</v>
      </c>
      <c r="K1237">
        <v>12084.4</v>
      </c>
      <c r="L1237" t="s">
        <v>283</v>
      </c>
      <c r="M1237">
        <v>40</v>
      </c>
      <c r="N1237" t="s">
        <v>21</v>
      </c>
      <c r="O1237" s="3" t="s">
        <v>22</v>
      </c>
      <c r="P1237" t="s">
        <v>29</v>
      </c>
      <c r="Q1237" t="s">
        <v>24</v>
      </c>
      <c r="R1237">
        <v>5</v>
      </c>
      <c r="S1237" t="s">
        <v>88</v>
      </c>
      <c r="T1237" s="4">
        <f t="shared" si="98"/>
        <v>24168.799999999999</v>
      </c>
      <c r="U1237" s="4" t="str">
        <f t="shared" si="99"/>
        <v>Good</v>
      </c>
      <c r="V1237" s="4" t="str">
        <f t="shared" si="100"/>
        <v>Low</v>
      </c>
      <c r="W1237" s="4"/>
      <c r="X1237" s="4"/>
      <c r="AJ1237" s="4"/>
    </row>
    <row r="1238" spans="1:36">
      <c r="A1238" t="str">
        <f t="shared" si="96"/>
        <v>Umes481237</v>
      </c>
      <c r="B1238">
        <v>1237</v>
      </c>
      <c r="C1238">
        <v>27</v>
      </c>
      <c r="D1238">
        <v>9</v>
      </c>
      <c r="E1238">
        <v>2022</v>
      </c>
      <c r="F1238" s="1">
        <f t="shared" si="97"/>
        <v>44831</v>
      </c>
      <c r="G1238" s="1" t="s">
        <v>770</v>
      </c>
      <c r="H1238" s="2">
        <v>45714</v>
      </c>
      <c r="I1238" t="s">
        <v>38</v>
      </c>
      <c r="J1238">
        <v>9</v>
      </c>
      <c r="K1238">
        <v>29192.77</v>
      </c>
      <c r="L1238" t="s">
        <v>802</v>
      </c>
      <c r="M1238">
        <v>48</v>
      </c>
      <c r="N1238" t="s">
        <v>61</v>
      </c>
      <c r="O1238" s="3" t="s">
        <v>55</v>
      </c>
      <c r="P1238" t="s">
        <v>64</v>
      </c>
      <c r="Q1238" t="s">
        <v>30</v>
      </c>
      <c r="R1238">
        <v>1</v>
      </c>
      <c r="S1238" t="s">
        <v>42</v>
      </c>
      <c r="T1238" s="4">
        <f t="shared" si="98"/>
        <v>262734.93</v>
      </c>
      <c r="U1238" s="4" t="str">
        <f t="shared" si="99"/>
        <v>Average</v>
      </c>
      <c r="V1238" s="4" t="str">
        <f t="shared" si="100"/>
        <v>Excellent</v>
      </c>
      <c r="W1238" s="4"/>
      <c r="X1238" s="4"/>
      <c r="AJ1238" s="4"/>
    </row>
    <row r="1239" spans="1:36">
      <c r="A1239" t="str">
        <f t="shared" si="96"/>
        <v>Kris541238</v>
      </c>
      <c r="B1239">
        <v>1238</v>
      </c>
      <c r="C1239">
        <v>27</v>
      </c>
      <c r="D1239">
        <v>9</v>
      </c>
      <c r="E1239">
        <v>2022</v>
      </c>
      <c r="F1239" s="1">
        <f t="shared" si="97"/>
        <v>44831</v>
      </c>
      <c r="G1239" s="1" t="s">
        <v>770</v>
      </c>
      <c r="H1239" s="2">
        <v>45715</v>
      </c>
      <c r="I1239" t="s">
        <v>26</v>
      </c>
      <c r="J1239">
        <v>4</v>
      </c>
      <c r="K1239">
        <v>45799.47</v>
      </c>
      <c r="L1239" t="s">
        <v>176</v>
      </c>
      <c r="M1239">
        <v>54</v>
      </c>
      <c r="N1239" t="s">
        <v>61</v>
      </c>
      <c r="O1239" s="3" t="s">
        <v>28</v>
      </c>
      <c r="P1239" t="s">
        <v>29</v>
      </c>
      <c r="Q1239" t="s">
        <v>30</v>
      </c>
      <c r="R1239">
        <v>3</v>
      </c>
      <c r="S1239" t="s">
        <v>34</v>
      </c>
      <c r="T1239" s="4">
        <f t="shared" si="98"/>
        <v>183197.88</v>
      </c>
      <c r="U1239" s="4" t="str">
        <f t="shared" si="99"/>
        <v>Average</v>
      </c>
      <c r="V1239" s="4" t="str">
        <f t="shared" si="100"/>
        <v>Good</v>
      </c>
      <c r="W1239" s="4"/>
      <c r="X1239" s="4"/>
      <c r="AJ1239" s="4"/>
    </row>
    <row r="1240" spans="1:36">
      <c r="A1240" t="str">
        <f t="shared" si="96"/>
        <v>Ravi301239</v>
      </c>
      <c r="B1240">
        <v>1239</v>
      </c>
      <c r="C1240">
        <v>27</v>
      </c>
      <c r="D1240">
        <v>9</v>
      </c>
      <c r="E1240">
        <v>2022</v>
      </c>
      <c r="F1240" s="1">
        <f t="shared" si="97"/>
        <v>44831</v>
      </c>
      <c r="G1240" s="1" t="s">
        <v>770</v>
      </c>
      <c r="H1240" s="2">
        <v>45716</v>
      </c>
      <c r="I1240" t="s">
        <v>19</v>
      </c>
      <c r="J1240">
        <v>6</v>
      </c>
      <c r="K1240">
        <v>46288.11</v>
      </c>
      <c r="L1240" t="s">
        <v>598</v>
      </c>
      <c r="M1240">
        <v>30</v>
      </c>
      <c r="N1240" t="s">
        <v>36</v>
      </c>
      <c r="O1240" s="3" t="s">
        <v>22</v>
      </c>
      <c r="P1240" t="s">
        <v>93</v>
      </c>
      <c r="Q1240" t="s">
        <v>56</v>
      </c>
      <c r="R1240">
        <v>5</v>
      </c>
      <c r="S1240" t="s">
        <v>84</v>
      </c>
      <c r="T1240" s="4">
        <f t="shared" si="98"/>
        <v>277728.66000000003</v>
      </c>
      <c r="U1240" s="4" t="str">
        <f t="shared" si="99"/>
        <v>Good</v>
      </c>
      <c r="V1240" s="4" t="str">
        <f t="shared" si="100"/>
        <v>Excellent</v>
      </c>
      <c r="W1240" s="4"/>
      <c r="X1240" s="4"/>
      <c r="AJ1240" s="4"/>
    </row>
    <row r="1241" spans="1:36">
      <c r="A1241" t="str">
        <f t="shared" si="96"/>
        <v>Pras501240</v>
      </c>
      <c r="B1241">
        <v>1240</v>
      </c>
      <c r="C1241">
        <v>28</v>
      </c>
      <c r="D1241">
        <v>9</v>
      </c>
      <c r="E1241">
        <v>2022</v>
      </c>
      <c r="F1241" s="1">
        <f t="shared" si="97"/>
        <v>44832</v>
      </c>
      <c r="G1241" s="1" t="s">
        <v>770</v>
      </c>
      <c r="H1241" s="2">
        <v>45717</v>
      </c>
      <c r="I1241" t="s">
        <v>38</v>
      </c>
      <c r="J1241">
        <v>6</v>
      </c>
      <c r="K1241">
        <v>38807.57</v>
      </c>
      <c r="L1241" t="s">
        <v>803</v>
      </c>
      <c r="M1241">
        <v>50</v>
      </c>
      <c r="N1241" t="s">
        <v>61</v>
      </c>
      <c r="O1241" s="3" t="s">
        <v>22</v>
      </c>
      <c r="P1241" t="s">
        <v>29</v>
      </c>
      <c r="Q1241" t="s">
        <v>41</v>
      </c>
      <c r="R1241">
        <v>5</v>
      </c>
      <c r="S1241" t="s">
        <v>48</v>
      </c>
      <c r="T1241" s="4">
        <f t="shared" si="98"/>
        <v>232845.41999999998</v>
      </c>
      <c r="U1241" s="4" t="str">
        <f t="shared" si="99"/>
        <v>Good</v>
      </c>
      <c r="V1241" s="4" t="str">
        <f t="shared" si="100"/>
        <v>Excellent</v>
      </c>
      <c r="W1241" s="4"/>
      <c r="X1241" s="4"/>
      <c r="AJ1241" s="4"/>
    </row>
    <row r="1242" spans="1:36">
      <c r="A1242" t="str">
        <f t="shared" si="96"/>
        <v>Yoge241241</v>
      </c>
      <c r="B1242">
        <v>1241</v>
      </c>
      <c r="C1242">
        <v>28</v>
      </c>
      <c r="D1242">
        <v>9</v>
      </c>
      <c r="E1242">
        <v>2022</v>
      </c>
      <c r="F1242" s="1">
        <f t="shared" si="97"/>
        <v>44832</v>
      </c>
      <c r="G1242" s="1" t="s">
        <v>770</v>
      </c>
      <c r="H1242" s="2">
        <v>45718</v>
      </c>
      <c r="I1242" t="s">
        <v>19</v>
      </c>
      <c r="J1242">
        <v>6</v>
      </c>
      <c r="K1242">
        <v>58939.93</v>
      </c>
      <c r="L1242" t="s">
        <v>652</v>
      </c>
      <c r="M1242">
        <v>24</v>
      </c>
      <c r="N1242" t="s">
        <v>36</v>
      </c>
      <c r="O1242" s="3" t="s">
        <v>22</v>
      </c>
      <c r="P1242" t="s">
        <v>29</v>
      </c>
      <c r="Q1242" t="s">
        <v>24</v>
      </c>
      <c r="R1242">
        <v>4</v>
      </c>
      <c r="S1242" t="s">
        <v>25</v>
      </c>
      <c r="T1242" s="4">
        <f t="shared" si="98"/>
        <v>353639.58</v>
      </c>
      <c r="U1242" s="4" t="str">
        <f t="shared" si="99"/>
        <v>Good</v>
      </c>
      <c r="V1242" s="4" t="str">
        <f t="shared" si="100"/>
        <v>Excellent</v>
      </c>
      <c r="W1242" s="4"/>
      <c r="X1242" s="4"/>
      <c r="AJ1242" s="4"/>
    </row>
    <row r="1243" spans="1:36">
      <c r="A1243" t="str">
        <f t="shared" si="96"/>
        <v>Mala491242</v>
      </c>
      <c r="B1243">
        <v>1242</v>
      </c>
      <c r="C1243">
        <v>28</v>
      </c>
      <c r="D1243">
        <v>9</v>
      </c>
      <c r="E1243">
        <v>2022</v>
      </c>
      <c r="F1243" s="1">
        <f t="shared" si="97"/>
        <v>44832</v>
      </c>
      <c r="G1243" s="1" t="s">
        <v>770</v>
      </c>
      <c r="H1243" s="2">
        <v>45719</v>
      </c>
      <c r="I1243" t="s">
        <v>19</v>
      </c>
      <c r="J1243">
        <v>2</v>
      </c>
      <c r="K1243">
        <v>13763.33</v>
      </c>
      <c r="L1243" t="s">
        <v>794</v>
      </c>
      <c r="M1243">
        <v>49</v>
      </c>
      <c r="N1243" t="s">
        <v>61</v>
      </c>
      <c r="O1243" s="3" t="s">
        <v>22</v>
      </c>
      <c r="P1243" t="s">
        <v>59</v>
      </c>
      <c r="Q1243" t="s">
        <v>24</v>
      </c>
      <c r="R1243">
        <v>5</v>
      </c>
      <c r="S1243" t="s">
        <v>25</v>
      </c>
      <c r="T1243" s="4">
        <f t="shared" si="98"/>
        <v>27526.66</v>
      </c>
      <c r="U1243" s="4" t="str">
        <f t="shared" si="99"/>
        <v>Good</v>
      </c>
      <c r="V1243" s="4" t="str">
        <f t="shared" si="100"/>
        <v>Low</v>
      </c>
      <c r="W1243" s="4"/>
      <c r="X1243" s="4"/>
      <c r="AJ1243" s="4"/>
    </row>
    <row r="1244" spans="1:36">
      <c r="A1244" t="str">
        <f t="shared" si="96"/>
        <v>Tapa241243</v>
      </c>
      <c r="B1244">
        <v>1243</v>
      </c>
      <c r="C1244">
        <v>28</v>
      </c>
      <c r="D1244">
        <v>9</v>
      </c>
      <c r="E1244">
        <v>2022</v>
      </c>
      <c r="F1244" s="1">
        <f t="shared" si="97"/>
        <v>44832</v>
      </c>
      <c r="G1244" s="1" t="s">
        <v>770</v>
      </c>
      <c r="H1244" s="2">
        <v>45720</v>
      </c>
      <c r="I1244" t="s">
        <v>43</v>
      </c>
      <c r="J1244">
        <v>7</v>
      </c>
      <c r="K1244">
        <v>58929.27</v>
      </c>
      <c r="L1244" t="s">
        <v>282</v>
      </c>
      <c r="M1244">
        <v>24</v>
      </c>
      <c r="N1244" t="s">
        <v>36</v>
      </c>
      <c r="O1244" s="3" t="s">
        <v>22</v>
      </c>
      <c r="P1244" t="s">
        <v>29</v>
      </c>
      <c r="Q1244" t="s">
        <v>56</v>
      </c>
      <c r="R1244">
        <v>5</v>
      </c>
      <c r="S1244" t="s">
        <v>57</v>
      </c>
      <c r="T1244" s="4">
        <f t="shared" si="98"/>
        <v>412504.88999999996</v>
      </c>
      <c r="U1244" s="4" t="str">
        <f t="shared" si="99"/>
        <v>Good</v>
      </c>
      <c r="V1244" s="4" t="str">
        <f t="shared" si="100"/>
        <v>Excellent</v>
      </c>
      <c r="W1244" s="4"/>
      <c r="X1244" s="4"/>
      <c r="AJ1244" s="4"/>
    </row>
    <row r="1245" spans="1:36">
      <c r="A1245" t="str">
        <f t="shared" si="96"/>
        <v>Sach591244</v>
      </c>
      <c r="B1245">
        <v>1244</v>
      </c>
      <c r="C1245">
        <v>29</v>
      </c>
      <c r="D1245">
        <v>9</v>
      </c>
      <c r="E1245">
        <v>2022</v>
      </c>
      <c r="F1245" s="1">
        <f t="shared" si="97"/>
        <v>44833</v>
      </c>
      <c r="G1245" s="1" t="s">
        <v>770</v>
      </c>
      <c r="H1245" s="2">
        <v>45721</v>
      </c>
      <c r="I1245" t="s">
        <v>49</v>
      </c>
      <c r="J1245">
        <v>6</v>
      </c>
      <c r="K1245">
        <v>39685.25</v>
      </c>
      <c r="L1245" t="s">
        <v>476</v>
      </c>
      <c r="M1245">
        <v>59</v>
      </c>
      <c r="N1245" t="s">
        <v>61</v>
      </c>
      <c r="O1245" s="3" t="s">
        <v>22</v>
      </c>
      <c r="P1245" t="s">
        <v>64</v>
      </c>
      <c r="Q1245" t="s">
        <v>56</v>
      </c>
      <c r="R1245">
        <v>5</v>
      </c>
      <c r="S1245" t="s">
        <v>88</v>
      </c>
      <c r="T1245" s="4">
        <f t="shared" si="98"/>
        <v>238111.5</v>
      </c>
      <c r="U1245" s="4" t="str">
        <f t="shared" si="99"/>
        <v>Good</v>
      </c>
      <c r="V1245" s="4" t="str">
        <f t="shared" si="100"/>
        <v>Excellent</v>
      </c>
      <c r="W1245" s="4"/>
      <c r="X1245" s="4"/>
      <c r="AJ1245" s="4"/>
    </row>
    <row r="1246" spans="1:36">
      <c r="A1246" t="str">
        <f t="shared" si="96"/>
        <v>Suni551245</v>
      </c>
      <c r="B1246">
        <v>1245</v>
      </c>
      <c r="C1246">
        <v>29</v>
      </c>
      <c r="D1246">
        <v>9</v>
      </c>
      <c r="E1246">
        <v>2022</v>
      </c>
      <c r="F1246" s="1">
        <f t="shared" si="97"/>
        <v>44833</v>
      </c>
      <c r="G1246" s="1" t="s">
        <v>770</v>
      </c>
      <c r="H1246" s="2">
        <v>45722</v>
      </c>
      <c r="I1246" t="s">
        <v>38</v>
      </c>
      <c r="J1246">
        <v>1</v>
      </c>
      <c r="K1246">
        <v>18025.64</v>
      </c>
      <c r="L1246" t="s">
        <v>464</v>
      </c>
      <c r="M1246">
        <v>55</v>
      </c>
      <c r="N1246" t="s">
        <v>61</v>
      </c>
      <c r="O1246" s="3" t="s">
        <v>22</v>
      </c>
      <c r="P1246" t="s">
        <v>29</v>
      </c>
      <c r="Q1246" t="s">
        <v>24</v>
      </c>
      <c r="R1246">
        <v>4</v>
      </c>
      <c r="S1246" t="s">
        <v>48</v>
      </c>
      <c r="T1246" s="4">
        <f t="shared" si="98"/>
        <v>18025.64</v>
      </c>
      <c r="U1246" s="4" t="str">
        <f t="shared" si="99"/>
        <v>Good</v>
      </c>
      <c r="V1246" s="4" t="str">
        <f t="shared" si="100"/>
        <v>Low</v>
      </c>
      <c r="W1246" s="4"/>
      <c r="X1246" s="4"/>
      <c r="AJ1246" s="4"/>
    </row>
    <row r="1247" spans="1:36">
      <c r="A1247" t="str">
        <f t="shared" si="96"/>
        <v>Arun301246</v>
      </c>
      <c r="B1247">
        <v>1246</v>
      </c>
      <c r="C1247">
        <v>29</v>
      </c>
      <c r="D1247">
        <v>9</v>
      </c>
      <c r="E1247">
        <v>2022</v>
      </c>
      <c r="F1247" s="1">
        <f t="shared" si="97"/>
        <v>44833</v>
      </c>
      <c r="G1247" s="1" t="s">
        <v>770</v>
      </c>
      <c r="H1247" s="2">
        <v>45723</v>
      </c>
      <c r="I1247" t="s">
        <v>19</v>
      </c>
      <c r="J1247">
        <v>2</v>
      </c>
      <c r="K1247">
        <v>63142.11</v>
      </c>
      <c r="L1247" t="s">
        <v>804</v>
      </c>
      <c r="M1247">
        <v>30</v>
      </c>
      <c r="N1247" t="s">
        <v>36</v>
      </c>
      <c r="O1247" s="3" t="s">
        <v>55</v>
      </c>
      <c r="P1247" t="s">
        <v>77</v>
      </c>
      <c r="Q1247" t="s">
        <v>24</v>
      </c>
      <c r="R1247">
        <v>1</v>
      </c>
      <c r="S1247" t="s">
        <v>37</v>
      </c>
      <c r="T1247" s="4">
        <f t="shared" si="98"/>
        <v>126284.22</v>
      </c>
      <c r="U1247" s="4" t="str">
        <f t="shared" si="99"/>
        <v>Average</v>
      </c>
      <c r="V1247" s="4" t="str">
        <f t="shared" si="100"/>
        <v>Good</v>
      </c>
      <c r="W1247" s="4"/>
      <c r="X1247" s="4"/>
      <c r="AJ1247" s="4"/>
    </row>
    <row r="1248" spans="1:36">
      <c r="A1248" t="str">
        <f t="shared" si="96"/>
        <v>Adit411247</v>
      </c>
      <c r="B1248">
        <v>1247</v>
      </c>
      <c r="C1248">
        <v>30</v>
      </c>
      <c r="D1248">
        <v>9</v>
      </c>
      <c r="E1248">
        <v>2022</v>
      </c>
      <c r="F1248" s="1">
        <f t="shared" si="97"/>
        <v>44834</v>
      </c>
      <c r="G1248" s="1" t="s">
        <v>770</v>
      </c>
      <c r="H1248" s="2">
        <v>45724</v>
      </c>
      <c r="I1248" t="s">
        <v>43</v>
      </c>
      <c r="J1248">
        <v>7</v>
      </c>
      <c r="K1248">
        <v>48953.73</v>
      </c>
      <c r="L1248" t="s">
        <v>474</v>
      </c>
      <c r="M1248">
        <v>41</v>
      </c>
      <c r="N1248" t="s">
        <v>21</v>
      </c>
      <c r="O1248" s="3" t="s">
        <v>22</v>
      </c>
      <c r="P1248" t="s">
        <v>110</v>
      </c>
      <c r="Q1248" t="s">
        <v>41</v>
      </c>
      <c r="R1248">
        <v>4</v>
      </c>
      <c r="S1248" t="s">
        <v>46</v>
      </c>
      <c r="T1248" s="4">
        <f t="shared" si="98"/>
        <v>342676.11000000004</v>
      </c>
      <c r="U1248" s="4" t="str">
        <f t="shared" si="99"/>
        <v>Good</v>
      </c>
      <c r="V1248" s="4" t="str">
        <f t="shared" si="100"/>
        <v>Excellent</v>
      </c>
      <c r="W1248" s="4"/>
      <c r="X1248" s="4"/>
      <c r="AJ1248" s="4"/>
    </row>
    <row r="1249" spans="1:36">
      <c r="A1249" t="str">
        <f t="shared" si="96"/>
        <v>Anit451248</v>
      </c>
      <c r="B1249">
        <v>1248</v>
      </c>
      <c r="C1249">
        <v>30</v>
      </c>
      <c r="D1249">
        <v>9</v>
      </c>
      <c r="E1249">
        <v>2022</v>
      </c>
      <c r="F1249" s="1">
        <f t="shared" si="97"/>
        <v>44834</v>
      </c>
      <c r="G1249" s="1" t="s">
        <v>770</v>
      </c>
      <c r="H1249" s="2">
        <v>45725</v>
      </c>
      <c r="I1249" t="s">
        <v>26</v>
      </c>
      <c r="J1249">
        <v>1</v>
      </c>
      <c r="K1249">
        <v>19812.740000000002</v>
      </c>
      <c r="L1249" t="s">
        <v>407</v>
      </c>
      <c r="M1249">
        <v>45</v>
      </c>
      <c r="N1249" t="s">
        <v>21</v>
      </c>
      <c r="O1249" s="3" t="s">
        <v>22</v>
      </c>
      <c r="P1249" t="s">
        <v>23</v>
      </c>
      <c r="Q1249" t="s">
        <v>56</v>
      </c>
      <c r="R1249">
        <v>4</v>
      </c>
      <c r="S1249" t="s">
        <v>67</v>
      </c>
      <c r="T1249" s="4">
        <f t="shared" si="98"/>
        <v>19812.740000000002</v>
      </c>
      <c r="U1249" s="4" t="str">
        <f t="shared" si="99"/>
        <v>Good</v>
      </c>
      <c r="V1249" s="4" t="str">
        <f t="shared" si="100"/>
        <v>Low</v>
      </c>
      <c r="W1249" s="4"/>
      <c r="X1249" s="4"/>
      <c r="AJ1249" s="4"/>
    </row>
    <row r="1250" spans="1:36">
      <c r="A1250" t="str">
        <f t="shared" si="96"/>
        <v>Pank491249</v>
      </c>
      <c r="B1250">
        <v>1249</v>
      </c>
      <c r="C1250">
        <v>30</v>
      </c>
      <c r="D1250">
        <v>9</v>
      </c>
      <c r="E1250">
        <v>2022</v>
      </c>
      <c r="F1250" s="1">
        <f t="shared" si="97"/>
        <v>44834</v>
      </c>
      <c r="G1250" s="1" t="s">
        <v>770</v>
      </c>
      <c r="H1250" s="2">
        <v>45726</v>
      </c>
      <c r="I1250" t="s">
        <v>38</v>
      </c>
      <c r="J1250">
        <v>1</v>
      </c>
      <c r="K1250">
        <v>12018.98</v>
      </c>
      <c r="L1250" t="s">
        <v>805</v>
      </c>
      <c r="M1250">
        <v>49</v>
      </c>
      <c r="N1250" t="s">
        <v>61</v>
      </c>
      <c r="O1250" s="3" t="s">
        <v>22</v>
      </c>
      <c r="P1250" t="s">
        <v>33</v>
      </c>
      <c r="Q1250" t="s">
        <v>41</v>
      </c>
      <c r="R1250">
        <v>4</v>
      </c>
      <c r="S1250" t="s">
        <v>99</v>
      </c>
      <c r="T1250" s="4">
        <f t="shared" si="98"/>
        <v>12018.98</v>
      </c>
      <c r="U1250" s="4" t="str">
        <f t="shared" si="99"/>
        <v>Good</v>
      </c>
      <c r="V1250" s="4" t="str">
        <f t="shared" si="100"/>
        <v>Low</v>
      </c>
      <c r="W1250" s="4"/>
      <c r="X1250" s="4"/>
      <c r="AJ1250" s="4"/>
    </row>
    <row r="1251" spans="1:36">
      <c r="A1251" t="str">
        <f t="shared" si="96"/>
        <v>Kavi351250</v>
      </c>
      <c r="B1251">
        <v>1250</v>
      </c>
      <c r="C1251">
        <v>30</v>
      </c>
      <c r="D1251">
        <v>9</v>
      </c>
      <c r="E1251">
        <v>2022</v>
      </c>
      <c r="F1251" s="1">
        <f t="shared" si="97"/>
        <v>44834</v>
      </c>
      <c r="G1251" s="1" t="s">
        <v>770</v>
      </c>
      <c r="H1251" s="2">
        <v>45727</v>
      </c>
      <c r="I1251" t="s">
        <v>19</v>
      </c>
      <c r="J1251">
        <v>1</v>
      </c>
      <c r="K1251">
        <v>18466.580000000002</v>
      </c>
      <c r="L1251" t="s">
        <v>806</v>
      </c>
      <c r="M1251">
        <v>35</v>
      </c>
      <c r="N1251" t="s">
        <v>21</v>
      </c>
      <c r="O1251" s="3" t="s">
        <v>22</v>
      </c>
      <c r="P1251" t="s">
        <v>29</v>
      </c>
      <c r="Q1251" t="s">
        <v>56</v>
      </c>
      <c r="R1251">
        <v>5</v>
      </c>
      <c r="S1251" t="s">
        <v>84</v>
      </c>
      <c r="T1251" s="4">
        <f t="shared" si="98"/>
        <v>18466.580000000002</v>
      </c>
      <c r="U1251" s="4" t="str">
        <f t="shared" si="99"/>
        <v>Good</v>
      </c>
      <c r="V1251" s="4" t="str">
        <f t="shared" si="100"/>
        <v>Low</v>
      </c>
      <c r="W1251" s="4"/>
      <c r="X1251" s="4"/>
      <c r="AJ1251" s="4"/>
    </row>
    <row r="1252" spans="1:36">
      <c r="A1252" t="str">
        <f t="shared" si="96"/>
        <v>Sneh511251</v>
      </c>
      <c r="B1252">
        <v>1251</v>
      </c>
      <c r="C1252">
        <v>1</v>
      </c>
      <c r="D1252">
        <v>10</v>
      </c>
      <c r="E1252">
        <v>2022</v>
      </c>
      <c r="F1252" s="1">
        <f t="shared" si="97"/>
        <v>44835</v>
      </c>
      <c r="G1252" s="1" t="s">
        <v>18</v>
      </c>
      <c r="H1252" s="2">
        <v>45728</v>
      </c>
      <c r="I1252" t="s">
        <v>49</v>
      </c>
      <c r="J1252">
        <v>8</v>
      </c>
      <c r="K1252">
        <v>46527.88</v>
      </c>
      <c r="L1252" t="s">
        <v>390</v>
      </c>
      <c r="M1252">
        <v>51</v>
      </c>
      <c r="N1252" t="s">
        <v>61</v>
      </c>
      <c r="O1252" s="3" t="s">
        <v>22</v>
      </c>
      <c r="P1252" t="s">
        <v>64</v>
      </c>
      <c r="Q1252" t="s">
        <v>56</v>
      </c>
      <c r="R1252">
        <v>5</v>
      </c>
      <c r="S1252" t="s">
        <v>88</v>
      </c>
      <c r="T1252" s="4">
        <f t="shared" si="98"/>
        <v>372223.04</v>
      </c>
      <c r="U1252" s="4" t="str">
        <f t="shared" si="99"/>
        <v>Good</v>
      </c>
      <c r="V1252" s="4" t="str">
        <f t="shared" si="100"/>
        <v>Excellent</v>
      </c>
      <c r="W1252" s="4"/>
      <c r="X1252" s="4"/>
      <c r="AJ1252" s="4"/>
    </row>
    <row r="1253" spans="1:36">
      <c r="A1253" t="str">
        <f t="shared" si="96"/>
        <v>Yoge511252</v>
      </c>
      <c r="B1253">
        <v>1252</v>
      </c>
      <c r="C1253">
        <v>1</v>
      </c>
      <c r="D1253">
        <v>10</v>
      </c>
      <c r="E1253">
        <v>2022</v>
      </c>
      <c r="F1253" s="1">
        <f t="shared" si="97"/>
        <v>44835</v>
      </c>
      <c r="G1253" s="1" t="s">
        <v>18</v>
      </c>
      <c r="H1253" s="2">
        <v>45729</v>
      </c>
      <c r="I1253" t="s">
        <v>43</v>
      </c>
      <c r="J1253">
        <v>4</v>
      </c>
      <c r="K1253">
        <v>20757.77</v>
      </c>
      <c r="L1253" t="s">
        <v>503</v>
      </c>
      <c r="M1253">
        <v>51</v>
      </c>
      <c r="N1253" t="s">
        <v>61</v>
      </c>
      <c r="O1253" s="3" t="s">
        <v>22</v>
      </c>
      <c r="P1253" t="s">
        <v>29</v>
      </c>
      <c r="Q1253" t="s">
        <v>41</v>
      </c>
      <c r="R1253">
        <v>4</v>
      </c>
      <c r="S1253" t="s">
        <v>95</v>
      </c>
      <c r="T1253" s="4">
        <f t="shared" si="98"/>
        <v>83031.08</v>
      </c>
      <c r="U1253" s="4" t="str">
        <f t="shared" si="99"/>
        <v>Good</v>
      </c>
      <c r="V1253" s="4" t="str">
        <f t="shared" si="100"/>
        <v>Average</v>
      </c>
      <c r="W1253" s="4"/>
      <c r="X1253" s="4"/>
      <c r="AJ1253" s="4"/>
    </row>
    <row r="1254" spans="1:36">
      <c r="A1254" t="str">
        <f t="shared" si="96"/>
        <v>Radh551253</v>
      </c>
      <c r="B1254">
        <v>1253</v>
      </c>
      <c r="C1254">
        <v>1</v>
      </c>
      <c r="D1254">
        <v>10</v>
      </c>
      <c r="E1254">
        <v>2022</v>
      </c>
      <c r="F1254" s="1">
        <f t="shared" si="97"/>
        <v>44835</v>
      </c>
      <c r="G1254" s="1" t="s">
        <v>18</v>
      </c>
      <c r="H1254" s="2">
        <v>45730</v>
      </c>
      <c r="I1254" t="s">
        <v>19</v>
      </c>
      <c r="J1254">
        <v>4</v>
      </c>
      <c r="K1254">
        <v>23545.78</v>
      </c>
      <c r="L1254" t="s">
        <v>328</v>
      </c>
      <c r="M1254">
        <v>55</v>
      </c>
      <c r="N1254" t="s">
        <v>61</v>
      </c>
      <c r="O1254" s="3" t="s">
        <v>22</v>
      </c>
      <c r="P1254" t="s">
        <v>29</v>
      </c>
      <c r="Q1254" t="s">
        <v>30</v>
      </c>
      <c r="R1254">
        <v>5</v>
      </c>
      <c r="S1254" t="s">
        <v>25</v>
      </c>
      <c r="T1254" s="4">
        <f t="shared" si="98"/>
        <v>94183.12</v>
      </c>
      <c r="U1254" s="4" t="str">
        <f t="shared" si="99"/>
        <v>Good</v>
      </c>
      <c r="V1254" s="4" t="str">
        <f t="shared" si="100"/>
        <v>Average</v>
      </c>
      <c r="W1254" s="4"/>
      <c r="X1254" s="4"/>
      <c r="AJ1254" s="4"/>
    </row>
    <row r="1255" spans="1:36">
      <c r="A1255" t="str">
        <f t="shared" si="96"/>
        <v>Lali181254</v>
      </c>
      <c r="B1255">
        <v>1254</v>
      </c>
      <c r="C1255">
        <v>1</v>
      </c>
      <c r="D1255">
        <v>10</v>
      </c>
      <c r="E1255">
        <v>2022</v>
      </c>
      <c r="F1255" s="1">
        <f t="shared" si="97"/>
        <v>44835</v>
      </c>
      <c r="G1255" s="1" t="s">
        <v>18</v>
      </c>
      <c r="H1255" s="2">
        <v>45731</v>
      </c>
      <c r="I1255" t="s">
        <v>49</v>
      </c>
      <c r="J1255">
        <v>2</v>
      </c>
      <c r="K1255">
        <v>11508.38</v>
      </c>
      <c r="L1255" t="s">
        <v>807</v>
      </c>
      <c r="M1255">
        <v>18</v>
      </c>
      <c r="N1255" t="s">
        <v>36</v>
      </c>
      <c r="O1255" s="3" t="s">
        <v>22</v>
      </c>
      <c r="P1255" t="s">
        <v>64</v>
      </c>
      <c r="Q1255" t="s">
        <v>30</v>
      </c>
      <c r="R1255">
        <v>5</v>
      </c>
      <c r="S1255" t="s">
        <v>102</v>
      </c>
      <c r="T1255" s="4">
        <f t="shared" si="98"/>
        <v>23016.76</v>
      </c>
      <c r="U1255" s="4" t="str">
        <f t="shared" si="99"/>
        <v>Good</v>
      </c>
      <c r="V1255" s="4" t="str">
        <f t="shared" si="100"/>
        <v>Low</v>
      </c>
      <c r="W1255" s="4"/>
      <c r="X1255" s="4"/>
      <c r="AJ1255" s="4"/>
    </row>
    <row r="1256" spans="1:36">
      <c r="A1256" t="str">
        <f t="shared" si="96"/>
        <v>Pank591255</v>
      </c>
      <c r="B1256">
        <v>1255</v>
      </c>
      <c r="C1256">
        <v>2</v>
      </c>
      <c r="D1256">
        <v>10</v>
      </c>
      <c r="E1256">
        <v>2022</v>
      </c>
      <c r="F1256" s="1">
        <f t="shared" si="97"/>
        <v>44836</v>
      </c>
      <c r="G1256" s="1" t="s">
        <v>18</v>
      </c>
      <c r="H1256" s="2">
        <v>45732</v>
      </c>
      <c r="I1256" t="s">
        <v>19</v>
      </c>
      <c r="J1256">
        <v>1</v>
      </c>
      <c r="K1256">
        <v>53375.839999999997</v>
      </c>
      <c r="L1256" t="s">
        <v>805</v>
      </c>
      <c r="M1256">
        <v>59</v>
      </c>
      <c r="N1256" t="s">
        <v>61</v>
      </c>
      <c r="O1256" s="3" t="s">
        <v>55</v>
      </c>
      <c r="P1256" t="s">
        <v>64</v>
      </c>
      <c r="Q1256" t="s">
        <v>30</v>
      </c>
      <c r="R1256">
        <v>1</v>
      </c>
      <c r="S1256" t="s">
        <v>84</v>
      </c>
      <c r="T1256" s="4">
        <f t="shared" si="98"/>
        <v>53375.839999999997</v>
      </c>
      <c r="U1256" s="4" t="str">
        <f t="shared" si="99"/>
        <v>Average</v>
      </c>
      <c r="V1256" s="4" t="str">
        <f t="shared" si="100"/>
        <v>Average</v>
      </c>
      <c r="W1256" s="4"/>
      <c r="X1256" s="4"/>
      <c r="AJ1256" s="4"/>
    </row>
    <row r="1257" spans="1:36">
      <c r="A1257" t="str">
        <f t="shared" si="96"/>
        <v>Umes481256</v>
      </c>
      <c r="B1257">
        <v>1256</v>
      </c>
      <c r="C1257">
        <v>2</v>
      </c>
      <c r="D1257">
        <v>10</v>
      </c>
      <c r="E1257">
        <v>2022</v>
      </c>
      <c r="F1257" s="1">
        <f t="shared" si="97"/>
        <v>44836</v>
      </c>
      <c r="G1257" s="1" t="s">
        <v>18</v>
      </c>
      <c r="H1257" s="2">
        <v>45733</v>
      </c>
      <c r="I1257" t="s">
        <v>38</v>
      </c>
      <c r="J1257">
        <v>9</v>
      </c>
      <c r="K1257">
        <v>58621.86</v>
      </c>
      <c r="L1257" t="s">
        <v>303</v>
      </c>
      <c r="M1257">
        <v>48</v>
      </c>
      <c r="N1257" t="s">
        <v>61</v>
      </c>
      <c r="O1257" s="3" t="s">
        <v>22</v>
      </c>
      <c r="P1257" t="s">
        <v>29</v>
      </c>
      <c r="Q1257" t="s">
        <v>56</v>
      </c>
      <c r="R1257">
        <v>4</v>
      </c>
      <c r="S1257" t="s">
        <v>42</v>
      </c>
      <c r="T1257" s="4">
        <f t="shared" si="98"/>
        <v>527596.74</v>
      </c>
      <c r="U1257" s="4" t="str">
        <f t="shared" si="99"/>
        <v>Good</v>
      </c>
      <c r="V1257" s="4" t="str">
        <f t="shared" si="100"/>
        <v>Excellent</v>
      </c>
      <c r="W1257" s="4"/>
      <c r="X1257" s="4"/>
      <c r="AJ1257" s="4"/>
    </row>
    <row r="1258" spans="1:36">
      <c r="A1258" t="str">
        <f t="shared" si="96"/>
        <v>Pras181257</v>
      </c>
      <c r="B1258">
        <v>1257</v>
      </c>
      <c r="C1258">
        <v>2</v>
      </c>
      <c r="D1258">
        <v>10</v>
      </c>
      <c r="E1258">
        <v>2022</v>
      </c>
      <c r="F1258" s="1">
        <f t="shared" si="97"/>
        <v>44836</v>
      </c>
      <c r="G1258" s="1" t="s">
        <v>18</v>
      </c>
      <c r="H1258" s="2">
        <v>45734</v>
      </c>
      <c r="I1258" t="s">
        <v>38</v>
      </c>
      <c r="J1258">
        <v>7</v>
      </c>
      <c r="K1258">
        <v>57810.89</v>
      </c>
      <c r="L1258" t="s">
        <v>713</v>
      </c>
      <c r="M1258">
        <v>18</v>
      </c>
      <c r="N1258" t="s">
        <v>36</v>
      </c>
      <c r="O1258" s="3" t="s">
        <v>28</v>
      </c>
      <c r="P1258" t="s">
        <v>150</v>
      </c>
      <c r="Q1258" t="s">
        <v>41</v>
      </c>
      <c r="R1258">
        <v>3</v>
      </c>
      <c r="S1258" t="s">
        <v>42</v>
      </c>
      <c r="T1258" s="4">
        <f t="shared" si="98"/>
        <v>404676.23</v>
      </c>
      <c r="U1258" s="4" t="str">
        <f t="shared" si="99"/>
        <v>Average</v>
      </c>
      <c r="V1258" s="4" t="str">
        <f t="shared" si="100"/>
        <v>Excellent</v>
      </c>
      <c r="W1258" s="4"/>
      <c r="X1258" s="4"/>
      <c r="AJ1258" s="4"/>
    </row>
    <row r="1259" spans="1:36">
      <c r="A1259" t="str">
        <f t="shared" si="96"/>
        <v>Pras331258</v>
      </c>
      <c r="B1259">
        <v>1258</v>
      </c>
      <c r="C1259">
        <v>3</v>
      </c>
      <c r="D1259">
        <v>10</v>
      </c>
      <c r="E1259">
        <v>2022</v>
      </c>
      <c r="F1259" s="1">
        <f t="shared" si="97"/>
        <v>44837</v>
      </c>
      <c r="G1259" s="1" t="s">
        <v>18</v>
      </c>
      <c r="H1259" s="2">
        <v>45735</v>
      </c>
      <c r="I1259" t="s">
        <v>38</v>
      </c>
      <c r="J1259">
        <v>4</v>
      </c>
      <c r="K1259">
        <v>17654.09</v>
      </c>
      <c r="L1259" t="s">
        <v>434</v>
      </c>
      <c r="M1259">
        <v>33</v>
      </c>
      <c r="N1259" t="s">
        <v>21</v>
      </c>
      <c r="O1259" s="3" t="s">
        <v>22</v>
      </c>
      <c r="P1259" t="s">
        <v>117</v>
      </c>
      <c r="Q1259" t="s">
        <v>30</v>
      </c>
      <c r="R1259">
        <v>5</v>
      </c>
      <c r="S1259" t="s">
        <v>99</v>
      </c>
      <c r="T1259" s="4">
        <f t="shared" si="98"/>
        <v>70616.36</v>
      </c>
      <c r="U1259" s="4" t="str">
        <f t="shared" si="99"/>
        <v>Good</v>
      </c>
      <c r="V1259" s="4" t="str">
        <f t="shared" si="100"/>
        <v>Average</v>
      </c>
      <c r="W1259" s="4"/>
      <c r="X1259" s="4"/>
      <c r="AJ1259" s="4"/>
    </row>
    <row r="1260" spans="1:36">
      <c r="A1260" t="str">
        <f t="shared" si="96"/>
        <v>Sumi561259</v>
      </c>
      <c r="B1260">
        <v>1259</v>
      </c>
      <c r="C1260">
        <v>3</v>
      </c>
      <c r="D1260">
        <v>10</v>
      </c>
      <c r="E1260">
        <v>2022</v>
      </c>
      <c r="F1260" s="1">
        <f t="shared" si="97"/>
        <v>44837</v>
      </c>
      <c r="G1260" s="1" t="s">
        <v>18</v>
      </c>
      <c r="H1260" s="2">
        <v>45736</v>
      </c>
      <c r="I1260" t="s">
        <v>43</v>
      </c>
      <c r="J1260">
        <v>6</v>
      </c>
      <c r="K1260">
        <v>64198.07</v>
      </c>
      <c r="L1260" t="s">
        <v>417</v>
      </c>
      <c r="M1260">
        <v>56</v>
      </c>
      <c r="N1260" t="s">
        <v>61</v>
      </c>
      <c r="O1260" s="3" t="s">
        <v>55</v>
      </c>
      <c r="P1260" t="s">
        <v>117</v>
      </c>
      <c r="Q1260" t="s">
        <v>24</v>
      </c>
      <c r="R1260">
        <v>1</v>
      </c>
      <c r="S1260" t="s">
        <v>95</v>
      </c>
      <c r="T1260" s="4">
        <f t="shared" si="98"/>
        <v>385188.42</v>
      </c>
      <c r="U1260" s="4" t="str">
        <f t="shared" si="99"/>
        <v>Average</v>
      </c>
      <c r="V1260" s="4" t="str">
        <f t="shared" si="100"/>
        <v>Excellent</v>
      </c>
      <c r="W1260" s="4"/>
      <c r="X1260" s="4"/>
      <c r="AJ1260" s="4"/>
    </row>
    <row r="1261" spans="1:36">
      <c r="A1261" t="str">
        <f t="shared" si="96"/>
        <v>Tanu321260</v>
      </c>
      <c r="B1261">
        <v>1260</v>
      </c>
      <c r="C1261">
        <v>3</v>
      </c>
      <c r="D1261">
        <v>10</v>
      </c>
      <c r="E1261">
        <v>2022</v>
      </c>
      <c r="F1261" s="1">
        <f t="shared" si="97"/>
        <v>44837</v>
      </c>
      <c r="G1261" s="1" t="s">
        <v>18</v>
      </c>
      <c r="H1261" s="2">
        <v>45737</v>
      </c>
      <c r="I1261" t="s">
        <v>38</v>
      </c>
      <c r="J1261">
        <v>2</v>
      </c>
      <c r="K1261">
        <v>50336.73</v>
      </c>
      <c r="L1261" t="s">
        <v>129</v>
      </c>
      <c r="M1261">
        <v>32</v>
      </c>
      <c r="N1261" t="s">
        <v>21</v>
      </c>
      <c r="O1261" s="3" t="s">
        <v>55</v>
      </c>
      <c r="P1261" t="s">
        <v>40</v>
      </c>
      <c r="Q1261" t="s">
        <v>30</v>
      </c>
      <c r="R1261">
        <v>1</v>
      </c>
      <c r="S1261" t="s">
        <v>99</v>
      </c>
      <c r="T1261" s="4">
        <f t="shared" si="98"/>
        <v>100673.46</v>
      </c>
      <c r="U1261" s="4" t="str">
        <f t="shared" si="99"/>
        <v>Average</v>
      </c>
      <c r="V1261" s="4" t="str">
        <f t="shared" si="100"/>
        <v>Good</v>
      </c>
      <c r="W1261" s="4"/>
      <c r="X1261" s="4"/>
      <c r="AJ1261" s="4"/>
    </row>
    <row r="1262" spans="1:36">
      <c r="A1262" t="str">
        <f t="shared" si="96"/>
        <v>Sanj501261</v>
      </c>
      <c r="B1262">
        <v>1261</v>
      </c>
      <c r="C1262">
        <v>4</v>
      </c>
      <c r="D1262">
        <v>10</v>
      </c>
      <c r="E1262">
        <v>2022</v>
      </c>
      <c r="F1262" s="1">
        <f t="shared" si="97"/>
        <v>44838</v>
      </c>
      <c r="G1262" s="1" t="s">
        <v>18</v>
      </c>
      <c r="H1262" s="2">
        <v>45738</v>
      </c>
      <c r="I1262" t="s">
        <v>49</v>
      </c>
      <c r="J1262">
        <v>7</v>
      </c>
      <c r="K1262">
        <v>63851.72</v>
      </c>
      <c r="L1262" t="s">
        <v>808</v>
      </c>
      <c r="M1262">
        <v>50</v>
      </c>
      <c r="N1262" t="s">
        <v>61</v>
      </c>
      <c r="O1262" s="3" t="s">
        <v>55</v>
      </c>
      <c r="P1262" t="s">
        <v>29</v>
      </c>
      <c r="Q1262" t="s">
        <v>41</v>
      </c>
      <c r="R1262">
        <v>1</v>
      </c>
      <c r="S1262" t="s">
        <v>88</v>
      </c>
      <c r="T1262" s="4">
        <f t="shared" si="98"/>
        <v>446962.04000000004</v>
      </c>
      <c r="U1262" s="4" t="str">
        <f t="shared" si="99"/>
        <v>Average</v>
      </c>
      <c r="V1262" s="4" t="str">
        <f t="shared" si="100"/>
        <v>Excellent</v>
      </c>
      <c r="W1262" s="4"/>
      <c r="X1262" s="4"/>
      <c r="AJ1262" s="4"/>
    </row>
    <row r="1263" spans="1:36">
      <c r="A1263" t="str">
        <f t="shared" si="96"/>
        <v>Meen401262</v>
      </c>
      <c r="B1263">
        <v>1262</v>
      </c>
      <c r="C1263">
        <v>4</v>
      </c>
      <c r="D1263">
        <v>10</v>
      </c>
      <c r="E1263">
        <v>2022</v>
      </c>
      <c r="F1263" s="1">
        <f t="shared" si="97"/>
        <v>44838</v>
      </c>
      <c r="G1263" s="1" t="s">
        <v>18</v>
      </c>
      <c r="H1263" s="2">
        <v>45739</v>
      </c>
      <c r="I1263" t="s">
        <v>19</v>
      </c>
      <c r="J1263">
        <v>2</v>
      </c>
      <c r="K1263">
        <v>36829.629999999997</v>
      </c>
      <c r="L1263" t="s">
        <v>633</v>
      </c>
      <c r="M1263">
        <v>40</v>
      </c>
      <c r="N1263" t="s">
        <v>21</v>
      </c>
      <c r="O1263" s="3" t="s">
        <v>22</v>
      </c>
      <c r="P1263" t="s">
        <v>33</v>
      </c>
      <c r="Q1263" t="s">
        <v>56</v>
      </c>
      <c r="R1263">
        <v>5</v>
      </c>
      <c r="S1263" t="s">
        <v>37</v>
      </c>
      <c r="T1263" s="4">
        <f t="shared" si="98"/>
        <v>73659.259999999995</v>
      </c>
      <c r="U1263" s="4" t="str">
        <f t="shared" si="99"/>
        <v>Good</v>
      </c>
      <c r="V1263" s="4" t="str">
        <f t="shared" si="100"/>
        <v>Average</v>
      </c>
      <c r="W1263" s="4"/>
      <c r="X1263" s="4"/>
      <c r="AJ1263" s="4"/>
    </row>
    <row r="1264" spans="1:36">
      <c r="A1264" t="str">
        <f t="shared" si="96"/>
        <v>Radh581263</v>
      </c>
      <c r="B1264">
        <v>1263</v>
      </c>
      <c r="C1264">
        <v>4</v>
      </c>
      <c r="D1264">
        <v>10</v>
      </c>
      <c r="E1264">
        <v>2022</v>
      </c>
      <c r="F1264" s="1">
        <f t="shared" si="97"/>
        <v>44838</v>
      </c>
      <c r="G1264" s="1" t="s">
        <v>18</v>
      </c>
      <c r="H1264" s="2">
        <v>45740</v>
      </c>
      <c r="I1264" t="s">
        <v>26</v>
      </c>
      <c r="J1264">
        <v>8</v>
      </c>
      <c r="K1264">
        <v>36217.29</v>
      </c>
      <c r="L1264" t="s">
        <v>809</v>
      </c>
      <c r="M1264">
        <v>58</v>
      </c>
      <c r="N1264" t="s">
        <v>61</v>
      </c>
      <c r="O1264" s="3" t="s">
        <v>22</v>
      </c>
      <c r="P1264" t="s">
        <v>23</v>
      </c>
      <c r="Q1264" t="s">
        <v>41</v>
      </c>
      <c r="R1264">
        <v>5</v>
      </c>
      <c r="S1264" t="s">
        <v>67</v>
      </c>
      <c r="T1264" s="4">
        <f t="shared" si="98"/>
        <v>289738.32</v>
      </c>
      <c r="U1264" s="4" t="str">
        <f t="shared" si="99"/>
        <v>Good</v>
      </c>
      <c r="V1264" s="4" t="str">
        <f t="shared" si="100"/>
        <v>Excellent</v>
      </c>
      <c r="W1264" s="4"/>
      <c r="X1264" s="4"/>
      <c r="AJ1264" s="4"/>
    </row>
    <row r="1265" spans="1:36">
      <c r="A1265" t="str">
        <f t="shared" si="96"/>
        <v>Radh511264</v>
      </c>
      <c r="B1265">
        <v>1264</v>
      </c>
      <c r="C1265">
        <v>4</v>
      </c>
      <c r="D1265">
        <v>10</v>
      </c>
      <c r="E1265">
        <v>2022</v>
      </c>
      <c r="F1265" s="1">
        <f t="shared" si="97"/>
        <v>44838</v>
      </c>
      <c r="G1265" s="1" t="s">
        <v>18</v>
      </c>
      <c r="H1265" s="2">
        <v>45741</v>
      </c>
      <c r="I1265" t="s">
        <v>49</v>
      </c>
      <c r="J1265">
        <v>8</v>
      </c>
      <c r="K1265">
        <v>57072.19</v>
      </c>
      <c r="L1265" t="s">
        <v>126</v>
      </c>
      <c r="M1265">
        <v>51</v>
      </c>
      <c r="N1265" t="s">
        <v>61</v>
      </c>
      <c r="O1265" s="3" t="s">
        <v>28</v>
      </c>
      <c r="P1265" t="s">
        <v>114</v>
      </c>
      <c r="Q1265" t="s">
        <v>56</v>
      </c>
      <c r="R1265">
        <v>3</v>
      </c>
      <c r="S1265" t="s">
        <v>102</v>
      </c>
      <c r="T1265" s="4">
        <f t="shared" si="98"/>
        <v>456577.52</v>
      </c>
      <c r="U1265" s="4" t="str">
        <f t="shared" si="99"/>
        <v>Average</v>
      </c>
      <c r="V1265" s="4" t="str">
        <f t="shared" si="100"/>
        <v>Excellent</v>
      </c>
      <c r="W1265" s="4"/>
      <c r="X1265" s="4"/>
      <c r="AJ1265" s="4"/>
    </row>
    <row r="1266" spans="1:36">
      <c r="A1266" t="str">
        <f t="shared" si="96"/>
        <v>Lali341265</v>
      </c>
      <c r="B1266">
        <v>1265</v>
      </c>
      <c r="C1266">
        <v>5</v>
      </c>
      <c r="D1266">
        <v>10</v>
      </c>
      <c r="E1266">
        <v>2022</v>
      </c>
      <c r="F1266" s="1">
        <f t="shared" si="97"/>
        <v>44839</v>
      </c>
      <c r="G1266" s="1" t="s">
        <v>18</v>
      </c>
      <c r="H1266" s="2">
        <v>45742</v>
      </c>
      <c r="I1266" t="s">
        <v>49</v>
      </c>
      <c r="J1266">
        <v>1</v>
      </c>
      <c r="K1266">
        <v>15597.87</v>
      </c>
      <c r="L1266" t="s">
        <v>807</v>
      </c>
      <c r="M1266">
        <v>34</v>
      </c>
      <c r="N1266" t="s">
        <v>21</v>
      </c>
      <c r="O1266" s="3" t="s">
        <v>22</v>
      </c>
      <c r="P1266" t="s">
        <v>93</v>
      </c>
      <c r="Q1266" t="s">
        <v>41</v>
      </c>
      <c r="R1266">
        <v>5</v>
      </c>
      <c r="S1266" t="s">
        <v>102</v>
      </c>
      <c r="T1266" s="4">
        <f t="shared" si="98"/>
        <v>15597.87</v>
      </c>
      <c r="U1266" s="4" t="str">
        <f t="shared" si="99"/>
        <v>Good</v>
      </c>
      <c r="V1266" s="4" t="str">
        <f t="shared" si="100"/>
        <v>Low</v>
      </c>
      <c r="W1266" s="4"/>
      <c r="X1266" s="4"/>
      <c r="AJ1266" s="4"/>
    </row>
    <row r="1267" spans="1:36">
      <c r="A1267" t="str">
        <f t="shared" si="96"/>
        <v>Anit421266</v>
      </c>
      <c r="B1267">
        <v>1266</v>
      </c>
      <c r="C1267">
        <v>5</v>
      </c>
      <c r="D1267">
        <v>10</v>
      </c>
      <c r="E1267">
        <v>2022</v>
      </c>
      <c r="F1267" s="1">
        <f t="shared" si="97"/>
        <v>44839</v>
      </c>
      <c r="G1267" s="1" t="s">
        <v>18</v>
      </c>
      <c r="H1267" s="2">
        <v>45743</v>
      </c>
      <c r="I1267" t="s">
        <v>38</v>
      </c>
      <c r="J1267">
        <v>8</v>
      </c>
      <c r="K1267">
        <v>41252.44</v>
      </c>
      <c r="L1267" t="s">
        <v>810</v>
      </c>
      <c r="M1267">
        <v>42</v>
      </c>
      <c r="N1267" t="s">
        <v>21</v>
      </c>
      <c r="O1267" s="3" t="s">
        <v>22</v>
      </c>
      <c r="P1267" t="s">
        <v>64</v>
      </c>
      <c r="Q1267" t="s">
        <v>41</v>
      </c>
      <c r="R1267">
        <v>4</v>
      </c>
      <c r="S1267" t="s">
        <v>48</v>
      </c>
      <c r="T1267" s="4">
        <f t="shared" si="98"/>
        <v>330019.52</v>
      </c>
      <c r="U1267" s="4" t="str">
        <f t="shared" si="99"/>
        <v>Good</v>
      </c>
      <c r="V1267" s="4" t="str">
        <f t="shared" si="100"/>
        <v>Excellent</v>
      </c>
      <c r="W1267" s="4"/>
      <c r="X1267" s="4"/>
      <c r="AJ1267" s="4"/>
    </row>
    <row r="1268" spans="1:36">
      <c r="A1268" t="str">
        <f t="shared" si="96"/>
        <v>Pank591267</v>
      </c>
      <c r="B1268">
        <v>1267</v>
      </c>
      <c r="C1268">
        <v>5</v>
      </c>
      <c r="D1268">
        <v>10</v>
      </c>
      <c r="E1268">
        <v>2022</v>
      </c>
      <c r="F1268" s="1">
        <f t="shared" si="97"/>
        <v>44839</v>
      </c>
      <c r="G1268" s="1" t="s">
        <v>18</v>
      </c>
      <c r="H1268" s="2">
        <v>45744</v>
      </c>
      <c r="I1268" t="s">
        <v>43</v>
      </c>
      <c r="J1268">
        <v>2</v>
      </c>
      <c r="K1268">
        <v>60183.05</v>
      </c>
      <c r="L1268" t="s">
        <v>685</v>
      </c>
      <c r="M1268">
        <v>59</v>
      </c>
      <c r="N1268" t="s">
        <v>61</v>
      </c>
      <c r="O1268" s="3" t="s">
        <v>28</v>
      </c>
      <c r="P1268" t="s">
        <v>33</v>
      </c>
      <c r="Q1268" t="s">
        <v>24</v>
      </c>
      <c r="R1268">
        <v>3</v>
      </c>
      <c r="S1268" t="s">
        <v>46</v>
      </c>
      <c r="T1268" s="4">
        <f t="shared" si="98"/>
        <v>120366.1</v>
      </c>
      <c r="U1268" s="4" t="str">
        <f t="shared" si="99"/>
        <v>Average</v>
      </c>
      <c r="V1268" s="4" t="str">
        <f t="shared" si="100"/>
        <v>Good</v>
      </c>
      <c r="W1268" s="4"/>
      <c r="X1268" s="4"/>
      <c r="AJ1268" s="4"/>
    </row>
    <row r="1269" spans="1:36">
      <c r="A1269" t="str">
        <f t="shared" si="96"/>
        <v>Anit231268</v>
      </c>
      <c r="B1269">
        <v>1268</v>
      </c>
      <c r="C1269">
        <v>6</v>
      </c>
      <c r="D1269">
        <v>10</v>
      </c>
      <c r="E1269">
        <v>2022</v>
      </c>
      <c r="F1269" s="1">
        <f t="shared" si="97"/>
        <v>44840</v>
      </c>
      <c r="G1269" s="1" t="s">
        <v>18</v>
      </c>
      <c r="H1269" s="2">
        <v>45745</v>
      </c>
      <c r="I1269" t="s">
        <v>19</v>
      </c>
      <c r="J1269">
        <v>6</v>
      </c>
      <c r="K1269">
        <v>59811.55</v>
      </c>
      <c r="L1269" t="s">
        <v>811</v>
      </c>
      <c r="M1269">
        <v>23</v>
      </c>
      <c r="N1269" t="s">
        <v>36</v>
      </c>
      <c r="O1269" s="3" t="s">
        <v>22</v>
      </c>
      <c r="P1269" t="s">
        <v>59</v>
      </c>
      <c r="Q1269" t="s">
        <v>30</v>
      </c>
      <c r="R1269">
        <v>5</v>
      </c>
      <c r="S1269" t="s">
        <v>25</v>
      </c>
      <c r="T1269" s="4">
        <f t="shared" si="98"/>
        <v>358869.30000000005</v>
      </c>
      <c r="U1269" s="4" t="str">
        <f t="shared" si="99"/>
        <v>Good</v>
      </c>
      <c r="V1269" s="4" t="str">
        <f t="shared" si="100"/>
        <v>Excellent</v>
      </c>
      <c r="W1269" s="4"/>
      <c r="X1269" s="4"/>
      <c r="AJ1269" s="4"/>
    </row>
    <row r="1270" spans="1:36">
      <c r="A1270" t="str">
        <f t="shared" si="96"/>
        <v>Suni481269</v>
      </c>
      <c r="B1270">
        <v>1269</v>
      </c>
      <c r="C1270">
        <v>6</v>
      </c>
      <c r="D1270">
        <v>10</v>
      </c>
      <c r="E1270">
        <v>2022</v>
      </c>
      <c r="F1270" s="1">
        <f t="shared" si="97"/>
        <v>44840</v>
      </c>
      <c r="G1270" s="1" t="s">
        <v>18</v>
      </c>
      <c r="H1270" s="2">
        <v>45746</v>
      </c>
      <c r="I1270" t="s">
        <v>43</v>
      </c>
      <c r="J1270">
        <v>1</v>
      </c>
      <c r="K1270">
        <v>67367.97</v>
      </c>
      <c r="L1270" t="s">
        <v>499</v>
      </c>
      <c r="M1270">
        <v>48</v>
      </c>
      <c r="N1270" t="s">
        <v>61</v>
      </c>
      <c r="O1270" s="3" t="s">
        <v>22</v>
      </c>
      <c r="P1270" t="s">
        <v>70</v>
      </c>
      <c r="Q1270" t="s">
        <v>30</v>
      </c>
      <c r="R1270">
        <v>4</v>
      </c>
      <c r="S1270" t="s">
        <v>95</v>
      </c>
      <c r="T1270" s="4">
        <f t="shared" si="98"/>
        <v>67367.97</v>
      </c>
      <c r="U1270" s="4" t="str">
        <f t="shared" si="99"/>
        <v>Good</v>
      </c>
      <c r="V1270" s="4" t="str">
        <f t="shared" si="100"/>
        <v>Average</v>
      </c>
      <c r="W1270" s="4"/>
      <c r="X1270" s="4"/>
      <c r="AJ1270" s="4"/>
    </row>
    <row r="1271" spans="1:36">
      <c r="A1271" t="str">
        <f t="shared" si="96"/>
        <v>Vive221270</v>
      </c>
      <c r="B1271">
        <v>1270</v>
      </c>
      <c r="C1271">
        <v>6</v>
      </c>
      <c r="D1271">
        <v>10</v>
      </c>
      <c r="E1271">
        <v>2022</v>
      </c>
      <c r="F1271" s="1">
        <f t="shared" si="97"/>
        <v>44840</v>
      </c>
      <c r="G1271" s="1" t="s">
        <v>18</v>
      </c>
      <c r="H1271" s="2">
        <v>45747</v>
      </c>
      <c r="I1271" t="s">
        <v>19</v>
      </c>
      <c r="J1271">
        <v>5</v>
      </c>
      <c r="K1271">
        <v>51896.36</v>
      </c>
      <c r="L1271" t="s">
        <v>374</v>
      </c>
      <c r="M1271">
        <v>22</v>
      </c>
      <c r="N1271" t="s">
        <v>36</v>
      </c>
      <c r="O1271" s="3" t="s">
        <v>28</v>
      </c>
      <c r="P1271" t="s">
        <v>110</v>
      </c>
      <c r="Q1271" t="s">
        <v>41</v>
      </c>
      <c r="R1271">
        <v>3</v>
      </c>
      <c r="S1271" t="s">
        <v>84</v>
      </c>
      <c r="T1271" s="4">
        <f t="shared" si="98"/>
        <v>259481.8</v>
      </c>
      <c r="U1271" s="4" t="str">
        <f t="shared" si="99"/>
        <v>Average</v>
      </c>
      <c r="V1271" s="4" t="str">
        <f t="shared" si="100"/>
        <v>Excellent</v>
      </c>
      <c r="W1271" s="4"/>
      <c r="X1271" s="4"/>
      <c r="AJ1271" s="4"/>
    </row>
    <row r="1272" spans="1:36">
      <c r="A1272" t="str">
        <f t="shared" si="96"/>
        <v>Isha571271</v>
      </c>
      <c r="B1272">
        <v>1271</v>
      </c>
      <c r="C1272">
        <v>7</v>
      </c>
      <c r="D1272">
        <v>10</v>
      </c>
      <c r="E1272">
        <v>2022</v>
      </c>
      <c r="F1272" s="1">
        <f t="shared" si="97"/>
        <v>44841</v>
      </c>
      <c r="G1272" s="1" t="s">
        <v>18</v>
      </c>
      <c r="H1272" s="2">
        <v>45748</v>
      </c>
      <c r="I1272" t="s">
        <v>19</v>
      </c>
      <c r="J1272">
        <v>7</v>
      </c>
      <c r="K1272">
        <v>22466.240000000002</v>
      </c>
      <c r="L1272" t="s">
        <v>738</v>
      </c>
      <c r="M1272">
        <v>57</v>
      </c>
      <c r="N1272" t="s">
        <v>61</v>
      </c>
      <c r="O1272" s="3" t="s">
        <v>22</v>
      </c>
      <c r="P1272" t="s">
        <v>64</v>
      </c>
      <c r="Q1272" t="s">
        <v>30</v>
      </c>
      <c r="R1272">
        <v>5</v>
      </c>
      <c r="S1272" t="s">
        <v>84</v>
      </c>
      <c r="T1272" s="4">
        <f t="shared" si="98"/>
        <v>157263.68000000002</v>
      </c>
      <c r="U1272" s="4" t="str">
        <f t="shared" si="99"/>
        <v>Good</v>
      </c>
      <c r="V1272" s="4" t="str">
        <f t="shared" si="100"/>
        <v>Good</v>
      </c>
      <c r="W1272" s="4"/>
      <c r="X1272" s="4"/>
      <c r="AJ1272" s="4"/>
    </row>
    <row r="1273" spans="1:36">
      <c r="A1273" t="str">
        <f t="shared" si="96"/>
        <v>Priy571272</v>
      </c>
      <c r="B1273">
        <v>1272</v>
      </c>
      <c r="C1273">
        <v>7</v>
      </c>
      <c r="D1273">
        <v>10</v>
      </c>
      <c r="E1273">
        <v>2022</v>
      </c>
      <c r="F1273" s="1">
        <f t="shared" si="97"/>
        <v>44841</v>
      </c>
      <c r="G1273" s="1" t="s">
        <v>18</v>
      </c>
      <c r="H1273" s="2">
        <v>45749</v>
      </c>
      <c r="I1273" t="s">
        <v>43</v>
      </c>
      <c r="J1273">
        <v>1</v>
      </c>
      <c r="K1273">
        <v>11216.82</v>
      </c>
      <c r="L1273" t="s">
        <v>812</v>
      </c>
      <c r="M1273">
        <v>57</v>
      </c>
      <c r="N1273" t="s">
        <v>61</v>
      </c>
      <c r="O1273" s="3" t="s">
        <v>22</v>
      </c>
      <c r="P1273" t="s">
        <v>33</v>
      </c>
      <c r="Q1273" t="s">
        <v>24</v>
      </c>
      <c r="R1273">
        <v>4</v>
      </c>
      <c r="S1273" t="s">
        <v>57</v>
      </c>
      <c r="T1273" s="4">
        <f t="shared" si="98"/>
        <v>11216.82</v>
      </c>
      <c r="U1273" s="4" t="str">
        <f t="shared" si="99"/>
        <v>Good</v>
      </c>
      <c r="V1273" s="4" t="str">
        <f t="shared" si="100"/>
        <v>Low</v>
      </c>
      <c r="W1273" s="4"/>
      <c r="X1273" s="4"/>
      <c r="AJ1273" s="4"/>
    </row>
    <row r="1274" spans="1:36">
      <c r="A1274" t="str">
        <f t="shared" si="96"/>
        <v>Sumi471273</v>
      </c>
      <c r="B1274">
        <v>1273</v>
      </c>
      <c r="C1274">
        <v>7</v>
      </c>
      <c r="D1274">
        <v>10</v>
      </c>
      <c r="E1274">
        <v>2022</v>
      </c>
      <c r="F1274" s="1">
        <f t="shared" si="97"/>
        <v>44841</v>
      </c>
      <c r="G1274" s="1" t="s">
        <v>18</v>
      </c>
      <c r="H1274" s="2">
        <v>45750</v>
      </c>
      <c r="I1274" t="s">
        <v>49</v>
      </c>
      <c r="J1274">
        <v>2</v>
      </c>
      <c r="K1274">
        <v>38764.949999999997</v>
      </c>
      <c r="L1274" t="s">
        <v>813</v>
      </c>
      <c r="M1274">
        <v>47</v>
      </c>
      <c r="N1274" t="s">
        <v>61</v>
      </c>
      <c r="O1274" s="3" t="s">
        <v>22</v>
      </c>
      <c r="P1274" t="s">
        <v>29</v>
      </c>
      <c r="Q1274" t="s">
        <v>41</v>
      </c>
      <c r="R1274">
        <v>5</v>
      </c>
      <c r="S1274" t="s">
        <v>52</v>
      </c>
      <c r="T1274" s="4">
        <f t="shared" si="98"/>
        <v>77529.899999999994</v>
      </c>
      <c r="U1274" s="4" t="str">
        <f t="shared" si="99"/>
        <v>Good</v>
      </c>
      <c r="V1274" s="4" t="str">
        <f t="shared" si="100"/>
        <v>Average</v>
      </c>
      <c r="W1274" s="4"/>
      <c r="X1274" s="4"/>
      <c r="AJ1274" s="4"/>
    </row>
    <row r="1275" spans="1:36">
      <c r="A1275" t="str">
        <f t="shared" si="96"/>
        <v>Mano221274</v>
      </c>
      <c r="B1275">
        <v>1274</v>
      </c>
      <c r="C1275">
        <v>7</v>
      </c>
      <c r="D1275">
        <v>10</v>
      </c>
      <c r="E1275">
        <v>2022</v>
      </c>
      <c r="F1275" s="1">
        <f t="shared" si="97"/>
        <v>44841</v>
      </c>
      <c r="G1275" s="1" t="s">
        <v>18</v>
      </c>
      <c r="H1275" s="2">
        <v>45751</v>
      </c>
      <c r="I1275" t="s">
        <v>19</v>
      </c>
      <c r="J1275">
        <v>7</v>
      </c>
      <c r="K1275">
        <v>40822.230000000003</v>
      </c>
      <c r="L1275" t="s">
        <v>609</v>
      </c>
      <c r="M1275">
        <v>22</v>
      </c>
      <c r="N1275" t="s">
        <v>36</v>
      </c>
      <c r="O1275" s="3" t="s">
        <v>28</v>
      </c>
      <c r="P1275" t="s">
        <v>33</v>
      </c>
      <c r="Q1275" t="s">
        <v>30</v>
      </c>
      <c r="R1275">
        <v>3</v>
      </c>
      <c r="S1275" t="s">
        <v>37</v>
      </c>
      <c r="T1275" s="4">
        <f t="shared" si="98"/>
        <v>285755.61000000004</v>
      </c>
      <c r="U1275" s="4" t="str">
        <f t="shared" si="99"/>
        <v>Average</v>
      </c>
      <c r="V1275" s="4" t="str">
        <f t="shared" si="100"/>
        <v>Excellent</v>
      </c>
      <c r="W1275" s="4"/>
      <c r="X1275" s="4"/>
      <c r="AJ1275" s="4"/>
    </row>
    <row r="1276" spans="1:36">
      <c r="A1276" t="str">
        <f t="shared" si="96"/>
        <v>Yoge291275</v>
      </c>
      <c r="B1276">
        <v>1275</v>
      </c>
      <c r="C1276">
        <v>8</v>
      </c>
      <c r="D1276">
        <v>10</v>
      </c>
      <c r="E1276">
        <v>2022</v>
      </c>
      <c r="F1276" s="1">
        <f t="shared" si="97"/>
        <v>44842</v>
      </c>
      <c r="G1276" s="1" t="s">
        <v>18</v>
      </c>
      <c r="H1276" s="2">
        <v>45752</v>
      </c>
      <c r="I1276" t="s">
        <v>43</v>
      </c>
      <c r="J1276">
        <v>6</v>
      </c>
      <c r="K1276">
        <v>24415.759999999998</v>
      </c>
      <c r="L1276" t="s">
        <v>115</v>
      </c>
      <c r="M1276">
        <v>29</v>
      </c>
      <c r="N1276" t="s">
        <v>36</v>
      </c>
      <c r="O1276" s="3" t="s">
        <v>22</v>
      </c>
      <c r="P1276" t="s">
        <v>110</v>
      </c>
      <c r="Q1276" t="s">
        <v>30</v>
      </c>
      <c r="R1276">
        <v>4</v>
      </c>
      <c r="S1276" t="s">
        <v>95</v>
      </c>
      <c r="T1276" s="4">
        <f t="shared" si="98"/>
        <v>146494.56</v>
      </c>
      <c r="U1276" s="4" t="str">
        <f t="shared" si="99"/>
        <v>Good</v>
      </c>
      <c r="V1276" s="4" t="str">
        <f t="shared" si="100"/>
        <v>Good</v>
      </c>
      <c r="W1276" s="4"/>
      <c r="X1276" s="4"/>
      <c r="AJ1276" s="4"/>
    </row>
    <row r="1277" spans="1:36">
      <c r="A1277" t="str">
        <f t="shared" si="96"/>
        <v>Hari241276</v>
      </c>
      <c r="B1277">
        <v>1276</v>
      </c>
      <c r="C1277">
        <v>8</v>
      </c>
      <c r="D1277">
        <v>10</v>
      </c>
      <c r="E1277">
        <v>2022</v>
      </c>
      <c r="F1277" s="1">
        <f t="shared" si="97"/>
        <v>44842</v>
      </c>
      <c r="G1277" s="1" t="s">
        <v>18</v>
      </c>
      <c r="H1277" s="2">
        <v>45753</v>
      </c>
      <c r="I1277" t="s">
        <v>19</v>
      </c>
      <c r="J1277">
        <v>3</v>
      </c>
      <c r="K1277">
        <v>17481.849999999999</v>
      </c>
      <c r="L1277" t="s">
        <v>814</v>
      </c>
      <c r="M1277">
        <v>24</v>
      </c>
      <c r="N1277" t="s">
        <v>36</v>
      </c>
      <c r="O1277" s="3" t="s">
        <v>22</v>
      </c>
      <c r="P1277" t="s">
        <v>77</v>
      </c>
      <c r="Q1277" t="s">
        <v>56</v>
      </c>
      <c r="R1277">
        <v>4</v>
      </c>
      <c r="S1277" t="s">
        <v>25</v>
      </c>
      <c r="T1277" s="4">
        <f t="shared" si="98"/>
        <v>52445.549999999996</v>
      </c>
      <c r="U1277" s="4" t="str">
        <f t="shared" si="99"/>
        <v>Good</v>
      </c>
      <c r="V1277" s="4" t="str">
        <f t="shared" si="100"/>
        <v>Average</v>
      </c>
      <c r="W1277" s="4"/>
      <c r="X1277" s="4"/>
      <c r="AJ1277" s="4"/>
    </row>
    <row r="1278" spans="1:36">
      <c r="A1278" t="str">
        <f t="shared" si="96"/>
        <v>Sumi301277</v>
      </c>
      <c r="B1278">
        <v>1277</v>
      </c>
      <c r="C1278">
        <v>8</v>
      </c>
      <c r="D1278">
        <v>10</v>
      </c>
      <c r="E1278">
        <v>2022</v>
      </c>
      <c r="F1278" s="1">
        <f t="shared" si="97"/>
        <v>44842</v>
      </c>
      <c r="G1278" s="1" t="s">
        <v>18</v>
      </c>
      <c r="H1278" s="2">
        <v>45754</v>
      </c>
      <c r="I1278" t="s">
        <v>26</v>
      </c>
      <c r="J1278">
        <v>2</v>
      </c>
      <c r="K1278">
        <v>45172.49</v>
      </c>
      <c r="L1278" t="s">
        <v>815</v>
      </c>
      <c r="M1278">
        <v>30</v>
      </c>
      <c r="N1278" t="s">
        <v>36</v>
      </c>
      <c r="O1278" s="3" t="s">
        <v>22</v>
      </c>
      <c r="P1278" t="s">
        <v>33</v>
      </c>
      <c r="Q1278" t="s">
        <v>30</v>
      </c>
      <c r="R1278">
        <v>5</v>
      </c>
      <c r="S1278" t="s">
        <v>34</v>
      </c>
      <c r="T1278" s="4">
        <f t="shared" si="98"/>
        <v>90344.98</v>
      </c>
      <c r="U1278" s="4" t="str">
        <f t="shared" si="99"/>
        <v>Good</v>
      </c>
      <c r="V1278" s="4" t="str">
        <f t="shared" si="100"/>
        <v>Average</v>
      </c>
      <c r="W1278" s="4"/>
      <c r="X1278" s="4"/>
      <c r="AJ1278" s="4"/>
    </row>
    <row r="1279" spans="1:36">
      <c r="A1279" t="str">
        <f t="shared" si="96"/>
        <v>Pooj211278</v>
      </c>
      <c r="B1279">
        <v>1278</v>
      </c>
      <c r="C1279">
        <v>9</v>
      </c>
      <c r="D1279">
        <v>10</v>
      </c>
      <c r="E1279">
        <v>2022</v>
      </c>
      <c r="F1279" s="1">
        <f t="shared" si="97"/>
        <v>44843</v>
      </c>
      <c r="G1279" s="1" t="s">
        <v>18</v>
      </c>
      <c r="H1279" s="2">
        <v>45755</v>
      </c>
      <c r="I1279" t="s">
        <v>49</v>
      </c>
      <c r="J1279">
        <v>4</v>
      </c>
      <c r="K1279">
        <v>55855.34</v>
      </c>
      <c r="L1279" t="s">
        <v>816</v>
      </c>
      <c r="M1279">
        <v>21</v>
      </c>
      <c r="N1279" t="s">
        <v>36</v>
      </c>
      <c r="O1279" s="3" t="s">
        <v>22</v>
      </c>
      <c r="P1279" t="s">
        <v>29</v>
      </c>
      <c r="Q1279" t="s">
        <v>30</v>
      </c>
      <c r="R1279">
        <v>4</v>
      </c>
      <c r="S1279" t="s">
        <v>88</v>
      </c>
      <c r="T1279" s="4">
        <f t="shared" si="98"/>
        <v>223421.36</v>
      </c>
      <c r="U1279" s="4" t="str">
        <f t="shared" si="99"/>
        <v>Good</v>
      </c>
      <c r="V1279" s="4" t="str">
        <f t="shared" si="100"/>
        <v>Excellent</v>
      </c>
      <c r="W1279" s="4"/>
      <c r="X1279" s="4"/>
      <c r="AJ1279" s="4"/>
    </row>
    <row r="1280" spans="1:36">
      <c r="A1280" t="str">
        <f t="shared" si="96"/>
        <v>Isha591279</v>
      </c>
      <c r="B1280">
        <v>1279</v>
      </c>
      <c r="C1280">
        <v>9</v>
      </c>
      <c r="D1280">
        <v>10</v>
      </c>
      <c r="E1280">
        <v>2022</v>
      </c>
      <c r="F1280" s="1">
        <f t="shared" si="97"/>
        <v>44843</v>
      </c>
      <c r="G1280" s="1" t="s">
        <v>18</v>
      </c>
      <c r="H1280" s="2">
        <v>45756</v>
      </c>
      <c r="I1280" t="s">
        <v>38</v>
      </c>
      <c r="J1280">
        <v>3</v>
      </c>
      <c r="K1280">
        <v>69589.25</v>
      </c>
      <c r="L1280" t="s">
        <v>423</v>
      </c>
      <c r="M1280">
        <v>59</v>
      </c>
      <c r="N1280" t="s">
        <v>61</v>
      </c>
      <c r="O1280" s="3" t="s">
        <v>28</v>
      </c>
      <c r="P1280" t="s">
        <v>29</v>
      </c>
      <c r="Q1280" t="s">
        <v>56</v>
      </c>
      <c r="R1280">
        <v>3</v>
      </c>
      <c r="S1280" t="s">
        <v>99</v>
      </c>
      <c r="T1280" s="4">
        <f t="shared" si="98"/>
        <v>208767.75</v>
      </c>
      <c r="U1280" s="4" t="str">
        <f t="shared" si="99"/>
        <v>Average</v>
      </c>
      <c r="V1280" s="4" t="str">
        <f t="shared" si="100"/>
        <v>Excellent</v>
      </c>
      <c r="W1280" s="4"/>
      <c r="X1280" s="4"/>
      <c r="AJ1280" s="4"/>
    </row>
    <row r="1281" spans="1:36">
      <c r="A1281" t="str">
        <f t="shared" si="96"/>
        <v>Ayes201280</v>
      </c>
      <c r="B1281">
        <v>1280</v>
      </c>
      <c r="C1281">
        <v>9</v>
      </c>
      <c r="D1281">
        <v>10</v>
      </c>
      <c r="E1281">
        <v>2022</v>
      </c>
      <c r="F1281" s="1">
        <f t="shared" si="97"/>
        <v>44843</v>
      </c>
      <c r="G1281" s="1" t="s">
        <v>18</v>
      </c>
      <c r="H1281" s="2">
        <v>45757</v>
      </c>
      <c r="I1281" t="s">
        <v>19</v>
      </c>
      <c r="J1281">
        <v>7</v>
      </c>
      <c r="K1281">
        <v>55498.16</v>
      </c>
      <c r="L1281" t="s">
        <v>690</v>
      </c>
      <c r="M1281">
        <v>20</v>
      </c>
      <c r="N1281" t="s">
        <v>36</v>
      </c>
      <c r="O1281" s="3" t="s">
        <v>55</v>
      </c>
      <c r="P1281" t="s">
        <v>117</v>
      </c>
      <c r="Q1281" t="s">
        <v>41</v>
      </c>
      <c r="R1281">
        <v>1</v>
      </c>
      <c r="S1281" t="s">
        <v>37</v>
      </c>
      <c r="T1281" s="4">
        <f t="shared" si="98"/>
        <v>388487.12</v>
      </c>
      <c r="U1281" s="4" t="str">
        <f t="shared" si="99"/>
        <v>Average</v>
      </c>
      <c r="V1281" s="4" t="str">
        <f t="shared" si="100"/>
        <v>Excellent</v>
      </c>
      <c r="W1281" s="4"/>
      <c r="X1281" s="4"/>
      <c r="AJ1281" s="4"/>
    </row>
    <row r="1282" spans="1:36">
      <c r="A1282" t="str">
        <f t="shared" ref="A1282:A1345" si="101">LEFT(L1282,4)&amp;M1282&amp;B1282</f>
        <v>Umes291281</v>
      </c>
      <c r="B1282">
        <v>1281</v>
      </c>
      <c r="C1282">
        <v>10</v>
      </c>
      <c r="D1282">
        <v>10</v>
      </c>
      <c r="E1282">
        <v>2022</v>
      </c>
      <c r="F1282" s="1">
        <f t="shared" si="97"/>
        <v>44844</v>
      </c>
      <c r="G1282" s="1" t="s">
        <v>18</v>
      </c>
      <c r="H1282" s="2">
        <v>45758</v>
      </c>
      <c r="I1282" t="s">
        <v>26</v>
      </c>
      <c r="J1282">
        <v>8</v>
      </c>
      <c r="K1282">
        <v>57617.94</v>
      </c>
      <c r="L1282" t="s">
        <v>817</v>
      </c>
      <c r="M1282">
        <v>29</v>
      </c>
      <c r="N1282" t="s">
        <v>36</v>
      </c>
      <c r="O1282" s="3" t="s">
        <v>28</v>
      </c>
      <c r="P1282" t="s">
        <v>114</v>
      </c>
      <c r="Q1282" t="s">
        <v>41</v>
      </c>
      <c r="R1282">
        <v>3</v>
      </c>
      <c r="S1282" t="s">
        <v>31</v>
      </c>
      <c r="T1282" s="4">
        <f t="shared" si="98"/>
        <v>460943.52</v>
      </c>
      <c r="U1282" s="4" t="str">
        <f t="shared" si="99"/>
        <v>Average</v>
      </c>
      <c r="V1282" s="4" t="str">
        <f t="shared" si="100"/>
        <v>Excellent</v>
      </c>
      <c r="W1282" s="4"/>
      <c r="X1282" s="4"/>
      <c r="AJ1282" s="4"/>
    </row>
    <row r="1283" spans="1:36">
      <c r="A1283" t="str">
        <f t="shared" si="101"/>
        <v>Lata181282</v>
      </c>
      <c r="B1283">
        <v>1282</v>
      </c>
      <c r="C1283">
        <v>10</v>
      </c>
      <c r="D1283">
        <v>10</v>
      </c>
      <c r="E1283">
        <v>2022</v>
      </c>
      <c r="F1283" s="1">
        <f t="shared" ref="F1283:F1346" si="102">DATE(E1283,D1283,C1283)</f>
        <v>44844</v>
      </c>
      <c r="G1283" s="1" t="s">
        <v>18</v>
      </c>
      <c r="H1283" s="2">
        <v>45759</v>
      </c>
      <c r="I1283" t="s">
        <v>38</v>
      </c>
      <c r="J1283">
        <v>2</v>
      </c>
      <c r="K1283">
        <v>46987.65</v>
      </c>
      <c r="L1283" t="s">
        <v>818</v>
      </c>
      <c r="M1283">
        <v>18</v>
      </c>
      <c r="N1283" t="s">
        <v>36</v>
      </c>
      <c r="O1283" s="3" t="s">
        <v>28</v>
      </c>
      <c r="P1283" t="s">
        <v>29</v>
      </c>
      <c r="Q1283" t="s">
        <v>24</v>
      </c>
      <c r="R1283">
        <v>3</v>
      </c>
      <c r="S1283" t="s">
        <v>99</v>
      </c>
      <c r="T1283" s="4">
        <f t="shared" ref="T1283:T1346" si="103">J1283*K1283</f>
        <v>93975.3</v>
      </c>
      <c r="U1283" s="4" t="str">
        <f t="shared" ref="U1283:U1346" si="104">IF(R1283&gt;=4,"Good","Average")</f>
        <v>Average</v>
      </c>
      <c r="V1283" s="4" t="str">
        <f t="shared" ref="V1283:V1346" si="105">IF(T1283&gt;200000,"Excellent",IF(T1283&gt;100000,"Good",IF(T1283&gt;50000,"Average","Low")))</f>
        <v>Average</v>
      </c>
      <c r="W1283" s="4"/>
      <c r="X1283" s="4"/>
      <c r="AJ1283" s="4"/>
    </row>
    <row r="1284" spans="1:36">
      <c r="A1284" t="str">
        <f t="shared" si="101"/>
        <v>Anit441283</v>
      </c>
      <c r="B1284">
        <v>1283</v>
      </c>
      <c r="C1284">
        <v>10</v>
      </c>
      <c r="D1284">
        <v>10</v>
      </c>
      <c r="E1284">
        <v>2022</v>
      </c>
      <c r="F1284" s="1">
        <f t="shared" si="102"/>
        <v>44844</v>
      </c>
      <c r="G1284" s="1" t="s">
        <v>18</v>
      </c>
      <c r="H1284" s="2">
        <v>45760</v>
      </c>
      <c r="I1284" t="s">
        <v>38</v>
      </c>
      <c r="J1284">
        <v>7</v>
      </c>
      <c r="K1284">
        <v>69155.360000000001</v>
      </c>
      <c r="L1284" t="s">
        <v>662</v>
      </c>
      <c r="M1284">
        <v>44</v>
      </c>
      <c r="N1284" t="s">
        <v>21</v>
      </c>
      <c r="O1284" s="3" t="s">
        <v>22</v>
      </c>
      <c r="P1284" t="s">
        <v>29</v>
      </c>
      <c r="Q1284" t="s">
        <v>56</v>
      </c>
      <c r="R1284">
        <v>5</v>
      </c>
      <c r="S1284" t="s">
        <v>42</v>
      </c>
      <c r="T1284" s="4">
        <f t="shared" si="103"/>
        <v>484087.52</v>
      </c>
      <c r="U1284" s="4" t="str">
        <f t="shared" si="104"/>
        <v>Good</v>
      </c>
      <c r="V1284" s="4" t="str">
        <f t="shared" si="105"/>
        <v>Excellent</v>
      </c>
      <c r="W1284" s="4"/>
      <c r="X1284" s="4"/>
      <c r="AJ1284" s="4"/>
    </row>
    <row r="1285" spans="1:36">
      <c r="A1285" t="str">
        <f t="shared" si="101"/>
        <v>Sanj301284</v>
      </c>
      <c r="B1285">
        <v>1284</v>
      </c>
      <c r="C1285">
        <v>10</v>
      </c>
      <c r="D1285">
        <v>10</v>
      </c>
      <c r="E1285">
        <v>2022</v>
      </c>
      <c r="F1285" s="1">
        <f t="shared" si="102"/>
        <v>44844</v>
      </c>
      <c r="G1285" s="1" t="s">
        <v>18</v>
      </c>
      <c r="H1285" s="2">
        <v>45761</v>
      </c>
      <c r="I1285" t="s">
        <v>19</v>
      </c>
      <c r="J1285">
        <v>8</v>
      </c>
      <c r="K1285">
        <v>48397.38</v>
      </c>
      <c r="L1285" t="s">
        <v>97</v>
      </c>
      <c r="M1285">
        <v>30</v>
      </c>
      <c r="N1285" t="s">
        <v>36</v>
      </c>
      <c r="O1285" s="3" t="s">
        <v>22</v>
      </c>
      <c r="P1285" t="s">
        <v>150</v>
      </c>
      <c r="Q1285" t="s">
        <v>41</v>
      </c>
      <c r="R1285">
        <v>5</v>
      </c>
      <c r="S1285" t="s">
        <v>37</v>
      </c>
      <c r="T1285" s="4">
        <f t="shared" si="103"/>
        <v>387179.04</v>
      </c>
      <c r="U1285" s="4" t="str">
        <f t="shared" si="104"/>
        <v>Good</v>
      </c>
      <c r="V1285" s="4" t="str">
        <f t="shared" si="105"/>
        <v>Excellent</v>
      </c>
      <c r="W1285" s="4"/>
      <c r="X1285" s="4"/>
      <c r="AJ1285" s="4"/>
    </row>
    <row r="1286" spans="1:36">
      <c r="A1286" t="str">
        <f t="shared" si="101"/>
        <v>Isha341285</v>
      </c>
      <c r="B1286">
        <v>1285</v>
      </c>
      <c r="C1286">
        <v>11</v>
      </c>
      <c r="D1286">
        <v>10</v>
      </c>
      <c r="E1286">
        <v>2022</v>
      </c>
      <c r="F1286" s="1">
        <f t="shared" si="102"/>
        <v>44845</v>
      </c>
      <c r="G1286" s="1" t="s">
        <v>18</v>
      </c>
      <c r="H1286" s="2">
        <v>45762</v>
      </c>
      <c r="I1286" t="s">
        <v>43</v>
      </c>
      <c r="J1286">
        <v>6</v>
      </c>
      <c r="K1286">
        <v>61615.199999999997</v>
      </c>
      <c r="L1286" t="s">
        <v>584</v>
      </c>
      <c r="M1286">
        <v>34</v>
      </c>
      <c r="N1286" t="s">
        <v>21</v>
      </c>
      <c r="O1286" s="3" t="s">
        <v>22</v>
      </c>
      <c r="P1286" t="s">
        <v>51</v>
      </c>
      <c r="Q1286" t="s">
        <v>30</v>
      </c>
      <c r="R1286">
        <v>4</v>
      </c>
      <c r="S1286" t="s">
        <v>95</v>
      </c>
      <c r="T1286" s="4">
        <f t="shared" si="103"/>
        <v>369691.19999999995</v>
      </c>
      <c r="U1286" s="4" t="str">
        <f t="shared" si="104"/>
        <v>Good</v>
      </c>
      <c r="V1286" s="4" t="str">
        <f t="shared" si="105"/>
        <v>Excellent</v>
      </c>
      <c r="W1286" s="4"/>
      <c r="X1286" s="4"/>
      <c r="AJ1286" s="4"/>
    </row>
    <row r="1287" spans="1:36">
      <c r="A1287" t="str">
        <f t="shared" si="101"/>
        <v>Meen251286</v>
      </c>
      <c r="B1287">
        <v>1286</v>
      </c>
      <c r="C1287">
        <v>11</v>
      </c>
      <c r="D1287">
        <v>10</v>
      </c>
      <c r="E1287">
        <v>2022</v>
      </c>
      <c r="F1287" s="1">
        <f t="shared" si="102"/>
        <v>44845</v>
      </c>
      <c r="G1287" s="1" t="s">
        <v>18</v>
      </c>
      <c r="H1287" s="2">
        <v>45763</v>
      </c>
      <c r="I1287" t="s">
        <v>19</v>
      </c>
      <c r="J1287">
        <v>6</v>
      </c>
      <c r="K1287">
        <v>66747.08</v>
      </c>
      <c r="L1287" t="s">
        <v>732</v>
      </c>
      <c r="M1287">
        <v>25</v>
      </c>
      <c r="N1287" t="s">
        <v>36</v>
      </c>
      <c r="O1287" s="3" t="s">
        <v>22</v>
      </c>
      <c r="P1287" t="s">
        <v>51</v>
      </c>
      <c r="Q1287" t="s">
        <v>30</v>
      </c>
      <c r="R1287">
        <v>5</v>
      </c>
      <c r="S1287" t="s">
        <v>25</v>
      </c>
      <c r="T1287" s="4">
        <f t="shared" si="103"/>
        <v>400482.48</v>
      </c>
      <c r="U1287" s="4" t="str">
        <f t="shared" si="104"/>
        <v>Good</v>
      </c>
      <c r="V1287" s="4" t="str">
        <f t="shared" si="105"/>
        <v>Excellent</v>
      </c>
      <c r="W1287" s="4"/>
      <c r="X1287" s="4"/>
      <c r="AJ1287" s="4"/>
    </row>
    <row r="1288" spans="1:36">
      <c r="A1288" t="str">
        <f t="shared" si="101"/>
        <v>Neet491287</v>
      </c>
      <c r="B1288">
        <v>1287</v>
      </c>
      <c r="C1288">
        <v>11</v>
      </c>
      <c r="D1288">
        <v>10</v>
      </c>
      <c r="E1288">
        <v>2022</v>
      </c>
      <c r="F1288" s="1">
        <f t="shared" si="102"/>
        <v>44845</v>
      </c>
      <c r="G1288" s="1" t="s">
        <v>18</v>
      </c>
      <c r="H1288" s="2">
        <v>45764</v>
      </c>
      <c r="I1288" t="s">
        <v>26</v>
      </c>
      <c r="J1288">
        <v>1</v>
      </c>
      <c r="K1288">
        <v>65791.509999999995</v>
      </c>
      <c r="L1288" t="s">
        <v>240</v>
      </c>
      <c r="M1288">
        <v>49</v>
      </c>
      <c r="N1288" t="s">
        <v>61</v>
      </c>
      <c r="O1288" s="3" t="s">
        <v>22</v>
      </c>
      <c r="P1288" t="s">
        <v>29</v>
      </c>
      <c r="Q1288" t="s">
        <v>30</v>
      </c>
      <c r="R1288">
        <v>4</v>
      </c>
      <c r="S1288" t="s">
        <v>31</v>
      </c>
      <c r="T1288" s="4">
        <f t="shared" si="103"/>
        <v>65791.509999999995</v>
      </c>
      <c r="U1288" s="4" t="str">
        <f t="shared" si="104"/>
        <v>Good</v>
      </c>
      <c r="V1288" s="4" t="str">
        <f t="shared" si="105"/>
        <v>Average</v>
      </c>
      <c r="W1288" s="4"/>
      <c r="X1288" s="4"/>
      <c r="AJ1288" s="4"/>
    </row>
    <row r="1289" spans="1:36">
      <c r="A1289" t="str">
        <f t="shared" si="101"/>
        <v>Bina371288</v>
      </c>
      <c r="B1289">
        <v>1288</v>
      </c>
      <c r="C1289">
        <v>11</v>
      </c>
      <c r="D1289">
        <v>10</v>
      </c>
      <c r="E1289">
        <v>2022</v>
      </c>
      <c r="F1289" s="1">
        <f t="shared" si="102"/>
        <v>44845</v>
      </c>
      <c r="G1289" s="1" t="s">
        <v>18</v>
      </c>
      <c r="H1289" s="2">
        <v>45765</v>
      </c>
      <c r="I1289" t="s">
        <v>38</v>
      </c>
      <c r="J1289">
        <v>4</v>
      </c>
      <c r="K1289">
        <v>32884.92</v>
      </c>
      <c r="L1289" t="s">
        <v>819</v>
      </c>
      <c r="M1289">
        <v>37</v>
      </c>
      <c r="N1289" t="s">
        <v>21</v>
      </c>
      <c r="O1289" s="3" t="s">
        <v>55</v>
      </c>
      <c r="P1289" t="s">
        <v>33</v>
      </c>
      <c r="Q1289" t="s">
        <v>24</v>
      </c>
      <c r="R1289">
        <v>1</v>
      </c>
      <c r="S1289" t="s">
        <v>99</v>
      </c>
      <c r="T1289" s="4">
        <f t="shared" si="103"/>
        <v>131539.68</v>
      </c>
      <c r="U1289" s="4" t="str">
        <f t="shared" si="104"/>
        <v>Average</v>
      </c>
      <c r="V1289" s="4" t="str">
        <f t="shared" si="105"/>
        <v>Good</v>
      </c>
      <c r="W1289" s="4"/>
      <c r="X1289" s="4"/>
      <c r="AJ1289" s="4"/>
    </row>
    <row r="1290" spans="1:36">
      <c r="A1290" t="str">
        <f t="shared" si="101"/>
        <v>Neet341289</v>
      </c>
      <c r="B1290">
        <v>1289</v>
      </c>
      <c r="C1290">
        <v>12</v>
      </c>
      <c r="D1290">
        <v>10</v>
      </c>
      <c r="E1290">
        <v>2022</v>
      </c>
      <c r="F1290" s="1">
        <f t="shared" si="102"/>
        <v>44846</v>
      </c>
      <c r="G1290" s="1" t="s">
        <v>18</v>
      </c>
      <c r="H1290" s="2">
        <v>45766</v>
      </c>
      <c r="I1290" t="s">
        <v>19</v>
      </c>
      <c r="J1290">
        <v>1</v>
      </c>
      <c r="K1290">
        <v>14719.72</v>
      </c>
      <c r="L1290" t="s">
        <v>496</v>
      </c>
      <c r="M1290">
        <v>34</v>
      </c>
      <c r="N1290" t="s">
        <v>21</v>
      </c>
      <c r="O1290" s="3" t="s">
        <v>22</v>
      </c>
      <c r="P1290" t="s">
        <v>45</v>
      </c>
      <c r="Q1290" t="s">
        <v>41</v>
      </c>
      <c r="R1290">
        <v>5</v>
      </c>
      <c r="S1290" t="s">
        <v>25</v>
      </c>
      <c r="T1290" s="4">
        <f t="shared" si="103"/>
        <v>14719.72</v>
      </c>
      <c r="U1290" s="4" t="str">
        <f t="shared" si="104"/>
        <v>Good</v>
      </c>
      <c r="V1290" s="4" t="str">
        <f t="shared" si="105"/>
        <v>Low</v>
      </c>
      <c r="W1290" s="4"/>
      <c r="X1290" s="4"/>
      <c r="AJ1290" s="4"/>
    </row>
    <row r="1291" spans="1:36">
      <c r="A1291" t="str">
        <f t="shared" si="101"/>
        <v>Suni511290</v>
      </c>
      <c r="B1291">
        <v>1290</v>
      </c>
      <c r="C1291">
        <v>12</v>
      </c>
      <c r="D1291">
        <v>10</v>
      </c>
      <c r="E1291">
        <v>2022</v>
      </c>
      <c r="F1291" s="1">
        <f t="shared" si="102"/>
        <v>44846</v>
      </c>
      <c r="G1291" s="1" t="s">
        <v>18</v>
      </c>
      <c r="H1291" s="2">
        <v>45767</v>
      </c>
      <c r="I1291" t="s">
        <v>43</v>
      </c>
      <c r="J1291">
        <v>4</v>
      </c>
      <c r="K1291">
        <v>20312.419999999998</v>
      </c>
      <c r="L1291" t="s">
        <v>820</v>
      </c>
      <c r="M1291">
        <v>51</v>
      </c>
      <c r="N1291" t="s">
        <v>61</v>
      </c>
      <c r="O1291" s="3" t="s">
        <v>22</v>
      </c>
      <c r="P1291" t="s">
        <v>29</v>
      </c>
      <c r="Q1291" t="s">
        <v>56</v>
      </c>
      <c r="R1291">
        <v>5</v>
      </c>
      <c r="S1291" t="s">
        <v>57</v>
      </c>
      <c r="T1291" s="4">
        <f t="shared" si="103"/>
        <v>81249.679999999993</v>
      </c>
      <c r="U1291" s="4" t="str">
        <f t="shared" si="104"/>
        <v>Good</v>
      </c>
      <c r="V1291" s="4" t="str">
        <f t="shared" si="105"/>
        <v>Average</v>
      </c>
      <c r="W1291" s="4"/>
      <c r="X1291" s="4"/>
      <c r="AJ1291" s="4"/>
    </row>
    <row r="1292" spans="1:36">
      <c r="A1292" t="str">
        <f t="shared" si="101"/>
        <v>Sneh521291</v>
      </c>
      <c r="B1292">
        <v>1291</v>
      </c>
      <c r="C1292">
        <v>12</v>
      </c>
      <c r="D1292">
        <v>10</v>
      </c>
      <c r="E1292">
        <v>2022</v>
      </c>
      <c r="F1292" s="1">
        <f t="shared" si="102"/>
        <v>44846</v>
      </c>
      <c r="G1292" s="1" t="s">
        <v>18</v>
      </c>
      <c r="H1292" s="2">
        <v>45768</v>
      </c>
      <c r="I1292" t="s">
        <v>19</v>
      </c>
      <c r="J1292">
        <v>2</v>
      </c>
      <c r="K1292">
        <v>13553.4</v>
      </c>
      <c r="L1292" t="s">
        <v>243</v>
      </c>
      <c r="M1292">
        <v>52</v>
      </c>
      <c r="N1292" t="s">
        <v>61</v>
      </c>
      <c r="O1292" s="3" t="s">
        <v>22</v>
      </c>
      <c r="P1292" t="s">
        <v>33</v>
      </c>
      <c r="Q1292" t="s">
        <v>41</v>
      </c>
      <c r="R1292">
        <v>5</v>
      </c>
      <c r="S1292" t="s">
        <v>37</v>
      </c>
      <c r="T1292" s="4">
        <f t="shared" si="103"/>
        <v>27106.799999999999</v>
      </c>
      <c r="U1292" s="4" t="str">
        <f t="shared" si="104"/>
        <v>Good</v>
      </c>
      <c r="V1292" s="4" t="str">
        <f t="shared" si="105"/>
        <v>Low</v>
      </c>
      <c r="W1292" s="4"/>
      <c r="X1292" s="4"/>
      <c r="AJ1292" s="4"/>
    </row>
    <row r="1293" spans="1:36">
      <c r="A1293" t="str">
        <f t="shared" si="101"/>
        <v>Isha521292</v>
      </c>
      <c r="B1293">
        <v>1292</v>
      </c>
      <c r="C1293">
        <v>13</v>
      </c>
      <c r="D1293">
        <v>10</v>
      </c>
      <c r="E1293">
        <v>2022</v>
      </c>
      <c r="F1293" s="1">
        <f t="shared" si="102"/>
        <v>44847</v>
      </c>
      <c r="G1293" s="1" t="s">
        <v>18</v>
      </c>
      <c r="H1293" s="2">
        <v>45769</v>
      </c>
      <c r="I1293" t="s">
        <v>49</v>
      </c>
      <c r="J1293">
        <v>5</v>
      </c>
      <c r="K1293">
        <v>16323.82</v>
      </c>
      <c r="L1293" t="s">
        <v>821</v>
      </c>
      <c r="M1293">
        <v>52</v>
      </c>
      <c r="N1293" t="s">
        <v>61</v>
      </c>
      <c r="O1293" s="3" t="s">
        <v>55</v>
      </c>
      <c r="P1293" t="s">
        <v>77</v>
      </c>
      <c r="Q1293" t="s">
        <v>56</v>
      </c>
      <c r="R1293">
        <v>1</v>
      </c>
      <c r="S1293" t="s">
        <v>88</v>
      </c>
      <c r="T1293" s="4">
        <f t="shared" si="103"/>
        <v>81619.100000000006</v>
      </c>
      <c r="U1293" s="4" t="str">
        <f t="shared" si="104"/>
        <v>Average</v>
      </c>
      <c r="V1293" s="4" t="str">
        <f t="shared" si="105"/>
        <v>Average</v>
      </c>
      <c r="W1293" s="4"/>
      <c r="X1293" s="4"/>
      <c r="AJ1293" s="4"/>
    </row>
    <row r="1294" spans="1:36">
      <c r="A1294" t="str">
        <f t="shared" si="101"/>
        <v>Priy551293</v>
      </c>
      <c r="B1294">
        <v>1293</v>
      </c>
      <c r="C1294">
        <v>13</v>
      </c>
      <c r="D1294">
        <v>10</v>
      </c>
      <c r="E1294">
        <v>2022</v>
      </c>
      <c r="F1294" s="1">
        <f t="shared" si="102"/>
        <v>44847</v>
      </c>
      <c r="G1294" s="1" t="s">
        <v>18</v>
      </c>
      <c r="H1294" s="2">
        <v>45770</v>
      </c>
      <c r="I1294" t="s">
        <v>43</v>
      </c>
      <c r="J1294">
        <v>9</v>
      </c>
      <c r="K1294">
        <v>21079.07</v>
      </c>
      <c r="L1294" t="s">
        <v>560</v>
      </c>
      <c r="M1294">
        <v>55</v>
      </c>
      <c r="N1294" t="s">
        <v>61</v>
      </c>
      <c r="O1294" s="3" t="s">
        <v>22</v>
      </c>
      <c r="P1294" t="s">
        <v>33</v>
      </c>
      <c r="Q1294" t="s">
        <v>56</v>
      </c>
      <c r="R1294">
        <v>5</v>
      </c>
      <c r="S1294" t="s">
        <v>95</v>
      </c>
      <c r="T1294" s="4">
        <f t="shared" si="103"/>
        <v>189711.63</v>
      </c>
      <c r="U1294" s="4" t="str">
        <f t="shared" si="104"/>
        <v>Good</v>
      </c>
      <c r="V1294" s="4" t="str">
        <f t="shared" si="105"/>
        <v>Good</v>
      </c>
      <c r="W1294" s="4"/>
      <c r="X1294" s="4"/>
      <c r="AJ1294" s="4"/>
    </row>
    <row r="1295" spans="1:36">
      <c r="A1295" t="str">
        <f t="shared" si="101"/>
        <v>Deep591294</v>
      </c>
      <c r="B1295">
        <v>1294</v>
      </c>
      <c r="C1295">
        <v>13</v>
      </c>
      <c r="D1295">
        <v>10</v>
      </c>
      <c r="E1295">
        <v>2022</v>
      </c>
      <c r="F1295" s="1">
        <f t="shared" si="102"/>
        <v>44847</v>
      </c>
      <c r="G1295" s="1" t="s">
        <v>18</v>
      </c>
      <c r="H1295" s="2">
        <v>45771</v>
      </c>
      <c r="I1295" t="s">
        <v>26</v>
      </c>
      <c r="J1295">
        <v>3</v>
      </c>
      <c r="K1295">
        <v>30465.66</v>
      </c>
      <c r="L1295" t="s">
        <v>96</v>
      </c>
      <c r="M1295">
        <v>59</v>
      </c>
      <c r="N1295" t="s">
        <v>61</v>
      </c>
      <c r="O1295" s="3" t="s">
        <v>55</v>
      </c>
      <c r="P1295" t="s">
        <v>33</v>
      </c>
      <c r="Q1295" t="s">
        <v>41</v>
      </c>
      <c r="R1295">
        <v>1</v>
      </c>
      <c r="S1295" t="s">
        <v>34</v>
      </c>
      <c r="T1295" s="4">
        <f t="shared" si="103"/>
        <v>91396.98</v>
      </c>
      <c r="U1295" s="4" t="str">
        <f t="shared" si="104"/>
        <v>Average</v>
      </c>
      <c r="V1295" s="4" t="str">
        <f t="shared" si="105"/>
        <v>Average</v>
      </c>
      <c r="W1295" s="4"/>
      <c r="X1295" s="4"/>
      <c r="AJ1295" s="4"/>
    </row>
    <row r="1296" spans="1:36">
      <c r="A1296" t="str">
        <f t="shared" si="101"/>
        <v>Bhav411295</v>
      </c>
      <c r="B1296">
        <v>1295</v>
      </c>
      <c r="C1296">
        <v>14</v>
      </c>
      <c r="D1296">
        <v>10</v>
      </c>
      <c r="E1296">
        <v>2022</v>
      </c>
      <c r="F1296" s="1">
        <f t="shared" si="102"/>
        <v>44848</v>
      </c>
      <c r="G1296" s="1" t="s">
        <v>18</v>
      </c>
      <c r="H1296" s="2">
        <v>45772</v>
      </c>
      <c r="I1296" t="s">
        <v>38</v>
      </c>
      <c r="J1296">
        <v>8</v>
      </c>
      <c r="K1296">
        <v>42612.38</v>
      </c>
      <c r="L1296" t="s">
        <v>822</v>
      </c>
      <c r="M1296">
        <v>41</v>
      </c>
      <c r="N1296" t="s">
        <v>21</v>
      </c>
      <c r="O1296" s="3" t="s">
        <v>22</v>
      </c>
      <c r="P1296" t="s">
        <v>137</v>
      </c>
      <c r="Q1296" t="s">
        <v>30</v>
      </c>
      <c r="R1296">
        <v>4</v>
      </c>
      <c r="S1296" t="s">
        <v>42</v>
      </c>
      <c r="T1296" s="4">
        <f t="shared" si="103"/>
        <v>340899.04</v>
      </c>
      <c r="U1296" s="4" t="str">
        <f t="shared" si="104"/>
        <v>Good</v>
      </c>
      <c r="V1296" s="4" t="str">
        <f t="shared" si="105"/>
        <v>Excellent</v>
      </c>
      <c r="W1296" s="4"/>
      <c r="X1296" s="4"/>
      <c r="AJ1296" s="4"/>
    </row>
    <row r="1297" spans="1:36">
      <c r="A1297" t="str">
        <f t="shared" si="101"/>
        <v>Suni351296</v>
      </c>
      <c r="B1297">
        <v>1296</v>
      </c>
      <c r="C1297">
        <v>14</v>
      </c>
      <c r="D1297">
        <v>10</v>
      </c>
      <c r="E1297">
        <v>2022</v>
      </c>
      <c r="F1297" s="1">
        <f t="shared" si="102"/>
        <v>44848</v>
      </c>
      <c r="G1297" s="1" t="s">
        <v>18</v>
      </c>
      <c r="H1297" s="2">
        <v>45773</v>
      </c>
      <c r="I1297" t="s">
        <v>19</v>
      </c>
      <c r="J1297">
        <v>3</v>
      </c>
      <c r="K1297">
        <v>52700.92</v>
      </c>
      <c r="L1297" t="s">
        <v>579</v>
      </c>
      <c r="M1297">
        <v>35</v>
      </c>
      <c r="N1297" t="s">
        <v>21</v>
      </c>
      <c r="O1297" s="3" t="s">
        <v>22</v>
      </c>
      <c r="P1297" t="s">
        <v>33</v>
      </c>
      <c r="Q1297" t="s">
        <v>30</v>
      </c>
      <c r="R1297">
        <v>5</v>
      </c>
      <c r="S1297" t="s">
        <v>84</v>
      </c>
      <c r="T1297" s="4">
        <f t="shared" si="103"/>
        <v>158102.76</v>
      </c>
      <c r="U1297" s="4" t="str">
        <f t="shared" si="104"/>
        <v>Good</v>
      </c>
      <c r="V1297" s="4" t="str">
        <f t="shared" si="105"/>
        <v>Good</v>
      </c>
      <c r="W1297" s="4"/>
      <c r="X1297" s="4"/>
      <c r="AJ1297" s="4"/>
    </row>
    <row r="1298" spans="1:36">
      <c r="A1298" t="str">
        <f t="shared" si="101"/>
        <v>Adit561297</v>
      </c>
      <c r="B1298">
        <v>1297</v>
      </c>
      <c r="C1298">
        <v>14</v>
      </c>
      <c r="D1298">
        <v>10</v>
      </c>
      <c r="E1298">
        <v>2022</v>
      </c>
      <c r="F1298" s="1">
        <f t="shared" si="102"/>
        <v>44848</v>
      </c>
      <c r="G1298" s="1" t="s">
        <v>18</v>
      </c>
      <c r="H1298" s="2">
        <v>45774</v>
      </c>
      <c r="I1298" t="s">
        <v>43</v>
      </c>
      <c r="J1298">
        <v>6</v>
      </c>
      <c r="K1298">
        <v>22655.64</v>
      </c>
      <c r="L1298" t="s">
        <v>772</v>
      </c>
      <c r="M1298">
        <v>56</v>
      </c>
      <c r="N1298" t="s">
        <v>61</v>
      </c>
      <c r="O1298" s="3" t="s">
        <v>22</v>
      </c>
      <c r="P1298" t="s">
        <v>29</v>
      </c>
      <c r="Q1298" t="s">
        <v>56</v>
      </c>
      <c r="R1298">
        <v>5</v>
      </c>
      <c r="S1298" t="s">
        <v>57</v>
      </c>
      <c r="T1298" s="4">
        <f t="shared" si="103"/>
        <v>135933.84</v>
      </c>
      <c r="U1298" s="4" t="str">
        <f t="shared" si="104"/>
        <v>Good</v>
      </c>
      <c r="V1298" s="4" t="str">
        <f t="shared" si="105"/>
        <v>Good</v>
      </c>
      <c r="W1298" s="4"/>
      <c r="X1298" s="4"/>
      <c r="AJ1298" s="4"/>
    </row>
    <row r="1299" spans="1:36">
      <c r="A1299" t="str">
        <f t="shared" si="101"/>
        <v>Kira501298</v>
      </c>
      <c r="B1299">
        <v>1298</v>
      </c>
      <c r="C1299">
        <v>14</v>
      </c>
      <c r="D1299">
        <v>10</v>
      </c>
      <c r="E1299">
        <v>2022</v>
      </c>
      <c r="F1299" s="1">
        <f t="shared" si="102"/>
        <v>44848</v>
      </c>
      <c r="G1299" s="1" t="s">
        <v>18</v>
      </c>
      <c r="H1299" s="2">
        <v>45775</v>
      </c>
      <c r="I1299" t="s">
        <v>49</v>
      </c>
      <c r="J1299">
        <v>4</v>
      </c>
      <c r="K1299">
        <v>50351.34</v>
      </c>
      <c r="L1299" t="s">
        <v>823</v>
      </c>
      <c r="M1299">
        <v>50</v>
      </c>
      <c r="N1299" t="s">
        <v>61</v>
      </c>
      <c r="O1299" s="3" t="s">
        <v>22</v>
      </c>
      <c r="P1299" t="s">
        <v>23</v>
      </c>
      <c r="Q1299" t="s">
        <v>30</v>
      </c>
      <c r="R1299">
        <v>4</v>
      </c>
      <c r="S1299" t="s">
        <v>88</v>
      </c>
      <c r="T1299" s="4">
        <f t="shared" si="103"/>
        <v>201405.36</v>
      </c>
      <c r="U1299" s="4" t="str">
        <f t="shared" si="104"/>
        <v>Good</v>
      </c>
      <c r="V1299" s="4" t="str">
        <f t="shared" si="105"/>
        <v>Excellent</v>
      </c>
      <c r="W1299" s="4"/>
      <c r="X1299" s="4"/>
      <c r="AJ1299" s="4"/>
    </row>
    <row r="1300" spans="1:36">
      <c r="A1300" t="str">
        <f t="shared" si="101"/>
        <v>Meen401299</v>
      </c>
      <c r="B1300">
        <v>1299</v>
      </c>
      <c r="C1300">
        <v>15</v>
      </c>
      <c r="D1300">
        <v>10</v>
      </c>
      <c r="E1300">
        <v>2022</v>
      </c>
      <c r="F1300" s="1">
        <f t="shared" si="102"/>
        <v>44849</v>
      </c>
      <c r="G1300" s="1" t="s">
        <v>18</v>
      </c>
      <c r="H1300" s="2">
        <v>45776</v>
      </c>
      <c r="I1300" t="s">
        <v>43</v>
      </c>
      <c r="J1300">
        <v>8</v>
      </c>
      <c r="K1300">
        <v>52255.54</v>
      </c>
      <c r="L1300" t="s">
        <v>666</v>
      </c>
      <c r="M1300">
        <v>40</v>
      </c>
      <c r="N1300" t="s">
        <v>21</v>
      </c>
      <c r="O1300" s="3" t="s">
        <v>22</v>
      </c>
      <c r="P1300" t="s">
        <v>114</v>
      </c>
      <c r="Q1300" t="s">
        <v>24</v>
      </c>
      <c r="R1300">
        <v>5</v>
      </c>
      <c r="S1300" t="s">
        <v>95</v>
      </c>
      <c r="T1300" s="4">
        <f t="shared" si="103"/>
        <v>418044.32</v>
      </c>
      <c r="U1300" s="4" t="str">
        <f t="shared" si="104"/>
        <v>Good</v>
      </c>
      <c r="V1300" s="4" t="str">
        <f t="shared" si="105"/>
        <v>Excellent</v>
      </c>
      <c r="W1300" s="4"/>
      <c r="X1300" s="4"/>
      <c r="AJ1300" s="4"/>
    </row>
    <row r="1301" spans="1:36">
      <c r="A1301" t="str">
        <f t="shared" si="101"/>
        <v>Pank421300</v>
      </c>
      <c r="B1301">
        <v>1300</v>
      </c>
      <c r="C1301">
        <v>15</v>
      </c>
      <c r="D1301">
        <v>10</v>
      </c>
      <c r="E1301">
        <v>2022</v>
      </c>
      <c r="F1301" s="1">
        <f t="shared" si="102"/>
        <v>44849</v>
      </c>
      <c r="G1301" s="1" t="s">
        <v>18</v>
      </c>
      <c r="H1301" s="2">
        <v>45777</v>
      </c>
      <c r="I1301" t="s">
        <v>49</v>
      </c>
      <c r="J1301">
        <v>6</v>
      </c>
      <c r="K1301">
        <v>43517.34</v>
      </c>
      <c r="L1301" t="s">
        <v>824</v>
      </c>
      <c r="M1301">
        <v>42</v>
      </c>
      <c r="N1301" t="s">
        <v>21</v>
      </c>
      <c r="O1301" s="3" t="s">
        <v>28</v>
      </c>
      <c r="P1301" t="s">
        <v>51</v>
      </c>
      <c r="Q1301" t="s">
        <v>24</v>
      </c>
      <c r="R1301">
        <v>3</v>
      </c>
      <c r="S1301" t="s">
        <v>52</v>
      </c>
      <c r="T1301" s="4">
        <f t="shared" si="103"/>
        <v>261104.03999999998</v>
      </c>
      <c r="U1301" s="4" t="str">
        <f t="shared" si="104"/>
        <v>Average</v>
      </c>
      <c r="V1301" s="4" t="str">
        <f t="shared" si="105"/>
        <v>Excellent</v>
      </c>
      <c r="W1301" s="4"/>
      <c r="X1301" s="4"/>
      <c r="AJ1301" s="4"/>
    </row>
    <row r="1302" spans="1:36">
      <c r="A1302" t="str">
        <f t="shared" si="101"/>
        <v>Sumi541301</v>
      </c>
      <c r="B1302">
        <v>1301</v>
      </c>
      <c r="C1302">
        <v>15</v>
      </c>
      <c r="D1302">
        <v>10</v>
      </c>
      <c r="E1302">
        <v>2022</v>
      </c>
      <c r="F1302" s="1">
        <f t="shared" si="102"/>
        <v>44849</v>
      </c>
      <c r="G1302" s="1" t="s">
        <v>18</v>
      </c>
      <c r="H1302" s="2">
        <v>45778</v>
      </c>
      <c r="I1302" t="s">
        <v>26</v>
      </c>
      <c r="J1302">
        <v>8</v>
      </c>
      <c r="K1302">
        <v>64217.07</v>
      </c>
      <c r="L1302" t="s">
        <v>367</v>
      </c>
      <c r="M1302">
        <v>54</v>
      </c>
      <c r="N1302" t="s">
        <v>61</v>
      </c>
      <c r="O1302" s="3" t="s">
        <v>55</v>
      </c>
      <c r="P1302" t="s">
        <v>29</v>
      </c>
      <c r="Q1302" t="s">
        <v>56</v>
      </c>
      <c r="R1302">
        <v>1</v>
      </c>
      <c r="S1302" t="s">
        <v>67</v>
      </c>
      <c r="T1302" s="4">
        <f t="shared" si="103"/>
        <v>513736.56</v>
      </c>
      <c r="U1302" s="4" t="str">
        <f t="shared" si="104"/>
        <v>Average</v>
      </c>
      <c r="V1302" s="4" t="str">
        <f t="shared" si="105"/>
        <v>Excellent</v>
      </c>
      <c r="W1302" s="4"/>
      <c r="X1302" s="4"/>
      <c r="AJ1302" s="4"/>
    </row>
    <row r="1303" spans="1:36">
      <c r="A1303" t="str">
        <f t="shared" si="101"/>
        <v>Ayes441302</v>
      </c>
      <c r="B1303">
        <v>1302</v>
      </c>
      <c r="C1303">
        <v>15</v>
      </c>
      <c r="D1303">
        <v>10</v>
      </c>
      <c r="E1303">
        <v>2022</v>
      </c>
      <c r="F1303" s="1">
        <f t="shared" si="102"/>
        <v>44849</v>
      </c>
      <c r="G1303" s="1" t="s">
        <v>18</v>
      </c>
      <c r="H1303" s="2">
        <v>45779</v>
      </c>
      <c r="I1303" t="s">
        <v>38</v>
      </c>
      <c r="J1303">
        <v>1</v>
      </c>
      <c r="K1303">
        <v>16659.689999999999</v>
      </c>
      <c r="L1303" t="s">
        <v>746</v>
      </c>
      <c r="M1303">
        <v>44</v>
      </c>
      <c r="N1303" t="s">
        <v>21</v>
      </c>
      <c r="O1303" s="3" t="s">
        <v>22</v>
      </c>
      <c r="P1303" t="s">
        <v>132</v>
      </c>
      <c r="Q1303" t="s">
        <v>30</v>
      </c>
      <c r="R1303">
        <v>5</v>
      </c>
      <c r="S1303" t="s">
        <v>99</v>
      </c>
      <c r="T1303" s="4">
        <f t="shared" si="103"/>
        <v>16659.689999999999</v>
      </c>
      <c r="U1303" s="4" t="str">
        <f t="shared" si="104"/>
        <v>Good</v>
      </c>
      <c r="V1303" s="4" t="str">
        <f t="shared" si="105"/>
        <v>Low</v>
      </c>
      <c r="W1303" s="4"/>
      <c r="X1303" s="4"/>
      <c r="AJ1303" s="4"/>
    </row>
    <row r="1304" spans="1:36">
      <c r="A1304" t="str">
        <f t="shared" si="101"/>
        <v>Sneh181303</v>
      </c>
      <c r="B1304">
        <v>1303</v>
      </c>
      <c r="C1304">
        <v>16</v>
      </c>
      <c r="D1304">
        <v>10</v>
      </c>
      <c r="E1304">
        <v>2022</v>
      </c>
      <c r="F1304" s="1">
        <f t="shared" si="102"/>
        <v>44850</v>
      </c>
      <c r="G1304" s="1" t="s">
        <v>18</v>
      </c>
      <c r="H1304" s="2">
        <v>45780</v>
      </c>
      <c r="I1304" t="s">
        <v>26</v>
      </c>
      <c r="J1304">
        <v>6</v>
      </c>
      <c r="K1304">
        <v>20627.29</v>
      </c>
      <c r="L1304" t="s">
        <v>825</v>
      </c>
      <c r="M1304">
        <v>18</v>
      </c>
      <c r="N1304" t="s">
        <v>36</v>
      </c>
      <c r="O1304" s="3" t="s">
        <v>28</v>
      </c>
      <c r="P1304" t="s">
        <v>64</v>
      </c>
      <c r="Q1304" t="s">
        <v>56</v>
      </c>
      <c r="R1304">
        <v>3</v>
      </c>
      <c r="S1304" t="s">
        <v>67</v>
      </c>
      <c r="T1304" s="4">
        <f t="shared" si="103"/>
        <v>123763.74</v>
      </c>
      <c r="U1304" s="4" t="str">
        <f t="shared" si="104"/>
        <v>Average</v>
      </c>
      <c r="V1304" s="4" t="str">
        <f t="shared" si="105"/>
        <v>Good</v>
      </c>
      <c r="W1304" s="4"/>
      <c r="X1304" s="4"/>
      <c r="AJ1304" s="4"/>
    </row>
    <row r="1305" spans="1:36">
      <c r="A1305" t="str">
        <f t="shared" si="101"/>
        <v>Lali381304</v>
      </c>
      <c r="B1305">
        <v>1304</v>
      </c>
      <c r="C1305">
        <v>16</v>
      </c>
      <c r="D1305">
        <v>10</v>
      </c>
      <c r="E1305">
        <v>2022</v>
      </c>
      <c r="F1305" s="1">
        <f t="shared" si="102"/>
        <v>44850</v>
      </c>
      <c r="G1305" s="1" t="s">
        <v>18</v>
      </c>
      <c r="H1305" s="2">
        <v>45781</v>
      </c>
      <c r="I1305" t="s">
        <v>19</v>
      </c>
      <c r="J1305">
        <v>1</v>
      </c>
      <c r="K1305">
        <v>35719.89</v>
      </c>
      <c r="L1305" t="s">
        <v>724</v>
      </c>
      <c r="M1305">
        <v>38</v>
      </c>
      <c r="N1305" t="s">
        <v>21</v>
      </c>
      <c r="O1305" s="3" t="s">
        <v>22</v>
      </c>
      <c r="P1305" t="s">
        <v>93</v>
      </c>
      <c r="Q1305" t="s">
        <v>24</v>
      </c>
      <c r="R1305">
        <v>5</v>
      </c>
      <c r="S1305" t="s">
        <v>37</v>
      </c>
      <c r="T1305" s="4">
        <f t="shared" si="103"/>
        <v>35719.89</v>
      </c>
      <c r="U1305" s="4" t="str">
        <f t="shared" si="104"/>
        <v>Good</v>
      </c>
      <c r="V1305" s="4" t="str">
        <f t="shared" si="105"/>
        <v>Low</v>
      </c>
      <c r="W1305" s="4"/>
      <c r="X1305" s="4"/>
      <c r="AJ1305" s="4"/>
    </row>
    <row r="1306" spans="1:36">
      <c r="A1306" t="str">
        <f t="shared" si="101"/>
        <v>Kira271305</v>
      </c>
      <c r="B1306">
        <v>1305</v>
      </c>
      <c r="C1306">
        <v>16</v>
      </c>
      <c r="D1306">
        <v>10</v>
      </c>
      <c r="E1306">
        <v>2022</v>
      </c>
      <c r="F1306" s="1">
        <f t="shared" si="102"/>
        <v>44850</v>
      </c>
      <c r="G1306" s="1" t="s">
        <v>18</v>
      </c>
      <c r="H1306" s="2">
        <v>45782</v>
      </c>
      <c r="I1306" t="s">
        <v>43</v>
      </c>
      <c r="J1306">
        <v>1</v>
      </c>
      <c r="K1306">
        <v>17602.759999999998</v>
      </c>
      <c r="L1306" t="s">
        <v>610</v>
      </c>
      <c r="M1306">
        <v>27</v>
      </c>
      <c r="N1306" t="s">
        <v>36</v>
      </c>
      <c r="O1306" s="3" t="s">
        <v>28</v>
      </c>
      <c r="P1306" t="s">
        <v>33</v>
      </c>
      <c r="Q1306" t="s">
        <v>24</v>
      </c>
      <c r="R1306">
        <v>3</v>
      </c>
      <c r="S1306" t="s">
        <v>95</v>
      </c>
      <c r="T1306" s="4">
        <f t="shared" si="103"/>
        <v>17602.759999999998</v>
      </c>
      <c r="U1306" s="4" t="str">
        <f t="shared" si="104"/>
        <v>Average</v>
      </c>
      <c r="V1306" s="4" t="str">
        <f t="shared" si="105"/>
        <v>Low</v>
      </c>
      <c r="W1306" s="4"/>
      <c r="X1306" s="4"/>
      <c r="AJ1306" s="4"/>
    </row>
    <row r="1307" spans="1:36">
      <c r="A1307" t="str">
        <f t="shared" si="101"/>
        <v>Neet481306</v>
      </c>
      <c r="B1307">
        <v>1306</v>
      </c>
      <c r="C1307">
        <v>16</v>
      </c>
      <c r="D1307">
        <v>10</v>
      </c>
      <c r="E1307">
        <v>2022</v>
      </c>
      <c r="F1307" s="1">
        <f t="shared" si="102"/>
        <v>44850</v>
      </c>
      <c r="G1307" s="1" t="s">
        <v>18</v>
      </c>
      <c r="H1307" s="2">
        <v>45783</v>
      </c>
      <c r="I1307" t="s">
        <v>49</v>
      </c>
      <c r="J1307">
        <v>8</v>
      </c>
      <c r="K1307">
        <v>43977.77</v>
      </c>
      <c r="L1307" t="s">
        <v>726</v>
      </c>
      <c r="M1307">
        <v>48</v>
      </c>
      <c r="N1307" t="s">
        <v>61</v>
      </c>
      <c r="O1307" s="3" t="s">
        <v>28</v>
      </c>
      <c r="P1307" t="s">
        <v>90</v>
      </c>
      <c r="Q1307" t="s">
        <v>24</v>
      </c>
      <c r="R1307">
        <v>3</v>
      </c>
      <c r="S1307" t="s">
        <v>102</v>
      </c>
      <c r="T1307" s="4">
        <f t="shared" si="103"/>
        <v>351822.16</v>
      </c>
      <c r="U1307" s="4" t="str">
        <f t="shared" si="104"/>
        <v>Average</v>
      </c>
      <c r="V1307" s="4" t="str">
        <f t="shared" si="105"/>
        <v>Excellent</v>
      </c>
      <c r="W1307" s="4"/>
      <c r="X1307" s="4"/>
      <c r="AJ1307" s="4"/>
    </row>
    <row r="1308" spans="1:36">
      <c r="A1308" t="str">
        <f t="shared" si="101"/>
        <v>Vive421307</v>
      </c>
      <c r="B1308">
        <v>1307</v>
      </c>
      <c r="C1308">
        <v>17</v>
      </c>
      <c r="D1308">
        <v>10</v>
      </c>
      <c r="E1308">
        <v>2022</v>
      </c>
      <c r="F1308" s="1">
        <f t="shared" si="102"/>
        <v>44851</v>
      </c>
      <c r="G1308" s="1" t="s">
        <v>18</v>
      </c>
      <c r="H1308" s="2">
        <v>45784</v>
      </c>
      <c r="I1308" t="s">
        <v>49</v>
      </c>
      <c r="J1308">
        <v>7</v>
      </c>
      <c r="K1308">
        <v>33904.03</v>
      </c>
      <c r="L1308" t="s">
        <v>320</v>
      </c>
      <c r="M1308">
        <v>42</v>
      </c>
      <c r="N1308" t="s">
        <v>21</v>
      </c>
      <c r="O1308" s="3" t="s">
        <v>28</v>
      </c>
      <c r="P1308" t="s">
        <v>33</v>
      </c>
      <c r="Q1308" t="s">
        <v>41</v>
      </c>
      <c r="R1308">
        <v>3</v>
      </c>
      <c r="S1308" t="s">
        <v>88</v>
      </c>
      <c r="T1308" s="4">
        <f t="shared" si="103"/>
        <v>237328.21</v>
      </c>
      <c r="U1308" s="4" t="str">
        <f t="shared" si="104"/>
        <v>Average</v>
      </c>
      <c r="V1308" s="4" t="str">
        <f t="shared" si="105"/>
        <v>Excellent</v>
      </c>
      <c r="W1308" s="4"/>
      <c r="X1308" s="4"/>
      <c r="AJ1308" s="4"/>
    </row>
    <row r="1309" spans="1:36">
      <c r="A1309" t="str">
        <f t="shared" si="101"/>
        <v>Vino371308</v>
      </c>
      <c r="B1309">
        <v>1308</v>
      </c>
      <c r="C1309">
        <v>17</v>
      </c>
      <c r="D1309">
        <v>10</v>
      </c>
      <c r="E1309">
        <v>2022</v>
      </c>
      <c r="F1309" s="1">
        <f t="shared" si="102"/>
        <v>44851</v>
      </c>
      <c r="G1309" s="1" t="s">
        <v>18</v>
      </c>
      <c r="H1309" s="2">
        <v>45785</v>
      </c>
      <c r="I1309" t="s">
        <v>43</v>
      </c>
      <c r="J1309">
        <v>3</v>
      </c>
      <c r="K1309">
        <v>27075.75</v>
      </c>
      <c r="L1309" t="s">
        <v>431</v>
      </c>
      <c r="M1309">
        <v>37</v>
      </c>
      <c r="N1309" t="s">
        <v>21</v>
      </c>
      <c r="O1309" s="3" t="s">
        <v>55</v>
      </c>
      <c r="P1309" t="s">
        <v>110</v>
      </c>
      <c r="Q1309" t="s">
        <v>24</v>
      </c>
      <c r="R1309">
        <v>1</v>
      </c>
      <c r="S1309" t="s">
        <v>57</v>
      </c>
      <c r="T1309" s="4">
        <f t="shared" si="103"/>
        <v>81227.25</v>
      </c>
      <c r="U1309" s="4" t="str">
        <f t="shared" si="104"/>
        <v>Average</v>
      </c>
      <c r="V1309" s="4" t="str">
        <f t="shared" si="105"/>
        <v>Average</v>
      </c>
      <c r="W1309" s="4"/>
      <c r="X1309" s="4"/>
      <c r="AJ1309" s="4"/>
    </row>
    <row r="1310" spans="1:36">
      <c r="A1310" t="str">
        <f t="shared" si="101"/>
        <v>Vino191309</v>
      </c>
      <c r="B1310">
        <v>1309</v>
      </c>
      <c r="C1310">
        <v>17</v>
      </c>
      <c r="D1310">
        <v>10</v>
      </c>
      <c r="E1310">
        <v>2022</v>
      </c>
      <c r="F1310" s="1">
        <f t="shared" si="102"/>
        <v>44851</v>
      </c>
      <c r="G1310" s="1" t="s">
        <v>18</v>
      </c>
      <c r="H1310" s="2">
        <v>45786</v>
      </c>
      <c r="I1310" t="s">
        <v>43</v>
      </c>
      <c r="J1310">
        <v>6</v>
      </c>
      <c r="K1310">
        <v>20199.39</v>
      </c>
      <c r="L1310" t="s">
        <v>431</v>
      </c>
      <c r="M1310">
        <v>19</v>
      </c>
      <c r="N1310" t="s">
        <v>36</v>
      </c>
      <c r="O1310" s="3" t="s">
        <v>22</v>
      </c>
      <c r="P1310" t="s">
        <v>70</v>
      </c>
      <c r="Q1310" t="s">
        <v>30</v>
      </c>
      <c r="R1310">
        <v>5</v>
      </c>
      <c r="S1310" t="s">
        <v>95</v>
      </c>
      <c r="T1310" s="4">
        <f t="shared" si="103"/>
        <v>121196.34</v>
      </c>
      <c r="U1310" s="4" t="str">
        <f t="shared" si="104"/>
        <v>Good</v>
      </c>
      <c r="V1310" s="4" t="str">
        <f t="shared" si="105"/>
        <v>Good</v>
      </c>
      <c r="W1310" s="4"/>
      <c r="X1310" s="4"/>
      <c r="AJ1310" s="4"/>
    </row>
    <row r="1311" spans="1:36">
      <c r="A1311" t="str">
        <f t="shared" si="101"/>
        <v>Kris321310</v>
      </c>
      <c r="B1311">
        <v>1310</v>
      </c>
      <c r="C1311">
        <v>17</v>
      </c>
      <c r="D1311">
        <v>10</v>
      </c>
      <c r="E1311">
        <v>2022</v>
      </c>
      <c r="F1311" s="1">
        <f t="shared" si="102"/>
        <v>44851</v>
      </c>
      <c r="G1311" s="1" t="s">
        <v>18</v>
      </c>
      <c r="H1311" s="2">
        <v>45787</v>
      </c>
      <c r="I1311" t="s">
        <v>19</v>
      </c>
      <c r="J1311">
        <v>9</v>
      </c>
      <c r="K1311">
        <v>30120.29</v>
      </c>
      <c r="L1311" t="s">
        <v>266</v>
      </c>
      <c r="M1311">
        <v>32</v>
      </c>
      <c r="N1311" t="s">
        <v>21</v>
      </c>
      <c r="O1311" s="3" t="s">
        <v>22</v>
      </c>
      <c r="P1311" t="s">
        <v>33</v>
      </c>
      <c r="Q1311" t="s">
        <v>41</v>
      </c>
      <c r="R1311">
        <v>4</v>
      </c>
      <c r="S1311" t="s">
        <v>37</v>
      </c>
      <c r="T1311" s="4">
        <f t="shared" si="103"/>
        <v>271082.61</v>
      </c>
      <c r="U1311" s="4" t="str">
        <f t="shared" si="104"/>
        <v>Good</v>
      </c>
      <c r="V1311" s="4" t="str">
        <f t="shared" si="105"/>
        <v>Excellent</v>
      </c>
      <c r="W1311" s="4"/>
      <c r="X1311" s="4"/>
      <c r="AJ1311" s="4"/>
    </row>
    <row r="1312" spans="1:36">
      <c r="A1312" t="str">
        <f t="shared" si="101"/>
        <v>Shru451311</v>
      </c>
      <c r="B1312">
        <v>1311</v>
      </c>
      <c r="C1312">
        <v>18</v>
      </c>
      <c r="D1312">
        <v>10</v>
      </c>
      <c r="E1312">
        <v>2022</v>
      </c>
      <c r="F1312" s="1">
        <f t="shared" si="102"/>
        <v>44852</v>
      </c>
      <c r="G1312" s="1" t="s">
        <v>18</v>
      </c>
      <c r="H1312" s="2">
        <v>45788</v>
      </c>
      <c r="I1312" t="s">
        <v>26</v>
      </c>
      <c r="J1312">
        <v>7</v>
      </c>
      <c r="K1312">
        <v>46477.56</v>
      </c>
      <c r="L1312" t="s">
        <v>311</v>
      </c>
      <c r="M1312">
        <v>45</v>
      </c>
      <c r="N1312" t="s">
        <v>21</v>
      </c>
      <c r="O1312" s="3" t="s">
        <v>22</v>
      </c>
      <c r="P1312" t="s">
        <v>93</v>
      </c>
      <c r="Q1312" t="s">
        <v>24</v>
      </c>
      <c r="R1312">
        <v>4</v>
      </c>
      <c r="S1312" t="s">
        <v>34</v>
      </c>
      <c r="T1312" s="4">
        <f t="shared" si="103"/>
        <v>325342.92</v>
      </c>
      <c r="U1312" s="4" t="str">
        <f t="shared" si="104"/>
        <v>Good</v>
      </c>
      <c r="V1312" s="4" t="str">
        <f t="shared" si="105"/>
        <v>Excellent</v>
      </c>
      <c r="W1312" s="4"/>
      <c r="X1312" s="4"/>
      <c r="AJ1312" s="4"/>
    </row>
    <row r="1313" spans="1:36">
      <c r="A1313" t="str">
        <f t="shared" si="101"/>
        <v>Nikh301312</v>
      </c>
      <c r="B1313">
        <v>1312</v>
      </c>
      <c r="C1313">
        <v>18</v>
      </c>
      <c r="D1313">
        <v>10</v>
      </c>
      <c r="E1313">
        <v>2022</v>
      </c>
      <c r="F1313" s="1">
        <f t="shared" si="102"/>
        <v>44852</v>
      </c>
      <c r="G1313" s="1" t="s">
        <v>18</v>
      </c>
      <c r="H1313" s="2">
        <v>45789</v>
      </c>
      <c r="I1313" t="s">
        <v>49</v>
      </c>
      <c r="J1313">
        <v>3</v>
      </c>
      <c r="K1313">
        <v>44547.11</v>
      </c>
      <c r="L1313" t="s">
        <v>613</v>
      </c>
      <c r="M1313">
        <v>30</v>
      </c>
      <c r="N1313" t="s">
        <v>36</v>
      </c>
      <c r="O1313" s="3" t="s">
        <v>22</v>
      </c>
      <c r="P1313" t="s">
        <v>150</v>
      </c>
      <c r="Q1313" t="s">
        <v>30</v>
      </c>
      <c r="R1313">
        <v>5</v>
      </c>
      <c r="S1313" t="s">
        <v>88</v>
      </c>
      <c r="T1313" s="4">
        <f t="shared" si="103"/>
        <v>133641.33000000002</v>
      </c>
      <c r="U1313" s="4" t="str">
        <f t="shared" si="104"/>
        <v>Good</v>
      </c>
      <c r="V1313" s="4" t="str">
        <f t="shared" si="105"/>
        <v>Good</v>
      </c>
      <c r="W1313" s="4"/>
      <c r="X1313" s="4"/>
      <c r="AJ1313" s="4"/>
    </row>
    <row r="1314" spans="1:36">
      <c r="A1314" t="str">
        <f t="shared" si="101"/>
        <v>Nikh311313</v>
      </c>
      <c r="B1314">
        <v>1313</v>
      </c>
      <c r="C1314">
        <v>18</v>
      </c>
      <c r="D1314">
        <v>10</v>
      </c>
      <c r="E1314">
        <v>2022</v>
      </c>
      <c r="F1314" s="1">
        <f t="shared" si="102"/>
        <v>44852</v>
      </c>
      <c r="G1314" s="1" t="s">
        <v>18</v>
      </c>
      <c r="H1314" s="2">
        <v>45790</v>
      </c>
      <c r="I1314" t="s">
        <v>19</v>
      </c>
      <c r="J1314">
        <v>6</v>
      </c>
      <c r="K1314">
        <v>19817.439999999999</v>
      </c>
      <c r="L1314" t="s">
        <v>756</v>
      </c>
      <c r="M1314">
        <v>31</v>
      </c>
      <c r="N1314" t="s">
        <v>21</v>
      </c>
      <c r="O1314" s="3" t="s">
        <v>55</v>
      </c>
      <c r="P1314" t="s">
        <v>33</v>
      </c>
      <c r="Q1314" t="s">
        <v>24</v>
      </c>
      <c r="R1314">
        <v>1</v>
      </c>
      <c r="S1314" t="s">
        <v>37</v>
      </c>
      <c r="T1314" s="4">
        <f t="shared" si="103"/>
        <v>118904.63999999998</v>
      </c>
      <c r="U1314" s="4" t="str">
        <f t="shared" si="104"/>
        <v>Average</v>
      </c>
      <c r="V1314" s="4" t="str">
        <f t="shared" si="105"/>
        <v>Good</v>
      </c>
      <c r="W1314" s="4"/>
      <c r="X1314" s="4"/>
      <c r="AJ1314" s="4"/>
    </row>
    <row r="1315" spans="1:36">
      <c r="A1315" t="str">
        <f t="shared" si="101"/>
        <v>Arun191314</v>
      </c>
      <c r="B1315">
        <v>1314</v>
      </c>
      <c r="C1315">
        <v>19</v>
      </c>
      <c r="D1315">
        <v>10</v>
      </c>
      <c r="E1315">
        <v>2022</v>
      </c>
      <c r="F1315" s="1">
        <f t="shared" si="102"/>
        <v>44853</v>
      </c>
      <c r="G1315" s="1" t="s">
        <v>18</v>
      </c>
      <c r="H1315" s="2">
        <v>45791</v>
      </c>
      <c r="I1315" t="s">
        <v>26</v>
      </c>
      <c r="J1315">
        <v>4</v>
      </c>
      <c r="K1315">
        <v>17495.189999999999</v>
      </c>
      <c r="L1315" t="s">
        <v>382</v>
      </c>
      <c r="M1315">
        <v>19</v>
      </c>
      <c r="N1315" t="s">
        <v>36</v>
      </c>
      <c r="O1315" s="3" t="s">
        <v>55</v>
      </c>
      <c r="P1315" t="s">
        <v>64</v>
      </c>
      <c r="Q1315" t="s">
        <v>30</v>
      </c>
      <c r="R1315">
        <v>1</v>
      </c>
      <c r="S1315" t="s">
        <v>67</v>
      </c>
      <c r="T1315" s="4">
        <f t="shared" si="103"/>
        <v>69980.759999999995</v>
      </c>
      <c r="U1315" s="4" t="str">
        <f t="shared" si="104"/>
        <v>Average</v>
      </c>
      <c r="V1315" s="4" t="str">
        <f t="shared" si="105"/>
        <v>Average</v>
      </c>
      <c r="W1315" s="4"/>
      <c r="X1315" s="4"/>
      <c r="AJ1315" s="4"/>
    </row>
    <row r="1316" spans="1:36">
      <c r="A1316" t="str">
        <f t="shared" si="101"/>
        <v>Mano511315</v>
      </c>
      <c r="B1316">
        <v>1315</v>
      </c>
      <c r="C1316">
        <v>19</v>
      </c>
      <c r="D1316">
        <v>10</v>
      </c>
      <c r="E1316">
        <v>2022</v>
      </c>
      <c r="F1316" s="1">
        <f t="shared" si="102"/>
        <v>44853</v>
      </c>
      <c r="G1316" s="1" t="s">
        <v>18</v>
      </c>
      <c r="H1316" s="2">
        <v>45792</v>
      </c>
      <c r="I1316" t="s">
        <v>19</v>
      </c>
      <c r="J1316">
        <v>3</v>
      </c>
      <c r="K1316">
        <v>11600.61</v>
      </c>
      <c r="L1316" t="s">
        <v>609</v>
      </c>
      <c r="M1316">
        <v>51</v>
      </c>
      <c r="N1316" t="s">
        <v>61</v>
      </c>
      <c r="O1316" s="3" t="s">
        <v>55</v>
      </c>
      <c r="P1316" t="s">
        <v>29</v>
      </c>
      <c r="Q1316" t="s">
        <v>30</v>
      </c>
      <c r="R1316">
        <v>1</v>
      </c>
      <c r="S1316" t="s">
        <v>84</v>
      </c>
      <c r="T1316" s="4">
        <f t="shared" si="103"/>
        <v>34801.83</v>
      </c>
      <c r="U1316" s="4" t="str">
        <f t="shared" si="104"/>
        <v>Average</v>
      </c>
      <c r="V1316" s="4" t="str">
        <f t="shared" si="105"/>
        <v>Low</v>
      </c>
      <c r="W1316" s="4"/>
      <c r="X1316" s="4"/>
      <c r="AJ1316" s="4"/>
    </row>
    <row r="1317" spans="1:36">
      <c r="A1317" t="str">
        <f t="shared" si="101"/>
        <v>Ayes521316</v>
      </c>
      <c r="B1317">
        <v>1316</v>
      </c>
      <c r="C1317">
        <v>19</v>
      </c>
      <c r="D1317">
        <v>10</v>
      </c>
      <c r="E1317">
        <v>2022</v>
      </c>
      <c r="F1317" s="1">
        <f t="shared" si="102"/>
        <v>44853</v>
      </c>
      <c r="G1317" s="1" t="s">
        <v>18</v>
      </c>
      <c r="H1317" s="2">
        <v>45793</v>
      </c>
      <c r="I1317" t="s">
        <v>49</v>
      </c>
      <c r="J1317">
        <v>9</v>
      </c>
      <c r="K1317">
        <v>10745.54</v>
      </c>
      <c r="L1317" t="s">
        <v>546</v>
      </c>
      <c r="M1317">
        <v>52</v>
      </c>
      <c r="N1317" t="s">
        <v>61</v>
      </c>
      <c r="O1317" s="3" t="s">
        <v>28</v>
      </c>
      <c r="P1317" t="s">
        <v>93</v>
      </c>
      <c r="Q1317" t="s">
        <v>24</v>
      </c>
      <c r="R1317">
        <v>3</v>
      </c>
      <c r="S1317" t="s">
        <v>52</v>
      </c>
      <c r="T1317" s="4">
        <f t="shared" si="103"/>
        <v>96709.860000000015</v>
      </c>
      <c r="U1317" s="4" t="str">
        <f t="shared" si="104"/>
        <v>Average</v>
      </c>
      <c r="V1317" s="4" t="str">
        <f t="shared" si="105"/>
        <v>Average</v>
      </c>
      <c r="W1317" s="4"/>
      <c r="X1317" s="4"/>
      <c r="AJ1317" s="4"/>
    </row>
    <row r="1318" spans="1:36">
      <c r="A1318" t="str">
        <f t="shared" si="101"/>
        <v>Ayes541317</v>
      </c>
      <c r="B1318">
        <v>1317</v>
      </c>
      <c r="C1318">
        <v>19</v>
      </c>
      <c r="D1318">
        <v>10</v>
      </c>
      <c r="E1318">
        <v>2022</v>
      </c>
      <c r="F1318" s="1">
        <f t="shared" si="102"/>
        <v>44853</v>
      </c>
      <c r="G1318" s="1" t="s">
        <v>18</v>
      </c>
      <c r="H1318" s="2">
        <v>45794</v>
      </c>
      <c r="I1318" t="s">
        <v>43</v>
      </c>
      <c r="J1318">
        <v>2</v>
      </c>
      <c r="K1318">
        <v>62788.63</v>
      </c>
      <c r="L1318" t="s">
        <v>136</v>
      </c>
      <c r="M1318">
        <v>54</v>
      </c>
      <c r="N1318" t="s">
        <v>61</v>
      </c>
      <c r="O1318" s="3" t="s">
        <v>55</v>
      </c>
      <c r="P1318" t="s">
        <v>59</v>
      </c>
      <c r="Q1318" t="s">
        <v>24</v>
      </c>
      <c r="R1318">
        <v>1</v>
      </c>
      <c r="S1318" t="s">
        <v>95</v>
      </c>
      <c r="T1318" s="4">
        <f t="shared" si="103"/>
        <v>125577.26</v>
      </c>
      <c r="U1318" s="4" t="str">
        <f t="shared" si="104"/>
        <v>Average</v>
      </c>
      <c r="V1318" s="4" t="str">
        <f t="shared" si="105"/>
        <v>Good</v>
      </c>
      <c r="W1318" s="4"/>
      <c r="X1318" s="4"/>
      <c r="AJ1318" s="4"/>
    </row>
    <row r="1319" spans="1:36">
      <c r="A1319" t="str">
        <f t="shared" si="101"/>
        <v>Nami421318</v>
      </c>
      <c r="B1319">
        <v>1318</v>
      </c>
      <c r="C1319">
        <v>20</v>
      </c>
      <c r="D1319">
        <v>10</v>
      </c>
      <c r="E1319">
        <v>2022</v>
      </c>
      <c r="F1319" s="1">
        <f t="shared" si="102"/>
        <v>44854</v>
      </c>
      <c r="G1319" s="1" t="s">
        <v>18</v>
      </c>
      <c r="H1319" s="2">
        <v>45795</v>
      </c>
      <c r="I1319" t="s">
        <v>43</v>
      </c>
      <c r="J1319">
        <v>1</v>
      </c>
      <c r="K1319">
        <v>12705.33</v>
      </c>
      <c r="L1319" t="s">
        <v>826</v>
      </c>
      <c r="M1319">
        <v>42</v>
      </c>
      <c r="N1319" t="s">
        <v>21</v>
      </c>
      <c r="O1319" s="3" t="s">
        <v>22</v>
      </c>
      <c r="P1319" t="s">
        <v>77</v>
      </c>
      <c r="Q1319" t="s">
        <v>41</v>
      </c>
      <c r="R1319">
        <v>4</v>
      </c>
      <c r="S1319" t="s">
        <v>46</v>
      </c>
      <c r="T1319" s="4">
        <f t="shared" si="103"/>
        <v>12705.33</v>
      </c>
      <c r="U1319" s="4" t="str">
        <f t="shared" si="104"/>
        <v>Good</v>
      </c>
      <c r="V1319" s="4" t="str">
        <f t="shared" si="105"/>
        <v>Low</v>
      </c>
      <c r="W1319" s="4"/>
      <c r="X1319" s="4"/>
      <c r="AJ1319" s="4"/>
    </row>
    <row r="1320" spans="1:36">
      <c r="A1320" t="str">
        <f t="shared" si="101"/>
        <v>Nikh321319</v>
      </c>
      <c r="B1320">
        <v>1319</v>
      </c>
      <c r="C1320">
        <v>20</v>
      </c>
      <c r="D1320">
        <v>10</v>
      </c>
      <c r="E1320">
        <v>2022</v>
      </c>
      <c r="F1320" s="1">
        <f t="shared" si="102"/>
        <v>44854</v>
      </c>
      <c r="G1320" s="1" t="s">
        <v>18</v>
      </c>
      <c r="H1320" s="2">
        <v>45796</v>
      </c>
      <c r="I1320" t="s">
        <v>26</v>
      </c>
      <c r="J1320">
        <v>2</v>
      </c>
      <c r="K1320">
        <v>53873.27</v>
      </c>
      <c r="L1320" t="s">
        <v>827</v>
      </c>
      <c r="M1320">
        <v>32</v>
      </c>
      <c r="N1320" t="s">
        <v>21</v>
      </c>
      <c r="O1320" s="3" t="s">
        <v>55</v>
      </c>
      <c r="P1320" t="s">
        <v>64</v>
      </c>
      <c r="Q1320" t="s">
        <v>24</v>
      </c>
      <c r="R1320">
        <v>1</v>
      </c>
      <c r="S1320" t="s">
        <v>31</v>
      </c>
      <c r="T1320" s="4">
        <f t="shared" si="103"/>
        <v>107746.54</v>
      </c>
      <c r="U1320" s="4" t="str">
        <f t="shared" si="104"/>
        <v>Average</v>
      </c>
      <c r="V1320" s="4" t="str">
        <f t="shared" si="105"/>
        <v>Good</v>
      </c>
      <c r="W1320" s="4"/>
      <c r="X1320" s="4"/>
      <c r="AJ1320" s="4"/>
    </row>
    <row r="1321" spans="1:36">
      <c r="A1321" t="str">
        <f t="shared" si="101"/>
        <v>Neet291320</v>
      </c>
      <c r="B1321">
        <v>1320</v>
      </c>
      <c r="C1321">
        <v>20</v>
      </c>
      <c r="D1321">
        <v>10</v>
      </c>
      <c r="E1321">
        <v>2022</v>
      </c>
      <c r="F1321" s="1">
        <f t="shared" si="102"/>
        <v>44854</v>
      </c>
      <c r="G1321" s="1" t="s">
        <v>18</v>
      </c>
      <c r="H1321" s="2">
        <v>45797</v>
      </c>
      <c r="I1321" t="s">
        <v>38</v>
      </c>
      <c r="J1321">
        <v>7</v>
      </c>
      <c r="K1321">
        <v>62319.11</v>
      </c>
      <c r="L1321" t="s">
        <v>828</v>
      </c>
      <c r="M1321">
        <v>29</v>
      </c>
      <c r="N1321" t="s">
        <v>36</v>
      </c>
      <c r="O1321" s="3" t="s">
        <v>28</v>
      </c>
      <c r="P1321" t="s">
        <v>33</v>
      </c>
      <c r="Q1321" t="s">
        <v>30</v>
      </c>
      <c r="R1321">
        <v>3</v>
      </c>
      <c r="S1321" t="s">
        <v>48</v>
      </c>
      <c r="T1321" s="4">
        <f t="shared" si="103"/>
        <v>436233.77</v>
      </c>
      <c r="U1321" s="4" t="str">
        <f t="shared" si="104"/>
        <v>Average</v>
      </c>
      <c r="V1321" s="4" t="str">
        <f t="shared" si="105"/>
        <v>Excellent</v>
      </c>
      <c r="W1321" s="4"/>
      <c r="X1321" s="4"/>
      <c r="AJ1321" s="4"/>
    </row>
    <row r="1322" spans="1:36">
      <c r="A1322" t="str">
        <f t="shared" si="101"/>
        <v>Kira261321</v>
      </c>
      <c r="B1322">
        <v>1321</v>
      </c>
      <c r="C1322">
        <v>20</v>
      </c>
      <c r="D1322">
        <v>10</v>
      </c>
      <c r="E1322">
        <v>2022</v>
      </c>
      <c r="F1322" s="1">
        <f t="shared" si="102"/>
        <v>44854</v>
      </c>
      <c r="G1322" s="1" t="s">
        <v>18</v>
      </c>
      <c r="H1322" s="2">
        <v>45798</v>
      </c>
      <c r="I1322" t="s">
        <v>26</v>
      </c>
      <c r="J1322">
        <v>1</v>
      </c>
      <c r="K1322">
        <v>15883.47</v>
      </c>
      <c r="L1322" t="s">
        <v>170</v>
      </c>
      <c r="M1322">
        <v>26</v>
      </c>
      <c r="N1322" t="s">
        <v>36</v>
      </c>
      <c r="O1322" s="3" t="s">
        <v>22</v>
      </c>
      <c r="P1322" t="s">
        <v>29</v>
      </c>
      <c r="Q1322" t="s">
        <v>56</v>
      </c>
      <c r="R1322">
        <v>5</v>
      </c>
      <c r="S1322" t="s">
        <v>31</v>
      </c>
      <c r="T1322" s="4">
        <f t="shared" si="103"/>
        <v>15883.47</v>
      </c>
      <c r="U1322" s="4" t="str">
        <f t="shared" si="104"/>
        <v>Good</v>
      </c>
      <c r="V1322" s="4" t="str">
        <f t="shared" si="105"/>
        <v>Low</v>
      </c>
      <c r="W1322" s="4"/>
      <c r="X1322" s="4"/>
      <c r="AJ1322" s="4"/>
    </row>
    <row r="1323" spans="1:36">
      <c r="A1323" t="str">
        <f t="shared" si="101"/>
        <v>Anit481322</v>
      </c>
      <c r="B1323">
        <v>1322</v>
      </c>
      <c r="C1323">
        <v>21</v>
      </c>
      <c r="D1323">
        <v>10</v>
      </c>
      <c r="E1323">
        <v>2022</v>
      </c>
      <c r="F1323" s="1">
        <f t="shared" si="102"/>
        <v>44855</v>
      </c>
      <c r="G1323" s="1" t="s">
        <v>18</v>
      </c>
      <c r="H1323" s="2">
        <v>45799</v>
      </c>
      <c r="I1323" t="s">
        <v>38</v>
      </c>
      <c r="J1323">
        <v>6</v>
      </c>
      <c r="K1323">
        <v>36178.089999999997</v>
      </c>
      <c r="L1323" t="s">
        <v>829</v>
      </c>
      <c r="M1323">
        <v>48</v>
      </c>
      <c r="N1323" t="s">
        <v>61</v>
      </c>
      <c r="O1323" s="3" t="s">
        <v>55</v>
      </c>
      <c r="P1323" t="s">
        <v>29</v>
      </c>
      <c r="Q1323" t="s">
        <v>41</v>
      </c>
      <c r="R1323">
        <v>1</v>
      </c>
      <c r="S1323" t="s">
        <v>48</v>
      </c>
      <c r="T1323" s="4">
        <f t="shared" si="103"/>
        <v>217068.53999999998</v>
      </c>
      <c r="U1323" s="4" t="str">
        <f t="shared" si="104"/>
        <v>Average</v>
      </c>
      <c r="V1323" s="4" t="str">
        <f t="shared" si="105"/>
        <v>Excellent</v>
      </c>
      <c r="W1323" s="4"/>
      <c r="X1323" s="4"/>
      <c r="AJ1323" s="4"/>
    </row>
    <row r="1324" spans="1:36">
      <c r="A1324" t="str">
        <f t="shared" si="101"/>
        <v>Deep311323</v>
      </c>
      <c r="B1324">
        <v>1323</v>
      </c>
      <c r="C1324">
        <v>21</v>
      </c>
      <c r="D1324">
        <v>10</v>
      </c>
      <c r="E1324">
        <v>2022</v>
      </c>
      <c r="F1324" s="1">
        <f t="shared" si="102"/>
        <v>44855</v>
      </c>
      <c r="G1324" s="1" t="s">
        <v>18</v>
      </c>
      <c r="H1324" s="2">
        <v>45800</v>
      </c>
      <c r="I1324" t="s">
        <v>19</v>
      </c>
      <c r="J1324">
        <v>7</v>
      </c>
      <c r="K1324">
        <v>67738.179999999993</v>
      </c>
      <c r="L1324" t="s">
        <v>830</v>
      </c>
      <c r="M1324">
        <v>31</v>
      </c>
      <c r="N1324" t="s">
        <v>21</v>
      </c>
      <c r="O1324" s="3" t="s">
        <v>22</v>
      </c>
      <c r="P1324" t="s">
        <v>33</v>
      </c>
      <c r="Q1324" t="s">
        <v>30</v>
      </c>
      <c r="R1324">
        <v>5</v>
      </c>
      <c r="S1324" t="s">
        <v>84</v>
      </c>
      <c r="T1324" s="4">
        <f t="shared" si="103"/>
        <v>474167.25999999995</v>
      </c>
      <c r="U1324" s="4" t="str">
        <f t="shared" si="104"/>
        <v>Good</v>
      </c>
      <c r="V1324" s="4" t="str">
        <f t="shared" si="105"/>
        <v>Excellent</v>
      </c>
      <c r="W1324" s="4"/>
      <c r="X1324" s="4"/>
      <c r="AJ1324" s="4"/>
    </row>
    <row r="1325" spans="1:36">
      <c r="A1325" t="str">
        <f t="shared" si="101"/>
        <v>Moni461324</v>
      </c>
      <c r="B1325">
        <v>1324</v>
      </c>
      <c r="C1325">
        <v>21</v>
      </c>
      <c r="D1325">
        <v>10</v>
      </c>
      <c r="E1325">
        <v>2022</v>
      </c>
      <c r="F1325" s="1">
        <f t="shared" si="102"/>
        <v>44855</v>
      </c>
      <c r="G1325" s="1" t="s">
        <v>18</v>
      </c>
      <c r="H1325" s="2">
        <v>45801</v>
      </c>
      <c r="I1325" t="s">
        <v>19</v>
      </c>
      <c r="J1325">
        <v>9</v>
      </c>
      <c r="K1325">
        <v>60048.32</v>
      </c>
      <c r="L1325" t="s">
        <v>111</v>
      </c>
      <c r="M1325">
        <v>46</v>
      </c>
      <c r="N1325" t="s">
        <v>61</v>
      </c>
      <c r="O1325" s="3" t="s">
        <v>22</v>
      </c>
      <c r="P1325" t="s">
        <v>29</v>
      </c>
      <c r="Q1325" t="s">
        <v>30</v>
      </c>
      <c r="R1325">
        <v>5</v>
      </c>
      <c r="S1325" t="s">
        <v>84</v>
      </c>
      <c r="T1325" s="4">
        <f t="shared" si="103"/>
        <v>540434.88</v>
      </c>
      <c r="U1325" s="4" t="str">
        <f t="shared" si="104"/>
        <v>Good</v>
      </c>
      <c r="V1325" s="4" t="str">
        <f t="shared" si="105"/>
        <v>Excellent</v>
      </c>
      <c r="W1325" s="4"/>
      <c r="X1325" s="4"/>
      <c r="AJ1325" s="4"/>
    </row>
    <row r="1326" spans="1:36">
      <c r="A1326" t="str">
        <f t="shared" si="101"/>
        <v>Adit551325</v>
      </c>
      <c r="B1326">
        <v>1325</v>
      </c>
      <c r="C1326">
        <v>22</v>
      </c>
      <c r="D1326">
        <v>10</v>
      </c>
      <c r="E1326">
        <v>2022</v>
      </c>
      <c r="F1326" s="1">
        <f t="shared" si="102"/>
        <v>44856</v>
      </c>
      <c r="G1326" s="1" t="s">
        <v>18</v>
      </c>
      <c r="H1326" s="2">
        <v>45802</v>
      </c>
      <c r="I1326" t="s">
        <v>49</v>
      </c>
      <c r="J1326">
        <v>8</v>
      </c>
      <c r="K1326">
        <v>39382.239999999998</v>
      </c>
      <c r="L1326" t="s">
        <v>772</v>
      </c>
      <c r="M1326">
        <v>55</v>
      </c>
      <c r="N1326" t="s">
        <v>61</v>
      </c>
      <c r="O1326" s="3" t="s">
        <v>28</v>
      </c>
      <c r="P1326" t="s">
        <v>33</v>
      </c>
      <c r="Q1326" t="s">
        <v>56</v>
      </c>
      <c r="R1326">
        <v>3</v>
      </c>
      <c r="S1326" t="s">
        <v>52</v>
      </c>
      <c r="T1326" s="4">
        <f t="shared" si="103"/>
        <v>315057.91999999998</v>
      </c>
      <c r="U1326" s="4" t="str">
        <f t="shared" si="104"/>
        <v>Average</v>
      </c>
      <c r="V1326" s="4" t="str">
        <f t="shared" si="105"/>
        <v>Excellent</v>
      </c>
      <c r="W1326" s="4"/>
      <c r="X1326" s="4"/>
      <c r="AJ1326" s="4"/>
    </row>
    <row r="1327" spans="1:36">
      <c r="A1327" t="str">
        <f t="shared" si="101"/>
        <v>Reen591326</v>
      </c>
      <c r="B1327">
        <v>1326</v>
      </c>
      <c r="C1327">
        <v>22</v>
      </c>
      <c r="D1327">
        <v>10</v>
      </c>
      <c r="E1327">
        <v>2022</v>
      </c>
      <c r="F1327" s="1">
        <f t="shared" si="102"/>
        <v>44856</v>
      </c>
      <c r="G1327" s="1" t="s">
        <v>18</v>
      </c>
      <c r="H1327" s="2">
        <v>45803</v>
      </c>
      <c r="I1327" t="s">
        <v>38</v>
      </c>
      <c r="J1327">
        <v>6</v>
      </c>
      <c r="K1327">
        <v>55754.27</v>
      </c>
      <c r="L1327" t="s">
        <v>79</v>
      </c>
      <c r="M1327">
        <v>59</v>
      </c>
      <c r="N1327" t="s">
        <v>61</v>
      </c>
      <c r="O1327" s="3" t="s">
        <v>55</v>
      </c>
      <c r="P1327" t="s">
        <v>66</v>
      </c>
      <c r="Q1327" t="s">
        <v>24</v>
      </c>
      <c r="R1327">
        <v>1</v>
      </c>
      <c r="S1327" t="s">
        <v>42</v>
      </c>
      <c r="T1327" s="4">
        <f t="shared" si="103"/>
        <v>334525.62</v>
      </c>
      <c r="U1327" s="4" t="str">
        <f t="shared" si="104"/>
        <v>Average</v>
      </c>
      <c r="V1327" s="4" t="str">
        <f t="shared" si="105"/>
        <v>Excellent</v>
      </c>
      <c r="W1327" s="4"/>
      <c r="X1327" s="4"/>
      <c r="AJ1327" s="4"/>
    </row>
    <row r="1328" spans="1:36">
      <c r="A1328" t="str">
        <f t="shared" si="101"/>
        <v>Ayes251327</v>
      </c>
      <c r="B1328">
        <v>1327</v>
      </c>
      <c r="C1328">
        <v>22</v>
      </c>
      <c r="D1328">
        <v>10</v>
      </c>
      <c r="E1328">
        <v>2022</v>
      </c>
      <c r="F1328" s="1">
        <f t="shared" si="102"/>
        <v>44856</v>
      </c>
      <c r="G1328" s="1" t="s">
        <v>18</v>
      </c>
      <c r="H1328" s="2">
        <v>45804</v>
      </c>
      <c r="I1328" t="s">
        <v>49</v>
      </c>
      <c r="J1328">
        <v>3</v>
      </c>
      <c r="K1328">
        <v>60002.66</v>
      </c>
      <c r="L1328" t="s">
        <v>164</v>
      </c>
      <c r="M1328">
        <v>25</v>
      </c>
      <c r="N1328" t="s">
        <v>36</v>
      </c>
      <c r="O1328" s="3" t="s">
        <v>22</v>
      </c>
      <c r="P1328" t="s">
        <v>33</v>
      </c>
      <c r="Q1328" t="s">
        <v>30</v>
      </c>
      <c r="R1328">
        <v>5</v>
      </c>
      <c r="S1328" t="s">
        <v>102</v>
      </c>
      <c r="T1328" s="4">
        <f t="shared" si="103"/>
        <v>180007.98</v>
      </c>
      <c r="U1328" s="4" t="str">
        <f t="shared" si="104"/>
        <v>Good</v>
      </c>
      <c r="V1328" s="4" t="str">
        <f t="shared" si="105"/>
        <v>Good</v>
      </c>
      <c r="W1328" s="4"/>
      <c r="X1328" s="4"/>
      <c r="AJ1328" s="4"/>
    </row>
    <row r="1329" spans="1:36">
      <c r="A1329" t="str">
        <f t="shared" si="101"/>
        <v>Anit201328</v>
      </c>
      <c r="B1329">
        <v>1328</v>
      </c>
      <c r="C1329">
        <v>22</v>
      </c>
      <c r="D1329">
        <v>10</v>
      </c>
      <c r="E1329">
        <v>2022</v>
      </c>
      <c r="F1329" s="1">
        <f t="shared" si="102"/>
        <v>44856</v>
      </c>
      <c r="G1329" s="1" t="s">
        <v>18</v>
      </c>
      <c r="H1329" s="2">
        <v>45805</v>
      </c>
      <c r="I1329" t="s">
        <v>43</v>
      </c>
      <c r="J1329">
        <v>8</v>
      </c>
      <c r="K1329">
        <v>30881.62</v>
      </c>
      <c r="L1329" t="s">
        <v>407</v>
      </c>
      <c r="M1329">
        <v>20</v>
      </c>
      <c r="N1329" t="s">
        <v>36</v>
      </c>
      <c r="O1329" s="3" t="s">
        <v>22</v>
      </c>
      <c r="P1329" t="s">
        <v>93</v>
      </c>
      <c r="Q1329" t="s">
        <v>56</v>
      </c>
      <c r="R1329">
        <v>5</v>
      </c>
      <c r="S1329" t="s">
        <v>46</v>
      </c>
      <c r="T1329" s="4">
        <f t="shared" si="103"/>
        <v>247052.96</v>
      </c>
      <c r="U1329" s="4" t="str">
        <f t="shared" si="104"/>
        <v>Good</v>
      </c>
      <c r="V1329" s="4" t="str">
        <f t="shared" si="105"/>
        <v>Excellent</v>
      </c>
      <c r="W1329" s="4"/>
      <c r="X1329" s="4"/>
      <c r="AJ1329" s="4"/>
    </row>
    <row r="1330" spans="1:36">
      <c r="A1330" t="str">
        <f t="shared" si="101"/>
        <v>Reen191329</v>
      </c>
      <c r="B1330">
        <v>1329</v>
      </c>
      <c r="C1330">
        <v>23</v>
      </c>
      <c r="D1330">
        <v>10</v>
      </c>
      <c r="E1330">
        <v>2022</v>
      </c>
      <c r="F1330" s="1">
        <f t="shared" si="102"/>
        <v>44857</v>
      </c>
      <c r="G1330" s="1" t="s">
        <v>18</v>
      </c>
      <c r="H1330" s="2">
        <v>45806</v>
      </c>
      <c r="I1330" t="s">
        <v>38</v>
      </c>
      <c r="J1330">
        <v>7</v>
      </c>
      <c r="K1330">
        <v>63529.18</v>
      </c>
      <c r="L1330" t="s">
        <v>831</v>
      </c>
      <c r="M1330">
        <v>19</v>
      </c>
      <c r="N1330" t="s">
        <v>36</v>
      </c>
      <c r="O1330" s="3" t="s">
        <v>22</v>
      </c>
      <c r="P1330" t="s">
        <v>29</v>
      </c>
      <c r="Q1330" t="s">
        <v>56</v>
      </c>
      <c r="R1330">
        <v>5</v>
      </c>
      <c r="S1330" t="s">
        <v>48</v>
      </c>
      <c r="T1330" s="4">
        <f t="shared" si="103"/>
        <v>444704.26</v>
      </c>
      <c r="U1330" s="4" t="str">
        <f t="shared" si="104"/>
        <v>Good</v>
      </c>
      <c r="V1330" s="4" t="str">
        <f t="shared" si="105"/>
        <v>Excellent</v>
      </c>
      <c r="W1330" s="4"/>
      <c r="X1330" s="4"/>
      <c r="AJ1330" s="4"/>
    </row>
    <row r="1331" spans="1:36">
      <c r="A1331" t="str">
        <f t="shared" si="101"/>
        <v>Kris331330</v>
      </c>
      <c r="B1331">
        <v>1330</v>
      </c>
      <c r="C1331">
        <v>23</v>
      </c>
      <c r="D1331">
        <v>10</v>
      </c>
      <c r="E1331">
        <v>2022</v>
      </c>
      <c r="F1331" s="1">
        <f t="shared" si="102"/>
        <v>44857</v>
      </c>
      <c r="G1331" s="1" t="s">
        <v>18</v>
      </c>
      <c r="H1331" s="2">
        <v>45807</v>
      </c>
      <c r="I1331" t="s">
        <v>26</v>
      </c>
      <c r="J1331">
        <v>3</v>
      </c>
      <c r="K1331">
        <v>38228.400000000001</v>
      </c>
      <c r="L1331" t="s">
        <v>723</v>
      </c>
      <c r="M1331">
        <v>33</v>
      </c>
      <c r="N1331" t="s">
        <v>21</v>
      </c>
      <c r="O1331" s="3" t="s">
        <v>22</v>
      </c>
      <c r="P1331" t="s">
        <v>33</v>
      </c>
      <c r="Q1331" t="s">
        <v>24</v>
      </c>
      <c r="R1331">
        <v>4</v>
      </c>
      <c r="S1331" t="s">
        <v>34</v>
      </c>
      <c r="T1331" s="4">
        <f t="shared" si="103"/>
        <v>114685.20000000001</v>
      </c>
      <c r="U1331" s="4" t="str">
        <f t="shared" si="104"/>
        <v>Good</v>
      </c>
      <c r="V1331" s="4" t="str">
        <f t="shared" si="105"/>
        <v>Good</v>
      </c>
      <c r="W1331" s="4"/>
      <c r="X1331" s="4"/>
      <c r="AJ1331" s="4"/>
    </row>
    <row r="1332" spans="1:36">
      <c r="A1332" t="str">
        <f t="shared" si="101"/>
        <v>Rame361331</v>
      </c>
      <c r="B1332">
        <v>1331</v>
      </c>
      <c r="C1332">
        <v>23</v>
      </c>
      <c r="D1332">
        <v>10</v>
      </c>
      <c r="E1332">
        <v>2022</v>
      </c>
      <c r="F1332" s="1">
        <f t="shared" si="102"/>
        <v>44857</v>
      </c>
      <c r="G1332" s="1" t="s">
        <v>18</v>
      </c>
      <c r="H1332" s="2">
        <v>45808</v>
      </c>
      <c r="I1332" t="s">
        <v>43</v>
      </c>
      <c r="J1332">
        <v>9</v>
      </c>
      <c r="K1332">
        <v>41668.44</v>
      </c>
      <c r="L1332" t="s">
        <v>456</v>
      </c>
      <c r="M1332">
        <v>36</v>
      </c>
      <c r="N1332" t="s">
        <v>21</v>
      </c>
      <c r="O1332" s="3" t="s">
        <v>22</v>
      </c>
      <c r="P1332" t="s">
        <v>117</v>
      </c>
      <c r="Q1332" t="s">
        <v>56</v>
      </c>
      <c r="R1332">
        <v>4</v>
      </c>
      <c r="S1332" t="s">
        <v>95</v>
      </c>
      <c r="T1332" s="4">
        <f t="shared" si="103"/>
        <v>375015.96</v>
      </c>
      <c r="U1332" s="4" t="str">
        <f t="shared" si="104"/>
        <v>Good</v>
      </c>
      <c r="V1332" s="4" t="str">
        <f t="shared" si="105"/>
        <v>Excellent</v>
      </c>
      <c r="W1332" s="4"/>
      <c r="X1332" s="4"/>
      <c r="AJ1332" s="4"/>
    </row>
    <row r="1333" spans="1:36">
      <c r="A1333" t="str">
        <f t="shared" si="101"/>
        <v>Anan471332</v>
      </c>
      <c r="B1333">
        <v>1332</v>
      </c>
      <c r="C1333">
        <v>24</v>
      </c>
      <c r="D1333">
        <v>10</v>
      </c>
      <c r="E1333">
        <v>2022</v>
      </c>
      <c r="F1333" s="1">
        <f t="shared" si="102"/>
        <v>44858</v>
      </c>
      <c r="G1333" s="1" t="s">
        <v>18</v>
      </c>
      <c r="H1333" s="2">
        <v>45809</v>
      </c>
      <c r="I1333" t="s">
        <v>43</v>
      </c>
      <c r="J1333">
        <v>2</v>
      </c>
      <c r="K1333">
        <v>69982.460000000006</v>
      </c>
      <c r="L1333" t="s">
        <v>618</v>
      </c>
      <c r="M1333">
        <v>47</v>
      </c>
      <c r="N1333" t="s">
        <v>61</v>
      </c>
      <c r="O1333" s="3" t="s">
        <v>22</v>
      </c>
      <c r="P1333" t="s">
        <v>33</v>
      </c>
      <c r="Q1333" t="s">
        <v>56</v>
      </c>
      <c r="R1333">
        <v>4</v>
      </c>
      <c r="S1333" t="s">
        <v>95</v>
      </c>
      <c r="T1333" s="4">
        <f t="shared" si="103"/>
        <v>139964.92000000001</v>
      </c>
      <c r="U1333" s="4" t="str">
        <f t="shared" si="104"/>
        <v>Good</v>
      </c>
      <c r="V1333" s="4" t="str">
        <f t="shared" si="105"/>
        <v>Good</v>
      </c>
      <c r="W1333" s="4"/>
      <c r="X1333" s="4"/>
      <c r="AJ1333" s="4"/>
    </row>
    <row r="1334" spans="1:36">
      <c r="A1334" t="str">
        <f t="shared" si="101"/>
        <v>Deep581333</v>
      </c>
      <c r="B1334">
        <v>1333</v>
      </c>
      <c r="C1334">
        <v>24</v>
      </c>
      <c r="D1334">
        <v>10</v>
      </c>
      <c r="E1334">
        <v>2022</v>
      </c>
      <c r="F1334" s="1">
        <f t="shared" si="102"/>
        <v>44858</v>
      </c>
      <c r="G1334" s="1" t="s">
        <v>18</v>
      </c>
      <c r="H1334" s="2">
        <v>45810</v>
      </c>
      <c r="I1334" t="s">
        <v>26</v>
      </c>
      <c r="J1334">
        <v>3</v>
      </c>
      <c r="K1334">
        <v>60598.18</v>
      </c>
      <c r="L1334" t="s">
        <v>478</v>
      </c>
      <c r="M1334">
        <v>58</v>
      </c>
      <c r="N1334" t="s">
        <v>61</v>
      </c>
      <c r="O1334" s="3" t="s">
        <v>22</v>
      </c>
      <c r="P1334" t="s">
        <v>45</v>
      </c>
      <c r="Q1334" t="s">
        <v>56</v>
      </c>
      <c r="R1334">
        <v>4</v>
      </c>
      <c r="S1334" t="s">
        <v>34</v>
      </c>
      <c r="T1334" s="4">
        <f t="shared" si="103"/>
        <v>181794.54</v>
      </c>
      <c r="U1334" s="4" t="str">
        <f t="shared" si="104"/>
        <v>Good</v>
      </c>
      <c r="V1334" s="4" t="str">
        <f t="shared" si="105"/>
        <v>Good</v>
      </c>
      <c r="W1334" s="4"/>
      <c r="X1334" s="4"/>
      <c r="AJ1334" s="4"/>
    </row>
    <row r="1335" spans="1:36">
      <c r="A1335" t="str">
        <f t="shared" si="101"/>
        <v>Amit331334</v>
      </c>
      <c r="B1335">
        <v>1334</v>
      </c>
      <c r="C1335">
        <v>24</v>
      </c>
      <c r="D1335">
        <v>10</v>
      </c>
      <c r="E1335">
        <v>2022</v>
      </c>
      <c r="F1335" s="1">
        <f t="shared" si="102"/>
        <v>44858</v>
      </c>
      <c r="G1335" s="1" t="s">
        <v>18</v>
      </c>
      <c r="H1335" s="2">
        <v>45811</v>
      </c>
      <c r="I1335" t="s">
        <v>43</v>
      </c>
      <c r="J1335">
        <v>2</v>
      </c>
      <c r="K1335">
        <v>31706.2</v>
      </c>
      <c r="L1335" t="s">
        <v>568</v>
      </c>
      <c r="M1335">
        <v>33</v>
      </c>
      <c r="N1335" t="s">
        <v>21</v>
      </c>
      <c r="O1335" s="3" t="s">
        <v>28</v>
      </c>
      <c r="P1335" t="s">
        <v>29</v>
      </c>
      <c r="Q1335" t="s">
        <v>56</v>
      </c>
      <c r="R1335">
        <v>3</v>
      </c>
      <c r="S1335" t="s">
        <v>57</v>
      </c>
      <c r="T1335" s="4">
        <f t="shared" si="103"/>
        <v>63412.4</v>
      </c>
      <c r="U1335" s="4" t="str">
        <f t="shared" si="104"/>
        <v>Average</v>
      </c>
      <c r="V1335" s="4" t="str">
        <f t="shared" si="105"/>
        <v>Average</v>
      </c>
      <c r="W1335" s="4"/>
      <c r="X1335" s="4"/>
      <c r="AJ1335" s="4"/>
    </row>
    <row r="1336" spans="1:36">
      <c r="A1336" t="str">
        <f t="shared" si="101"/>
        <v>Sneh481335</v>
      </c>
      <c r="B1336">
        <v>1335</v>
      </c>
      <c r="C1336">
        <v>24</v>
      </c>
      <c r="D1336">
        <v>10</v>
      </c>
      <c r="E1336">
        <v>2022</v>
      </c>
      <c r="F1336" s="1">
        <f t="shared" si="102"/>
        <v>44858</v>
      </c>
      <c r="G1336" s="1" t="s">
        <v>18</v>
      </c>
      <c r="H1336" s="2">
        <v>45812</v>
      </c>
      <c r="I1336" t="s">
        <v>38</v>
      </c>
      <c r="J1336">
        <v>1</v>
      </c>
      <c r="K1336">
        <v>10620.74</v>
      </c>
      <c r="L1336" t="s">
        <v>825</v>
      </c>
      <c r="M1336">
        <v>48</v>
      </c>
      <c r="N1336" t="s">
        <v>61</v>
      </c>
      <c r="O1336" s="3" t="s">
        <v>55</v>
      </c>
      <c r="P1336" t="s">
        <v>33</v>
      </c>
      <c r="Q1336" t="s">
        <v>56</v>
      </c>
      <c r="R1336">
        <v>1</v>
      </c>
      <c r="S1336" t="s">
        <v>99</v>
      </c>
      <c r="T1336" s="4">
        <f t="shared" si="103"/>
        <v>10620.74</v>
      </c>
      <c r="U1336" s="4" t="str">
        <f t="shared" si="104"/>
        <v>Average</v>
      </c>
      <c r="V1336" s="4" t="str">
        <f t="shared" si="105"/>
        <v>Low</v>
      </c>
      <c r="W1336" s="4"/>
      <c r="X1336" s="4"/>
      <c r="AJ1336" s="4"/>
    </row>
    <row r="1337" spans="1:36">
      <c r="A1337" t="str">
        <f t="shared" si="101"/>
        <v>Pank451336</v>
      </c>
      <c r="B1337">
        <v>1336</v>
      </c>
      <c r="C1337">
        <v>25</v>
      </c>
      <c r="D1337">
        <v>10</v>
      </c>
      <c r="E1337">
        <v>2022</v>
      </c>
      <c r="F1337" s="1">
        <f t="shared" si="102"/>
        <v>44859</v>
      </c>
      <c r="G1337" s="1" t="s">
        <v>18</v>
      </c>
      <c r="H1337" s="2">
        <v>45813</v>
      </c>
      <c r="I1337" t="s">
        <v>49</v>
      </c>
      <c r="J1337">
        <v>4</v>
      </c>
      <c r="K1337">
        <v>47570.44</v>
      </c>
      <c r="L1337" t="s">
        <v>53</v>
      </c>
      <c r="M1337">
        <v>45</v>
      </c>
      <c r="N1337" t="s">
        <v>21</v>
      </c>
      <c r="O1337" s="3" t="s">
        <v>55</v>
      </c>
      <c r="P1337" t="s">
        <v>70</v>
      </c>
      <c r="Q1337" t="s">
        <v>56</v>
      </c>
      <c r="R1337">
        <v>1</v>
      </c>
      <c r="S1337" t="s">
        <v>88</v>
      </c>
      <c r="T1337" s="4">
        <f t="shared" si="103"/>
        <v>190281.76</v>
      </c>
      <c r="U1337" s="4" t="str">
        <f t="shared" si="104"/>
        <v>Average</v>
      </c>
      <c r="V1337" s="4" t="str">
        <f t="shared" si="105"/>
        <v>Good</v>
      </c>
      <c r="W1337" s="4"/>
      <c r="X1337" s="4"/>
      <c r="AJ1337" s="4"/>
    </row>
    <row r="1338" spans="1:36">
      <c r="A1338" t="str">
        <f t="shared" si="101"/>
        <v>Sneh211337</v>
      </c>
      <c r="B1338">
        <v>1337</v>
      </c>
      <c r="C1338">
        <v>25</v>
      </c>
      <c r="D1338">
        <v>10</v>
      </c>
      <c r="E1338">
        <v>2022</v>
      </c>
      <c r="F1338" s="1">
        <f t="shared" si="102"/>
        <v>44859</v>
      </c>
      <c r="G1338" s="1" t="s">
        <v>18</v>
      </c>
      <c r="H1338" s="2">
        <v>45814</v>
      </c>
      <c r="I1338" t="s">
        <v>43</v>
      </c>
      <c r="J1338">
        <v>5</v>
      </c>
      <c r="K1338">
        <v>52234.81</v>
      </c>
      <c r="L1338" t="s">
        <v>27</v>
      </c>
      <c r="M1338">
        <v>21</v>
      </c>
      <c r="N1338" t="s">
        <v>36</v>
      </c>
      <c r="O1338" s="3" t="s">
        <v>28</v>
      </c>
      <c r="P1338" t="s">
        <v>29</v>
      </c>
      <c r="Q1338" t="s">
        <v>30</v>
      </c>
      <c r="R1338">
        <v>3</v>
      </c>
      <c r="S1338" t="s">
        <v>57</v>
      </c>
      <c r="T1338" s="4">
        <f t="shared" si="103"/>
        <v>261174.05</v>
      </c>
      <c r="U1338" s="4" t="str">
        <f t="shared" si="104"/>
        <v>Average</v>
      </c>
      <c r="V1338" s="4" t="str">
        <f t="shared" si="105"/>
        <v>Excellent</v>
      </c>
      <c r="W1338" s="4"/>
      <c r="X1338" s="4"/>
      <c r="AJ1338" s="4"/>
    </row>
    <row r="1339" spans="1:36">
      <c r="A1339" t="str">
        <f t="shared" si="101"/>
        <v>Pras271338</v>
      </c>
      <c r="B1339">
        <v>1338</v>
      </c>
      <c r="C1339">
        <v>25</v>
      </c>
      <c r="D1339">
        <v>10</v>
      </c>
      <c r="E1339">
        <v>2022</v>
      </c>
      <c r="F1339" s="1">
        <f t="shared" si="102"/>
        <v>44859</v>
      </c>
      <c r="G1339" s="1" t="s">
        <v>18</v>
      </c>
      <c r="H1339" s="2">
        <v>45815</v>
      </c>
      <c r="I1339" t="s">
        <v>38</v>
      </c>
      <c r="J1339">
        <v>6</v>
      </c>
      <c r="K1339">
        <v>49048.160000000003</v>
      </c>
      <c r="L1339" t="s">
        <v>803</v>
      </c>
      <c r="M1339">
        <v>27</v>
      </c>
      <c r="N1339" t="s">
        <v>36</v>
      </c>
      <c r="O1339" s="3" t="s">
        <v>22</v>
      </c>
      <c r="P1339" t="s">
        <v>137</v>
      </c>
      <c r="Q1339" t="s">
        <v>41</v>
      </c>
      <c r="R1339">
        <v>5</v>
      </c>
      <c r="S1339" t="s">
        <v>48</v>
      </c>
      <c r="T1339" s="4">
        <f t="shared" si="103"/>
        <v>294288.96000000002</v>
      </c>
      <c r="U1339" s="4" t="str">
        <f t="shared" si="104"/>
        <v>Good</v>
      </c>
      <c r="V1339" s="4" t="str">
        <f t="shared" si="105"/>
        <v>Excellent</v>
      </c>
      <c r="W1339" s="4"/>
      <c r="X1339" s="4"/>
      <c r="AJ1339" s="4"/>
    </row>
    <row r="1340" spans="1:36">
      <c r="A1340" t="str">
        <f t="shared" si="101"/>
        <v>Ravi351339</v>
      </c>
      <c r="B1340">
        <v>1339</v>
      </c>
      <c r="C1340">
        <v>25</v>
      </c>
      <c r="D1340">
        <v>10</v>
      </c>
      <c r="E1340">
        <v>2022</v>
      </c>
      <c r="F1340" s="1">
        <f t="shared" si="102"/>
        <v>44859</v>
      </c>
      <c r="G1340" s="1" t="s">
        <v>18</v>
      </c>
      <c r="H1340" s="2">
        <v>45816</v>
      </c>
      <c r="I1340" t="s">
        <v>19</v>
      </c>
      <c r="J1340">
        <v>5</v>
      </c>
      <c r="K1340">
        <v>68071.740000000005</v>
      </c>
      <c r="L1340" t="s">
        <v>598</v>
      </c>
      <c r="M1340">
        <v>35</v>
      </c>
      <c r="N1340" t="s">
        <v>21</v>
      </c>
      <c r="O1340" s="3" t="s">
        <v>55</v>
      </c>
      <c r="P1340" t="s">
        <v>29</v>
      </c>
      <c r="Q1340" t="s">
        <v>24</v>
      </c>
      <c r="R1340">
        <v>1</v>
      </c>
      <c r="S1340" t="s">
        <v>25</v>
      </c>
      <c r="T1340" s="4">
        <f t="shared" si="103"/>
        <v>340358.7</v>
      </c>
      <c r="U1340" s="4" t="str">
        <f t="shared" si="104"/>
        <v>Average</v>
      </c>
      <c r="V1340" s="4" t="str">
        <f t="shared" si="105"/>
        <v>Excellent</v>
      </c>
      <c r="W1340" s="4"/>
      <c r="X1340" s="4"/>
      <c r="AJ1340" s="4"/>
    </row>
    <row r="1341" spans="1:36">
      <c r="A1341" t="str">
        <f t="shared" si="101"/>
        <v>Radh491340</v>
      </c>
      <c r="B1341">
        <v>1340</v>
      </c>
      <c r="C1341">
        <v>26</v>
      </c>
      <c r="D1341">
        <v>10</v>
      </c>
      <c r="E1341">
        <v>2022</v>
      </c>
      <c r="F1341" s="1">
        <f t="shared" si="102"/>
        <v>44860</v>
      </c>
      <c r="G1341" s="1" t="s">
        <v>18</v>
      </c>
      <c r="H1341" s="2">
        <v>45817</v>
      </c>
      <c r="I1341" t="s">
        <v>38</v>
      </c>
      <c r="J1341">
        <v>1</v>
      </c>
      <c r="K1341">
        <v>61778.26</v>
      </c>
      <c r="L1341" t="s">
        <v>832</v>
      </c>
      <c r="M1341">
        <v>49</v>
      </c>
      <c r="N1341" t="s">
        <v>61</v>
      </c>
      <c r="O1341" s="3" t="s">
        <v>22</v>
      </c>
      <c r="P1341" t="s">
        <v>29</v>
      </c>
      <c r="Q1341" t="s">
        <v>41</v>
      </c>
      <c r="R1341">
        <v>5</v>
      </c>
      <c r="S1341" t="s">
        <v>42</v>
      </c>
      <c r="T1341" s="4">
        <f t="shared" si="103"/>
        <v>61778.26</v>
      </c>
      <c r="U1341" s="4" t="str">
        <f t="shared" si="104"/>
        <v>Good</v>
      </c>
      <c r="V1341" s="4" t="str">
        <f t="shared" si="105"/>
        <v>Average</v>
      </c>
      <c r="W1341" s="4"/>
      <c r="X1341" s="4"/>
      <c r="AJ1341" s="4"/>
    </row>
    <row r="1342" spans="1:36">
      <c r="A1342" t="str">
        <f t="shared" si="101"/>
        <v>Nami471341</v>
      </c>
      <c r="B1342">
        <v>1341</v>
      </c>
      <c r="C1342">
        <v>26</v>
      </c>
      <c r="D1342">
        <v>10</v>
      </c>
      <c r="E1342">
        <v>2022</v>
      </c>
      <c r="F1342" s="1">
        <f t="shared" si="102"/>
        <v>44860</v>
      </c>
      <c r="G1342" s="1" t="s">
        <v>18</v>
      </c>
      <c r="H1342" s="2">
        <v>45818</v>
      </c>
      <c r="I1342" t="s">
        <v>49</v>
      </c>
      <c r="J1342">
        <v>3</v>
      </c>
      <c r="K1342">
        <v>36929.9</v>
      </c>
      <c r="L1342" t="s">
        <v>214</v>
      </c>
      <c r="M1342">
        <v>47</v>
      </c>
      <c r="N1342" t="s">
        <v>61</v>
      </c>
      <c r="O1342" s="3" t="s">
        <v>55</v>
      </c>
      <c r="P1342" t="s">
        <v>29</v>
      </c>
      <c r="Q1342" t="s">
        <v>24</v>
      </c>
      <c r="R1342">
        <v>1</v>
      </c>
      <c r="S1342" t="s">
        <v>102</v>
      </c>
      <c r="T1342" s="4">
        <f t="shared" si="103"/>
        <v>110789.70000000001</v>
      </c>
      <c r="U1342" s="4" t="str">
        <f t="shared" si="104"/>
        <v>Average</v>
      </c>
      <c r="V1342" s="4" t="str">
        <f t="shared" si="105"/>
        <v>Good</v>
      </c>
      <c r="W1342" s="4"/>
      <c r="X1342" s="4"/>
      <c r="AJ1342" s="4"/>
    </row>
    <row r="1343" spans="1:36">
      <c r="A1343" t="str">
        <f t="shared" si="101"/>
        <v>Rame531342</v>
      </c>
      <c r="B1343">
        <v>1342</v>
      </c>
      <c r="C1343">
        <v>26</v>
      </c>
      <c r="D1343">
        <v>10</v>
      </c>
      <c r="E1343">
        <v>2022</v>
      </c>
      <c r="F1343" s="1">
        <f t="shared" si="102"/>
        <v>44860</v>
      </c>
      <c r="G1343" s="1" t="s">
        <v>18</v>
      </c>
      <c r="H1343" s="2">
        <v>45819</v>
      </c>
      <c r="I1343" t="s">
        <v>38</v>
      </c>
      <c r="J1343">
        <v>1</v>
      </c>
      <c r="K1343">
        <v>13771.45</v>
      </c>
      <c r="L1343" t="s">
        <v>458</v>
      </c>
      <c r="M1343">
        <v>53</v>
      </c>
      <c r="N1343" t="s">
        <v>61</v>
      </c>
      <c r="O1343" s="3" t="s">
        <v>28</v>
      </c>
      <c r="P1343" t="s">
        <v>117</v>
      </c>
      <c r="Q1343" t="s">
        <v>41</v>
      </c>
      <c r="R1343">
        <v>3</v>
      </c>
      <c r="S1343" t="s">
        <v>99</v>
      </c>
      <c r="T1343" s="4">
        <f t="shared" si="103"/>
        <v>13771.45</v>
      </c>
      <c r="U1343" s="4" t="str">
        <f t="shared" si="104"/>
        <v>Average</v>
      </c>
      <c r="V1343" s="4" t="str">
        <f t="shared" si="105"/>
        <v>Low</v>
      </c>
      <c r="W1343" s="4"/>
      <c r="X1343" s="4"/>
      <c r="AJ1343" s="4"/>
    </row>
    <row r="1344" spans="1:36">
      <c r="A1344" t="str">
        <f t="shared" si="101"/>
        <v>Deep261343</v>
      </c>
      <c r="B1344">
        <v>1343</v>
      </c>
      <c r="C1344">
        <v>26</v>
      </c>
      <c r="D1344">
        <v>10</v>
      </c>
      <c r="E1344">
        <v>2022</v>
      </c>
      <c r="F1344" s="1">
        <f t="shared" si="102"/>
        <v>44860</v>
      </c>
      <c r="G1344" s="1" t="s">
        <v>18</v>
      </c>
      <c r="H1344" s="2">
        <v>45820</v>
      </c>
      <c r="I1344" t="s">
        <v>26</v>
      </c>
      <c r="J1344">
        <v>5</v>
      </c>
      <c r="K1344">
        <v>38563.53</v>
      </c>
      <c r="L1344" t="s">
        <v>96</v>
      </c>
      <c r="M1344">
        <v>26</v>
      </c>
      <c r="N1344" t="s">
        <v>36</v>
      </c>
      <c r="O1344" s="3" t="s">
        <v>22</v>
      </c>
      <c r="P1344" t="s">
        <v>29</v>
      </c>
      <c r="Q1344" t="s">
        <v>24</v>
      </c>
      <c r="R1344">
        <v>5</v>
      </c>
      <c r="S1344" t="s">
        <v>31</v>
      </c>
      <c r="T1344" s="4">
        <f t="shared" si="103"/>
        <v>192817.65</v>
      </c>
      <c r="U1344" s="4" t="str">
        <f t="shared" si="104"/>
        <v>Good</v>
      </c>
      <c r="V1344" s="4" t="str">
        <f t="shared" si="105"/>
        <v>Good</v>
      </c>
      <c r="W1344" s="4"/>
      <c r="X1344" s="4"/>
      <c r="AJ1344" s="4"/>
    </row>
    <row r="1345" spans="1:36">
      <c r="A1345" t="str">
        <f t="shared" si="101"/>
        <v>Priy531344</v>
      </c>
      <c r="B1345">
        <v>1344</v>
      </c>
      <c r="C1345">
        <v>27</v>
      </c>
      <c r="D1345">
        <v>10</v>
      </c>
      <c r="E1345">
        <v>2022</v>
      </c>
      <c r="F1345" s="1">
        <f t="shared" si="102"/>
        <v>44861</v>
      </c>
      <c r="G1345" s="1" t="s">
        <v>18</v>
      </c>
      <c r="H1345" s="2">
        <v>45821</v>
      </c>
      <c r="I1345" t="s">
        <v>49</v>
      </c>
      <c r="J1345">
        <v>5</v>
      </c>
      <c r="K1345">
        <v>51354.64</v>
      </c>
      <c r="L1345" t="s">
        <v>833</v>
      </c>
      <c r="M1345">
        <v>53</v>
      </c>
      <c r="N1345" t="s">
        <v>61</v>
      </c>
      <c r="O1345" s="3" t="s">
        <v>55</v>
      </c>
      <c r="P1345" t="s">
        <v>45</v>
      </c>
      <c r="Q1345" t="s">
        <v>56</v>
      </c>
      <c r="R1345">
        <v>1</v>
      </c>
      <c r="S1345" t="s">
        <v>88</v>
      </c>
      <c r="T1345" s="4">
        <f t="shared" si="103"/>
        <v>256773.2</v>
      </c>
      <c r="U1345" s="4" t="str">
        <f t="shared" si="104"/>
        <v>Average</v>
      </c>
      <c r="V1345" s="4" t="str">
        <f t="shared" si="105"/>
        <v>Excellent</v>
      </c>
      <c r="W1345" s="4"/>
      <c r="X1345" s="4"/>
      <c r="AJ1345" s="4"/>
    </row>
    <row r="1346" spans="1:36">
      <c r="A1346" t="str">
        <f t="shared" ref="A1346:A1409" si="106">LEFT(L1346,4)&amp;M1346&amp;B1346</f>
        <v>Lata461345</v>
      </c>
      <c r="B1346">
        <v>1345</v>
      </c>
      <c r="C1346">
        <v>27</v>
      </c>
      <c r="D1346">
        <v>10</v>
      </c>
      <c r="E1346">
        <v>2022</v>
      </c>
      <c r="F1346" s="1">
        <f t="shared" si="102"/>
        <v>44861</v>
      </c>
      <c r="G1346" s="1" t="s">
        <v>18</v>
      </c>
      <c r="H1346" s="2">
        <v>45822</v>
      </c>
      <c r="I1346" t="s">
        <v>19</v>
      </c>
      <c r="J1346">
        <v>6</v>
      </c>
      <c r="K1346">
        <v>46462.59</v>
      </c>
      <c r="L1346" t="s">
        <v>735</v>
      </c>
      <c r="M1346">
        <v>46</v>
      </c>
      <c r="N1346" t="s">
        <v>61</v>
      </c>
      <c r="O1346" s="3" t="s">
        <v>28</v>
      </c>
      <c r="P1346" t="s">
        <v>110</v>
      </c>
      <c r="Q1346" t="s">
        <v>41</v>
      </c>
      <c r="R1346">
        <v>3</v>
      </c>
      <c r="S1346" t="s">
        <v>84</v>
      </c>
      <c r="T1346" s="4">
        <f t="shared" si="103"/>
        <v>278775.53999999998</v>
      </c>
      <c r="U1346" s="4" t="str">
        <f t="shared" si="104"/>
        <v>Average</v>
      </c>
      <c r="V1346" s="4" t="str">
        <f t="shared" si="105"/>
        <v>Excellent</v>
      </c>
      <c r="W1346" s="4"/>
      <c r="X1346" s="4"/>
      <c r="AJ1346" s="4"/>
    </row>
    <row r="1347" spans="1:36">
      <c r="A1347" t="str">
        <f t="shared" si="106"/>
        <v>Pras331346</v>
      </c>
      <c r="B1347">
        <v>1346</v>
      </c>
      <c r="C1347">
        <v>27</v>
      </c>
      <c r="D1347">
        <v>10</v>
      </c>
      <c r="E1347">
        <v>2022</v>
      </c>
      <c r="F1347" s="1">
        <f t="shared" ref="F1347:F1410" si="107">DATE(E1347,D1347,C1347)</f>
        <v>44861</v>
      </c>
      <c r="G1347" s="1" t="s">
        <v>18</v>
      </c>
      <c r="H1347" s="2">
        <v>45823</v>
      </c>
      <c r="I1347" t="s">
        <v>26</v>
      </c>
      <c r="J1347">
        <v>8</v>
      </c>
      <c r="K1347">
        <v>42288.22</v>
      </c>
      <c r="L1347" t="s">
        <v>777</v>
      </c>
      <c r="M1347">
        <v>33</v>
      </c>
      <c r="N1347" t="s">
        <v>21</v>
      </c>
      <c r="O1347" s="3" t="s">
        <v>22</v>
      </c>
      <c r="P1347" t="s">
        <v>117</v>
      </c>
      <c r="Q1347" t="s">
        <v>41</v>
      </c>
      <c r="R1347">
        <v>5</v>
      </c>
      <c r="S1347" t="s">
        <v>67</v>
      </c>
      <c r="T1347" s="4">
        <f t="shared" ref="T1347:T1410" si="108">J1347*K1347</f>
        <v>338305.76</v>
      </c>
      <c r="U1347" s="4" t="str">
        <f t="shared" ref="U1347:U1410" si="109">IF(R1347&gt;=4,"Good","Average")</f>
        <v>Good</v>
      </c>
      <c r="V1347" s="4" t="str">
        <f t="shared" ref="V1347:V1410" si="110">IF(T1347&gt;200000,"Excellent",IF(T1347&gt;100000,"Good",IF(T1347&gt;50000,"Average","Low")))</f>
        <v>Excellent</v>
      </c>
      <c r="W1347" s="4"/>
      <c r="X1347" s="4"/>
      <c r="AJ1347" s="4"/>
    </row>
    <row r="1348" spans="1:36">
      <c r="A1348" t="str">
        <f t="shared" si="106"/>
        <v>Rame451347</v>
      </c>
      <c r="B1348">
        <v>1347</v>
      </c>
      <c r="C1348">
        <v>28</v>
      </c>
      <c r="D1348">
        <v>10</v>
      </c>
      <c r="E1348">
        <v>2022</v>
      </c>
      <c r="F1348" s="1">
        <f t="shared" si="107"/>
        <v>44862</v>
      </c>
      <c r="G1348" s="1" t="s">
        <v>18</v>
      </c>
      <c r="H1348" s="2">
        <v>45824</v>
      </c>
      <c r="I1348" t="s">
        <v>38</v>
      </c>
      <c r="J1348">
        <v>1</v>
      </c>
      <c r="K1348">
        <v>38129.14</v>
      </c>
      <c r="L1348" t="s">
        <v>130</v>
      </c>
      <c r="M1348">
        <v>45</v>
      </c>
      <c r="N1348" t="s">
        <v>21</v>
      </c>
      <c r="O1348" s="3" t="s">
        <v>22</v>
      </c>
      <c r="P1348" t="s">
        <v>33</v>
      </c>
      <c r="Q1348" t="s">
        <v>24</v>
      </c>
      <c r="R1348">
        <v>4</v>
      </c>
      <c r="S1348" t="s">
        <v>48</v>
      </c>
      <c r="T1348" s="4">
        <f t="shared" si="108"/>
        <v>38129.14</v>
      </c>
      <c r="U1348" s="4" t="str">
        <f t="shared" si="109"/>
        <v>Good</v>
      </c>
      <c r="V1348" s="4" t="str">
        <f t="shared" si="110"/>
        <v>Low</v>
      </c>
      <c r="W1348" s="4"/>
      <c r="X1348" s="4"/>
      <c r="AJ1348" s="4"/>
    </row>
    <row r="1349" spans="1:36">
      <c r="A1349" t="str">
        <f t="shared" si="106"/>
        <v>Neet381348</v>
      </c>
      <c r="B1349">
        <v>1348</v>
      </c>
      <c r="C1349">
        <v>28</v>
      </c>
      <c r="D1349">
        <v>10</v>
      </c>
      <c r="E1349">
        <v>2022</v>
      </c>
      <c r="F1349" s="1">
        <f t="shared" si="107"/>
        <v>44862</v>
      </c>
      <c r="G1349" s="1" t="s">
        <v>18</v>
      </c>
      <c r="H1349" s="2">
        <v>45825</v>
      </c>
      <c r="I1349" t="s">
        <v>49</v>
      </c>
      <c r="J1349">
        <v>4</v>
      </c>
      <c r="K1349">
        <v>27625.71</v>
      </c>
      <c r="L1349" t="s">
        <v>834</v>
      </c>
      <c r="M1349">
        <v>38</v>
      </c>
      <c r="N1349" t="s">
        <v>21</v>
      </c>
      <c r="O1349" s="3" t="s">
        <v>22</v>
      </c>
      <c r="P1349" t="s">
        <v>29</v>
      </c>
      <c r="Q1349" t="s">
        <v>24</v>
      </c>
      <c r="R1349">
        <v>5</v>
      </c>
      <c r="S1349" t="s">
        <v>88</v>
      </c>
      <c r="T1349" s="4">
        <f t="shared" si="108"/>
        <v>110502.84</v>
      </c>
      <c r="U1349" s="4" t="str">
        <f t="shared" si="109"/>
        <v>Good</v>
      </c>
      <c r="V1349" s="4" t="str">
        <f t="shared" si="110"/>
        <v>Good</v>
      </c>
      <c r="W1349" s="4"/>
      <c r="X1349" s="4"/>
      <c r="AJ1349" s="4"/>
    </row>
    <row r="1350" spans="1:36">
      <c r="A1350" t="str">
        <f t="shared" si="106"/>
        <v>Navi191349</v>
      </c>
      <c r="B1350">
        <v>1349</v>
      </c>
      <c r="C1350">
        <v>28</v>
      </c>
      <c r="D1350">
        <v>10</v>
      </c>
      <c r="E1350">
        <v>2022</v>
      </c>
      <c r="F1350" s="1">
        <f t="shared" si="107"/>
        <v>44862</v>
      </c>
      <c r="G1350" s="1" t="s">
        <v>18</v>
      </c>
      <c r="H1350" s="2">
        <v>45826</v>
      </c>
      <c r="I1350" t="s">
        <v>19</v>
      </c>
      <c r="J1350">
        <v>1</v>
      </c>
      <c r="K1350">
        <v>26640.81</v>
      </c>
      <c r="L1350" t="s">
        <v>250</v>
      </c>
      <c r="M1350">
        <v>19</v>
      </c>
      <c r="N1350" t="s">
        <v>36</v>
      </c>
      <c r="O1350" s="3" t="s">
        <v>22</v>
      </c>
      <c r="P1350" t="s">
        <v>33</v>
      </c>
      <c r="Q1350" t="s">
        <v>30</v>
      </c>
      <c r="R1350">
        <v>5</v>
      </c>
      <c r="S1350" t="s">
        <v>25</v>
      </c>
      <c r="T1350" s="4">
        <f t="shared" si="108"/>
        <v>26640.81</v>
      </c>
      <c r="U1350" s="4" t="str">
        <f t="shared" si="109"/>
        <v>Good</v>
      </c>
      <c r="V1350" s="4" t="str">
        <f t="shared" si="110"/>
        <v>Low</v>
      </c>
      <c r="W1350" s="4"/>
      <c r="X1350" s="4"/>
      <c r="AJ1350" s="4"/>
    </row>
    <row r="1351" spans="1:36">
      <c r="A1351" t="str">
        <f t="shared" si="106"/>
        <v>Ayes521350</v>
      </c>
      <c r="B1351">
        <v>1350</v>
      </c>
      <c r="C1351">
        <v>29</v>
      </c>
      <c r="D1351">
        <v>10</v>
      </c>
      <c r="E1351">
        <v>2022</v>
      </c>
      <c r="F1351" s="1">
        <f t="shared" si="107"/>
        <v>44863</v>
      </c>
      <c r="G1351" s="1" t="s">
        <v>18</v>
      </c>
      <c r="H1351" s="2">
        <v>45827</v>
      </c>
      <c r="I1351" t="s">
        <v>26</v>
      </c>
      <c r="J1351">
        <v>9</v>
      </c>
      <c r="K1351">
        <v>40013.89</v>
      </c>
      <c r="L1351" t="s">
        <v>835</v>
      </c>
      <c r="M1351">
        <v>52</v>
      </c>
      <c r="N1351" t="s">
        <v>61</v>
      </c>
      <c r="O1351" s="3" t="s">
        <v>22</v>
      </c>
      <c r="P1351" t="s">
        <v>64</v>
      </c>
      <c r="Q1351" t="s">
        <v>56</v>
      </c>
      <c r="R1351">
        <v>5</v>
      </c>
      <c r="S1351" t="s">
        <v>31</v>
      </c>
      <c r="T1351" s="4">
        <f t="shared" si="108"/>
        <v>360125.01</v>
      </c>
      <c r="U1351" s="4" t="str">
        <f t="shared" si="109"/>
        <v>Good</v>
      </c>
      <c r="V1351" s="4" t="str">
        <f t="shared" si="110"/>
        <v>Excellent</v>
      </c>
      <c r="W1351" s="4"/>
      <c r="X1351" s="4"/>
      <c r="AJ1351" s="4"/>
    </row>
    <row r="1352" spans="1:36">
      <c r="A1352" t="str">
        <f t="shared" si="106"/>
        <v>Lali451351</v>
      </c>
      <c r="B1352">
        <v>1351</v>
      </c>
      <c r="C1352">
        <v>29</v>
      </c>
      <c r="D1352">
        <v>10</v>
      </c>
      <c r="E1352">
        <v>2022</v>
      </c>
      <c r="F1352" s="1">
        <f t="shared" si="107"/>
        <v>44863</v>
      </c>
      <c r="G1352" s="1" t="s">
        <v>18</v>
      </c>
      <c r="H1352" s="2">
        <v>45828</v>
      </c>
      <c r="I1352" t="s">
        <v>19</v>
      </c>
      <c r="J1352">
        <v>7</v>
      </c>
      <c r="K1352">
        <v>19636.189999999999</v>
      </c>
      <c r="L1352" t="s">
        <v>836</v>
      </c>
      <c r="M1352">
        <v>45</v>
      </c>
      <c r="N1352" t="s">
        <v>21</v>
      </c>
      <c r="O1352" s="3" t="s">
        <v>55</v>
      </c>
      <c r="P1352" t="s">
        <v>45</v>
      </c>
      <c r="Q1352" t="s">
        <v>56</v>
      </c>
      <c r="R1352">
        <v>1</v>
      </c>
      <c r="S1352" t="s">
        <v>84</v>
      </c>
      <c r="T1352" s="4">
        <f t="shared" si="108"/>
        <v>137453.32999999999</v>
      </c>
      <c r="U1352" s="4" t="str">
        <f t="shared" si="109"/>
        <v>Average</v>
      </c>
      <c r="V1352" s="4" t="str">
        <f t="shared" si="110"/>
        <v>Good</v>
      </c>
      <c r="W1352" s="4"/>
      <c r="X1352" s="4"/>
      <c r="AJ1352" s="4"/>
    </row>
    <row r="1353" spans="1:36">
      <c r="A1353" t="str">
        <f t="shared" si="106"/>
        <v>Jyot531352</v>
      </c>
      <c r="B1353">
        <v>1352</v>
      </c>
      <c r="C1353">
        <v>29</v>
      </c>
      <c r="D1353">
        <v>10</v>
      </c>
      <c r="E1353">
        <v>2022</v>
      </c>
      <c r="F1353" s="1">
        <f t="shared" si="107"/>
        <v>44863</v>
      </c>
      <c r="G1353" s="1" t="s">
        <v>18</v>
      </c>
      <c r="H1353" s="2">
        <v>45829</v>
      </c>
      <c r="I1353" t="s">
        <v>38</v>
      </c>
      <c r="J1353">
        <v>7</v>
      </c>
      <c r="K1353">
        <v>30441.13</v>
      </c>
      <c r="L1353" t="s">
        <v>526</v>
      </c>
      <c r="M1353">
        <v>53</v>
      </c>
      <c r="N1353" t="s">
        <v>61</v>
      </c>
      <c r="O1353" s="3" t="s">
        <v>22</v>
      </c>
      <c r="P1353" t="s">
        <v>33</v>
      </c>
      <c r="Q1353" t="s">
        <v>30</v>
      </c>
      <c r="R1353">
        <v>4</v>
      </c>
      <c r="S1353" t="s">
        <v>42</v>
      </c>
      <c r="T1353" s="4">
        <f t="shared" si="108"/>
        <v>213087.91</v>
      </c>
      <c r="U1353" s="4" t="str">
        <f t="shared" si="109"/>
        <v>Good</v>
      </c>
      <c r="V1353" s="4" t="str">
        <f t="shared" si="110"/>
        <v>Excellent</v>
      </c>
      <c r="W1353" s="4"/>
      <c r="X1353" s="4"/>
      <c r="AJ1353" s="4"/>
    </row>
    <row r="1354" spans="1:36">
      <c r="A1354" t="str">
        <f t="shared" si="106"/>
        <v>Vino481353</v>
      </c>
      <c r="B1354">
        <v>1353</v>
      </c>
      <c r="C1354">
        <v>29</v>
      </c>
      <c r="D1354">
        <v>10</v>
      </c>
      <c r="E1354">
        <v>2022</v>
      </c>
      <c r="F1354" s="1">
        <f t="shared" si="107"/>
        <v>44863</v>
      </c>
      <c r="G1354" s="1" t="s">
        <v>18</v>
      </c>
      <c r="H1354" s="2">
        <v>45830</v>
      </c>
      <c r="I1354" t="s">
        <v>19</v>
      </c>
      <c r="J1354">
        <v>5</v>
      </c>
      <c r="K1354">
        <v>29438.76</v>
      </c>
      <c r="L1354" t="s">
        <v>482</v>
      </c>
      <c r="M1354">
        <v>48</v>
      </c>
      <c r="N1354" t="s">
        <v>61</v>
      </c>
      <c r="O1354" s="3" t="s">
        <v>28</v>
      </c>
      <c r="P1354" t="s">
        <v>93</v>
      </c>
      <c r="Q1354" t="s">
        <v>24</v>
      </c>
      <c r="R1354">
        <v>3</v>
      </c>
      <c r="S1354" t="s">
        <v>25</v>
      </c>
      <c r="T1354" s="4">
        <f t="shared" si="108"/>
        <v>147193.79999999999</v>
      </c>
      <c r="U1354" s="4" t="str">
        <f t="shared" si="109"/>
        <v>Average</v>
      </c>
      <c r="V1354" s="4" t="str">
        <f t="shared" si="110"/>
        <v>Good</v>
      </c>
      <c r="W1354" s="4"/>
      <c r="X1354" s="4"/>
      <c r="AJ1354" s="4"/>
    </row>
    <row r="1355" spans="1:36">
      <c r="A1355" t="str">
        <f t="shared" si="106"/>
        <v>Sneh501354</v>
      </c>
      <c r="B1355">
        <v>1354</v>
      </c>
      <c r="C1355">
        <v>30</v>
      </c>
      <c r="D1355">
        <v>10</v>
      </c>
      <c r="E1355">
        <v>2022</v>
      </c>
      <c r="F1355" s="1">
        <f t="shared" si="107"/>
        <v>44864</v>
      </c>
      <c r="G1355" s="1" t="s">
        <v>18</v>
      </c>
      <c r="H1355" s="2">
        <v>45831</v>
      </c>
      <c r="I1355" t="s">
        <v>43</v>
      </c>
      <c r="J1355">
        <v>7</v>
      </c>
      <c r="K1355">
        <v>45227.97</v>
      </c>
      <c r="L1355" t="s">
        <v>243</v>
      </c>
      <c r="M1355">
        <v>50</v>
      </c>
      <c r="N1355" t="s">
        <v>61</v>
      </c>
      <c r="O1355" s="3" t="s">
        <v>22</v>
      </c>
      <c r="P1355" t="s">
        <v>33</v>
      </c>
      <c r="Q1355" t="s">
        <v>56</v>
      </c>
      <c r="R1355">
        <v>4</v>
      </c>
      <c r="S1355" t="s">
        <v>46</v>
      </c>
      <c r="T1355" s="4">
        <f t="shared" si="108"/>
        <v>316595.79000000004</v>
      </c>
      <c r="U1355" s="4" t="str">
        <f t="shared" si="109"/>
        <v>Good</v>
      </c>
      <c r="V1355" s="4" t="str">
        <f t="shared" si="110"/>
        <v>Excellent</v>
      </c>
      <c r="W1355" s="4"/>
      <c r="X1355" s="4"/>
      <c r="AJ1355" s="4"/>
    </row>
    <row r="1356" spans="1:36">
      <c r="A1356" t="str">
        <f t="shared" si="106"/>
        <v>Raje401355</v>
      </c>
      <c r="B1356">
        <v>1355</v>
      </c>
      <c r="C1356">
        <v>30</v>
      </c>
      <c r="D1356">
        <v>10</v>
      </c>
      <c r="E1356">
        <v>2022</v>
      </c>
      <c r="F1356" s="1">
        <f t="shared" si="107"/>
        <v>44864</v>
      </c>
      <c r="G1356" s="1" t="s">
        <v>18</v>
      </c>
      <c r="H1356" s="2">
        <v>45832</v>
      </c>
      <c r="I1356" t="s">
        <v>26</v>
      </c>
      <c r="J1356">
        <v>2</v>
      </c>
      <c r="K1356">
        <v>14000.94</v>
      </c>
      <c r="L1356" t="s">
        <v>76</v>
      </c>
      <c r="M1356">
        <v>40</v>
      </c>
      <c r="N1356" t="s">
        <v>21</v>
      </c>
      <c r="O1356" s="3" t="s">
        <v>55</v>
      </c>
      <c r="P1356" t="s">
        <v>137</v>
      </c>
      <c r="Q1356" t="s">
        <v>24</v>
      </c>
      <c r="R1356">
        <v>1</v>
      </c>
      <c r="S1356" t="s">
        <v>67</v>
      </c>
      <c r="T1356" s="4">
        <f t="shared" si="108"/>
        <v>28001.88</v>
      </c>
      <c r="U1356" s="4" t="str">
        <f t="shared" si="109"/>
        <v>Average</v>
      </c>
      <c r="V1356" s="4" t="str">
        <f t="shared" si="110"/>
        <v>Low</v>
      </c>
      <c r="W1356" s="4"/>
      <c r="X1356" s="4"/>
      <c r="AJ1356" s="4"/>
    </row>
    <row r="1357" spans="1:36">
      <c r="A1357" t="str">
        <f t="shared" si="106"/>
        <v>Lata581356</v>
      </c>
      <c r="B1357">
        <v>1356</v>
      </c>
      <c r="C1357">
        <v>30</v>
      </c>
      <c r="D1357">
        <v>10</v>
      </c>
      <c r="E1357">
        <v>2022</v>
      </c>
      <c r="F1357" s="1">
        <f t="shared" si="107"/>
        <v>44864</v>
      </c>
      <c r="G1357" s="1" t="s">
        <v>18</v>
      </c>
      <c r="H1357" s="2">
        <v>45833</v>
      </c>
      <c r="I1357" t="s">
        <v>19</v>
      </c>
      <c r="J1357">
        <v>4</v>
      </c>
      <c r="K1357">
        <v>59780.12</v>
      </c>
      <c r="L1357" t="s">
        <v>577</v>
      </c>
      <c r="M1357">
        <v>58</v>
      </c>
      <c r="N1357" t="s">
        <v>61</v>
      </c>
      <c r="O1357" s="3" t="s">
        <v>22</v>
      </c>
      <c r="P1357" t="s">
        <v>29</v>
      </c>
      <c r="Q1357" t="s">
        <v>56</v>
      </c>
      <c r="R1357">
        <v>5</v>
      </c>
      <c r="S1357" t="s">
        <v>37</v>
      </c>
      <c r="T1357" s="4">
        <f t="shared" si="108"/>
        <v>239120.48</v>
      </c>
      <c r="U1357" s="4" t="str">
        <f t="shared" si="109"/>
        <v>Good</v>
      </c>
      <c r="V1357" s="4" t="str">
        <f t="shared" si="110"/>
        <v>Excellent</v>
      </c>
      <c r="W1357" s="4"/>
      <c r="X1357" s="4"/>
      <c r="AJ1357" s="4"/>
    </row>
    <row r="1358" spans="1:36">
      <c r="A1358" t="str">
        <f t="shared" si="106"/>
        <v>Nikh341357</v>
      </c>
      <c r="B1358">
        <v>1357</v>
      </c>
      <c r="C1358">
        <v>31</v>
      </c>
      <c r="D1358">
        <v>10</v>
      </c>
      <c r="E1358">
        <v>2022</v>
      </c>
      <c r="F1358" s="1">
        <f t="shared" si="107"/>
        <v>44865</v>
      </c>
      <c r="G1358" s="1" t="s">
        <v>18</v>
      </c>
      <c r="H1358" s="2">
        <v>45834</v>
      </c>
      <c r="I1358" t="s">
        <v>38</v>
      </c>
      <c r="J1358">
        <v>7</v>
      </c>
      <c r="K1358">
        <v>43742.7</v>
      </c>
      <c r="L1358" t="s">
        <v>756</v>
      </c>
      <c r="M1358">
        <v>34</v>
      </c>
      <c r="N1358" t="s">
        <v>21</v>
      </c>
      <c r="O1358" s="3" t="s">
        <v>55</v>
      </c>
      <c r="P1358" t="s">
        <v>93</v>
      </c>
      <c r="Q1358" t="s">
        <v>41</v>
      </c>
      <c r="R1358">
        <v>1</v>
      </c>
      <c r="S1358" t="s">
        <v>99</v>
      </c>
      <c r="T1358" s="4">
        <f t="shared" si="108"/>
        <v>306198.89999999997</v>
      </c>
      <c r="U1358" s="4" t="str">
        <f t="shared" si="109"/>
        <v>Average</v>
      </c>
      <c r="V1358" s="4" t="str">
        <f t="shared" si="110"/>
        <v>Excellent</v>
      </c>
      <c r="W1358" s="4"/>
      <c r="X1358" s="4"/>
      <c r="AJ1358" s="4"/>
    </row>
    <row r="1359" spans="1:36">
      <c r="A1359" t="str">
        <f t="shared" si="106"/>
        <v>Anit181358</v>
      </c>
      <c r="B1359">
        <v>1358</v>
      </c>
      <c r="C1359">
        <v>31</v>
      </c>
      <c r="D1359">
        <v>10</v>
      </c>
      <c r="E1359">
        <v>2022</v>
      </c>
      <c r="F1359" s="1">
        <f t="shared" si="107"/>
        <v>44865</v>
      </c>
      <c r="G1359" s="1" t="s">
        <v>18</v>
      </c>
      <c r="H1359" s="2">
        <v>45835</v>
      </c>
      <c r="I1359" t="s">
        <v>38</v>
      </c>
      <c r="J1359">
        <v>3</v>
      </c>
      <c r="K1359">
        <v>50249.599999999999</v>
      </c>
      <c r="L1359" t="s">
        <v>837</v>
      </c>
      <c r="M1359">
        <v>18</v>
      </c>
      <c r="N1359" t="s">
        <v>36</v>
      </c>
      <c r="O1359" s="3" t="s">
        <v>28</v>
      </c>
      <c r="P1359" t="s">
        <v>64</v>
      </c>
      <c r="Q1359" t="s">
        <v>41</v>
      </c>
      <c r="R1359">
        <v>3</v>
      </c>
      <c r="S1359" t="s">
        <v>99</v>
      </c>
      <c r="T1359" s="4">
        <f t="shared" si="108"/>
        <v>150748.79999999999</v>
      </c>
      <c r="U1359" s="4" t="str">
        <f t="shared" si="109"/>
        <v>Average</v>
      </c>
      <c r="V1359" s="4" t="str">
        <f t="shared" si="110"/>
        <v>Good</v>
      </c>
      <c r="W1359" s="4"/>
      <c r="X1359" s="4"/>
      <c r="AJ1359" s="4"/>
    </row>
    <row r="1360" spans="1:36">
      <c r="A1360" t="str">
        <f t="shared" si="106"/>
        <v>Vino591359</v>
      </c>
      <c r="B1360">
        <v>1359</v>
      </c>
      <c r="C1360">
        <v>31</v>
      </c>
      <c r="D1360">
        <v>10</v>
      </c>
      <c r="E1360">
        <v>2022</v>
      </c>
      <c r="F1360" s="1">
        <f t="shared" si="107"/>
        <v>44865</v>
      </c>
      <c r="G1360" s="1" t="s">
        <v>18</v>
      </c>
      <c r="H1360" s="2">
        <v>45836</v>
      </c>
      <c r="I1360" t="s">
        <v>19</v>
      </c>
      <c r="J1360">
        <v>2</v>
      </c>
      <c r="K1360">
        <v>52185.63</v>
      </c>
      <c r="L1360" t="s">
        <v>656</v>
      </c>
      <c r="M1360">
        <v>59</v>
      </c>
      <c r="N1360" t="s">
        <v>61</v>
      </c>
      <c r="O1360" s="3" t="s">
        <v>22</v>
      </c>
      <c r="P1360" t="s">
        <v>33</v>
      </c>
      <c r="Q1360" t="s">
        <v>56</v>
      </c>
      <c r="R1360">
        <v>4</v>
      </c>
      <c r="S1360" t="s">
        <v>37</v>
      </c>
      <c r="T1360" s="4">
        <f t="shared" si="108"/>
        <v>104371.26</v>
      </c>
      <c r="U1360" s="4" t="str">
        <f t="shared" si="109"/>
        <v>Good</v>
      </c>
      <c r="V1360" s="4" t="str">
        <f t="shared" si="110"/>
        <v>Good</v>
      </c>
      <c r="W1360" s="4"/>
      <c r="X1360" s="4"/>
      <c r="AJ1360" s="4"/>
    </row>
    <row r="1361" spans="1:36">
      <c r="A1361" t="str">
        <f t="shared" si="106"/>
        <v>Anit401360</v>
      </c>
      <c r="B1361">
        <v>1360</v>
      </c>
      <c r="C1361">
        <v>1</v>
      </c>
      <c r="D1361">
        <v>11</v>
      </c>
      <c r="E1361">
        <v>2022</v>
      </c>
      <c r="F1361" s="1">
        <f t="shared" si="107"/>
        <v>44866</v>
      </c>
      <c r="G1361" s="1" t="s">
        <v>144</v>
      </c>
      <c r="H1361" s="2">
        <v>45837</v>
      </c>
      <c r="I1361" t="s">
        <v>38</v>
      </c>
      <c r="J1361">
        <v>2</v>
      </c>
      <c r="K1361">
        <v>27489.05</v>
      </c>
      <c r="L1361" t="s">
        <v>838</v>
      </c>
      <c r="M1361">
        <v>40</v>
      </c>
      <c r="N1361" t="s">
        <v>21</v>
      </c>
      <c r="O1361" s="3" t="s">
        <v>22</v>
      </c>
      <c r="P1361" t="s">
        <v>33</v>
      </c>
      <c r="Q1361" t="s">
        <v>56</v>
      </c>
      <c r="R1361">
        <v>5</v>
      </c>
      <c r="S1361" t="s">
        <v>99</v>
      </c>
      <c r="T1361" s="4">
        <f t="shared" si="108"/>
        <v>54978.1</v>
      </c>
      <c r="U1361" s="4" t="str">
        <f t="shared" si="109"/>
        <v>Good</v>
      </c>
      <c r="V1361" s="4" t="str">
        <f t="shared" si="110"/>
        <v>Average</v>
      </c>
      <c r="W1361" s="4"/>
      <c r="X1361" s="4"/>
      <c r="AJ1361" s="4"/>
    </row>
    <row r="1362" spans="1:36">
      <c r="A1362" t="str">
        <f t="shared" si="106"/>
        <v>Kira441361</v>
      </c>
      <c r="B1362">
        <v>1361</v>
      </c>
      <c r="C1362">
        <v>1</v>
      </c>
      <c r="D1362">
        <v>11</v>
      </c>
      <c r="E1362">
        <v>2022</v>
      </c>
      <c r="F1362" s="1">
        <f t="shared" si="107"/>
        <v>44866</v>
      </c>
      <c r="G1362" s="1" t="s">
        <v>144</v>
      </c>
      <c r="H1362" s="2">
        <v>45838</v>
      </c>
      <c r="I1362" t="s">
        <v>49</v>
      </c>
      <c r="J1362">
        <v>1</v>
      </c>
      <c r="K1362">
        <v>38222.29</v>
      </c>
      <c r="L1362" t="s">
        <v>839</v>
      </c>
      <c r="M1362">
        <v>44</v>
      </c>
      <c r="N1362" t="s">
        <v>21</v>
      </c>
      <c r="O1362" s="3" t="s">
        <v>55</v>
      </c>
      <c r="P1362" t="s">
        <v>33</v>
      </c>
      <c r="Q1362" t="s">
        <v>56</v>
      </c>
      <c r="R1362">
        <v>1</v>
      </c>
      <c r="S1362" t="s">
        <v>52</v>
      </c>
      <c r="T1362" s="4">
        <f t="shared" si="108"/>
        <v>38222.29</v>
      </c>
      <c r="U1362" s="4" t="str">
        <f t="shared" si="109"/>
        <v>Average</v>
      </c>
      <c r="V1362" s="4" t="str">
        <f t="shared" si="110"/>
        <v>Low</v>
      </c>
      <c r="W1362" s="4"/>
      <c r="X1362" s="4"/>
      <c r="AJ1362" s="4"/>
    </row>
    <row r="1363" spans="1:36">
      <c r="A1363" t="str">
        <f t="shared" si="106"/>
        <v>Deep421362</v>
      </c>
      <c r="B1363">
        <v>1362</v>
      </c>
      <c r="C1363">
        <v>1</v>
      </c>
      <c r="D1363">
        <v>11</v>
      </c>
      <c r="E1363">
        <v>2022</v>
      </c>
      <c r="F1363" s="1">
        <f t="shared" si="107"/>
        <v>44866</v>
      </c>
      <c r="G1363" s="1" t="s">
        <v>144</v>
      </c>
      <c r="H1363" s="2">
        <v>45839</v>
      </c>
      <c r="I1363" t="s">
        <v>49</v>
      </c>
      <c r="J1363">
        <v>5</v>
      </c>
      <c r="K1363">
        <v>67374.759999999995</v>
      </c>
      <c r="L1363" t="s">
        <v>627</v>
      </c>
      <c r="M1363">
        <v>42</v>
      </c>
      <c r="N1363" t="s">
        <v>21</v>
      </c>
      <c r="O1363" s="3" t="s">
        <v>22</v>
      </c>
      <c r="P1363" t="s">
        <v>33</v>
      </c>
      <c r="Q1363" t="s">
        <v>30</v>
      </c>
      <c r="R1363">
        <v>5</v>
      </c>
      <c r="S1363" t="s">
        <v>88</v>
      </c>
      <c r="T1363" s="4">
        <f t="shared" si="108"/>
        <v>336873.8</v>
      </c>
      <c r="U1363" s="4" t="str">
        <f t="shared" si="109"/>
        <v>Good</v>
      </c>
      <c r="V1363" s="4" t="str">
        <f t="shared" si="110"/>
        <v>Excellent</v>
      </c>
      <c r="W1363" s="4"/>
      <c r="X1363" s="4"/>
      <c r="AJ1363" s="4"/>
    </row>
    <row r="1364" spans="1:36">
      <c r="A1364" t="str">
        <f t="shared" si="106"/>
        <v>Umes491363</v>
      </c>
      <c r="B1364">
        <v>1363</v>
      </c>
      <c r="C1364">
        <v>2</v>
      </c>
      <c r="D1364">
        <v>11</v>
      </c>
      <c r="E1364">
        <v>2022</v>
      </c>
      <c r="F1364" s="1">
        <f t="shared" si="107"/>
        <v>44867</v>
      </c>
      <c r="G1364" s="1" t="s">
        <v>144</v>
      </c>
      <c r="H1364" s="2">
        <v>45840</v>
      </c>
      <c r="I1364" t="s">
        <v>49</v>
      </c>
      <c r="J1364">
        <v>6</v>
      </c>
      <c r="K1364">
        <v>56002.31</v>
      </c>
      <c r="L1364" t="s">
        <v>840</v>
      </c>
      <c r="M1364">
        <v>49</v>
      </c>
      <c r="N1364" t="s">
        <v>61</v>
      </c>
      <c r="O1364" s="3" t="s">
        <v>22</v>
      </c>
      <c r="P1364" t="s">
        <v>77</v>
      </c>
      <c r="Q1364" t="s">
        <v>56</v>
      </c>
      <c r="R1364">
        <v>5</v>
      </c>
      <c r="S1364" t="s">
        <v>102</v>
      </c>
      <c r="T1364" s="4">
        <f t="shared" si="108"/>
        <v>336013.86</v>
      </c>
      <c r="U1364" s="4" t="str">
        <f t="shared" si="109"/>
        <v>Good</v>
      </c>
      <c r="V1364" s="4" t="str">
        <f t="shared" si="110"/>
        <v>Excellent</v>
      </c>
      <c r="W1364" s="4"/>
      <c r="X1364" s="4"/>
      <c r="AJ1364" s="4"/>
    </row>
    <row r="1365" spans="1:36">
      <c r="A1365" t="str">
        <f t="shared" si="106"/>
        <v>Radh361364</v>
      </c>
      <c r="B1365">
        <v>1364</v>
      </c>
      <c r="C1365">
        <v>2</v>
      </c>
      <c r="D1365">
        <v>11</v>
      </c>
      <c r="E1365">
        <v>2022</v>
      </c>
      <c r="F1365" s="1">
        <f t="shared" si="107"/>
        <v>44867</v>
      </c>
      <c r="G1365" s="1" t="s">
        <v>144</v>
      </c>
      <c r="H1365" s="2">
        <v>45841</v>
      </c>
      <c r="I1365" t="s">
        <v>43</v>
      </c>
      <c r="J1365">
        <v>6</v>
      </c>
      <c r="K1365">
        <v>68173.41</v>
      </c>
      <c r="L1365" t="s">
        <v>841</v>
      </c>
      <c r="M1365">
        <v>36</v>
      </c>
      <c r="N1365" t="s">
        <v>21</v>
      </c>
      <c r="O1365" s="3" t="s">
        <v>22</v>
      </c>
      <c r="P1365" t="s">
        <v>117</v>
      </c>
      <c r="Q1365" t="s">
        <v>30</v>
      </c>
      <c r="R1365">
        <v>4</v>
      </c>
      <c r="S1365" t="s">
        <v>46</v>
      </c>
      <c r="T1365" s="4">
        <f t="shared" si="108"/>
        <v>409040.46</v>
      </c>
      <c r="U1365" s="4" t="str">
        <f t="shared" si="109"/>
        <v>Good</v>
      </c>
      <c r="V1365" s="4" t="str">
        <f t="shared" si="110"/>
        <v>Excellent</v>
      </c>
      <c r="W1365" s="4"/>
      <c r="X1365" s="4"/>
      <c r="AJ1365" s="4"/>
    </row>
    <row r="1366" spans="1:36">
      <c r="A1366" t="str">
        <f t="shared" si="106"/>
        <v>Moni411365</v>
      </c>
      <c r="B1366">
        <v>1365</v>
      </c>
      <c r="C1366">
        <v>2</v>
      </c>
      <c r="D1366">
        <v>11</v>
      </c>
      <c r="E1366">
        <v>2022</v>
      </c>
      <c r="F1366" s="1">
        <f t="shared" si="107"/>
        <v>44867</v>
      </c>
      <c r="G1366" s="1" t="s">
        <v>144</v>
      </c>
      <c r="H1366" s="2">
        <v>45842</v>
      </c>
      <c r="I1366" t="s">
        <v>19</v>
      </c>
      <c r="J1366">
        <v>9</v>
      </c>
      <c r="K1366">
        <v>54775.26</v>
      </c>
      <c r="L1366" t="s">
        <v>688</v>
      </c>
      <c r="M1366">
        <v>41</v>
      </c>
      <c r="N1366" t="s">
        <v>21</v>
      </c>
      <c r="O1366" s="3" t="s">
        <v>22</v>
      </c>
      <c r="P1366" t="s">
        <v>132</v>
      </c>
      <c r="Q1366" t="s">
        <v>30</v>
      </c>
      <c r="R1366">
        <v>5</v>
      </c>
      <c r="S1366" t="s">
        <v>84</v>
      </c>
      <c r="T1366" s="4">
        <f t="shared" si="108"/>
        <v>492977.34</v>
      </c>
      <c r="U1366" s="4" t="str">
        <f t="shared" si="109"/>
        <v>Good</v>
      </c>
      <c r="V1366" s="4" t="str">
        <f t="shared" si="110"/>
        <v>Excellent</v>
      </c>
      <c r="W1366" s="4"/>
      <c r="X1366" s="4"/>
      <c r="AJ1366" s="4"/>
    </row>
    <row r="1367" spans="1:36">
      <c r="A1367" t="str">
        <f t="shared" si="106"/>
        <v>Pooj201366</v>
      </c>
      <c r="B1367">
        <v>1366</v>
      </c>
      <c r="C1367">
        <v>3</v>
      </c>
      <c r="D1367">
        <v>11</v>
      </c>
      <c r="E1367">
        <v>2022</v>
      </c>
      <c r="F1367" s="1">
        <f t="shared" si="107"/>
        <v>44868</v>
      </c>
      <c r="G1367" s="1" t="s">
        <v>144</v>
      </c>
      <c r="H1367" s="2">
        <v>45843</v>
      </c>
      <c r="I1367" t="s">
        <v>43</v>
      </c>
      <c r="J1367">
        <v>4</v>
      </c>
      <c r="K1367">
        <v>20536.009999999998</v>
      </c>
      <c r="L1367" t="s">
        <v>646</v>
      </c>
      <c r="M1367">
        <v>20</v>
      </c>
      <c r="N1367" t="s">
        <v>36</v>
      </c>
      <c r="O1367" s="3" t="s">
        <v>28</v>
      </c>
      <c r="P1367" t="s">
        <v>33</v>
      </c>
      <c r="Q1367" t="s">
        <v>41</v>
      </c>
      <c r="R1367">
        <v>3</v>
      </c>
      <c r="S1367" t="s">
        <v>57</v>
      </c>
      <c r="T1367" s="4">
        <f t="shared" si="108"/>
        <v>82144.039999999994</v>
      </c>
      <c r="U1367" s="4" t="str">
        <f t="shared" si="109"/>
        <v>Average</v>
      </c>
      <c r="V1367" s="4" t="str">
        <f t="shared" si="110"/>
        <v>Average</v>
      </c>
      <c r="W1367" s="4"/>
      <c r="X1367" s="4"/>
      <c r="AJ1367" s="4"/>
    </row>
    <row r="1368" spans="1:36">
      <c r="A1368" t="str">
        <f t="shared" si="106"/>
        <v>Sneh291367</v>
      </c>
      <c r="B1368">
        <v>1367</v>
      </c>
      <c r="C1368">
        <v>3</v>
      </c>
      <c r="D1368">
        <v>11</v>
      </c>
      <c r="E1368">
        <v>2022</v>
      </c>
      <c r="F1368" s="1">
        <f t="shared" si="107"/>
        <v>44868</v>
      </c>
      <c r="G1368" s="1" t="s">
        <v>144</v>
      </c>
      <c r="H1368" s="2">
        <v>45844</v>
      </c>
      <c r="I1368" t="s">
        <v>38</v>
      </c>
      <c r="J1368">
        <v>1</v>
      </c>
      <c r="K1368">
        <v>13872.15</v>
      </c>
      <c r="L1368" t="s">
        <v>842</v>
      </c>
      <c r="M1368">
        <v>29</v>
      </c>
      <c r="N1368" t="s">
        <v>36</v>
      </c>
      <c r="O1368" s="3" t="s">
        <v>22</v>
      </c>
      <c r="P1368" t="s">
        <v>90</v>
      </c>
      <c r="Q1368" t="s">
        <v>56</v>
      </c>
      <c r="R1368">
        <v>5</v>
      </c>
      <c r="S1368" t="s">
        <v>99</v>
      </c>
      <c r="T1368" s="4">
        <f t="shared" si="108"/>
        <v>13872.15</v>
      </c>
      <c r="U1368" s="4" t="str">
        <f t="shared" si="109"/>
        <v>Good</v>
      </c>
      <c r="V1368" s="4" t="str">
        <f t="shared" si="110"/>
        <v>Low</v>
      </c>
      <c r="W1368" s="4"/>
      <c r="X1368" s="4"/>
      <c r="AJ1368" s="4"/>
    </row>
    <row r="1369" spans="1:36">
      <c r="A1369" t="str">
        <f t="shared" si="106"/>
        <v>Navi521368</v>
      </c>
      <c r="B1369">
        <v>1368</v>
      </c>
      <c r="C1369">
        <v>3</v>
      </c>
      <c r="D1369">
        <v>11</v>
      </c>
      <c r="E1369">
        <v>2022</v>
      </c>
      <c r="F1369" s="1">
        <f t="shared" si="107"/>
        <v>44868</v>
      </c>
      <c r="G1369" s="1" t="s">
        <v>144</v>
      </c>
      <c r="H1369" s="2">
        <v>45845</v>
      </c>
      <c r="I1369" t="s">
        <v>43</v>
      </c>
      <c r="J1369">
        <v>6</v>
      </c>
      <c r="K1369">
        <v>44659.69</v>
      </c>
      <c r="L1369" t="s">
        <v>359</v>
      </c>
      <c r="M1369">
        <v>52</v>
      </c>
      <c r="N1369" t="s">
        <v>61</v>
      </c>
      <c r="O1369" s="3" t="s">
        <v>22</v>
      </c>
      <c r="P1369" t="s">
        <v>51</v>
      </c>
      <c r="Q1369" t="s">
        <v>41</v>
      </c>
      <c r="R1369">
        <v>4</v>
      </c>
      <c r="S1369" t="s">
        <v>57</v>
      </c>
      <c r="T1369" s="4">
        <f t="shared" si="108"/>
        <v>267958.14</v>
      </c>
      <c r="U1369" s="4" t="str">
        <f t="shared" si="109"/>
        <v>Good</v>
      </c>
      <c r="V1369" s="4" t="str">
        <f t="shared" si="110"/>
        <v>Excellent</v>
      </c>
      <c r="W1369" s="4"/>
      <c r="X1369" s="4"/>
      <c r="AJ1369" s="4"/>
    </row>
    <row r="1370" spans="1:36">
      <c r="A1370" t="str">
        <f t="shared" si="106"/>
        <v>Kavi321369</v>
      </c>
      <c r="B1370">
        <v>1369</v>
      </c>
      <c r="C1370">
        <v>4</v>
      </c>
      <c r="D1370">
        <v>11</v>
      </c>
      <c r="E1370">
        <v>2022</v>
      </c>
      <c r="F1370" s="1">
        <f t="shared" si="107"/>
        <v>44869</v>
      </c>
      <c r="G1370" s="1" t="s">
        <v>144</v>
      </c>
      <c r="H1370" s="2">
        <v>45846</v>
      </c>
      <c r="I1370" t="s">
        <v>38</v>
      </c>
      <c r="J1370">
        <v>5</v>
      </c>
      <c r="K1370">
        <v>31468.799999999999</v>
      </c>
      <c r="L1370" t="s">
        <v>519</v>
      </c>
      <c r="M1370">
        <v>32</v>
      </c>
      <c r="N1370" t="s">
        <v>21</v>
      </c>
      <c r="O1370" s="3" t="s">
        <v>22</v>
      </c>
      <c r="P1370" t="s">
        <v>45</v>
      </c>
      <c r="Q1370" t="s">
        <v>41</v>
      </c>
      <c r="R1370">
        <v>5</v>
      </c>
      <c r="S1370" t="s">
        <v>99</v>
      </c>
      <c r="T1370" s="4">
        <f t="shared" si="108"/>
        <v>157344</v>
      </c>
      <c r="U1370" s="4" t="str">
        <f t="shared" si="109"/>
        <v>Good</v>
      </c>
      <c r="V1370" s="4" t="str">
        <f t="shared" si="110"/>
        <v>Good</v>
      </c>
      <c r="W1370" s="4"/>
      <c r="X1370" s="4"/>
      <c r="AJ1370" s="4"/>
    </row>
    <row r="1371" spans="1:36">
      <c r="A1371" t="str">
        <f t="shared" si="106"/>
        <v>Ayes341370</v>
      </c>
      <c r="B1371">
        <v>1370</v>
      </c>
      <c r="C1371">
        <v>4</v>
      </c>
      <c r="D1371">
        <v>11</v>
      </c>
      <c r="E1371">
        <v>2022</v>
      </c>
      <c r="F1371" s="1">
        <f t="shared" si="107"/>
        <v>44869</v>
      </c>
      <c r="G1371" s="1" t="s">
        <v>144</v>
      </c>
      <c r="H1371" s="2">
        <v>45847</v>
      </c>
      <c r="I1371" t="s">
        <v>38</v>
      </c>
      <c r="J1371">
        <v>6</v>
      </c>
      <c r="K1371">
        <v>26527.47</v>
      </c>
      <c r="L1371" t="s">
        <v>164</v>
      </c>
      <c r="M1371">
        <v>34</v>
      </c>
      <c r="N1371" t="s">
        <v>21</v>
      </c>
      <c r="O1371" s="3" t="s">
        <v>22</v>
      </c>
      <c r="P1371" t="s">
        <v>45</v>
      </c>
      <c r="Q1371" t="s">
        <v>30</v>
      </c>
      <c r="R1371">
        <v>4</v>
      </c>
      <c r="S1371" t="s">
        <v>42</v>
      </c>
      <c r="T1371" s="4">
        <f t="shared" si="108"/>
        <v>159164.82</v>
      </c>
      <c r="U1371" s="4" t="str">
        <f t="shared" si="109"/>
        <v>Good</v>
      </c>
      <c r="V1371" s="4" t="str">
        <f t="shared" si="110"/>
        <v>Good</v>
      </c>
      <c r="W1371" s="4"/>
      <c r="X1371" s="4"/>
      <c r="AJ1371" s="4"/>
    </row>
    <row r="1372" spans="1:36">
      <c r="A1372" t="str">
        <f t="shared" si="106"/>
        <v>Tapa491371</v>
      </c>
      <c r="B1372">
        <v>1371</v>
      </c>
      <c r="C1372">
        <v>4</v>
      </c>
      <c r="D1372">
        <v>11</v>
      </c>
      <c r="E1372">
        <v>2022</v>
      </c>
      <c r="F1372" s="1">
        <f t="shared" si="107"/>
        <v>44869</v>
      </c>
      <c r="G1372" s="1" t="s">
        <v>144</v>
      </c>
      <c r="H1372" s="2">
        <v>45848</v>
      </c>
      <c r="I1372" t="s">
        <v>26</v>
      </c>
      <c r="J1372">
        <v>3</v>
      </c>
      <c r="K1372">
        <v>58432.66</v>
      </c>
      <c r="L1372" t="s">
        <v>380</v>
      </c>
      <c r="M1372">
        <v>49</v>
      </c>
      <c r="N1372" t="s">
        <v>61</v>
      </c>
      <c r="O1372" s="3" t="s">
        <v>22</v>
      </c>
      <c r="P1372" t="s">
        <v>29</v>
      </c>
      <c r="Q1372" t="s">
        <v>24</v>
      </c>
      <c r="R1372">
        <v>5</v>
      </c>
      <c r="S1372" t="s">
        <v>34</v>
      </c>
      <c r="T1372" s="4">
        <f t="shared" si="108"/>
        <v>175297.98</v>
      </c>
      <c r="U1372" s="4" t="str">
        <f t="shared" si="109"/>
        <v>Good</v>
      </c>
      <c r="V1372" s="4" t="str">
        <f t="shared" si="110"/>
        <v>Good</v>
      </c>
      <c r="W1372" s="4"/>
      <c r="X1372" s="4"/>
      <c r="AJ1372" s="4"/>
    </row>
    <row r="1373" spans="1:36">
      <c r="A1373" t="str">
        <f t="shared" si="106"/>
        <v>Moni241372</v>
      </c>
      <c r="B1373">
        <v>1372</v>
      </c>
      <c r="C1373">
        <v>5</v>
      </c>
      <c r="D1373">
        <v>11</v>
      </c>
      <c r="E1373">
        <v>2022</v>
      </c>
      <c r="F1373" s="1">
        <f t="shared" si="107"/>
        <v>44870</v>
      </c>
      <c r="G1373" s="1" t="s">
        <v>144</v>
      </c>
      <c r="H1373" s="2">
        <v>45849</v>
      </c>
      <c r="I1373" t="s">
        <v>49</v>
      </c>
      <c r="J1373">
        <v>2</v>
      </c>
      <c r="K1373">
        <v>32019.599999999999</v>
      </c>
      <c r="L1373" t="s">
        <v>843</v>
      </c>
      <c r="M1373">
        <v>24</v>
      </c>
      <c r="N1373" t="s">
        <v>36</v>
      </c>
      <c r="O1373" s="3" t="s">
        <v>55</v>
      </c>
      <c r="P1373" t="s">
        <v>66</v>
      </c>
      <c r="Q1373" t="s">
        <v>30</v>
      </c>
      <c r="R1373">
        <v>1</v>
      </c>
      <c r="S1373" t="s">
        <v>88</v>
      </c>
      <c r="T1373" s="4">
        <f t="shared" si="108"/>
        <v>64039.199999999997</v>
      </c>
      <c r="U1373" s="4" t="str">
        <f t="shared" si="109"/>
        <v>Average</v>
      </c>
      <c r="V1373" s="4" t="str">
        <f t="shared" si="110"/>
        <v>Average</v>
      </c>
      <c r="W1373" s="4"/>
      <c r="X1373" s="4"/>
      <c r="AJ1373" s="4"/>
    </row>
    <row r="1374" spans="1:36">
      <c r="A1374" t="str">
        <f t="shared" si="106"/>
        <v>Priy361373</v>
      </c>
      <c r="B1374">
        <v>1373</v>
      </c>
      <c r="C1374">
        <v>5</v>
      </c>
      <c r="D1374">
        <v>11</v>
      </c>
      <c r="E1374">
        <v>2022</v>
      </c>
      <c r="F1374" s="1">
        <f t="shared" si="107"/>
        <v>44870</v>
      </c>
      <c r="G1374" s="1" t="s">
        <v>144</v>
      </c>
      <c r="H1374" s="2">
        <v>45850</v>
      </c>
      <c r="I1374" t="s">
        <v>38</v>
      </c>
      <c r="J1374">
        <v>6</v>
      </c>
      <c r="K1374">
        <v>29020.06</v>
      </c>
      <c r="L1374" t="s">
        <v>332</v>
      </c>
      <c r="M1374">
        <v>36</v>
      </c>
      <c r="N1374" t="s">
        <v>21</v>
      </c>
      <c r="O1374" s="3" t="s">
        <v>22</v>
      </c>
      <c r="P1374" t="s">
        <v>23</v>
      </c>
      <c r="Q1374" t="s">
        <v>41</v>
      </c>
      <c r="R1374">
        <v>5</v>
      </c>
      <c r="S1374" t="s">
        <v>42</v>
      </c>
      <c r="T1374" s="4">
        <f t="shared" si="108"/>
        <v>174120.36000000002</v>
      </c>
      <c r="U1374" s="4" t="str">
        <f t="shared" si="109"/>
        <v>Good</v>
      </c>
      <c r="V1374" s="4" t="str">
        <f t="shared" si="110"/>
        <v>Good</v>
      </c>
      <c r="W1374" s="4"/>
      <c r="X1374" s="4"/>
      <c r="AJ1374" s="4"/>
    </row>
    <row r="1375" spans="1:36">
      <c r="A1375" t="str">
        <f t="shared" si="106"/>
        <v>Mala241374</v>
      </c>
      <c r="B1375">
        <v>1374</v>
      </c>
      <c r="C1375">
        <v>5</v>
      </c>
      <c r="D1375">
        <v>11</v>
      </c>
      <c r="E1375">
        <v>2022</v>
      </c>
      <c r="F1375" s="1">
        <f t="shared" si="107"/>
        <v>44870</v>
      </c>
      <c r="G1375" s="1" t="s">
        <v>144</v>
      </c>
      <c r="H1375" s="2">
        <v>45851</v>
      </c>
      <c r="I1375" t="s">
        <v>26</v>
      </c>
      <c r="J1375">
        <v>1</v>
      </c>
      <c r="K1375">
        <v>60999.26</v>
      </c>
      <c r="L1375" t="s">
        <v>50</v>
      </c>
      <c r="M1375">
        <v>24</v>
      </c>
      <c r="N1375" t="s">
        <v>36</v>
      </c>
      <c r="O1375" s="3" t="s">
        <v>22</v>
      </c>
      <c r="P1375" t="s">
        <v>29</v>
      </c>
      <c r="Q1375" t="s">
        <v>30</v>
      </c>
      <c r="R1375">
        <v>4</v>
      </c>
      <c r="S1375" t="s">
        <v>34</v>
      </c>
      <c r="T1375" s="4">
        <f t="shared" si="108"/>
        <v>60999.26</v>
      </c>
      <c r="U1375" s="4" t="str">
        <f t="shared" si="109"/>
        <v>Good</v>
      </c>
      <c r="V1375" s="4" t="str">
        <f t="shared" si="110"/>
        <v>Average</v>
      </c>
      <c r="W1375" s="4"/>
      <c r="X1375" s="4"/>
      <c r="AJ1375" s="4"/>
    </row>
    <row r="1376" spans="1:36">
      <c r="A1376" t="str">
        <f t="shared" si="106"/>
        <v>Suni221375</v>
      </c>
      <c r="B1376">
        <v>1375</v>
      </c>
      <c r="C1376">
        <v>5</v>
      </c>
      <c r="D1376">
        <v>11</v>
      </c>
      <c r="E1376">
        <v>2022</v>
      </c>
      <c r="F1376" s="1">
        <f t="shared" si="107"/>
        <v>44870</v>
      </c>
      <c r="G1376" s="1" t="s">
        <v>144</v>
      </c>
      <c r="H1376" s="2">
        <v>45852</v>
      </c>
      <c r="I1376" t="s">
        <v>49</v>
      </c>
      <c r="J1376">
        <v>7</v>
      </c>
      <c r="K1376">
        <v>60777.24</v>
      </c>
      <c r="L1376" t="s">
        <v>844</v>
      </c>
      <c r="M1376">
        <v>22</v>
      </c>
      <c r="N1376" t="s">
        <v>36</v>
      </c>
      <c r="O1376" s="3" t="s">
        <v>22</v>
      </c>
      <c r="P1376" t="s">
        <v>64</v>
      </c>
      <c r="Q1376" t="s">
        <v>30</v>
      </c>
      <c r="R1376">
        <v>4</v>
      </c>
      <c r="S1376" t="s">
        <v>52</v>
      </c>
      <c r="T1376" s="4">
        <f t="shared" si="108"/>
        <v>425440.68</v>
      </c>
      <c r="U1376" s="4" t="str">
        <f t="shared" si="109"/>
        <v>Good</v>
      </c>
      <c r="V1376" s="4" t="str">
        <f t="shared" si="110"/>
        <v>Excellent</v>
      </c>
      <c r="W1376" s="4"/>
      <c r="X1376" s="4"/>
      <c r="AJ1376" s="4"/>
    </row>
    <row r="1377" spans="1:36">
      <c r="A1377" t="str">
        <f t="shared" si="106"/>
        <v>Lata571376</v>
      </c>
      <c r="B1377">
        <v>1376</v>
      </c>
      <c r="C1377">
        <v>6</v>
      </c>
      <c r="D1377">
        <v>11</v>
      </c>
      <c r="E1377">
        <v>2022</v>
      </c>
      <c r="F1377" s="1">
        <f t="shared" si="107"/>
        <v>44871</v>
      </c>
      <c r="G1377" s="1" t="s">
        <v>144</v>
      </c>
      <c r="H1377" s="2">
        <v>45853</v>
      </c>
      <c r="I1377" t="s">
        <v>38</v>
      </c>
      <c r="J1377">
        <v>7</v>
      </c>
      <c r="K1377">
        <v>31382</v>
      </c>
      <c r="L1377" t="s">
        <v>314</v>
      </c>
      <c r="M1377">
        <v>57</v>
      </c>
      <c r="N1377" t="s">
        <v>61</v>
      </c>
      <c r="O1377" s="3" t="s">
        <v>22</v>
      </c>
      <c r="P1377" t="s">
        <v>29</v>
      </c>
      <c r="Q1377" t="s">
        <v>30</v>
      </c>
      <c r="R1377">
        <v>5</v>
      </c>
      <c r="S1377" t="s">
        <v>99</v>
      </c>
      <c r="T1377" s="4">
        <f t="shared" si="108"/>
        <v>219674</v>
      </c>
      <c r="U1377" s="4" t="str">
        <f t="shared" si="109"/>
        <v>Good</v>
      </c>
      <c r="V1377" s="4" t="str">
        <f t="shared" si="110"/>
        <v>Excellent</v>
      </c>
      <c r="W1377" s="4"/>
      <c r="X1377" s="4"/>
      <c r="AJ1377" s="4"/>
    </row>
    <row r="1378" spans="1:36">
      <c r="A1378" t="str">
        <f t="shared" si="106"/>
        <v>Pras381377</v>
      </c>
      <c r="B1378">
        <v>1377</v>
      </c>
      <c r="C1378">
        <v>6</v>
      </c>
      <c r="D1378">
        <v>11</v>
      </c>
      <c r="E1378">
        <v>2022</v>
      </c>
      <c r="F1378" s="1">
        <f t="shared" si="107"/>
        <v>44871</v>
      </c>
      <c r="G1378" s="1" t="s">
        <v>144</v>
      </c>
      <c r="H1378" s="2">
        <v>45854</v>
      </c>
      <c r="I1378" t="s">
        <v>38</v>
      </c>
      <c r="J1378">
        <v>7</v>
      </c>
      <c r="K1378">
        <v>59949.919999999998</v>
      </c>
      <c r="L1378" t="s">
        <v>713</v>
      </c>
      <c r="M1378">
        <v>38</v>
      </c>
      <c r="N1378" t="s">
        <v>21</v>
      </c>
      <c r="O1378" s="3" t="s">
        <v>28</v>
      </c>
      <c r="P1378" t="s">
        <v>70</v>
      </c>
      <c r="Q1378" t="s">
        <v>56</v>
      </c>
      <c r="R1378">
        <v>3</v>
      </c>
      <c r="S1378" t="s">
        <v>48</v>
      </c>
      <c r="T1378" s="4">
        <f t="shared" si="108"/>
        <v>419649.44</v>
      </c>
      <c r="U1378" s="4" t="str">
        <f t="shared" si="109"/>
        <v>Average</v>
      </c>
      <c r="V1378" s="4" t="str">
        <f t="shared" si="110"/>
        <v>Excellent</v>
      </c>
      <c r="W1378" s="4"/>
      <c r="X1378" s="4"/>
      <c r="AJ1378" s="4"/>
    </row>
    <row r="1379" spans="1:36">
      <c r="A1379" t="str">
        <f t="shared" si="106"/>
        <v>Kavi241378</v>
      </c>
      <c r="B1379">
        <v>1378</v>
      </c>
      <c r="C1379">
        <v>6</v>
      </c>
      <c r="D1379">
        <v>11</v>
      </c>
      <c r="E1379">
        <v>2022</v>
      </c>
      <c r="F1379" s="1">
        <f t="shared" si="107"/>
        <v>44871</v>
      </c>
      <c r="G1379" s="1" t="s">
        <v>144</v>
      </c>
      <c r="H1379" s="2">
        <v>45855</v>
      </c>
      <c r="I1379" t="s">
        <v>43</v>
      </c>
      <c r="J1379">
        <v>1</v>
      </c>
      <c r="K1379">
        <v>61046.71</v>
      </c>
      <c r="L1379" t="s">
        <v>318</v>
      </c>
      <c r="M1379">
        <v>24</v>
      </c>
      <c r="N1379" t="s">
        <v>36</v>
      </c>
      <c r="O1379" s="3" t="s">
        <v>22</v>
      </c>
      <c r="P1379" t="s">
        <v>33</v>
      </c>
      <c r="Q1379" t="s">
        <v>30</v>
      </c>
      <c r="R1379">
        <v>4</v>
      </c>
      <c r="S1379" t="s">
        <v>57</v>
      </c>
      <c r="T1379" s="4">
        <f t="shared" si="108"/>
        <v>61046.71</v>
      </c>
      <c r="U1379" s="4" t="str">
        <f t="shared" si="109"/>
        <v>Good</v>
      </c>
      <c r="V1379" s="4" t="str">
        <f t="shared" si="110"/>
        <v>Average</v>
      </c>
      <c r="W1379" s="4"/>
      <c r="X1379" s="4"/>
      <c r="AJ1379" s="4"/>
    </row>
    <row r="1380" spans="1:36">
      <c r="A1380" t="str">
        <f t="shared" si="106"/>
        <v>Sneh541379</v>
      </c>
      <c r="B1380">
        <v>1379</v>
      </c>
      <c r="C1380">
        <v>6</v>
      </c>
      <c r="D1380">
        <v>11</v>
      </c>
      <c r="E1380">
        <v>2022</v>
      </c>
      <c r="F1380" s="1">
        <f t="shared" si="107"/>
        <v>44871</v>
      </c>
      <c r="G1380" s="1" t="s">
        <v>144</v>
      </c>
      <c r="H1380" s="2">
        <v>45856</v>
      </c>
      <c r="I1380" t="s">
        <v>43</v>
      </c>
      <c r="J1380">
        <v>4</v>
      </c>
      <c r="K1380">
        <v>35435.83</v>
      </c>
      <c r="L1380" t="s">
        <v>39</v>
      </c>
      <c r="M1380">
        <v>54</v>
      </c>
      <c r="N1380" t="s">
        <v>61</v>
      </c>
      <c r="O1380" s="3" t="s">
        <v>55</v>
      </c>
      <c r="P1380" t="s">
        <v>114</v>
      </c>
      <c r="Q1380" t="s">
        <v>41</v>
      </c>
      <c r="R1380">
        <v>1</v>
      </c>
      <c r="S1380" t="s">
        <v>95</v>
      </c>
      <c r="T1380" s="4">
        <f t="shared" si="108"/>
        <v>141743.32</v>
      </c>
      <c r="U1380" s="4" t="str">
        <f t="shared" si="109"/>
        <v>Average</v>
      </c>
      <c r="V1380" s="4" t="str">
        <f t="shared" si="110"/>
        <v>Good</v>
      </c>
      <c r="W1380" s="4"/>
      <c r="X1380" s="4"/>
      <c r="AJ1380" s="4"/>
    </row>
    <row r="1381" spans="1:36">
      <c r="A1381" t="str">
        <f t="shared" si="106"/>
        <v>Radh401380</v>
      </c>
      <c r="B1381">
        <v>1380</v>
      </c>
      <c r="C1381">
        <v>7</v>
      </c>
      <c r="D1381">
        <v>11</v>
      </c>
      <c r="E1381">
        <v>2022</v>
      </c>
      <c r="F1381" s="1">
        <f t="shared" si="107"/>
        <v>44872</v>
      </c>
      <c r="G1381" s="1" t="s">
        <v>144</v>
      </c>
      <c r="H1381" s="2">
        <v>45857</v>
      </c>
      <c r="I1381" t="s">
        <v>49</v>
      </c>
      <c r="J1381">
        <v>7</v>
      </c>
      <c r="K1381">
        <v>13988.39</v>
      </c>
      <c r="L1381" t="s">
        <v>328</v>
      </c>
      <c r="M1381">
        <v>40</v>
      </c>
      <c r="N1381" t="s">
        <v>21</v>
      </c>
      <c r="O1381" s="3" t="s">
        <v>22</v>
      </c>
      <c r="P1381" t="s">
        <v>40</v>
      </c>
      <c r="Q1381" t="s">
        <v>30</v>
      </c>
      <c r="R1381">
        <v>5</v>
      </c>
      <c r="S1381" t="s">
        <v>102</v>
      </c>
      <c r="T1381" s="4">
        <f t="shared" si="108"/>
        <v>97918.73</v>
      </c>
      <c r="U1381" s="4" t="str">
        <f t="shared" si="109"/>
        <v>Good</v>
      </c>
      <c r="V1381" s="4" t="str">
        <f t="shared" si="110"/>
        <v>Average</v>
      </c>
      <c r="W1381" s="4"/>
      <c r="X1381" s="4"/>
      <c r="AJ1381" s="4"/>
    </row>
    <row r="1382" spans="1:36">
      <c r="A1382" t="str">
        <f t="shared" si="106"/>
        <v>Radh281381</v>
      </c>
      <c r="B1382">
        <v>1381</v>
      </c>
      <c r="C1382">
        <v>7</v>
      </c>
      <c r="D1382">
        <v>11</v>
      </c>
      <c r="E1382">
        <v>2022</v>
      </c>
      <c r="F1382" s="1">
        <f t="shared" si="107"/>
        <v>44872</v>
      </c>
      <c r="G1382" s="1" t="s">
        <v>144</v>
      </c>
      <c r="H1382" s="2">
        <v>45858</v>
      </c>
      <c r="I1382" t="s">
        <v>38</v>
      </c>
      <c r="J1382">
        <v>9</v>
      </c>
      <c r="K1382">
        <v>10095.08</v>
      </c>
      <c r="L1382" t="s">
        <v>845</v>
      </c>
      <c r="M1382">
        <v>28</v>
      </c>
      <c r="N1382" t="s">
        <v>36</v>
      </c>
      <c r="O1382" s="3" t="s">
        <v>55</v>
      </c>
      <c r="P1382" t="s">
        <v>45</v>
      </c>
      <c r="Q1382" t="s">
        <v>56</v>
      </c>
      <c r="R1382">
        <v>1</v>
      </c>
      <c r="S1382" t="s">
        <v>99</v>
      </c>
      <c r="T1382" s="4">
        <f t="shared" si="108"/>
        <v>90855.72</v>
      </c>
      <c r="U1382" s="4" t="str">
        <f t="shared" si="109"/>
        <v>Average</v>
      </c>
      <c r="V1382" s="4" t="str">
        <f t="shared" si="110"/>
        <v>Average</v>
      </c>
      <c r="W1382" s="4"/>
      <c r="X1382" s="4"/>
      <c r="AJ1382" s="4"/>
    </row>
    <row r="1383" spans="1:36">
      <c r="A1383" t="str">
        <f t="shared" si="106"/>
        <v>Nikh271382</v>
      </c>
      <c r="B1383">
        <v>1382</v>
      </c>
      <c r="C1383">
        <v>7</v>
      </c>
      <c r="D1383">
        <v>11</v>
      </c>
      <c r="E1383">
        <v>2022</v>
      </c>
      <c r="F1383" s="1">
        <f t="shared" si="107"/>
        <v>44872</v>
      </c>
      <c r="G1383" s="1" t="s">
        <v>144</v>
      </c>
      <c r="H1383" s="2">
        <v>45859</v>
      </c>
      <c r="I1383" t="s">
        <v>19</v>
      </c>
      <c r="J1383">
        <v>5</v>
      </c>
      <c r="K1383">
        <v>41397.550000000003</v>
      </c>
      <c r="L1383" t="s">
        <v>447</v>
      </c>
      <c r="M1383">
        <v>27</v>
      </c>
      <c r="N1383" t="s">
        <v>36</v>
      </c>
      <c r="O1383" s="3" t="s">
        <v>22</v>
      </c>
      <c r="P1383" t="s">
        <v>33</v>
      </c>
      <c r="Q1383" t="s">
        <v>41</v>
      </c>
      <c r="R1383">
        <v>4</v>
      </c>
      <c r="S1383" t="s">
        <v>25</v>
      </c>
      <c r="T1383" s="4">
        <f t="shared" si="108"/>
        <v>206987.75</v>
      </c>
      <c r="U1383" s="4" t="str">
        <f t="shared" si="109"/>
        <v>Good</v>
      </c>
      <c r="V1383" s="4" t="str">
        <f t="shared" si="110"/>
        <v>Excellent</v>
      </c>
      <c r="W1383" s="4"/>
      <c r="X1383" s="4"/>
      <c r="AJ1383" s="4"/>
    </row>
    <row r="1384" spans="1:36">
      <c r="A1384" t="str">
        <f t="shared" si="106"/>
        <v>Sumi381383</v>
      </c>
      <c r="B1384">
        <v>1383</v>
      </c>
      <c r="C1384">
        <v>8</v>
      </c>
      <c r="D1384">
        <v>11</v>
      </c>
      <c r="E1384">
        <v>2022</v>
      </c>
      <c r="F1384" s="1">
        <f t="shared" si="107"/>
        <v>44873</v>
      </c>
      <c r="G1384" s="1" t="s">
        <v>144</v>
      </c>
      <c r="H1384" s="2">
        <v>45860</v>
      </c>
      <c r="I1384" t="s">
        <v>43</v>
      </c>
      <c r="J1384">
        <v>2</v>
      </c>
      <c r="K1384">
        <v>30644.53</v>
      </c>
      <c r="L1384" t="s">
        <v>815</v>
      </c>
      <c r="M1384">
        <v>38</v>
      </c>
      <c r="N1384" t="s">
        <v>21</v>
      </c>
      <c r="O1384" s="3" t="s">
        <v>28</v>
      </c>
      <c r="P1384" t="s">
        <v>117</v>
      </c>
      <c r="Q1384" t="s">
        <v>30</v>
      </c>
      <c r="R1384">
        <v>3</v>
      </c>
      <c r="S1384" t="s">
        <v>57</v>
      </c>
      <c r="T1384" s="4">
        <f t="shared" si="108"/>
        <v>61289.06</v>
      </c>
      <c r="U1384" s="4" t="str">
        <f t="shared" si="109"/>
        <v>Average</v>
      </c>
      <c r="V1384" s="4" t="str">
        <f t="shared" si="110"/>
        <v>Average</v>
      </c>
      <c r="W1384" s="4"/>
      <c r="X1384" s="4"/>
      <c r="AJ1384" s="4"/>
    </row>
    <row r="1385" spans="1:36">
      <c r="A1385" t="str">
        <f t="shared" si="106"/>
        <v>Priy581384</v>
      </c>
      <c r="B1385">
        <v>1384</v>
      </c>
      <c r="C1385">
        <v>8</v>
      </c>
      <c r="D1385">
        <v>11</v>
      </c>
      <c r="E1385">
        <v>2022</v>
      </c>
      <c r="F1385" s="1">
        <f t="shared" si="107"/>
        <v>44873</v>
      </c>
      <c r="G1385" s="1" t="s">
        <v>144</v>
      </c>
      <c r="H1385" s="2">
        <v>45861</v>
      </c>
      <c r="I1385" t="s">
        <v>49</v>
      </c>
      <c r="J1385">
        <v>7</v>
      </c>
      <c r="K1385">
        <v>69827.91</v>
      </c>
      <c r="L1385" t="s">
        <v>261</v>
      </c>
      <c r="M1385">
        <v>58</v>
      </c>
      <c r="N1385" t="s">
        <v>61</v>
      </c>
      <c r="O1385" s="3" t="s">
        <v>22</v>
      </c>
      <c r="P1385" t="s">
        <v>59</v>
      </c>
      <c r="Q1385" t="s">
        <v>41</v>
      </c>
      <c r="R1385">
        <v>4</v>
      </c>
      <c r="S1385" t="s">
        <v>88</v>
      </c>
      <c r="T1385" s="4">
        <f t="shared" si="108"/>
        <v>488795.37</v>
      </c>
      <c r="U1385" s="4" t="str">
        <f t="shared" si="109"/>
        <v>Good</v>
      </c>
      <c r="V1385" s="4" t="str">
        <f t="shared" si="110"/>
        <v>Excellent</v>
      </c>
      <c r="W1385" s="4"/>
      <c r="X1385" s="4"/>
      <c r="AJ1385" s="4"/>
    </row>
    <row r="1386" spans="1:36">
      <c r="A1386" t="str">
        <f t="shared" si="106"/>
        <v>Mano501385</v>
      </c>
      <c r="B1386">
        <v>1385</v>
      </c>
      <c r="C1386">
        <v>8</v>
      </c>
      <c r="D1386">
        <v>11</v>
      </c>
      <c r="E1386">
        <v>2022</v>
      </c>
      <c r="F1386" s="1">
        <f t="shared" si="107"/>
        <v>44873</v>
      </c>
      <c r="G1386" s="1" t="s">
        <v>144</v>
      </c>
      <c r="H1386" s="2">
        <v>45862</v>
      </c>
      <c r="I1386" t="s">
        <v>38</v>
      </c>
      <c r="J1386">
        <v>1</v>
      </c>
      <c r="K1386">
        <v>56344.66</v>
      </c>
      <c r="L1386" t="s">
        <v>235</v>
      </c>
      <c r="M1386">
        <v>50</v>
      </c>
      <c r="N1386" t="s">
        <v>61</v>
      </c>
      <c r="O1386" s="3" t="s">
        <v>28</v>
      </c>
      <c r="P1386" t="s">
        <v>150</v>
      </c>
      <c r="Q1386" t="s">
        <v>56</v>
      </c>
      <c r="R1386">
        <v>3</v>
      </c>
      <c r="S1386" t="s">
        <v>42</v>
      </c>
      <c r="T1386" s="4">
        <f t="shared" si="108"/>
        <v>56344.66</v>
      </c>
      <c r="U1386" s="4" t="str">
        <f t="shared" si="109"/>
        <v>Average</v>
      </c>
      <c r="V1386" s="4" t="str">
        <f t="shared" si="110"/>
        <v>Average</v>
      </c>
      <c r="W1386" s="4"/>
      <c r="X1386" s="4"/>
      <c r="AJ1386" s="4"/>
    </row>
    <row r="1387" spans="1:36">
      <c r="A1387" t="str">
        <f t="shared" si="106"/>
        <v>Sumi371386</v>
      </c>
      <c r="B1387">
        <v>1386</v>
      </c>
      <c r="C1387">
        <v>8</v>
      </c>
      <c r="D1387">
        <v>11</v>
      </c>
      <c r="E1387">
        <v>2022</v>
      </c>
      <c r="F1387" s="1">
        <f t="shared" si="107"/>
        <v>44873</v>
      </c>
      <c r="G1387" s="1" t="s">
        <v>144</v>
      </c>
      <c r="H1387" s="2">
        <v>45863</v>
      </c>
      <c r="I1387" t="s">
        <v>38</v>
      </c>
      <c r="J1387">
        <v>7</v>
      </c>
      <c r="K1387">
        <v>55676.53</v>
      </c>
      <c r="L1387" t="s">
        <v>313</v>
      </c>
      <c r="M1387">
        <v>37</v>
      </c>
      <c r="N1387" t="s">
        <v>21</v>
      </c>
      <c r="O1387" s="3" t="s">
        <v>22</v>
      </c>
      <c r="P1387" t="s">
        <v>132</v>
      </c>
      <c r="Q1387" t="s">
        <v>24</v>
      </c>
      <c r="R1387">
        <v>5</v>
      </c>
      <c r="S1387" t="s">
        <v>42</v>
      </c>
      <c r="T1387" s="4">
        <f t="shared" si="108"/>
        <v>389735.70999999996</v>
      </c>
      <c r="U1387" s="4" t="str">
        <f t="shared" si="109"/>
        <v>Good</v>
      </c>
      <c r="V1387" s="4" t="str">
        <f t="shared" si="110"/>
        <v>Excellent</v>
      </c>
      <c r="W1387" s="4"/>
      <c r="X1387" s="4"/>
      <c r="AJ1387" s="4"/>
    </row>
    <row r="1388" spans="1:36">
      <c r="A1388" t="str">
        <f t="shared" si="106"/>
        <v>Anan501387</v>
      </c>
      <c r="B1388">
        <v>1387</v>
      </c>
      <c r="C1388">
        <v>9</v>
      </c>
      <c r="D1388">
        <v>11</v>
      </c>
      <c r="E1388">
        <v>2022</v>
      </c>
      <c r="F1388" s="1">
        <f t="shared" si="107"/>
        <v>44874</v>
      </c>
      <c r="G1388" s="1" t="s">
        <v>144</v>
      </c>
      <c r="H1388" s="2">
        <v>45864</v>
      </c>
      <c r="I1388" t="s">
        <v>19</v>
      </c>
      <c r="J1388">
        <v>6</v>
      </c>
      <c r="K1388">
        <v>67314.570000000007</v>
      </c>
      <c r="L1388" t="s">
        <v>846</v>
      </c>
      <c r="M1388">
        <v>50</v>
      </c>
      <c r="N1388" t="s">
        <v>61</v>
      </c>
      <c r="O1388" s="3" t="s">
        <v>22</v>
      </c>
      <c r="P1388" t="s">
        <v>93</v>
      </c>
      <c r="Q1388" t="s">
        <v>56</v>
      </c>
      <c r="R1388">
        <v>5</v>
      </c>
      <c r="S1388" t="s">
        <v>25</v>
      </c>
      <c r="T1388" s="4">
        <f t="shared" si="108"/>
        <v>403887.42000000004</v>
      </c>
      <c r="U1388" s="4" t="str">
        <f t="shared" si="109"/>
        <v>Good</v>
      </c>
      <c r="V1388" s="4" t="str">
        <f t="shared" si="110"/>
        <v>Excellent</v>
      </c>
      <c r="W1388" s="4"/>
      <c r="X1388" s="4"/>
      <c r="AJ1388" s="4"/>
    </row>
    <row r="1389" spans="1:36">
      <c r="A1389" t="str">
        <f t="shared" si="106"/>
        <v>Raje571388</v>
      </c>
      <c r="B1389">
        <v>1388</v>
      </c>
      <c r="C1389">
        <v>9</v>
      </c>
      <c r="D1389">
        <v>11</v>
      </c>
      <c r="E1389">
        <v>2022</v>
      </c>
      <c r="F1389" s="1">
        <f t="shared" si="107"/>
        <v>44874</v>
      </c>
      <c r="G1389" s="1" t="s">
        <v>144</v>
      </c>
      <c r="H1389" s="2">
        <v>45865</v>
      </c>
      <c r="I1389" t="s">
        <v>49</v>
      </c>
      <c r="J1389">
        <v>7</v>
      </c>
      <c r="K1389">
        <v>63263.46</v>
      </c>
      <c r="L1389" t="s">
        <v>520</v>
      </c>
      <c r="M1389">
        <v>57</v>
      </c>
      <c r="N1389" t="s">
        <v>61</v>
      </c>
      <c r="O1389" s="3" t="s">
        <v>55</v>
      </c>
      <c r="P1389" t="s">
        <v>29</v>
      </c>
      <c r="Q1389" t="s">
        <v>56</v>
      </c>
      <c r="R1389">
        <v>1</v>
      </c>
      <c r="S1389" t="s">
        <v>88</v>
      </c>
      <c r="T1389" s="4">
        <f t="shared" si="108"/>
        <v>442844.22</v>
      </c>
      <c r="U1389" s="4" t="str">
        <f t="shared" si="109"/>
        <v>Average</v>
      </c>
      <c r="V1389" s="4" t="str">
        <f t="shared" si="110"/>
        <v>Excellent</v>
      </c>
      <c r="W1389" s="4"/>
      <c r="X1389" s="4"/>
      <c r="AJ1389" s="4"/>
    </row>
    <row r="1390" spans="1:36">
      <c r="A1390" t="str">
        <f t="shared" si="106"/>
        <v>Ravi521389</v>
      </c>
      <c r="B1390">
        <v>1389</v>
      </c>
      <c r="C1390">
        <v>9</v>
      </c>
      <c r="D1390">
        <v>11</v>
      </c>
      <c r="E1390">
        <v>2022</v>
      </c>
      <c r="F1390" s="1">
        <f t="shared" si="107"/>
        <v>44874</v>
      </c>
      <c r="G1390" s="1" t="s">
        <v>144</v>
      </c>
      <c r="H1390" s="2">
        <v>45866</v>
      </c>
      <c r="I1390" t="s">
        <v>38</v>
      </c>
      <c r="J1390">
        <v>3</v>
      </c>
      <c r="K1390">
        <v>29091.25</v>
      </c>
      <c r="L1390" t="s">
        <v>262</v>
      </c>
      <c r="M1390">
        <v>52</v>
      </c>
      <c r="N1390" t="s">
        <v>61</v>
      </c>
      <c r="O1390" s="3" t="s">
        <v>28</v>
      </c>
      <c r="P1390" t="s">
        <v>66</v>
      </c>
      <c r="Q1390" t="s">
        <v>41</v>
      </c>
      <c r="R1390">
        <v>3</v>
      </c>
      <c r="S1390" t="s">
        <v>42</v>
      </c>
      <c r="T1390" s="4">
        <f t="shared" si="108"/>
        <v>87273.75</v>
      </c>
      <c r="U1390" s="4" t="str">
        <f t="shared" si="109"/>
        <v>Average</v>
      </c>
      <c r="V1390" s="4" t="str">
        <f t="shared" si="110"/>
        <v>Average</v>
      </c>
      <c r="W1390" s="4"/>
      <c r="X1390" s="4"/>
      <c r="AJ1390" s="4"/>
    </row>
    <row r="1391" spans="1:36">
      <c r="A1391" t="str">
        <f t="shared" si="106"/>
        <v>Tapa511390</v>
      </c>
      <c r="B1391">
        <v>1390</v>
      </c>
      <c r="C1391">
        <v>9</v>
      </c>
      <c r="D1391">
        <v>11</v>
      </c>
      <c r="E1391">
        <v>2022</v>
      </c>
      <c r="F1391" s="1">
        <f t="shared" si="107"/>
        <v>44874</v>
      </c>
      <c r="G1391" s="1" t="s">
        <v>144</v>
      </c>
      <c r="H1391" s="2">
        <v>45867</v>
      </c>
      <c r="I1391" t="s">
        <v>43</v>
      </c>
      <c r="J1391">
        <v>3</v>
      </c>
      <c r="K1391">
        <v>19959.23</v>
      </c>
      <c r="L1391" t="s">
        <v>847</v>
      </c>
      <c r="M1391">
        <v>51</v>
      </c>
      <c r="N1391" t="s">
        <v>61</v>
      </c>
      <c r="O1391" s="3" t="s">
        <v>55</v>
      </c>
      <c r="P1391" t="s">
        <v>29</v>
      </c>
      <c r="Q1391" t="s">
        <v>41</v>
      </c>
      <c r="R1391">
        <v>1</v>
      </c>
      <c r="S1391" t="s">
        <v>46</v>
      </c>
      <c r="T1391" s="4">
        <f t="shared" si="108"/>
        <v>59877.69</v>
      </c>
      <c r="U1391" s="4" t="str">
        <f t="shared" si="109"/>
        <v>Average</v>
      </c>
      <c r="V1391" s="4" t="str">
        <f t="shared" si="110"/>
        <v>Average</v>
      </c>
      <c r="W1391" s="4"/>
      <c r="X1391" s="4"/>
      <c r="AJ1391" s="4"/>
    </row>
    <row r="1392" spans="1:36">
      <c r="A1392" t="str">
        <f t="shared" si="106"/>
        <v>Umes531391</v>
      </c>
      <c r="B1392">
        <v>1391</v>
      </c>
      <c r="C1392">
        <v>10</v>
      </c>
      <c r="D1392">
        <v>11</v>
      </c>
      <c r="E1392">
        <v>2022</v>
      </c>
      <c r="F1392" s="1">
        <f t="shared" si="107"/>
        <v>44875</v>
      </c>
      <c r="G1392" s="1" t="s">
        <v>144</v>
      </c>
      <c r="H1392" s="2">
        <v>45868</v>
      </c>
      <c r="I1392" t="s">
        <v>19</v>
      </c>
      <c r="J1392">
        <v>7</v>
      </c>
      <c r="K1392">
        <v>54753.54</v>
      </c>
      <c r="L1392" t="s">
        <v>553</v>
      </c>
      <c r="M1392">
        <v>53</v>
      </c>
      <c r="N1392" t="s">
        <v>61</v>
      </c>
      <c r="O1392" s="3" t="s">
        <v>22</v>
      </c>
      <c r="P1392" t="s">
        <v>29</v>
      </c>
      <c r="Q1392" t="s">
        <v>24</v>
      </c>
      <c r="R1392">
        <v>5</v>
      </c>
      <c r="S1392" t="s">
        <v>25</v>
      </c>
      <c r="T1392" s="4">
        <f t="shared" si="108"/>
        <v>383274.78</v>
      </c>
      <c r="U1392" s="4" t="str">
        <f t="shared" si="109"/>
        <v>Good</v>
      </c>
      <c r="V1392" s="4" t="str">
        <f t="shared" si="110"/>
        <v>Excellent</v>
      </c>
      <c r="W1392" s="4"/>
      <c r="X1392" s="4"/>
      <c r="AJ1392" s="4"/>
    </row>
    <row r="1393" spans="1:36">
      <c r="A1393" t="str">
        <f t="shared" si="106"/>
        <v>Tapa441392</v>
      </c>
      <c r="B1393">
        <v>1392</v>
      </c>
      <c r="C1393">
        <v>10</v>
      </c>
      <c r="D1393">
        <v>11</v>
      </c>
      <c r="E1393">
        <v>2022</v>
      </c>
      <c r="F1393" s="1">
        <f t="shared" si="107"/>
        <v>44875</v>
      </c>
      <c r="G1393" s="1" t="s">
        <v>144</v>
      </c>
      <c r="H1393" s="2">
        <v>45869</v>
      </c>
      <c r="I1393" t="s">
        <v>49</v>
      </c>
      <c r="J1393">
        <v>2</v>
      </c>
      <c r="K1393">
        <v>32696.43</v>
      </c>
      <c r="L1393" t="s">
        <v>847</v>
      </c>
      <c r="M1393">
        <v>44</v>
      </c>
      <c r="N1393" t="s">
        <v>21</v>
      </c>
      <c r="O1393" s="3" t="s">
        <v>22</v>
      </c>
      <c r="P1393" t="s">
        <v>29</v>
      </c>
      <c r="Q1393" t="s">
        <v>24</v>
      </c>
      <c r="R1393">
        <v>4</v>
      </c>
      <c r="S1393" t="s">
        <v>102</v>
      </c>
      <c r="T1393" s="4">
        <f t="shared" si="108"/>
        <v>65392.86</v>
      </c>
      <c r="U1393" s="4" t="str">
        <f t="shared" si="109"/>
        <v>Good</v>
      </c>
      <c r="V1393" s="4" t="str">
        <f t="shared" si="110"/>
        <v>Average</v>
      </c>
      <c r="W1393" s="4"/>
      <c r="X1393" s="4"/>
      <c r="AJ1393" s="4"/>
    </row>
    <row r="1394" spans="1:36">
      <c r="A1394" t="str">
        <f t="shared" si="106"/>
        <v>Pras361393</v>
      </c>
      <c r="B1394">
        <v>1393</v>
      </c>
      <c r="C1394">
        <v>10</v>
      </c>
      <c r="D1394">
        <v>11</v>
      </c>
      <c r="E1394">
        <v>2022</v>
      </c>
      <c r="F1394" s="1">
        <f t="shared" si="107"/>
        <v>44875</v>
      </c>
      <c r="G1394" s="1" t="s">
        <v>144</v>
      </c>
      <c r="H1394" s="2">
        <v>45870</v>
      </c>
      <c r="I1394" t="s">
        <v>19</v>
      </c>
      <c r="J1394">
        <v>1</v>
      </c>
      <c r="K1394">
        <v>38390.36</v>
      </c>
      <c r="L1394" t="s">
        <v>777</v>
      </c>
      <c r="M1394">
        <v>36</v>
      </c>
      <c r="N1394" t="s">
        <v>21</v>
      </c>
      <c r="O1394" s="3" t="s">
        <v>28</v>
      </c>
      <c r="P1394" t="s">
        <v>33</v>
      </c>
      <c r="Q1394" t="s">
        <v>24</v>
      </c>
      <c r="R1394">
        <v>3</v>
      </c>
      <c r="S1394" t="s">
        <v>37</v>
      </c>
      <c r="T1394" s="4">
        <f t="shared" si="108"/>
        <v>38390.36</v>
      </c>
      <c r="U1394" s="4" t="str">
        <f t="shared" si="109"/>
        <v>Average</v>
      </c>
      <c r="V1394" s="4" t="str">
        <f t="shared" si="110"/>
        <v>Low</v>
      </c>
      <c r="W1394" s="4"/>
      <c r="X1394" s="4"/>
      <c r="AJ1394" s="4"/>
    </row>
    <row r="1395" spans="1:36">
      <c r="A1395" t="str">
        <f t="shared" si="106"/>
        <v>Ravi221394</v>
      </c>
      <c r="B1395">
        <v>1394</v>
      </c>
      <c r="C1395">
        <v>10</v>
      </c>
      <c r="D1395">
        <v>11</v>
      </c>
      <c r="E1395">
        <v>2022</v>
      </c>
      <c r="F1395" s="1">
        <f t="shared" si="107"/>
        <v>44875</v>
      </c>
      <c r="G1395" s="1" t="s">
        <v>144</v>
      </c>
      <c r="H1395" s="2">
        <v>45871</v>
      </c>
      <c r="I1395" t="s">
        <v>43</v>
      </c>
      <c r="J1395">
        <v>9</v>
      </c>
      <c r="K1395">
        <v>47823.86</v>
      </c>
      <c r="L1395" t="s">
        <v>370</v>
      </c>
      <c r="M1395">
        <v>22</v>
      </c>
      <c r="N1395" t="s">
        <v>36</v>
      </c>
      <c r="O1395" s="3" t="s">
        <v>22</v>
      </c>
      <c r="P1395" t="s">
        <v>29</v>
      </c>
      <c r="Q1395" t="s">
        <v>56</v>
      </c>
      <c r="R1395">
        <v>5</v>
      </c>
      <c r="S1395" t="s">
        <v>95</v>
      </c>
      <c r="T1395" s="4">
        <f t="shared" si="108"/>
        <v>430414.74</v>
      </c>
      <c r="U1395" s="4" t="str">
        <f t="shared" si="109"/>
        <v>Good</v>
      </c>
      <c r="V1395" s="4" t="str">
        <f t="shared" si="110"/>
        <v>Excellent</v>
      </c>
      <c r="W1395" s="4"/>
      <c r="X1395" s="4"/>
      <c r="AJ1395" s="4"/>
    </row>
    <row r="1396" spans="1:36">
      <c r="A1396" t="str">
        <f t="shared" si="106"/>
        <v>Raje461395</v>
      </c>
      <c r="B1396">
        <v>1395</v>
      </c>
      <c r="C1396">
        <v>11</v>
      </c>
      <c r="D1396">
        <v>11</v>
      </c>
      <c r="E1396">
        <v>2022</v>
      </c>
      <c r="F1396" s="1">
        <f t="shared" si="107"/>
        <v>44876</v>
      </c>
      <c r="G1396" s="1" t="s">
        <v>144</v>
      </c>
      <c r="H1396" s="2">
        <v>45872</v>
      </c>
      <c r="I1396" t="s">
        <v>49</v>
      </c>
      <c r="J1396">
        <v>9</v>
      </c>
      <c r="K1396">
        <v>64472.36</v>
      </c>
      <c r="L1396" t="s">
        <v>848</v>
      </c>
      <c r="M1396">
        <v>46</v>
      </c>
      <c r="N1396" t="s">
        <v>61</v>
      </c>
      <c r="O1396" s="3" t="s">
        <v>28</v>
      </c>
      <c r="P1396" t="s">
        <v>29</v>
      </c>
      <c r="Q1396" t="s">
        <v>56</v>
      </c>
      <c r="R1396">
        <v>3</v>
      </c>
      <c r="S1396" t="s">
        <v>102</v>
      </c>
      <c r="T1396" s="4">
        <f t="shared" si="108"/>
        <v>580251.24</v>
      </c>
      <c r="U1396" s="4" t="str">
        <f t="shared" si="109"/>
        <v>Average</v>
      </c>
      <c r="V1396" s="4" t="str">
        <f t="shared" si="110"/>
        <v>Excellent</v>
      </c>
      <c r="W1396" s="4"/>
      <c r="X1396" s="4"/>
      <c r="AJ1396" s="4"/>
    </row>
    <row r="1397" spans="1:36">
      <c r="A1397" t="str">
        <f t="shared" si="106"/>
        <v>Sneh271396</v>
      </c>
      <c r="B1397">
        <v>1396</v>
      </c>
      <c r="C1397">
        <v>11</v>
      </c>
      <c r="D1397">
        <v>11</v>
      </c>
      <c r="E1397">
        <v>2022</v>
      </c>
      <c r="F1397" s="1">
        <f t="shared" si="107"/>
        <v>44876</v>
      </c>
      <c r="G1397" s="1" t="s">
        <v>144</v>
      </c>
      <c r="H1397" s="2">
        <v>45873</v>
      </c>
      <c r="I1397" t="s">
        <v>19</v>
      </c>
      <c r="J1397">
        <v>7</v>
      </c>
      <c r="K1397">
        <v>35145.269999999997</v>
      </c>
      <c r="L1397" t="s">
        <v>400</v>
      </c>
      <c r="M1397">
        <v>27</v>
      </c>
      <c r="N1397" t="s">
        <v>36</v>
      </c>
      <c r="O1397" s="3" t="s">
        <v>22</v>
      </c>
      <c r="P1397" t="s">
        <v>137</v>
      </c>
      <c r="Q1397" t="s">
        <v>24</v>
      </c>
      <c r="R1397">
        <v>4</v>
      </c>
      <c r="S1397" t="s">
        <v>84</v>
      </c>
      <c r="T1397" s="4">
        <f t="shared" si="108"/>
        <v>246016.88999999998</v>
      </c>
      <c r="U1397" s="4" t="str">
        <f t="shared" si="109"/>
        <v>Good</v>
      </c>
      <c r="V1397" s="4" t="str">
        <f t="shared" si="110"/>
        <v>Excellent</v>
      </c>
      <c r="W1397" s="4"/>
      <c r="X1397" s="4"/>
      <c r="AJ1397" s="4"/>
    </row>
    <row r="1398" spans="1:36">
      <c r="A1398" t="str">
        <f t="shared" si="106"/>
        <v>Ravi571397</v>
      </c>
      <c r="B1398">
        <v>1397</v>
      </c>
      <c r="C1398">
        <v>11</v>
      </c>
      <c r="D1398">
        <v>11</v>
      </c>
      <c r="E1398">
        <v>2022</v>
      </c>
      <c r="F1398" s="1">
        <f t="shared" si="107"/>
        <v>44876</v>
      </c>
      <c r="G1398" s="1" t="s">
        <v>144</v>
      </c>
      <c r="H1398" s="2">
        <v>45874</v>
      </c>
      <c r="I1398" t="s">
        <v>26</v>
      </c>
      <c r="J1398">
        <v>7</v>
      </c>
      <c r="K1398">
        <v>56999.01</v>
      </c>
      <c r="L1398" t="s">
        <v>849</v>
      </c>
      <c r="M1398">
        <v>57</v>
      </c>
      <c r="N1398" t="s">
        <v>61</v>
      </c>
      <c r="O1398" s="3" t="s">
        <v>22</v>
      </c>
      <c r="P1398" t="s">
        <v>59</v>
      </c>
      <c r="Q1398" t="s">
        <v>24</v>
      </c>
      <c r="R1398">
        <v>4</v>
      </c>
      <c r="S1398" t="s">
        <v>67</v>
      </c>
      <c r="T1398" s="4">
        <f t="shared" si="108"/>
        <v>398993.07</v>
      </c>
      <c r="U1398" s="4" t="str">
        <f t="shared" si="109"/>
        <v>Good</v>
      </c>
      <c r="V1398" s="4" t="str">
        <f t="shared" si="110"/>
        <v>Excellent</v>
      </c>
      <c r="W1398" s="4"/>
      <c r="X1398" s="4"/>
      <c r="AJ1398" s="4"/>
    </row>
    <row r="1399" spans="1:36">
      <c r="A1399" t="str">
        <f t="shared" si="106"/>
        <v>Kris301398</v>
      </c>
      <c r="B1399">
        <v>1398</v>
      </c>
      <c r="C1399">
        <v>11</v>
      </c>
      <c r="D1399">
        <v>11</v>
      </c>
      <c r="E1399">
        <v>2022</v>
      </c>
      <c r="F1399" s="1">
        <f t="shared" si="107"/>
        <v>44876</v>
      </c>
      <c r="G1399" s="1" t="s">
        <v>144</v>
      </c>
      <c r="H1399" s="2">
        <v>45875</v>
      </c>
      <c r="I1399" t="s">
        <v>43</v>
      </c>
      <c r="J1399">
        <v>3</v>
      </c>
      <c r="K1399">
        <v>26100.39</v>
      </c>
      <c r="L1399" t="s">
        <v>606</v>
      </c>
      <c r="M1399">
        <v>30</v>
      </c>
      <c r="N1399" t="s">
        <v>36</v>
      </c>
      <c r="O1399" s="3" t="s">
        <v>22</v>
      </c>
      <c r="P1399" t="s">
        <v>29</v>
      </c>
      <c r="Q1399" t="s">
        <v>24</v>
      </c>
      <c r="R1399">
        <v>5</v>
      </c>
      <c r="S1399" t="s">
        <v>57</v>
      </c>
      <c r="T1399" s="4">
        <f t="shared" si="108"/>
        <v>78301.17</v>
      </c>
      <c r="U1399" s="4" t="str">
        <f t="shared" si="109"/>
        <v>Good</v>
      </c>
      <c r="V1399" s="4" t="str">
        <f t="shared" si="110"/>
        <v>Average</v>
      </c>
      <c r="W1399" s="4"/>
      <c r="X1399" s="4"/>
      <c r="AJ1399" s="4"/>
    </row>
    <row r="1400" spans="1:36">
      <c r="A1400" t="str">
        <f t="shared" si="106"/>
        <v>Navi461399</v>
      </c>
      <c r="B1400">
        <v>1399</v>
      </c>
      <c r="C1400">
        <v>12</v>
      </c>
      <c r="D1400">
        <v>11</v>
      </c>
      <c r="E1400">
        <v>2022</v>
      </c>
      <c r="F1400" s="1">
        <f t="shared" si="107"/>
        <v>44877</v>
      </c>
      <c r="G1400" s="1" t="s">
        <v>144</v>
      </c>
      <c r="H1400" s="2">
        <v>45876</v>
      </c>
      <c r="I1400" t="s">
        <v>43</v>
      </c>
      <c r="J1400">
        <v>2</v>
      </c>
      <c r="K1400">
        <v>51878.31</v>
      </c>
      <c r="L1400" t="s">
        <v>359</v>
      </c>
      <c r="M1400">
        <v>46</v>
      </c>
      <c r="N1400" t="s">
        <v>61</v>
      </c>
      <c r="O1400" s="3" t="s">
        <v>22</v>
      </c>
      <c r="P1400" t="s">
        <v>90</v>
      </c>
      <c r="Q1400" t="s">
        <v>30</v>
      </c>
      <c r="R1400">
        <v>5</v>
      </c>
      <c r="S1400" t="s">
        <v>57</v>
      </c>
      <c r="T1400" s="4">
        <f t="shared" si="108"/>
        <v>103756.62</v>
      </c>
      <c r="U1400" s="4" t="str">
        <f t="shared" si="109"/>
        <v>Good</v>
      </c>
      <c r="V1400" s="4" t="str">
        <f t="shared" si="110"/>
        <v>Good</v>
      </c>
      <c r="W1400" s="4"/>
      <c r="X1400" s="4"/>
      <c r="AJ1400" s="4"/>
    </row>
    <row r="1401" spans="1:36">
      <c r="A1401" t="str">
        <f t="shared" si="106"/>
        <v>Neet221400</v>
      </c>
      <c r="B1401">
        <v>1400</v>
      </c>
      <c r="C1401">
        <v>12</v>
      </c>
      <c r="D1401">
        <v>11</v>
      </c>
      <c r="E1401">
        <v>2022</v>
      </c>
      <c r="F1401" s="1">
        <f t="shared" si="107"/>
        <v>44877</v>
      </c>
      <c r="G1401" s="1" t="s">
        <v>144</v>
      </c>
      <c r="H1401" s="2">
        <v>45877</v>
      </c>
      <c r="I1401" t="s">
        <v>43</v>
      </c>
      <c r="J1401">
        <v>7</v>
      </c>
      <c r="K1401">
        <v>10094.77</v>
      </c>
      <c r="L1401" t="s">
        <v>828</v>
      </c>
      <c r="M1401">
        <v>22</v>
      </c>
      <c r="N1401" t="s">
        <v>36</v>
      </c>
      <c r="O1401" s="3" t="s">
        <v>22</v>
      </c>
      <c r="P1401" t="s">
        <v>23</v>
      </c>
      <c r="Q1401" t="s">
        <v>30</v>
      </c>
      <c r="R1401">
        <v>5</v>
      </c>
      <c r="S1401" t="s">
        <v>46</v>
      </c>
      <c r="T1401" s="4">
        <f t="shared" si="108"/>
        <v>70663.39</v>
      </c>
      <c r="U1401" s="4" t="str">
        <f t="shared" si="109"/>
        <v>Good</v>
      </c>
      <c r="V1401" s="4" t="str">
        <f t="shared" si="110"/>
        <v>Average</v>
      </c>
      <c r="W1401" s="4"/>
      <c r="X1401" s="4"/>
      <c r="AJ1401" s="4"/>
    </row>
    <row r="1402" spans="1:36">
      <c r="A1402" t="str">
        <f t="shared" si="106"/>
        <v>Meen291401</v>
      </c>
      <c r="B1402">
        <v>1401</v>
      </c>
      <c r="C1402">
        <v>12</v>
      </c>
      <c r="D1402">
        <v>11</v>
      </c>
      <c r="E1402">
        <v>2022</v>
      </c>
      <c r="F1402" s="1">
        <f t="shared" si="107"/>
        <v>44877</v>
      </c>
      <c r="G1402" s="1" t="s">
        <v>144</v>
      </c>
      <c r="H1402" s="2">
        <v>45878</v>
      </c>
      <c r="I1402" t="s">
        <v>26</v>
      </c>
      <c r="J1402">
        <v>9</v>
      </c>
      <c r="K1402">
        <v>62290.43</v>
      </c>
      <c r="L1402" t="s">
        <v>732</v>
      </c>
      <c r="M1402">
        <v>29</v>
      </c>
      <c r="N1402" t="s">
        <v>36</v>
      </c>
      <c r="O1402" s="3" t="s">
        <v>55</v>
      </c>
      <c r="P1402" t="s">
        <v>66</v>
      </c>
      <c r="Q1402" t="s">
        <v>24</v>
      </c>
      <c r="R1402">
        <v>1</v>
      </c>
      <c r="S1402" t="s">
        <v>34</v>
      </c>
      <c r="T1402" s="4">
        <f t="shared" si="108"/>
        <v>560613.87</v>
      </c>
      <c r="U1402" s="4" t="str">
        <f t="shared" si="109"/>
        <v>Average</v>
      </c>
      <c r="V1402" s="4" t="str">
        <f t="shared" si="110"/>
        <v>Excellent</v>
      </c>
      <c r="W1402" s="4"/>
      <c r="X1402" s="4"/>
      <c r="AJ1402" s="4"/>
    </row>
    <row r="1403" spans="1:36">
      <c r="A1403" t="str">
        <f t="shared" si="106"/>
        <v>Pank301402</v>
      </c>
      <c r="B1403">
        <v>1402</v>
      </c>
      <c r="C1403">
        <v>13</v>
      </c>
      <c r="D1403">
        <v>11</v>
      </c>
      <c r="E1403">
        <v>2022</v>
      </c>
      <c r="F1403" s="1">
        <f t="shared" si="107"/>
        <v>44878</v>
      </c>
      <c r="G1403" s="1" t="s">
        <v>144</v>
      </c>
      <c r="H1403" s="2">
        <v>45879</v>
      </c>
      <c r="I1403" t="s">
        <v>26</v>
      </c>
      <c r="J1403">
        <v>1</v>
      </c>
      <c r="K1403">
        <v>11822.77</v>
      </c>
      <c r="L1403" t="s">
        <v>47</v>
      </c>
      <c r="M1403">
        <v>30</v>
      </c>
      <c r="N1403" t="s">
        <v>36</v>
      </c>
      <c r="O1403" s="3" t="s">
        <v>28</v>
      </c>
      <c r="P1403" t="s">
        <v>137</v>
      </c>
      <c r="Q1403" t="s">
        <v>56</v>
      </c>
      <c r="R1403">
        <v>3</v>
      </c>
      <c r="S1403" t="s">
        <v>34</v>
      </c>
      <c r="T1403" s="4">
        <f t="shared" si="108"/>
        <v>11822.77</v>
      </c>
      <c r="U1403" s="4" t="str">
        <f t="shared" si="109"/>
        <v>Average</v>
      </c>
      <c r="V1403" s="4" t="str">
        <f t="shared" si="110"/>
        <v>Low</v>
      </c>
      <c r="W1403" s="4"/>
      <c r="X1403" s="4"/>
      <c r="AJ1403" s="4"/>
    </row>
    <row r="1404" spans="1:36">
      <c r="A1404" t="str">
        <f t="shared" si="106"/>
        <v>Ravi391403</v>
      </c>
      <c r="B1404">
        <v>1403</v>
      </c>
      <c r="C1404">
        <v>13</v>
      </c>
      <c r="D1404">
        <v>11</v>
      </c>
      <c r="E1404">
        <v>2022</v>
      </c>
      <c r="F1404" s="1">
        <f t="shared" si="107"/>
        <v>44878</v>
      </c>
      <c r="G1404" s="1" t="s">
        <v>144</v>
      </c>
      <c r="H1404" s="2">
        <v>45880</v>
      </c>
      <c r="I1404" t="s">
        <v>38</v>
      </c>
      <c r="J1404">
        <v>4</v>
      </c>
      <c r="K1404">
        <v>52765.23</v>
      </c>
      <c r="L1404" t="s">
        <v>158</v>
      </c>
      <c r="M1404">
        <v>39</v>
      </c>
      <c r="N1404" t="s">
        <v>21</v>
      </c>
      <c r="O1404" s="3" t="s">
        <v>22</v>
      </c>
      <c r="P1404" t="s">
        <v>132</v>
      </c>
      <c r="Q1404" t="s">
        <v>41</v>
      </c>
      <c r="R1404">
        <v>5</v>
      </c>
      <c r="S1404" t="s">
        <v>42</v>
      </c>
      <c r="T1404" s="4">
        <f t="shared" si="108"/>
        <v>211060.92</v>
      </c>
      <c r="U1404" s="4" t="str">
        <f t="shared" si="109"/>
        <v>Good</v>
      </c>
      <c r="V1404" s="4" t="str">
        <f t="shared" si="110"/>
        <v>Excellent</v>
      </c>
      <c r="W1404" s="4"/>
      <c r="X1404" s="4"/>
      <c r="AJ1404" s="4"/>
    </row>
    <row r="1405" spans="1:36">
      <c r="A1405" t="str">
        <f t="shared" si="106"/>
        <v>Anja571404</v>
      </c>
      <c r="B1405">
        <v>1404</v>
      </c>
      <c r="C1405">
        <v>13</v>
      </c>
      <c r="D1405">
        <v>11</v>
      </c>
      <c r="E1405">
        <v>2022</v>
      </c>
      <c r="F1405" s="1">
        <f t="shared" si="107"/>
        <v>44878</v>
      </c>
      <c r="G1405" s="1" t="s">
        <v>144</v>
      </c>
      <c r="H1405" s="2">
        <v>45881</v>
      </c>
      <c r="I1405" t="s">
        <v>19</v>
      </c>
      <c r="J1405">
        <v>6</v>
      </c>
      <c r="K1405">
        <v>12775.49</v>
      </c>
      <c r="L1405" t="s">
        <v>850</v>
      </c>
      <c r="M1405">
        <v>57</v>
      </c>
      <c r="N1405" t="s">
        <v>61</v>
      </c>
      <c r="O1405" s="3" t="s">
        <v>55</v>
      </c>
      <c r="P1405" t="s">
        <v>114</v>
      </c>
      <c r="Q1405" t="s">
        <v>56</v>
      </c>
      <c r="R1405">
        <v>1</v>
      </c>
      <c r="S1405" t="s">
        <v>25</v>
      </c>
      <c r="T1405" s="4">
        <f t="shared" si="108"/>
        <v>76652.94</v>
      </c>
      <c r="U1405" s="4" t="str">
        <f t="shared" si="109"/>
        <v>Average</v>
      </c>
      <c r="V1405" s="4" t="str">
        <f t="shared" si="110"/>
        <v>Average</v>
      </c>
      <c r="W1405" s="4"/>
      <c r="X1405" s="4"/>
      <c r="AJ1405" s="4"/>
    </row>
    <row r="1406" spans="1:36">
      <c r="A1406" t="str">
        <f t="shared" si="106"/>
        <v>Vija321405</v>
      </c>
      <c r="B1406">
        <v>1405</v>
      </c>
      <c r="C1406">
        <v>13</v>
      </c>
      <c r="D1406">
        <v>11</v>
      </c>
      <c r="E1406">
        <v>2022</v>
      </c>
      <c r="F1406" s="1">
        <f t="shared" si="107"/>
        <v>44878</v>
      </c>
      <c r="G1406" s="1" t="s">
        <v>144</v>
      </c>
      <c r="H1406" s="2">
        <v>45882</v>
      </c>
      <c r="I1406" t="s">
        <v>38</v>
      </c>
      <c r="J1406">
        <v>7</v>
      </c>
      <c r="K1406">
        <v>25974.74</v>
      </c>
      <c r="L1406" t="s">
        <v>851</v>
      </c>
      <c r="M1406">
        <v>32</v>
      </c>
      <c r="N1406" t="s">
        <v>21</v>
      </c>
      <c r="O1406" s="3" t="s">
        <v>22</v>
      </c>
      <c r="P1406" t="s">
        <v>90</v>
      </c>
      <c r="Q1406" t="s">
        <v>41</v>
      </c>
      <c r="R1406">
        <v>5</v>
      </c>
      <c r="S1406" t="s">
        <v>48</v>
      </c>
      <c r="T1406" s="4">
        <f t="shared" si="108"/>
        <v>181823.18000000002</v>
      </c>
      <c r="U1406" s="4" t="str">
        <f t="shared" si="109"/>
        <v>Good</v>
      </c>
      <c r="V1406" s="4" t="str">
        <f t="shared" si="110"/>
        <v>Good</v>
      </c>
      <c r="W1406" s="4"/>
      <c r="X1406" s="4"/>
      <c r="AJ1406" s="4"/>
    </row>
    <row r="1407" spans="1:36">
      <c r="A1407" t="str">
        <f t="shared" si="106"/>
        <v>Raje301406</v>
      </c>
      <c r="B1407">
        <v>1406</v>
      </c>
      <c r="C1407">
        <v>14</v>
      </c>
      <c r="D1407">
        <v>11</v>
      </c>
      <c r="E1407">
        <v>2022</v>
      </c>
      <c r="F1407" s="1">
        <f t="shared" si="107"/>
        <v>44879</v>
      </c>
      <c r="G1407" s="1" t="s">
        <v>144</v>
      </c>
      <c r="H1407" s="2">
        <v>45883</v>
      </c>
      <c r="I1407" t="s">
        <v>19</v>
      </c>
      <c r="J1407">
        <v>7</v>
      </c>
      <c r="K1407">
        <v>39832.14</v>
      </c>
      <c r="L1407" t="s">
        <v>848</v>
      </c>
      <c r="M1407">
        <v>30</v>
      </c>
      <c r="N1407" t="s">
        <v>36</v>
      </c>
      <c r="O1407" s="3" t="s">
        <v>22</v>
      </c>
      <c r="P1407" t="s">
        <v>29</v>
      </c>
      <c r="Q1407" t="s">
        <v>24</v>
      </c>
      <c r="R1407">
        <v>5</v>
      </c>
      <c r="S1407" t="s">
        <v>37</v>
      </c>
      <c r="T1407" s="4">
        <f t="shared" si="108"/>
        <v>278824.98</v>
      </c>
      <c r="U1407" s="4" t="str">
        <f t="shared" si="109"/>
        <v>Good</v>
      </c>
      <c r="V1407" s="4" t="str">
        <f t="shared" si="110"/>
        <v>Excellent</v>
      </c>
      <c r="W1407" s="4"/>
      <c r="X1407" s="4"/>
      <c r="AJ1407" s="4"/>
    </row>
    <row r="1408" spans="1:36">
      <c r="A1408" t="str">
        <f t="shared" si="106"/>
        <v>Nami181407</v>
      </c>
      <c r="B1408">
        <v>1407</v>
      </c>
      <c r="C1408">
        <v>14</v>
      </c>
      <c r="D1408">
        <v>11</v>
      </c>
      <c r="E1408">
        <v>2022</v>
      </c>
      <c r="F1408" s="1">
        <f t="shared" si="107"/>
        <v>44879</v>
      </c>
      <c r="G1408" s="1" t="s">
        <v>144</v>
      </c>
      <c r="H1408" s="2">
        <v>45884</v>
      </c>
      <c r="I1408" t="s">
        <v>26</v>
      </c>
      <c r="J1408">
        <v>2</v>
      </c>
      <c r="K1408">
        <v>35196.32</v>
      </c>
      <c r="L1408" t="s">
        <v>852</v>
      </c>
      <c r="M1408">
        <v>18</v>
      </c>
      <c r="N1408" t="s">
        <v>36</v>
      </c>
      <c r="O1408" s="3" t="s">
        <v>22</v>
      </c>
      <c r="P1408" t="s">
        <v>77</v>
      </c>
      <c r="Q1408" t="s">
        <v>30</v>
      </c>
      <c r="R1408">
        <v>5</v>
      </c>
      <c r="S1408" t="s">
        <v>31</v>
      </c>
      <c r="T1408" s="4">
        <f t="shared" si="108"/>
        <v>70392.639999999999</v>
      </c>
      <c r="U1408" s="4" t="str">
        <f t="shared" si="109"/>
        <v>Good</v>
      </c>
      <c r="V1408" s="4" t="str">
        <f t="shared" si="110"/>
        <v>Average</v>
      </c>
      <c r="W1408" s="4"/>
      <c r="X1408" s="4"/>
      <c r="AJ1408" s="4"/>
    </row>
    <row r="1409" spans="1:36">
      <c r="A1409" t="str">
        <f t="shared" si="106"/>
        <v>Kavi551408</v>
      </c>
      <c r="B1409">
        <v>1408</v>
      </c>
      <c r="C1409">
        <v>14</v>
      </c>
      <c r="D1409">
        <v>11</v>
      </c>
      <c r="E1409">
        <v>2022</v>
      </c>
      <c r="F1409" s="1">
        <f t="shared" si="107"/>
        <v>44879</v>
      </c>
      <c r="G1409" s="1" t="s">
        <v>144</v>
      </c>
      <c r="H1409" s="2">
        <v>45885</v>
      </c>
      <c r="I1409" t="s">
        <v>26</v>
      </c>
      <c r="J1409">
        <v>4</v>
      </c>
      <c r="K1409">
        <v>21510.17</v>
      </c>
      <c r="L1409" t="s">
        <v>318</v>
      </c>
      <c r="M1409">
        <v>55</v>
      </c>
      <c r="N1409" t="s">
        <v>61</v>
      </c>
      <c r="O1409" s="3" t="s">
        <v>22</v>
      </c>
      <c r="P1409" t="s">
        <v>132</v>
      </c>
      <c r="Q1409" t="s">
        <v>30</v>
      </c>
      <c r="R1409">
        <v>4</v>
      </c>
      <c r="S1409" t="s">
        <v>67</v>
      </c>
      <c r="T1409" s="4">
        <f t="shared" si="108"/>
        <v>86040.68</v>
      </c>
      <c r="U1409" s="4" t="str">
        <f t="shared" si="109"/>
        <v>Good</v>
      </c>
      <c r="V1409" s="4" t="str">
        <f t="shared" si="110"/>
        <v>Average</v>
      </c>
      <c r="W1409" s="4"/>
      <c r="X1409" s="4"/>
      <c r="AJ1409" s="4"/>
    </row>
    <row r="1410" spans="1:36">
      <c r="A1410" t="str">
        <f t="shared" ref="A1410:A1473" si="111">LEFT(L1410,4)&amp;M1410&amp;B1410</f>
        <v>Vija181409</v>
      </c>
      <c r="B1410">
        <v>1409</v>
      </c>
      <c r="C1410">
        <v>14</v>
      </c>
      <c r="D1410">
        <v>11</v>
      </c>
      <c r="E1410">
        <v>2022</v>
      </c>
      <c r="F1410" s="1">
        <f t="shared" si="107"/>
        <v>44879</v>
      </c>
      <c r="G1410" s="1" t="s">
        <v>144</v>
      </c>
      <c r="H1410" s="2">
        <v>45886</v>
      </c>
      <c r="I1410" t="s">
        <v>38</v>
      </c>
      <c r="J1410">
        <v>5</v>
      </c>
      <c r="K1410">
        <v>30028.89</v>
      </c>
      <c r="L1410" t="s">
        <v>565</v>
      </c>
      <c r="M1410">
        <v>18</v>
      </c>
      <c r="N1410" t="s">
        <v>36</v>
      </c>
      <c r="O1410" s="3" t="s">
        <v>28</v>
      </c>
      <c r="P1410" t="s">
        <v>29</v>
      </c>
      <c r="Q1410" t="s">
        <v>41</v>
      </c>
      <c r="R1410">
        <v>3</v>
      </c>
      <c r="S1410" t="s">
        <v>42</v>
      </c>
      <c r="T1410" s="4">
        <f t="shared" si="108"/>
        <v>150144.45000000001</v>
      </c>
      <c r="U1410" s="4" t="str">
        <f t="shared" si="109"/>
        <v>Average</v>
      </c>
      <c r="V1410" s="4" t="str">
        <f t="shared" si="110"/>
        <v>Good</v>
      </c>
      <c r="W1410" s="4"/>
      <c r="X1410" s="4"/>
      <c r="AJ1410" s="4"/>
    </row>
    <row r="1411" spans="1:36">
      <c r="A1411" t="str">
        <f t="shared" si="111"/>
        <v>Ravi281410</v>
      </c>
      <c r="B1411">
        <v>1410</v>
      </c>
      <c r="C1411">
        <v>15</v>
      </c>
      <c r="D1411">
        <v>11</v>
      </c>
      <c r="E1411">
        <v>2022</v>
      </c>
      <c r="F1411" s="1">
        <f t="shared" ref="F1411:F1474" si="112">DATE(E1411,D1411,C1411)</f>
        <v>44880</v>
      </c>
      <c r="G1411" s="1" t="s">
        <v>144</v>
      </c>
      <c r="H1411" s="2">
        <v>45887</v>
      </c>
      <c r="I1411" t="s">
        <v>49</v>
      </c>
      <c r="J1411">
        <v>1</v>
      </c>
      <c r="K1411">
        <v>53662.38</v>
      </c>
      <c r="L1411" t="s">
        <v>849</v>
      </c>
      <c r="M1411">
        <v>28</v>
      </c>
      <c r="N1411" t="s">
        <v>36</v>
      </c>
      <c r="O1411" s="3" t="s">
        <v>28</v>
      </c>
      <c r="P1411" t="s">
        <v>93</v>
      </c>
      <c r="Q1411" t="s">
        <v>24</v>
      </c>
      <c r="R1411">
        <v>3</v>
      </c>
      <c r="S1411" t="s">
        <v>52</v>
      </c>
      <c r="T1411" s="4">
        <f t="shared" ref="T1411:T1474" si="113">J1411*K1411</f>
        <v>53662.38</v>
      </c>
      <c r="U1411" s="4" t="str">
        <f t="shared" ref="U1411:U1474" si="114">IF(R1411&gt;=4,"Good","Average")</f>
        <v>Average</v>
      </c>
      <c r="V1411" s="4" t="str">
        <f t="shared" ref="V1411:V1474" si="115">IF(T1411&gt;200000,"Excellent",IF(T1411&gt;100000,"Good",IF(T1411&gt;50000,"Average","Low")))</f>
        <v>Average</v>
      </c>
      <c r="W1411" s="4"/>
      <c r="X1411" s="4"/>
      <c r="AJ1411" s="4"/>
    </row>
    <row r="1412" spans="1:36">
      <c r="A1412" t="str">
        <f t="shared" si="111"/>
        <v>Priy571411</v>
      </c>
      <c r="B1412">
        <v>1411</v>
      </c>
      <c r="C1412">
        <v>15</v>
      </c>
      <c r="D1412">
        <v>11</v>
      </c>
      <c r="E1412">
        <v>2022</v>
      </c>
      <c r="F1412" s="1">
        <f t="shared" si="112"/>
        <v>44880</v>
      </c>
      <c r="G1412" s="1" t="s">
        <v>144</v>
      </c>
      <c r="H1412" s="2">
        <v>45888</v>
      </c>
      <c r="I1412" t="s">
        <v>38</v>
      </c>
      <c r="J1412">
        <v>1</v>
      </c>
      <c r="K1412">
        <v>50155.43</v>
      </c>
      <c r="L1412" t="s">
        <v>853</v>
      </c>
      <c r="M1412">
        <v>57</v>
      </c>
      <c r="N1412" t="s">
        <v>61</v>
      </c>
      <c r="O1412" s="3" t="s">
        <v>28</v>
      </c>
      <c r="P1412" t="s">
        <v>90</v>
      </c>
      <c r="Q1412" t="s">
        <v>30</v>
      </c>
      <c r="R1412">
        <v>3</v>
      </c>
      <c r="S1412" t="s">
        <v>99</v>
      </c>
      <c r="T1412" s="4">
        <f t="shared" si="113"/>
        <v>50155.43</v>
      </c>
      <c r="U1412" s="4" t="str">
        <f t="shared" si="114"/>
        <v>Average</v>
      </c>
      <c r="V1412" s="4" t="str">
        <f t="shared" si="115"/>
        <v>Average</v>
      </c>
      <c r="W1412" s="4"/>
      <c r="X1412" s="4"/>
      <c r="AJ1412" s="4"/>
    </row>
    <row r="1413" spans="1:36">
      <c r="A1413" t="str">
        <f t="shared" si="111"/>
        <v>Suni391412</v>
      </c>
      <c r="B1413">
        <v>1412</v>
      </c>
      <c r="C1413">
        <v>15</v>
      </c>
      <c r="D1413">
        <v>11</v>
      </c>
      <c r="E1413">
        <v>2022</v>
      </c>
      <c r="F1413" s="1">
        <f t="shared" si="112"/>
        <v>44880</v>
      </c>
      <c r="G1413" s="1" t="s">
        <v>144</v>
      </c>
      <c r="H1413" s="2">
        <v>45889</v>
      </c>
      <c r="I1413" t="s">
        <v>19</v>
      </c>
      <c r="J1413">
        <v>3</v>
      </c>
      <c r="K1413">
        <v>14308.88</v>
      </c>
      <c r="L1413" t="s">
        <v>854</v>
      </c>
      <c r="M1413">
        <v>39</v>
      </c>
      <c r="N1413" t="s">
        <v>21</v>
      </c>
      <c r="O1413" s="3" t="s">
        <v>22</v>
      </c>
      <c r="P1413" t="s">
        <v>33</v>
      </c>
      <c r="Q1413" t="s">
        <v>24</v>
      </c>
      <c r="R1413">
        <v>5</v>
      </c>
      <c r="S1413" t="s">
        <v>25</v>
      </c>
      <c r="T1413" s="4">
        <f t="shared" si="113"/>
        <v>42926.64</v>
      </c>
      <c r="U1413" s="4" t="str">
        <f t="shared" si="114"/>
        <v>Good</v>
      </c>
      <c r="V1413" s="4" t="str">
        <f t="shared" si="115"/>
        <v>Low</v>
      </c>
      <c r="W1413" s="4"/>
      <c r="X1413" s="4"/>
      <c r="AJ1413" s="4"/>
    </row>
    <row r="1414" spans="1:36">
      <c r="A1414" t="str">
        <f t="shared" si="111"/>
        <v>Sneh521413</v>
      </c>
      <c r="B1414">
        <v>1413</v>
      </c>
      <c r="C1414">
        <v>16</v>
      </c>
      <c r="D1414">
        <v>11</v>
      </c>
      <c r="E1414">
        <v>2022</v>
      </c>
      <c r="F1414" s="1">
        <f t="shared" si="112"/>
        <v>44881</v>
      </c>
      <c r="G1414" s="1" t="s">
        <v>144</v>
      </c>
      <c r="H1414" s="2">
        <v>45890</v>
      </c>
      <c r="I1414" t="s">
        <v>38</v>
      </c>
      <c r="J1414">
        <v>3</v>
      </c>
      <c r="K1414">
        <v>54838.95</v>
      </c>
      <c r="L1414" t="s">
        <v>243</v>
      </c>
      <c r="M1414">
        <v>52</v>
      </c>
      <c r="N1414" t="s">
        <v>61</v>
      </c>
      <c r="O1414" s="3" t="s">
        <v>22</v>
      </c>
      <c r="P1414" t="s">
        <v>29</v>
      </c>
      <c r="Q1414" t="s">
        <v>24</v>
      </c>
      <c r="R1414">
        <v>5</v>
      </c>
      <c r="S1414" t="s">
        <v>48</v>
      </c>
      <c r="T1414" s="4">
        <f t="shared" si="113"/>
        <v>164516.84999999998</v>
      </c>
      <c r="U1414" s="4" t="str">
        <f t="shared" si="114"/>
        <v>Good</v>
      </c>
      <c r="V1414" s="4" t="str">
        <f t="shared" si="115"/>
        <v>Good</v>
      </c>
      <c r="W1414" s="4"/>
      <c r="X1414" s="4"/>
      <c r="AJ1414" s="4"/>
    </row>
    <row r="1415" spans="1:36">
      <c r="A1415" t="str">
        <f t="shared" si="111"/>
        <v>Arun231414</v>
      </c>
      <c r="B1415">
        <v>1414</v>
      </c>
      <c r="C1415">
        <v>16</v>
      </c>
      <c r="D1415">
        <v>11</v>
      </c>
      <c r="E1415">
        <v>2022</v>
      </c>
      <c r="F1415" s="1">
        <f t="shared" si="112"/>
        <v>44881</v>
      </c>
      <c r="G1415" s="1" t="s">
        <v>144</v>
      </c>
      <c r="H1415" s="2">
        <v>45891</v>
      </c>
      <c r="I1415" t="s">
        <v>43</v>
      </c>
      <c r="J1415">
        <v>8</v>
      </c>
      <c r="K1415">
        <v>13182.75</v>
      </c>
      <c r="L1415" t="s">
        <v>681</v>
      </c>
      <c r="M1415">
        <v>23</v>
      </c>
      <c r="N1415" t="s">
        <v>36</v>
      </c>
      <c r="O1415" s="3" t="s">
        <v>28</v>
      </c>
      <c r="P1415" t="s">
        <v>29</v>
      </c>
      <c r="Q1415" t="s">
        <v>41</v>
      </c>
      <c r="R1415">
        <v>3</v>
      </c>
      <c r="S1415" t="s">
        <v>46</v>
      </c>
      <c r="T1415" s="4">
        <f t="shared" si="113"/>
        <v>105462</v>
      </c>
      <c r="U1415" s="4" t="str">
        <f t="shared" si="114"/>
        <v>Average</v>
      </c>
      <c r="V1415" s="4" t="str">
        <f t="shared" si="115"/>
        <v>Good</v>
      </c>
      <c r="W1415" s="4"/>
      <c r="X1415" s="4"/>
      <c r="AJ1415" s="4"/>
    </row>
    <row r="1416" spans="1:36">
      <c r="A1416" t="str">
        <f t="shared" si="111"/>
        <v>Priy451415</v>
      </c>
      <c r="B1416">
        <v>1415</v>
      </c>
      <c r="C1416">
        <v>16</v>
      </c>
      <c r="D1416">
        <v>11</v>
      </c>
      <c r="E1416">
        <v>2022</v>
      </c>
      <c r="F1416" s="1">
        <f t="shared" si="112"/>
        <v>44881</v>
      </c>
      <c r="G1416" s="1" t="s">
        <v>144</v>
      </c>
      <c r="H1416" s="2">
        <v>45892</v>
      </c>
      <c r="I1416" t="s">
        <v>19</v>
      </c>
      <c r="J1416">
        <v>9</v>
      </c>
      <c r="K1416">
        <v>42575.58</v>
      </c>
      <c r="L1416" t="s">
        <v>358</v>
      </c>
      <c r="M1416">
        <v>45</v>
      </c>
      <c r="N1416" t="s">
        <v>21</v>
      </c>
      <c r="O1416" s="3" t="s">
        <v>22</v>
      </c>
      <c r="P1416" t="s">
        <v>29</v>
      </c>
      <c r="Q1416" t="s">
        <v>24</v>
      </c>
      <c r="R1416">
        <v>4</v>
      </c>
      <c r="S1416" t="s">
        <v>84</v>
      </c>
      <c r="T1416" s="4">
        <f t="shared" si="113"/>
        <v>383180.22000000003</v>
      </c>
      <c r="U1416" s="4" t="str">
        <f t="shared" si="114"/>
        <v>Good</v>
      </c>
      <c r="V1416" s="4" t="str">
        <f t="shared" si="115"/>
        <v>Excellent</v>
      </c>
      <c r="W1416" s="4"/>
      <c r="X1416" s="4"/>
      <c r="AJ1416" s="4"/>
    </row>
    <row r="1417" spans="1:36">
      <c r="A1417" t="str">
        <f t="shared" si="111"/>
        <v>Pank481416</v>
      </c>
      <c r="B1417">
        <v>1416</v>
      </c>
      <c r="C1417">
        <v>17</v>
      </c>
      <c r="D1417">
        <v>11</v>
      </c>
      <c r="E1417">
        <v>2022</v>
      </c>
      <c r="F1417" s="1">
        <f t="shared" si="112"/>
        <v>44882</v>
      </c>
      <c r="G1417" s="1" t="s">
        <v>144</v>
      </c>
      <c r="H1417" s="2">
        <v>45893</v>
      </c>
      <c r="I1417" t="s">
        <v>19</v>
      </c>
      <c r="J1417">
        <v>1</v>
      </c>
      <c r="K1417">
        <v>25603.759999999998</v>
      </c>
      <c r="L1417" t="s">
        <v>288</v>
      </c>
      <c r="M1417">
        <v>48</v>
      </c>
      <c r="N1417" t="s">
        <v>61</v>
      </c>
      <c r="O1417" s="3" t="s">
        <v>55</v>
      </c>
      <c r="P1417" t="s">
        <v>150</v>
      </c>
      <c r="Q1417" t="s">
        <v>24</v>
      </c>
      <c r="R1417">
        <v>1</v>
      </c>
      <c r="S1417" t="s">
        <v>25</v>
      </c>
      <c r="T1417" s="4">
        <f t="shared" si="113"/>
        <v>25603.759999999998</v>
      </c>
      <c r="U1417" s="4" t="str">
        <f t="shared" si="114"/>
        <v>Average</v>
      </c>
      <c r="V1417" s="4" t="str">
        <f t="shared" si="115"/>
        <v>Low</v>
      </c>
      <c r="W1417" s="4"/>
      <c r="X1417" s="4"/>
      <c r="AJ1417" s="4"/>
    </row>
    <row r="1418" spans="1:36">
      <c r="A1418" t="str">
        <f t="shared" si="111"/>
        <v>Yoge251417</v>
      </c>
      <c r="B1418">
        <v>1417</v>
      </c>
      <c r="C1418">
        <v>17</v>
      </c>
      <c r="D1418">
        <v>11</v>
      </c>
      <c r="E1418">
        <v>2022</v>
      </c>
      <c r="F1418" s="1">
        <f t="shared" si="112"/>
        <v>44882</v>
      </c>
      <c r="G1418" s="1" t="s">
        <v>144</v>
      </c>
      <c r="H1418" s="2">
        <v>45894</v>
      </c>
      <c r="I1418" t="s">
        <v>49</v>
      </c>
      <c r="J1418">
        <v>2</v>
      </c>
      <c r="K1418">
        <v>45261.41</v>
      </c>
      <c r="L1418" t="s">
        <v>182</v>
      </c>
      <c r="M1418">
        <v>25</v>
      </c>
      <c r="N1418" t="s">
        <v>36</v>
      </c>
      <c r="O1418" s="3" t="s">
        <v>22</v>
      </c>
      <c r="P1418" t="s">
        <v>29</v>
      </c>
      <c r="Q1418" t="s">
        <v>41</v>
      </c>
      <c r="R1418">
        <v>5</v>
      </c>
      <c r="S1418" t="s">
        <v>102</v>
      </c>
      <c r="T1418" s="4">
        <f t="shared" si="113"/>
        <v>90522.82</v>
      </c>
      <c r="U1418" s="4" t="str">
        <f t="shared" si="114"/>
        <v>Good</v>
      </c>
      <c r="V1418" s="4" t="str">
        <f t="shared" si="115"/>
        <v>Average</v>
      </c>
      <c r="W1418" s="4"/>
      <c r="X1418" s="4"/>
      <c r="AJ1418" s="4"/>
    </row>
    <row r="1419" spans="1:36">
      <c r="A1419" t="str">
        <f t="shared" si="111"/>
        <v>Yoge221418</v>
      </c>
      <c r="B1419">
        <v>1418</v>
      </c>
      <c r="C1419">
        <v>17</v>
      </c>
      <c r="D1419">
        <v>11</v>
      </c>
      <c r="E1419">
        <v>2022</v>
      </c>
      <c r="F1419" s="1">
        <f t="shared" si="112"/>
        <v>44882</v>
      </c>
      <c r="G1419" s="1" t="s">
        <v>144</v>
      </c>
      <c r="H1419" s="2">
        <v>45895</v>
      </c>
      <c r="I1419" t="s">
        <v>26</v>
      </c>
      <c r="J1419">
        <v>2</v>
      </c>
      <c r="K1419">
        <v>25679.7</v>
      </c>
      <c r="L1419" t="s">
        <v>578</v>
      </c>
      <c r="M1419">
        <v>22</v>
      </c>
      <c r="N1419" t="s">
        <v>36</v>
      </c>
      <c r="O1419" s="3" t="s">
        <v>28</v>
      </c>
      <c r="P1419" t="s">
        <v>40</v>
      </c>
      <c r="Q1419" t="s">
        <v>30</v>
      </c>
      <c r="R1419">
        <v>3</v>
      </c>
      <c r="S1419" t="s">
        <v>67</v>
      </c>
      <c r="T1419" s="4">
        <f t="shared" si="113"/>
        <v>51359.4</v>
      </c>
      <c r="U1419" s="4" t="str">
        <f t="shared" si="114"/>
        <v>Average</v>
      </c>
      <c r="V1419" s="4" t="str">
        <f t="shared" si="115"/>
        <v>Average</v>
      </c>
      <c r="W1419" s="4"/>
      <c r="X1419" s="4"/>
      <c r="AJ1419" s="4"/>
    </row>
    <row r="1420" spans="1:36">
      <c r="A1420" t="str">
        <f t="shared" si="111"/>
        <v>Priy591419</v>
      </c>
      <c r="B1420">
        <v>1419</v>
      </c>
      <c r="C1420">
        <v>17</v>
      </c>
      <c r="D1420">
        <v>11</v>
      </c>
      <c r="E1420">
        <v>2022</v>
      </c>
      <c r="F1420" s="1">
        <f t="shared" si="112"/>
        <v>44882</v>
      </c>
      <c r="G1420" s="1" t="s">
        <v>144</v>
      </c>
      <c r="H1420" s="2">
        <v>45896</v>
      </c>
      <c r="I1420" t="s">
        <v>19</v>
      </c>
      <c r="J1420">
        <v>4</v>
      </c>
      <c r="K1420">
        <v>69097.48</v>
      </c>
      <c r="L1420" t="s">
        <v>560</v>
      </c>
      <c r="M1420">
        <v>59</v>
      </c>
      <c r="N1420" t="s">
        <v>61</v>
      </c>
      <c r="O1420" s="3" t="s">
        <v>22</v>
      </c>
      <c r="P1420" t="s">
        <v>45</v>
      </c>
      <c r="Q1420" t="s">
        <v>56</v>
      </c>
      <c r="R1420">
        <v>5</v>
      </c>
      <c r="S1420" t="s">
        <v>37</v>
      </c>
      <c r="T1420" s="4">
        <f t="shared" si="113"/>
        <v>276389.92</v>
      </c>
      <c r="U1420" s="4" t="str">
        <f t="shared" si="114"/>
        <v>Good</v>
      </c>
      <c r="V1420" s="4" t="str">
        <f t="shared" si="115"/>
        <v>Excellent</v>
      </c>
      <c r="W1420" s="4"/>
      <c r="X1420" s="4"/>
      <c r="AJ1420" s="4"/>
    </row>
    <row r="1421" spans="1:36">
      <c r="A1421" t="str">
        <f t="shared" si="111"/>
        <v>Hari341420</v>
      </c>
      <c r="B1421">
        <v>1420</v>
      </c>
      <c r="C1421">
        <v>18</v>
      </c>
      <c r="D1421">
        <v>11</v>
      </c>
      <c r="E1421">
        <v>2022</v>
      </c>
      <c r="F1421" s="1">
        <f t="shared" si="112"/>
        <v>44883</v>
      </c>
      <c r="G1421" s="1" t="s">
        <v>144</v>
      </c>
      <c r="H1421" s="2">
        <v>45897</v>
      </c>
      <c r="I1421" t="s">
        <v>26</v>
      </c>
      <c r="J1421">
        <v>2</v>
      </c>
      <c r="K1421">
        <v>28583.69</v>
      </c>
      <c r="L1421" t="s">
        <v>855</v>
      </c>
      <c r="M1421">
        <v>34</v>
      </c>
      <c r="N1421" t="s">
        <v>21</v>
      </c>
      <c r="O1421" s="3" t="s">
        <v>22</v>
      </c>
      <c r="P1421" t="s">
        <v>45</v>
      </c>
      <c r="Q1421" t="s">
        <v>24</v>
      </c>
      <c r="R1421">
        <v>5</v>
      </c>
      <c r="S1421" t="s">
        <v>67</v>
      </c>
      <c r="T1421" s="4">
        <f t="shared" si="113"/>
        <v>57167.38</v>
      </c>
      <c r="U1421" s="4" t="str">
        <f t="shared" si="114"/>
        <v>Good</v>
      </c>
      <c r="V1421" s="4" t="str">
        <f t="shared" si="115"/>
        <v>Average</v>
      </c>
      <c r="W1421" s="4"/>
      <c r="X1421" s="4"/>
      <c r="AJ1421" s="4"/>
    </row>
    <row r="1422" spans="1:36">
      <c r="A1422" t="str">
        <f t="shared" si="111"/>
        <v>Vija551421</v>
      </c>
      <c r="B1422">
        <v>1421</v>
      </c>
      <c r="C1422">
        <v>18</v>
      </c>
      <c r="D1422">
        <v>11</v>
      </c>
      <c r="E1422">
        <v>2022</v>
      </c>
      <c r="F1422" s="1">
        <f t="shared" si="112"/>
        <v>44883</v>
      </c>
      <c r="G1422" s="1" t="s">
        <v>144</v>
      </c>
      <c r="H1422" s="2">
        <v>45898</v>
      </c>
      <c r="I1422" t="s">
        <v>38</v>
      </c>
      <c r="J1422">
        <v>7</v>
      </c>
      <c r="K1422">
        <v>24517.64</v>
      </c>
      <c r="L1422" t="s">
        <v>856</v>
      </c>
      <c r="M1422">
        <v>55</v>
      </c>
      <c r="N1422" t="s">
        <v>61</v>
      </c>
      <c r="O1422" s="3" t="s">
        <v>55</v>
      </c>
      <c r="P1422" t="s">
        <v>33</v>
      </c>
      <c r="Q1422" t="s">
        <v>41</v>
      </c>
      <c r="R1422">
        <v>1</v>
      </c>
      <c r="S1422" t="s">
        <v>99</v>
      </c>
      <c r="T1422" s="4">
        <f t="shared" si="113"/>
        <v>171623.47999999998</v>
      </c>
      <c r="U1422" s="4" t="str">
        <f t="shared" si="114"/>
        <v>Average</v>
      </c>
      <c r="V1422" s="4" t="str">
        <f t="shared" si="115"/>
        <v>Good</v>
      </c>
      <c r="W1422" s="4"/>
      <c r="X1422" s="4"/>
      <c r="AJ1422" s="4"/>
    </row>
    <row r="1423" spans="1:36">
      <c r="A1423" t="str">
        <f t="shared" si="111"/>
        <v>Tapa261422</v>
      </c>
      <c r="B1423">
        <v>1422</v>
      </c>
      <c r="C1423">
        <v>18</v>
      </c>
      <c r="D1423">
        <v>11</v>
      </c>
      <c r="E1423">
        <v>2022</v>
      </c>
      <c r="F1423" s="1">
        <f t="shared" si="112"/>
        <v>44883</v>
      </c>
      <c r="G1423" s="1" t="s">
        <v>144</v>
      </c>
      <c r="H1423" s="2">
        <v>45899</v>
      </c>
      <c r="I1423" t="s">
        <v>43</v>
      </c>
      <c r="J1423">
        <v>9</v>
      </c>
      <c r="K1423">
        <v>26707.919999999998</v>
      </c>
      <c r="L1423" t="s">
        <v>857</v>
      </c>
      <c r="M1423">
        <v>26</v>
      </c>
      <c r="N1423" t="s">
        <v>36</v>
      </c>
      <c r="O1423" s="3" t="s">
        <v>22</v>
      </c>
      <c r="P1423" t="s">
        <v>33</v>
      </c>
      <c r="Q1423" t="s">
        <v>30</v>
      </c>
      <c r="R1423">
        <v>5</v>
      </c>
      <c r="S1423" t="s">
        <v>46</v>
      </c>
      <c r="T1423" s="4">
        <f t="shared" si="113"/>
        <v>240371.27999999997</v>
      </c>
      <c r="U1423" s="4" t="str">
        <f t="shared" si="114"/>
        <v>Good</v>
      </c>
      <c r="V1423" s="4" t="str">
        <f t="shared" si="115"/>
        <v>Excellent</v>
      </c>
      <c r="W1423" s="4"/>
      <c r="X1423" s="4"/>
      <c r="AJ1423" s="4"/>
    </row>
    <row r="1424" spans="1:36">
      <c r="A1424" t="str">
        <f t="shared" si="111"/>
        <v>Kavi271423</v>
      </c>
      <c r="B1424">
        <v>1423</v>
      </c>
      <c r="C1424">
        <v>18</v>
      </c>
      <c r="D1424">
        <v>11</v>
      </c>
      <c r="E1424">
        <v>2022</v>
      </c>
      <c r="F1424" s="1">
        <f t="shared" si="112"/>
        <v>44883</v>
      </c>
      <c r="G1424" s="1" t="s">
        <v>144</v>
      </c>
      <c r="H1424" s="2">
        <v>45900</v>
      </c>
      <c r="I1424" t="s">
        <v>49</v>
      </c>
      <c r="J1424">
        <v>7</v>
      </c>
      <c r="K1424">
        <v>63788.37</v>
      </c>
      <c r="L1424" t="s">
        <v>292</v>
      </c>
      <c r="M1424">
        <v>27</v>
      </c>
      <c r="N1424" t="s">
        <v>36</v>
      </c>
      <c r="O1424" s="3" t="s">
        <v>55</v>
      </c>
      <c r="P1424" t="s">
        <v>45</v>
      </c>
      <c r="Q1424" t="s">
        <v>24</v>
      </c>
      <c r="R1424">
        <v>1</v>
      </c>
      <c r="S1424" t="s">
        <v>102</v>
      </c>
      <c r="T1424" s="4">
        <f t="shared" si="113"/>
        <v>446518.59</v>
      </c>
      <c r="U1424" s="4" t="str">
        <f t="shared" si="114"/>
        <v>Average</v>
      </c>
      <c r="V1424" s="4" t="str">
        <f t="shared" si="115"/>
        <v>Excellent</v>
      </c>
      <c r="W1424" s="4"/>
      <c r="X1424" s="4"/>
      <c r="AJ1424" s="4"/>
    </row>
    <row r="1425" spans="1:36">
      <c r="A1425" t="str">
        <f t="shared" si="111"/>
        <v>Nami371424</v>
      </c>
      <c r="B1425">
        <v>1424</v>
      </c>
      <c r="C1425">
        <v>19</v>
      </c>
      <c r="D1425">
        <v>11</v>
      </c>
      <c r="E1425">
        <v>2022</v>
      </c>
      <c r="F1425" s="1">
        <f t="shared" si="112"/>
        <v>44884</v>
      </c>
      <c r="G1425" s="1" t="s">
        <v>144</v>
      </c>
      <c r="H1425" s="2">
        <v>45901</v>
      </c>
      <c r="I1425" t="s">
        <v>26</v>
      </c>
      <c r="J1425">
        <v>6</v>
      </c>
      <c r="K1425">
        <v>48173.13</v>
      </c>
      <c r="L1425" t="s">
        <v>687</v>
      </c>
      <c r="M1425">
        <v>37</v>
      </c>
      <c r="N1425" t="s">
        <v>21</v>
      </c>
      <c r="O1425" s="3" t="s">
        <v>55</v>
      </c>
      <c r="P1425" t="s">
        <v>33</v>
      </c>
      <c r="Q1425" t="s">
        <v>56</v>
      </c>
      <c r="R1425">
        <v>1</v>
      </c>
      <c r="S1425" t="s">
        <v>34</v>
      </c>
      <c r="T1425" s="4">
        <f t="shared" si="113"/>
        <v>289038.77999999997</v>
      </c>
      <c r="U1425" s="4" t="str">
        <f t="shared" si="114"/>
        <v>Average</v>
      </c>
      <c r="V1425" s="4" t="str">
        <f t="shared" si="115"/>
        <v>Excellent</v>
      </c>
      <c r="W1425" s="4"/>
      <c r="X1425" s="4"/>
      <c r="AJ1425" s="4"/>
    </row>
    <row r="1426" spans="1:36">
      <c r="A1426" t="str">
        <f t="shared" si="111"/>
        <v>Kavi311425</v>
      </c>
      <c r="B1426">
        <v>1425</v>
      </c>
      <c r="C1426">
        <v>19</v>
      </c>
      <c r="D1426">
        <v>11</v>
      </c>
      <c r="E1426">
        <v>2022</v>
      </c>
      <c r="F1426" s="1">
        <f t="shared" si="112"/>
        <v>44884</v>
      </c>
      <c r="G1426" s="1" t="s">
        <v>144</v>
      </c>
      <c r="H1426" s="2">
        <v>45902</v>
      </c>
      <c r="I1426" t="s">
        <v>19</v>
      </c>
      <c r="J1426">
        <v>1</v>
      </c>
      <c r="K1426">
        <v>53841.05</v>
      </c>
      <c r="L1426" t="s">
        <v>785</v>
      </c>
      <c r="M1426">
        <v>31</v>
      </c>
      <c r="N1426" t="s">
        <v>21</v>
      </c>
      <c r="O1426" s="3" t="s">
        <v>22</v>
      </c>
      <c r="P1426" t="s">
        <v>137</v>
      </c>
      <c r="Q1426" t="s">
        <v>30</v>
      </c>
      <c r="R1426">
        <v>5</v>
      </c>
      <c r="S1426" t="s">
        <v>25</v>
      </c>
      <c r="T1426" s="4">
        <f t="shared" si="113"/>
        <v>53841.05</v>
      </c>
      <c r="U1426" s="4" t="str">
        <f t="shared" si="114"/>
        <v>Good</v>
      </c>
      <c r="V1426" s="4" t="str">
        <f t="shared" si="115"/>
        <v>Average</v>
      </c>
      <c r="W1426" s="4"/>
      <c r="X1426" s="4"/>
      <c r="AJ1426" s="4"/>
    </row>
    <row r="1427" spans="1:36">
      <c r="A1427" t="str">
        <f t="shared" si="111"/>
        <v>Isha311426</v>
      </c>
      <c r="B1427">
        <v>1426</v>
      </c>
      <c r="C1427">
        <v>19</v>
      </c>
      <c r="D1427">
        <v>11</v>
      </c>
      <c r="E1427">
        <v>2022</v>
      </c>
      <c r="F1427" s="1">
        <f t="shared" si="112"/>
        <v>44884</v>
      </c>
      <c r="G1427" s="1" t="s">
        <v>144</v>
      </c>
      <c r="H1427" s="2">
        <v>45903</v>
      </c>
      <c r="I1427" t="s">
        <v>26</v>
      </c>
      <c r="J1427">
        <v>9</v>
      </c>
      <c r="K1427">
        <v>65080.63</v>
      </c>
      <c r="L1427" t="s">
        <v>82</v>
      </c>
      <c r="M1427">
        <v>31</v>
      </c>
      <c r="N1427" t="s">
        <v>21</v>
      </c>
      <c r="O1427" s="3" t="s">
        <v>55</v>
      </c>
      <c r="P1427" t="s">
        <v>70</v>
      </c>
      <c r="Q1427" t="s">
        <v>41</v>
      </c>
      <c r="R1427">
        <v>1</v>
      </c>
      <c r="S1427" t="s">
        <v>67</v>
      </c>
      <c r="T1427" s="4">
        <f t="shared" si="113"/>
        <v>585725.66999999993</v>
      </c>
      <c r="U1427" s="4" t="str">
        <f t="shared" si="114"/>
        <v>Average</v>
      </c>
      <c r="V1427" s="4" t="str">
        <f t="shared" si="115"/>
        <v>Excellent</v>
      </c>
      <c r="W1427" s="4"/>
      <c r="X1427" s="4"/>
      <c r="AJ1427" s="4"/>
    </row>
    <row r="1428" spans="1:36">
      <c r="A1428" t="str">
        <f t="shared" si="111"/>
        <v>Radh431427</v>
      </c>
      <c r="B1428">
        <v>1427</v>
      </c>
      <c r="C1428">
        <v>19</v>
      </c>
      <c r="D1428">
        <v>11</v>
      </c>
      <c r="E1428">
        <v>2022</v>
      </c>
      <c r="F1428" s="1">
        <f t="shared" si="112"/>
        <v>44884</v>
      </c>
      <c r="G1428" s="1" t="s">
        <v>144</v>
      </c>
      <c r="H1428" s="2">
        <v>45904</v>
      </c>
      <c r="I1428" t="s">
        <v>19</v>
      </c>
      <c r="J1428">
        <v>5</v>
      </c>
      <c r="K1428">
        <v>64712.35</v>
      </c>
      <c r="L1428" t="s">
        <v>669</v>
      </c>
      <c r="M1428">
        <v>43</v>
      </c>
      <c r="N1428" t="s">
        <v>21</v>
      </c>
      <c r="O1428" s="3" t="s">
        <v>22</v>
      </c>
      <c r="P1428" t="s">
        <v>29</v>
      </c>
      <c r="Q1428" t="s">
        <v>24</v>
      </c>
      <c r="R1428">
        <v>5</v>
      </c>
      <c r="S1428" t="s">
        <v>37</v>
      </c>
      <c r="T1428" s="4">
        <f t="shared" si="113"/>
        <v>323561.75</v>
      </c>
      <c r="U1428" s="4" t="str">
        <f t="shared" si="114"/>
        <v>Good</v>
      </c>
      <c r="V1428" s="4" t="str">
        <f t="shared" si="115"/>
        <v>Excellent</v>
      </c>
      <c r="W1428" s="4"/>
      <c r="X1428" s="4"/>
      <c r="AJ1428" s="4"/>
    </row>
    <row r="1429" spans="1:36">
      <c r="A1429" t="str">
        <f t="shared" si="111"/>
        <v>Rame461428</v>
      </c>
      <c r="B1429">
        <v>1428</v>
      </c>
      <c r="C1429">
        <v>20</v>
      </c>
      <c r="D1429">
        <v>11</v>
      </c>
      <c r="E1429">
        <v>2022</v>
      </c>
      <c r="F1429" s="1">
        <f t="shared" si="112"/>
        <v>44885</v>
      </c>
      <c r="G1429" s="1" t="s">
        <v>144</v>
      </c>
      <c r="H1429" s="2">
        <v>45905</v>
      </c>
      <c r="I1429" t="s">
        <v>26</v>
      </c>
      <c r="J1429">
        <v>5</v>
      </c>
      <c r="K1429">
        <v>54336.75</v>
      </c>
      <c r="L1429" t="s">
        <v>699</v>
      </c>
      <c r="M1429">
        <v>46</v>
      </c>
      <c r="N1429" t="s">
        <v>61</v>
      </c>
      <c r="O1429" s="3" t="s">
        <v>22</v>
      </c>
      <c r="P1429" t="s">
        <v>29</v>
      </c>
      <c r="Q1429" t="s">
        <v>41</v>
      </c>
      <c r="R1429">
        <v>5</v>
      </c>
      <c r="S1429" t="s">
        <v>34</v>
      </c>
      <c r="T1429" s="4">
        <f t="shared" si="113"/>
        <v>271683.75</v>
      </c>
      <c r="U1429" s="4" t="str">
        <f t="shared" si="114"/>
        <v>Good</v>
      </c>
      <c r="V1429" s="4" t="str">
        <f t="shared" si="115"/>
        <v>Excellent</v>
      </c>
      <c r="W1429" s="4"/>
      <c r="X1429" s="4"/>
      <c r="AJ1429" s="4"/>
    </row>
    <row r="1430" spans="1:36">
      <c r="A1430" t="str">
        <f t="shared" si="111"/>
        <v>Neet441429</v>
      </c>
      <c r="B1430">
        <v>1429</v>
      </c>
      <c r="C1430">
        <v>20</v>
      </c>
      <c r="D1430">
        <v>11</v>
      </c>
      <c r="E1430">
        <v>2022</v>
      </c>
      <c r="F1430" s="1">
        <f t="shared" si="112"/>
        <v>44885</v>
      </c>
      <c r="G1430" s="1" t="s">
        <v>144</v>
      </c>
      <c r="H1430" s="2">
        <v>45906</v>
      </c>
      <c r="I1430" t="s">
        <v>19</v>
      </c>
      <c r="J1430">
        <v>6</v>
      </c>
      <c r="K1430">
        <v>21869.47</v>
      </c>
      <c r="L1430" t="s">
        <v>858</v>
      </c>
      <c r="M1430">
        <v>44</v>
      </c>
      <c r="N1430" t="s">
        <v>21</v>
      </c>
      <c r="O1430" s="3" t="s">
        <v>22</v>
      </c>
      <c r="P1430" t="s">
        <v>29</v>
      </c>
      <c r="Q1430" t="s">
        <v>56</v>
      </c>
      <c r="R1430">
        <v>4</v>
      </c>
      <c r="S1430" t="s">
        <v>37</v>
      </c>
      <c r="T1430" s="4">
        <f t="shared" si="113"/>
        <v>131216.82</v>
      </c>
      <c r="U1430" s="4" t="str">
        <f t="shared" si="114"/>
        <v>Good</v>
      </c>
      <c r="V1430" s="4" t="str">
        <f t="shared" si="115"/>
        <v>Good</v>
      </c>
      <c r="W1430" s="4"/>
      <c r="X1430" s="4"/>
      <c r="AJ1430" s="4"/>
    </row>
    <row r="1431" spans="1:36">
      <c r="A1431" t="str">
        <f t="shared" si="111"/>
        <v>Pooj421430</v>
      </c>
      <c r="B1431">
        <v>1430</v>
      </c>
      <c r="C1431">
        <v>20</v>
      </c>
      <c r="D1431">
        <v>11</v>
      </c>
      <c r="E1431">
        <v>2022</v>
      </c>
      <c r="F1431" s="1">
        <f t="shared" si="112"/>
        <v>44885</v>
      </c>
      <c r="G1431" s="1" t="s">
        <v>144</v>
      </c>
      <c r="H1431" s="2">
        <v>45907</v>
      </c>
      <c r="I1431" t="s">
        <v>38</v>
      </c>
      <c r="J1431">
        <v>9</v>
      </c>
      <c r="K1431">
        <v>60602.400000000001</v>
      </c>
      <c r="L1431" t="s">
        <v>154</v>
      </c>
      <c r="M1431">
        <v>42</v>
      </c>
      <c r="N1431" t="s">
        <v>21</v>
      </c>
      <c r="O1431" s="3" t="s">
        <v>22</v>
      </c>
      <c r="P1431" t="s">
        <v>29</v>
      </c>
      <c r="Q1431" t="s">
        <v>56</v>
      </c>
      <c r="R1431">
        <v>5</v>
      </c>
      <c r="S1431" t="s">
        <v>42</v>
      </c>
      <c r="T1431" s="4">
        <f t="shared" si="113"/>
        <v>545421.6</v>
      </c>
      <c r="U1431" s="4" t="str">
        <f t="shared" si="114"/>
        <v>Good</v>
      </c>
      <c r="V1431" s="4" t="str">
        <f t="shared" si="115"/>
        <v>Excellent</v>
      </c>
      <c r="W1431" s="4"/>
      <c r="X1431" s="4"/>
      <c r="AJ1431" s="4"/>
    </row>
    <row r="1432" spans="1:36">
      <c r="A1432" t="str">
        <f t="shared" si="111"/>
        <v>Sneh331431</v>
      </c>
      <c r="B1432">
        <v>1431</v>
      </c>
      <c r="C1432">
        <v>20</v>
      </c>
      <c r="D1432">
        <v>11</v>
      </c>
      <c r="E1432">
        <v>2022</v>
      </c>
      <c r="F1432" s="1">
        <f t="shared" si="112"/>
        <v>44885</v>
      </c>
      <c r="G1432" s="1" t="s">
        <v>144</v>
      </c>
      <c r="H1432" s="2">
        <v>45908</v>
      </c>
      <c r="I1432" t="s">
        <v>19</v>
      </c>
      <c r="J1432">
        <v>8</v>
      </c>
      <c r="K1432">
        <v>22226.560000000001</v>
      </c>
      <c r="L1432" t="s">
        <v>149</v>
      </c>
      <c r="M1432">
        <v>33</v>
      </c>
      <c r="N1432" t="s">
        <v>21</v>
      </c>
      <c r="O1432" s="3" t="s">
        <v>55</v>
      </c>
      <c r="P1432" t="s">
        <v>66</v>
      </c>
      <c r="Q1432" t="s">
        <v>41</v>
      </c>
      <c r="R1432">
        <v>1</v>
      </c>
      <c r="S1432" t="s">
        <v>25</v>
      </c>
      <c r="T1432" s="4">
        <f t="shared" si="113"/>
        <v>177812.48000000001</v>
      </c>
      <c r="U1432" s="4" t="str">
        <f t="shared" si="114"/>
        <v>Average</v>
      </c>
      <c r="V1432" s="4" t="str">
        <f t="shared" si="115"/>
        <v>Good</v>
      </c>
      <c r="W1432" s="4"/>
      <c r="X1432" s="4"/>
      <c r="AJ1432" s="4"/>
    </row>
    <row r="1433" spans="1:36">
      <c r="A1433" t="str">
        <f t="shared" si="111"/>
        <v>Priy531432</v>
      </c>
      <c r="B1433">
        <v>1432</v>
      </c>
      <c r="C1433">
        <v>21</v>
      </c>
      <c r="D1433">
        <v>11</v>
      </c>
      <c r="E1433">
        <v>2022</v>
      </c>
      <c r="F1433" s="1">
        <f t="shared" si="112"/>
        <v>44886</v>
      </c>
      <c r="G1433" s="1" t="s">
        <v>144</v>
      </c>
      <c r="H1433" s="2">
        <v>45909</v>
      </c>
      <c r="I1433" t="s">
        <v>19</v>
      </c>
      <c r="J1433">
        <v>8</v>
      </c>
      <c r="K1433">
        <v>54573.93</v>
      </c>
      <c r="L1433" t="s">
        <v>515</v>
      </c>
      <c r="M1433">
        <v>53</v>
      </c>
      <c r="N1433" t="s">
        <v>61</v>
      </c>
      <c r="O1433" s="3" t="s">
        <v>22</v>
      </c>
      <c r="P1433" t="s">
        <v>33</v>
      </c>
      <c r="Q1433" t="s">
        <v>24</v>
      </c>
      <c r="R1433">
        <v>5</v>
      </c>
      <c r="S1433" t="s">
        <v>37</v>
      </c>
      <c r="T1433" s="4">
        <f t="shared" si="113"/>
        <v>436591.44</v>
      </c>
      <c r="U1433" s="4" t="str">
        <f t="shared" si="114"/>
        <v>Good</v>
      </c>
      <c r="V1433" s="4" t="str">
        <f t="shared" si="115"/>
        <v>Excellent</v>
      </c>
      <c r="W1433" s="4"/>
      <c r="X1433" s="4"/>
      <c r="AJ1433" s="4"/>
    </row>
    <row r="1434" spans="1:36">
      <c r="A1434" t="str">
        <f t="shared" si="111"/>
        <v>Bhav511433</v>
      </c>
      <c r="B1434">
        <v>1433</v>
      </c>
      <c r="C1434">
        <v>21</v>
      </c>
      <c r="D1434">
        <v>11</v>
      </c>
      <c r="E1434">
        <v>2022</v>
      </c>
      <c r="F1434" s="1">
        <f t="shared" si="112"/>
        <v>44886</v>
      </c>
      <c r="G1434" s="1" t="s">
        <v>144</v>
      </c>
      <c r="H1434" s="2">
        <v>45910</v>
      </c>
      <c r="I1434" t="s">
        <v>43</v>
      </c>
      <c r="J1434">
        <v>8</v>
      </c>
      <c r="K1434">
        <v>51136.18</v>
      </c>
      <c r="L1434" t="s">
        <v>433</v>
      </c>
      <c r="M1434">
        <v>51</v>
      </c>
      <c r="N1434" t="s">
        <v>61</v>
      </c>
      <c r="O1434" s="3" t="s">
        <v>55</v>
      </c>
      <c r="P1434" t="s">
        <v>150</v>
      </c>
      <c r="Q1434" t="s">
        <v>41</v>
      </c>
      <c r="R1434">
        <v>1</v>
      </c>
      <c r="S1434" t="s">
        <v>46</v>
      </c>
      <c r="T1434" s="4">
        <f t="shared" si="113"/>
        <v>409089.44</v>
      </c>
      <c r="U1434" s="4" t="str">
        <f t="shared" si="114"/>
        <v>Average</v>
      </c>
      <c r="V1434" s="4" t="str">
        <f t="shared" si="115"/>
        <v>Excellent</v>
      </c>
      <c r="W1434" s="4"/>
      <c r="X1434" s="4"/>
      <c r="AJ1434" s="4"/>
    </row>
    <row r="1435" spans="1:36">
      <c r="A1435" t="str">
        <f t="shared" si="111"/>
        <v>Kira331434</v>
      </c>
      <c r="B1435">
        <v>1434</v>
      </c>
      <c r="C1435">
        <v>21</v>
      </c>
      <c r="D1435">
        <v>11</v>
      </c>
      <c r="E1435">
        <v>2022</v>
      </c>
      <c r="F1435" s="1">
        <f t="shared" si="112"/>
        <v>44886</v>
      </c>
      <c r="G1435" s="1" t="s">
        <v>144</v>
      </c>
      <c r="H1435" s="2">
        <v>45911</v>
      </c>
      <c r="I1435" t="s">
        <v>19</v>
      </c>
      <c r="J1435">
        <v>1</v>
      </c>
      <c r="K1435">
        <v>55533.33</v>
      </c>
      <c r="L1435" t="s">
        <v>187</v>
      </c>
      <c r="M1435">
        <v>33</v>
      </c>
      <c r="N1435" t="s">
        <v>21</v>
      </c>
      <c r="O1435" s="3" t="s">
        <v>22</v>
      </c>
      <c r="P1435" t="s">
        <v>29</v>
      </c>
      <c r="Q1435" t="s">
        <v>30</v>
      </c>
      <c r="R1435">
        <v>5</v>
      </c>
      <c r="S1435" t="s">
        <v>37</v>
      </c>
      <c r="T1435" s="4">
        <f t="shared" si="113"/>
        <v>55533.33</v>
      </c>
      <c r="U1435" s="4" t="str">
        <f t="shared" si="114"/>
        <v>Good</v>
      </c>
      <c r="V1435" s="4" t="str">
        <f t="shared" si="115"/>
        <v>Average</v>
      </c>
      <c r="W1435" s="4"/>
      <c r="X1435" s="4"/>
      <c r="AJ1435" s="4"/>
    </row>
    <row r="1436" spans="1:36">
      <c r="A1436" t="str">
        <f t="shared" si="111"/>
        <v>Kuna501435</v>
      </c>
      <c r="B1436">
        <v>1435</v>
      </c>
      <c r="C1436">
        <v>21</v>
      </c>
      <c r="D1436">
        <v>11</v>
      </c>
      <c r="E1436">
        <v>2022</v>
      </c>
      <c r="F1436" s="1">
        <f t="shared" si="112"/>
        <v>44886</v>
      </c>
      <c r="G1436" s="1" t="s">
        <v>144</v>
      </c>
      <c r="H1436" s="2">
        <v>45912</v>
      </c>
      <c r="I1436" t="s">
        <v>43</v>
      </c>
      <c r="J1436">
        <v>1</v>
      </c>
      <c r="K1436">
        <v>41961.14</v>
      </c>
      <c r="L1436" t="s">
        <v>388</v>
      </c>
      <c r="M1436">
        <v>50</v>
      </c>
      <c r="N1436" t="s">
        <v>61</v>
      </c>
      <c r="O1436" s="3" t="s">
        <v>22</v>
      </c>
      <c r="P1436" t="s">
        <v>77</v>
      </c>
      <c r="Q1436" t="s">
        <v>41</v>
      </c>
      <c r="R1436">
        <v>5</v>
      </c>
      <c r="S1436" t="s">
        <v>95</v>
      </c>
      <c r="T1436" s="4">
        <f t="shared" si="113"/>
        <v>41961.14</v>
      </c>
      <c r="U1436" s="4" t="str">
        <f t="shared" si="114"/>
        <v>Good</v>
      </c>
      <c r="V1436" s="4" t="str">
        <f t="shared" si="115"/>
        <v>Low</v>
      </c>
      <c r="W1436" s="4"/>
      <c r="X1436" s="4"/>
      <c r="AJ1436" s="4"/>
    </row>
    <row r="1437" spans="1:36">
      <c r="A1437" t="str">
        <f t="shared" si="111"/>
        <v>Pooj201436</v>
      </c>
      <c r="B1437">
        <v>1436</v>
      </c>
      <c r="C1437">
        <v>22</v>
      </c>
      <c r="D1437">
        <v>11</v>
      </c>
      <c r="E1437">
        <v>2022</v>
      </c>
      <c r="F1437" s="1">
        <f t="shared" si="112"/>
        <v>44887</v>
      </c>
      <c r="G1437" s="1" t="s">
        <v>144</v>
      </c>
      <c r="H1437" s="2">
        <v>45913</v>
      </c>
      <c r="I1437" t="s">
        <v>49</v>
      </c>
      <c r="J1437">
        <v>8</v>
      </c>
      <c r="K1437">
        <v>48323.57</v>
      </c>
      <c r="L1437" t="s">
        <v>356</v>
      </c>
      <c r="M1437">
        <v>20</v>
      </c>
      <c r="N1437" t="s">
        <v>36</v>
      </c>
      <c r="O1437" s="3" t="s">
        <v>22</v>
      </c>
      <c r="P1437" t="s">
        <v>64</v>
      </c>
      <c r="Q1437" t="s">
        <v>56</v>
      </c>
      <c r="R1437">
        <v>5</v>
      </c>
      <c r="S1437" t="s">
        <v>102</v>
      </c>
      <c r="T1437" s="4">
        <f t="shared" si="113"/>
        <v>386588.56</v>
      </c>
      <c r="U1437" s="4" t="str">
        <f t="shared" si="114"/>
        <v>Good</v>
      </c>
      <c r="V1437" s="4" t="str">
        <f t="shared" si="115"/>
        <v>Excellent</v>
      </c>
      <c r="W1437" s="4"/>
      <c r="X1437" s="4"/>
      <c r="AJ1437" s="4"/>
    </row>
    <row r="1438" spans="1:36">
      <c r="A1438" t="str">
        <f t="shared" si="111"/>
        <v>Raje401437</v>
      </c>
      <c r="B1438">
        <v>1437</v>
      </c>
      <c r="C1438">
        <v>22</v>
      </c>
      <c r="D1438">
        <v>11</v>
      </c>
      <c r="E1438">
        <v>2022</v>
      </c>
      <c r="F1438" s="1">
        <f t="shared" si="112"/>
        <v>44887</v>
      </c>
      <c r="G1438" s="1" t="s">
        <v>144</v>
      </c>
      <c r="H1438" s="2">
        <v>45914</v>
      </c>
      <c r="I1438" t="s">
        <v>43</v>
      </c>
      <c r="J1438">
        <v>5</v>
      </c>
      <c r="K1438">
        <v>67199.199999999997</v>
      </c>
      <c r="L1438" t="s">
        <v>780</v>
      </c>
      <c r="M1438">
        <v>40</v>
      </c>
      <c r="N1438" t="s">
        <v>21</v>
      </c>
      <c r="O1438" s="3" t="s">
        <v>22</v>
      </c>
      <c r="P1438" t="s">
        <v>29</v>
      </c>
      <c r="Q1438" t="s">
        <v>24</v>
      </c>
      <c r="R1438">
        <v>5</v>
      </c>
      <c r="S1438" t="s">
        <v>46</v>
      </c>
      <c r="T1438" s="4">
        <f t="shared" si="113"/>
        <v>335996</v>
      </c>
      <c r="U1438" s="4" t="str">
        <f t="shared" si="114"/>
        <v>Good</v>
      </c>
      <c r="V1438" s="4" t="str">
        <f t="shared" si="115"/>
        <v>Excellent</v>
      </c>
      <c r="W1438" s="4"/>
      <c r="X1438" s="4"/>
      <c r="AJ1438" s="4"/>
    </row>
    <row r="1439" spans="1:36">
      <c r="A1439" t="str">
        <f t="shared" si="111"/>
        <v>Reen281438</v>
      </c>
      <c r="B1439">
        <v>1438</v>
      </c>
      <c r="C1439">
        <v>22</v>
      </c>
      <c r="D1439">
        <v>11</v>
      </c>
      <c r="E1439">
        <v>2022</v>
      </c>
      <c r="F1439" s="1">
        <f t="shared" si="112"/>
        <v>44887</v>
      </c>
      <c r="G1439" s="1" t="s">
        <v>144</v>
      </c>
      <c r="H1439" s="2">
        <v>45915</v>
      </c>
      <c r="I1439" t="s">
        <v>38</v>
      </c>
      <c r="J1439">
        <v>9</v>
      </c>
      <c r="K1439">
        <v>16065.32</v>
      </c>
      <c r="L1439" t="s">
        <v>451</v>
      </c>
      <c r="M1439">
        <v>28</v>
      </c>
      <c r="N1439" t="s">
        <v>36</v>
      </c>
      <c r="O1439" s="3" t="s">
        <v>55</v>
      </c>
      <c r="P1439" t="s">
        <v>33</v>
      </c>
      <c r="Q1439" t="s">
        <v>24</v>
      </c>
      <c r="R1439">
        <v>1</v>
      </c>
      <c r="S1439" t="s">
        <v>42</v>
      </c>
      <c r="T1439" s="4">
        <f t="shared" si="113"/>
        <v>144587.88</v>
      </c>
      <c r="U1439" s="4" t="str">
        <f t="shared" si="114"/>
        <v>Average</v>
      </c>
      <c r="V1439" s="4" t="str">
        <f t="shared" si="115"/>
        <v>Good</v>
      </c>
      <c r="W1439" s="4"/>
      <c r="X1439" s="4"/>
      <c r="AJ1439" s="4"/>
    </row>
    <row r="1440" spans="1:36">
      <c r="A1440" t="str">
        <f t="shared" si="111"/>
        <v>Suni351439</v>
      </c>
      <c r="B1440">
        <v>1439</v>
      </c>
      <c r="C1440">
        <v>22</v>
      </c>
      <c r="D1440">
        <v>11</v>
      </c>
      <c r="E1440">
        <v>2022</v>
      </c>
      <c r="F1440" s="1">
        <f t="shared" si="112"/>
        <v>44887</v>
      </c>
      <c r="G1440" s="1" t="s">
        <v>144</v>
      </c>
      <c r="H1440" s="2">
        <v>45916</v>
      </c>
      <c r="I1440" t="s">
        <v>43</v>
      </c>
      <c r="J1440">
        <v>2</v>
      </c>
      <c r="K1440">
        <v>28530.84</v>
      </c>
      <c r="L1440" t="s">
        <v>791</v>
      </c>
      <c r="M1440">
        <v>35</v>
      </c>
      <c r="N1440" t="s">
        <v>21</v>
      </c>
      <c r="O1440" s="3" t="s">
        <v>22</v>
      </c>
      <c r="P1440" t="s">
        <v>51</v>
      </c>
      <c r="Q1440" t="s">
        <v>56</v>
      </c>
      <c r="R1440">
        <v>5</v>
      </c>
      <c r="S1440" t="s">
        <v>46</v>
      </c>
      <c r="T1440" s="4">
        <f t="shared" si="113"/>
        <v>57061.68</v>
      </c>
      <c r="U1440" s="4" t="str">
        <f t="shared" si="114"/>
        <v>Good</v>
      </c>
      <c r="V1440" s="4" t="str">
        <f t="shared" si="115"/>
        <v>Average</v>
      </c>
      <c r="W1440" s="4"/>
      <c r="X1440" s="4"/>
      <c r="AJ1440" s="4"/>
    </row>
    <row r="1441" spans="1:36">
      <c r="A1441" t="str">
        <f t="shared" si="111"/>
        <v>Anit581440</v>
      </c>
      <c r="B1441">
        <v>1440</v>
      </c>
      <c r="C1441">
        <v>23</v>
      </c>
      <c r="D1441">
        <v>11</v>
      </c>
      <c r="E1441">
        <v>2022</v>
      </c>
      <c r="F1441" s="1">
        <f t="shared" si="112"/>
        <v>44888</v>
      </c>
      <c r="G1441" s="1" t="s">
        <v>144</v>
      </c>
      <c r="H1441" s="2">
        <v>45917</v>
      </c>
      <c r="I1441" t="s">
        <v>49</v>
      </c>
      <c r="J1441">
        <v>9</v>
      </c>
      <c r="K1441">
        <v>46681.42</v>
      </c>
      <c r="L1441" t="s">
        <v>291</v>
      </c>
      <c r="M1441">
        <v>58</v>
      </c>
      <c r="N1441" t="s">
        <v>61</v>
      </c>
      <c r="O1441" s="3" t="s">
        <v>22</v>
      </c>
      <c r="P1441" t="s">
        <v>132</v>
      </c>
      <c r="Q1441" t="s">
        <v>56</v>
      </c>
      <c r="R1441">
        <v>5</v>
      </c>
      <c r="S1441" t="s">
        <v>88</v>
      </c>
      <c r="T1441" s="4">
        <f t="shared" si="113"/>
        <v>420132.77999999997</v>
      </c>
      <c r="U1441" s="4" t="str">
        <f t="shared" si="114"/>
        <v>Good</v>
      </c>
      <c r="V1441" s="4" t="str">
        <f t="shared" si="115"/>
        <v>Excellent</v>
      </c>
      <c r="W1441" s="4"/>
      <c r="X1441" s="4"/>
      <c r="AJ1441" s="4"/>
    </row>
    <row r="1442" spans="1:36">
      <c r="A1442" t="str">
        <f t="shared" si="111"/>
        <v>Kavi461441</v>
      </c>
      <c r="B1442">
        <v>1441</v>
      </c>
      <c r="C1442">
        <v>23</v>
      </c>
      <c r="D1442">
        <v>11</v>
      </c>
      <c r="E1442">
        <v>2022</v>
      </c>
      <c r="F1442" s="1">
        <f t="shared" si="112"/>
        <v>44888</v>
      </c>
      <c r="G1442" s="1" t="s">
        <v>144</v>
      </c>
      <c r="H1442" s="2">
        <v>45918</v>
      </c>
      <c r="I1442" t="s">
        <v>38</v>
      </c>
      <c r="J1442">
        <v>8</v>
      </c>
      <c r="K1442">
        <v>67843.25</v>
      </c>
      <c r="L1442" t="s">
        <v>859</v>
      </c>
      <c r="M1442">
        <v>46</v>
      </c>
      <c r="N1442" t="s">
        <v>61</v>
      </c>
      <c r="O1442" s="3" t="s">
        <v>22</v>
      </c>
      <c r="P1442" t="s">
        <v>33</v>
      </c>
      <c r="Q1442" t="s">
        <v>30</v>
      </c>
      <c r="R1442">
        <v>5</v>
      </c>
      <c r="S1442" t="s">
        <v>42</v>
      </c>
      <c r="T1442" s="4">
        <f t="shared" si="113"/>
        <v>542746</v>
      </c>
      <c r="U1442" s="4" t="str">
        <f t="shared" si="114"/>
        <v>Good</v>
      </c>
      <c r="V1442" s="4" t="str">
        <f t="shared" si="115"/>
        <v>Excellent</v>
      </c>
      <c r="W1442" s="4"/>
      <c r="X1442" s="4"/>
      <c r="AJ1442" s="4"/>
    </row>
    <row r="1443" spans="1:36">
      <c r="A1443" t="str">
        <f t="shared" si="111"/>
        <v>Shru221442</v>
      </c>
      <c r="B1443">
        <v>1442</v>
      </c>
      <c r="C1443">
        <v>23</v>
      </c>
      <c r="D1443">
        <v>11</v>
      </c>
      <c r="E1443">
        <v>2022</v>
      </c>
      <c r="F1443" s="1">
        <f t="shared" si="112"/>
        <v>44888</v>
      </c>
      <c r="G1443" s="1" t="s">
        <v>144</v>
      </c>
      <c r="H1443" s="2">
        <v>45919</v>
      </c>
      <c r="I1443" t="s">
        <v>26</v>
      </c>
      <c r="J1443">
        <v>9</v>
      </c>
      <c r="K1443">
        <v>15734.47</v>
      </c>
      <c r="L1443" t="s">
        <v>623</v>
      </c>
      <c r="M1443">
        <v>22</v>
      </c>
      <c r="N1443" t="s">
        <v>36</v>
      </c>
      <c r="O1443" s="3" t="s">
        <v>22</v>
      </c>
      <c r="P1443" t="s">
        <v>66</v>
      </c>
      <c r="Q1443" t="s">
        <v>56</v>
      </c>
      <c r="R1443">
        <v>5</v>
      </c>
      <c r="S1443" t="s">
        <v>31</v>
      </c>
      <c r="T1443" s="4">
        <f t="shared" si="113"/>
        <v>141610.22999999998</v>
      </c>
      <c r="U1443" s="4" t="str">
        <f t="shared" si="114"/>
        <v>Good</v>
      </c>
      <c r="V1443" s="4" t="str">
        <f t="shared" si="115"/>
        <v>Good</v>
      </c>
      <c r="W1443" s="4"/>
      <c r="X1443" s="4"/>
      <c r="AJ1443" s="4"/>
    </row>
    <row r="1444" spans="1:36">
      <c r="A1444" t="str">
        <f t="shared" si="111"/>
        <v>Nami411443</v>
      </c>
      <c r="B1444">
        <v>1443</v>
      </c>
      <c r="C1444">
        <v>24</v>
      </c>
      <c r="D1444">
        <v>11</v>
      </c>
      <c r="E1444">
        <v>2022</v>
      </c>
      <c r="F1444" s="1">
        <f t="shared" si="112"/>
        <v>44889</v>
      </c>
      <c r="G1444" s="1" t="s">
        <v>144</v>
      </c>
      <c r="H1444" s="2">
        <v>45920</v>
      </c>
      <c r="I1444" t="s">
        <v>26</v>
      </c>
      <c r="J1444">
        <v>4</v>
      </c>
      <c r="K1444">
        <v>11352.95</v>
      </c>
      <c r="L1444" t="s">
        <v>647</v>
      </c>
      <c r="M1444">
        <v>41</v>
      </c>
      <c r="N1444" t="s">
        <v>21</v>
      </c>
      <c r="O1444" s="3" t="s">
        <v>22</v>
      </c>
      <c r="P1444" t="s">
        <v>29</v>
      </c>
      <c r="Q1444" t="s">
        <v>56</v>
      </c>
      <c r="R1444">
        <v>4</v>
      </c>
      <c r="S1444" t="s">
        <v>31</v>
      </c>
      <c r="T1444" s="4">
        <f t="shared" si="113"/>
        <v>45411.8</v>
      </c>
      <c r="U1444" s="4" t="str">
        <f t="shared" si="114"/>
        <v>Good</v>
      </c>
      <c r="V1444" s="4" t="str">
        <f t="shared" si="115"/>
        <v>Low</v>
      </c>
      <c r="W1444" s="4"/>
      <c r="X1444" s="4"/>
      <c r="AJ1444" s="4"/>
    </row>
    <row r="1445" spans="1:36">
      <c r="A1445" t="str">
        <f t="shared" si="111"/>
        <v>Radh461444</v>
      </c>
      <c r="B1445">
        <v>1444</v>
      </c>
      <c r="C1445">
        <v>24</v>
      </c>
      <c r="D1445">
        <v>11</v>
      </c>
      <c r="E1445">
        <v>2022</v>
      </c>
      <c r="F1445" s="1">
        <f t="shared" si="112"/>
        <v>44889</v>
      </c>
      <c r="G1445" s="1" t="s">
        <v>144</v>
      </c>
      <c r="H1445" s="2">
        <v>45921</v>
      </c>
      <c r="I1445" t="s">
        <v>43</v>
      </c>
      <c r="J1445">
        <v>1</v>
      </c>
      <c r="K1445">
        <v>13344.98</v>
      </c>
      <c r="L1445" t="s">
        <v>783</v>
      </c>
      <c r="M1445">
        <v>46</v>
      </c>
      <c r="N1445" t="s">
        <v>61</v>
      </c>
      <c r="O1445" s="3" t="s">
        <v>55</v>
      </c>
      <c r="P1445" t="s">
        <v>29</v>
      </c>
      <c r="Q1445" t="s">
        <v>56</v>
      </c>
      <c r="R1445">
        <v>1</v>
      </c>
      <c r="S1445" t="s">
        <v>95</v>
      </c>
      <c r="T1445" s="4">
        <f t="shared" si="113"/>
        <v>13344.98</v>
      </c>
      <c r="U1445" s="4" t="str">
        <f t="shared" si="114"/>
        <v>Average</v>
      </c>
      <c r="V1445" s="4" t="str">
        <f t="shared" si="115"/>
        <v>Low</v>
      </c>
      <c r="W1445" s="4"/>
      <c r="X1445" s="4"/>
      <c r="AJ1445" s="4"/>
    </row>
    <row r="1446" spans="1:36">
      <c r="A1446" t="str">
        <f t="shared" si="111"/>
        <v>Pras461445</v>
      </c>
      <c r="B1446">
        <v>1445</v>
      </c>
      <c r="C1446">
        <v>24</v>
      </c>
      <c r="D1446">
        <v>11</v>
      </c>
      <c r="E1446">
        <v>2022</v>
      </c>
      <c r="F1446" s="1">
        <f t="shared" si="112"/>
        <v>44889</v>
      </c>
      <c r="G1446" s="1" t="s">
        <v>144</v>
      </c>
      <c r="H1446" s="2">
        <v>45922</v>
      </c>
      <c r="I1446" t="s">
        <v>43</v>
      </c>
      <c r="J1446">
        <v>1</v>
      </c>
      <c r="K1446">
        <v>13144.34</v>
      </c>
      <c r="L1446" t="s">
        <v>203</v>
      </c>
      <c r="M1446">
        <v>46</v>
      </c>
      <c r="N1446" t="s">
        <v>61</v>
      </c>
      <c r="O1446" s="3" t="s">
        <v>55</v>
      </c>
      <c r="P1446" t="s">
        <v>137</v>
      </c>
      <c r="Q1446" t="s">
        <v>24</v>
      </c>
      <c r="R1446">
        <v>1</v>
      </c>
      <c r="S1446" t="s">
        <v>95</v>
      </c>
      <c r="T1446" s="4">
        <f t="shared" si="113"/>
        <v>13144.34</v>
      </c>
      <c r="U1446" s="4" t="str">
        <f t="shared" si="114"/>
        <v>Average</v>
      </c>
      <c r="V1446" s="4" t="str">
        <f t="shared" si="115"/>
        <v>Low</v>
      </c>
      <c r="W1446" s="4"/>
      <c r="X1446" s="4"/>
      <c r="AJ1446" s="4"/>
    </row>
    <row r="1447" spans="1:36">
      <c r="A1447" t="str">
        <f t="shared" si="111"/>
        <v>Roha431446</v>
      </c>
      <c r="B1447">
        <v>1446</v>
      </c>
      <c r="C1447">
        <v>24</v>
      </c>
      <c r="D1447">
        <v>11</v>
      </c>
      <c r="E1447">
        <v>2022</v>
      </c>
      <c r="F1447" s="1">
        <f t="shared" si="112"/>
        <v>44889</v>
      </c>
      <c r="G1447" s="1" t="s">
        <v>144</v>
      </c>
      <c r="H1447" s="2">
        <v>45923</v>
      </c>
      <c r="I1447" t="s">
        <v>49</v>
      </c>
      <c r="J1447">
        <v>5</v>
      </c>
      <c r="K1447">
        <v>64468.95</v>
      </c>
      <c r="L1447" t="s">
        <v>516</v>
      </c>
      <c r="M1447">
        <v>43</v>
      </c>
      <c r="N1447" t="s">
        <v>21</v>
      </c>
      <c r="O1447" s="3" t="s">
        <v>22</v>
      </c>
      <c r="P1447" t="s">
        <v>110</v>
      </c>
      <c r="Q1447" t="s">
        <v>56</v>
      </c>
      <c r="R1447">
        <v>5</v>
      </c>
      <c r="S1447" t="s">
        <v>88</v>
      </c>
      <c r="T1447" s="4">
        <f t="shared" si="113"/>
        <v>322344.75</v>
      </c>
      <c r="U1447" s="4" t="str">
        <f t="shared" si="114"/>
        <v>Good</v>
      </c>
      <c r="V1447" s="4" t="str">
        <f t="shared" si="115"/>
        <v>Excellent</v>
      </c>
      <c r="W1447" s="4"/>
      <c r="X1447" s="4"/>
      <c r="AJ1447" s="4"/>
    </row>
    <row r="1448" spans="1:36">
      <c r="A1448" t="str">
        <f t="shared" si="111"/>
        <v>Nikh571447</v>
      </c>
      <c r="B1448">
        <v>1447</v>
      </c>
      <c r="C1448">
        <v>25</v>
      </c>
      <c r="D1448">
        <v>11</v>
      </c>
      <c r="E1448">
        <v>2022</v>
      </c>
      <c r="F1448" s="1">
        <f t="shared" si="112"/>
        <v>44890</v>
      </c>
      <c r="G1448" s="1" t="s">
        <v>144</v>
      </c>
      <c r="H1448" s="2">
        <v>45924</v>
      </c>
      <c r="I1448" t="s">
        <v>49</v>
      </c>
      <c r="J1448">
        <v>2</v>
      </c>
      <c r="K1448">
        <v>53275.47</v>
      </c>
      <c r="L1448" t="s">
        <v>667</v>
      </c>
      <c r="M1448">
        <v>57</v>
      </c>
      <c r="N1448" t="s">
        <v>61</v>
      </c>
      <c r="O1448" s="3" t="s">
        <v>55</v>
      </c>
      <c r="P1448" t="s">
        <v>29</v>
      </c>
      <c r="Q1448" t="s">
        <v>41</v>
      </c>
      <c r="R1448">
        <v>1</v>
      </c>
      <c r="S1448" t="s">
        <v>102</v>
      </c>
      <c r="T1448" s="4">
        <f t="shared" si="113"/>
        <v>106550.94</v>
      </c>
      <c r="U1448" s="4" t="str">
        <f t="shared" si="114"/>
        <v>Average</v>
      </c>
      <c r="V1448" s="4" t="str">
        <f t="shared" si="115"/>
        <v>Good</v>
      </c>
      <c r="W1448" s="4"/>
      <c r="X1448" s="4"/>
      <c r="AJ1448" s="4"/>
    </row>
    <row r="1449" spans="1:36">
      <c r="A1449" t="str">
        <f t="shared" si="111"/>
        <v>Raje201448</v>
      </c>
      <c r="B1449">
        <v>1448</v>
      </c>
      <c r="C1449">
        <v>25</v>
      </c>
      <c r="D1449">
        <v>11</v>
      </c>
      <c r="E1449">
        <v>2022</v>
      </c>
      <c r="F1449" s="1">
        <f t="shared" si="112"/>
        <v>44890</v>
      </c>
      <c r="G1449" s="1" t="s">
        <v>144</v>
      </c>
      <c r="H1449" s="2">
        <v>45925</v>
      </c>
      <c r="I1449" t="s">
        <v>19</v>
      </c>
      <c r="J1449">
        <v>8</v>
      </c>
      <c r="K1449">
        <v>50626.38</v>
      </c>
      <c r="L1449" t="s">
        <v>100</v>
      </c>
      <c r="M1449">
        <v>20</v>
      </c>
      <c r="N1449" t="s">
        <v>36</v>
      </c>
      <c r="O1449" s="3" t="s">
        <v>22</v>
      </c>
      <c r="P1449" t="s">
        <v>29</v>
      </c>
      <c r="Q1449" t="s">
        <v>41</v>
      </c>
      <c r="R1449">
        <v>5</v>
      </c>
      <c r="S1449" t="s">
        <v>37</v>
      </c>
      <c r="T1449" s="4">
        <f t="shared" si="113"/>
        <v>405011.04</v>
      </c>
      <c r="U1449" s="4" t="str">
        <f t="shared" si="114"/>
        <v>Good</v>
      </c>
      <c r="V1449" s="4" t="str">
        <f t="shared" si="115"/>
        <v>Excellent</v>
      </c>
      <c r="W1449" s="4"/>
      <c r="X1449" s="4"/>
      <c r="AJ1449" s="4"/>
    </row>
    <row r="1450" spans="1:36">
      <c r="A1450" t="str">
        <f t="shared" si="111"/>
        <v>Suni191449</v>
      </c>
      <c r="B1450">
        <v>1449</v>
      </c>
      <c r="C1450">
        <v>25</v>
      </c>
      <c r="D1450">
        <v>11</v>
      </c>
      <c r="E1450">
        <v>2022</v>
      </c>
      <c r="F1450" s="1">
        <f t="shared" si="112"/>
        <v>44890</v>
      </c>
      <c r="G1450" s="1" t="s">
        <v>144</v>
      </c>
      <c r="H1450" s="2">
        <v>45926</v>
      </c>
      <c r="I1450" t="s">
        <v>49</v>
      </c>
      <c r="J1450">
        <v>5</v>
      </c>
      <c r="K1450">
        <v>41354.370000000003</v>
      </c>
      <c r="L1450" t="s">
        <v>860</v>
      </c>
      <c r="M1450">
        <v>19</v>
      </c>
      <c r="N1450" t="s">
        <v>36</v>
      </c>
      <c r="O1450" s="3" t="s">
        <v>28</v>
      </c>
      <c r="P1450" t="s">
        <v>29</v>
      </c>
      <c r="Q1450" t="s">
        <v>24</v>
      </c>
      <c r="R1450">
        <v>3</v>
      </c>
      <c r="S1450" t="s">
        <v>102</v>
      </c>
      <c r="T1450" s="4">
        <f t="shared" si="113"/>
        <v>206771.85</v>
      </c>
      <c r="U1450" s="4" t="str">
        <f t="shared" si="114"/>
        <v>Average</v>
      </c>
      <c r="V1450" s="4" t="str">
        <f t="shared" si="115"/>
        <v>Excellent</v>
      </c>
      <c r="W1450" s="4"/>
      <c r="X1450" s="4"/>
      <c r="AJ1450" s="4"/>
    </row>
    <row r="1451" spans="1:36">
      <c r="A1451" t="str">
        <f t="shared" si="111"/>
        <v>Sneh421450</v>
      </c>
      <c r="B1451">
        <v>1450</v>
      </c>
      <c r="C1451">
        <v>25</v>
      </c>
      <c r="D1451">
        <v>11</v>
      </c>
      <c r="E1451">
        <v>2022</v>
      </c>
      <c r="F1451" s="1">
        <f t="shared" si="112"/>
        <v>44890</v>
      </c>
      <c r="G1451" s="1" t="s">
        <v>144</v>
      </c>
      <c r="H1451" s="2">
        <v>45927</v>
      </c>
      <c r="I1451" t="s">
        <v>19</v>
      </c>
      <c r="J1451">
        <v>5</v>
      </c>
      <c r="K1451">
        <v>56917.16</v>
      </c>
      <c r="L1451" t="s">
        <v>861</v>
      </c>
      <c r="M1451">
        <v>42</v>
      </c>
      <c r="N1451" t="s">
        <v>21</v>
      </c>
      <c r="O1451" s="3" t="s">
        <v>55</v>
      </c>
      <c r="P1451" t="s">
        <v>137</v>
      </c>
      <c r="Q1451" t="s">
        <v>30</v>
      </c>
      <c r="R1451">
        <v>1</v>
      </c>
      <c r="S1451" t="s">
        <v>25</v>
      </c>
      <c r="T1451" s="4">
        <f t="shared" si="113"/>
        <v>284585.80000000005</v>
      </c>
      <c r="U1451" s="4" t="str">
        <f t="shared" si="114"/>
        <v>Average</v>
      </c>
      <c r="V1451" s="4" t="str">
        <f t="shared" si="115"/>
        <v>Excellent</v>
      </c>
      <c r="W1451" s="4"/>
      <c r="X1451" s="4"/>
      <c r="AJ1451" s="4"/>
    </row>
    <row r="1452" spans="1:36">
      <c r="A1452" t="str">
        <f t="shared" si="111"/>
        <v>Priy361451</v>
      </c>
      <c r="B1452">
        <v>1451</v>
      </c>
      <c r="C1452">
        <v>26</v>
      </c>
      <c r="D1452">
        <v>11</v>
      </c>
      <c r="E1452">
        <v>2022</v>
      </c>
      <c r="F1452" s="1">
        <f t="shared" si="112"/>
        <v>44891</v>
      </c>
      <c r="G1452" s="1" t="s">
        <v>144</v>
      </c>
      <c r="H1452" s="2">
        <v>45928</v>
      </c>
      <c r="I1452" t="s">
        <v>38</v>
      </c>
      <c r="J1452">
        <v>2</v>
      </c>
      <c r="K1452">
        <v>19338.88</v>
      </c>
      <c r="L1452" t="s">
        <v>358</v>
      </c>
      <c r="M1452">
        <v>36</v>
      </c>
      <c r="N1452" t="s">
        <v>21</v>
      </c>
      <c r="O1452" s="3" t="s">
        <v>28</v>
      </c>
      <c r="P1452" t="s">
        <v>51</v>
      </c>
      <c r="Q1452" t="s">
        <v>30</v>
      </c>
      <c r="R1452">
        <v>3</v>
      </c>
      <c r="S1452" t="s">
        <v>42</v>
      </c>
      <c r="T1452" s="4">
        <f t="shared" si="113"/>
        <v>38677.760000000002</v>
      </c>
      <c r="U1452" s="4" t="str">
        <f t="shared" si="114"/>
        <v>Average</v>
      </c>
      <c r="V1452" s="4" t="str">
        <f t="shared" si="115"/>
        <v>Low</v>
      </c>
      <c r="W1452" s="4"/>
      <c r="X1452" s="4"/>
      <c r="AJ1452" s="4"/>
    </row>
    <row r="1453" spans="1:36">
      <c r="A1453" t="str">
        <f t="shared" si="111"/>
        <v>Bhav571452</v>
      </c>
      <c r="B1453">
        <v>1452</v>
      </c>
      <c r="C1453">
        <v>26</v>
      </c>
      <c r="D1453">
        <v>11</v>
      </c>
      <c r="E1453">
        <v>2022</v>
      </c>
      <c r="F1453" s="1">
        <f t="shared" si="112"/>
        <v>44891</v>
      </c>
      <c r="G1453" s="1" t="s">
        <v>144</v>
      </c>
      <c r="H1453" s="2">
        <v>45929</v>
      </c>
      <c r="I1453" t="s">
        <v>43</v>
      </c>
      <c r="J1453">
        <v>7</v>
      </c>
      <c r="K1453">
        <v>33516.47</v>
      </c>
      <c r="L1453" t="s">
        <v>862</v>
      </c>
      <c r="M1453">
        <v>57</v>
      </c>
      <c r="N1453" t="s">
        <v>61</v>
      </c>
      <c r="O1453" s="3" t="s">
        <v>22</v>
      </c>
      <c r="P1453" t="s">
        <v>33</v>
      </c>
      <c r="Q1453" t="s">
        <v>24</v>
      </c>
      <c r="R1453">
        <v>4</v>
      </c>
      <c r="S1453" t="s">
        <v>95</v>
      </c>
      <c r="T1453" s="4">
        <f t="shared" si="113"/>
        <v>234615.29</v>
      </c>
      <c r="U1453" s="4" t="str">
        <f t="shared" si="114"/>
        <v>Good</v>
      </c>
      <c r="V1453" s="4" t="str">
        <f t="shared" si="115"/>
        <v>Excellent</v>
      </c>
      <c r="W1453" s="4"/>
      <c r="X1453" s="4"/>
      <c r="AJ1453" s="4"/>
    </row>
    <row r="1454" spans="1:36">
      <c r="A1454" t="str">
        <f t="shared" si="111"/>
        <v>Deep191453</v>
      </c>
      <c r="B1454">
        <v>1453</v>
      </c>
      <c r="C1454">
        <v>26</v>
      </c>
      <c r="D1454">
        <v>11</v>
      </c>
      <c r="E1454">
        <v>2022</v>
      </c>
      <c r="F1454" s="1">
        <f t="shared" si="112"/>
        <v>44891</v>
      </c>
      <c r="G1454" s="1" t="s">
        <v>144</v>
      </c>
      <c r="H1454" s="2">
        <v>45930</v>
      </c>
      <c r="I1454" t="s">
        <v>38</v>
      </c>
      <c r="J1454">
        <v>8</v>
      </c>
      <c r="K1454">
        <v>39400.26</v>
      </c>
      <c r="L1454" t="s">
        <v>759</v>
      </c>
      <c r="M1454">
        <v>19</v>
      </c>
      <c r="N1454" t="s">
        <v>36</v>
      </c>
      <c r="O1454" s="3" t="s">
        <v>22</v>
      </c>
      <c r="P1454" t="s">
        <v>29</v>
      </c>
      <c r="Q1454" t="s">
        <v>41</v>
      </c>
      <c r="R1454">
        <v>5</v>
      </c>
      <c r="S1454" t="s">
        <v>99</v>
      </c>
      <c r="T1454" s="4">
        <f t="shared" si="113"/>
        <v>315202.08</v>
      </c>
      <c r="U1454" s="4" t="str">
        <f t="shared" si="114"/>
        <v>Good</v>
      </c>
      <c r="V1454" s="4" t="str">
        <f t="shared" si="115"/>
        <v>Excellent</v>
      </c>
      <c r="W1454" s="4"/>
      <c r="X1454" s="4"/>
      <c r="AJ1454" s="4"/>
    </row>
    <row r="1455" spans="1:36">
      <c r="A1455" t="str">
        <f t="shared" si="111"/>
        <v>Ravi361454</v>
      </c>
      <c r="B1455">
        <v>1454</v>
      </c>
      <c r="C1455">
        <v>27</v>
      </c>
      <c r="D1455">
        <v>11</v>
      </c>
      <c r="E1455">
        <v>2022</v>
      </c>
      <c r="F1455" s="1">
        <f t="shared" si="112"/>
        <v>44892</v>
      </c>
      <c r="G1455" s="1" t="s">
        <v>144</v>
      </c>
      <c r="H1455" s="2">
        <v>45931</v>
      </c>
      <c r="I1455" t="s">
        <v>49</v>
      </c>
      <c r="J1455">
        <v>1</v>
      </c>
      <c r="K1455">
        <v>16624.57</v>
      </c>
      <c r="L1455" t="s">
        <v>696</v>
      </c>
      <c r="M1455">
        <v>36</v>
      </c>
      <c r="N1455" t="s">
        <v>21</v>
      </c>
      <c r="O1455" s="3" t="s">
        <v>22</v>
      </c>
      <c r="P1455" t="s">
        <v>117</v>
      </c>
      <c r="Q1455" t="s">
        <v>24</v>
      </c>
      <c r="R1455">
        <v>5</v>
      </c>
      <c r="S1455" t="s">
        <v>102</v>
      </c>
      <c r="T1455" s="4">
        <f t="shared" si="113"/>
        <v>16624.57</v>
      </c>
      <c r="U1455" s="4" t="str">
        <f t="shared" si="114"/>
        <v>Good</v>
      </c>
      <c r="V1455" s="4" t="str">
        <f t="shared" si="115"/>
        <v>Low</v>
      </c>
      <c r="W1455" s="4"/>
      <c r="X1455" s="4"/>
      <c r="AJ1455" s="4"/>
    </row>
    <row r="1456" spans="1:36">
      <c r="A1456" t="str">
        <f t="shared" si="111"/>
        <v>Kavi181455</v>
      </c>
      <c r="B1456">
        <v>1455</v>
      </c>
      <c r="C1456">
        <v>27</v>
      </c>
      <c r="D1456">
        <v>11</v>
      </c>
      <c r="E1456">
        <v>2022</v>
      </c>
      <c r="F1456" s="1">
        <f t="shared" si="112"/>
        <v>44892</v>
      </c>
      <c r="G1456" s="1" t="s">
        <v>144</v>
      </c>
      <c r="H1456" s="2">
        <v>45932</v>
      </c>
      <c r="I1456" t="s">
        <v>38</v>
      </c>
      <c r="J1456">
        <v>2</v>
      </c>
      <c r="K1456">
        <v>35170.82</v>
      </c>
      <c r="L1456" t="s">
        <v>360</v>
      </c>
      <c r="M1456">
        <v>18</v>
      </c>
      <c r="N1456" t="s">
        <v>36</v>
      </c>
      <c r="O1456" s="3" t="s">
        <v>22</v>
      </c>
      <c r="P1456" t="s">
        <v>59</v>
      </c>
      <c r="Q1456" t="s">
        <v>56</v>
      </c>
      <c r="R1456">
        <v>5</v>
      </c>
      <c r="S1456" t="s">
        <v>42</v>
      </c>
      <c r="T1456" s="4">
        <f t="shared" si="113"/>
        <v>70341.64</v>
      </c>
      <c r="U1456" s="4" t="str">
        <f t="shared" si="114"/>
        <v>Good</v>
      </c>
      <c r="V1456" s="4" t="str">
        <f t="shared" si="115"/>
        <v>Average</v>
      </c>
      <c r="W1456" s="4"/>
      <c r="X1456" s="4"/>
      <c r="AJ1456" s="4"/>
    </row>
    <row r="1457" spans="1:36">
      <c r="A1457" t="str">
        <f t="shared" si="111"/>
        <v>Radh441456</v>
      </c>
      <c r="B1457">
        <v>1456</v>
      </c>
      <c r="C1457">
        <v>27</v>
      </c>
      <c r="D1457">
        <v>11</v>
      </c>
      <c r="E1457">
        <v>2022</v>
      </c>
      <c r="F1457" s="1">
        <f t="shared" si="112"/>
        <v>44892</v>
      </c>
      <c r="G1457" s="1" t="s">
        <v>144</v>
      </c>
      <c r="H1457" s="2">
        <v>45933</v>
      </c>
      <c r="I1457" t="s">
        <v>38</v>
      </c>
      <c r="J1457">
        <v>4</v>
      </c>
      <c r="K1457">
        <v>28990.11</v>
      </c>
      <c r="L1457" t="s">
        <v>391</v>
      </c>
      <c r="M1457">
        <v>44</v>
      </c>
      <c r="N1457" t="s">
        <v>21</v>
      </c>
      <c r="O1457" s="3" t="s">
        <v>22</v>
      </c>
      <c r="P1457" t="s">
        <v>70</v>
      </c>
      <c r="Q1457" t="s">
        <v>24</v>
      </c>
      <c r="R1457">
        <v>4</v>
      </c>
      <c r="S1457" t="s">
        <v>48</v>
      </c>
      <c r="T1457" s="4">
        <f t="shared" si="113"/>
        <v>115960.44</v>
      </c>
      <c r="U1457" s="4" t="str">
        <f t="shared" si="114"/>
        <v>Good</v>
      </c>
      <c r="V1457" s="4" t="str">
        <f t="shared" si="115"/>
        <v>Good</v>
      </c>
      <c r="W1457" s="4"/>
      <c r="X1457" s="4"/>
      <c r="AJ1457" s="4"/>
    </row>
    <row r="1458" spans="1:36">
      <c r="A1458" t="str">
        <f t="shared" si="111"/>
        <v>Deep521457</v>
      </c>
      <c r="B1458">
        <v>1457</v>
      </c>
      <c r="C1458">
        <v>28</v>
      </c>
      <c r="D1458">
        <v>11</v>
      </c>
      <c r="E1458">
        <v>2022</v>
      </c>
      <c r="F1458" s="1">
        <f t="shared" si="112"/>
        <v>44893</v>
      </c>
      <c r="G1458" s="1" t="s">
        <v>144</v>
      </c>
      <c r="H1458" s="2">
        <v>45934</v>
      </c>
      <c r="I1458" t="s">
        <v>38</v>
      </c>
      <c r="J1458">
        <v>5</v>
      </c>
      <c r="K1458">
        <v>12134.93</v>
      </c>
      <c r="L1458" t="s">
        <v>601</v>
      </c>
      <c r="M1458">
        <v>52</v>
      </c>
      <c r="N1458" t="s">
        <v>61</v>
      </c>
      <c r="O1458" s="3" t="s">
        <v>22</v>
      </c>
      <c r="P1458" t="s">
        <v>59</v>
      </c>
      <c r="Q1458" t="s">
        <v>30</v>
      </c>
      <c r="R1458">
        <v>5</v>
      </c>
      <c r="S1458" t="s">
        <v>99</v>
      </c>
      <c r="T1458" s="4">
        <f t="shared" si="113"/>
        <v>60674.65</v>
      </c>
      <c r="U1458" s="4" t="str">
        <f t="shared" si="114"/>
        <v>Good</v>
      </c>
      <c r="V1458" s="4" t="str">
        <f t="shared" si="115"/>
        <v>Average</v>
      </c>
      <c r="W1458" s="4"/>
      <c r="X1458" s="4"/>
      <c r="AJ1458" s="4"/>
    </row>
    <row r="1459" spans="1:36">
      <c r="A1459" t="str">
        <f t="shared" si="111"/>
        <v>Ayes581458</v>
      </c>
      <c r="B1459">
        <v>1458</v>
      </c>
      <c r="C1459">
        <v>28</v>
      </c>
      <c r="D1459">
        <v>11</v>
      </c>
      <c r="E1459">
        <v>2022</v>
      </c>
      <c r="F1459" s="1">
        <f t="shared" si="112"/>
        <v>44893</v>
      </c>
      <c r="G1459" s="1" t="s">
        <v>144</v>
      </c>
      <c r="H1459" s="2">
        <v>45935</v>
      </c>
      <c r="I1459" t="s">
        <v>49</v>
      </c>
      <c r="J1459">
        <v>2</v>
      </c>
      <c r="K1459">
        <v>18204.12</v>
      </c>
      <c r="L1459" t="s">
        <v>863</v>
      </c>
      <c r="M1459">
        <v>58</v>
      </c>
      <c r="N1459" t="s">
        <v>61</v>
      </c>
      <c r="O1459" s="3" t="s">
        <v>28</v>
      </c>
      <c r="P1459" t="s">
        <v>137</v>
      </c>
      <c r="Q1459" t="s">
        <v>41</v>
      </c>
      <c r="R1459">
        <v>3</v>
      </c>
      <c r="S1459" t="s">
        <v>88</v>
      </c>
      <c r="T1459" s="4">
        <f t="shared" si="113"/>
        <v>36408.239999999998</v>
      </c>
      <c r="U1459" s="4" t="str">
        <f t="shared" si="114"/>
        <v>Average</v>
      </c>
      <c r="V1459" s="4" t="str">
        <f t="shared" si="115"/>
        <v>Low</v>
      </c>
      <c r="W1459" s="4"/>
      <c r="X1459" s="4"/>
      <c r="AJ1459" s="4"/>
    </row>
    <row r="1460" spans="1:36">
      <c r="A1460" t="str">
        <f t="shared" si="111"/>
        <v>Lata221459</v>
      </c>
      <c r="B1460">
        <v>1459</v>
      </c>
      <c r="C1460">
        <v>28</v>
      </c>
      <c r="D1460">
        <v>11</v>
      </c>
      <c r="E1460">
        <v>2022</v>
      </c>
      <c r="F1460" s="1">
        <f t="shared" si="112"/>
        <v>44893</v>
      </c>
      <c r="G1460" s="1" t="s">
        <v>144</v>
      </c>
      <c r="H1460" s="2">
        <v>45936</v>
      </c>
      <c r="I1460" t="s">
        <v>38</v>
      </c>
      <c r="J1460">
        <v>1</v>
      </c>
      <c r="K1460">
        <v>55842.21</v>
      </c>
      <c r="L1460" t="s">
        <v>127</v>
      </c>
      <c r="M1460">
        <v>22</v>
      </c>
      <c r="N1460" t="s">
        <v>36</v>
      </c>
      <c r="O1460" s="3" t="s">
        <v>55</v>
      </c>
      <c r="P1460" t="s">
        <v>137</v>
      </c>
      <c r="Q1460" t="s">
        <v>30</v>
      </c>
      <c r="R1460">
        <v>1</v>
      </c>
      <c r="S1460" t="s">
        <v>42</v>
      </c>
      <c r="T1460" s="4">
        <f t="shared" si="113"/>
        <v>55842.21</v>
      </c>
      <c r="U1460" s="4" t="str">
        <f t="shared" si="114"/>
        <v>Average</v>
      </c>
      <c r="V1460" s="4" t="str">
        <f t="shared" si="115"/>
        <v>Average</v>
      </c>
      <c r="W1460" s="4"/>
      <c r="X1460" s="4"/>
      <c r="AJ1460" s="4"/>
    </row>
    <row r="1461" spans="1:36">
      <c r="A1461" t="str">
        <f t="shared" si="111"/>
        <v>Bina551460</v>
      </c>
      <c r="B1461">
        <v>1460</v>
      </c>
      <c r="C1461">
        <v>29</v>
      </c>
      <c r="D1461">
        <v>11</v>
      </c>
      <c r="E1461">
        <v>2022</v>
      </c>
      <c r="F1461" s="1">
        <f t="shared" si="112"/>
        <v>44894</v>
      </c>
      <c r="G1461" s="1" t="s">
        <v>144</v>
      </c>
      <c r="H1461" s="2">
        <v>45937</v>
      </c>
      <c r="I1461" t="s">
        <v>19</v>
      </c>
      <c r="J1461">
        <v>9</v>
      </c>
      <c r="K1461">
        <v>11082.27</v>
      </c>
      <c r="L1461" t="s">
        <v>463</v>
      </c>
      <c r="M1461">
        <v>55</v>
      </c>
      <c r="N1461" t="s">
        <v>61</v>
      </c>
      <c r="O1461" s="3" t="s">
        <v>22</v>
      </c>
      <c r="P1461" t="s">
        <v>40</v>
      </c>
      <c r="Q1461" t="s">
        <v>30</v>
      </c>
      <c r="R1461">
        <v>5</v>
      </c>
      <c r="S1461" t="s">
        <v>37</v>
      </c>
      <c r="T1461" s="4">
        <f t="shared" si="113"/>
        <v>99740.430000000008</v>
      </c>
      <c r="U1461" s="4" t="str">
        <f t="shared" si="114"/>
        <v>Good</v>
      </c>
      <c r="V1461" s="4" t="str">
        <f t="shared" si="115"/>
        <v>Average</v>
      </c>
      <c r="W1461" s="4"/>
      <c r="X1461" s="4"/>
      <c r="AJ1461" s="4"/>
    </row>
    <row r="1462" spans="1:36">
      <c r="A1462" t="str">
        <f t="shared" si="111"/>
        <v>Anit211461</v>
      </c>
      <c r="B1462">
        <v>1461</v>
      </c>
      <c r="C1462">
        <v>29</v>
      </c>
      <c r="D1462">
        <v>11</v>
      </c>
      <c r="E1462">
        <v>2022</v>
      </c>
      <c r="F1462" s="1">
        <f t="shared" si="112"/>
        <v>44894</v>
      </c>
      <c r="G1462" s="1" t="s">
        <v>144</v>
      </c>
      <c r="H1462" s="2">
        <v>45938</v>
      </c>
      <c r="I1462" t="s">
        <v>49</v>
      </c>
      <c r="J1462">
        <v>1</v>
      </c>
      <c r="K1462">
        <v>66055.199999999997</v>
      </c>
      <c r="L1462" t="s">
        <v>310</v>
      </c>
      <c r="M1462">
        <v>21</v>
      </c>
      <c r="N1462" t="s">
        <v>36</v>
      </c>
      <c r="O1462" s="3" t="s">
        <v>22</v>
      </c>
      <c r="P1462" t="s">
        <v>137</v>
      </c>
      <c r="Q1462" t="s">
        <v>41</v>
      </c>
      <c r="R1462">
        <v>5</v>
      </c>
      <c r="S1462" t="s">
        <v>88</v>
      </c>
      <c r="T1462" s="4">
        <f t="shared" si="113"/>
        <v>66055.199999999997</v>
      </c>
      <c r="U1462" s="4" t="str">
        <f t="shared" si="114"/>
        <v>Good</v>
      </c>
      <c r="V1462" s="4" t="str">
        <f t="shared" si="115"/>
        <v>Average</v>
      </c>
      <c r="W1462" s="4"/>
      <c r="X1462" s="4"/>
      <c r="AJ1462" s="4"/>
    </row>
    <row r="1463" spans="1:36">
      <c r="A1463" t="str">
        <f t="shared" si="111"/>
        <v>Deve341462</v>
      </c>
      <c r="B1463">
        <v>1462</v>
      </c>
      <c r="C1463">
        <v>29</v>
      </c>
      <c r="D1463">
        <v>11</v>
      </c>
      <c r="E1463">
        <v>2022</v>
      </c>
      <c r="F1463" s="1">
        <f t="shared" si="112"/>
        <v>44894</v>
      </c>
      <c r="G1463" s="1" t="s">
        <v>144</v>
      </c>
      <c r="H1463" s="2">
        <v>45939</v>
      </c>
      <c r="I1463" t="s">
        <v>38</v>
      </c>
      <c r="J1463">
        <v>4</v>
      </c>
      <c r="K1463">
        <v>15185.48</v>
      </c>
      <c r="L1463" t="s">
        <v>422</v>
      </c>
      <c r="M1463">
        <v>34</v>
      </c>
      <c r="N1463" t="s">
        <v>21</v>
      </c>
      <c r="O1463" s="3" t="s">
        <v>22</v>
      </c>
      <c r="P1463" t="s">
        <v>40</v>
      </c>
      <c r="Q1463" t="s">
        <v>56</v>
      </c>
      <c r="R1463">
        <v>5</v>
      </c>
      <c r="S1463" t="s">
        <v>99</v>
      </c>
      <c r="T1463" s="4">
        <f t="shared" si="113"/>
        <v>60741.919999999998</v>
      </c>
      <c r="U1463" s="4" t="str">
        <f t="shared" si="114"/>
        <v>Good</v>
      </c>
      <c r="V1463" s="4" t="str">
        <f t="shared" si="115"/>
        <v>Average</v>
      </c>
      <c r="W1463" s="4"/>
      <c r="X1463" s="4"/>
      <c r="AJ1463" s="4"/>
    </row>
    <row r="1464" spans="1:36">
      <c r="A1464" t="str">
        <f t="shared" si="111"/>
        <v>Isha381463</v>
      </c>
      <c r="B1464">
        <v>1463</v>
      </c>
      <c r="C1464">
        <v>30</v>
      </c>
      <c r="D1464">
        <v>11</v>
      </c>
      <c r="E1464">
        <v>2022</v>
      </c>
      <c r="F1464" s="1">
        <f t="shared" si="112"/>
        <v>44895</v>
      </c>
      <c r="G1464" s="1" t="s">
        <v>144</v>
      </c>
      <c r="H1464" s="2">
        <v>45940</v>
      </c>
      <c r="I1464" t="s">
        <v>49</v>
      </c>
      <c r="J1464">
        <v>2</v>
      </c>
      <c r="K1464">
        <v>57954.29</v>
      </c>
      <c r="L1464" t="s">
        <v>423</v>
      </c>
      <c r="M1464">
        <v>38</v>
      </c>
      <c r="N1464" t="s">
        <v>21</v>
      </c>
      <c r="O1464" s="3" t="s">
        <v>22</v>
      </c>
      <c r="P1464" t="s">
        <v>23</v>
      </c>
      <c r="Q1464" t="s">
        <v>41</v>
      </c>
      <c r="R1464">
        <v>5</v>
      </c>
      <c r="S1464" t="s">
        <v>88</v>
      </c>
      <c r="T1464" s="4">
        <f t="shared" si="113"/>
        <v>115908.58</v>
      </c>
      <c r="U1464" s="4" t="str">
        <f t="shared" si="114"/>
        <v>Good</v>
      </c>
      <c r="V1464" s="4" t="str">
        <f t="shared" si="115"/>
        <v>Good</v>
      </c>
      <c r="W1464" s="4"/>
      <c r="X1464" s="4"/>
      <c r="AJ1464" s="4"/>
    </row>
    <row r="1465" spans="1:36">
      <c r="A1465" t="str">
        <f t="shared" si="111"/>
        <v>Meen481464</v>
      </c>
      <c r="B1465">
        <v>1464</v>
      </c>
      <c r="C1465">
        <v>30</v>
      </c>
      <c r="D1465">
        <v>11</v>
      </c>
      <c r="E1465">
        <v>2022</v>
      </c>
      <c r="F1465" s="1">
        <f t="shared" si="112"/>
        <v>44895</v>
      </c>
      <c r="G1465" s="1" t="s">
        <v>144</v>
      </c>
      <c r="H1465" s="2">
        <v>45941</v>
      </c>
      <c r="I1465" t="s">
        <v>26</v>
      </c>
      <c r="J1465">
        <v>4</v>
      </c>
      <c r="K1465">
        <v>63916.99</v>
      </c>
      <c r="L1465" t="s">
        <v>666</v>
      </c>
      <c r="M1465">
        <v>48</v>
      </c>
      <c r="N1465" t="s">
        <v>61</v>
      </c>
      <c r="O1465" s="3" t="s">
        <v>28</v>
      </c>
      <c r="P1465" t="s">
        <v>45</v>
      </c>
      <c r="Q1465" t="s">
        <v>41</v>
      </c>
      <c r="R1465">
        <v>3</v>
      </c>
      <c r="S1465" t="s">
        <v>31</v>
      </c>
      <c r="T1465" s="4">
        <f t="shared" si="113"/>
        <v>255667.96</v>
      </c>
      <c r="U1465" s="4" t="str">
        <f t="shared" si="114"/>
        <v>Average</v>
      </c>
      <c r="V1465" s="4" t="str">
        <f t="shared" si="115"/>
        <v>Excellent</v>
      </c>
      <c r="W1465" s="4"/>
      <c r="X1465" s="4"/>
      <c r="AJ1465" s="4"/>
    </row>
    <row r="1466" spans="1:36">
      <c r="A1466" t="str">
        <f t="shared" si="111"/>
        <v>Kavi391465</v>
      </c>
      <c r="B1466">
        <v>1465</v>
      </c>
      <c r="C1466">
        <v>30</v>
      </c>
      <c r="D1466">
        <v>11</v>
      </c>
      <c r="E1466">
        <v>2022</v>
      </c>
      <c r="F1466" s="1">
        <f t="shared" si="112"/>
        <v>44895</v>
      </c>
      <c r="G1466" s="1" t="s">
        <v>144</v>
      </c>
      <c r="H1466" s="2">
        <v>45942</v>
      </c>
      <c r="I1466" t="s">
        <v>19</v>
      </c>
      <c r="J1466">
        <v>8</v>
      </c>
      <c r="K1466">
        <v>66468.14</v>
      </c>
      <c r="L1466" t="s">
        <v>292</v>
      </c>
      <c r="M1466">
        <v>39</v>
      </c>
      <c r="N1466" t="s">
        <v>21</v>
      </c>
      <c r="O1466" s="3" t="s">
        <v>22</v>
      </c>
      <c r="P1466" t="s">
        <v>29</v>
      </c>
      <c r="Q1466" t="s">
        <v>24</v>
      </c>
      <c r="R1466">
        <v>5</v>
      </c>
      <c r="S1466" t="s">
        <v>84</v>
      </c>
      <c r="T1466" s="4">
        <f t="shared" si="113"/>
        <v>531745.12</v>
      </c>
      <c r="U1466" s="4" t="str">
        <f t="shared" si="114"/>
        <v>Good</v>
      </c>
      <c r="V1466" s="4" t="str">
        <f t="shared" si="115"/>
        <v>Excellent</v>
      </c>
      <c r="W1466" s="4"/>
      <c r="X1466" s="4"/>
      <c r="AJ1466" s="4"/>
    </row>
    <row r="1467" spans="1:36">
      <c r="A1467" t="str">
        <f t="shared" si="111"/>
        <v>Pank281466</v>
      </c>
      <c r="B1467">
        <v>1466</v>
      </c>
      <c r="C1467">
        <v>30</v>
      </c>
      <c r="D1467">
        <v>11</v>
      </c>
      <c r="E1467">
        <v>2022</v>
      </c>
      <c r="F1467" s="1">
        <f t="shared" si="112"/>
        <v>44895</v>
      </c>
      <c r="G1467" s="1" t="s">
        <v>144</v>
      </c>
      <c r="H1467" s="2">
        <v>45943</v>
      </c>
      <c r="I1467" t="s">
        <v>38</v>
      </c>
      <c r="J1467">
        <v>8</v>
      </c>
      <c r="K1467">
        <v>62048.62</v>
      </c>
      <c r="L1467" t="s">
        <v>353</v>
      </c>
      <c r="M1467">
        <v>28</v>
      </c>
      <c r="N1467" t="s">
        <v>36</v>
      </c>
      <c r="O1467" s="3" t="s">
        <v>22</v>
      </c>
      <c r="P1467" t="s">
        <v>150</v>
      </c>
      <c r="Q1467" t="s">
        <v>41</v>
      </c>
      <c r="R1467">
        <v>4</v>
      </c>
      <c r="S1467" t="s">
        <v>48</v>
      </c>
      <c r="T1467" s="4">
        <f t="shared" si="113"/>
        <v>496388.96</v>
      </c>
      <c r="U1467" s="4" t="str">
        <f t="shared" si="114"/>
        <v>Good</v>
      </c>
      <c r="V1467" s="4" t="str">
        <f t="shared" si="115"/>
        <v>Excellent</v>
      </c>
      <c r="W1467" s="4"/>
      <c r="X1467" s="4"/>
      <c r="AJ1467" s="4"/>
    </row>
    <row r="1468" spans="1:36">
      <c r="A1468" t="str">
        <f t="shared" si="111"/>
        <v>Mala511467</v>
      </c>
      <c r="B1468">
        <v>1467</v>
      </c>
      <c r="C1468">
        <v>1</v>
      </c>
      <c r="D1468">
        <v>12</v>
      </c>
      <c r="E1468">
        <v>2022</v>
      </c>
      <c r="F1468" s="1">
        <f t="shared" si="112"/>
        <v>44896</v>
      </c>
      <c r="G1468" s="1" t="s">
        <v>239</v>
      </c>
      <c r="H1468" s="2">
        <v>45944</v>
      </c>
      <c r="I1468" t="s">
        <v>26</v>
      </c>
      <c r="J1468">
        <v>9</v>
      </c>
      <c r="K1468">
        <v>27253</v>
      </c>
      <c r="L1468" t="s">
        <v>542</v>
      </c>
      <c r="M1468">
        <v>51</v>
      </c>
      <c r="N1468" t="s">
        <v>61</v>
      </c>
      <c r="O1468" s="3" t="s">
        <v>22</v>
      </c>
      <c r="P1468" t="s">
        <v>29</v>
      </c>
      <c r="Q1468" t="s">
        <v>24</v>
      </c>
      <c r="R1468">
        <v>5</v>
      </c>
      <c r="S1468" t="s">
        <v>67</v>
      </c>
      <c r="T1468" s="4">
        <f t="shared" si="113"/>
        <v>245277</v>
      </c>
      <c r="U1468" s="4" t="str">
        <f t="shared" si="114"/>
        <v>Good</v>
      </c>
      <c r="V1468" s="4" t="str">
        <f t="shared" si="115"/>
        <v>Excellent</v>
      </c>
      <c r="W1468" s="4"/>
      <c r="X1468" s="4"/>
      <c r="AJ1468" s="4"/>
    </row>
    <row r="1469" spans="1:36">
      <c r="A1469" t="str">
        <f t="shared" si="111"/>
        <v>Pank321468</v>
      </c>
      <c r="B1469">
        <v>1468</v>
      </c>
      <c r="C1469">
        <v>1</v>
      </c>
      <c r="D1469">
        <v>12</v>
      </c>
      <c r="E1469">
        <v>2022</v>
      </c>
      <c r="F1469" s="1">
        <f t="shared" si="112"/>
        <v>44896</v>
      </c>
      <c r="G1469" s="1" t="s">
        <v>239</v>
      </c>
      <c r="H1469" s="2">
        <v>45945</v>
      </c>
      <c r="I1469" t="s">
        <v>26</v>
      </c>
      <c r="J1469">
        <v>5</v>
      </c>
      <c r="K1469">
        <v>29985.23</v>
      </c>
      <c r="L1469" t="s">
        <v>186</v>
      </c>
      <c r="M1469">
        <v>32</v>
      </c>
      <c r="N1469" t="s">
        <v>21</v>
      </c>
      <c r="O1469" s="3" t="s">
        <v>28</v>
      </c>
      <c r="P1469" t="s">
        <v>33</v>
      </c>
      <c r="Q1469" t="s">
        <v>30</v>
      </c>
      <c r="R1469">
        <v>3</v>
      </c>
      <c r="S1469" t="s">
        <v>67</v>
      </c>
      <c r="T1469" s="4">
        <f t="shared" si="113"/>
        <v>149926.15</v>
      </c>
      <c r="U1469" s="4" t="str">
        <f t="shared" si="114"/>
        <v>Average</v>
      </c>
      <c r="V1469" s="4" t="str">
        <f t="shared" si="115"/>
        <v>Good</v>
      </c>
      <c r="W1469" s="4"/>
      <c r="X1469" s="4"/>
      <c r="AJ1469" s="4"/>
    </row>
    <row r="1470" spans="1:36">
      <c r="A1470" t="str">
        <f t="shared" si="111"/>
        <v>Sneh271469</v>
      </c>
      <c r="B1470">
        <v>1469</v>
      </c>
      <c r="C1470">
        <v>1</v>
      </c>
      <c r="D1470">
        <v>12</v>
      </c>
      <c r="E1470">
        <v>2022</v>
      </c>
      <c r="F1470" s="1">
        <f t="shared" si="112"/>
        <v>44896</v>
      </c>
      <c r="G1470" s="1" t="s">
        <v>239</v>
      </c>
      <c r="H1470" s="2">
        <v>45946</v>
      </c>
      <c r="I1470" t="s">
        <v>49</v>
      </c>
      <c r="J1470">
        <v>7</v>
      </c>
      <c r="K1470">
        <v>35592.74</v>
      </c>
      <c r="L1470" t="s">
        <v>27</v>
      </c>
      <c r="M1470">
        <v>27</v>
      </c>
      <c r="N1470" t="s">
        <v>36</v>
      </c>
      <c r="O1470" s="3" t="s">
        <v>55</v>
      </c>
      <c r="P1470" t="s">
        <v>70</v>
      </c>
      <c r="Q1470" t="s">
        <v>41</v>
      </c>
      <c r="R1470">
        <v>1</v>
      </c>
      <c r="S1470" t="s">
        <v>88</v>
      </c>
      <c r="T1470" s="4">
        <f t="shared" si="113"/>
        <v>249149.18</v>
      </c>
      <c r="U1470" s="4" t="str">
        <f t="shared" si="114"/>
        <v>Average</v>
      </c>
      <c r="V1470" s="4" t="str">
        <f t="shared" si="115"/>
        <v>Excellent</v>
      </c>
      <c r="W1470" s="4"/>
      <c r="X1470" s="4"/>
      <c r="AJ1470" s="4"/>
    </row>
    <row r="1471" spans="1:36">
      <c r="A1471" t="str">
        <f t="shared" si="111"/>
        <v>Sanj551470</v>
      </c>
      <c r="B1471">
        <v>1470</v>
      </c>
      <c r="C1471">
        <v>1</v>
      </c>
      <c r="D1471">
        <v>12</v>
      </c>
      <c r="E1471">
        <v>2022</v>
      </c>
      <c r="F1471" s="1">
        <f t="shared" si="112"/>
        <v>44896</v>
      </c>
      <c r="G1471" s="1" t="s">
        <v>239</v>
      </c>
      <c r="H1471" s="2">
        <v>45947</v>
      </c>
      <c r="I1471" t="s">
        <v>26</v>
      </c>
      <c r="J1471">
        <v>3</v>
      </c>
      <c r="K1471">
        <v>18357.8</v>
      </c>
      <c r="L1471" t="s">
        <v>864</v>
      </c>
      <c r="M1471">
        <v>55</v>
      </c>
      <c r="N1471" t="s">
        <v>61</v>
      </c>
      <c r="O1471" s="3" t="s">
        <v>22</v>
      </c>
      <c r="P1471" t="s">
        <v>29</v>
      </c>
      <c r="Q1471" t="s">
        <v>56</v>
      </c>
      <c r="R1471">
        <v>5</v>
      </c>
      <c r="S1471" t="s">
        <v>31</v>
      </c>
      <c r="T1471" s="4">
        <f t="shared" si="113"/>
        <v>55073.399999999994</v>
      </c>
      <c r="U1471" s="4" t="str">
        <f t="shared" si="114"/>
        <v>Good</v>
      </c>
      <c r="V1471" s="4" t="str">
        <f t="shared" si="115"/>
        <v>Average</v>
      </c>
      <c r="W1471" s="4"/>
      <c r="X1471" s="4"/>
      <c r="AJ1471" s="4"/>
    </row>
    <row r="1472" spans="1:36">
      <c r="A1472" t="str">
        <f t="shared" si="111"/>
        <v>Umes491471</v>
      </c>
      <c r="B1472">
        <v>1471</v>
      </c>
      <c r="C1472">
        <v>2</v>
      </c>
      <c r="D1472">
        <v>12</v>
      </c>
      <c r="E1472">
        <v>2022</v>
      </c>
      <c r="F1472" s="1">
        <f t="shared" si="112"/>
        <v>44897</v>
      </c>
      <c r="G1472" s="1" t="s">
        <v>239</v>
      </c>
      <c r="H1472" s="2">
        <v>45948</v>
      </c>
      <c r="I1472" t="s">
        <v>19</v>
      </c>
      <c r="J1472">
        <v>4</v>
      </c>
      <c r="K1472">
        <v>11336.35</v>
      </c>
      <c r="L1472" t="s">
        <v>253</v>
      </c>
      <c r="M1472">
        <v>49</v>
      </c>
      <c r="N1472" t="s">
        <v>61</v>
      </c>
      <c r="O1472" s="3" t="s">
        <v>22</v>
      </c>
      <c r="P1472" t="s">
        <v>51</v>
      </c>
      <c r="Q1472" t="s">
        <v>24</v>
      </c>
      <c r="R1472">
        <v>5</v>
      </c>
      <c r="S1472" t="s">
        <v>84</v>
      </c>
      <c r="T1472" s="4">
        <f t="shared" si="113"/>
        <v>45345.4</v>
      </c>
      <c r="U1472" s="4" t="str">
        <f t="shared" si="114"/>
        <v>Good</v>
      </c>
      <c r="V1472" s="4" t="str">
        <f t="shared" si="115"/>
        <v>Low</v>
      </c>
      <c r="W1472" s="4"/>
      <c r="X1472" s="4"/>
      <c r="AJ1472" s="4"/>
    </row>
    <row r="1473" spans="1:36">
      <c r="A1473" t="str">
        <f t="shared" si="111"/>
        <v>Bina481472</v>
      </c>
      <c r="B1473">
        <v>1472</v>
      </c>
      <c r="C1473">
        <v>2</v>
      </c>
      <c r="D1473">
        <v>12</v>
      </c>
      <c r="E1473">
        <v>2022</v>
      </c>
      <c r="F1473" s="1">
        <f t="shared" si="112"/>
        <v>44897</v>
      </c>
      <c r="G1473" s="1" t="s">
        <v>239</v>
      </c>
      <c r="H1473" s="2">
        <v>45949</v>
      </c>
      <c r="I1473" t="s">
        <v>19</v>
      </c>
      <c r="J1473">
        <v>9</v>
      </c>
      <c r="K1473">
        <v>62147.3</v>
      </c>
      <c r="L1473" t="s">
        <v>819</v>
      </c>
      <c r="M1473">
        <v>48</v>
      </c>
      <c r="N1473" t="s">
        <v>61</v>
      </c>
      <c r="O1473" s="3" t="s">
        <v>28</v>
      </c>
      <c r="P1473" t="s">
        <v>114</v>
      </c>
      <c r="Q1473" t="s">
        <v>24</v>
      </c>
      <c r="R1473">
        <v>3</v>
      </c>
      <c r="S1473" t="s">
        <v>37</v>
      </c>
      <c r="T1473" s="4">
        <f t="shared" si="113"/>
        <v>559325.70000000007</v>
      </c>
      <c r="U1473" s="4" t="str">
        <f t="shared" si="114"/>
        <v>Average</v>
      </c>
      <c r="V1473" s="4" t="str">
        <f t="shared" si="115"/>
        <v>Excellent</v>
      </c>
      <c r="W1473" s="4"/>
      <c r="X1473" s="4"/>
      <c r="AJ1473" s="4"/>
    </row>
    <row r="1474" spans="1:36">
      <c r="A1474" t="str">
        <f t="shared" ref="A1474:A1537" si="116">LEFT(L1474,4)&amp;M1474&amp;B1474</f>
        <v>Nami541473</v>
      </c>
      <c r="B1474">
        <v>1473</v>
      </c>
      <c r="C1474">
        <v>2</v>
      </c>
      <c r="D1474">
        <v>12</v>
      </c>
      <c r="E1474">
        <v>2022</v>
      </c>
      <c r="F1474" s="1">
        <f t="shared" si="112"/>
        <v>44897</v>
      </c>
      <c r="G1474" s="1" t="s">
        <v>239</v>
      </c>
      <c r="H1474" s="2">
        <v>45950</v>
      </c>
      <c r="I1474" t="s">
        <v>43</v>
      </c>
      <c r="J1474">
        <v>1</v>
      </c>
      <c r="K1474">
        <v>43247.72</v>
      </c>
      <c r="L1474" t="s">
        <v>727</v>
      </c>
      <c r="M1474">
        <v>54</v>
      </c>
      <c r="N1474" t="s">
        <v>61</v>
      </c>
      <c r="O1474" s="3" t="s">
        <v>22</v>
      </c>
      <c r="P1474" t="s">
        <v>29</v>
      </c>
      <c r="Q1474" t="s">
        <v>56</v>
      </c>
      <c r="R1474">
        <v>5</v>
      </c>
      <c r="S1474" t="s">
        <v>46</v>
      </c>
      <c r="T1474" s="4">
        <f t="shared" si="113"/>
        <v>43247.72</v>
      </c>
      <c r="U1474" s="4" t="str">
        <f t="shared" si="114"/>
        <v>Good</v>
      </c>
      <c r="V1474" s="4" t="str">
        <f t="shared" si="115"/>
        <v>Low</v>
      </c>
      <c r="W1474" s="4"/>
      <c r="X1474" s="4"/>
      <c r="AJ1474" s="4"/>
    </row>
    <row r="1475" spans="1:36">
      <c r="A1475" t="str">
        <f t="shared" si="116"/>
        <v>Priy451474</v>
      </c>
      <c r="B1475">
        <v>1474</v>
      </c>
      <c r="C1475">
        <v>2</v>
      </c>
      <c r="D1475">
        <v>12</v>
      </c>
      <c r="E1475">
        <v>2022</v>
      </c>
      <c r="F1475" s="1">
        <f t="shared" ref="F1475:F1538" si="117">DATE(E1475,D1475,C1475)</f>
        <v>44897</v>
      </c>
      <c r="G1475" s="1" t="s">
        <v>239</v>
      </c>
      <c r="H1475" s="2">
        <v>45951</v>
      </c>
      <c r="I1475" t="s">
        <v>19</v>
      </c>
      <c r="J1475">
        <v>2</v>
      </c>
      <c r="K1475">
        <v>46523.38</v>
      </c>
      <c r="L1475" t="s">
        <v>349</v>
      </c>
      <c r="M1475">
        <v>45</v>
      </c>
      <c r="N1475" t="s">
        <v>21</v>
      </c>
      <c r="O1475" s="3" t="s">
        <v>55</v>
      </c>
      <c r="P1475" t="s">
        <v>90</v>
      </c>
      <c r="Q1475" t="s">
        <v>24</v>
      </c>
      <c r="R1475">
        <v>1</v>
      </c>
      <c r="S1475" t="s">
        <v>37</v>
      </c>
      <c r="T1475" s="4">
        <f t="shared" ref="T1475:T1538" si="118">J1475*K1475</f>
        <v>93046.76</v>
      </c>
      <c r="U1475" s="4" t="str">
        <f t="shared" ref="U1475:U1538" si="119">IF(R1475&gt;=4,"Good","Average")</f>
        <v>Average</v>
      </c>
      <c r="V1475" s="4" t="str">
        <f t="shared" ref="V1475:V1538" si="120">IF(T1475&gt;200000,"Excellent",IF(T1475&gt;100000,"Good",IF(T1475&gt;50000,"Average","Low")))</f>
        <v>Average</v>
      </c>
      <c r="W1475" s="4"/>
      <c r="X1475" s="4"/>
      <c r="AJ1475" s="4"/>
    </row>
    <row r="1476" spans="1:36">
      <c r="A1476" t="str">
        <f t="shared" si="116"/>
        <v>Mala481475</v>
      </c>
      <c r="B1476">
        <v>1475</v>
      </c>
      <c r="C1476">
        <v>3</v>
      </c>
      <c r="D1476">
        <v>12</v>
      </c>
      <c r="E1476">
        <v>2022</v>
      </c>
      <c r="F1476" s="1">
        <f t="shared" si="117"/>
        <v>44898</v>
      </c>
      <c r="G1476" s="1" t="s">
        <v>239</v>
      </c>
      <c r="H1476" s="2">
        <v>45952</v>
      </c>
      <c r="I1476" t="s">
        <v>26</v>
      </c>
      <c r="J1476">
        <v>5</v>
      </c>
      <c r="K1476">
        <v>65619.31</v>
      </c>
      <c r="L1476" t="s">
        <v>794</v>
      </c>
      <c r="M1476">
        <v>48</v>
      </c>
      <c r="N1476" t="s">
        <v>61</v>
      </c>
      <c r="O1476" s="3" t="s">
        <v>55</v>
      </c>
      <c r="P1476" t="s">
        <v>29</v>
      </c>
      <c r="Q1476" t="s">
        <v>24</v>
      </c>
      <c r="R1476">
        <v>1</v>
      </c>
      <c r="S1476" t="s">
        <v>31</v>
      </c>
      <c r="T1476" s="4">
        <f t="shared" si="118"/>
        <v>328096.55</v>
      </c>
      <c r="U1476" s="4" t="str">
        <f t="shared" si="119"/>
        <v>Average</v>
      </c>
      <c r="V1476" s="4" t="str">
        <f t="shared" si="120"/>
        <v>Excellent</v>
      </c>
      <c r="W1476" s="4"/>
      <c r="X1476" s="4"/>
      <c r="AJ1476" s="4"/>
    </row>
    <row r="1477" spans="1:36">
      <c r="A1477" t="str">
        <f t="shared" si="116"/>
        <v>Moni231476</v>
      </c>
      <c r="B1477">
        <v>1476</v>
      </c>
      <c r="C1477">
        <v>3</v>
      </c>
      <c r="D1477">
        <v>12</v>
      </c>
      <c r="E1477">
        <v>2022</v>
      </c>
      <c r="F1477" s="1">
        <f t="shared" si="117"/>
        <v>44898</v>
      </c>
      <c r="G1477" s="1" t="s">
        <v>239</v>
      </c>
      <c r="H1477" s="2">
        <v>45953</v>
      </c>
      <c r="I1477" t="s">
        <v>19</v>
      </c>
      <c r="J1477">
        <v>3</v>
      </c>
      <c r="K1477">
        <v>49907.21</v>
      </c>
      <c r="L1477" t="s">
        <v>865</v>
      </c>
      <c r="M1477">
        <v>23</v>
      </c>
      <c r="N1477" t="s">
        <v>36</v>
      </c>
      <c r="O1477" s="3" t="s">
        <v>22</v>
      </c>
      <c r="P1477" t="s">
        <v>59</v>
      </c>
      <c r="Q1477" t="s">
        <v>56</v>
      </c>
      <c r="R1477">
        <v>5</v>
      </c>
      <c r="S1477" t="s">
        <v>25</v>
      </c>
      <c r="T1477" s="4">
        <f t="shared" si="118"/>
        <v>149721.63</v>
      </c>
      <c r="U1477" s="4" t="str">
        <f t="shared" si="119"/>
        <v>Good</v>
      </c>
      <c r="V1477" s="4" t="str">
        <f t="shared" si="120"/>
        <v>Good</v>
      </c>
      <c r="W1477" s="4"/>
      <c r="X1477" s="4"/>
      <c r="AJ1477" s="4"/>
    </row>
    <row r="1478" spans="1:36">
      <c r="A1478" t="str">
        <f t="shared" si="116"/>
        <v>Adit311477</v>
      </c>
      <c r="B1478">
        <v>1477</v>
      </c>
      <c r="C1478">
        <v>3</v>
      </c>
      <c r="D1478">
        <v>12</v>
      </c>
      <c r="E1478">
        <v>2022</v>
      </c>
      <c r="F1478" s="1">
        <f t="shared" si="117"/>
        <v>44898</v>
      </c>
      <c r="G1478" s="1" t="s">
        <v>239</v>
      </c>
      <c r="H1478" s="2">
        <v>45954</v>
      </c>
      <c r="I1478" t="s">
        <v>49</v>
      </c>
      <c r="J1478">
        <v>2</v>
      </c>
      <c r="K1478">
        <v>51451.21</v>
      </c>
      <c r="L1478" t="s">
        <v>299</v>
      </c>
      <c r="M1478">
        <v>31</v>
      </c>
      <c r="N1478" t="s">
        <v>21</v>
      </c>
      <c r="O1478" s="3" t="s">
        <v>22</v>
      </c>
      <c r="P1478" t="s">
        <v>33</v>
      </c>
      <c r="Q1478" t="s">
        <v>30</v>
      </c>
      <c r="R1478">
        <v>4</v>
      </c>
      <c r="S1478" t="s">
        <v>88</v>
      </c>
      <c r="T1478" s="4">
        <f t="shared" si="118"/>
        <v>102902.42</v>
      </c>
      <c r="U1478" s="4" t="str">
        <f t="shared" si="119"/>
        <v>Good</v>
      </c>
      <c r="V1478" s="4" t="str">
        <f t="shared" si="120"/>
        <v>Good</v>
      </c>
      <c r="W1478" s="4"/>
      <c r="X1478" s="4"/>
      <c r="AJ1478" s="4"/>
    </row>
    <row r="1479" spans="1:36">
      <c r="A1479" t="str">
        <f t="shared" si="116"/>
        <v>Tapa401478</v>
      </c>
      <c r="B1479">
        <v>1478</v>
      </c>
      <c r="C1479">
        <v>3</v>
      </c>
      <c r="D1479">
        <v>12</v>
      </c>
      <c r="E1479">
        <v>2022</v>
      </c>
      <c r="F1479" s="1">
        <f t="shared" si="117"/>
        <v>44898</v>
      </c>
      <c r="G1479" s="1" t="s">
        <v>239</v>
      </c>
      <c r="H1479" s="2">
        <v>45955</v>
      </c>
      <c r="I1479" t="s">
        <v>43</v>
      </c>
      <c r="J1479">
        <v>1</v>
      </c>
      <c r="K1479">
        <v>57218.12</v>
      </c>
      <c r="L1479" t="s">
        <v>376</v>
      </c>
      <c r="M1479">
        <v>40</v>
      </c>
      <c r="N1479" t="s">
        <v>21</v>
      </c>
      <c r="O1479" s="3" t="s">
        <v>22</v>
      </c>
      <c r="P1479" t="s">
        <v>117</v>
      </c>
      <c r="Q1479" t="s">
        <v>41</v>
      </c>
      <c r="R1479">
        <v>5</v>
      </c>
      <c r="S1479" t="s">
        <v>46</v>
      </c>
      <c r="T1479" s="4">
        <f t="shared" si="118"/>
        <v>57218.12</v>
      </c>
      <c r="U1479" s="4" t="str">
        <f t="shared" si="119"/>
        <v>Good</v>
      </c>
      <c r="V1479" s="4" t="str">
        <f t="shared" si="120"/>
        <v>Average</v>
      </c>
      <c r="W1479" s="4"/>
      <c r="X1479" s="4"/>
      <c r="AJ1479" s="4"/>
    </row>
    <row r="1480" spans="1:36">
      <c r="A1480" t="str">
        <f t="shared" si="116"/>
        <v>Navi331479</v>
      </c>
      <c r="B1480">
        <v>1479</v>
      </c>
      <c r="C1480">
        <v>4</v>
      </c>
      <c r="D1480">
        <v>12</v>
      </c>
      <c r="E1480">
        <v>2022</v>
      </c>
      <c r="F1480" s="1">
        <f t="shared" si="117"/>
        <v>44899</v>
      </c>
      <c r="G1480" s="1" t="s">
        <v>239</v>
      </c>
      <c r="H1480" s="2">
        <v>45956</v>
      </c>
      <c r="I1480" t="s">
        <v>26</v>
      </c>
      <c r="J1480">
        <v>3</v>
      </c>
      <c r="K1480">
        <v>16980.91</v>
      </c>
      <c r="L1480" t="s">
        <v>608</v>
      </c>
      <c r="M1480">
        <v>33</v>
      </c>
      <c r="N1480" t="s">
        <v>21</v>
      </c>
      <c r="O1480" s="3" t="s">
        <v>28</v>
      </c>
      <c r="P1480" t="s">
        <v>29</v>
      </c>
      <c r="Q1480" t="s">
        <v>41</v>
      </c>
      <c r="R1480">
        <v>3</v>
      </c>
      <c r="S1480" t="s">
        <v>67</v>
      </c>
      <c r="T1480" s="4">
        <f t="shared" si="118"/>
        <v>50942.729999999996</v>
      </c>
      <c r="U1480" s="4" t="str">
        <f t="shared" si="119"/>
        <v>Average</v>
      </c>
      <c r="V1480" s="4" t="str">
        <f t="shared" si="120"/>
        <v>Average</v>
      </c>
      <c r="W1480" s="4"/>
      <c r="X1480" s="4"/>
      <c r="AJ1480" s="4"/>
    </row>
    <row r="1481" spans="1:36">
      <c r="A1481" t="str">
        <f t="shared" si="116"/>
        <v>Sach421480</v>
      </c>
      <c r="B1481">
        <v>1480</v>
      </c>
      <c r="C1481">
        <v>4</v>
      </c>
      <c r="D1481">
        <v>12</v>
      </c>
      <c r="E1481">
        <v>2022</v>
      </c>
      <c r="F1481" s="1">
        <f t="shared" si="117"/>
        <v>44899</v>
      </c>
      <c r="G1481" s="1" t="s">
        <v>239</v>
      </c>
      <c r="H1481" s="2">
        <v>45957</v>
      </c>
      <c r="I1481" t="s">
        <v>43</v>
      </c>
      <c r="J1481">
        <v>1</v>
      </c>
      <c r="K1481">
        <v>31609.73</v>
      </c>
      <c r="L1481" t="s">
        <v>866</v>
      </c>
      <c r="M1481">
        <v>42</v>
      </c>
      <c r="N1481" t="s">
        <v>21</v>
      </c>
      <c r="O1481" s="3" t="s">
        <v>22</v>
      </c>
      <c r="P1481" t="s">
        <v>137</v>
      </c>
      <c r="Q1481" t="s">
        <v>41</v>
      </c>
      <c r="R1481">
        <v>5</v>
      </c>
      <c r="S1481" t="s">
        <v>46</v>
      </c>
      <c r="T1481" s="4">
        <f t="shared" si="118"/>
        <v>31609.73</v>
      </c>
      <c r="U1481" s="4" t="str">
        <f t="shared" si="119"/>
        <v>Good</v>
      </c>
      <c r="V1481" s="4" t="str">
        <f t="shared" si="120"/>
        <v>Low</v>
      </c>
      <c r="W1481" s="4"/>
      <c r="X1481" s="4"/>
      <c r="AJ1481" s="4"/>
    </row>
    <row r="1482" spans="1:36">
      <c r="A1482" t="str">
        <f t="shared" si="116"/>
        <v>Anja561481</v>
      </c>
      <c r="B1482">
        <v>1481</v>
      </c>
      <c r="C1482">
        <v>4</v>
      </c>
      <c r="D1482">
        <v>12</v>
      </c>
      <c r="E1482">
        <v>2022</v>
      </c>
      <c r="F1482" s="1">
        <f t="shared" si="117"/>
        <v>44899</v>
      </c>
      <c r="G1482" s="1" t="s">
        <v>239</v>
      </c>
      <c r="H1482" s="2">
        <v>45958</v>
      </c>
      <c r="I1482" t="s">
        <v>26</v>
      </c>
      <c r="J1482">
        <v>1</v>
      </c>
      <c r="K1482">
        <v>68092.479999999996</v>
      </c>
      <c r="L1482" t="s">
        <v>202</v>
      </c>
      <c r="M1482">
        <v>56</v>
      </c>
      <c r="N1482" t="s">
        <v>61</v>
      </c>
      <c r="O1482" s="3" t="s">
        <v>28</v>
      </c>
      <c r="P1482" t="s">
        <v>90</v>
      </c>
      <c r="Q1482" t="s">
        <v>41</v>
      </c>
      <c r="R1482">
        <v>3</v>
      </c>
      <c r="S1482" t="s">
        <v>31</v>
      </c>
      <c r="T1482" s="4">
        <f t="shared" si="118"/>
        <v>68092.479999999996</v>
      </c>
      <c r="U1482" s="4" t="str">
        <f t="shared" si="119"/>
        <v>Average</v>
      </c>
      <c r="V1482" s="4" t="str">
        <f t="shared" si="120"/>
        <v>Average</v>
      </c>
      <c r="W1482" s="4"/>
      <c r="X1482" s="4"/>
      <c r="AJ1482" s="4"/>
    </row>
    <row r="1483" spans="1:36">
      <c r="A1483" t="str">
        <f t="shared" si="116"/>
        <v>Kira191482</v>
      </c>
      <c r="B1483">
        <v>1482</v>
      </c>
      <c r="C1483">
        <v>4</v>
      </c>
      <c r="D1483">
        <v>12</v>
      </c>
      <c r="E1483">
        <v>2022</v>
      </c>
      <c r="F1483" s="1">
        <f t="shared" si="117"/>
        <v>44899</v>
      </c>
      <c r="G1483" s="1" t="s">
        <v>239</v>
      </c>
      <c r="H1483" s="2">
        <v>45959</v>
      </c>
      <c r="I1483" t="s">
        <v>49</v>
      </c>
      <c r="J1483">
        <v>1</v>
      </c>
      <c r="K1483">
        <v>65375.8</v>
      </c>
      <c r="L1483" t="s">
        <v>501</v>
      </c>
      <c r="M1483">
        <v>19</v>
      </c>
      <c r="N1483" t="s">
        <v>36</v>
      </c>
      <c r="O1483" s="3" t="s">
        <v>22</v>
      </c>
      <c r="P1483" t="s">
        <v>70</v>
      </c>
      <c r="Q1483" t="s">
        <v>41</v>
      </c>
      <c r="R1483">
        <v>4</v>
      </c>
      <c r="S1483" t="s">
        <v>52</v>
      </c>
      <c r="T1483" s="4">
        <f t="shared" si="118"/>
        <v>65375.8</v>
      </c>
      <c r="U1483" s="4" t="str">
        <f t="shared" si="119"/>
        <v>Good</v>
      </c>
      <c r="V1483" s="4" t="str">
        <f t="shared" si="120"/>
        <v>Average</v>
      </c>
      <c r="W1483" s="4"/>
      <c r="X1483" s="4"/>
      <c r="AJ1483" s="4"/>
    </row>
    <row r="1484" spans="1:36">
      <c r="A1484" t="str">
        <f t="shared" si="116"/>
        <v>Umes551483</v>
      </c>
      <c r="B1484">
        <v>1483</v>
      </c>
      <c r="C1484">
        <v>5</v>
      </c>
      <c r="D1484">
        <v>12</v>
      </c>
      <c r="E1484">
        <v>2022</v>
      </c>
      <c r="F1484" s="1">
        <f t="shared" si="117"/>
        <v>44900</v>
      </c>
      <c r="G1484" s="1" t="s">
        <v>239</v>
      </c>
      <c r="H1484" s="2">
        <v>45960</v>
      </c>
      <c r="I1484" t="s">
        <v>43</v>
      </c>
      <c r="J1484">
        <v>8</v>
      </c>
      <c r="K1484">
        <v>63044.52</v>
      </c>
      <c r="L1484" t="s">
        <v>253</v>
      </c>
      <c r="M1484">
        <v>55</v>
      </c>
      <c r="N1484" t="s">
        <v>61</v>
      </c>
      <c r="O1484" s="3" t="s">
        <v>22</v>
      </c>
      <c r="P1484" t="s">
        <v>77</v>
      </c>
      <c r="Q1484" t="s">
        <v>41</v>
      </c>
      <c r="R1484">
        <v>5</v>
      </c>
      <c r="S1484" t="s">
        <v>95</v>
      </c>
      <c r="T1484" s="4">
        <f t="shared" si="118"/>
        <v>504356.16</v>
      </c>
      <c r="U1484" s="4" t="str">
        <f t="shared" si="119"/>
        <v>Good</v>
      </c>
      <c r="V1484" s="4" t="str">
        <f t="shared" si="120"/>
        <v>Excellent</v>
      </c>
      <c r="W1484" s="4"/>
      <c r="X1484" s="4"/>
      <c r="AJ1484" s="4"/>
    </row>
    <row r="1485" spans="1:36">
      <c r="A1485" t="str">
        <f t="shared" si="116"/>
        <v>Ravi581484</v>
      </c>
      <c r="B1485">
        <v>1484</v>
      </c>
      <c r="C1485">
        <v>5</v>
      </c>
      <c r="D1485">
        <v>12</v>
      </c>
      <c r="E1485">
        <v>2022</v>
      </c>
      <c r="F1485" s="1">
        <f t="shared" si="117"/>
        <v>44900</v>
      </c>
      <c r="G1485" s="1" t="s">
        <v>239</v>
      </c>
      <c r="H1485" s="2">
        <v>45961</v>
      </c>
      <c r="I1485" t="s">
        <v>38</v>
      </c>
      <c r="J1485">
        <v>3</v>
      </c>
      <c r="K1485">
        <v>37125.31</v>
      </c>
      <c r="L1485" t="s">
        <v>598</v>
      </c>
      <c r="M1485">
        <v>58</v>
      </c>
      <c r="N1485" t="s">
        <v>61</v>
      </c>
      <c r="O1485" s="3" t="s">
        <v>55</v>
      </c>
      <c r="P1485" t="s">
        <v>33</v>
      </c>
      <c r="Q1485" t="s">
        <v>24</v>
      </c>
      <c r="R1485">
        <v>1</v>
      </c>
      <c r="S1485" t="s">
        <v>99</v>
      </c>
      <c r="T1485" s="4">
        <f t="shared" si="118"/>
        <v>111375.93</v>
      </c>
      <c r="U1485" s="4" t="str">
        <f t="shared" si="119"/>
        <v>Average</v>
      </c>
      <c r="V1485" s="4" t="str">
        <f t="shared" si="120"/>
        <v>Good</v>
      </c>
      <c r="W1485" s="4"/>
      <c r="X1485" s="4"/>
      <c r="AJ1485" s="4"/>
    </row>
    <row r="1486" spans="1:36">
      <c r="A1486" t="str">
        <f t="shared" si="116"/>
        <v>Umes561485</v>
      </c>
      <c r="B1486">
        <v>1485</v>
      </c>
      <c r="C1486">
        <v>5</v>
      </c>
      <c r="D1486">
        <v>12</v>
      </c>
      <c r="E1486">
        <v>2022</v>
      </c>
      <c r="F1486" s="1">
        <f t="shared" si="117"/>
        <v>44900</v>
      </c>
      <c r="G1486" s="1" t="s">
        <v>239</v>
      </c>
      <c r="H1486" s="2">
        <v>45962</v>
      </c>
      <c r="I1486" t="s">
        <v>26</v>
      </c>
      <c r="J1486">
        <v>1</v>
      </c>
      <c r="K1486">
        <v>61431.58</v>
      </c>
      <c r="L1486" t="s">
        <v>802</v>
      </c>
      <c r="M1486">
        <v>56</v>
      </c>
      <c r="N1486" t="s">
        <v>61</v>
      </c>
      <c r="O1486" s="3" t="s">
        <v>28</v>
      </c>
      <c r="P1486" t="s">
        <v>29</v>
      </c>
      <c r="Q1486" t="s">
        <v>41</v>
      </c>
      <c r="R1486">
        <v>3</v>
      </c>
      <c r="S1486" t="s">
        <v>34</v>
      </c>
      <c r="T1486" s="4">
        <f t="shared" si="118"/>
        <v>61431.58</v>
      </c>
      <c r="U1486" s="4" t="str">
        <f t="shared" si="119"/>
        <v>Average</v>
      </c>
      <c r="V1486" s="4" t="str">
        <f t="shared" si="120"/>
        <v>Average</v>
      </c>
      <c r="W1486" s="4"/>
      <c r="X1486" s="4"/>
      <c r="AJ1486" s="4"/>
    </row>
    <row r="1487" spans="1:36">
      <c r="A1487" t="str">
        <f t="shared" si="116"/>
        <v>Pank511486</v>
      </c>
      <c r="B1487">
        <v>1486</v>
      </c>
      <c r="C1487">
        <v>5</v>
      </c>
      <c r="D1487">
        <v>12</v>
      </c>
      <c r="E1487">
        <v>2022</v>
      </c>
      <c r="F1487" s="1">
        <f t="shared" si="117"/>
        <v>44900</v>
      </c>
      <c r="G1487" s="1" t="s">
        <v>239</v>
      </c>
      <c r="H1487" s="2">
        <v>45963</v>
      </c>
      <c r="I1487" t="s">
        <v>38</v>
      </c>
      <c r="J1487">
        <v>7</v>
      </c>
      <c r="K1487">
        <v>12903.75</v>
      </c>
      <c r="L1487" t="s">
        <v>94</v>
      </c>
      <c r="M1487">
        <v>51</v>
      </c>
      <c r="N1487" t="s">
        <v>61</v>
      </c>
      <c r="O1487" s="3" t="s">
        <v>28</v>
      </c>
      <c r="P1487" t="s">
        <v>33</v>
      </c>
      <c r="Q1487" t="s">
        <v>24</v>
      </c>
      <c r="R1487">
        <v>3</v>
      </c>
      <c r="S1487" t="s">
        <v>42</v>
      </c>
      <c r="T1487" s="4">
        <f t="shared" si="118"/>
        <v>90326.25</v>
      </c>
      <c r="U1487" s="4" t="str">
        <f t="shared" si="119"/>
        <v>Average</v>
      </c>
      <c r="V1487" s="4" t="str">
        <f t="shared" si="120"/>
        <v>Average</v>
      </c>
      <c r="W1487" s="4"/>
      <c r="X1487" s="4"/>
      <c r="AJ1487" s="4"/>
    </row>
    <row r="1488" spans="1:36">
      <c r="A1488" t="str">
        <f t="shared" si="116"/>
        <v>Vija571487</v>
      </c>
      <c r="B1488">
        <v>1487</v>
      </c>
      <c r="C1488">
        <v>6</v>
      </c>
      <c r="D1488">
        <v>12</v>
      </c>
      <c r="E1488">
        <v>2022</v>
      </c>
      <c r="F1488" s="1">
        <f t="shared" si="117"/>
        <v>44901</v>
      </c>
      <c r="G1488" s="1" t="s">
        <v>239</v>
      </c>
      <c r="H1488" s="2">
        <v>45964</v>
      </c>
      <c r="I1488" t="s">
        <v>43</v>
      </c>
      <c r="J1488">
        <v>3</v>
      </c>
      <c r="K1488">
        <v>18911.05</v>
      </c>
      <c r="L1488" t="s">
        <v>867</v>
      </c>
      <c r="M1488">
        <v>57</v>
      </c>
      <c r="N1488" t="s">
        <v>61</v>
      </c>
      <c r="O1488" s="3" t="s">
        <v>55</v>
      </c>
      <c r="P1488" t="s">
        <v>150</v>
      </c>
      <c r="Q1488" t="s">
        <v>56</v>
      </c>
      <c r="R1488">
        <v>1</v>
      </c>
      <c r="S1488" t="s">
        <v>57</v>
      </c>
      <c r="T1488" s="4">
        <f t="shared" si="118"/>
        <v>56733.149999999994</v>
      </c>
      <c r="U1488" s="4" t="str">
        <f t="shared" si="119"/>
        <v>Average</v>
      </c>
      <c r="V1488" s="4" t="str">
        <f t="shared" si="120"/>
        <v>Average</v>
      </c>
      <c r="W1488" s="4"/>
      <c r="X1488" s="4"/>
      <c r="AJ1488" s="4"/>
    </row>
    <row r="1489" spans="1:36">
      <c r="A1489" t="str">
        <f t="shared" si="116"/>
        <v>Jyot421488</v>
      </c>
      <c r="B1489">
        <v>1488</v>
      </c>
      <c r="C1489">
        <v>6</v>
      </c>
      <c r="D1489">
        <v>12</v>
      </c>
      <c r="E1489">
        <v>2022</v>
      </c>
      <c r="F1489" s="1">
        <f t="shared" si="117"/>
        <v>44901</v>
      </c>
      <c r="G1489" s="1" t="s">
        <v>239</v>
      </c>
      <c r="H1489" s="2">
        <v>45965</v>
      </c>
      <c r="I1489" t="s">
        <v>38</v>
      </c>
      <c r="J1489">
        <v>8</v>
      </c>
      <c r="K1489">
        <v>34838.06</v>
      </c>
      <c r="L1489" t="s">
        <v>75</v>
      </c>
      <c r="M1489">
        <v>42</v>
      </c>
      <c r="N1489" t="s">
        <v>21</v>
      </c>
      <c r="O1489" s="3" t="s">
        <v>22</v>
      </c>
      <c r="P1489" t="s">
        <v>29</v>
      </c>
      <c r="Q1489" t="s">
        <v>30</v>
      </c>
      <c r="R1489">
        <v>5</v>
      </c>
      <c r="S1489" t="s">
        <v>99</v>
      </c>
      <c r="T1489" s="4">
        <f t="shared" si="118"/>
        <v>278704.48</v>
      </c>
      <c r="U1489" s="4" t="str">
        <f t="shared" si="119"/>
        <v>Good</v>
      </c>
      <c r="V1489" s="4" t="str">
        <f t="shared" si="120"/>
        <v>Excellent</v>
      </c>
      <c r="W1489" s="4"/>
      <c r="X1489" s="4"/>
      <c r="AJ1489" s="4"/>
    </row>
    <row r="1490" spans="1:36">
      <c r="A1490" t="str">
        <f t="shared" si="116"/>
        <v>Kuna531489</v>
      </c>
      <c r="B1490">
        <v>1489</v>
      </c>
      <c r="C1490">
        <v>6</v>
      </c>
      <c r="D1490">
        <v>12</v>
      </c>
      <c r="E1490">
        <v>2022</v>
      </c>
      <c r="F1490" s="1">
        <f t="shared" si="117"/>
        <v>44901</v>
      </c>
      <c r="G1490" s="1" t="s">
        <v>239</v>
      </c>
      <c r="H1490" s="2">
        <v>45966</v>
      </c>
      <c r="I1490" t="s">
        <v>38</v>
      </c>
      <c r="J1490">
        <v>4</v>
      </c>
      <c r="K1490">
        <v>39003.519999999997</v>
      </c>
      <c r="L1490" t="s">
        <v>275</v>
      </c>
      <c r="M1490">
        <v>53</v>
      </c>
      <c r="N1490" t="s">
        <v>61</v>
      </c>
      <c r="O1490" s="3" t="s">
        <v>22</v>
      </c>
      <c r="P1490" t="s">
        <v>51</v>
      </c>
      <c r="Q1490" t="s">
        <v>24</v>
      </c>
      <c r="R1490">
        <v>4</v>
      </c>
      <c r="S1490" t="s">
        <v>99</v>
      </c>
      <c r="T1490" s="4">
        <f t="shared" si="118"/>
        <v>156014.07999999999</v>
      </c>
      <c r="U1490" s="4" t="str">
        <f t="shared" si="119"/>
        <v>Good</v>
      </c>
      <c r="V1490" s="4" t="str">
        <f t="shared" si="120"/>
        <v>Good</v>
      </c>
      <c r="W1490" s="4"/>
      <c r="X1490" s="4"/>
      <c r="AJ1490" s="4"/>
    </row>
    <row r="1491" spans="1:36">
      <c r="A1491" t="str">
        <f t="shared" si="116"/>
        <v>Shru331490</v>
      </c>
      <c r="B1491">
        <v>1490</v>
      </c>
      <c r="C1491">
        <v>7</v>
      </c>
      <c r="D1491">
        <v>12</v>
      </c>
      <c r="E1491">
        <v>2022</v>
      </c>
      <c r="F1491" s="1">
        <f t="shared" si="117"/>
        <v>44902</v>
      </c>
      <c r="G1491" s="1" t="s">
        <v>239</v>
      </c>
      <c r="H1491" s="2">
        <v>45967</v>
      </c>
      <c r="I1491" t="s">
        <v>43</v>
      </c>
      <c r="J1491">
        <v>4</v>
      </c>
      <c r="K1491">
        <v>25810.43</v>
      </c>
      <c r="L1491" t="s">
        <v>92</v>
      </c>
      <c r="M1491">
        <v>33</v>
      </c>
      <c r="N1491" t="s">
        <v>21</v>
      </c>
      <c r="O1491" s="3" t="s">
        <v>22</v>
      </c>
      <c r="P1491" t="s">
        <v>33</v>
      </c>
      <c r="Q1491" t="s">
        <v>30</v>
      </c>
      <c r="R1491">
        <v>5</v>
      </c>
      <c r="S1491" t="s">
        <v>46</v>
      </c>
      <c r="T1491" s="4">
        <f t="shared" si="118"/>
        <v>103241.72</v>
      </c>
      <c r="U1491" s="4" t="str">
        <f t="shared" si="119"/>
        <v>Good</v>
      </c>
      <c r="V1491" s="4" t="str">
        <f t="shared" si="120"/>
        <v>Good</v>
      </c>
      <c r="W1491" s="4"/>
      <c r="X1491" s="4"/>
      <c r="AJ1491" s="4"/>
    </row>
    <row r="1492" spans="1:36">
      <c r="A1492" t="str">
        <f t="shared" si="116"/>
        <v>Lata351491</v>
      </c>
      <c r="B1492">
        <v>1491</v>
      </c>
      <c r="C1492">
        <v>7</v>
      </c>
      <c r="D1492">
        <v>12</v>
      </c>
      <c r="E1492">
        <v>2022</v>
      </c>
      <c r="F1492" s="1">
        <f t="shared" si="117"/>
        <v>44902</v>
      </c>
      <c r="G1492" s="1" t="s">
        <v>239</v>
      </c>
      <c r="H1492" s="2">
        <v>45968</v>
      </c>
      <c r="I1492" t="s">
        <v>49</v>
      </c>
      <c r="J1492">
        <v>5</v>
      </c>
      <c r="K1492">
        <v>31388.6</v>
      </c>
      <c r="L1492" t="s">
        <v>715</v>
      </c>
      <c r="M1492">
        <v>35</v>
      </c>
      <c r="N1492" t="s">
        <v>21</v>
      </c>
      <c r="O1492" s="3" t="s">
        <v>22</v>
      </c>
      <c r="P1492" t="s">
        <v>23</v>
      </c>
      <c r="Q1492" t="s">
        <v>56</v>
      </c>
      <c r="R1492">
        <v>5</v>
      </c>
      <c r="S1492" t="s">
        <v>102</v>
      </c>
      <c r="T1492" s="4">
        <f t="shared" si="118"/>
        <v>156943</v>
      </c>
      <c r="U1492" s="4" t="str">
        <f t="shared" si="119"/>
        <v>Good</v>
      </c>
      <c r="V1492" s="4" t="str">
        <f t="shared" si="120"/>
        <v>Good</v>
      </c>
      <c r="W1492" s="4"/>
      <c r="X1492" s="4"/>
      <c r="AJ1492" s="4"/>
    </row>
    <row r="1493" spans="1:36">
      <c r="A1493" t="str">
        <f t="shared" si="116"/>
        <v>Navi301492</v>
      </c>
      <c r="B1493">
        <v>1492</v>
      </c>
      <c r="C1493">
        <v>7</v>
      </c>
      <c r="D1493">
        <v>12</v>
      </c>
      <c r="E1493">
        <v>2022</v>
      </c>
      <c r="F1493" s="1">
        <f t="shared" si="117"/>
        <v>44902</v>
      </c>
      <c r="G1493" s="1" t="s">
        <v>239</v>
      </c>
      <c r="H1493" s="2">
        <v>45969</v>
      </c>
      <c r="I1493" t="s">
        <v>38</v>
      </c>
      <c r="J1493">
        <v>6</v>
      </c>
      <c r="K1493">
        <v>19766.57</v>
      </c>
      <c r="L1493" t="s">
        <v>603</v>
      </c>
      <c r="M1493">
        <v>30</v>
      </c>
      <c r="N1493" t="s">
        <v>36</v>
      </c>
      <c r="O1493" s="3" t="s">
        <v>22</v>
      </c>
      <c r="P1493" t="s">
        <v>33</v>
      </c>
      <c r="Q1493" t="s">
        <v>41</v>
      </c>
      <c r="R1493">
        <v>5</v>
      </c>
      <c r="S1493" t="s">
        <v>99</v>
      </c>
      <c r="T1493" s="4">
        <f t="shared" si="118"/>
        <v>118599.42</v>
      </c>
      <c r="U1493" s="4" t="str">
        <f t="shared" si="119"/>
        <v>Good</v>
      </c>
      <c r="V1493" s="4" t="str">
        <f t="shared" si="120"/>
        <v>Good</v>
      </c>
      <c r="W1493" s="4"/>
      <c r="X1493" s="4"/>
      <c r="AJ1493" s="4"/>
    </row>
    <row r="1494" spans="1:36">
      <c r="A1494" t="str">
        <f t="shared" si="116"/>
        <v>Radh541493</v>
      </c>
      <c r="B1494">
        <v>1493</v>
      </c>
      <c r="C1494">
        <v>7</v>
      </c>
      <c r="D1494">
        <v>12</v>
      </c>
      <c r="E1494">
        <v>2022</v>
      </c>
      <c r="F1494" s="1">
        <f t="shared" si="117"/>
        <v>44902</v>
      </c>
      <c r="G1494" s="1" t="s">
        <v>239</v>
      </c>
      <c r="H1494" s="2">
        <v>45970</v>
      </c>
      <c r="I1494" t="s">
        <v>38</v>
      </c>
      <c r="J1494">
        <v>7</v>
      </c>
      <c r="K1494">
        <v>39348.04</v>
      </c>
      <c r="L1494" t="s">
        <v>32</v>
      </c>
      <c r="M1494">
        <v>54</v>
      </c>
      <c r="N1494" t="s">
        <v>61</v>
      </c>
      <c r="O1494" s="3" t="s">
        <v>28</v>
      </c>
      <c r="P1494" t="s">
        <v>23</v>
      </c>
      <c r="Q1494" t="s">
        <v>30</v>
      </c>
      <c r="R1494">
        <v>3</v>
      </c>
      <c r="S1494" t="s">
        <v>99</v>
      </c>
      <c r="T1494" s="4">
        <f t="shared" si="118"/>
        <v>275436.28000000003</v>
      </c>
      <c r="U1494" s="4" t="str">
        <f t="shared" si="119"/>
        <v>Average</v>
      </c>
      <c r="V1494" s="4" t="str">
        <f t="shared" si="120"/>
        <v>Excellent</v>
      </c>
      <c r="W1494" s="4"/>
      <c r="X1494" s="4"/>
      <c r="AJ1494" s="4"/>
    </row>
    <row r="1495" spans="1:36">
      <c r="A1495" t="str">
        <f t="shared" si="116"/>
        <v>Arun441494</v>
      </c>
      <c r="B1495">
        <v>1494</v>
      </c>
      <c r="C1495">
        <v>8</v>
      </c>
      <c r="D1495">
        <v>12</v>
      </c>
      <c r="E1495">
        <v>2022</v>
      </c>
      <c r="F1495" s="1">
        <f t="shared" si="117"/>
        <v>44903</v>
      </c>
      <c r="G1495" s="1" t="s">
        <v>239</v>
      </c>
      <c r="H1495" s="2">
        <v>45971</v>
      </c>
      <c r="I1495" t="s">
        <v>49</v>
      </c>
      <c r="J1495">
        <v>4</v>
      </c>
      <c r="K1495">
        <v>57630.6</v>
      </c>
      <c r="L1495" t="s">
        <v>868</v>
      </c>
      <c r="M1495">
        <v>44</v>
      </c>
      <c r="N1495" t="s">
        <v>21</v>
      </c>
      <c r="O1495" s="3" t="s">
        <v>28</v>
      </c>
      <c r="P1495" t="s">
        <v>77</v>
      </c>
      <c r="Q1495" t="s">
        <v>30</v>
      </c>
      <c r="R1495">
        <v>3</v>
      </c>
      <c r="S1495" t="s">
        <v>88</v>
      </c>
      <c r="T1495" s="4">
        <f t="shared" si="118"/>
        <v>230522.4</v>
      </c>
      <c r="U1495" s="4" t="str">
        <f t="shared" si="119"/>
        <v>Average</v>
      </c>
      <c r="V1495" s="4" t="str">
        <f t="shared" si="120"/>
        <v>Excellent</v>
      </c>
      <c r="W1495" s="4"/>
      <c r="X1495" s="4"/>
      <c r="AJ1495" s="4"/>
    </row>
    <row r="1496" spans="1:36">
      <c r="A1496" t="str">
        <f t="shared" si="116"/>
        <v>Anit511495</v>
      </c>
      <c r="B1496">
        <v>1495</v>
      </c>
      <c r="C1496">
        <v>8</v>
      </c>
      <c r="D1496">
        <v>12</v>
      </c>
      <c r="E1496">
        <v>2022</v>
      </c>
      <c r="F1496" s="1">
        <f t="shared" si="117"/>
        <v>44903</v>
      </c>
      <c r="G1496" s="1" t="s">
        <v>239</v>
      </c>
      <c r="H1496" s="2">
        <v>45972</v>
      </c>
      <c r="I1496" t="s">
        <v>38</v>
      </c>
      <c r="J1496">
        <v>8</v>
      </c>
      <c r="K1496">
        <v>49681.62</v>
      </c>
      <c r="L1496" t="s">
        <v>869</v>
      </c>
      <c r="M1496">
        <v>51</v>
      </c>
      <c r="N1496" t="s">
        <v>61</v>
      </c>
      <c r="O1496" s="3" t="s">
        <v>22</v>
      </c>
      <c r="P1496" t="s">
        <v>23</v>
      </c>
      <c r="Q1496" t="s">
        <v>56</v>
      </c>
      <c r="R1496">
        <v>4</v>
      </c>
      <c r="S1496" t="s">
        <v>42</v>
      </c>
      <c r="T1496" s="4">
        <f t="shared" si="118"/>
        <v>397452.96</v>
      </c>
      <c r="U1496" s="4" t="str">
        <f t="shared" si="119"/>
        <v>Good</v>
      </c>
      <c r="V1496" s="4" t="str">
        <f t="shared" si="120"/>
        <v>Excellent</v>
      </c>
      <c r="W1496" s="4"/>
      <c r="X1496" s="4"/>
      <c r="AJ1496" s="4"/>
    </row>
    <row r="1497" spans="1:36">
      <c r="A1497" t="str">
        <f t="shared" si="116"/>
        <v>Jyot281496</v>
      </c>
      <c r="B1497">
        <v>1496</v>
      </c>
      <c r="C1497">
        <v>8</v>
      </c>
      <c r="D1497">
        <v>12</v>
      </c>
      <c r="E1497">
        <v>2022</v>
      </c>
      <c r="F1497" s="1">
        <f t="shared" si="117"/>
        <v>44903</v>
      </c>
      <c r="G1497" s="1" t="s">
        <v>239</v>
      </c>
      <c r="H1497" s="2">
        <v>45973</v>
      </c>
      <c r="I1497" t="s">
        <v>38</v>
      </c>
      <c r="J1497">
        <v>6</v>
      </c>
      <c r="K1497">
        <v>16467.53</v>
      </c>
      <c r="L1497" t="s">
        <v>731</v>
      </c>
      <c r="M1497">
        <v>28</v>
      </c>
      <c r="N1497" t="s">
        <v>36</v>
      </c>
      <c r="O1497" s="3" t="s">
        <v>22</v>
      </c>
      <c r="P1497" t="s">
        <v>93</v>
      </c>
      <c r="Q1497" t="s">
        <v>56</v>
      </c>
      <c r="R1497">
        <v>4</v>
      </c>
      <c r="S1497" t="s">
        <v>99</v>
      </c>
      <c r="T1497" s="4">
        <f t="shared" si="118"/>
        <v>98805.18</v>
      </c>
      <c r="U1497" s="4" t="str">
        <f t="shared" si="119"/>
        <v>Good</v>
      </c>
      <c r="V1497" s="4" t="str">
        <f t="shared" si="120"/>
        <v>Average</v>
      </c>
      <c r="W1497" s="4"/>
      <c r="X1497" s="4"/>
      <c r="AJ1497" s="4"/>
    </row>
    <row r="1498" spans="1:36">
      <c r="A1498" t="str">
        <f t="shared" si="116"/>
        <v>Radh181497</v>
      </c>
      <c r="B1498">
        <v>1497</v>
      </c>
      <c r="C1498">
        <v>9</v>
      </c>
      <c r="D1498">
        <v>12</v>
      </c>
      <c r="E1498">
        <v>2022</v>
      </c>
      <c r="F1498" s="1">
        <f t="shared" si="117"/>
        <v>44904</v>
      </c>
      <c r="G1498" s="1" t="s">
        <v>239</v>
      </c>
      <c r="H1498" s="2">
        <v>45974</v>
      </c>
      <c r="I1498" t="s">
        <v>38</v>
      </c>
      <c r="J1498">
        <v>1</v>
      </c>
      <c r="K1498">
        <v>39254.9</v>
      </c>
      <c r="L1498" t="s">
        <v>870</v>
      </c>
      <c r="M1498">
        <v>18</v>
      </c>
      <c r="N1498" t="s">
        <v>36</v>
      </c>
      <c r="O1498" s="3" t="s">
        <v>22</v>
      </c>
      <c r="P1498" t="s">
        <v>150</v>
      </c>
      <c r="Q1498" t="s">
        <v>56</v>
      </c>
      <c r="R1498">
        <v>4</v>
      </c>
      <c r="S1498" t="s">
        <v>42</v>
      </c>
      <c r="T1498" s="4">
        <f t="shared" si="118"/>
        <v>39254.9</v>
      </c>
      <c r="U1498" s="4" t="str">
        <f t="shared" si="119"/>
        <v>Good</v>
      </c>
      <c r="V1498" s="4" t="str">
        <f t="shared" si="120"/>
        <v>Low</v>
      </c>
      <c r="W1498" s="4"/>
      <c r="X1498" s="4"/>
      <c r="AJ1498" s="4"/>
    </row>
    <row r="1499" spans="1:36">
      <c r="A1499" t="str">
        <f t="shared" si="116"/>
        <v>Neet301498</v>
      </c>
      <c r="B1499">
        <v>1498</v>
      </c>
      <c r="C1499">
        <v>9</v>
      </c>
      <c r="D1499">
        <v>12</v>
      </c>
      <c r="E1499">
        <v>2022</v>
      </c>
      <c r="F1499" s="1">
        <f t="shared" si="117"/>
        <v>44904</v>
      </c>
      <c r="G1499" s="1" t="s">
        <v>239</v>
      </c>
      <c r="H1499" s="2">
        <v>45975</v>
      </c>
      <c r="I1499" t="s">
        <v>19</v>
      </c>
      <c r="J1499">
        <v>1</v>
      </c>
      <c r="K1499">
        <v>51858.78</v>
      </c>
      <c r="L1499" t="s">
        <v>479</v>
      </c>
      <c r="M1499">
        <v>30</v>
      </c>
      <c r="N1499" t="s">
        <v>36</v>
      </c>
      <c r="O1499" s="3" t="s">
        <v>55</v>
      </c>
      <c r="P1499" t="s">
        <v>114</v>
      </c>
      <c r="Q1499" t="s">
        <v>24</v>
      </c>
      <c r="R1499">
        <v>1</v>
      </c>
      <c r="S1499" t="s">
        <v>84</v>
      </c>
      <c r="T1499" s="4">
        <f t="shared" si="118"/>
        <v>51858.78</v>
      </c>
      <c r="U1499" s="4" t="str">
        <f t="shared" si="119"/>
        <v>Average</v>
      </c>
      <c r="V1499" s="4" t="str">
        <f t="shared" si="120"/>
        <v>Average</v>
      </c>
      <c r="W1499" s="4"/>
      <c r="X1499" s="4"/>
      <c r="AJ1499" s="4"/>
    </row>
    <row r="1500" spans="1:36">
      <c r="A1500" t="str">
        <f t="shared" si="116"/>
        <v>Kavi471499</v>
      </c>
      <c r="B1500">
        <v>1499</v>
      </c>
      <c r="C1500">
        <v>9</v>
      </c>
      <c r="D1500">
        <v>12</v>
      </c>
      <c r="E1500">
        <v>2022</v>
      </c>
      <c r="F1500" s="1">
        <f t="shared" si="117"/>
        <v>44904</v>
      </c>
      <c r="G1500" s="1" t="s">
        <v>239</v>
      </c>
      <c r="H1500" s="2">
        <v>45976</v>
      </c>
      <c r="I1500" t="s">
        <v>49</v>
      </c>
      <c r="J1500">
        <v>9</v>
      </c>
      <c r="K1500">
        <v>41793.72</v>
      </c>
      <c r="L1500" t="s">
        <v>468</v>
      </c>
      <c r="M1500">
        <v>47</v>
      </c>
      <c r="N1500" t="s">
        <v>61</v>
      </c>
      <c r="O1500" s="3" t="s">
        <v>22</v>
      </c>
      <c r="P1500" t="s">
        <v>33</v>
      </c>
      <c r="Q1500" t="s">
        <v>24</v>
      </c>
      <c r="R1500">
        <v>5</v>
      </c>
      <c r="S1500" t="s">
        <v>102</v>
      </c>
      <c r="T1500" s="4">
        <f t="shared" si="118"/>
        <v>376143.48</v>
      </c>
      <c r="U1500" s="4" t="str">
        <f t="shared" si="119"/>
        <v>Good</v>
      </c>
      <c r="V1500" s="4" t="str">
        <f t="shared" si="120"/>
        <v>Excellent</v>
      </c>
      <c r="W1500" s="4"/>
      <c r="X1500" s="4"/>
      <c r="AJ1500" s="4"/>
    </row>
    <row r="1501" spans="1:36">
      <c r="A1501" t="str">
        <f t="shared" si="116"/>
        <v>Deep221500</v>
      </c>
      <c r="B1501">
        <v>1500</v>
      </c>
      <c r="C1501">
        <v>10</v>
      </c>
      <c r="D1501">
        <v>12</v>
      </c>
      <c r="E1501">
        <v>2022</v>
      </c>
      <c r="F1501" s="1">
        <f t="shared" si="117"/>
        <v>44905</v>
      </c>
      <c r="G1501" s="1" t="s">
        <v>239</v>
      </c>
      <c r="H1501" s="2">
        <v>45977</v>
      </c>
      <c r="I1501" t="s">
        <v>38</v>
      </c>
      <c r="J1501">
        <v>6</v>
      </c>
      <c r="K1501">
        <v>33500.54</v>
      </c>
      <c r="L1501" t="s">
        <v>106</v>
      </c>
      <c r="M1501">
        <v>22</v>
      </c>
      <c r="N1501" t="s">
        <v>36</v>
      </c>
      <c r="O1501" s="3" t="s">
        <v>22</v>
      </c>
      <c r="P1501" t="s">
        <v>29</v>
      </c>
      <c r="Q1501" t="s">
        <v>30</v>
      </c>
      <c r="R1501">
        <v>5</v>
      </c>
      <c r="S1501" t="s">
        <v>99</v>
      </c>
      <c r="T1501" s="4">
        <f t="shared" si="118"/>
        <v>201003.24</v>
      </c>
      <c r="U1501" s="4" t="str">
        <f t="shared" si="119"/>
        <v>Good</v>
      </c>
      <c r="V1501" s="4" t="str">
        <f t="shared" si="120"/>
        <v>Excellent</v>
      </c>
      <c r="W1501" s="4"/>
      <c r="X1501" s="4"/>
      <c r="AJ1501" s="4"/>
    </row>
    <row r="1502" spans="1:36">
      <c r="A1502" t="str">
        <f t="shared" si="116"/>
        <v>Sach351501</v>
      </c>
      <c r="B1502">
        <v>1501</v>
      </c>
      <c r="C1502">
        <v>10</v>
      </c>
      <c r="D1502">
        <v>12</v>
      </c>
      <c r="E1502">
        <v>2022</v>
      </c>
      <c r="F1502" s="1">
        <f t="shared" si="117"/>
        <v>44905</v>
      </c>
      <c r="G1502" s="1" t="s">
        <v>239</v>
      </c>
      <c r="H1502" s="2">
        <v>45978</v>
      </c>
      <c r="I1502" t="s">
        <v>49</v>
      </c>
      <c r="J1502">
        <v>8</v>
      </c>
      <c r="K1502">
        <v>47314.87</v>
      </c>
      <c r="L1502" t="s">
        <v>242</v>
      </c>
      <c r="M1502">
        <v>35</v>
      </c>
      <c r="N1502" t="s">
        <v>21</v>
      </c>
      <c r="O1502" s="3" t="s">
        <v>22</v>
      </c>
      <c r="P1502" t="s">
        <v>33</v>
      </c>
      <c r="Q1502" t="s">
        <v>56</v>
      </c>
      <c r="R1502">
        <v>4</v>
      </c>
      <c r="S1502" t="s">
        <v>52</v>
      </c>
      <c r="T1502" s="4">
        <f t="shared" si="118"/>
        <v>378518.96</v>
      </c>
      <c r="U1502" s="4" t="str">
        <f t="shared" si="119"/>
        <v>Good</v>
      </c>
      <c r="V1502" s="4" t="str">
        <f t="shared" si="120"/>
        <v>Excellent</v>
      </c>
      <c r="W1502" s="4"/>
      <c r="X1502" s="4"/>
      <c r="AJ1502" s="4"/>
    </row>
    <row r="1503" spans="1:36">
      <c r="A1503" t="str">
        <f t="shared" si="116"/>
        <v>Pooj311502</v>
      </c>
      <c r="B1503">
        <v>1502</v>
      </c>
      <c r="C1503">
        <v>10</v>
      </c>
      <c r="D1503">
        <v>12</v>
      </c>
      <c r="E1503">
        <v>2022</v>
      </c>
      <c r="F1503" s="1">
        <f t="shared" si="117"/>
        <v>44905</v>
      </c>
      <c r="G1503" s="1" t="s">
        <v>239</v>
      </c>
      <c r="H1503" s="2">
        <v>45979</v>
      </c>
      <c r="I1503" t="s">
        <v>26</v>
      </c>
      <c r="J1503">
        <v>7</v>
      </c>
      <c r="K1503">
        <v>68118.320000000007</v>
      </c>
      <c r="L1503" t="s">
        <v>680</v>
      </c>
      <c r="M1503">
        <v>31</v>
      </c>
      <c r="N1503" t="s">
        <v>21</v>
      </c>
      <c r="O1503" s="3" t="s">
        <v>28</v>
      </c>
      <c r="P1503" t="s">
        <v>33</v>
      </c>
      <c r="Q1503" t="s">
        <v>30</v>
      </c>
      <c r="R1503">
        <v>3</v>
      </c>
      <c r="S1503" t="s">
        <v>67</v>
      </c>
      <c r="T1503" s="4">
        <f t="shared" si="118"/>
        <v>476828.24000000005</v>
      </c>
      <c r="U1503" s="4" t="str">
        <f t="shared" si="119"/>
        <v>Average</v>
      </c>
      <c r="V1503" s="4" t="str">
        <f t="shared" si="120"/>
        <v>Excellent</v>
      </c>
      <c r="W1503" s="4"/>
      <c r="X1503" s="4"/>
      <c r="AJ1503" s="4"/>
    </row>
    <row r="1504" spans="1:36">
      <c r="A1504" t="str">
        <f t="shared" si="116"/>
        <v>Reen301503</v>
      </c>
      <c r="B1504">
        <v>1503</v>
      </c>
      <c r="C1504">
        <v>10</v>
      </c>
      <c r="D1504">
        <v>12</v>
      </c>
      <c r="E1504">
        <v>2022</v>
      </c>
      <c r="F1504" s="1">
        <f t="shared" si="117"/>
        <v>44905</v>
      </c>
      <c r="G1504" s="1" t="s">
        <v>239</v>
      </c>
      <c r="H1504" s="2">
        <v>45980</v>
      </c>
      <c r="I1504" t="s">
        <v>26</v>
      </c>
      <c r="J1504">
        <v>6</v>
      </c>
      <c r="K1504">
        <v>15694.47</v>
      </c>
      <c r="L1504" t="s">
        <v>342</v>
      </c>
      <c r="M1504">
        <v>30</v>
      </c>
      <c r="N1504" t="s">
        <v>36</v>
      </c>
      <c r="O1504" s="3" t="s">
        <v>22</v>
      </c>
      <c r="P1504" t="s">
        <v>51</v>
      </c>
      <c r="Q1504" t="s">
        <v>41</v>
      </c>
      <c r="R1504">
        <v>5</v>
      </c>
      <c r="S1504" t="s">
        <v>67</v>
      </c>
      <c r="T1504" s="4">
        <f t="shared" si="118"/>
        <v>94166.819999999992</v>
      </c>
      <c r="U1504" s="4" t="str">
        <f t="shared" si="119"/>
        <v>Good</v>
      </c>
      <c r="V1504" s="4" t="str">
        <f t="shared" si="120"/>
        <v>Average</v>
      </c>
      <c r="W1504" s="4"/>
      <c r="X1504" s="4"/>
      <c r="AJ1504" s="4"/>
    </row>
    <row r="1505" spans="1:36">
      <c r="A1505" t="str">
        <f t="shared" si="116"/>
        <v>Amit491504</v>
      </c>
      <c r="B1505">
        <v>1504</v>
      </c>
      <c r="C1505">
        <v>11</v>
      </c>
      <c r="D1505">
        <v>12</v>
      </c>
      <c r="E1505">
        <v>2022</v>
      </c>
      <c r="F1505" s="1">
        <f t="shared" si="117"/>
        <v>44906</v>
      </c>
      <c r="G1505" s="1" t="s">
        <v>239</v>
      </c>
      <c r="H1505" s="2">
        <v>45981</v>
      </c>
      <c r="I1505" t="s">
        <v>38</v>
      </c>
      <c r="J1505">
        <v>4</v>
      </c>
      <c r="K1505">
        <v>33400.959999999999</v>
      </c>
      <c r="L1505" t="s">
        <v>871</v>
      </c>
      <c r="M1505">
        <v>49</v>
      </c>
      <c r="N1505" t="s">
        <v>61</v>
      </c>
      <c r="O1505" s="3" t="s">
        <v>22</v>
      </c>
      <c r="P1505" t="s">
        <v>110</v>
      </c>
      <c r="Q1505" t="s">
        <v>56</v>
      </c>
      <c r="R1505">
        <v>5</v>
      </c>
      <c r="S1505" t="s">
        <v>99</v>
      </c>
      <c r="T1505" s="4">
        <f t="shared" si="118"/>
        <v>133603.84</v>
      </c>
      <c r="U1505" s="4" t="str">
        <f t="shared" si="119"/>
        <v>Good</v>
      </c>
      <c r="V1505" s="4" t="str">
        <f t="shared" si="120"/>
        <v>Good</v>
      </c>
      <c r="W1505" s="4"/>
      <c r="X1505" s="4"/>
      <c r="AJ1505" s="4"/>
    </row>
    <row r="1506" spans="1:36">
      <c r="A1506" t="str">
        <f t="shared" si="116"/>
        <v>Pank241505</v>
      </c>
      <c r="B1506">
        <v>1505</v>
      </c>
      <c r="C1506">
        <v>11</v>
      </c>
      <c r="D1506">
        <v>12</v>
      </c>
      <c r="E1506">
        <v>2022</v>
      </c>
      <c r="F1506" s="1">
        <f t="shared" si="117"/>
        <v>44906</v>
      </c>
      <c r="G1506" s="1" t="s">
        <v>239</v>
      </c>
      <c r="H1506" s="2">
        <v>45982</v>
      </c>
      <c r="I1506" t="s">
        <v>49</v>
      </c>
      <c r="J1506">
        <v>7</v>
      </c>
      <c r="K1506">
        <v>34396.35</v>
      </c>
      <c r="L1506" t="s">
        <v>186</v>
      </c>
      <c r="M1506">
        <v>24</v>
      </c>
      <c r="N1506" t="s">
        <v>36</v>
      </c>
      <c r="O1506" s="3" t="s">
        <v>55</v>
      </c>
      <c r="P1506" t="s">
        <v>33</v>
      </c>
      <c r="Q1506" t="s">
        <v>24</v>
      </c>
      <c r="R1506">
        <v>1</v>
      </c>
      <c r="S1506" t="s">
        <v>52</v>
      </c>
      <c r="T1506" s="4">
        <f t="shared" si="118"/>
        <v>240774.44999999998</v>
      </c>
      <c r="U1506" s="4" t="str">
        <f t="shared" si="119"/>
        <v>Average</v>
      </c>
      <c r="V1506" s="4" t="str">
        <f t="shared" si="120"/>
        <v>Excellent</v>
      </c>
      <c r="W1506" s="4"/>
      <c r="X1506" s="4"/>
      <c r="AJ1506" s="4"/>
    </row>
    <row r="1507" spans="1:36">
      <c r="A1507" t="str">
        <f t="shared" si="116"/>
        <v>Raje251506</v>
      </c>
      <c r="B1507">
        <v>1506</v>
      </c>
      <c r="C1507">
        <v>11</v>
      </c>
      <c r="D1507">
        <v>12</v>
      </c>
      <c r="E1507">
        <v>2022</v>
      </c>
      <c r="F1507" s="1">
        <f t="shared" si="117"/>
        <v>44906</v>
      </c>
      <c r="G1507" s="1" t="s">
        <v>239</v>
      </c>
      <c r="H1507" s="2">
        <v>45983</v>
      </c>
      <c r="I1507" t="s">
        <v>49</v>
      </c>
      <c r="J1507">
        <v>9</v>
      </c>
      <c r="K1507">
        <v>44618.04</v>
      </c>
      <c r="L1507" t="s">
        <v>530</v>
      </c>
      <c r="M1507">
        <v>25</v>
      </c>
      <c r="N1507" t="s">
        <v>36</v>
      </c>
      <c r="O1507" s="3" t="s">
        <v>28</v>
      </c>
      <c r="P1507" t="s">
        <v>117</v>
      </c>
      <c r="Q1507" t="s">
        <v>56</v>
      </c>
      <c r="R1507">
        <v>3</v>
      </c>
      <c r="S1507" t="s">
        <v>52</v>
      </c>
      <c r="T1507" s="4">
        <f t="shared" si="118"/>
        <v>401562.36</v>
      </c>
      <c r="U1507" s="4" t="str">
        <f t="shared" si="119"/>
        <v>Average</v>
      </c>
      <c r="V1507" s="4" t="str">
        <f t="shared" si="120"/>
        <v>Excellent</v>
      </c>
      <c r="W1507" s="4"/>
      <c r="X1507" s="4"/>
      <c r="AJ1507" s="4"/>
    </row>
    <row r="1508" spans="1:36">
      <c r="A1508" t="str">
        <f t="shared" si="116"/>
        <v>Shru241507</v>
      </c>
      <c r="B1508">
        <v>1507</v>
      </c>
      <c r="C1508">
        <v>12</v>
      </c>
      <c r="D1508">
        <v>12</v>
      </c>
      <c r="E1508">
        <v>2022</v>
      </c>
      <c r="F1508" s="1">
        <f t="shared" si="117"/>
        <v>44907</v>
      </c>
      <c r="G1508" s="1" t="s">
        <v>239</v>
      </c>
      <c r="H1508" s="2">
        <v>45984</v>
      </c>
      <c r="I1508" t="s">
        <v>49</v>
      </c>
      <c r="J1508">
        <v>7</v>
      </c>
      <c r="K1508">
        <v>19130.48</v>
      </c>
      <c r="L1508" t="s">
        <v>872</v>
      </c>
      <c r="M1508">
        <v>24</v>
      </c>
      <c r="N1508" t="s">
        <v>36</v>
      </c>
      <c r="O1508" s="3" t="s">
        <v>55</v>
      </c>
      <c r="P1508" t="s">
        <v>29</v>
      </c>
      <c r="Q1508" t="s">
        <v>30</v>
      </c>
      <c r="R1508">
        <v>1</v>
      </c>
      <c r="S1508" t="s">
        <v>88</v>
      </c>
      <c r="T1508" s="4">
        <f t="shared" si="118"/>
        <v>133913.35999999999</v>
      </c>
      <c r="U1508" s="4" t="str">
        <f t="shared" si="119"/>
        <v>Average</v>
      </c>
      <c r="V1508" s="4" t="str">
        <f t="shared" si="120"/>
        <v>Good</v>
      </c>
      <c r="W1508" s="4"/>
      <c r="X1508" s="4"/>
      <c r="AJ1508" s="4"/>
    </row>
    <row r="1509" spans="1:36">
      <c r="A1509" t="str">
        <f t="shared" si="116"/>
        <v>Neet331508</v>
      </c>
      <c r="B1509">
        <v>1508</v>
      </c>
      <c r="C1509">
        <v>12</v>
      </c>
      <c r="D1509">
        <v>12</v>
      </c>
      <c r="E1509">
        <v>2022</v>
      </c>
      <c r="F1509" s="1">
        <f t="shared" si="117"/>
        <v>44907</v>
      </c>
      <c r="G1509" s="1" t="s">
        <v>239</v>
      </c>
      <c r="H1509" s="2">
        <v>45985</v>
      </c>
      <c r="I1509" t="s">
        <v>19</v>
      </c>
      <c r="J1509">
        <v>1</v>
      </c>
      <c r="K1509">
        <v>20598.580000000002</v>
      </c>
      <c r="L1509" t="s">
        <v>240</v>
      </c>
      <c r="M1509">
        <v>33</v>
      </c>
      <c r="N1509" t="s">
        <v>21</v>
      </c>
      <c r="O1509" s="3" t="s">
        <v>22</v>
      </c>
      <c r="P1509" t="s">
        <v>29</v>
      </c>
      <c r="Q1509" t="s">
        <v>24</v>
      </c>
      <c r="R1509">
        <v>5</v>
      </c>
      <c r="S1509" t="s">
        <v>37</v>
      </c>
      <c r="T1509" s="4">
        <f t="shared" si="118"/>
        <v>20598.580000000002</v>
      </c>
      <c r="U1509" s="4" t="str">
        <f t="shared" si="119"/>
        <v>Good</v>
      </c>
      <c r="V1509" s="4" t="str">
        <f t="shared" si="120"/>
        <v>Low</v>
      </c>
      <c r="W1509" s="4"/>
      <c r="X1509" s="4"/>
      <c r="AJ1509" s="4"/>
    </row>
    <row r="1510" spans="1:36">
      <c r="A1510" t="str">
        <f t="shared" si="116"/>
        <v>Kavi481509</v>
      </c>
      <c r="B1510">
        <v>1509</v>
      </c>
      <c r="C1510">
        <v>12</v>
      </c>
      <c r="D1510">
        <v>12</v>
      </c>
      <c r="E1510">
        <v>2022</v>
      </c>
      <c r="F1510" s="1">
        <f t="shared" si="117"/>
        <v>44907</v>
      </c>
      <c r="G1510" s="1" t="s">
        <v>239</v>
      </c>
      <c r="H1510" s="2">
        <v>45986</v>
      </c>
      <c r="I1510" t="s">
        <v>26</v>
      </c>
      <c r="J1510">
        <v>9</v>
      </c>
      <c r="K1510">
        <v>27121.68</v>
      </c>
      <c r="L1510" t="s">
        <v>524</v>
      </c>
      <c r="M1510">
        <v>48</v>
      </c>
      <c r="N1510" t="s">
        <v>61</v>
      </c>
      <c r="O1510" s="3" t="s">
        <v>22</v>
      </c>
      <c r="P1510" t="s">
        <v>29</v>
      </c>
      <c r="Q1510" t="s">
        <v>41</v>
      </c>
      <c r="R1510">
        <v>5</v>
      </c>
      <c r="S1510" t="s">
        <v>31</v>
      </c>
      <c r="T1510" s="4">
        <f t="shared" si="118"/>
        <v>244095.12</v>
      </c>
      <c r="U1510" s="4" t="str">
        <f t="shared" si="119"/>
        <v>Good</v>
      </c>
      <c r="V1510" s="4" t="str">
        <f t="shared" si="120"/>
        <v>Excellent</v>
      </c>
      <c r="W1510" s="4"/>
      <c r="X1510" s="4"/>
      <c r="AJ1510" s="4"/>
    </row>
    <row r="1511" spans="1:36">
      <c r="A1511" t="str">
        <f t="shared" si="116"/>
        <v>Pooj441510</v>
      </c>
      <c r="B1511">
        <v>1510</v>
      </c>
      <c r="C1511">
        <v>12</v>
      </c>
      <c r="D1511">
        <v>12</v>
      </c>
      <c r="E1511">
        <v>2022</v>
      </c>
      <c r="F1511" s="1">
        <f t="shared" si="117"/>
        <v>44907</v>
      </c>
      <c r="G1511" s="1" t="s">
        <v>239</v>
      </c>
      <c r="H1511" s="2">
        <v>45987</v>
      </c>
      <c r="I1511" t="s">
        <v>49</v>
      </c>
      <c r="J1511">
        <v>4</v>
      </c>
      <c r="K1511">
        <v>67352.2</v>
      </c>
      <c r="L1511" t="s">
        <v>557</v>
      </c>
      <c r="M1511">
        <v>44</v>
      </c>
      <c r="N1511" t="s">
        <v>21</v>
      </c>
      <c r="O1511" s="3" t="s">
        <v>55</v>
      </c>
      <c r="P1511" t="s">
        <v>40</v>
      </c>
      <c r="Q1511" t="s">
        <v>41</v>
      </c>
      <c r="R1511">
        <v>1</v>
      </c>
      <c r="S1511" t="s">
        <v>102</v>
      </c>
      <c r="T1511" s="4">
        <f t="shared" si="118"/>
        <v>269408.8</v>
      </c>
      <c r="U1511" s="4" t="str">
        <f t="shared" si="119"/>
        <v>Average</v>
      </c>
      <c r="V1511" s="4" t="str">
        <f t="shared" si="120"/>
        <v>Excellent</v>
      </c>
      <c r="W1511" s="4"/>
      <c r="X1511" s="4"/>
      <c r="AJ1511" s="4"/>
    </row>
    <row r="1512" spans="1:36">
      <c r="A1512" t="str">
        <f t="shared" si="116"/>
        <v>Deve501511</v>
      </c>
      <c r="B1512">
        <v>1511</v>
      </c>
      <c r="C1512">
        <v>13</v>
      </c>
      <c r="D1512">
        <v>12</v>
      </c>
      <c r="E1512">
        <v>2022</v>
      </c>
      <c r="F1512" s="1">
        <f t="shared" si="117"/>
        <v>44908</v>
      </c>
      <c r="G1512" s="1" t="s">
        <v>239</v>
      </c>
      <c r="H1512" s="2">
        <v>45988</v>
      </c>
      <c r="I1512" t="s">
        <v>49</v>
      </c>
      <c r="J1512">
        <v>3</v>
      </c>
      <c r="K1512">
        <v>54046.51</v>
      </c>
      <c r="L1512" t="s">
        <v>123</v>
      </c>
      <c r="M1512">
        <v>50</v>
      </c>
      <c r="N1512" t="s">
        <v>61</v>
      </c>
      <c r="O1512" s="3" t="s">
        <v>55</v>
      </c>
      <c r="P1512" t="s">
        <v>51</v>
      </c>
      <c r="Q1512" t="s">
        <v>30</v>
      </c>
      <c r="R1512">
        <v>1</v>
      </c>
      <c r="S1512" t="s">
        <v>52</v>
      </c>
      <c r="T1512" s="4">
        <f t="shared" si="118"/>
        <v>162139.53</v>
      </c>
      <c r="U1512" s="4" t="str">
        <f t="shared" si="119"/>
        <v>Average</v>
      </c>
      <c r="V1512" s="4" t="str">
        <f t="shared" si="120"/>
        <v>Good</v>
      </c>
      <c r="W1512" s="4"/>
      <c r="X1512" s="4"/>
      <c r="AJ1512" s="4"/>
    </row>
    <row r="1513" spans="1:36">
      <c r="A1513" t="str">
        <f t="shared" si="116"/>
        <v>Bhav461512</v>
      </c>
      <c r="B1513">
        <v>1512</v>
      </c>
      <c r="C1513">
        <v>13</v>
      </c>
      <c r="D1513">
        <v>12</v>
      </c>
      <c r="E1513">
        <v>2022</v>
      </c>
      <c r="F1513" s="1">
        <f t="shared" si="117"/>
        <v>44908</v>
      </c>
      <c r="G1513" s="1" t="s">
        <v>239</v>
      </c>
      <c r="H1513" s="2">
        <v>45989</v>
      </c>
      <c r="I1513" t="s">
        <v>19</v>
      </c>
      <c r="J1513">
        <v>4</v>
      </c>
      <c r="K1513">
        <v>49701.599999999999</v>
      </c>
      <c r="L1513" t="s">
        <v>326</v>
      </c>
      <c r="M1513">
        <v>46</v>
      </c>
      <c r="N1513" t="s">
        <v>61</v>
      </c>
      <c r="O1513" s="3" t="s">
        <v>55</v>
      </c>
      <c r="P1513" t="s">
        <v>77</v>
      </c>
      <c r="Q1513" t="s">
        <v>56</v>
      </c>
      <c r="R1513">
        <v>1</v>
      </c>
      <c r="S1513" t="s">
        <v>84</v>
      </c>
      <c r="T1513" s="4">
        <f t="shared" si="118"/>
        <v>198806.39999999999</v>
      </c>
      <c r="U1513" s="4" t="str">
        <f t="shared" si="119"/>
        <v>Average</v>
      </c>
      <c r="V1513" s="4" t="str">
        <f t="shared" si="120"/>
        <v>Good</v>
      </c>
      <c r="W1513" s="4"/>
      <c r="X1513" s="4"/>
      <c r="AJ1513" s="4"/>
    </row>
    <row r="1514" spans="1:36">
      <c r="A1514" t="str">
        <f t="shared" si="116"/>
        <v>Vija251513</v>
      </c>
      <c r="B1514">
        <v>1513</v>
      </c>
      <c r="C1514">
        <v>13</v>
      </c>
      <c r="D1514">
        <v>12</v>
      </c>
      <c r="E1514">
        <v>2022</v>
      </c>
      <c r="F1514" s="1">
        <f t="shared" si="117"/>
        <v>44908</v>
      </c>
      <c r="G1514" s="1" t="s">
        <v>239</v>
      </c>
      <c r="H1514" s="2">
        <v>45990</v>
      </c>
      <c r="I1514" t="s">
        <v>19</v>
      </c>
      <c r="J1514">
        <v>4</v>
      </c>
      <c r="K1514">
        <v>59017.46</v>
      </c>
      <c r="L1514" t="s">
        <v>565</v>
      </c>
      <c r="M1514">
        <v>25</v>
      </c>
      <c r="N1514" t="s">
        <v>36</v>
      </c>
      <c r="O1514" s="3" t="s">
        <v>22</v>
      </c>
      <c r="P1514" t="s">
        <v>29</v>
      </c>
      <c r="Q1514" t="s">
        <v>41</v>
      </c>
      <c r="R1514">
        <v>5</v>
      </c>
      <c r="S1514" t="s">
        <v>25</v>
      </c>
      <c r="T1514" s="4">
        <f t="shared" si="118"/>
        <v>236069.84</v>
      </c>
      <c r="U1514" s="4" t="str">
        <f t="shared" si="119"/>
        <v>Good</v>
      </c>
      <c r="V1514" s="4" t="str">
        <f t="shared" si="120"/>
        <v>Excellent</v>
      </c>
      <c r="W1514" s="4"/>
      <c r="X1514" s="4"/>
      <c r="AJ1514" s="4"/>
    </row>
    <row r="1515" spans="1:36">
      <c r="A1515" t="str">
        <f t="shared" si="116"/>
        <v>Shru501514</v>
      </c>
      <c r="B1515">
        <v>1514</v>
      </c>
      <c r="C1515">
        <v>14</v>
      </c>
      <c r="D1515">
        <v>12</v>
      </c>
      <c r="E1515">
        <v>2022</v>
      </c>
      <c r="F1515" s="1">
        <f t="shared" si="117"/>
        <v>44909</v>
      </c>
      <c r="G1515" s="1" t="s">
        <v>239</v>
      </c>
      <c r="H1515" s="2">
        <v>45991</v>
      </c>
      <c r="I1515" t="s">
        <v>49</v>
      </c>
      <c r="J1515">
        <v>2</v>
      </c>
      <c r="K1515">
        <v>17654.59</v>
      </c>
      <c r="L1515" t="s">
        <v>639</v>
      </c>
      <c r="M1515">
        <v>50</v>
      </c>
      <c r="N1515" t="s">
        <v>61</v>
      </c>
      <c r="O1515" s="3" t="s">
        <v>28</v>
      </c>
      <c r="P1515" t="s">
        <v>132</v>
      </c>
      <c r="Q1515" t="s">
        <v>30</v>
      </c>
      <c r="R1515">
        <v>3</v>
      </c>
      <c r="S1515" t="s">
        <v>102</v>
      </c>
      <c r="T1515" s="4">
        <f t="shared" si="118"/>
        <v>35309.18</v>
      </c>
      <c r="U1515" s="4" t="str">
        <f t="shared" si="119"/>
        <v>Average</v>
      </c>
      <c r="V1515" s="4" t="str">
        <f t="shared" si="120"/>
        <v>Low</v>
      </c>
      <c r="W1515" s="4"/>
      <c r="X1515" s="4"/>
      <c r="AJ1515" s="4"/>
    </row>
    <row r="1516" spans="1:36">
      <c r="A1516" t="str">
        <f t="shared" si="116"/>
        <v>Adit581515</v>
      </c>
      <c r="B1516">
        <v>1515</v>
      </c>
      <c r="C1516">
        <v>14</v>
      </c>
      <c r="D1516">
        <v>12</v>
      </c>
      <c r="E1516">
        <v>2022</v>
      </c>
      <c r="F1516" s="1">
        <f t="shared" si="117"/>
        <v>44909</v>
      </c>
      <c r="G1516" s="1" t="s">
        <v>239</v>
      </c>
      <c r="H1516" s="2">
        <v>45992</v>
      </c>
      <c r="I1516" t="s">
        <v>43</v>
      </c>
      <c r="J1516">
        <v>1</v>
      </c>
      <c r="K1516">
        <v>61559.97</v>
      </c>
      <c r="L1516" t="s">
        <v>366</v>
      </c>
      <c r="M1516">
        <v>58</v>
      </c>
      <c r="N1516" t="s">
        <v>61</v>
      </c>
      <c r="O1516" s="3" t="s">
        <v>28</v>
      </c>
      <c r="P1516" t="s">
        <v>51</v>
      </c>
      <c r="Q1516" t="s">
        <v>24</v>
      </c>
      <c r="R1516">
        <v>3</v>
      </c>
      <c r="S1516" t="s">
        <v>95</v>
      </c>
      <c r="T1516" s="4">
        <f t="shared" si="118"/>
        <v>61559.97</v>
      </c>
      <c r="U1516" s="4" t="str">
        <f t="shared" si="119"/>
        <v>Average</v>
      </c>
      <c r="V1516" s="4" t="str">
        <f t="shared" si="120"/>
        <v>Average</v>
      </c>
      <c r="W1516" s="4"/>
      <c r="X1516" s="4"/>
      <c r="AJ1516" s="4"/>
    </row>
    <row r="1517" spans="1:36">
      <c r="A1517" t="str">
        <f t="shared" si="116"/>
        <v>Suni361516</v>
      </c>
      <c r="B1517">
        <v>1516</v>
      </c>
      <c r="C1517">
        <v>14</v>
      </c>
      <c r="D1517">
        <v>12</v>
      </c>
      <c r="E1517">
        <v>2022</v>
      </c>
      <c r="F1517" s="1">
        <f t="shared" si="117"/>
        <v>44909</v>
      </c>
      <c r="G1517" s="1" t="s">
        <v>239</v>
      </c>
      <c r="H1517" s="2">
        <v>45993</v>
      </c>
      <c r="I1517" t="s">
        <v>49</v>
      </c>
      <c r="J1517">
        <v>1</v>
      </c>
      <c r="K1517">
        <v>45689.96</v>
      </c>
      <c r="L1517" t="s">
        <v>579</v>
      </c>
      <c r="M1517">
        <v>36</v>
      </c>
      <c r="N1517" t="s">
        <v>21</v>
      </c>
      <c r="O1517" s="3" t="s">
        <v>22</v>
      </c>
      <c r="P1517" t="s">
        <v>70</v>
      </c>
      <c r="Q1517" t="s">
        <v>24</v>
      </c>
      <c r="R1517">
        <v>5</v>
      </c>
      <c r="S1517" t="s">
        <v>102</v>
      </c>
      <c r="T1517" s="4">
        <f t="shared" si="118"/>
        <v>45689.96</v>
      </c>
      <c r="U1517" s="4" t="str">
        <f t="shared" si="119"/>
        <v>Good</v>
      </c>
      <c r="V1517" s="4" t="str">
        <f t="shared" si="120"/>
        <v>Low</v>
      </c>
      <c r="W1517" s="4"/>
      <c r="X1517" s="4"/>
      <c r="AJ1517" s="4"/>
    </row>
    <row r="1518" spans="1:36">
      <c r="A1518" t="str">
        <f t="shared" si="116"/>
        <v>Mano381517</v>
      </c>
      <c r="B1518">
        <v>1517</v>
      </c>
      <c r="C1518">
        <v>14</v>
      </c>
      <c r="D1518">
        <v>12</v>
      </c>
      <c r="E1518">
        <v>2022</v>
      </c>
      <c r="F1518" s="1">
        <f t="shared" si="117"/>
        <v>44909</v>
      </c>
      <c r="G1518" s="1" t="s">
        <v>239</v>
      </c>
      <c r="H1518" s="2">
        <v>45994</v>
      </c>
      <c r="I1518" t="s">
        <v>49</v>
      </c>
      <c r="J1518">
        <v>8</v>
      </c>
      <c r="K1518">
        <v>30119.74</v>
      </c>
      <c r="L1518" t="s">
        <v>873</v>
      </c>
      <c r="M1518">
        <v>38</v>
      </c>
      <c r="N1518" t="s">
        <v>21</v>
      </c>
      <c r="O1518" s="3" t="s">
        <v>55</v>
      </c>
      <c r="P1518" t="s">
        <v>33</v>
      </c>
      <c r="Q1518" t="s">
        <v>30</v>
      </c>
      <c r="R1518">
        <v>1</v>
      </c>
      <c r="S1518" t="s">
        <v>52</v>
      </c>
      <c r="T1518" s="4">
        <f t="shared" si="118"/>
        <v>240957.92</v>
      </c>
      <c r="U1518" s="4" t="str">
        <f t="shared" si="119"/>
        <v>Average</v>
      </c>
      <c r="V1518" s="4" t="str">
        <f t="shared" si="120"/>
        <v>Excellent</v>
      </c>
      <c r="W1518" s="4"/>
      <c r="X1518" s="4"/>
      <c r="AJ1518" s="4"/>
    </row>
    <row r="1519" spans="1:36">
      <c r="A1519" t="str">
        <f t="shared" si="116"/>
        <v>Pooj581518</v>
      </c>
      <c r="B1519">
        <v>1518</v>
      </c>
      <c r="C1519">
        <v>15</v>
      </c>
      <c r="D1519">
        <v>12</v>
      </c>
      <c r="E1519">
        <v>2022</v>
      </c>
      <c r="F1519" s="1">
        <f t="shared" si="117"/>
        <v>44910</v>
      </c>
      <c r="G1519" s="1" t="s">
        <v>239</v>
      </c>
      <c r="H1519" s="2">
        <v>45995</v>
      </c>
      <c r="I1519" t="s">
        <v>19</v>
      </c>
      <c r="J1519">
        <v>2</v>
      </c>
      <c r="K1519">
        <v>58951.32</v>
      </c>
      <c r="L1519" t="s">
        <v>680</v>
      </c>
      <c r="M1519">
        <v>58</v>
      </c>
      <c r="N1519" t="s">
        <v>61</v>
      </c>
      <c r="O1519" s="3" t="s">
        <v>55</v>
      </c>
      <c r="P1519" t="s">
        <v>33</v>
      </c>
      <c r="Q1519" t="s">
        <v>56</v>
      </c>
      <c r="R1519">
        <v>1</v>
      </c>
      <c r="S1519" t="s">
        <v>25</v>
      </c>
      <c r="T1519" s="4">
        <f t="shared" si="118"/>
        <v>117902.64</v>
      </c>
      <c r="U1519" s="4" t="str">
        <f t="shared" si="119"/>
        <v>Average</v>
      </c>
      <c r="V1519" s="4" t="str">
        <f t="shared" si="120"/>
        <v>Good</v>
      </c>
      <c r="W1519" s="4"/>
      <c r="X1519" s="4"/>
      <c r="AJ1519" s="4"/>
    </row>
    <row r="1520" spans="1:36">
      <c r="A1520" t="str">
        <f t="shared" si="116"/>
        <v>Ravi381519</v>
      </c>
      <c r="B1520">
        <v>1519</v>
      </c>
      <c r="C1520">
        <v>15</v>
      </c>
      <c r="D1520">
        <v>12</v>
      </c>
      <c r="E1520">
        <v>2022</v>
      </c>
      <c r="F1520" s="1">
        <f t="shared" si="117"/>
        <v>44910</v>
      </c>
      <c r="G1520" s="1" t="s">
        <v>239</v>
      </c>
      <c r="H1520" s="2">
        <v>45996</v>
      </c>
      <c r="I1520" t="s">
        <v>19</v>
      </c>
      <c r="J1520">
        <v>5</v>
      </c>
      <c r="K1520">
        <v>58153.87</v>
      </c>
      <c r="L1520" t="s">
        <v>874</v>
      </c>
      <c r="M1520">
        <v>38</v>
      </c>
      <c r="N1520" t="s">
        <v>21</v>
      </c>
      <c r="O1520" s="3" t="s">
        <v>22</v>
      </c>
      <c r="P1520" t="s">
        <v>23</v>
      </c>
      <c r="Q1520" t="s">
        <v>56</v>
      </c>
      <c r="R1520">
        <v>4</v>
      </c>
      <c r="S1520" t="s">
        <v>37</v>
      </c>
      <c r="T1520" s="4">
        <f t="shared" si="118"/>
        <v>290769.35000000003</v>
      </c>
      <c r="U1520" s="4" t="str">
        <f t="shared" si="119"/>
        <v>Good</v>
      </c>
      <c r="V1520" s="4" t="str">
        <f t="shared" si="120"/>
        <v>Excellent</v>
      </c>
      <c r="W1520" s="4"/>
      <c r="X1520" s="4"/>
      <c r="AJ1520" s="4"/>
    </row>
    <row r="1521" spans="1:36">
      <c r="A1521" t="str">
        <f t="shared" si="116"/>
        <v>Umes421520</v>
      </c>
      <c r="B1521">
        <v>1520</v>
      </c>
      <c r="C1521">
        <v>15</v>
      </c>
      <c r="D1521">
        <v>12</v>
      </c>
      <c r="E1521">
        <v>2022</v>
      </c>
      <c r="F1521" s="1">
        <f t="shared" si="117"/>
        <v>44910</v>
      </c>
      <c r="G1521" s="1" t="s">
        <v>239</v>
      </c>
      <c r="H1521" s="2">
        <v>45997</v>
      </c>
      <c r="I1521" t="s">
        <v>49</v>
      </c>
      <c r="J1521">
        <v>4</v>
      </c>
      <c r="K1521">
        <v>60742.51</v>
      </c>
      <c r="L1521" t="s">
        <v>303</v>
      </c>
      <c r="M1521">
        <v>42</v>
      </c>
      <c r="N1521" t="s">
        <v>21</v>
      </c>
      <c r="O1521" s="3" t="s">
        <v>22</v>
      </c>
      <c r="P1521" t="s">
        <v>77</v>
      </c>
      <c r="Q1521" t="s">
        <v>56</v>
      </c>
      <c r="R1521">
        <v>5</v>
      </c>
      <c r="S1521" t="s">
        <v>52</v>
      </c>
      <c r="T1521" s="4">
        <f t="shared" si="118"/>
        <v>242970.04</v>
      </c>
      <c r="U1521" s="4" t="str">
        <f t="shared" si="119"/>
        <v>Good</v>
      </c>
      <c r="V1521" s="4" t="str">
        <f t="shared" si="120"/>
        <v>Excellent</v>
      </c>
      <c r="W1521" s="4"/>
      <c r="X1521" s="4"/>
      <c r="AJ1521" s="4"/>
    </row>
    <row r="1522" spans="1:36">
      <c r="A1522" t="str">
        <f t="shared" si="116"/>
        <v>Shru591521</v>
      </c>
      <c r="B1522">
        <v>1521</v>
      </c>
      <c r="C1522">
        <v>16</v>
      </c>
      <c r="D1522">
        <v>12</v>
      </c>
      <c r="E1522">
        <v>2022</v>
      </c>
      <c r="F1522" s="1">
        <f t="shared" si="117"/>
        <v>44911</v>
      </c>
      <c r="G1522" s="1" t="s">
        <v>239</v>
      </c>
      <c r="H1522" s="2">
        <v>45998</v>
      </c>
      <c r="I1522" t="s">
        <v>49</v>
      </c>
      <c r="J1522">
        <v>8</v>
      </c>
      <c r="K1522">
        <v>16931.07</v>
      </c>
      <c r="L1522" t="s">
        <v>457</v>
      </c>
      <c r="M1522">
        <v>59</v>
      </c>
      <c r="N1522" t="s">
        <v>61</v>
      </c>
      <c r="O1522" s="3" t="s">
        <v>22</v>
      </c>
      <c r="P1522" t="s">
        <v>66</v>
      </c>
      <c r="Q1522" t="s">
        <v>56</v>
      </c>
      <c r="R1522">
        <v>5</v>
      </c>
      <c r="S1522" t="s">
        <v>102</v>
      </c>
      <c r="T1522" s="4">
        <f t="shared" si="118"/>
        <v>135448.56</v>
      </c>
      <c r="U1522" s="4" t="str">
        <f t="shared" si="119"/>
        <v>Good</v>
      </c>
      <c r="V1522" s="4" t="str">
        <f t="shared" si="120"/>
        <v>Good</v>
      </c>
      <c r="W1522" s="4"/>
      <c r="X1522" s="4"/>
      <c r="AJ1522" s="4"/>
    </row>
    <row r="1523" spans="1:36">
      <c r="A1523" t="str">
        <f t="shared" si="116"/>
        <v>Mano401522</v>
      </c>
      <c r="B1523">
        <v>1522</v>
      </c>
      <c r="C1523">
        <v>16</v>
      </c>
      <c r="D1523">
        <v>12</v>
      </c>
      <c r="E1523">
        <v>2022</v>
      </c>
      <c r="F1523" s="1">
        <f t="shared" si="117"/>
        <v>44911</v>
      </c>
      <c r="G1523" s="1" t="s">
        <v>239</v>
      </c>
      <c r="H1523" s="2">
        <v>45999</v>
      </c>
      <c r="I1523" t="s">
        <v>49</v>
      </c>
      <c r="J1523">
        <v>2</v>
      </c>
      <c r="K1523">
        <v>68161.67</v>
      </c>
      <c r="L1523" t="s">
        <v>875</v>
      </c>
      <c r="M1523">
        <v>40</v>
      </c>
      <c r="N1523" t="s">
        <v>21</v>
      </c>
      <c r="O1523" s="3" t="s">
        <v>28</v>
      </c>
      <c r="P1523" t="s">
        <v>90</v>
      </c>
      <c r="Q1523" t="s">
        <v>30</v>
      </c>
      <c r="R1523">
        <v>3</v>
      </c>
      <c r="S1523" t="s">
        <v>52</v>
      </c>
      <c r="T1523" s="4">
        <f t="shared" si="118"/>
        <v>136323.34</v>
      </c>
      <c r="U1523" s="4" t="str">
        <f t="shared" si="119"/>
        <v>Average</v>
      </c>
      <c r="V1523" s="4" t="str">
        <f t="shared" si="120"/>
        <v>Good</v>
      </c>
      <c r="W1523" s="4"/>
      <c r="X1523" s="4"/>
      <c r="AJ1523" s="4"/>
    </row>
    <row r="1524" spans="1:36">
      <c r="A1524" t="str">
        <f t="shared" si="116"/>
        <v>Anit281523</v>
      </c>
      <c r="B1524">
        <v>1523</v>
      </c>
      <c r="C1524">
        <v>16</v>
      </c>
      <c r="D1524">
        <v>12</v>
      </c>
      <c r="E1524">
        <v>2022</v>
      </c>
      <c r="F1524" s="1">
        <f t="shared" si="117"/>
        <v>44911</v>
      </c>
      <c r="G1524" s="1" t="s">
        <v>239</v>
      </c>
      <c r="H1524" s="2">
        <v>46000</v>
      </c>
      <c r="I1524" t="s">
        <v>19</v>
      </c>
      <c r="J1524">
        <v>9</v>
      </c>
      <c r="K1524">
        <v>67577.570000000007</v>
      </c>
      <c r="L1524" t="s">
        <v>810</v>
      </c>
      <c r="M1524">
        <v>28</v>
      </c>
      <c r="N1524" t="s">
        <v>36</v>
      </c>
      <c r="O1524" s="3" t="s">
        <v>22</v>
      </c>
      <c r="P1524" t="s">
        <v>29</v>
      </c>
      <c r="Q1524" t="s">
        <v>30</v>
      </c>
      <c r="R1524">
        <v>5</v>
      </c>
      <c r="S1524" t="s">
        <v>25</v>
      </c>
      <c r="T1524" s="4">
        <f t="shared" si="118"/>
        <v>608198.13000000012</v>
      </c>
      <c r="U1524" s="4" t="str">
        <f t="shared" si="119"/>
        <v>Good</v>
      </c>
      <c r="V1524" s="4" t="str">
        <f t="shared" si="120"/>
        <v>Excellent</v>
      </c>
      <c r="W1524" s="4"/>
      <c r="X1524" s="4"/>
      <c r="AJ1524" s="4"/>
    </row>
    <row r="1525" spans="1:36">
      <c r="A1525" t="str">
        <f t="shared" si="116"/>
        <v>Deep501524</v>
      </c>
      <c r="B1525">
        <v>1524</v>
      </c>
      <c r="C1525">
        <v>16</v>
      </c>
      <c r="D1525">
        <v>12</v>
      </c>
      <c r="E1525">
        <v>2022</v>
      </c>
      <c r="F1525" s="1">
        <f t="shared" si="117"/>
        <v>44911</v>
      </c>
      <c r="G1525" s="1" t="s">
        <v>239</v>
      </c>
      <c r="H1525" s="2">
        <v>46001</v>
      </c>
      <c r="I1525" t="s">
        <v>49</v>
      </c>
      <c r="J1525">
        <v>7</v>
      </c>
      <c r="K1525">
        <v>31448.18</v>
      </c>
      <c r="L1525" t="s">
        <v>627</v>
      </c>
      <c r="M1525">
        <v>50</v>
      </c>
      <c r="N1525" t="s">
        <v>61</v>
      </c>
      <c r="O1525" s="3" t="s">
        <v>55</v>
      </c>
      <c r="P1525" t="s">
        <v>29</v>
      </c>
      <c r="Q1525" t="s">
        <v>24</v>
      </c>
      <c r="R1525">
        <v>1</v>
      </c>
      <c r="S1525" t="s">
        <v>52</v>
      </c>
      <c r="T1525" s="4">
        <f t="shared" si="118"/>
        <v>220137.26</v>
      </c>
      <c r="U1525" s="4" t="str">
        <f t="shared" si="119"/>
        <v>Average</v>
      </c>
      <c r="V1525" s="4" t="str">
        <f t="shared" si="120"/>
        <v>Excellent</v>
      </c>
      <c r="W1525" s="4"/>
      <c r="X1525" s="4"/>
      <c r="AJ1525" s="4"/>
    </row>
    <row r="1526" spans="1:36">
      <c r="A1526" t="str">
        <f t="shared" si="116"/>
        <v>Arun371525</v>
      </c>
      <c r="B1526">
        <v>1525</v>
      </c>
      <c r="C1526">
        <v>17</v>
      </c>
      <c r="D1526">
        <v>12</v>
      </c>
      <c r="E1526">
        <v>2022</v>
      </c>
      <c r="F1526" s="1">
        <f t="shared" si="117"/>
        <v>44912</v>
      </c>
      <c r="G1526" s="1" t="s">
        <v>239</v>
      </c>
      <c r="H1526" s="2">
        <v>46002</v>
      </c>
      <c r="I1526" t="s">
        <v>49</v>
      </c>
      <c r="J1526">
        <v>7</v>
      </c>
      <c r="K1526">
        <v>13953.64</v>
      </c>
      <c r="L1526" t="s">
        <v>703</v>
      </c>
      <c r="M1526">
        <v>37</v>
      </c>
      <c r="N1526" t="s">
        <v>21</v>
      </c>
      <c r="O1526" s="3" t="s">
        <v>22</v>
      </c>
      <c r="P1526" t="s">
        <v>114</v>
      </c>
      <c r="Q1526" t="s">
        <v>24</v>
      </c>
      <c r="R1526">
        <v>5</v>
      </c>
      <c r="S1526" t="s">
        <v>102</v>
      </c>
      <c r="T1526" s="4">
        <f t="shared" si="118"/>
        <v>97675.48</v>
      </c>
      <c r="U1526" s="4" t="str">
        <f t="shared" si="119"/>
        <v>Good</v>
      </c>
      <c r="V1526" s="4" t="str">
        <f t="shared" si="120"/>
        <v>Average</v>
      </c>
      <c r="W1526" s="4"/>
      <c r="X1526" s="4"/>
      <c r="AJ1526" s="4"/>
    </row>
    <row r="1527" spans="1:36">
      <c r="A1527" t="str">
        <f t="shared" si="116"/>
        <v>Kavi421526</v>
      </c>
      <c r="B1527">
        <v>1526</v>
      </c>
      <c r="C1527">
        <v>17</v>
      </c>
      <c r="D1527">
        <v>12</v>
      </c>
      <c r="E1527">
        <v>2022</v>
      </c>
      <c r="F1527" s="1">
        <f t="shared" si="117"/>
        <v>44912</v>
      </c>
      <c r="G1527" s="1" t="s">
        <v>239</v>
      </c>
      <c r="H1527" s="2">
        <v>46003</v>
      </c>
      <c r="I1527" t="s">
        <v>38</v>
      </c>
      <c r="J1527">
        <v>1</v>
      </c>
      <c r="K1527">
        <v>20023.34</v>
      </c>
      <c r="L1527" t="s">
        <v>876</v>
      </c>
      <c r="M1527">
        <v>42</v>
      </c>
      <c r="N1527" t="s">
        <v>21</v>
      </c>
      <c r="O1527" s="3" t="s">
        <v>22</v>
      </c>
      <c r="P1527" t="s">
        <v>33</v>
      </c>
      <c r="Q1527" t="s">
        <v>56</v>
      </c>
      <c r="R1527">
        <v>5</v>
      </c>
      <c r="S1527" t="s">
        <v>42</v>
      </c>
      <c r="T1527" s="4">
        <f t="shared" si="118"/>
        <v>20023.34</v>
      </c>
      <c r="U1527" s="4" t="str">
        <f t="shared" si="119"/>
        <v>Good</v>
      </c>
      <c r="V1527" s="4" t="str">
        <f t="shared" si="120"/>
        <v>Low</v>
      </c>
      <c r="W1527" s="4"/>
      <c r="X1527" s="4"/>
      <c r="AJ1527" s="4"/>
    </row>
    <row r="1528" spans="1:36">
      <c r="A1528" t="str">
        <f t="shared" si="116"/>
        <v>Sach431527</v>
      </c>
      <c r="B1528">
        <v>1527</v>
      </c>
      <c r="C1528">
        <v>17</v>
      </c>
      <c r="D1528">
        <v>12</v>
      </c>
      <c r="E1528">
        <v>2022</v>
      </c>
      <c r="F1528" s="1">
        <f t="shared" si="117"/>
        <v>44912</v>
      </c>
      <c r="G1528" s="1" t="s">
        <v>239</v>
      </c>
      <c r="H1528" s="2">
        <v>46004</v>
      </c>
      <c r="I1528" t="s">
        <v>43</v>
      </c>
      <c r="J1528">
        <v>2</v>
      </c>
      <c r="K1528">
        <v>69569.850000000006</v>
      </c>
      <c r="L1528" t="s">
        <v>877</v>
      </c>
      <c r="M1528">
        <v>43</v>
      </c>
      <c r="N1528" t="s">
        <v>21</v>
      </c>
      <c r="O1528" s="3" t="s">
        <v>22</v>
      </c>
      <c r="P1528" t="s">
        <v>66</v>
      </c>
      <c r="Q1528" t="s">
        <v>41</v>
      </c>
      <c r="R1528">
        <v>5</v>
      </c>
      <c r="S1528" t="s">
        <v>95</v>
      </c>
      <c r="T1528" s="4">
        <f t="shared" si="118"/>
        <v>139139.70000000001</v>
      </c>
      <c r="U1528" s="4" t="str">
        <f t="shared" si="119"/>
        <v>Good</v>
      </c>
      <c r="V1528" s="4" t="str">
        <f t="shared" si="120"/>
        <v>Good</v>
      </c>
      <c r="W1528" s="4"/>
      <c r="X1528" s="4"/>
      <c r="AJ1528" s="4"/>
    </row>
    <row r="1529" spans="1:36">
      <c r="A1529" t="str">
        <f t="shared" si="116"/>
        <v>Suni571528</v>
      </c>
      <c r="B1529">
        <v>1528</v>
      </c>
      <c r="C1529">
        <v>17</v>
      </c>
      <c r="D1529">
        <v>12</v>
      </c>
      <c r="E1529">
        <v>2022</v>
      </c>
      <c r="F1529" s="1">
        <f t="shared" si="117"/>
        <v>44912</v>
      </c>
      <c r="G1529" s="1" t="s">
        <v>239</v>
      </c>
      <c r="H1529" s="2">
        <v>46005</v>
      </c>
      <c r="I1529" t="s">
        <v>26</v>
      </c>
      <c r="J1529">
        <v>4</v>
      </c>
      <c r="K1529">
        <v>43780.78</v>
      </c>
      <c r="L1529" t="s">
        <v>566</v>
      </c>
      <c r="M1529">
        <v>57</v>
      </c>
      <c r="N1529" t="s">
        <v>61</v>
      </c>
      <c r="O1529" s="3" t="s">
        <v>55</v>
      </c>
      <c r="P1529" t="s">
        <v>33</v>
      </c>
      <c r="Q1529" t="s">
        <v>41</v>
      </c>
      <c r="R1529">
        <v>1</v>
      </c>
      <c r="S1529" t="s">
        <v>34</v>
      </c>
      <c r="T1529" s="4">
        <f t="shared" si="118"/>
        <v>175123.12</v>
      </c>
      <c r="U1529" s="4" t="str">
        <f t="shared" si="119"/>
        <v>Average</v>
      </c>
      <c r="V1529" s="4" t="str">
        <f t="shared" si="120"/>
        <v>Good</v>
      </c>
      <c r="W1529" s="4"/>
      <c r="X1529" s="4"/>
      <c r="AJ1529" s="4"/>
    </row>
    <row r="1530" spans="1:36">
      <c r="A1530" t="str">
        <f t="shared" si="116"/>
        <v>Pras291529</v>
      </c>
      <c r="B1530">
        <v>1529</v>
      </c>
      <c r="C1530">
        <v>18</v>
      </c>
      <c r="D1530">
        <v>12</v>
      </c>
      <c r="E1530">
        <v>2022</v>
      </c>
      <c r="F1530" s="1">
        <f t="shared" si="117"/>
        <v>44913</v>
      </c>
      <c r="G1530" s="1" t="s">
        <v>239</v>
      </c>
      <c r="H1530" s="2">
        <v>46006</v>
      </c>
      <c r="I1530" t="s">
        <v>43</v>
      </c>
      <c r="J1530">
        <v>4</v>
      </c>
      <c r="K1530">
        <v>31397.31</v>
      </c>
      <c r="L1530" t="s">
        <v>878</v>
      </c>
      <c r="M1530">
        <v>29</v>
      </c>
      <c r="N1530" t="s">
        <v>36</v>
      </c>
      <c r="O1530" s="3" t="s">
        <v>22</v>
      </c>
      <c r="P1530" t="s">
        <v>137</v>
      </c>
      <c r="Q1530" t="s">
        <v>24</v>
      </c>
      <c r="R1530">
        <v>5</v>
      </c>
      <c r="S1530" t="s">
        <v>57</v>
      </c>
      <c r="T1530" s="4">
        <f t="shared" si="118"/>
        <v>125589.24</v>
      </c>
      <c r="U1530" s="4" t="str">
        <f t="shared" si="119"/>
        <v>Good</v>
      </c>
      <c r="V1530" s="4" t="str">
        <f t="shared" si="120"/>
        <v>Good</v>
      </c>
      <c r="W1530" s="4"/>
      <c r="X1530" s="4"/>
      <c r="AJ1530" s="4"/>
    </row>
    <row r="1531" spans="1:36">
      <c r="A1531" t="str">
        <f t="shared" si="116"/>
        <v>Ravi491530</v>
      </c>
      <c r="B1531">
        <v>1530</v>
      </c>
      <c r="C1531">
        <v>18</v>
      </c>
      <c r="D1531">
        <v>12</v>
      </c>
      <c r="E1531">
        <v>2022</v>
      </c>
      <c r="F1531" s="1">
        <f t="shared" si="117"/>
        <v>44913</v>
      </c>
      <c r="G1531" s="1" t="s">
        <v>239</v>
      </c>
      <c r="H1531" s="2">
        <v>46007</v>
      </c>
      <c r="I1531" t="s">
        <v>38</v>
      </c>
      <c r="J1531">
        <v>3</v>
      </c>
      <c r="K1531">
        <v>27292.16</v>
      </c>
      <c r="L1531" t="s">
        <v>455</v>
      </c>
      <c r="M1531">
        <v>49</v>
      </c>
      <c r="N1531" t="s">
        <v>61</v>
      </c>
      <c r="O1531" s="3" t="s">
        <v>22</v>
      </c>
      <c r="P1531" t="s">
        <v>33</v>
      </c>
      <c r="Q1531" t="s">
        <v>24</v>
      </c>
      <c r="R1531">
        <v>5</v>
      </c>
      <c r="S1531" t="s">
        <v>99</v>
      </c>
      <c r="T1531" s="4">
        <f t="shared" si="118"/>
        <v>81876.479999999996</v>
      </c>
      <c r="U1531" s="4" t="str">
        <f t="shared" si="119"/>
        <v>Good</v>
      </c>
      <c r="V1531" s="4" t="str">
        <f t="shared" si="120"/>
        <v>Average</v>
      </c>
      <c r="W1531" s="4"/>
      <c r="X1531" s="4"/>
      <c r="AJ1531" s="4"/>
    </row>
    <row r="1532" spans="1:36">
      <c r="A1532" t="str">
        <f t="shared" si="116"/>
        <v>Kris501531</v>
      </c>
      <c r="B1532">
        <v>1531</v>
      </c>
      <c r="C1532">
        <v>18</v>
      </c>
      <c r="D1532">
        <v>12</v>
      </c>
      <c r="E1532">
        <v>2022</v>
      </c>
      <c r="F1532" s="1">
        <f t="shared" si="117"/>
        <v>44913</v>
      </c>
      <c r="G1532" s="1" t="s">
        <v>239</v>
      </c>
      <c r="H1532" s="2">
        <v>46008</v>
      </c>
      <c r="I1532" t="s">
        <v>26</v>
      </c>
      <c r="J1532">
        <v>7</v>
      </c>
      <c r="K1532">
        <v>25419.5</v>
      </c>
      <c r="L1532" t="s">
        <v>761</v>
      </c>
      <c r="M1532">
        <v>50</v>
      </c>
      <c r="N1532" t="s">
        <v>61</v>
      </c>
      <c r="O1532" s="3" t="s">
        <v>22</v>
      </c>
      <c r="P1532" t="s">
        <v>45</v>
      </c>
      <c r="Q1532" t="s">
        <v>30</v>
      </c>
      <c r="R1532">
        <v>4</v>
      </c>
      <c r="S1532" t="s">
        <v>31</v>
      </c>
      <c r="T1532" s="4">
        <f t="shared" si="118"/>
        <v>177936.5</v>
      </c>
      <c r="U1532" s="4" t="str">
        <f t="shared" si="119"/>
        <v>Good</v>
      </c>
      <c r="V1532" s="4" t="str">
        <f t="shared" si="120"/>
        <v>Good</v>
      </c>
      <c r="W1532" s="4"/>
      <c r="X1532" s="4"/>
      <c r="AJ1532" s="4"/>
    </row>
    <row r="1533" spans="1:36">
      <c r="A1533" t="str">
        <f t="shared" si="116"/>
        <v>Vive271532</v>
      </c>
      <c r="B1533">
        <v>1532</v>
      </c>
      <c r="C1533">
        <v>18</v>
      </c>
      <c r="D1533">
        <v>12</v>
      </c>
      <c r="E1533">
        <v>2022</v>
      </c>
      <c r="F1533" s="1">
        <f t="shared" si="117"/>
        <v>44913</v>
      </c>
      <c r="G1533" s="1" t="s">
        <v>239</v>
      </c>
      <c r="H1533" s="2">
        <v>46009</v>
      </c>
      <c r="I1533" t="s">
        <v>49</v>
      </c>
      <c r="J1533">
        <v>8</v>
      </c>
      <c r="K1533">
        <v>49849.17</v>
      </c>
      <c r="L1533" t="s">
        <v>413</v>
      </c>
      <c r="M1533">
        <v>27</v>
      </c>
      <c r="N1533" t="s">
        <v>36</v>
      </c>
      <c r="O1533" s="3" t="s">
        <v>22</v>
      </c>
      <c r="P1533" t="s">
        <v>110</v>
      </c>
      <c r="Q1533" t="s">
        <v>24</v>
      </c>
      <c r="R1533">
        <v>5</v>
      </c>
      <c r="S1533" t="s">
        <v>102</v>
      </c>
      <c r="T1533" s="4">
        <f t="shared" si="118"/>
        <v>398793.36</v>
      </c>
      <c r="U1533" s="4" t="str">
        <f t="shared" si="119"/>
        <v>Good</v>
      </c>
      <c r="V1533" s="4" t="str">
        <f t="shared" si="120"/>
        <v>Excellent</v>
      </c>
      <c r="W1533" s="4"/>
      <c r="X1533" s="4"/>
      <c r="AJ1533" s="4"/>
    </row>
    <row r="1534" spans="1:36">
      <c r="A1534" t="str">
        <f t="shared" si="116"/>
        <v>Anit211533</v>
      </c>
      <c r="B1534">
        <v>1533</v>
      </c>
      <c r="C1534">
        <v>19</v>
      </c>
      <c r="D1534">
        <v>12</v>
      </c>
      <c r="E1534">
        <v>2022</v>
      </c>
      <c r="F1534" s="1">
        <f t="shared" si="117"/>
        <v>44914</v>
      </c>
      <c r="G1534" s="1" t="s">
        <v>239</v>
      </c>
      <c r="H1534" s="2">
        <v>46010</v>
      </c>
      <c r="I1534" t="s">
        <v>38</v>
      </c>
      <c r="J1534">
        <v>2</v>
      </c>
      <c r="K1534">
        <v>35163.269999999997</v>
      </c>
      <c r="L1534" t="s">
        <v>879</v>
      </c>
      <c r="M1534">
        <v>21</v>
      </c>
      <c r="N1534" t="s">
        <v>36</v>
      </c>
      <c r="O1534" s="3" t="s">
        <v>22</v>
      </c>
      <c r="P1534" t="s">
        <v>110</v>
      </c>
      <c r="Q1534" t="s">
        <v>24</v>
      </c>
      <c r="R1534">
        <v>4</v>
      </c>
      <c r="S1534" t="s">
        <v>99</v>
      </c>
      <c r="T1534" s="4">
        <f t="shared" si="118"/>
        <v>70326.539999999994</v>
      </c>
      <c r="U1534" s="4" t="str">
        <f t="shared" si="119"/>
        <v>Good</v>
      </c>
      <c r="V1534" s="4" t="str">
        <f t="shared" si="120"/>
        <v>Average</v>
      </c>
      <c r="W1534" s="4"/>
      <c r="X1534" s="4"/>
      <c r="AJ1534" s="4"/>
    </row>
    <row r="1535" spans="1:36">
      <c r="A1535" t="str">
        <f t="shared" si="116"/>
        <v>Rame321534</v>
      </c>
      <c r="B1535">
        <v>1534</v>
      </c>
      <c r="C1535">
        <v>19</v>
      </c>
      <c r="D1535">
        <v>12</v>
      </c>
      <c r="E1535">
        <v>2022</v>
      </c>
      <c r="F1535" s="1">
        <f t="shared" si="117"/>
        <v>44914</v>
      </c>
      <c r="G1535" s="1" t="s">
        <v>239</v>
      </c>
      <c r="H1535" s="2">
        <v>46011</v>
      </c>
      <c r="I1535" t="s">
        <v>49</v>
      </c>
      <c r="J1535">
        <v>4</v>
      </c>
      <c r="K1535">
        <v>67924.639999999999</v>
      </c>
      <c r="L1535" t="s">
        <v>739</v>
      </c>
      <c r="M1535">
        <v>32</v>
      </c>
      <c r="N1535" t="s">
        <v>21</v>
      </c>
      <c r="O1535" s="3" t="s">
        <v>22</v>
      </c>
      <c r="P1535" t="s">
        <v>33</v>
      </c>
      <c r="Q1535" t="s">
        <v>56</v>
      </c>
      <c r="R1535">
        <v>5</v>
      </c>
      <c r="S1535" t="s">
        <v>52</v>
      </c>
      <c r="T1535" s="4">
        <f t="shared" si="118"/>
        <v>271698.56</v>
      </c>
      <c r="U1535" s="4" t="str">
        <f t="shared" si="119"/>
        <v>Good</v>
      </c>
      <c r="V1535" s="4" t="str">
        <f t="shared" si="120"/>
        <v>Excellent</v>
      </c>
      <c r="W1535" s="4"/>
      <c r="X1535" s="4"/>
      <c r="AJ1535" s="4"/>
    </row>
    <row r="1536" spans="1:36">
      <c r="A1536" t="str">
        <f t="shared" si="116"/>
        <v>Meen231535</v>
      </c>
      <c r="B1536">
        <v>1535</v>
      </c>
      <c r="C1536">
        <v>19</v>
      </c>
      <c r="D1536">
        <v>12</v>
      </c>
      <c r="E1536">
        <v>2022</v>
      </c>
      <c r="F1536" s="1">
        <f t="shared" si="117"/>
        <v>44914</v>
      </c>
      <c r="G1536" s="1" t="s">
        <v>239</v>
      </c>
      <c r="H1536" s="2">
        <v>46012</v>
      </c>
      <c r="I1536" t="s">
        <v>19</v>
      </c>
      <c r="J1536">
        <v>3</v>
      </c>
      <c r="K1536">
        <v>51030.58</v>
      </c>
      <c r="L1536" t="s">
        <v>682</v>
      </c>
      <c r="M1536">
        <v>23</v>
      </c>
      <c r="N1536" t="s">
        <v>36</v>
      </c>
      <c r="O1536" s="3" t="s">
        <v>22</v>
      </c>
      <c r="P1536" t="s">
        <v>33</v>
      </c>
      <c r="Q1536" t="s">
        <v>41</v>
      </c>
      <c r="R1536">
        <v>5</v>
      </c>
      <c r="S1536" t="s">
        <v>25</v>
      </c>
      <c r="T1536" s="4">
        <f t="shared" si="118"/>
        <v>153091.74</v>
      </c>
      <c r="U1536" s="4" t="str">
        <f t="shared" si="119"/>
        <v>Good</v>
      </c>
      <c r="V1536" s="4" t="str">
        <f t="shared" si="120"/>
        <v>Good</v>
      </c>
      <c r="W1536" s="4"/>
      <c r="X1536" s="4"/>
      <c r="AJ1536" s="4"/>
    </row>
    <row r="1537" spans="1:36">
      <c r="A1537" t="str">
        <f t="shared" si="116"/>
        <v>Anit441536</v>
      </c>
      <c r="B1537">
        <v>1536</v>
      </c>
      <c r="C1537">
        <v>19</v>
      </c>
      <c r="D1537">
        <v>12</v>
      </c>
      <c r="E1537">
        <v>2022</v>
      </c>
      <c r="F1537" s="1">
        <f t="shared" si="117"/>
        <v>44914</v>
      </c>
      <c r="G1537" s="1" t="s">
        <v>239</v>
      </c>
      <c r="H1537" s="2">
        <v>46013</v>
      </c>
      <c r="I1537" t="s">
        <v>38</v>
      </c>
      <c r="J1537">
        <v>2</v>
      </c>
      <c r="K1537">
        <v>57522.68</v>
      </c>
      <c r="L1537" t="s">
        <v>879</v>
      </c>
      <c r="M1537">
        <v>44</v>
      </c>
      <c r="N1537" t="s">
        <v>21</v>
      </c>
      <c r="O1537" s="3" t="s">
        <v>55</v>
      </c>
      <c r="P1537" t="s">
        <v>33</v>
      </c>
      <c r="Q1537" t="s">
        <v>41</v>
      </c>
      <c r="R1537">
        <v>1</v>
      </c>
      <c r="S1537" t="s">
        <v>99</v>
      </c>
      <c r="T1537" s="4">
        <f t="shared" si="118"/>
        <v>115045.36</v>
      </c>
      <c r="U1537" s="4" t="str">
        <f t="shared" si="119"/>
        <v>Average</v>
      </c>
      <c r="V1537" s="4" t="str">
        <f t="shared" si="120"/>
        <v>Good</v>
      </c>
      <c r="W1537" s="4"/>
      <c r="X1537" s="4"/>
      <c r="AJ1537" s="4"/>
    </row>
    <row r="1538" spans="1:36">
      <c r="A1538" t="str">
        <f t="shared" ref="A1538:A1601" si="121">LEFT(L1538,4)&amp;M1538&amp;B1538</f>
        <v>Tapa221537</v>
      </c>
      <c r="B1538">
        <v>1537</v>
      </c>
      <c r="C1538">
        <v>20</v>
      </c>
      <c r="D1538">
        <v>12</v>
      </c>
      <c r="E1538">
        <v>2022</v>
      </c>
      <c r="F1538" s="1">
        <f t="shared" si="117"/>
        <v>44915</v>
      </c>
      <c r="G1538" s="1" t="s">
        <v>239</v>
      </c>
      <c r="H1538" s="2">
        <v>46014</v>
      </c>
      <c r="I1538" t="s">
        <v>19</v>
      </c>
      <c r="J1538">
        <v>6</v>
      </c>
      <c r="K1538">
        <v>27564.49</v>
      </c>
      <c r="L1538" t="s">
        <v>304</v>
      </c>
      <c r="M1538">
        <v>22</v>
      </c>
      <c r="N1538" t="s">
        <v>36</v>
      </c>
      <c r="O1538" s="3" t="s">
        <v>22</v>
      </c>
      <c r="P1538" t="s">
        <v>93</v>
      </c>
      <c r="Q1538" t="s">
        <v>30</v>
      </c>
      <c r="R1538">
        <v>5</v>
      </c>
      <c r="S1538" t="s">
        <v>37</v>
      </c>
      <c r="T1538" s="4">
        <f t="shared" si="118"/>
        <v>165386.94</v>
      </c>
      <c r="U1538" s="4" t="str">
        <f t="shared" si="119"/>
        <v>Good</v>
      </c>
      <c r="V1538" s="4" t="str">
        <f t="shared" si="120"/>
        <v>Good</v>
      </c>
      <c r="W1538" s="4"/>
      <c r="X1538" s="4"/>
      <c r="AJ1538" s="4"/>
    </row>
    <row r="1539" spans="1:36">
      <c r="A1539" t="str">
        <f t="shared" si="121"/>
        <v>Pras221538</v>
      </c>
      <c r="B1539">
        <v>1538</v>
      </c>
      <c r="C1539">
        <v>20</v>
      </c>
      <c r="D1539">
        <v>12</v>
      </c>
      <c r="E1539">
        <v>2022</v>
      </c>
      <c r="F1539" s="1">
        <f t="shared" ref="F1539:F1602" si="122">DATE(E1539,D1539,C1539)</f>
        <v>44915</v>
      </c>
      <c r="G1539" s="1" t="s">
        <v>239</v>
      </c>
      <c r="H1539" s="2">
        <v>46015</v>
      </c>
      <c r="I1539" t="s">
        <v>38</v>
      </c>
      <c r="J1539">
        <v>4</v>
      </c>
      <c r="K1539">
        <v>14751.18</v>
      </c>
      <c r="L1539" t="s">
        <v>580</v>
      </c>
      <c r="M1539">
        <v>22</v>
      </c>
      <c r="N1539" t="s">
        <v>36</v>
      </c>
      <c r="O1539" s="3" t="s">
        <v>55</v>
      </c>
      <c r="P1539" t="s">
        <v>59</v>
      </c>
      <c r="Q1539" t="s">
        <v>41</v>
      </c>
      <c r="R1539">
        <v>1</v>
      </c>
      <c r="S1539" t="s">
        <v>48</v>
      </c>
      <c r="T1539" s="4">
        <f t="shared" ref="T1539:T1602" si="123">J1539*K1539</f>
        <v>59004.72</v>
      </c>
      <c r="U1539" s="4" t="str">
        <f t="shared" ref="U1539:U1602" si="124">IF(R1539&gt;=4,"Good","Average")</f>
        <v>Average</v>
      </c>
      <c r="V1539" s="4" t="str">
        <f t="shared" ref="V1539:V1602" si="125">IF(T1539&gt;200000,"Excellent",IF(T1539&gt;100000,"Good",IF(T1539&gt;50000,"Average","Low")))</f>
        <v>Average</v>
      </c>
      <c r="W1539" s="4"/>
      <c r="X1539" s="4"/>
      <c r="AJ1539" s="4"/>
    </row>
    <row r="1540" spans="1:36">
      <c r="A1540" t="str">
        <f t="shared" si="121"/>
        <v>Suni351539</v>
      </c>
      <c r="B1540">
        <v>1539</v>
      </c>
      <c r="C1540">
        <v>20</v>
      </c>
      <c r="D1540">
        <v>12</v>
      </c>
      <c r="E1540">
        <v>2022</v>
      </c>
      <c r="F1540" s="1">
        <f t="shared" si="122"/>
        <v>44915</v>
      </c>
      <c r="G1540" s="1" t="s">
        <v>239</v>
      </c>
      <c r="H1540" s="2">
        <v>46016</v>
      </c>
      <c r="I1540" t="s">
        <v>38</v>
      </c>
      <c r="J1540">
        <v>6</v>
      </c>
      <c r="K1540">
        <v>39269.370000000003</v>
      </c>
      <c r="L1540" t="s">
        <v>648</v>
      </c>
      <c r="M1540">
        <v>35</v>
      </c>
      <c r="N1540" t="s">
        <v>21</v>
      </c>
      <c r="O1540" s="3" t="s">
        <v>22</v>
      </c>
      <c r="P1540" t="s">
        <v>132</v>
      </c>
      <c r="Q1540" t="s">
        <v>56</v>
      </c>
      <c r="R1540">
        <v>4</v>
      </c>
      <c r="S1540" t="s">
        <v>99</v>
      </c>
      <c r="T1540" s="4">
        <f t="shared" si="123"/>
        <v>235616.22000000003</v>
      </c>
      <c r="U1540" s="4" t="str">
        <f t="shared" si="124"/>
        <v>Good</v>
      </c>
      <c r="V1540" s="4" t="str">
        <f t="shared" si="125"/>
        <v>Excellent</v>
      </c>
      <c r="W1540" s="4"/>
      <c r="X1540" s="4"/>
      <c r="AJ1540" s="4"/>
    </row>
    <row r="1541" spans="1:36">
      <c r="A1541" t="str">
        <f t="shared" si="121"/>
        <v>Meen451540</v>
      </c>
      <c r="B1541">
        <v>1540</v>
      </c>
      <c r="C1541">
        <v>20</v>
      </c>
      <c r="D1541">
        <v>12</v>
      </c>
      <c r="E1541">
        <v>2022</v>
      </c>
      <c r="F1541" s="1">
        <f t="shared" si="122"/>
        <v>44915</v>
      </c>
      <c r="G1541" s="1" t="s">
        <v>239</v>
      </c>
      <c r="H1541" s="2">
        <v>46017</v>
      </c>
      <c r="I1541" t="s">
        <v>19</v>
      </c>
      <c r="J1541">
        <v>2</v>
      </c>
      <c r="K1541">
        <v>28874.89</v>
      </c>
      <c r="L1541" t="s">
        <v>880</v>
      </c>
      <c r="M1541">
        <v>45</v>
      </c>
      <c r="N1541" t="s">
        <v>21</v>
      </c>
      <c r="O1541" s="3" t="s">
        <v>28</v>
      </c>
      <c r="P1541" t="s">
        <v>77</v>
      </c>
      <c r="Q1541" t="s">
        <v>56</v>
      </c>
      <c r="R1541">
        <v>3</v>
      </c>
      <c r="S1541" t="s">
        <v>84</v>
      </c>
      <c r="T1541" s="4">
        <f t="shared" si="123"/>
        <v>57749.78</v>
      </c>
      <c r="U1541" s="4" t="str">
        <f t="shared" si="124"/>
        <v>Average</v>
      </c>
      <c r="V1541" s="4" t="str">
        <f t="shared" si="125"/>
        <v>Average</v>
      </c>
      <c r="W1541" s="4"/>
      <c r="X1541" s="4"/>
      <c r="AJ1541" s="4"/>
    </row>
    <row r="1542" spans="1:36">
      <c r="A1542" t="str">
        <f t="shared" si="121"/>
        <v>Anit521541</v>
      </c>
      <c r="B1542">
        <v>1541</v>
      </c>
      <c r="C1542">
        <v>21</v>
      </c>
      <c r="D1542">
        <v>12</v>
      </c>
      <c r="E1542">
        <v>2022</v>
      </c>
      <c r="F1542" s="1">
        <f t="shared" si="122"/>
        <v>44916</v>
      </c>
      <c r="G1542" s="1" t="s">
        <v>239</v>
      </c>
      <c r="H1542" s="2">
        <v>46018</v>
      </c>
      <c r="I1542" t="s">
        <v>26</v>
      </c>
      <c r="J1542">
        <v>4</v>
      </c>
      <c r="K1542">
        <v>22124.99</v>
      </c>
      <c r="L1542" t="s">
        <v>333</v>
      </c>
      <c r="M1542">
        <v>52</v>
      </c>
      <c r="N1542" t="s">
        <v>61</v>
      </c>
      <c r="O1542" s="3" t="s">
        <v>28</v>
      </c>
      <c r="P1542" t="s">
        <v>29</v>
      </c>
      <c r="Q1542" t="s">
        <v>30</v>
      </c>
      <c r="R1542">
        <v>3</v>
      </c>
      <c r="S1542" t="s">
        <v>31</v>
      </c>
      <c r="T1542" s="4">
        <f t="shared" si="123"/>
        <v>88499.96</v>
      </c>
      <c r="U1542" s="4" t="str">
        <f t="shared" si="124"/>
        <v>Average</v>
      </c>
      <c r="V1542" s="4" t="str">
        <f t="shared" si="125"/>
        <v>Average</v>
      </c>
      <c r="W1542" s="4"/>
      <c r="X1542" s="4"/>
      <c r="AJ1542" s="4"/>
    </row>
    <row r="1543" spans="1:36">
      <c r="A1543" t="str">
        <f t="shared" si="121"/>
        <v>Mano391542</v>
      </c>
      <c r="B1543">
        <v>1542</v>
      </c>
      <c r="C1543">
        <v>21</v>
      </c>
      <c r="D1543">
        <v>12</v>
      </c>
      <c r="E1543">
        <v>2022</v>
      </c>
      <c r="F1543" s="1">
        <f t="shared" si="122"/>
        <v>44916</v>
      </c>
      <c r="G1543" s="1" t="s">
        <v>239</v>
      </c>
      <c r="H1543" s="2">
        <v>46019</v>
      </c>
      <c r="I1543" t="s">
        <v>43</v>
      </c>
      <c r="J1543">
        <v>6</v>
      </c>
      <c r="K1543">
        <v>67158.53</v>
      </c>
      <c r="L1543" t="s">
        <v>105</v>
      </c>
      <c r="M1543">
        <v>39</v>
      </c>
      <c r="N1543" t="s">
        <v>21</v>
      </c>
      <c r="O1543" s="3" t="s">
        <v>22</v>
      </c>
      <c r="P1543" t="s">
        <v>66</v>
      </c>
      <c r="Q1543" t="s">
        <v>24</v>
      </c>
      <c r="R1543">
        <v>4</v>
      </c>
      <c r="S1543" t="s">
        <v>46</v>
      </c>
      <c r="T1543" s="4">
        <f t="shared" si="123"/>
        <v>402951.18</v>
      </c>
      <c r="U1543" s="4" t="str">
        <f t="shared" si="124"/>
        <v>Good</v>
      </c>
      <c r="V1543" s="4" t="str">
        <f t="shared" si="125"/>
        <v>Excellent</v>
      </c>
      <c r="W1543" s="4"/>
      <c r="X1543" s="4"/>
      <c r="AJ1543" s="4"/>
    </row>
    <row r="1544" spans="1:36">
      <c r="A1544" t="str">
        <f t="shared" si="121"/>
        <v>Anja511543</v>
      </c>
      <c r="B1544">
        <v>1543</v>
      </c>
      <c r="C1544">
        <v>21</v>
      </c>
      <c r="D1544">
        <v>12</v>
      </c>
      <c r="E1544">
        <v>2022</v>
      </c>
      <c r="F1544" s="1">
        <f t="shared" si="122"/>
        <v>44916</v>
      </c>
      <c r="G1544" s="1" t="s">
        <v>239</v>
      </c>
      <c r="H1544" s="2">
        <v>46020</v>
      </c>
      <c r="I1544" t="s">
        <v>49</v>
      </c>
      <c r="J1544">
        <v>5</v>
      </c>
      <c r="K1544">
        <v>36639.29</v>
      </c>
      <c r="L1544" t="s">
        <v>179</v>
      </c>
      <c r="M1544">
        <v>51</v>
      </c>
      <c r="N1544" t="s">
        <v>61</v>
      </c>
      <c r="O1544" s="3" t="s">
        <v>28</v>
      </c>
      <c r="P1544" t="s">
        <v>33</v>
      </c>
      <c r="Q1544" t="s">
        <v>24</v>
      </c>
      <c r="R1544">
        <v>3</v>
      </c>
      <c r="S1544" t="s">
        <v>52</v>
      </c>
      <c r="T1544" s="4">
        <f t="shared" si="123"/>
        <v>183196.45</v>
      </c>
      <c r="U1544" s="4" t="str">
        <f t="shared" si="124"/>
        <v>Average</v>
      </c>
      <c r="V1544" s="4" t="str">
        <f t="shared" si="125"/>
        <v>Good</v>
      </c>
      <c r="W1544" s="4"/>
      <c r="X1544" s="4"/>
      <c r="AJ1544" s="4"/>
    </row>
    <row r="1545" spans="1:36">
      <c r="A1545" t="str">
        <f t="shared" si="121"/>
        <v>Anan211544</v>
      </c>
      <c r="B1545">
        <v>1544</v>
      </c>
      <c r="C1545">
        <v>22</v>
      </c>
      <c r="D1545">
        <v>12</v>
      </c>
      <c r="E1545">
        <v>2022</v>
      </c>
      <c r="F1545" s="1">
        <f t="shared" si="122"/>
        <v>44917</v>
      </c>
      <c r="G1545" s="1" t="s">
        <v>239</v>
      </c>
      <c r="H1545" s="2">
        <v>46021</v>
      </c>
      <c r="I1545" t="s">
        <v>38</v>
      </c>
      <c r="J1545">
        <v>3</v>
      </c>
      <c r="K1545">
        <v>20482.52</v>
      </c>
      <c r="L1545" t="s">
        <v>618</v>
      </c>
      <c r="M1545">
        <v>21</v>
      </c>
      <c r="N1545" t="s">
        <v>36</v>
      </c>
      <c r="O1545" s="3" t="s">
        <v>22</v>
      </c>
      <c r="P1545" t="s">
        <v>29</v>
      </c>
      <c r="Q1545" t="s">
        <v>56</v>
      </c>
      <c r="R1545">
        <v>5</v>
      </c>
      <c r="S1545" t="s">
        <v>99</v>
      </c>
      <c r="T1545" s="4">
        <f t="shared" si="123"/>
        <v>61447.56</v>
      </c>
      <c r="U1545" s="4" t="str">
        <f t="shared" si="124"/>
        <v>Good</v>
      </c>
      <c r="V1545" s="4" t="str">
        <f t="shared" si="125"/>
        <v>Average</v>
      </c>
      <c r="W1545" s="4"/>
      <c r="X1545" s="4"/>
      <c r="AJ1545" s="4"/>
    </row>
    <row r="1546" spans="1:36">
      <c r="A1546" t="str">
        <f t="shared" si="121"/>
        <v>Suni351545</v>
      </c>
      <c r="B1546">
        <v>1545</v>
      </c>
      <c r="C1546">
        <v>22</v>
      </c>
      <c r="D1546">
        <v>12</v>
      </c>
      <c r="E1546">
        <v>2022</v>
      </c>
      <c r="F1546" s="1">
        <f t="shared" si="122"/>
        <v>44917</v>
      </c>
      <c r="G1546" s="1" t="s">
        <v>239</v>
      </c>
      <c r="H1546" s="2">
        <v>46022</v>
      </c>
      <c r="I1546" t="s">
        <v>49</v>
      </c>
      <c r="J1546">
        <v>8</v>
      </c>
      <c r="K1546">
        <v>21919.040000000001</v>
      </c>
      <c r="L1546" t="s">
        <v>244</v>
      </c>
      <c r="M1546">
        <v>35</v>
      </c>
      <c r="N1546" t="s">
        <v>21</v>
      </c>
      <c r="O1546" s="3" t="s">
        <v>22</v>
      </c>
      <c r="P1546" t="s">
        <v>29</v>
      </c>
      <c r="Q1546" t="s">
        <v>30</v>
      </c>
      <c r="R1546">
        <v>5</v>
      </c>
      <c r="S1546" t="s">
        <v>88</v>
      </c>
      <c r="T1546" s="4">
        <f t="shared" si="123"/>
        <v>175352.32000000001</v>
      </c>
      <c r="U1546" s="4" t="str">
        <f t="shared" si="124"/>
        <v>Good</v>
      </c>
      <c r="V1546" s="4" t="str">
        <f t="shared" si="125"/>
        <v>Good</v>
      </c>
      <c r="W1546" s="4"/>
      <c r="X1546" s="4"/>
      <c r="AJ1546" s="4"/>
    </row>
    <row r="1547" spans="1:36">
      <c r="A1547" t="str">
        <f t="shared" si="121"/>
        <v>Deep581546</v>
      </c>
      <c r="B1547">
        <v>1546</v>
      </c>
      <c r="C1547">
        <v>22</v>
      </c>
      <c r="D1547">
        <v>12</v>
      </c>
      <c r="E1547">
        <v>2022</v>
      </c>
      <c r="F1547" s="1">
        <f t="shared" si="122"/>
        <v>44917</v>
      </c>
      <c r="G1547" s="1" t="s">
        <v>239</v>
      </c>
      <c r="H1547" s="2">
        <v>46023</v>
      </c>
      <c r="I1547" t="s">
        <v>19</v>
      </c>
      <c r="J1547">
        <v>7</v>
      </c>
      <c r="K1547">
        <v>26842.58</v>
      </c>
      <c r="L1547" t="s">
        <v>627</v>
      </c>
      <c r="M1547">
        <v>58</v>
      </c>
      <c r="N1547" t="s">
        <v>61</v>
      </c>
      <c r="O1547" s="3" t="s">
        <v>22</v>
      </c>
      <c r="P1547" t="s">
        <v>66</v>
      </c>
      <c r="Q1547" t="s">
        <v>56</v>
      </c>
      <c r="R1547">
        <v>5</v>
      </c>
      <c r="S1547" t="s">
        <v>25</v>
      </c>
      <c r="T1547" s="4">
        <f t="shared" si="123"/>
        <v>187898.06</v>
      </c>
      <c r="U1547" s="4" t="str">
        <f t="shared" si="124"/>
        <v>Good</v>
      </c>
      <c r="V1547" s="4" t="str">
        <f t="shared" si="125"/>
        <v>Good</v>
      </c>
      <c r="W1547" s="4"/>
      <c r="X1547" s="4"/>
      <c r="AJ1547" s="4"/>
    </row>
    <row r="1548" spans="1:36">
      <c r="A1548" t="str">
        <f t="shared" si="121"/>
        <v>Suni431547</v>
      </c>
      <c r="B1548">
        <v>1547</v>
      </c>
      <c r="C1548">
        <v>23</v>
      </c>
      <c r="D1548">
        <v>12</v>
      </c>
      <c r="E1548">
        <v>2022</v>
      </c>
      <c r="F1548" s="1">
        <f t="shared" si="122"/>
        <v>44918</v>
      </c>
      <c r="G1548" s="1" t="s">
        <v>239</v>
      </c>
      <c r="H1548" s="2">
        <v>46024</v>
      </c>
      <c r="I1548" t="s">
        <v>49</v>
      </c>
      <c r="J1548">
        <v>3</v>
      </c>
      <c r="K1548">
        <v>69958.98</v>
      </c>
      <c r="L1548" t="s">
        <v>131</v>
      </c>
      <c r="M1548">
        <v>43</v>
      </c>
      <c r="N1548" t="s">
        <v>21</v>
      </c>
      <c r="O1548" s="3" t="s">
        <v>22</v>
      </c>
      <c r="P1548" t="s">
        <v>29</v>
      </c>
      <c r="Q1548" t="s">
        <v>41</v>
      </c>
      <c r="R1548">
        <v>5</v>
      </c>
      <c r="S1548" t="s">
        <v>88</v>
      </c>
      <c r="T1548" s="4">
        <f t="shared" si="123"/>
        <v>209876.94</v>
      </c>
      <c r="U1548" s="4" t="str">
        <f t="shared" si="124"/>
        <v>Good</v>
      </c>
      <c r="V1548" s="4" t="str">
        <f t="shared" si="125"/>
        <v>Excellent</v>
      </c>
      <c r="W1548" s="4"/>
      <c r="X1548" s="4"/>
      <c r="AJ1548" s="4"/>
    </row>
    <row r="1549" spans="1:36">
      <c r="A1549" t="str">
        <f t="shared" si="121"/>
        <v>Gita591548</v>
      </c>
      <c r="B1549">
        <v>1548</v>
      </c>
      <c r="C1549">
        <v>23</v>
      </c>
      <c r="D1549">
        <v>12</v>
      </c>
      <c r="E1549">
        <v>2022</v>
      </c>
      <c r="F1549" s="1">
        <f t="shared" si="122"/>
        <v>44918</v>
      </c>
      <c r="G1549" s="1" t="s">
        <v>239</v>
      </c>
      <c r="H1549" s="2">
        <v>46025</v>
      </c>
      <c r="I1549" t="s">
        <v>19</v>
      </c>
      <c r="J1549">
        <v>6</v>
      </c>
      <c r="K1549">
        <v>26080.69</v>
      </c>
      <c r="L1549" t="s">
        <v>547</v>
      </c>
      <c r="M1549">
        <v>59</v>
      </c>
      <c r="N1549" t="s">
        <v>61</v>
      </c>
      <c r="O1549" s="3" t="s">
        <v>28</v>
      </c>
      <c r="P1549" t="s">
        <v>117</v>
      </c>
      <c r="Q1549" t="s">
        <v>41</v>
      </c>
      <c r="R1549">
        <v>3</v>
      </c>
      <c r="S1549" t="s">
        <v>37</v>
      </c>
      <c r="T1549" s="4">
        <f t="shared" si="123"/>
        <v>156484.13999999998</v>
      </c>
      <c r="U1549" s="4" t="str">
        <f t="shared" si="124"/>
        <v>Average</v>
      </c>
      <c r="V1549" s="4" t="str">
        <f t="shared" si="125"/>
        <v>Good</v>
      </c>
      <c r="W1549" s="4"/>
      <c r="X1549" s="4"/>
      <c r="AJ1549" s="4"/>
    </row>
    <row r="1550" spans="1:36">
      <c r="A1550" t="str">
        <f t="shared" si="121"/>
        <v>Mala391549</v>
      </c>
      <c r="B1550">
        <v>1549</v>
      </c>
      <c r="C1550">
        <v>23</v>
      </c>
      <c r="D1550">
        <v>12</v>
      </c>
      <c r="E1550">
        <v>2022</v>
      </c>
      <c r="F1550" s="1">
        <f t="shared" si="122"/>
        <v>44918</v>
      </c>
      <c r="G1550" s="1" t="s">
        <v>239</v>
      </c>
      <c r="H1550" s="2">
        <v>46026</v>
      </c>
      <c r="I1550" t="s">
        <v>49</v>
      </c>
      <c r="J1550">
        <v>4</v>
      </c>
      <c r="K1550">
        <v>29728.11</v>
      </c>
      <c r="L1550" t="s">
        <v>881</v>
      </c>
      <c r="M1550">
        <v>39</v>
      </c>
      <c r="N1550" t="s">
        <v>21</v>
      </c>
      <c r="O1550" s="3" t="s">
        <v>55</v>
      </c>
      <c r="P1550" t="s">
        <v>137</v>
      </c>
      <c r="Q1550" t="s">
        <v>56</v>
      </c>
      <c r="R1550">
        <v>1</v>
      </c>
      <c r="S1550" t="s">
        <v>52</v>
      </c>
      <c r="T1550" s="4">
        <f t="shared" si="123"/>
        <v>118912.44</v>
      </c>
      <c r="U1550" s="4" t="str">
        <f t="shared" si="124"/>
        <v>Average</v>
      </c>
      <c r="V1550" s="4" t="str">
        <f t="shared" si="125"/>
        <v>Good</v>
      </c>
      <c r="W1550" s="4"/>
      <c r="X1550" s="4"/>
      <c r="AJ1550" s="4"/>
    </row>
    <row r="1551" spans="1:36">
      <c r="A1551" t="str">
        <f t="shared" si="121"/>
        <v>Amit501550</v>
      </c>
      <c r="B1551">
        <v>1550</v>
      </c>
      <c r="C1551">
        <v>24</v>
      </c>
      <c r="D1551">
        <v>12</v>
      </c>
      <c r="E1551">
        <v>2022</v>
      </c>
      <c r="F1551" s="1">
        <f t="shared" si="122"/>
        <v>44919</v>
      </c>
      <c r="G1551" s="1" t="s">
        <v>239</v>
      </c>
      <c r="H1551" s="2">
        <v>46027</v>
      </c>
      <c r="I1551" t="s">
        <v>43</v>
      </c>
      <c r="J1551">
        <v>5</v>
      </c>
      <c r="K1551">
        <v>49559.69</v>
      </c>
      <c r="L1551" t="s">
        <v>591</v>
      </c>
      <c r="M1551">
        <v>50</v>
      </c>
      <c r="N1551" t="s">
        <v>61</v>
      </c>
      <c r="O1551" s="3" t="s">
        <v>22</v>
      </c>
      <c r="P1551" t="s">
        <v>33</v>
      </c>
      <c r="Q1551" t="s">
        <v>24</v>
      </c>
      <c r="R1551">
        <v>5</v>
      </c>
      <c r="S1551" t="s">
        <v>57</v>
      </c>
      <c r="T1551" s="4">
        <f t="shared" si="123"/>
        <v>247798.45</v>
      </c>
      <c r="U1551" s="4" t="str">
        <f t="shared" si="124"/>
        <v>Good</v>
      </c>
      <c r="V1551" s="4" t="str">
        <f t="shared" si="125"/>
        <v>Excellent</v>
      </c>
      <c r="W1551" s="4"/>
      <c r="X1551" s="4"/>
      <c r="AJ1551" s="4"/>
    </row>
    <row r="1552" spans="1:36">
      <c r="A1552" t="str">
        <f t="shared" si="121"/>
        <v>Shru311551</v>
      </c>
      <c r="B1552">
        <v>1551</v>
      </c>
      <c r="C1552">
        <v>24</v>
      </c>
      <c r="D1552">
        <v>12</v>
      </c>
      <c r="E1552">
        <v>2022</v>
      </c>
      <c r="F1552" s="1">
        <f t="shared" si="122"/>
        <v>44919</v>
      </c>
      <c r="G1552" s="1" t="s">
        <v>239</v>
      </c>
      <c r="H1552" s="2">
        <v>46028</v>
      </c>
      <c r="I1552" t="s">
        <v>43</v>
      </c>
      <c r="J1552">
        <v>5</v>
      </c>
      <c r="K1552">
        <v>27637.68</v>
      </c>
      <c r="L1552" t="s">
        <v>122</v>
      </c>
      <c r="M1552">
        <v>31</v>
      </c>
      <c r="N1552" t="s">
        <v>21</v>
      </c>
      <c r="O1552" s="3" t="s">
        <v>55</v>
      </c>
      <c r="P1552" t="s">
        <v>33</v>
      </c>
      <c r="Q1552" t="s">
        <v>41</v>
      </c>
      <c r="R1552">
        <v>1</v>
      </c>
      <c r="S1552" t="s">
        <v>46</v>
      </c>
      <c r="T1552" s="4">
        <f t="shared" si="123"/>
        <v>138188.4</v>
      </c>
      <c r="U1552" s="4" t="str">
        <f t="shared" si="124"/>
        <v>Average</v>
      </c>
      <c r="V1552" s="4" t="str">
        <f t="shared" si="125"/>
        <v>Good</v>
      </c>
      <c r="W1552" s="4"/>
      <c r="X1552" s="4"/>
      <c r="AJ1552" s="4"/>
    </row>
    <row r="1553" spans="1:36">
      <c r="A1553" t="str">
        <f t="shared" si="121"/>
        <v>Rame481552</v>
      </c>
      <c r="B1553">
        <v>1552</v>
      </c>
      <c r="C1553">
        <v>24</v>
      </c>
      <c r="D1553">
        <v>12</v>
      </c>
      <c r="E1553">
        <v>2022</v>
      </c>
      <c r="F1553" s="1">
        <f t="shared" si="122"/>
        <v>44919</v>
      </c>
      <c r="G1553" s="1" t="s">
        <v>239</v>
      </c>
      <c r="H1553" s="2">
        <v>46029</v>
      </c>
      <c r="I1553" t="s">
        <v>43</v>
      </c>
      <c r="J1553">
        <v>7</v>
      </c>
      <c r="K1553">
        <v>22948.26</v>
      </c>
      <c r="L1553" t="s">
        <v>882</v>
      </c>
      <c r="M1553">
        <v>48</v>
      </c>
      <c r="N1553" t="s">
        <v>61</v>
      </c>
      <c r="O1553" s="3" t="s">
        <v>28</v>
      </c>
      <c r="P1553" t="s">
        <v>40</v>
      </c>
      <c r="Q1553" t="s">
        <v>30</v>
      </c>
      <c r="R1553">
        <v>3</v>
      </c>
      <c r="S1553" t="s">
        <v>57</v>
      </c>
      <c r="T1553" s="4">
        <f t="shared" si="123"/>
        <v>160637.81999999998</v>
      </c>
      <c r="U1553" s="4" t="str">
        <f t="shared" si="124"/>
        <v>Average</v>
      </c>
      <c r="V1553" s="4" t="str">
        <f t="shared" si="125"/>
        <v>Good</v>
      </c>
      <c r="W1553" s="4"/>
      <c r="X1553" s="4"/>
      <c r="AJ1553" s="4"/>
    </row>
    <row r="1554" spans="1:36">
      <c r="A1554" t="str">
        <f t="shared" si="121"/>
        <v>Reen271553</v>
      </c>
      <c r="B1554">
        <v>1553</v>
      </c>
      <c r="C1554">
        <v>24</v>
      </c>
      <c r="D1554">
        <v>12</v>
      </c>
      <c r="E1554">
        <v>2022</v>
      </c>
      <c r="F1554" s="1">
        <f t="shared" si="122"/>
        <v>44919</v>
      </c>
      <c r="G1554" s="1" t="s">
        <v>239</v>
      </c>
      <c r="H1554" s="2">
        <v>46030</v>
      </c>
      <c r="I1554" t="s">
        <v>43</v>
      </c>
      <c r="J1554">
        <v>5</v>
      </c>
      <c r="K1554">
        <v>19518.23</v>
      </c>
      <c r="L1554" t="s">
        <v>883</v>
      </c>
      <c r="M1554">
        <v>27</v>
      </c>
      <c r="N1554" t="s">
        <v>36</v>
      </c>
      <c r="O1554" s="3" t="s">
        <v>55</v>
      </c>
      <c r="P1554" t="s">
        <v>90</v>
      </c>
      <c r="Q1554" t="s">
        <v>24</v>
      </c>
      <c r="R1554">
        <v>1</v>
      </c>
      <c r="S1554" t="s">
        <v>46</v>
      </c>
      <c r="T1554" s="4">
        <f t="shared" si="123"/>
        <v>97591.15</v>
      </c>
      <c r="U1554" s="4" t="str">
        <f t="shared" si="124"/>
        <v>Average</v>
      </c>
      <c r="V1554" s="4" t="str">
        <f t="shared" si="125"/>
        <v>Average</v>
      </c>
      <c r="W1554" s="4"/>
      <c r="X1554" s="4"/>
      <c r="AJ1554" s="4"/>
    </row>
    <row r="1555" spans="1:36">
      <c r="A1555" t="str">
        <f t="shared" si="121"/>
        <v>Anan411554</v>
      </c>
      <c r="B1555">
        <v>1554</v>
      </c>
      <c r="C1555">
        <v>25</v>
      </c>
      <c r="D1555">
        <v>12</v>
      </c>
      <c r="E1555">
        <v>2022</v>
      </c>
      <c r="F1555" s="1">
        <f t="shared" si="122"/>
        <v>44920</v>
      </c>
      <c r="G1555" s="1" t="s">
        <v>239</v>
      </c>
      <c r="H1555" s="2">
        <v>46031</v>
      </c>
      <c r="I1555" t="s">
        <v>43</v>
      </c>
      <c r="J1555">
        <v>3</v>
      </c>
      <c r="K1555">
        <v>28760.959999999999</v>
      </c>
      <c r="L1555" t="s">
        <v>618</v>
      </c>
      <c r="M1555">
        <v>41</v>
      </c>
      <c r="N1555" t="s">
        <v>21</v>
      </c>
      <c r="O1555" s="3" t="s">
        <v>28</v>
      </c>
      <c r="P1555" t="s">
        <v>64</v>
      </c>
      <c r="Q1555" t="s">
        <v>41</v>
      </c>
      <c r="R1555">
        <v>3</v>
      </c>
      <c r="S1555" t="s">
        <v>57</v>
      </c>
      <c r="T1555" s="4">
        <f t="shared" si="123"/>
        <v>86282.880000000005</v>
      </c>
      <c r="U1555" s="4" t="str">
        <f t="shared" si="124"/>
        <v>Average</v>
      </c>
      <c r="V1555" s="4" t="str">
        <f t="shared" si="125"/>
        <v>Average</v>
      </c>
      <c r="W1555" s="4"/>
      <c r="X1555" s="4"/>
      <c r="AJ1555" s="4"/>
    </row>
    <row r="1556" spans="1:36">
      <c r="A1556" t="str">
        <f t="shared" si="121"/>
        <v>Suni381555</v>
      </c>
      <c r="B1556">
        <v>1555</v>
      </c>
      <c r="C1556">
        <v>25</v>
      </c>
      <c r="D1556">
        <v>12</v>
      </c>
      <c r="E1556">
        <v>2022</v>
      </c>
      <c r="F1556" s="1">
        <f t="shared" si="122"/>
        <v>44920</v>
      </c>
      <c r="G1556" s="1" t="s">
        <v>239</v>
      </c>
      <c r="H1556" s="2">
        <v>46032</v>
      </c>
      <c r="I1556" t="s">
        <v>43</v>
      </c>
      <c r="J1556">
        <v>5</v>
      </c>
      <c r="K1556">
        <v>16354.94</v>
      </c>
      <c r="L1556" t="s">
        <v>653</v>
      </c>
      <c r="M1556">
        <v>38</v>
      </c>
      <c r="N1556" t="s">
        <v>21</v>
      </c>
      <c r="O1556" s="3" t="s">
        <v>22</v>
      </c>
      <c r="P1556" t="s">
        <v>29</v>
      </c>
      <c r="Q1556" t="s">
        <v>56</v>
      </c>
      <c r="R1556">
        <v>5</v>
      </c>
      <c r="S1556" t="s">
        <v>46</v>
      </c>
      <c r="T1556" s="4">
        <f t="shared" si="123"/>
        <v>81774.7</v>
      </c>
      <c r="U1556" s="4" t="str">
        <f t="shared" si="124"/>
        <v>Good</v>
      </c>
      <c r="V1556" s="4" t="str">
        <f t="shared" si="125"/>
        <v>Average</v>
      </c>
      <c r="W1556" s="4"/>
      <c r="X1556" s="4"/>
      <c r="AJ1556" s="4"/>
    </row>
    <row r="1557" spans="1:36">
      <c r="A1557" t="str">
        <f t="shared" si="121"/>
        <v>Roha251556</v>
      </c>
      <c r="B1557">
        <v>1556</v>
      </c>
      <c r="C1557">
        <v>25</v>
      </c>
      <c r="D1557">
        <v>12</v>
      </c>
      <c r="E1557">
        <v>2022</v>
      </c>
      <c r="F1557" s="1">
        <f t="shared" si="122"/>
        <v>44920</v>
      </c>
      <c r="G1557" s="1" t="s">
        <v>239</v>
      </c>
      <c r="H1557" s="2">
        <v>46033</v>
      </c>
      <c r="I1557" t="s">
        <v>19</v>
      </c>
      <c r="J1557">
        <v>7</v>
      </c>
      <c r="K1557">
        <v>11118.8</v>
      </c>
      <c r="L1557" t="s">
        <v>620</v>
      </c>
      <c r="M1557">
        <v>25</v>
      </c>
      <c r="N1557" t="s">
        <v>36</v>
      </c>
      <c r="O1557" s="3" t="s">
        <v>22</v>
      </c>
      <c r="P1557" t="s">
        <v>29</v>
      </c>
      <c r="Q1557" t="s">
        <v>24</v>
      </c>
      <c r="R1557">
        <v>5</v>
      </c>
      <c r="S1557" t="s">
        <v>84</v>
      </c>
      <c r="T1557" s="4">
        <f t="shared" si="123"/>
        <v>77831.599999999991</v>
      </c>
      <c r="U1557" s="4" t="str">
        <f t="shared" si="124"/>
        <v>Good</v>
      </c>
      <c r="V1557" s="4" t="str">
        <f t="shared" si="125"/>
        <v>Average</v>
      </c>
      <c r="W1557" s="4"/>
      <c r="X1557" s="4"/>
      <c r="AJ1557" s="4"/>
    </row>
    <row r="1558" spans="1:36">
      <c r="A1558" t="str">
        <f t="shared" si="121"/>
        <v>Suni491557</v>
      </c>
      <c r="B1558">
        <v>1557</v>
      </c>
      <c r="C1558">
        <v>26</v>
      </c>
      <c r="D1558">
        <v>12</v>
      </c>
      <c r="E1558">
        <v>2022</v>
      </c>
      <c r="F1558" s="1">
        <f t="shared" si="122"/>
        <v>44921</v>
      </c>
      <c r="G1558" s="1" t="s">
        <v>239</v>
      </c>
      <c r="H1558" s="2">
        <v>46034</v>
      </c>
      <c r="I1558" t="s">
        <v>38</v>
      </c>
      <c r="J1558">
        <v>5</v>
      </c>
      <c r="K1558">
        <v>58278.5</v>
      </c>
      <c r="L1558" t="s">
        <v>884</v>
      </c>
      <c r="M1558">
        <v>49</v>
      </c>
      <c r="N1558" t="s">
        <v>61</v>
      </c>
      <c r="O1558" s="3" t="s">
        <v>22</v>
      </c>
      <c r="P1558" t="s">
        <v>90</v>
      </c>
      <c r="Q1558" t="s">
        <v>24</v>
      </c>
      <c r="R1558">
        <v>4</v>
      </c>
      <c r="S1558" t="s">
        <v>42</v>
      </c>
      <c r="T1558" s="4">
        <f t="shared" si="123"/>
        <v>291392.5</v>
      </c>
      <c r="U1558" s="4" t="str">
        <f t="shared" si="124"/>
        <v>Good</v>
      </c>
      <c r="V1558" s="4" t="str">
        <f t="shared" si="125"/>
        <v>Excellent</v>
      </c>
      <c r="W1558" s="4"/>
      <c r="X1558" s="4"/>
      <c r="AJ1558" s="4"/>
    </row>
    <row r="1559" spans="1:36">
      <c r="A1559" t="str">
        <f t="shared" si="121"/>
        <v>Bhav481558</v>
      </c>
      <c r="B1559">
        <v>1558</v>
      </c>
      <c r="C1559">
        <v>26</v>
      </c>
      <c r="D1559">
        <v>12</v>
      </c>
      <c r="E1559">
        <v>2022</v>
      </c>
      <c r="F1559" s="1">
        <f t="shared" si="122"/>
        <v>44921</v>
      </c>
      <c r="G1559" s="1" t="s">
        <v>239</v>
      </c>
      <c r="H1559" s="2">
        <v>46035</v>
      </c>
      <c r="I1559" t="s">
        <v>49</v>
      </c>
      <c r="J1559">
        <v>5</v>
      </c>
      <c r="K1559">
        <v>18273.7</v>
      </c>
      <c r="L1559" t="s">
        <v>775</v>
      </c>
      <c r="M1559">
        <v>48</v>
      </c>
      <c r="N1559" t="s">
        <v>61</v>
      </c>
      <c r="O1559" s="3" t="s">
        <v>28</v>
      </c>
      <c r="P1559" t="s">
        <v>33</v>
      </c>
      <c r="Q1559" t="s">
        <v>41</v>
      </c>
      <c r="R1559">
        <v>3</v>
      </c>
      <c r="S1559" t="s">
        <v>102</v>
      </c>
      <c r="T1559" s="4">
        <f t="shared" si="123"/>
        <v>91368.5</v>
      </c>
      <c r="U1559" s="4" t="str">
        <f t="shared" si="124"/>
        <v>Average</v>
      </c>
      <c r="V1559" s="4" t="str">
        <f t="shared" si="125"/>
        <v>Average</v>
      </c>
      <c r="W1559" s="4"/>
      <c r="X1559" s="4"/>
      <c r="AJ1559" s="4"/>
    </row>
    <row r="1560" spans="1:36">
      <c r="A1560" t="str">
        <f t="shared" si="121"/>
        <v>Priy511559</v>
      </c>
      <c r="B1560">
        <v>1559</v>
      </c>
      <c r="C1560">
        <v>26</v>
      </c>
      <c r="D1560">
        <v>12</v>
      </c>
      <c r="E1560">
        <v>2022</v>
      </c>
      <c r="F1560" s="1">
        <f t="shared" si="122"/>
        <v>44921</v>
      </c>
      <c r="G1560" s="1" t="s">
        <v>239</v>
      </c>
      <c r="H1560" s="2">
        <v>46036</v>
      </c>
      <c r="I1560" t="s">
        <v>43</v>
      </c>
      <c r="J1560">
        <v>9</v>
      </c>
      <c r="K1560">
        <v>56558.61</v>
      </c>
      <c r="L1560" t="s">
        <v>885</v>
      </c>
      <c r="M1560">
        <v>51</v>
      </c>
      <c r="N1560" t="s">
        <v>61</v>
      </c>
      <c r="O1560" s="3" t="s">
        <v>22</v>
      </c>
      <c r="P1560" t="s">
        <v>29</v>
      </c>
      <c r="Q1560" t="s">
        <v>30</v>
      </c>
      <c r="R1560">
        <v>5</v>
      </c>
      <c r="S1560" t="s">
        <v>46</v>
      </c>
      <c r="T1560" s="4">
        <f t="shared" si="123"/>
        <v>509027.49</v>
      </c>
      <c r="U1560" s="4" t="str">
        <f t="shared" si="124"/>
        <v>Good</v>
      </c>
      <c r="V1560" s="4" t="str">
        <f t="shared" si="125"/>
        <v>Excellent</v>
      </c>
      <c r="W1560" s="4"/>
      <c r="X1560" s="4"/>
      <c r="AJ1560" s="4"/>
    </row>
    <row r="1561" spans="1:36">
      <c r="A1561" t="str">
        <f t="shared" si="121"/>
        <v>Sanj401560</v>
      </c>
      <c r="B1561">
        <v>1560</v>
      </c>
      <c r="C1561">
        <v>26</v>
      </c>
      <c r="D1561">
        <v>12</v>
      </c>
      <c r="E1561">
        <v>2022</v>
      </c>
      <c r="F1561" s="1">
        <f t="shared" si="122"/>
        <v>44921</v>
      </c>
      <c r="G1561" s="1" t="s">
        <v>239</v>
      </c>
      <c r="H1561" s="2">
        <v>46037</v>
      </c>
      <c r="I1561" t="s">
        <v>19</v>
      </c>
      <c r="J1561">
        <v>3</v>
      </c>
      <c r="K1561">
        <v>57852.55</v>
      </c>
      <c r="L1561" t="s">
        <v>886</v>
      </c>
      <c r="M1561">
        <v>40</v>
      </c>
      <c r="N1561" t="s">
        <v>21</v>
      </c>
      <c r="O1561" s="3" t="s">
        <v>55</v>
      </c>
      <c r="P1561" t="s">
        <v>70</v>
      </c>
      <c r="Q1561" t="s">
        <v>41</v>
      </c>
      <c r="R1561">
        <v>1</v>
      </c>
      <c r="S1561" t="s">
        <v>84</v>
      </c>
      <c r="T1561" s="4">
        <f t="shared" si="123"/>
        <v>173557.65000000002</v>
      </c>
      <c r="U1561" s="4" t="str">
        <f t="shared" si="124"/>
        <v>Average</v>
      </c>
      <c r="V1561" s="4" t="str">
        <f t="shared" si="125"/>
        <v>Good</v>
      </c>
      <c r="W1561" s="4"/>
      <c r="X1561" s="4"/>
      <c r="AJ1561" s="4"/>
    </row>
    <row r="1562" spans="1:36">
      <c r="A1562" t="str">
        <f t="shared" si="121"/>
        <v>Meen421561</v>
      </c>
      <c r="B1562">
        <v>1561</v>
      </c>
      <c r="C1562">
        <v>27</v>
      </c>
      <c r="D1562">
        <v>12</v>
      </c>
      <c r="E1562">
        <v>2022</v>
      </c>
      <c r="F1562" s="1">
        <f t="shared" si="122"/>
        <v>44922</v>
      </c>
      <c r="G1562" s="1" t="s">
        <v>239</v>
      </c>
      <c r="H1562" s="2">
        <v>46038</v>
      </c>
      <c r="I1562" t="s">
        <v>19</v>
      </c>
      <c r="J1562">
        <v>6</v>
      </c>
      <c r="K1562">
        <v>42275.17</v>
      </c>
      <c r="L1562" t="s">
        <v>887</v>
      </c>
      <c r="M1562">
        <v>42</v>
      </c>
      <c r="N1562" t="s">
        <v>21</v>
      </c>
      <c r="O1562" s="3" t="s">
        <v>22</v>
      </c>
      <c r="P1562" t="s">
        <v>150</v>
      </c>
      <c r="Q1562" t="s">
        <v>41</v>
      </c>
      <c r="R1562">
        <v>5</v>
      </c>
      <c r="S1562" t="s">
        <v>37</v>
      </c>
      <c r="T1562" s="4">
        <f t="shared" si="123"/>
        <v>253651.02</v>
      </c>
      <c r="U1562" s="4" t="str">
        <f t="shared" si="124"/>
        <v>Good</v>
      </c>
      <c r="V1562" s="4" t="str">
        <f t="shared" si="125"/>
        <v>Excellent</v>
      </c>
      <c r="W1562" s="4"/>
      <c r="X1562" s="4"/>
      <c r="AJ1562" s="4"/>
    </row>
    <row r="1563" spans="1:36">
      <c r="A1563" t="str">
        <f t="shared" si="121"/>
        <v>Meen241562</v>
      </c>
      <c r="B1563">
        <v>1562</v>
      </c>
      <c r="C1563">
        <v>27</v>
      </c>
      <c r="D1563">
        <v>12</v>
      </c>
      <c r="E1563">
        <v>2022</v>
      </c>
      <c r="F1563" s="1">
        <f t="shared" si="122"/>
        <v>44922</v>
      </c>
      <c r="G1563" s="1" t="s">
        <v>239</v>
      </c>
      <c r="H1563" s="2">
        <v>46039</v>
      </c>
      <c r="I1563" t="s">
        <v>19</v>
      </c>
      <c r="J1563">
        <v>1</v>
      </c>
      <c r="K1563">
        <v>28580.92</v>
      </c>
      <c r="L1563" t="s">
        <v>319</v>
      </c>
      <c r="M1563">
        <v>24</v>
      </c>
      <c r="N1563" t="s">
        <v>36</v>
      </c>
      <c r="O1563" s="3" t="s">
        <v>55</v>
      </c>
      <c r="P1563" t="s">
        <v>33</v>
      </c>
      <c r="Q1563" t="s">
        <v>41</v>
      </c>
      <c r="R1563">
        <v>1</v>
      </c>
      <c r="S1563" t="s">
        <v>25</v>
      </c>
      <c r="T1563" s="4">
        <f t="shared" si="123"/>
        <v>28580.92</v>
      </c>
      <c r="U1563" s="4" t="str">
        <f t="shared" si="124"/>
        <v>Average</v>
      </c>
      <c r="V1563" s="4" t="str">
        <f t="shared" si="125"/>
        <v>Low</v>
      </c>
      <c r="W1563" s="4"/>
      <c r="X1563" s="4"/>
      <c r="AJ1563" s="4"/>
    </row>
    <row r="1564" spans="1:36">
      <c r="A1564" t="str">
        <f t="shared" si="121"/>
        <v>Mano361563</v>
      </c>
      <c r="B1564">
        <v>1563</v>
      </c>
      <c r="C1564">
        <v>27</v>
      </c>
      <c r="D1564">
        <v>12</v>
      </c>
      <c r="E1564">
        <v>2022</v>
      </c>
      <c r="F1564" s="1">
        <f t="shared" si="122"/>
        <v>44922</v>
      </c>
      <c r="G1564" s="1" t="s">
        <v>239</v>
      </c>
      <c r="H1564" s="2">
        <v>46040</v>
      </c>
      <c r="I1564" t="s">
        <v>38</v>
      </c>
      <c r="J1564">
        <v>5</v>
      </c>
      <c r="K1564">
        <v>18701.96</v>
      </c>
      <c r="L1564" t="s">
        <v>873</v>
      </c>
      <c r="M1564">
        <v>36</v>
      </c>
      <c r="N1564" t="s">
        <v>21</v>
      </c>
      <c r="O1564" s="3" t="s">
        <v>55</v>
      </c>
      <c r="P1564" t="s">
        <v>29</v>
      </c>
      <c r="Q1564" t="s">
        <v>41</v>
      </c>
      <c r="R1564">
        <v>1</v>
      </c>
      <c r="S1564" t="s">
        <v>48</v>
      </c>
      <c r="T1564" s="4">
        <f t="shared" si="123"/>
        <v>93509.799999999988</v>
      </c>
      <c r="U1564" s="4" t="str">
        <f t="shared" si="124"/>
        <v>Average</v>
      </c>
      <c r="V1564" s="4" t="str">
        <f t="shared" si="125"/>
        <v>Average</v>
      </c>
      <c r="W1564" s="4"/>
      <c r="X1564" s="4"/>
      <c r="AJ1564" s="4"/>
    </row>
    <row r="1565" spans="1:36">
      <c r="A1565" t="str">
        <f t="shared" si="121"/>
        <v>Anan241564</v>
      </c>
      <c r="B1565">
        <v>1564</v>
      </c>
      <c r="C1565">
        <v>27</v>
      </c>
      <c r="D1565">
        <v>12</v>
      </c>
      <c r="E1565">
        <v>2022</v>
      </c>
      <c r="F1565" s="1">
        <f t="shared" si="122"/>
        <v>44922</v>
      </c>
      <c r="G1565" s="1" t="s">
        <v>239</v>
      </c>
      <c r="H1565" s="2">
        <v>46041</v>
      </c>
      <c r="I1565" t="s">
        <v>49</v>
      </c>
      <c r="J1565">
        <v>8</v>
      </c>
      <c r="K1565">
        <v>54208.31</v>
      </c>
      <c r="L1565" t="s">
        <v>618</v>
      </c>
      <c r="M1565">
        <v>24</v>
      </c>
      <c r="N1565" t="s">
        <v>36</v>
      </c>
      <c r="O1565" s="3" t="s">
        <v>55</v>
      </c>
      <c r="P1565" t="s">
        <v>29</v>
      </c>
      <c r="Q1565" t="s">
        <v>41</v>
      </c>
      <c r="R1565">
        <v>1</v>
      </c>
      <c r="S1565" t="s">
        <v>88</v>
      </c>
      <c r="T1565" s="4">
        <f t="shared" si="123"/>
        <v>433666.48</v>
      </c>
      <c r="U1565" s="4" t="str">
        <f t="shared" si="124"/>
        <v>Average</v>
      </c>
      <c r="V1565" s="4" t="str">
        <f t="shared" si="125"/>
        <v>Excellent</v>
      </c>
      <c r="W1565" s="4"/>
      <c r="X1565" s="4"/>
      <c r="AJ1565" s="4"/>
    </row>
    <row r="1566" spans="1:36">
      <c r="A1566" t="str">
        <f t="shared" si="121"/>
        <v>Roha251565</v>
      </c>
      <c r="B1566">
        <v>1565</v>
      </c>
      <c r="C1566">
        <v>28</v>
      </c>
      <c r="D1566">
        <v>12</v>
      </c>
      <c r="E1566">
        <v>2022</v>
      </c>
      <c r="F1566" s="1">
        <f t="shared" si="122"/>
        <v>44923</v>
      </c>
      <c r="G1566" s="1" t="s">
        <v>239</v>
      </c>
      <c r="H1566" s="2">
        <v>46042</v>
      </c>
      <c r="I1566" t="s">
        <v>38</v>
      </c>
      <c r="J1566">
        <v>5</v>
      </c>
      <c r="K1566">
        <v>46083.22</v>
      </c>
      <c r="L1566" t="s">
        <v>659</v>
      </c>
      <c r="M1566">
        <v>25</v>
      </c>
      <c r="N1566" t="s">
        <v>36</v>
      </c>
      <c r="O1566" s="3" t="s">
        <v>55</v>
      </c>
      <c r="P1566" t="s">
        <v>77</v>
      </c>
      <c r="Q1566" t="s">
        <v>56</v>
      </c>
      <c r="R1566">
        <v>1</v>
      </c>
      <c r="S1566" t="s">
        <v>48</v>
      </c>
      <c r="T1566" s="4">
        <f t="shared" si="123"/>
        <v>230416.1</v>
      </c>
      <c r="U1566" s="4" t="str">
        <f t="shared" si="124"/>
        <v>Average</v>
      </c>
      <c r="V1566" s="4" t="str">
        <f t="shared" si="125"/>
        <v>Excellent</v>
      </c>
      <c r="W1566" s="4"/>
      <c r="X1566" s="4"/>
      <c r="AJ1566" s="4"/>
    </row>
    <row r="1567" spans="1:36">
      <c r="A1567" t="str">
        <f t="shared" si="121"/>
        <v>Pras311566</v>
      </c>
      <c r="B1567">
        <v>1566</v>
      </c>
      <c r="C1567">
        <v>28</v>
      </c>
      <c r="D1567">
        <v>12</v>
      </c>
      <c r="E1567">
        <v>2022</v>
      </c>
      <c r="F1567" s="1">
        <f t="shared" si="122"/>
        <v>44923</v>
      </c>
      <c r="G1567" s="1" t="s">
        <v>239</v>
      </c>
      <c r="H1567" s="2">
        <v>46043</v>
      </c>
      <c r="I1567" t="s">
        <v>26</v>
      </c>
      <c r="J1567">
        <v>9</v>
      </c>
      <c r="K1567">
        <v>49327.21</v>
      </c>
      <c r="L1567" t="s">
        <v>580</v>
      </c>
      <c r="M1567">
        <v>31</v>
      </c>
      <c r="N1567" t="s">
        <v>21</v>
      </c>
      <c r="O1567" s="3" t="s">
        <v>22</v>
      </c>
      <c r="P1567" t="s">
        <v>110</v>
      </c>
      <c r="Q1567" t="s">
        <v>41</v>
      </c>
      <c r="R1567">
        <v>5</v>
      </c>
      <c r="S1567" t="s">
        <v>67</v>
      </c>
      <c r="T1567" s="4">
        <f t="shared" si="123"/>
        <v>443944.89</v>
      </c>
      <c r="U1567" s="4" t="str">
        <f t="shared" si="124"/>
        <v>Good</v>
      </c>
      <c r="V1567" s="4" t="str">
        <f t="shared" si="125"/>
        <v>Excellent</v>
      </c>
      <c r="W1567" s="4"/>
      <c r="X1567" s="4"/>
      <c r="AJ1567" s="4"/>
    </row>
    <row r="1568" spans="1:36">
      <c r="A1568" t="str">
        <f t="shared" si="121"/>
        <v>Priy181567</v>
      </c>
      <c r="B1568">
        <v>1567</v>
      </c>
      <c r="C1568">
        <v>28</v>
      </c>
      <c r="D1568">
        <v>12</v>
      </c>
      <c r="E1568">
        <v>2022</v>
      </c>
      <c r="F1568" s="1">
        <f t="shared" si="122"/>
        <v>44923</v>
      </c>
      <c r="G1568" s="1" t="s">
        <v>239</v>
      </c>
      <c r="H1568" s="2">
        <v>46044</v>
      </c>
      <c r="I1568" t="s">
        <v>19</v>
      </c>
      <c r="J1568">
        <v>6</v>
      </c>
      <c r="K1568">
        <v>10520.15</v>
      </c>
      <c r="L1568" t="s">
        <v>616</v>
      </c>
      <c r="M1568">
        <v>18</v>
      </c>
      <c r="N1568" t="s">
        <v>36</v>
      </c>
      <c r="O1568" s="3" t="s">
        <v>55</v>
      </c>
      <c r="P1568" t="s">
        <v>29</v>
      </c>
      <c r="Q1568" t="s">
        <v>30</v>
      </c>
      <c r="R1568">
        <v>1</v>
      </c>
      <c r="S1568" t="s">
        <v>25</v>
      </c>
      <c r="T1568" s="4">
        <f t="shared" si="123"/>
        <v>63120.899999999994</v>
      </c>
      <c r="U1568" s="4" t="str">
        <f t="shared" si="124"/>
        <v>Average</v>
      </c>
      <c r="V1568" s="4" t="str">
        <f t="shared" si="125"/>
        <v>Average</v>
      </c>
      <c r="W1568" s="4"/>
      <c r="X1568" s="4"/>
      <c r="AJ1568" s="4"/>
    </row>
    <row r="1569" spans="1:36">
      <c r="A1569" t="str">
        <f t="shared" si="121"/>
        <v>Anan301568</v>
      </c>
      <c r="B1569">
        <v>1568</v>
      </c>
      <c r="C1569">
        <v>29</v>
      </c>
      <c r="D1569">
        <v>12</v>
      </c>
      <c r="E1569">
        <v>2022</v>
      </c>
      <c r="F1569" s="1">
        <f t="shared" si="122"/>
        <v>44924</v>
      </c>
      <c r="G1569" s="1" t="s">
        <v>239</v>
      </c>
      <c r="H1569" s="2">
        <v>46045</v>
      </c>
      <c r="I1569" t="s">
        <v>26</v>
      </c>
      <c r="J1569">
        <v>8</v>
      </c>
      <c r="K1569">
        <v>65651.02</v>
      </c>
      <c r="L1569" t="s">
        <v>403</v>
      </c>
      <c r="M1569">
        <v>30</v>
      </c>
      <c r="N1569" t="s">
        <v>36</v>
      </c>
      <c r="O1569" s="3" t="s">
        <v>22</v>
      </c>
      <c r="P1569" t="s">
        <v>29</v>
      </c>
      <c r="Q1569" t="s">
        <v>24</v>
      </c>
      <c r="R1569">
        <v>5</v>
      </c>
      <c r="S1569" t="s">
        <v>31</v>
      </c>
      <c r="T1569" s="4">
        <f t="shared" si="123"/>
        <v>525208.16</v>
      </c>
      <c r="U1569" s="4" t="str">
        <f t="shared" si="124"/>
        <v>Good</v>
      </c>
      <c r="V1569" s="4" t="str">
        <f t="shared" si="125"/>
        <v>Excellent</v>
      </c>
      <c r="W1569" s="4"/>
      <c r="X1569" s="4"/>
      <c r="AJ1569" s="4"/>
    </row>
    <row r="1570" spans="1:36">
      <c r="A1570" t="str">
        <f t="shared" si="121"/>
        <v>Raje201569</v>
      </c>
      <c r="B1570">
        <v>1569</v>
      </c>
      <c r="C1570">
        <v>29</v>
      </c>
      <c r="D1570">
        <v>12</v>
      </c>
      <c r="E1570">
        <v>2022</v>
      </c>
      <c r="F1570" s="1">
        <f t="shared" si="122"/>
        <v>44924</v>
      </c>
      <c r="G1570" s="1" t="s">
        <v>239</v>
      </c>
      <c r="H1570" s="2">
        <v>46046</v>
      </c>
      <c r="I1570" t="s">
        <v>43</v>
      </c>
      <c r="J1570">
        <v>8</v>
      </c>
      <c r="K1570">
        <v>13977.41</v>
      </c>
      <c r="L1570" t="s">
        <v>466</v>
      </c>
      <c r="M1570">
        <v>20</v>
      </c>
      <c r="N1570" t="s">
        <v>36</v>
      </c>
      <c r="O1570" s="3" t="s">
        <v>22</v>
      </c>
      <c r="P1570" t="s">
        <v>29</v>
      </c>
      <c r="Q1570" t="s">
        <v>56</v>
      </c>
      <c r="R1570">
        <v>4</v>
      </c>
      <c r="S1570" t="s">
        <v>57</v>
      </c>
      <c r="T1570" s="4">
        <f t="shared" si="123"/>
        <v>111819.28</v>
      </c>
      <c r="U1570" s="4" t="str">
        <f t="shared" si="124"/>
        <v>Good</v>
      </c>
      <c r="V1570" s="4" t="str">
        <f t="shared" si="125"/>
        <v>Good</v>
      </c>
      <c r="W1570" s="4"/>
      <c r="X1570" s="4"/>
      <c r="AJ1570" s="4"/>
    </row>
    <row r="1571" spans="1:36">
      <c r="A1571" t="str">
        <f t="shared" si="121"/>
        <v>Sanj451570</v>
      </c>
      <c r="B1571">
        <v>1570</v>
      </c>
      <c r="C1571">
        <v>29</v>
      </c>
      <c r="D1571">
        <v>12</v>
      </c>
      <c r="E1571">
        <v>2022</v>
      </c>
      <c r="F1571" s="1">
        <f t="shared" si="122"/>
        <v>44924</v>
      </c>
      <c r="G1571" s="1" t="s">
        <v>239</v>
      </c>
      <c r="H1571" s="2">
        <v>46047</v>
      </c>
      <c r="I1571" t="s">
        <v>43</v>
      </c>
      <c r="J1571">
        <v>3</v>
      </c>
      <c r="K1571">
        <v>32008.35</v>
      </c>
      <c r="L1571" t="s">
        <v>700</v>
      </c>
      <c r="M1571">
        <v>45</v>
      </c>
      <c r="N1571" t="s">
        <v>21</v>
      </c>
      <c r="O1571" s="3" t="s">
        <v>22</v>
      </c>
      <c r="P1571" t="s">
        <v>33</v>
      </c>
      <c r="Q1571" t="s">
        <v>30</v>
      </c>
      <c r="R1571">
        <v>5</v>
      </c>
      <c r="S1571" t="s">
        <v>95</v>
      </c>
      <c r="T1571" s="4">
        <f t="shared" si="123"/>
        <v>96025.049999999988</v>
      </c>
      <c r="U1571" s="4" t="str">
        <f t="shared" si="124"/>
        <v>Good</v>
      </c>
      <c r="V1571" s="4" t="str">
        <f t="shared" si="125"/>
        <v>Average</v>
      </c>
      <c r="W1571" s="4"/>
      <c r="X1571" s="4"/>
      <c r="AJ1571" s="4"/>
    </row>
    <row r="1572" spans="1:36">
      <c r="A1572" t="str">
        <f t="shared" si="121"/>
        <v>Kavi551571</v>
      </c>
      <c r="B1572">
        <v>1571</v>
      </c>
      <c r="C1572">
        <v>30</v>
      </c>
      <c r="D1572">
        <v>12</v>
      </c>
      <c r="E1572">
        <v>2022</v>
      </c>
      <c r="F1572" s="1">
        <f t="shared" si="122"/>
        <v>44925</v>
      </c>
      <c r="G1572" s="1" t="s">
        <v>239</v>
      </c>
      <c r="H1572" s="2">
        <v>46048</v>
      </c>
      <c r="I1572" t="s">
        <v>38</v>
      </c>
      <c r="J1572">
        <v>7</v>
      </c>
      <c r="K1572">
        <v>34162.699999999997</v>
      </c>
      <c r="L1572" t="s">
        <v>725</v>
      </c>
      <c r="M1572">
        <v>55</v>
      </c>
      <c r="N1572" t="s">
        <v>61</v>
      </c>
      <c r="O1572" s="3" t="s">
        <v>55</v>
      </c>
      <c r="P1572" t="s">
        <v>45</v>
      </c>
      <c r="Q1572" t="s">
        <v>41</v>
      </c>
      <c r="R1572">
        <v>1</v>
      </c>
      <c r="S1572" t="s">
        <v>99</v>
      </c>
      <c r="T1572" s="4">
        <f t="shared" si="123"/>
        <v>239138.89999999997</v>
      </c>
      <c r="U1572" s="4" t="str">
        <f t="shared" si="124"/>
        <v>Average</v>
      </c>
      <c r="V1572" s="4" t="str">
        <f t="shared" si="125"/>
        <v>Excellent</v>
      </c>
      <c r="W1572" s="4"/>
      <c r="X1572" s="4"/>
      <c r="AJ1572" s="4"/>
    </row>
    <row r="1573" spans="1:36">
      <c r="A1573" t="str">
        <f t="shared" si="121"/>
        <v>Pras321572</v>
      </c>
      <c r="B1573">
        <v>1572</v>
      </c>
      <c r="C1573">
        <v>30</v>
      </c>
      <c r="D1573">
        <v>12</v>
      </c>
      <c r="E1573">
        <v>2022</v>
      </c>
      <c r="F1573" s="1">
        <f t="shared" si="122"/>
        <v>44925</v>
      </c>
      <c r="G1573" s="1" t="s">
        <v>239</v>
      </c>
      <c r="H1573" s="2">
        <v>46049</v>
      </c>
      <c r="I1573" t="s">
        <v>49</v>
      </c>
      <c r="J1573">
        <v>7</v>
      </c>
      <c r="K1573">
        <v>10081.33</v>
      </c>
      <c r="L1573" t="s">
        <v>734</v>
      </c>
      <c r="M1573">
        <v>32</v>
      </c>
      <c r="N1573" t="s">
        <v>21</v>
      </c>
      <c r="O1573" s="3" t="s">
        <v>22</v>
      </c>
      <c r="P1573" t="s">
        <v>29</v>
      </c>
      <c r="Q1573" t="s">
        <v>30</v>
      </c>
      <c r="R1573">
        <v>4</v>
      </c>
      <c r="S1573" t="s">
        <v>52</v>
      </c>
      <c r="T1573" s="4">
        <f t="shared" si="123"/>
        <v>70569.31</v>
      </c>
      <c r="U1573" s="4" t="str">
        <f t="shared" si="124"/>
        <v>Good</v>
      </c>
      <c r="V1573" s="4" t="str">
        <f t="shared" si="125"/>
        <v>Average</v>
      </c>
      <c r="W1573" s="4"/>
      <c r="X1573" s="4"/>
      <c r="AJ1573" s="4"/>
    </row>
    <row r="1574" spans="1:36">
      <c r="A1574" t="str">
        <f t="shared" si="121"/>
        <v>Nami531573</v>
      </c>
      <c r="B1574">
        <v>1573</v>
      </c>
      <c r="C1574">
        <v>30</v>
      </c>
      <c r="D1574">
        <v>12</v>
      </c>
      <c r="E1574">
        <v>2022</v>
      </c>
      <c r="F1574" s="1">
        <f t="shared" si="122"/>
        <v>44925</v>
      </c>
      <c r="G1574" s="1" t="s">
        <v>239</v>
      </c>
      <c r="H1574" s="2">
        <v>46050</v>
      </c>
      <c r="I1574" t="s">
        <v>26</v>
      </c>
      <c r="J1574">
        <v>6</v>
      </c>
      <c r="K1574">
        <v>39825.360000000001</v>
      </c>
      <c r="L1574" t="s">
        <v>687</v>
      </c>
      <c r="M1574">
        <v>53</v>
      </c>
      <c r="N1574" t="s">
        <v>61</v>
      </c>
      <c r="O1574" s="3" t="s">
        <v>22</v>
      </c>
      <c r="P1574" t="s">
        <v>29</v>
      </c>
      <c r="Q1574" t="s">
        <v>24</v>
      </c>
      <c r="R1574">
        <v>5</v>
      </c>
      <c r="S1574" t="s">
        <v>67</v>
      </c>
      <c r="T1574" s="4">
        <f t="shared" si="123"/>
        <v>238952.16</v>
      </c>
      <c r="U1574" s="4" t="str">
        <f t="shared" si="124"/>
        <v>Good</v>
      </c>
      <c r="V1574" s="4" t="str">
        <f t="shared" si="125"/>
        <v>Excellent</v>
      </c>
      <c r="W1574" s="4"/>
      <c r="X1574" s="4"/>
      <c r="AJ1574" s="4"/>
    </row>
    <row r="1575" spans="1:36">
      <c r="A1575" t="str">
        <f t="shared" si="121"/>
        <v>Yoge201574</v>
      </c>
      <c r="B1575">
        <v>1574</v>
      </c>
      <c r="C1575">
        <v>30</v>
      </c>
      <c r="D1575">
        <v>12</v>
      </c>
      <c r="E1575">
        <v>2022</v>
      </c>
      <c r="F1575" s="1">
        <f t="shared" si="122"/>
        <v>44925</v>
      </c>
      <c r="G1575" s="1" t="s">
        <v>239</v>
      </c>
      <c r="H1575" s="2">
        <v>46051</v>
      </c>
      <c r="I1575" t="s">
        <v>49</v>
      </c>
      <c r="J1575">
        <v>7</v>
      </c>
      <c r="K1575">
        <v>55168.54</v>
      </c>
      <c r="L1575" t="s">
        <v>578</v>
      </c>
      <c r="M1575">
        <v>20</v>
      </c>
      <c r="N1575" t="s">
        <v>36</v>
      </c>
      <c r="O1575" s="3" t="s">
        <v>22</v>
      </c>
      <c r="P1575" t="s">
        <v>77</v>
      </c>
      <c r="Q1575" t="s">
        <v>30</v>
      </c>
      <c r="R1575">
        <v>5</v>
      </c>
      <c r="S1575" t="s">
        <v>52</v>
      </c>
      <c r="T1575" s="4">
        <f t="shared" si="123"/>
        <v>386179.78</v>
      </c>
      <c r="U1575" s="4" t="str">
        <f t="shared" si="124"/>
        <v>Good</v>
      </c>
      <c r="V1575" s="4" t="str">
        <f t="shared" si="125"/>
        <v>Excellent</v>
      </c>
      <c r="W1575" s="4"/>
      <c r="X1575" s="4"/>
      <c r="AJ1575" s="4"/>
    </row>
    <row r="1576" spans="1:36">
      <c r="A1576" t="str">
        <f t="shared" si="121"/>
        <v>Anit211575</v>
      </c>
      <c r="B1576">
        <v>1575</v>
      </c>
      <c r="C1576">
        <v>31</v>
      </c>
      <c r="D1576">
        <v>12</v>
      </c>
      <c r="E1576">
        <v>2022</v>
      </c>
      <c r="F1576" s="1">
        <f t="shared" si="122"/>
        <v>44926</v>
      </c>
      <c r="G1576" s="1" t="s">
        <v>239</v>
      </c>
      <c r="H1576" s="2">
        <v>46052</v>
      </c>
      <c r="I1576" t="s">
        <v>38</v>
      </c>
      <c r="J1576">
        <v>2</v>
      </c>
      <c r="K1576">
        <v>59396.12</v>
      </c>
      <c r="L1576" t="s">
        <v>837</v>
      </c>
      <c r="M1576">
        <v>21</v>
      </c>
      <c r="N1576" t="s">
        <v>36</v>
      </c>
      <c r="O1576" s="3" t="s">
        <v>22</v>
      </c>
      <c r="P1576" t="s">
        <v>51</v>
      </c>
      <c r="Q1576" t="s">
        <v>41</v>
      </c>
      <c r="R1576">
        <v>5</v>
      </c>
      <c r="S1576" t="s">
        <v>99</v>
      </c>
      <c r="T1576" s="4">
        <f t="shared" si="123"/>
        <v>118792.24</v>
      </c>
      <c r="U1576" s="4" t="str">
        <f t="shared" si="124"/>
        <v>Good</v>
      </c>
      <c r="V1576" s="4" t="str">
        <f t="shared" si="125"/>
        <v>Good</v>
      </c>
      <c r="W1576" s="4"/>
      <c r="X1576" s="4"/>
      <c r="AJ1576" s="4"/>
    </row>
    <row r="1577" spans="1:36">
      <c r="A1577" t="str">
        <f t="shared" si="121"/>
        <v>Roha221576</v>
      </c>
      <c r="B1577">
        <v>1576</v>
      </c>
      <c r="C1577">
        <v>31</v>
      </c>
      <c r="D1577">
        <v>12</v>
      </c>
      <c r="E1577">
        <v>2022</v>
      </c>
      <c r="F1577" s="1">
        <f t="shared" si="122"/>
        <v>44926</v>
      </c>
      <c r="G1577" s="1" t="s">
        <v>239</v>
      </c>
      <c r="H1577" s="2">
        <v>46053</v>
      </c>
      <c r="I1577" t="s">
        <v>43</v>
      </c>
      <c r="J1577">
        <v>9</v>
      </c>
      <c r="K1577">
        <v>62763.82</v>
      </c>
      <c r="L1577" t="s">
        <v>888</v>
      </c>
      <c r="M1577">
        <v>22</v>
      </c>
      <c r="N1577" t="s">
        <v>36</v>
      </c>
      <c r="O1577" s="3" t="s">
        <v>22</v>
      </c>
      <c r="P1577" t="s">
        <v>33</v>
      </c>
      <c r="Q1577" t="s">
        <v>24</v>
      </c>
      <c r="R1577">
        <v>4</v>
      </c>
      <c r="S1577" t="s">
        <v>95</v>
      </c>
      <c r="T1577" s="4">
        <f t="shared" si="123"/>
        <v>564874.38</v>
      </c>
      <c r="U1577" s="4" t="str">
        <f t="shared" si="124"/>
        <v>Good</v>
      </c>
      <c r="V1577" s="4" t="str">
        <f t="shared" si="125"/>
        <v>Excellent</v>
      </c>
      <c r="W1577" s="4"/>
      <c r="X1577" s="4"/>
      <c r="AJ1577" s="4"/>
    </row>
    <row r="1578" spans="1:36">
      <c r="A1578" t="str">
        <f t="shared" si="121"/>
        <v>Vive431577</v>
      </c>
      <c r="B1578">
        <v>1577</v>
      </c>
      <c r="C1578">
        <v>31</v>
      </c>
      <c r="D1578">
        <v>12</v>
      </c>
      <c r="E1578">
        <v>2022</v>
      </c>
      <c r="F1578" s="1">
        <f t="shared" si="122"/>
        <v>44926</v>
      </c>
      <c r="G1578" s="1" t="s">
        <v>239</v>
      </c>
      <c r="H1578" s="2">
        <v>46054</v>
      </c>
      <c r="I1578" t="s">
        <v>49</v>
      </c>
      <c r="J1578">
        <v>1</v>
      </c>
      <c r="K1578">
        <v>39263.129999999997</v>
      </c>
      <c r="L1578" t="s">
        <v>374</v>
      </c>
      <c r="M1578">
        <v>43</v>
      </c>
      <c r="N1578" t="s">
        <v>21</v>
      </c>
      <c r="O1578" s="3" t="s">
        <v>22</v>
      </c>
      <c r="P1578" t="s">
        <v>33</v>
      </c>
      <c r="Q1578" t="s">
        <v>41</v>
      </c>
      <c r="R1578">
        <v>5</v>
      </c>
      <c r="S1578" t="s">
        <v>52</v>
      </c>
      <c r="T1578" s="4">
        <f t="shared" si="123"/>
        <v>39263.129999999997</v>
      </c>
      <c r="U1578" s="4" t="str">
        <f t="shared" si="124"/>
        <v>Good</v>
      </c>
      <c r="V1578" s="4" t="str">
        <f t="shared" si="125"/>
        <v>Low</v>
      </c>
      <c r="W1578" s="4"/>
      <c r="X1578" s="4"/>
      <c r="AJ1578" s="4"/>
    </row>
    <row r="1579" spans="1:36">
      <c r="A1579" t="str">
        <f t="shared" si="121"/>
        <v>Priy421578</v>
      </c>
      <c r="B1579">
        <v>1578</v>
      </c>
      <c r="C1579">
        <v>1</v>
      </c>
      <c r="D1579">
        <v>1</v>
      </c>
      <c r="E1579">
        <v>2023</v>
      </c>
      <c r="F1579" s="1">
        <f t="shared" si="122"/>
        <v>44927</v>
      </c>
      <c r="G1579" s="1" t="s">
        <v>316</v>
      </c>
      <c r="H1579" s="2">
        <v>46055</v>
      </c>
      <c r="I1579" t="s">
        <v>49</v>
      </c>
      <c r="J1579">
        <v>1</v>
      </c>
      <c r="K1579">
        <v>47838.17</v>
      </c>
      <c r="L1579" t="s">
        <v>317</v>
      </c>
      <c r="M1579">
        <v>42</v>
      </c>
      <c r="N1579" t="s">
        <v>21</v>
      </c>
      <c r="O1579" s="3" t="s">
        <v>55</v>
      </c>
      <c r="P1579" t="s">
        <v>150</v>
      </c>
      <c r="Q1579" t="s">
        <v>41</v>
      </c>
      <c r="R1579">
        <v>1</v>
      </c>
      <c r="S1579" t="s">
        <v>52</v>
      </c>
      <c r="T1579" s="4">
        <f t="shared" si="123"/>
        <v>47838.17</v>
      </c>
      <c r="U1579" s="4" t="str">
        <f t="shared" si="124"/>
        <v>Average</v>
      </c>
      <c r="V1579" s="4" t="str">
        <f t="shared" si="125"/>
        <v>Low</v>
      </c>
      <c r="W1579" s="4"/>
      <c r="X1579" s="4"/>
      <c r="AJ1579" s="4"/>
    </row>
    <row r="1580" spans="1:36">
      <c r="A1580" t="str">
        <f t="shared" si="121"/>
        <v>Tapa271579</v>
      </c>
      <c r="B1580">
        <v>1579</v>
      </c>
      <c r="C1580">
        <v>1</v>
      </c>
      <c r="D1580">
        <v>1</v>
      </c>
      <c r="E1580">
        <v>2023</v>
      </c>
      <c r="F1580" s="1">
        <f t="shared" si="122"/>
        <v>44927</v>
      </c>
      <c r="G1580" s="1" t="s">
        <v>316</v>
      </c>
      <c r="H1580" s="2">
        <v>46056</v>
      </c>
      <c r="I1580" t="s">
        <v>43</v>
      </c>
      <c r="J1580">
        <v>3</v>
      </c>
      <c r="K1580">
        <v>14771.18</v>
      </c>
      <c r="L1580" t="s">
        <v>304</v>
      </c>
      <c r="M1580">
        <v>27</v>
      </c>
      <c r="N1580" t="s">
        <v>36</v>
      </c>
      <c r="O1580" s="3" t="s">
        <v>22</v>
      </c>
      <c r="P1580" t="s">
        <v>70</v>
      </c>
      <c r="Q1580" t="s">
        <v>56</v>
      </c>
      <c r="R1580">
        <v>5</v>
      </c>
      <c r="S1580" t="s">
        <v>57</v>
      </c>
      <c r="T1580" s="4">
        <f t="shared" si="123"/>
        <v>44313.54</v>
      </c>
      <c r="U1580" s="4" t="str">
        <f t="shared" si="124"/>
        <v>Good</v>
      </c>
      <c r="V1580" s="4" t="str">
        <f t="shared" si="125"/>
        <v>Low</v>
      </c>
      <c r="W1580" s="4"/>
      <c r="X1580" s="4"/>
      <c r="AJ1580" s="4"/>
    </row>
    <row r="1581" spans="1:36">
      <c r="A1581" t="str">
        <f t="shared" si="121"/>
        <v>Meen251580</v>
      </c>
      <c r="B1581">
        <v>1580</v>
      </c>
      <c r="C1581">
        <v>1</v>
      </c>
      <c r="D1581">
        <v>1</v>
      </c>
      <c r="E1581">
        <v>2023</v>
      </c>
      <c r="F1581" s="1">
        <f t="shared" si="122"/>
        <v>44927</v>
      </c>
      <c r="G1581" s="1" t="s">
        <v>316</v>
      </c>
      <c r="H1581" s="2">
        <v>46057</v>
      </c>
      <c r="I1581" t="s">
        <v>26</v>
      </c>
      <c r="J1581">
        <v>3</v>
      </c>
      <c r="K1581">
        <v>39282.29</v>
      </c>
      <c r="L1581" t="s">
        <v>755</v>
      </c>
      <c r="M1581">
        <v>25</v>
      </c>
      <c r="N1581" t="s">
        <v>36</v>
      </c>
      <c r="O1581" s="3" t="s">
        <v>55</v>
      </c>
      <c r="P1581" t="s">
        <v>33</v>
      </c>
      <c r="Q1581" t="s">
        <v>24</v>
      </c>
      <c r="R1581">
        <v>1</v>
      </c>
      <c r="S1581" t="s">
        <v>67</v>
      </c>
      <c r="T1581" s="4">
        <f t="shared" si="123"/>
        <v>117846.87</v>
      </c>
      <c r="U1581" s="4" t="str">
        <f t="shared" si="124"/>
        <v>Average</v>
      </c>
      <c r="V1581" s="4" t="str">
        <f t="shared" si="125"/>
        <v>Good</v>
      </c>
      <c r="W1581" s="4"/>
      <c r="X1581" s="4"/>
      <c r="AJ1581" s="4"/>
    </row>
    <row r="1582" spans="1:36">
      <c r="A1582" t="str">
        <f t="shared" si="121"/>
        <v>Pank291581</v>
      </c>
      <c r="B1582">
        <v>1581</v>
      </c>
      <c r="C1582">
        <v>1</v>
      </c>
      <c r="D1582">
        <v>1</v>
      </c>
      <c r="E1582">
        <v>2023</v>
      </c>
      <c r="F1582" s="1">
        <f t="shared" si="122"/>
        <v>44927</v>
      </c>
      <c r="G1582" s="1" t="s">
        <v>316</v>
      </c>
      <c r="H1582" s="2">
        <v>46058</v>
      </c>
      <c r="I1582" t="s">
        <v>43</v>
      </c>
      <c r="J1582">
        <v>1</v>
      </c>
      <c r="K1582">
        <v>19288.95</v>
      </c>
      <c r="L1582" t="s">
        <v>796</v>
      </c>
      <c r="M1582">
        <v>29</v>
      </c>
      <c r="N1582" t="s">
        <v>36</v>
      </c>
      <c r="O1582" s="3" t="s">
        <v>28</v>
      </c>
      <c r="P1582" t="s">
        <v>29</v>
      </c>
      <c r="Q1582" t="s">
        <v>24</v>
      </c>
      <c r="R1582">
        <v>3</v>
      </c>
      <c r="S1582" t="s">
        <v>57</v>
      </c>
      <c r="T1582" s="4">
        <f t="shared" si="123"/>
        <v>19288.95</v>
      </c>
      <c r="U1582" s="4" t="str">
        <f t="shared" si="124"/>
        <v>Average</v>
      </c>
      <c r="V1582" s="4" t="str">
        <f t="shared" si="125"/>
        <v>Low</v>
      </c>
      <c r="W1582" s="4"/>
      <c r="X1582" s="4"/>
      <c r="AJ1582" s="4"/>
    </row>
    <row r="1583" spans="1:36">
      <c r="A1583" t="str">
        <f t="shared" si="121"/>
        <v>Raje201582</v>
      </c>
      <c r="B1583">
        <v>1582</v>
      </c>
      <c r="C1583">
        <v>2</v>
      </c>
      <c r="D1583">
        <v>1</v>
      </c>
      <c r="E1583">
        <v>2023</v>
      </c>
      <c r="F1583" s="1">
        <f t="shared" si="122"/>
        <v>44928</v>
      </c>
      <c r="G1583" s="1" t="s">
        <v>316</v>
      </c>
      <c r="H1583" s="2">
        <v>46059</v>
      </c>
      <c r="I1583" t="s">
        <v>49</v>
      </c>
      <c r="J1583">
        <v>7</v>
      </c>
      <c r="K1583">
        <v>32178.59</v>
      </c>
      <c r="L1583" t="s">
        <v>889</v>
      </c>
      <c r="M1583">
        <v>20</v>
      </c>
      <c r="N1583" t="s">
        <v>36</v>
      </c>
      <c r="O1583" s="3" t="s">
        <v>22</v>
      </c>
      <c r="P1583" t="s">
        <v>29</v>
      </c>
      <c r="Q1583" t="s">
        <v>41</v>
      </c>
      <c r="R1583">
        <v>5</v>
      </c>
      <c r="S1583" t="s">
        <v>52</v>
      </c>
      <c r="T1583" s="4">
        <f t="shared" si="123"/>
        <v>225250.13</v>
      </c>
      <c r="U1583" s="4" t="str">
        <f t="shared" si="124"/>
        <v>Good</v>
      </c>
      <c r="V1583" s="4" t="str">
        <f t="shared" si="125"/>
        <v>Excellent</v>
      </c>
      <c r="W1583" s="4"/>
      <c r="X1583" s="4"/>
      <c r="AJ1583" s="4"/>
    </row>
    <row r="1584" spans="1:36">
      <c r="A1584" t="str">
        <f t="shared" si="121"/>
        <v>Lata441583</v>
      </c>
      <c r="B1584">
        <v>1583</v>
      </c>
      <c r="C1584">
        <v>2</v>
      </c>
      <c r="D1584">
        <v>1</v>
      </c>
      <c r="E1584">
        <v>2023</v>
      </c>
      <c r="F1584" s="1">
        <f t="shared" si="122"/>
        <v>44928</v>
      </c>
      <c r="G1584" s="1" t="s">
        <v>316</v>
      </c>
      <c r="H1584" s="2">
        <v>46060</v>
      </c>
      <c r="I1584" t="s">
        <v>26</v>
      </c>
      <c r="J1584">
        <v>4</v>
      </c>
      <c r="K1584">
        <v>29758.32</v>
      </c>
      <c r="L1584" t="s">
        <v>127</v>
      </c>
      <c r="M1584">
        <v>44</v>
      </c>
      <c r="N1584" t="s">
        <v>21</v>
      </c>
      <c r="O1584" s="3" t="s">
        <v>22</v>
      </c>
      <c r="P1584" t="s">
        <v>64</v>
      </c>
      <c r="Q1584" t="s">
        <v>30</v>
      </c>
      <c r="R1584">
        <v>5</v>
      </c>
      <c r="S1584" t="s">
        <v>34</v>
      </c>
      <c r="T1584" s="4">
        <f t="shared" si="123"/>
        <v>119033.28</v>
      </c>
      <c r="U1584" s="4" t="str">
        <f t="shared" si="124"/>
        <v>Good</v>
      </c>
      <c r="V1584" s="4" t="str">
        <f t="shared" si="125"/>
        <v>Good</v>
      </c>
      <c r="W1584" s="4"/>
      <c r="X1584" s="4"/>
      <c r="AJ1584" s="4"/>
    </row>
    <row r="1585" spans="1:36">
      <c r="A1585" t="str">
        <f t="shared" si="121"/>
        <v>Anan401584</v>
      </c>
      <c r="B1585">
        <v>1584</v>
      </c>
      <c r="C1585">
        <v>2</v>
      </c>
      <c r="D1585">
        <v>1</v>
      </c>
      <c r="E1585">
        <v>2023</v>
      </c>
      <c r="F1585" s="1">
        <f t="shared" si="122"/>
        <v>44928</v>
      </c>
      <c r="G1585" s="1" t="s">
        <v>316</v>
      </c>
      <c r="H1585" s="2">
        <v>46061</v>
      </c>
      <c r="I1585" t="s">
        <v>26</v>
      </c>
      <c r="J1585">
        <v>2</v>
      </c>
      <c r="K1585">
        <v>35412.43</v>
      </c>
      <c r="L1585" t="s">
        <v>361</v>
      </c>
      <c r="M1585">
        <v>40</v>
      </c>
      <c r="N1585" t="s">
        <v>21</v>
      </c>
      <c r="O1585" s="3" t="s">
        <v>22</v>
      </c>
      <c r="P1585" t="s">
        <v>150</v>
      </c>
      <c r="Q1585" t="s">
        <v>24</v>
      </c>
      <c r="R1585">
        <v>5</v>
      </c>
      <c r="S1585" t="s">
        <v>67</v>
      </c>
      <c r="T1585" s="4">
        <f t="shared" si="123"/>
        <v>70824.86</v>
      </c>
      <c r="U1585" s="4" t="str">
        <f t="shared" si="124"/>
        <v>Good</v>
      </c>
      <c r="V1585" s="4" t="str">
        <f t="shared" si="125"/>
        <v>Average</v>
      </c>
      <c r="W1585" s="4"/>
      <c r="X1585" s="4"/>
      <c r="AJ1585" s="4"/>
    </row>
    <row r="1586" spans="1:36">
      <c r="A1586" t="str">
        <f t="shared" si="121"/>
        <v>Meen571585</v>
      </c>
      <c r="B1586">
        <v>1585</v>
      </c>
      <c r="C1586">
        <v>2</v>
      </c>
      <c r="D1586">
        <v>1</v>
      </c>
      <c r="E1586">
        <v>2023</v>
      </c>
      <c r="F1586" s="1">
        <f t="shared" si="122"/>
        <v>44928</v>
      </c>
      <c r="G1586" s="1" t="s">
        <v>316</v>
      </c>
      <c r="H1586" s="2">
        <v>46062</v>
      </c>
      <c r="I1586" t="s">
        <v>43</v>
      </c>
      <c r="J1586">
        <v>5</v>
      </c>
      <c r="K1586">
        <v>44298.2</v>
      </c>
      <c r="L1586" t="s">
        <v>890</v>
      </c>
      <c r="M1586">
        <v>57</v>
      </c>
      <c r="N1586" t="s">
        <v>61</v>
      </c>
      <c r="O1586" s="3" t="s">
        <v>22</v>
      </c>
      <c r="P1586" t="s">
        <v>114</v>
      </c>
      <c r="Q1586" t="s">
        <v>30</v>
      </c>
      <c r="R1586">
        <v>5</v>
      </c>
      <c r="S1586" t="s">
        <v>57</v>
      </c>
      <c r="T1586" s="4">
        <f t="shared" si="123"/>
        <v>221491</v>
      </c>
      <c r="U1586" s="4" t="str">
        <f t="shared" si="124"/>
        <v>Good</v>
      </c>
      <c r="V1586" s="4" t="str">
        <f t="shared" si="125"/>
        <v>Excellent</v>
      </c>
      <c r="W1586" s="4"/>
      <c r="X1586" s="4"/>
      <c r="AJ1586" s="4"/>
    </row>
    <row r="1587" spans="1:36">
      <c r="A1587" t="str">
        <f t="shared" si="121"/>
        <v>Jyot501586</v>
      </c>
      <c r="B1587">
        <v>1586</v>
      </c>
      <c r="C1587">
        <v>3</v>
      </c>
      <c r="D1587">
        <v>1</v>
      </c>
      <c r="E1587">
        <v>2023</v>
      </c>
      <c r="F1587" s="1">
        <f t="shared" si="122"/>
        <v>44929</v>
      </c>
      <c r="G1587" s="1" t="s">
        <v>316</v>
      </c>
      <c r="H1587" s="2">
        <v>46063</v>
      </c>
      <c r="I1587" t="s">
        <v>49</v>
      </c>
      <c r="J1587">
        <v>6</v>
      </c>
      <c r="K1587">
        <v>64172.6</v>
      </c>
      <c r="L1587" t="s">
        <v>306</v>
      </c>
      <c r="M1587">
        <v>50</v>
      </c>
      <c r="N1587" t="s">
        <v>61</v>
      </c>
      <c r="O1587" s="3" t="s">
        <v>22</v>
      </c>
      <c r="P1587" t="s">
        <v>70</v>
      </c>
      <c r="Q1587" t="s">
        <v>30</v>
      </c>
      <c r="R1587">
        <v>4</v>
      </c>
      <c r="S1587" t="s">
        <v>88</v>
      </c>
      <c r="T1587" s="4">
        <f t="shared" si="123"/>
        <v>385035.6</v>
      </c>
      <c r="U1587" s="4" t="str">
        <f t="shared" si="124"/>
        <v>Good</v>
      </c>
      <c r="V1587" s="4" t="str">
        <f t="shared" si="125"/>
        <v>Excellent</v>
      </c>
      <c r="W1587" s="4"/>
      <c r="X1587" s="4"/>
      <c r="AJ1587" s="4"/>
    </row>
    <row r="1588" spans="1:36">
      <c r="A1588" t="str">
        <f t="shared" si="121"/>
        <v>Rame311587</v>
      </c>
      <c r="B1588">
        <v>1587</v>
      </c>
      <c r="C1588">
        <v>3</v>
      </c>
      <c r="D1588">
        <v>1</v>
      </c>
      <c r="E1588">
        <v>2023</v>
      </c>
      <c r="F1588" s="1">
        <f t="shared" si="122"/>
        <v>44929</v>
      </c>
      <c r="G1588" s="1" t="s">
        <v>316</v>
      </c>
      <c r="H1588" s="2">
        <v>46064</v>
      </c>
      <c r="I1588" t="s">
        <v>38</v>
      </c>
      <c r="J1588">
        <v>9</v>
      </c>
      <c r="K1588">
        <v>33669.08</v>
      </c>
      <c r="L1588" t="s">
        <v>456</v>
      </c>
      <c r="M1588">
        <v>31</v>
      </c>
      <c r="N1588" t="s">
        <v>21</v>
      </c>
      <c r="O1588" s="3" t="s">
        <v>55</v>
      </c>
      <c r="P1588" t="s">
        <v>29</v>
      </c>
      <c r="Q1588" t="s">
        <v>24</v>
      </c>
      <c r="R1588">
        <v>1</v>
      </c>
      <c r="S1588" t="s">
        <v>48</v>
      </c>
      <c r="T1588" s="4">
        <f t="shared" si="123"/>
        <v>303021.72000000003</v>
      </c>
      <c r="U1588" s="4" t="str">
        <f t="shared" si="124"/>
        <v>Average</v>
      </c>
      <c r="V1588" s="4" t="str">
        <f t="shared" si="125"/>
        <v>Excellent</v>
      </c>
      <c r="W1588" s="4"/>
      <c r="X1588" s="4"/>
      <c r="AJ1588" s="4"/>
    </row>
    <row r="1589" spans="1:36">
      <c r="A1589" t="str">
        <f t="shared" si="121"/>
        <v>Sumi401588</v>
      </c>
      <c r="B1589">
        <v>1588</v>
      </c>
      <c r="C1589">
        <v>3</v>
      </c>
      <c r="D1589">
        <v>1</v>
      </c>
      <c r="E1589">
        <v>2023</v>
      </c>
      <c r="F1589" s="1">
        <f t="shared" si="122"/>
        <v>44929</v>
      </c>
      <c r="G1589" s="1" t="s">
        <v>316</v>
      </c>
      <c r="H1589" s="2">
        <v>46065</v>
      </c>
      <c r="I1589" t="s">
        <v>49</v>
      </c>
      <c r="J1589">
        <v>4</v>
      </c>
      <c r="K1589">
        <v>68867.87</v>
      </c>
      <c r="L1589" t="s">
        <v>695</v>
      </c>
      <c r="M1589">
        <v>40</v>
      </c>
      <c r="N1589" t="s">
        <v>21</v>
      </c>
      <c r="O1589" s="3" t="s">
        <v>22</v>
      </c>
      <c r="P1589" t="s">
        <v>40</v>
      </c>
      <c r="Q1589" t="s">
        <v>30</v>
      </c>
      <c r="R1589">
        <v>5</v>
      </c>
      <c r="S1589" t="s">
        <v>52</v>
      </c>
      <c r="T1589" s="4">
        <f t="shared" si="123"/>
        <v>275471.48</v>
      </c>
      <c r="U1589" s="4" t="str">
        <f t="shared" si="124"/>
        <v>Good</v>
      </c>
      <c r="V1589" s="4" t="str">
        <f t="shared" si="125"/>
        <v>Excellent</v>
      </c>
      <c r="W1589" s="4"/>
      <c r="X1589" s="4"/>
      <c r="AJ1589" s="4"/>
    </row>
    <row r="1590" spans="1:36">
      <c r="A1590" t="str">
        <f t="shared" si="121"/>
        <v>Reen481589</v>
      </c>
      <c r="B1590">
        <v>1589</v>
      </c>
      <c r="C1590">
        <v>3</v>
      </c>
      <c r="D1590">
        <v>1</v>
      </c>
      <c r="E1590">
        <v>2023</v>
      </c>
      <c r="F1590" s="1">
        <f t="shared" si="122"/>
        <v>44929</v>
      </c>
      <c r="G1590" s="1" t="s">
        <v>316</v>
      </c>
      <c r="H1590" s="2">
        <v>46066</v>
      </c>
      <c r="I1590" t="s">
        <v>19</v>
      </c>
      <c r="J1590">
        <v>2</v>
      </c>
      <c r="K1590">
        <v>55541.68</v>
      </c>
      <c r="L1590" t="s">
        <v>831</v>
      </c>
      <c r="M1590">
        <v>48</v>
      </c>
      <c r="N1590" t="s">
        <v>61</v>
      </c>
      <c r="O1590" s="3" t="s">
        <v>22</v>
      </c>
      <c r="P1590" t="s">
        <v>33</v>
      </c>
      <c r="Q1590" t="s">
        <v>24</v>
      </c>
      <c r="R1590">
        <v>4</v>
      </c>
      <c r="S1590" t="s">
        <v>37</v>
      </c>
      <c r="T1590" s="4">
        <f t="shared" si="123"/>
        <v>111083.36</v>
      </c>
      <c r="U1590" s="4" t="str">
        <f t="shared" si="124"/>
        <v>Good</v>
      </c>
      <c r="V1590" s="4" t="str">
        <f t="shared" si="125"/>
        <v>Good</v>
      </c>
      <c r="W1590" s="4"/>
      <c r="X1590" s="4"/>
      <c r="AJ1590" s="4"/>
    </row>
    <row r="1591" spans="1:36">
      <c r="A1591" t="str">
        <f t="shared" si="121"/>
        <v>Mano301590</v>
      </c>
      <c r="B1591">
        <v>1590</v>
      </c>
      <c r="C1591">
        <v>4</v>
      </c>
      <c r="D1591">
        <v>1</v>
      </c>
      <c r="E1591">
        <v>2023</v>
      </c>
      <c r="F1591" s="1">
        <f t="shared" si="122"/>
        <v>44930</v>
      </c>
      <c r="G1591" s="1" t="s">
        <v>316</v>
      </c>
      <c r="H1591" s="2">
        <v>46067</v>
      </c>
      <c r="I1591" t="s">
        <v>38</v>
      </c>
      <c r="J1591">
        <v>5</v>
      </c>
      <c r="K1591">
        <v>40688.86</v>
      </c>
      <c r="L1591" t="s">
        <v>65</v>
      </c>
      <c r="M1591">
        <v>30</v>
      </c>
      <c r="N1591" t="s">
        <v>36</v>
      </c>
      <c r="O1591" s="3" t="s">
        <v>55</v>
      </c>
      <c r="P1591" t="s">
        <v>33</v>
      </c>
      <c r="Q1591" t="s">
        <v>56</v>
      </c>
      <c r="R1591">
        <v>1</v>
      </c>
      <c r="S1591" t="s">
        <v>48</v>
      </c>
      <c r="T1591" s="4">
        <f t="shared" si="123"/>
        <v>203444.3</v>
      </c>
      <c r="U1591" s="4" t="str">
        <f t="shared" si="124"/>
        <v>Average</v>
      </c>
      <c r="V1591" s="4" t="str">
        <f t="shared" si="125"/>
        <v>Excellent</v>
      </c>
      <c r="W1591" s="4"/>
      <c r="X1591" s="4"/>
      <c r="AJ1591" s="4"/>
    </row>
    <row r="1592" spans="1:36">
      <c r="A1592" t="str">
        <f t="shared" si="121"/>
        <v>Lali291591</v>
      </c>
      <c r="B1592">
        <v>1591</v>
      </c>
      <c r="C1592">
        <v>4</v>
      </c>
      <c r="D1592">
        <v>1</v>
      </c>
      <c r="E1592">
        <v>2023</v>
      </c>
      <c r="F1592" s="1">
        <f t="shared" si="122"/>
        <v>44930</v>
      </c>
      <c r="G1592" s="1" t="s">
        <v>316</v>
      </c>
      <c r="H1592" s="2">
        <v>46068</v>
      </c>
      <c r="I1592" t="s">
        <v>26</v>
      </c>
      <c r="J1592">
        <v>3</v>
      </c>
      <c r="K1592">
        <v>48641.59</v>
      </c>
      <c r="L1592" t="s">
        <v>583</v>
      </c>
      <c r="M1592">
        <v>29</v>
      </c>
      <c r="N1592" t="s">
        <v>36</v>
      </c>
      <c r="O1592" s="3" t="s">
        <v>55</v>
      </c>
      <c r="P1592" t="s">
        <v>29</v>
      </c>
      <c r="Q1592" t="s">
        <v>24</v>
      </c>
      <c r="R1592">
        <v>1</v>
      </c>
      <c r="S1592" t="s">
        <v>34</v>
      </c>
      <c r="T1592" s="4">
        <f t="shared" si="123"/>
        <v>145924.76999999999</v>
      </c>
      <c r="U1592" s="4" t="str">
        <f t="shared" si="124"/>
        <v>Average</v>
      </c>
      <c r="V1592" s="4" t="str">
        <f t="shared" si="125"/>
        <v>Good</v>
      </c>
      <c r="W1592" s="4"/>
      <c r="X1592" s="4"/>
      <c r="AJ1592" s="4"/>
    </row>
    <row r="1593" spans="1:36">
      <c r="A1593" t="str">
        <f t="shared" si="121"/>
        <v>Ravi521592</v>
      </c>
      <c r="B1593">
        <v>1592</v>
      </c>
      <c r="C1593">
        <v>4</v>
      </c>
      <c r="D1593">
        <v>1</v>
      </c>
      <c r="E1593">
        <v>2023</v>
      </c>
      <c r="F1593" s="1">
        <f t="shared" si="122"/>
        <v>44930</v>
      </c>
      <c r="G1593" s="1" t="s">
        <v>316</v>
      </c>
      <c r="H1593" s="2">
        <v>46069</v>
      </c>
      <c r="I1593" t="s">
        <v>38</v>
      </c>
      <c r="J1593">
        <v>2</v>
      </c>
      <c r="K1593">
        <v>16133.45</v>
      </c>
      <c r="L1593" t="s">
        <v>495</v>
      </c>
      <c r="M1593">
        <v>52</v>
      </c>
      <c r="N1593" t="s">
        <v>61</v>
      </c>
      <c r="O1593" s="3" t="s">
        <v>55</v>
      </c>
      <c r="P1593" t="s">
        <v>33</v>
      </c>
      <c r="Q1593" t="s">
        <v>24</v>
      </c>
      <c r="R1593">
        <v>1</v>
      </c>
      <c r="S1593" t="s">
        <v>48</v>
      </c>
      <c r="T1593" s="4">
        <f t="shared" si="123"/>
        <v>32266.9</v>
      </c>
      <c r="U1593" s="4" t="str">
        <f t="shared" si="124"/>
        <v>Average</v>
      </c>
      <c r="V1593" s="4" t="str">
        <f t="shared" si="125"/>
        <v>Low</v>
      </c>
      <c r="W1593" s="4"/>
      <c r="X1593" s="4"/>
      <c r="AJ1593" s="4"/>
    </row>
    <row r="1594" spans="1:36">
      <c r="A1594" t="str">
        <f t="shared" si="121"/>
        <v>Arun351593</v>
      </c>
      <c r="B1594">
        <v>1593</v>
      </c>
      <c r="C1594">
        <v>4</v>
      </c>
      <c r="D1594">
        <v>1</v>
      </c>
      <c r="E1594">
        <v>2023</v>
      </c>
      <c r="F1594" s="1">
        <f t="shared" si="122"/>
        <v>44930</v>
      </c>
      <c r="G1594" s="1" t="s">
        <v>316</v>
      </c>
      <c r="H1594" s="2">
        <v>46070</v>
      </c>
      <c r="I1594" t="s">
        <v>26</v>
      </c>
      <c r="J1594">
        <v>1</v>
      </c>
      <c r="K1594">
        <v>60671.29</v>
      </c>
      <c r="L1594" t="s">
        <v>437</v>
      </c>
      <c r="M1594">
        <v>35</v>
      </c>
      <c r="N1594" t="s">
        <v>21</v>
      </c>
      <c r="O1594" s="3" t="s">
        <v>28</v>
      </c>
      <c r="P1594" t="s">
        <v>33</v>
      </c>
      <c r="Q1594" t="s">
        <v>24</v>
      </c>
      <c r="R1594">
        <v>3</v>
      </c>
      <c r="S1594" t="s">
        <v>34</v>
      </c>
      <c r="T1594" s="4">
        <f t="shared" si="123"/>
        <v>60671.29</v>
      </c>
      <c r="U1594" s="4" t="str">
        <f t="shared" si="124"/>
        <v>Average</v>
      </c>
      <c r="V1594" s="4" t="str">
        <f t="shared" si="125"/>
        <v>Average</v>
      </c>
      <c r="W1594" s="4"/>
      <c r="X1594" s="4"/>
      <c r="AJ1594" s="4"/>
    </row>
    <row r="1595" spans="1:36">
      <c r="A1595" t="str">
        <f t="shared" si="121"/>
        <v>Isha381594</v>
      </c>
      <c r="B1595">
        <v>1594</v>
      </c>
      <c r="C1595">
        <v>5</v>
      </c>
      <c r="D1595">
        <v>1</v>
      </c>
      <c r="E1595">
        <v>2023</v>
      </c>
      <c r="F1595" s="1">
        <f t="shared" si="122"/>
        <v>44931</v>
      </c>
      <c r="G1595" s="1" t="s">
        <v>316</v>
      </c>
      <c r="H1595" s="2">
        <v>46071</v>
      </c>
      <c r="I1595" t="s">
        <v>26</v>
      </c>
      <c r="J1595">
        <v>2</v>
      </c>
      <c r="K1595">
        <v>44941.45</v>
      </c>
      <c r="L1595" t="s">
        <v>325</v>
      </c>
      <c r="M1595">
        <v>38</v>
      </c>
      <c r="N1595" t="s">
        <v>21</v>
      </c>
      <c r="O1595" s="3" t="s">
        <v>55</v>
      </c>
      <c r="P1595" t="s">
        <v>33</v>
      </c>
      <c r="Q1595" t="s">
        <v>56</v>
      </c>
      <c r="R1595">
        <v>1</v>
      </c>
      <c r="S1595" t="s">
        <v>34</v>
      </c>
      <c r="T1595" s="4">
        <f t="shared" si="123"/>
        <v>89882.9</v>
      </c>
      <c r="U1595" s="4" t="str">
        <f t="shared" si="124"/>
        <v>Average</v>
      </c>
      <c r="V1595" s="4" t="str">
        <f t="shared" si="125"/>
        <v>Average</v>
      </c>
      <c r="W1595" s="4"/>
      <c r="X1595" s="4"/>
      <c r="AJ1595" s="4"/>
    </row>
    <row r="1596" spans="1:36">
      <c r="A1596" t="str">
        <f t="shared" si="121"/>
        <v>Vive591595</v>
      </c>
      <c r="B1596">
        <v>1595</v>
      </c>
      <c r="C1596">
        <v>5</v>
      </c>
      <c r="D1596">
        <v>1</v>
      </c>
      <c r="E1596">
        <v>2023</v>
      </c>
      <c r="F1596" s="1">
        <f t="shared" si="122"/>
        <v>44931</v>
      </c>
      <c r="G1596" s="1" t="s">
        <v>316</v>
      </c>
      <c r="H1596" s="2">
        <v>46072</v>
      </c>
      <c r="I1596" t="s">
        <v>38</v>
      </c>
      <c r="J1596">
        <v>6</v>
      </c>
      <c r="K1596">
        <v>69164.05</v>
      </c>
      <c r="L1596" t="s">
        <v>621</v>
      </c>
      <c r="M1596">
        <v>59</v>
      </c>
      <c r="N1596" t="s">
        <v>61</v>
      </c>
      <c r="O1596" s="3" t="s">
        <v>22</v>
      </c>
      <c r="P1596" t="s">
        <v>64</v>
      </c>
      <c r="Q1596" t="s">
        <v>30</v>
      </c>
      <c r="R1596">
        <v>4</v>
      </c>
      <c r="S1596" t="s">
        <v>99</v>
      </c>
      <c r="T1596" s="4">
        <f t="shared" si="123"/>
        <v>414984.30000000005</v>
      </c>
      <c r="U1596" s="4" t="str">
        <f t="shared" si="124"/>
        <v>Good</v>
      </c>
      <c r="V1596" s="4" t="str">
        <f t="shared" si="125"/>
        <v>Excellent</v>
      </c>
      <c r="W1596" s="4"/>
      <c r="X1596" s="4"/>
      <c r="AJ1596" s="4"/>
    </row>
    <row r="1597" spans="1:36">
      <c r="A1597" t="str">
        <f t="shared" si="121"/>
        <v>Deve181596</v>
      </c>
      <c r="B1597">
        <v>1596</v>
      </c>
      <c r="C1597">
        <v>5</v>
      </c>
      <c r="D1597">
        <v>1</v>
      </c>
      <c r="E1597">
        <v>2023</v>
      </c>
      <c r="F1597" s="1">
        <f t="shared" si="122"/>
        <v>44931</v>
      </c>
      <c r="G1597" s="1" t="s">
        <v>316</v>
      </c>
      <c r="H1597" s="2">
        <v>46073</v>
      </c>
      <c r="I1597" t="s">
        <v>26</v>
      </c>
      <c r="J1597">
        <v>8</v>
      </c>
      <c r="K1597">
        <v>48185.72</v>
      </c>
      <c r="L1597" t="s">
        <v>454</v>
      </c>
      <c r="M1597">
        <v>18</v>
      </c>
      <c r="N1597" t="s">
        <v>36</v>
      </c>
      <c r="O1597" s="3" t="s">
        <v>55</v>
      </c>
      <c r="P1597" t="s">
        <v>132</v>
      </c>
      <c r="Q1597" t="s">
        <v>56</v>
      </c>
      <c r="R1597">
        <v>1</v>
      </c>
      <c r="S1597" t="s">
        <v>67</v>
      </c>
      <c r="T1597" s="4">
        <f t="shared" si="123"/>
        <v>385485.76</v>
      </c>
      <c r="U1597" s="4" t="str">
        <f t="shared" si="124"/>
        <v>Average</v>
      </c>
      <c r="V1597" s="4" t="str">
        <f t="shared" si="125"/>
        <v>Excellent</v>
      </c>
      <c r="W1597" s="4"/>
      <c r="X1597" s="4"/>
      <c r="AJ1597" s="4"/>
    </row>
    <row r="1598" spans="1:36">
      <c r="A1598" t="str">
        <f t="shared" si="121"/>
        <v>Pras551597</v>
      </c>
      <c r="B1598">
        <v>1597</v>
      </c>
      <c r="C1598">
        <v>5</v>
      </c>
      <c r="D1598">
        <v>1</v>
      </c>
      <c r="E1598">
        <v>2023</v>
      </c>
      <c r="F1598" s="1">
        <f t="shared" si="122"/>
        <v>44931</v>
      </c>
      <c r="G1598" s="1" t="s">
        <v>316</v>
      </c>
      <c r="H1598" s="2">
        <v>46074</v>
      </c>
      <c r="I1598" t="s">
        <v>26</v>
      </c>
      <c r="J1598">
        <v>3</v>
      </c>
      <c r="K1598">
        <v>60046.69</v>
      </c>
      <c r="L1598" t="s">
        <v>188</v>
      </c>
      <c r="M1598">
        <v>55</v>
      </c>
      <c r="N1598" t="s">
        <v>61</v>
      </c>
      <c r="O1598" s="3" t="s">
        <v>55</v>
      </c>
      <c r="P1598" t="s">
        <v>33</v>
      </c>
      <c r="Q1598" t="s">
        <v>30</v>
      </c>
      <c r="R1598">
        <v>1</v>
      </c>
      <c r="S1598" t="s">
        <v>31</v>
      </c>
      <c r="T1598" s="4">
        <f t="shared" si="123"/>
        <v>180140.07</v>
      </c>
      <c r="U1598" s="4" t="str">
        <f t="shared" si="124"/>
        <v>Average</v>
      </c>
      <c r="V1598" s="4" t="str">
        <f t="shared" si="125"/>
        <v>Good</v>
      </c>
      <c r="W1598" s="4"/>
      <c r="X1598" s="4"/>
      <c r="AJ1598" s="4"/>
    </row>
    <row r="1599" spans="1:36">
      <c r="A1599" t="str">
        <f t="shared" si="121"/>
        <v>Shru581598</v>
      </c>
      <c r="B1599">
        <v>1598</v>
      </c>
      <c r="C1599">
        <v>6</v>
      </c>
      <c r="D1599">
        <v>1</v>
      </c>
      <c r="E1599">
        <v>2023</v>
      </c>
      <c r="F1599" s="1">
        <f t="shared" si="122"/>
        <v>44932</v>
      </c>
      <c r="G1599" s="1" t="s">
        <v>316</v>
      </c>
      <c r="H1599" s="2">
        <v>46075</v>
      </c>
      <c r="I1599" t="s">
        <v>19</v>
      </c>
      <c r="J1599">
        <v>9</v>
      </c>
      <c r="K1599">
        <v>57985.760000000002</v>
      </c>
      <c r="L1599" t="s">
        <v>741</v>
      </c>
      <c r="M1599">
        <v>58</v>
      </c>
      <c r="N1599" t="s">
        <v>61</v>
      </c>
      <c r="O1599" s="3" t="s">
        <v>22</v>
      </c>
      <c r="P1599" t="s">
        <v>29</v>
      </c>
      <c r="Q1599" t="s">
        <v>24</v>
      </c>
      <c r="R1599">
        <v>4</v>
      </c>
      <c r="S1599" t="s">
        <v>25</v>
      </c>
      <c r="T1599" s="4">
        <f t="shared" si="123"/>
        <v>521871.84</v>
      </c>
      <c r="U1599" s="4" t="str">
        <f t="shared" si="124"/>
        <v>Good</v>
      </c>
      <c r="V1599" s="4" t="str">
        <f t="shared" si="125"/>
        <v>Excellent</v>
      </c>
      <c r="W1599" s="4"/>
      <c r="X1599" s="4"/>
      <c r="AJ1599" s="4"/>
    </row>
    <row r="1600" spans="1:36">
      <c r="A1600" t="str">
        <f t="shared" si="121"/>
        <v>Moni591599</v>
      </c>
      <c r="B1600">
        <v>1599</v>
      </c>
      <c r="C1600">
        <v>6</v>
      </c>
      <c r="D1600">
        <v>1</v>
      </c>
      <c r="E1600">
        <v>2023</v>
      </c>
      <c r="F1600" s="1">
        <f t="shared" si="122"/>
        <v>44932</v>
      </c>
      <c r="G1600" s="1" t="s">
        <v>316</v>
      </c>
      <c r="H1600" s="2">
        <v>46076</v>
      </c>
      <c r="I1600" t="s">
        <v>49</v>
      </c>
      <c r="J1600">
        <v>9</v>
      </c>
      <c r="K1600">
        <v>30727.67</v>
      </c>
      <c r="L1600" t="s">
        <v>865</v>
      </c>
      <c r="M1600">
        <v>59</v>
      </c>
      <c r="N1600" t="s">
        <v>61</v>
      </c>
      <c r="O1600" s="3" t="s">
        <v>22</v>
      </c>
      <c r="P1600" t="s">
        <v>29</v>
      </c>
      <c r="Q1600" t="s">
        <v>24</v>
      </c>
      <c r="R1600">
        <v>5</v>
      </c>
      <c r="S1600" t="s">
        <v>102</v>
      </c>
      <c r="T1600" s="4">
        <f t="shared" si="123"/>
        <v>276549.02999999997</v>
      </c>
      <c r="U1600" s="4" t="str">
        <f t="shared" si="124"/>
        <v>Good</v>
      </c>
      <c r="V1600" s="4" t="str">
        <f t="shared" si="125"/>
        <v>Excellent</v>
      </c>
      <c r="W1600" s="4"/>
      <c r="X1600" s="4"/>
      <c r="AJ1600" s="4"/>
    </row>
    <row r="1601" spans="1:36">
      <c r="A1601" t="str">
        <f t="shared" si="121"/>
        <v>Kira261600</v>
      </c>
      <c r="B1601">
        <v>1600</v>
      </c>
      <c r="C1601">
        <v>6</v>
      </c>
      <c r="D1601">
        <v>1</v>
      </c>
      <c r="E1601">
        <v>2023</v>
      </c>
      <c r="F1601" s="1">
        <f t="shared" si="122"/>
        <v>44932</v>
      </c>
      <c r="G1601" s="1" t="s">
        <v>316</v>
      </c>
      <c r="H1601" s="2">
        <v>46077</v>
      </c>
      <c r="I1601" t="s">
        <v>49</v>
      </c>
      <c r="J1601">
        <v>2</v>
      </c>
      <c r="K1601">
        <v>25576.639999999999</v>
      </c>
      <c r="L1601" t="s">
        <v>302</v>
      </c>
      <c r="M1601">
        <v>26</v>
      </c>
      <c r="N1601" t="s">
        <v>36</v>
      </c>
      <c r="O1601" s="3" t="s">
        <v>55</v>
      </c>
      <c r="P1601" t="s">
        <v>29</v>
      </c>
      <c r="Q1601" t="s">
        <v>56</v>
      </c>
      <c r="R1601">
        <v>1</v>
      </c>
      <c r="S1601" t="s">
        <v>52</v>
      </c>
      <c r="T1601" s="4">
        <f t="shared" si="123"/>
        <v>51153.279999999999</v>
      </c>
      <c r="U1601" s="4" t="str">
        <f t="shared" si="124"/>
        <v>Average</v>
      </c>
      <c r="V1601" s="4" t="str">
        <f t="shared" si="125"/>
        <v>Average</v>
      </c>
      <c r="W1601" s="4"/>
      <c r="X1601" s="4"/>
      <c r="AJ1601" s="4"/>
    </row>
    <row r="1602" spans="1:36">
      <c r="A1602" t="str">
        <f t="shared" ref="A1602:A1665" si="126">LEFT(L1602,4)&amp;M1602&amp;B1602</f>
        <v>Arun401601</v>
      </c>
      <c r="B1602">
        <v>1601</v>
      </c>
      <c r="C1602">
        <v>7</v>
      </c>
      <c r="D1602">
        <v>1</v>
      </c>
      <c r="E1602">
        <v>2023</v>
      </c>
      <c r="F1602" s="1">
        <f t="shared" si="122"/>
        <v>44933</v>
      </c>
      <c r="G1602" s="1" t="s">
        <v>316</v>
      </c>
      <c r="H1602" s="2">
        <v>46078</v>
      </c>
      <c r="I1602" t="s">
        <v>19</v>
      </c>
      <c r="J1602">
        <v>8</v>
      </c>
      <c r="K1602">
        <v>35829.620000000003</v>
      </c>
      <c r="L1602" t="s">
        <v>428</v>
      </c>
      <c r="M1602">
        <v>40</v>
      </c>
      <c r="N1602" t="s">
        <v>21</v>
      </c>
      <c r="O1602" s="3" t="s">
        <v>22</v>
      </c>
      <c r="P1602" t="s">
        <v>40</v>
      </c>
      <c r="Q1602" t="s">
        <v>56</v>
      </c>
      <c r="R1602">
        <v>4</v>
      </c>
      <c r="S1602" t="s">
        <v>84</v>
      </c>
      <c r="T1602" s="4">
        <f t="shared" si="123"/>
        <v>286636.96000000002</v>
      </c>
      <c r="U1602" s="4" t="str">
        <f t="shared" si="124"/>
        <v>Good</v>
      </c>
      <c r="V1602" s="4" t="str">
        <f t="shared" si="125"/>
        <v>Excellent</v>
      </c>
      <c r="W1602" s="4"/>
      <c r="X1602" s="4"/>
      <c r="AJ1602" s="4"/>
    </row>
    <row r="1603" spans="1:36">
      <c r="A1603" t="str">
        <f t="shared" si="126"/>
        <v>Tapa311602</v>
      </c>
      <c r="B1603">
        <v>1602</v>
      </c>
      <c r="C1603">
        <v>7</v>
      </c>
      <c r="D1603">
        <v>1</v>
      </c>
      <c r="E1603">
        <v>2023</v>
      </c>
      <c r="F1603" s="1">
        <f t="shared" ref="F1603:F1666" si="127">DATE(E1603,D1603,C1603)</f>
        <v>44933</v>
      </c>
      <c r="G1603" s="1" t="s">
        <v>316</v>
      </c>
      <c r="H1603" s="2">
        <v>46079</v>
      </c>
      <c r="I1603" t="s">
        <v>38</v>
      </c>
      <c r="J1603">
        <v>5</v>
      </c>
      <c r="K1603">
        <v>38034.480000000003</v>
      </c>
      <c r="L1603" t="s">
        <v>857</v>
      </c>
      <c r="M1603">
        <v>31</v>
      </c>
      <c r="N1603" t="s">
        <v>21</v>
      </c>
      <c r="O1603" s="3" t="s">
        <v>22</v>
      </c>
      <c r="P1603" t="s">
        <v>29</v>
      </c>
      <c r="Q1603" t="s">
        <v>56</v>
      </c>
      <c r="R1603">
        <v>5</v>
      </c>
      <c r="S1603" t="s">
        <v>42</v>
      </c>
      <c r="T1603" s="4">
        <f t="shared" ref="T1603:T1666" si="128">J1603*K1603</f>
        <v>190172.40000000002</v>
      </c>
      <c r="U1603" s="4" t="str">
        <f t="shared" ref="U1603:U1666" si="129">IF(R1603&gt;=4,"Good","Average")</f>
        <v>Good</v>
      </c>
      <c r="V1603" s="4" t="str">
        <f t="shared" ref="V1603:V1666" si="130">IF(T1603&gt;200000,"Excellent",IF(T1603&gt;100000,"Good",IF(T1603&gt;50000,"Average","Low")))</f>
        <v>Good</v>
      </c>
      <c r="W1603" s="4"/>
      <c r="X1603" s="4"/>
      <c r="AJ1603" s="4"/>
    </row>
    <row r="1604" spans="1:36">
      <c r="A1604" t="str">
        <f t="shared" si="126"/>
        <v>Bhav281603</v>
      </c>
      <c r="B1604">
        <v>1603</v>
      </c>
      <c r="C1604">
        <v>7</v>
      </c>
      <c r="D1604">
        <v>1</v>
      </c>
      <c r="E1604">
        <v>2023</v>
      </c>
      <c r="F1604" s="1">
        <f t="shared" si="127"/>
        <v>44933</v>
      </c>
      <c r="G1604" s="1" t="s">
        <v>316</v>
      </c>
      <c r="H1604" s="2">
        <v>46080</v>
      </c>
      <c r="I1604" t="s">
        <v>43</v>
      </c>
      <c r="J1604">
        <v>4</v>
      </c>
      <c r="K1604">
        <v>24405.08</v>
      </c>
      <c r="L1604" t="s">
        <v>440</v>
      </c>
      <c r="M1604">
        <v>28</v>
      </c>
      <c r="N1604" t="s">
        <v>36</v>
      </c>
      <c r="O1604" s="3" t="s">
        <v>22</v>
      </c>
      <c r="P1604" t="s">
        <v>59</v>
      </c>
      <c r="Q1604" t="s">
        <v>56</v>
      </c>
      <c r="R1604">
        <v>4</v>
      </c>
      <c r="S1604" t="s">
        <v>95</v>
      </c>
      <c r="T1604" s="4">
        <f t="shared" si="128"/>
        <v>97620.32</v>
      </c>
      <c r="U1604" s="4" t="str">
        <f t="shared" si="129"/>
        <v>Good</v>
      </c>
      <c r="V1604" s="4" t="str">
        <f t="shared" si="130"/>
        <v>Average</v>
      </c>
      <c r="W1604" s="4"/>
      <c r="X1604" s="4"/>
      <c r="AJ1604" s="4"/>
    </row>
    <row r="1605" spans="1:36">
      <c r="A1605" t="str">
        <f t="shared" si="126"/>
        <v>Deve241604</v>
      </c>
      <c r="B1605">
        <v>1604</v>
      </c>
      <c r="C1605">
        <v>8</v>
      </c>
      <c r="D1605">
        <v>1</v>
      </c>
      <c r="E1605">
        <v>2023</v>
      </c>
      <c r="F1605" s="1">
        <f t="shared" si="127"/>
        <v>44934</v>
      </c>
      <c r="G1605" s="1" t="s">
        <v>316</v>
      </c>
      <c r="H1605" s="2">
        <v>46081</v>
      </c>
      <c r="I1605" t="s">
        <v>43</v>
      </c>
      <c r="J1605">
        <v>5</v>
      </c>
      <c r="K1605">
        <v>63675.87</v>
      </c>
      <c r="L1605" t="s">
        <v>891</v>
      </c>
      <c r="M1605">
        <v>24</v>
      </c>
      <c r="N1605" t="s">
        <v>36</v>
      </c>
      <c r="O1605" s="3" t="s">
        <v>28</v>
      </c>
      <c r="P1605" t="s">
        <v>132</v>
      </c>
      <c r="Q1605" t="s">
        <v>24</v>
      </c>
      <c r="R1605">
        <v>3</v>
      </c>
      <c r="S1605" t="s">
        <v>57</v>
      </c>
      <c r="T1605" s="4">
        <f t="shared" si="128"/>
        <v>318379.35000000003</v>
      </c>
      <c r="U1605" s="4" t="str">
        <f t="shared" si="129"/>
        <v>Average</v>
      </c>
      <c r="V1605" s="4" t="str">
        <f t="shared" si="130"/>
        <v>Excellent</v>
      </c>
      <c r="W1605" s="4"/>
      <c r="X1605" s="4"/>
      <c r="AJ1605" s="4"/>
    </row>
    <row r="1606" spans="1:36">
      <c r="A1606" t="str">
        <f t="shared" si="126"/>
        <v>Lata481605</v>
      </c>
      <c r="B1606">
        <v>1605</v>
      </c>
      <c r="C1606">
        <v>8</v>
      </c>
      <c r="D1606">
        <v>1</v>
      </c>
      <c r="E1606">
        <v>2023</v>
      </c>
      <c r="F1606" s="1">
        <f t="shared" si="127"/>
        <v>44934</v>
      </c>
      <c r="G1606" s="1" t="s">
        <v>316</v>
      </c>
      <c r="H1606" s="2">
        <v>46082</v>
      </c>
      <c r="I1606" t="s">
        <v>43</v>
      </c>
      <c r="J1606">
        <v>4</v>
      </c>
      <c r="K1606">
        <v>42552.87</v>
      </c>
      <c r="L1606" t="s">
        <v>892</v>
      </c>
      <c r="M1606">
        <v>48</v>
      </c>
      <c r="N1606" t="s">
        <v>61</v>
      </c>
      <c r="O1606" s="3" t="s">
        <v>22</v>
      </c>
      <c r="P1606" t="s">
        <v>29</v>
      </c>
      <c r="Q1606" t="s">
        <v>24</v>
      </c>
      <c r="R1606">
        <v>5</v>
      </c>
      <c r="S1606" t="s">
        <v>57</v>
      </c>
      <c r="T1606" s="4">
        <f t="shared" si="128"/>
        <v>170211.48</v>
      </c>
      <c r="U1606" s="4" t="str">
        <f t="shared" si="129"/>
        <v>Good</v>
      </c>
      <c r="V1606" s="4" t="str">
        <f t="shared" si="130"/>
        <v>Good</v>
      </c>
      <c r="W1606" s="4"/>
      <c r="X1606" s="4"/>
      <c r="AJ1606" s="4"/>
    </row>
    <row r="1607" spans="1:36">
      <c r="A1607" t="str">
        <f t="shared" si="126"/>
        <v>Sach411606</v>
      </c>
      <c r="B1607">
        <v>1606</v>
      </c>
      <c r="C1607">
        <v>8</v>
      </c>
      <c r="D1607">
        <v>1</v>
      </c>
      <c r="E1607">
        <v>2023</v>
      </c>
      <c r="F1607" s="1">
        <f t="shared" si="127"/>
        <v>44934</v>
      </c>
      <c r="G1607" s="1" t="s">
        <v>316</v>
      </c>
      <c r="H1607" s="2">
        <v>46083</v>
      </c>
      <c r="I1607" t="s">
        <v>19</v>
      </c>
      <c r="J1607">
        <v>8</v>
      </c>
      <c r="K1607">
        <v>68706.66</v>
      </c>
      <c r="L1607" t="s">
        <v>877</v>
      </c>
      <c r="M1607">
        <v>41</v>
      </c>
      <c r="N1607" t="s">
        <v>21</v>
      </c>
      <c r="O1607" s="3" t="s">
        <v>22</v>
      </c>
      <c r="P1607" t="s">
        <v>59</v>
      </c>
      <c r="Q1607" t="s">
        <v>41</v>
      </c>
      <c r="R1607">
        <v>5</v>
      </c>
      <c r="S1607" t="s">
        <v>25</v>
      </c>
      <c r="T1607" s="4">
        <f t="shared" si="128"/>
        <v>549653.28</v>
      </c>
      <c r="U1607" s="4" t="str">
        <f t="shared" si="129"/>
        <v>Good</v>
      </c>
      <c r="V1607" s="4" t="str">
        <f t="shared" si="130"/>
        <v>Excellent</v>
      </c>
      <c r="W1607" s="4"/>
      <c r="X1607" s="4"/>
      <c r="AJ1607" s="4"/>
    </row>
    <row r="1608" spans="1:36">
      <c r="A1608" t="str">
        <f t="shared" si="126"/>
        <v>Yoge431607</v>
      </c>
      <c r="B1608">
        <v>1607</v>
      </c>
      <c r="C1608">
        <v>8</v>
      </c>
      <c r="D1608">
        <v>1</v>
      </c>
      <c r="E1608">
        <v>2023</v>
      </c>
      <c r="F1608" s="1">
        <f t="shared" si="127"/>
        <v>44934</v>
      </c>
      <c r="G1608" s="1" t="s">
        <v>316</v>
      </c>
      <c r="H1608" s="2">
        <v>46084</v>
      </c>
      <c r="I1608" t="s">
        <v>19</v>
      </c>
      <c r="J1608">
        <v>4</v>
      </c>
      <c r="K1608">
        <v>58601.07</v>
      </c>
      <c r="L1608" t="s">
        <v>115</v>
      </c>
      <c r="M1608">
        <v>43</v>
      </c>
      <c r="N1608" t="s">
        <v>21</v>
      </c>
      <c r="O1608" s="3" t="s">
        <v>22</v>
      </c>
      <c r="P1608" t="s">
        <v>45</v>
      </c>
      <c r="Q1608" t="s">
        <v>56</v>
      </c>
      <c r="R1608">
        <v>5</v>
      </c>
      <c r="S1608" t="s">
        <v>25</v>
      </c>
      <c r="T1608" s="4">
        <f t="shared" si="128"/>
        <v>234404.28</v>
      </c>
      <c r="U1608" s="4" t="str">
        <f t="shared" si="129"/>
        <v>Good</v>
      </c>
      <c r="V1608" s="4" t="str">
        <f t="shared" si="130"/>
        <v>Excellent</v>
      </c>
      <c r="W1608" s="4"/>
      <c r="X1608" s="4"/>
      <c r="AJ1608" s="4"/>
    </row>
    <row r="1609" spans="1:36">
      <c r="A1609" t="str">
        <f t="shared" si="126"/>
        <v>Vive471608</v>
      </c>
      <c r="B1609">
        <v>1608</v>
      </c>
      <c r="C1609">
        <v>9</v>
      </c>
      <c r="D1609">
        <v>1</v>
      </c>
      <c r="E1609">
        <v>2023</v>
      </c>
      <c r="F1609" s="1">
        <f t="shared" si="127"/>
        <v>44935</v>
      </c>
      <c r="G1609" s="1" t="s">
        <v>316</v>
      </c>
      <c r="H1609" s="2">
        <v>46085</v>
      </c>
      <c r="I1609" t="s">
        <v>26</v>
      </c>
      <c r="J1609">
        <v>6</v>
      </c>
      <c r="K1609">
        <v>43342.29</v>
      </c>
      <c r="L1609" t="s">
        <v>229</v>
      </c>
      <c r="M1609">
        <v>47</v>
      </c>
      <c r="N1609" t="s">
        <v>61</v>
      </c>
      <c r="O1609" s="3" t="s">
        <v>22</v>
      </c>
      <c r="P1609" t="s">
        <v>29</v>
      </c>
      <c r="Q1609" t="s">
        <v>56</v>
      </c>
      <c r="R1609">
        <v>4</v>
      </c>
      <c r="S1609" t="s">
        <v>34</v>
      </c>
      <c r="T1609" s="4">
        <f t="shared" si="128"/>
        <v>260053.74</v>
      </c>
      <c r="U1609" s="4" t="str">
        <f t="shared" si="129"/>
        <v>Good</v>
      </c>
      <c r="V1609" s="4" t="str">
        <f t="shared" si="130"/>
        <v>Excellent</v>
      </c>
      <c r="W1609" s="4"/>
      <c r="X1609" s="4"/>
      <c r="AJ1609" s="4"/>
    </row>
    <row r="1610" spans="1:36">
      <c r="A1610" t="str">
        <f t="shared" si="126"/>
        <v>Meen511609</v>
      </c>
      <c r="B1610">
        <v>1609</v>
      </c>
      <c r="C1610">
        <v>9</v>
      </c>
      <c r="D1610">
        <v>1</v>
      </c>
      <c r="E1610">
        <v>2023</v>
      </c>
      <c r="F1610" s="1">
        <f t="shared" si="127"/>
        <v>44935</v>
      </c>
      <c r="G1610" s="1" t="s">
        <v>316</v>
      </c>
      <c r="H1610" s="2">
        <v>46086</v>
      </c>
      <c r="I1610" t="s">
        <v>43</v>
      </c>
      <c r="J1610">
        <v>2</v>
      </c>
      <c r="K1610">
        <v>66822.42</v>
      </c>
      <c r="L1610" t="s">
        <v>575</v>
      </c>
      <c r="M1610">
        <v>51</v>
      </c>
      <c r="N1610" t="s">
        <v>61</v>
      </c>
      <c r="O1610" s="3" t="s">
        <v>22</v>
      </c>
      <c r="P1610" t="s">
        <v>93</v>
      </c>
      <c r="Q1610" t="s">
        <v>30</v>
      </c>
      <c r="R1610">
        <v>4</v>
      </c>
      <c r="S1610" t="s">
        <v>46</v>
      </c>
      <c r="T1610" s="4">
        <f t="shared" si="128"/>
        <v>133644.84</v>
      </c>
      <c r="U1610" s="4" t="str">
        <f t="shared" si="129"/>
        <v>Good</v>
      </c>
      <c r="V1610" s="4" t="str">
        <f t="shared" si="130"/>
        <v>Good</v>
      </c>
      <c r="W1610" s="4"/>
      <c r="X1610" s="4"/>
      <c r="AJ1610" s="4"/>
    </row>
    <row r="1611" spans="1:36">
      <c r="A1611" t="str">
        <f t="shared" si="126"/>
        <v>Roha551610</v>
      </c>
      <c r="B1611">
        <v>1610</v>
      </c>
      <c r="C1611">
        <v>9</v>
      </c>
      <c r="D1611">
        <v>1</v>
      </c>
      <c r="E1611">
        <v>2023</v>
      </c>
      <c r="F1611" s="1">
        <f t="shared" si="127"/>
        <v>44935</v>
      </c>
      <c r="G1611" s="1" t="s">
        <v>316</v>
      </c>
      <c r="H1611" s="2">
        <v>46087</v>
      </c>
      <c r="I1611" t="s">
        <v>38</v>
      </c>
      <c r="J1611">
        <v>5</v>
      </c>
      <c r="K1611">
        <v>40292.49</v>
      </c>
      <c r="L1611" t="s">
        <v>620</v>
      </c>
      <c r="M1611">
        <v>55</v>
      </c>
      <c r="N1611" t="s">
        <v>61</v>
      </c>
      <c r="O1611" s="3" t="s">
        <v>55</v>
      </c>
      <c r="P1611" t="s">
        <v>40</v>
      </c>
      <c r="Q1611" t="s">
        <v>30</v>
      </c>
      <c r="R1611">
        <v>1</v>
      </c>
      <c r="S1611" t="s">
        <v>48</v>
      </c>
      <c r="T1611" s="4">
        <f t="shared" si="128"/>
        <v>201462.44999999998</v>
      </c>
      <c r="U1611" s="4" t="str">
        <f t="shared" si="129"/>
        <v>Average</v>
      </c>
      <c r="V1611" s="4" t="str">
        <f t="shared" si="130"/>
        <v>Excellent</v>
      </c>
      <c r="W1611" s="4"/>
      <c r="X1611" s="4"/>
      <c r="AJ1611" s="4"/>
    </row>
    <row r="1612" spans="1:36">
      <c r="A1612" t="str">
        <f t="shared" si="126"/>
        <v>Vive221611</v>
      </c>
      <c r="B1612">
        <v>1611</v>
      </c>
      <c r="C1612">
        <v>9</v>
      </c>
      <c r="D1612">
        <v>1</v>
      </c>
      <c r="E1612">
        <v>2023</v>
      </c>
      <c r="F1612" s="1">
        <f t="shared" si="127"/>
        <v>44935</v>
      </c>
      <c r="G1612" s="1" t="s">
        <v>316</v>
      </c>
      <c r="H1612" s="2">
        <v>46088</v>
      </c>
      <c r="I1612" t="s">
        <v>38</v>
      </c>
      <c r="J1612">
        <v>6</v>
      </c>
      <c r="K1612">
        <v>63226.39</v>
      </c>
      <c r="L1612" t="s">
        <v>893</v>
      </c>
      <c r="M1612">
        <v>22</v>
      </c>
      <c r="N1612" t="s">
        <v>36</v>
      </c>
      <c r="O1612" s="3" t="s">
        <v>55</v>
      </c>
      <c r="P1612" t="s">
        <v>29</v>
      </c>
      <c r="Q1612" t="s">
        <v>24</v>
      </c>
      <c r="R1612">
        <v>1</v>
      </c>
      <c r="S1612" t="s">
        <v>42</v>
      </c>
      <c r="T1612" s="4">
        <f t="shared" si="128"/>
        <v>379358.33999999997</v>
      </c>
      <c r="U1612" s="4" t="str">
        <f t="shared" si="129"/>
        <v>Average</v>
      </c>
      <c r="V1612" s="4" t="str">
        <f t="shared" si="130"/>
        <v>Excellent</v>
      </c>
      <c r="W1612" s="4"/>
      <c r="X1612" s="4"/>
      <c r="AJ1612" s="4"/>
    </row>
    <row r="1613" spans="1:36">
      <c r="A1613" t="str">
        <f t="shared" si="126"/>
        <v>Mano221612</v>
      </c>
      <c r="B1613">
        <v>1612</v>
      </c>
      <c r="C1613">
        <v>10</v>
      </c>
      <c r="D1613">
        <v>1</v>
      </c>
      <c r="E1613">
        <v>2023</v>
      </c>
      <c r="F1613" s="1">
        <f t="shared" si="127"/>
        <v>44936</v>
      </c>
      <c r="G1613" s="1" t="s">
        <v>316</v>
      </c>
      <c r="H1613" s="2">
        <v>46089</v>
      </c>
      <c r="I1613" t="s">
        <v>43</v>
      </c>
      <c r="J1613">
        <v>5</v>
      </c>
      <c r="K1613">
        <v>31488.69</v>
      </c>
      <c r="L1613" t="s">
        <v>798</v>
      </c>
      <c r="M1613">
        <v>22</v>
      </c>
      <c r="N1613" t="s">
        <v>36</v>
      </c>
      <c r="O1613" s="3" t="s">
        <v>28</v>
      </c>
      <c r="P1613" t="s">
        <v>77</v>
      </c>
      <c r="Q1613" t="s">
        <v>41</v>
      </c>
      <c r="R1613">
        <v>3</v>
      </c>
      <c r="S1613" t="s">
        <v>95</v>
      </c>
      <c r="T1613" s="4">
        <f t="shared" si="128"/>
        <v>157443.44999999998</v>
      </c>
      <c r="U1613" s="4" t="str">
        <f t="shared" si="129"/>
        <v>Average</v>
      </c>
      <c r="V1613" s="4" t="str">
        <f t="shared" si="130"/>
        <v>Good</v>
      </c>
      <c r="W1613" s="4"/>
      <c r="X1613" s="4"/>
      <c r="AJ1613" s="4"/>
    </row>
    <row r="1614" spans="1:36">
      <c r="A1614" t="str">
        <f t="shared" si="126"/>
        <v>Vive361613</v>
      </c>
      <c r="B1614">
        <v>1613</v>
      </c>
      <c r="C1614">
        <v>10</v>
      </c>
      <c r="D1614">
        <v>1</v>
      </c>
      <c r="E1614">
        <v>2023</v>
      </c>
      <c r="F1614" s="1">
        <f t="shared" si="127"/>
        <v>44936</v>
      </c>
      <c r="G1614" s="1" t="s">
        <v>316</v>
      </c>
      <c r="H1614" s="2">
        <v>46090</v>
      </c>
      <c r="I1614" t="s">
        <v>43</v>
      </c>
      <c r="J1614">
        <v>2</v>
      </c>
      <c r="K1614">
        <v>32718.54</v>
      </c>
      <c r="L1614" t="s">
        <v>894</v>
      </c>
      <c r="M1614">
        <v>36</v>
      </c>
      <c r="N1614" t="s">
        <v>21</v>
      </c>
      <c r="O1614" s="3" t="s">
        <v>55</v>
      </c>
      <c r="P1614" t="s">
        <v>33</v>
      </c>
      <c r="Q1614" t="s">
        <v>56</v>
      </c>
      <c r="R1614">
        <v>1</v>
      </c>
      <c r="S1614" t="s">
        <v>95</v>
      </c>
      <c r="T1614" s="4">
        <f t="shared" si="128"/>
        <v>65437.08</v>
      </c>
      <c r="U1614" s="4" t="str">
        <f t="shared" si="129"/>
        <v>Average</v>
      </c>
      <c r="V1614" s="4" t="str">
        <f t="shared" si="130"/>
        <v>Average</v>
      </c>
      <c r="W1614" s="4"/>
      <c r="X1614" s="4"/>
      <c r="AJ1614" s="4"/>
    </row>
    <row r="1615" spans="1:36">
      <c r="A1615" t="str">
        <f t="shared" si="126"/>
        <v>Amit551614</v>
      </c>
      <c r="B1615">
        <v>1614</v>
      </c>
      <c r="C1615">
        <v>10</v>
      </c>
      <c r="D1615">
        <v>1</v>
      </c>
      <c r="E1615">
        <v>2023</v>
      </c>
      <c r="F1615" s="1">
        <f t="shared" si="127"/>
        <v>44936</v>
      </c>
      <c r="G1615" s="1" t="s">
        <v>316</v>
      </c>
      <c r="H1615" s="2">
        <v>46091</v>
      </c>
      <c r="I1615" t="s">
        <v>43</v>
      </c>
      <c r="J1615">
        <v>7</v>
      </c>
      <c r="K1615">
        <v>35087.839999999997</v>
      </c>
      <c r="L1615" t="s">
        <v>895</v>
      </c>
      <c r="M1615">
        <v>55</v>
      </c>
      <c r="N1615" t="s">
        <v>61</v>
      </c>
      <c r="O1615" s="3" t="s">
        <v>22</v>
      </c>
      <c r="P1615" t="s">
        <v>117</v>
      </c>
      <c r="Q1615" t="s">
        <v>41</v>
      </c>
      <c r="R1615">
        <v>4</v>
      </c>
      <c r="S1615" t="s">
        <v>57</v>
      </c>
      <c r="T1615" s="4">
        <f t="shared" si="128"/>
        <v>245614.87999999998</v>
      </c>
      <c r="U1615" s="4" t="str">
        <f t="shared" si="129"/>
        <v>Good</v>
      </c>
      <c r="V1615" s="4" t="str">
        <f t="shared" si="130"/>
        <v>Excellent</v>
      </c>
      <c r="W1615" s="4"/>
      <c r="X1615" s="4"/>
      <c r="AJ1615" s="4"/>
    </row>
    <row r="1616" spans="1:36">
      <c r="A1616" t="str">
        <f t="shared" si="126"/>
        <v>Lali451615</v>
      </c>
      <c r="B1616">
        <v>1615</v>
      </c>
      <c r="C1616">
        <v>11</v>
      </c>
      <c r="D1616">
        <v>1</v>
      </c>
      <c r="E1616">
        <v>2023</v>
      </c>
      <c r="F1616" s="1">
        <f t="shared" si="127"/>
        <v>44937</v>
      </c>
      <c r="G1616" s="1" t="s">
        <v>316</v>
      </c>
      <c r="H1616" s="2">
        <v>46092</v>
      </c>
      <c r="I1616" t="s">
        <v>19</v>
      </c>
      <c r="J1616">
        <v>4</v>
      </c>
      <c r="K1616">
        <v>42797.54</v>
      </c>
      <c r="L1616" t="s">
        <v>896</v>
      </c>
      <c r="M1616">
        <v>45</v>
      </c>
      <c r="N1616" t="s">
        <v>21</v>
      </c>
      <c r="O1616" s="3" t="s">
        <v>22</v>
      </c>
      <c r="P1616" t="s">
        <v>29</v>
      </c>
      <c r="Q1616" t="s">
        <v>41</v>
      </c>
      <c r="R1616">
        <v>4</v>
      </c>
      <c r="S1616" t="s">
        <v>84</v>
      </c>
      <c r="T1616" s="4">
        <f t="shared" si="128"/>
        <v>171190.16</v>
      </c>
      <c r="U1616" s="4" t="str">
        <f t="shared" si="129"/>
        <v>Good</v>
      </c>
      <c r="V1616" s="4" t="str">
        <f t="shared" si="130"/>
        <v>Good</v>
      </c>
      <c r="W1616" s="4"/>
      <c r="X1616" s="4"/>
      <c r="AJ1616" s="4"/>
    </row>
    <row r="1617" spans="1:36">
      <c r="A1617" t="str">
        <f t="shared" si="126"/>
        <v>Nikh431616</v>
      </c>
      <c r="B1617">
        <v>1616</v>
      </c>
      <c r="C1617">
        <v>11</v>
      </c>
      <c r="D1617">
        <v>1</v>
      </c>
      <c r="E1617">
        <v>2023</v>
      </c>
      <c r="F1617" s="1">
        <f t="shared" si="127"/>
        <v>44937</v>
      </c>
      <c r="G1617" s="1" t="s">
        <v>316</v>
      </c>
      <c r="H1617" s="2">
        <v>46093</v>
      </c>
      <c r="I1617" t="s">
        <v>19</v>
      </c>
      <c r="J1617">
        <v>8</v>
      </c>
      <c r="K1617">
        <v>43209.42</v>
      </c>
      <c r="L1617" t="s">
        <v>667</v>
      </c>
      <c r="M1617">
        <v>43</v>
      </c>
      <c r="N1617" t="s">
        <v>21</v>
      </c>
      <c r="O1617" s="3" t="s">
        <v>55</v>
      </c>
      <c r="P1617" t="s">
        <v>33</v>
      </c>
      <c r="Q1617" t="s">
        <v>24</v>
      </c>
      <c r="R1617">
        <v>1</v>
      </c>
      <c r="S1617" t="s">
        <v>37</v>
      </c>
      <c r="T1617" s="4">
        <f t="shared" si="128"/>
        <v>345675.36</v>
      </c>
      <c r="U1617" s="4" t="str">
        <f t="shared" si="129"/>
        <v>Average</v>
      </c>
      <c r="V1617" s="4" t="str">
        <f t="shared" si="130"/>
        <v>Excellent</v>
      </c>
      <c r="W1617" s="4"/>
      <c r="X1617" s="4"/>
      <c r="AJ1617" s="4"/>
    </row>
    <row r="1618" spans="1:36">
      <c r="A1618" t="str">
        <f t="shared" si="126"/>
        <v>Ayes591617</v>
      </c>
      <c r="B1618">
        <v>1617</v>
      </c>
      <c r="C1618">
        <v>11</v>
      </c>
      <c r="D1618">
        <v>1</v>
      </c>
      <c r="E1618">
        <v>2023</v>
      </c>
      <c r="F1618" s="1">
        <f t="shared" si="127"/>
        <v>44937</v>
      </c>
      <c r="G1618" s="1" t="s">
        <v>316</v>
      </c>
      <c r="H1618" s="2">
        <v>46094</v>
      </c>
      <c r="I1618" t="s">
        <v>19</v>
      </c>
      <c r="J1618">
        <v>7</v>
      </c>
      <c r="K1618">
        <v>39783.94</v>
      </c>
      <c r="L1618" t="s">
        <v>835</v>
      </c>
      <c r="M1618">
        <v>59</v>
      </c>
      <c r="N1618" t="s">
        <v>61</v>
      </c>
      <c r="O1618" s="3" t="s">
        <v>28</v>
      </c>
      <c r="P1618" t="s">
        <v>40</v>
      </c>
      <c r="Q1618" t="s">
        <v>41</v>
      </c>
      <c r="R1618">
        <v>3</v>
      </c>
      <c r="S1618" t="s">
        <v>25</v>
      </c>
      <c r="T1618" s="4">
        <f t="shared" si="128"/>
        <v>278487.58</v>
      </c>
      <c r="U1618" s="4" t="str">
        <f t="shared" si="129"/>
        <v>Average</v>
      </c>
      <c r="V1618" s="4" t="str">
        <f t="shared" si="130"/>
        <v>Excellent</v>
      </c>
      <c r="W1618" s="4"/>
      <c r="X1618" s="4"/>
      <c r="AJ1618" s="4"/>
    </row>
    <row r="1619" spans="1:36">
      <c r="A1619" t="str">
        <f t="shared" si="126"/>
        <v>Yoge401618</v>
      </c>
      <c r="B1619">
        <v>1618</v>
      </c>
      <c r="C1619">
        <v>12</v>
      </c>
      <c r="D1619">
        <v>1</v>
      </c>
      <c r="E1619">
        <v>2023</v>
      </c>
      <c r="F1619" s="1">
        <f t="shared" si="127"/>
        <v>44938</v>
      </c>
      <c r="G1619" s="1" t="s">
        <v>316</v>
      </c>
      <c r="H1619" s="2">
        <v>46095</v>
      </c>
      <c r="I1619" t="s">
        <v>49</v>
      </c>
      <c r="J1619">
        <v>7</v>
      </c>
      <c r="K1619">
        <v>28360.06</v>
      </c>
      <c r="L1619" t="s">
        <v>660</v>
      </c>
      <c r="M1619">
        <v>40</v>
      </c>
      <c r="N1619" t="s">
        <v>21</v>
      </c>
      <c r="O1619" s="3" t="s">
        <v>22</v>
      </c>
      <c r="P1619" t="s">
        <v>110</v>
      </c>
      <c r="Q1619" t="s">
        <v>56</v>
      </c>
      <c r="R1619">
        <v>4</v>
      </c>
      <c r="S1619" t="s">
        <v>52</v>
      </c>
      <c r="T1619" s="4">
        <f t="shared" si="128"/>
        <v>198520.42</v>
      </c>
      <c r="U1619" s="4" t="str">
        <f t="shared" si="129"/>
        <v>Good</v>
      </c>
      <c r="V1619" s="4" t="str">
        <f t="shared" si="130"/>
        <v>Good</v>
      </c>
      <c r="W1619" s="4"/>
      <c r="X1619" s="4"/>
      <c r="AJ1619" s="4"/>
    </row>
    <row r="1620" spans="1:36">
      <c r="A1620" t="str">
        <f t="shared" si="126"/>
        <v>Adit471619</v>
      </c>
      <c r="B1620">
        <v>1619</v>
      </c>
      <c r="C1620">
        <v>12</v>
      </c>
      <c r="D1620">
        <v>1</v>
      </c>
      <c r="E1620">
        <v>2023</v>
      </c>
      <c r="F1620" s="1">
        <f t="shared" si="127"/>
        <v>44938</v>
      </c>
      <c r="G1620" s="1" t="s">
        <v>316</v>
      </c>
      <c r="H1620" s="2">
        <v>46096</v>
      </c>
      <c r="I1620" t="s">
        <v>38</v>
      </c>
      <c r="J1620">
        <v>9</v>
      </c>
      <c r="K1620">
        <v>65632.39</v>
      </c>
      <c r="L1620" t="s">
        <v>897</v>
      </c>
      <c r="M1620">
        <v>47</v>
      </c>
      <c r="N1620" t="s">
        <v>61</v>
      </c>
      <c r="O1620" s="3" t="s">
        <v>28</v>
      </c>
      <c r="P1620" t="s">
        <v>29</v>
      </c>
      <c r="Q1620" t="s">
        <v>24</v>
      </c>
      <c r="R1620">
        <v>3</v>
      </c>
      <c r="S1620" t="s">
        <v>48</v>
      </c>
      <c r="T1620" s="4">
        <f t="shared" si="128"/>
        <v>590691.51</v>
      </c>
      <c r="U1620" s="4" t="str">
        <f t="shared" si="129"/>
        <v>Average</v>
      </c>
      <c r="V1620" s="4" t="str">
        <f t="shared" si="130"/>
        <v>Excellent</v>
      </c>
      <c r="W1620" s="4"/>
      <c r="X1620" s="4"/>
      <c r="AJ1620" s="4"/>
    </row>
    <row r="1621" spans="1:36">
      <c r="A1621" t="str">
        <f t="shared" si="126"/>
        <v>Shru201620</v>
      </c>
      <c r="B1621">
        <v>1620</v>
      </c>
      <c r="C1621">
        <v>12</v>
      </c>
      <c r="D1621">
        <v>1</v>
      </c>
      <c r="E1621">
        <v>2023</v>
      </c>
      <c r="F1621" s="1">
        <f t="shared" si="127"/>
        <v>44938</v>
      </c>
      <c r="G1621" s="1" t="s">
        <v>316</v>
      </c>
      <c r="H1621" s="2">
        <v>46097</v>
      </c>
      <c r="I1621" t="s">
        <v>38</v>
      </c>
      <c r="J1621">
        <v>1</v>
      </c>
      <c r="K1621">
        <v>45315.17</v>
      </c>
      <c r="L1621" t="s">
        <v>898</v>
      </c>
      <c r="M1621">
        <v>20</v>
      </c>
      <c r="N1621" t="s">
        <v>36</v>
      </c>
      <c r="O1621" s="3" t="s">
        <v>22</v>
      </c>
      <c r="P1621" t="s">
        <v>64</v>
      </c>
      <c r="Q1621" t="s">
        <v>41</v>
      </c>
      <c r="R1621">
        <v>4</v>
      </c>
      <c r="S1621" t="s">
        <v>42</v>
      </c>
      <c r="T1621" s="4">
        <f t="shared" si="128"/>
        <v>45315.17</v>
      </c>
      <c r="U1621" s="4" t="str">
        <f t="shared" si="129"/>
        <v>Good</v>
      </c>
      <c r="V1621" s="4" t="str">
        <f t="shared" si="130"/>
        <v>Low</v>
      </c>
      <c r="W1621" s="4"/>
      <c r="X1621" s="4"/>
      <c r="AJ1621" s="4"/>
    </row>
    <row r="1622" spans="1:36">
      <c r="A1622" t="str">
        <f t="shared" si="126"/>
        <v>Priy451621</v>
      </c>
      <c r="B1622">
        <v>1621</v>
      </c>
      <c r="C1622">
        <v>12</v>
      </c>
      <c r="D1622">
        <v>1</v>
      </c>
      <c r="E1622">
        <v>2023</v>
      </c>
      <c r="F1622" s="1">
        <f t="shared" si="127"/>
        <v>44938</v>
      </c>
      <c r="G1622" s="1" t="s">
        <v>316</v>
      </c>
      <c r="H1622" s="2">
        <v>46098</v>
      </c>
      <c r="I1622" t="s">
        <v>26</v>
      </c>
      <c r="J1622">
        <v>6</v>
      </c>
      <c r="K1622">
        <v>34464.35</v>
      </c>
      <c r="L1622" t="s">
        <v>259</v>
      </c>
      <c r="M1622">
        <v>45</v>
      </c>
      <c r="N1622" t="s">
        <v>21</v>
      </c>
      <c r="O1622" s="3" t="s">
        <v>28</v>
      </c>
      <c r="P1622" t="s">
        <v>45</v>
      </c>
      <c r="Q1622" t="s">
        <v>24</v>
      </c>
      <c r="R1622">
        <v>3</v>
      </c>
      <c r="S1622" t="s">
        <v>31</v>
      </c>
      <c r="T1622" s="4">
        <f t="shared" si="128"/>
        <v>206786.09999999998</v>
      </c>
      <c r="U1622" s="4" t="str">
        <f t="shared" si="129"/>
        <v>Average</v>
      </c>
      <c r="V1622" s="4" t="str">
        <f t="shared" si="130"/>
        <v>Excellent</v>
      </c>
      <c r="W1622" s="4"/>
      <c r="X1622" s="4"/>
      <c r="AJ1622" s="4"/>
    </row>
    <row r="1623" spans="1:36">
      <c r="A1623" t="str">
        <f t="shared" si="126"/>
        <v>Kris501622</v>
      </c>
      <c r="B1623">
        <v>1622</v>
      </c>
      <c r="C1623">
        <v>13</v>
      </c>
      <c r="D1623">
        <v>1</v>
      </c>
      <c r="E1623">
        <v>2023</v>
      </c>
      <c r="F1623" s="1">
        <f t="shared" si="127"/>
        <v>44939</v>
      </c>
      <c r="G1623" s="1" t="s">
        <v>316</v>
      </c>
      <c r="H1623" s="2">
        <v>46099</v>
      </c>
      <c r="I1623" t="s">
        <v>19</v>
      </c>
      <c r="J1623">
        <v>6</v>
      </c>
      <c r="K1623">
        <v>49070.62</v>
      </c>
      <c r="L1623" t="s">
        <v>717</v>
      </c>
      <c r="M1623">
        <v>50</v>
      </c>
      <c r="N1623" t="s">
        <v>61</v>
      </c>
      <c r="O1623" s="3" t="s">
        <v>28</v>
      </c>
      <c r="P1623" t="s">
        <v>33</v>
      </c>
      <c r="Q1623" t="s">
        <v>24</v>
      </c>
      <c r="R1623">
        <v>3</v>
      </c>
      <c r="S1623" t="s">
        <v>84</v>
      </c>
      <c r="T1623" s="4">
        <f t="shared" si="128"/>
        <v>294423.72000000003</v>
      </c>
      <c r="U1623" s="4" t="str">
        <f t="shared" si="129"/>
        <v>Average</v>
      </c>
      <c r="V1623" s="4" t="str">
        <f t="shared" si="130"/>
        <v>Excellent</v>
      </c>
      <c r="W1623" s="4"/>
      <c r="X1623" s="4"/>
      <c r="AJ1623" s="4"/>
    </row>
    <row r="1624" spans="1:36">
      <c r="A1624" t="str">
        <f t="shared" si="126"/>
        <v>Tanu591623</v>
      </c>
      <c r="B1624">
        <v>1623</v>
      </c>
      <c r="C1624">
        <v>13</v>
      </c>
      <c r="D1624">
        <v>1</v>
      </c>
      <c r="E1624">
        <v>2023</v>
      </c>
      <c r="F1624" s="1">
        <f t="shared" si="127"/>
        <v>44939</v>
      </c>
      <c r="G1624" s="1" t="s">
        <v>316</v>
      </c>
      <c r="H1624" s="2">
        <v>46100</v>
      </c>
      <c r="I1624" t="s">
        <v>49</v>
      </c>
      <c r="J1624">
        <v>6</v>
      </c>
      <c r="K1624">
        <v>56078.01</v>
      </c>
      <c r="L1624" t="s">
        <v>899</v>
      </c>
      <c r="M1624">
        <v>59</v>
      </c>
      <c r="N1624" t="s">
        <v>61</v>
      </c>
      <c r="O1624" s="3" t="s">
        <v>28</v>
      </c>
      <c r="P1624" t="s">
        <v>33</v>
      </c>
      <c r="Q1624" t="s">
        <v>30</v>
      </c>
      <c r="R1624">
        <v>3</v>
      </c>
      <c r="S1624" t="s">
        <v>52</v>
      </c>
      <c r="T1624" s="4">
        <f t="shared" si="128"/>
        <v>336468.06</v>
      </c>
      <c r="U1624" s="4" t="str">
        <f t="shared" si="129"/>
        <v>Average</v>
      </c>
      <c r="V1624" s="4" t="str">
        <f t="shared" si="130"/>
        <v>Excellent</v>
      </c>
      <c r="W1624" s="4"/>
      <c r="X1624" s="4"/>
      <c r="AJ1624" s="4"/>
    </row>
    <row r="1625" spans="1:36">
      <c r="A1625" t="str">
        <f t="shared" si="126"/>
        <v>Radh201624</v>
      </c>
      <c r="B1625">
        <v>1624</v>
      </c>
      <c r="C1625">
        <v>13</v>
      </c>
      <c r="D1625">
        <v>1</v>
      </c>
      <c r="E1625">
        <v>2023</v>
      </c>
      <c r="F1625" s="1">
        <f t="shared" si="127"/>
        <v>44939</v>
      </c>
      <c r="G1625" s="1" t="s">
        <v>316</v>
      </c>
      <c r="H1625" s="2">
        <v>46101</v>
      </c>
      <c r="I1625" t="s">
        <v>49</v>
      </c>
      <c r="J1625">
        <v>6</v>
      </c>
      <c r="K1625">
        <v>67643.69</v>
      </c>
      <c r="L1625" t="s">
        <v>809</v>
      </c>
      <c r="M1625">
        <v>20</v>
      </c>
      <c r="N1625" t="s">
        <v>36</v>
      </c>
      <c r="O1625" s="3" t="s">
        <v>55</v>
      </c>
      <c r="P1625" t="s">
        <v>51</v>
      </c>
      <c r="Q1625" t="s">
        <v>24</v>
      </c>
      <c r="R1625">
        <v>1</v>
      </c>
      <c r="S1625" t="s">
        <v>88</v>
      </c>
      <c r="T1625" s="4">
        <f t="shared" si="128"/>
        <v>405862.14</v>
      </c>
      <c r="U1625" s="4" t="str">
        <f t="shared" si="129"/>
        <v>Average</v>
      </c>
      <c r="V1625" s="4" t="str">
        <f t="shared" si="130"/>
        <v>Excellent</v>
      </c>
      <c r="W1625" s="4"/>
      <c r="X1625" s="4"/>
      <c r="AJ1625" s="4"/>
    </row>
    <row r="1626" spans="1:36">
      <c r="A1626" t="str">
        <f t="shared" si="126"/>
        <v>Meen221625</v>
      </c>
      <c r="B1626">
        <v>1625</v>
      </c>
      <c r="C1626">
        <v>14</v>
      </c>
      <c r="D1626">
        <v>1</v>
      </c>
      <c r="E1626">
        <v>2023</v>
      </c>
      <c r="F1626" s="1">
        <f t="shared" si="127"/>
        <v>44940</v>
      </c>
      <c r="G1626" s="1" t="s">
        <v>316</v>
      </c>
      <c r="H1626" s="2">
        <v>46102</v>
      </c>
      <c r="I1626" t="s">
        <v>38</v>
      </c>
      <c r="J1626">
        <v>7</v>
      </c>
      <c r="K1626">
        <v>39972.949999999997</v>
      </c>
      <c r="L1626" t="s">
        <v>505</v>
      </c>
      <c r="M1626">
        <v>22</v>
      </c>
      <c r="N1626" t="s">
        <v>36</v>
      </c>
      <c r="O1626" s="3" t="s">
        <v>22</v>
      </c>
      <c r="P1626" t="s">
        <v>23</v>
      </c>
      <c r="Q1626" t="s">
        <v>41</v>
      </c>
      <c r="R1626">
        <v>5</v>
      </c>
      <c r="S1626" t="s">
        <v>48</v>
      </c>
      <c r="T1626" s="4">
        <f t="shared" si="128"/>
        <v>279810.64999999997</v>
      </c>
      <c r="U1626" s="4" t="str">
        <f t="shared" si="129"/>
        <v>Good</v>
      </c>
      <c r="V1626" s="4" t="str">
        <f t="shared" si="130"/>
        <v>Excellent</v>
      </c>
      <c r="W1626" s="4"/>
      <c r="X1626" s="4"/>
      <c r="AJ1626" s="4"/>
    </row>
    <row r="1627" spans="1:36">
      <c r="A1627" t="str">
        <f t="shared" si="126"/>
        <v>Lata361626</v>
      </c>
      <c r="B1627">
        <v>1626</v>
      </c>
      <c r="C1627">
        <v>14</v>
      </c>
      <c r="D1627">
        <v>1</v>
      </c>
      <c r="E1627">
        <v>2023</v>
      </c>
      <c r="F1627" s="1">
        <f t="shared" si="127"/>
        <v>44940</v>
      </c>
      <c r="G1627" s="1" t="s">
        <v>316</v>
      </c>
      <c r="H1627" s="2">
        <v>46103</v>
      </c>
      <c r="I1627" t="s">
        <v>19</v>
      </c>
      <c r="J1627">
        <v>6</v>
      </c>
      <c r="K1627">
        <v>16725.91</v>
      </c>
      <c r="L1627" t="s">
        <v>787</v>
      </c>
      <c r="M1627">
        <v>36</v>
      </c>
      <c r="N1627" t="s">
        <v>21</v>
      </c>
      <c r="O1627" s="3" t="s">
        <v>28</v>
      </c>
      <c r="P1627" t="s">
        <v>29</v>
      </c>
      <c r="Q1627" t="s">
        <v>30</v>
      </c>
      <c r="R1627">
        <v>3</v>
      </c>
      <c r="S1627" t="s">
        <v>37</v>
      </c>
      <c r="T1627" s="4">
        <f t="shared" si="128"/>
        <v>100355.45999999999</v>
      </c>
      <c r="U1627" s="4" t="str">
        <f t="shared" si="129"/>
        <v>Average</v>
      </c>
      <c r="V1627" s="4" t="str">
        <f t="shared" si="130"/>
        <v>Good</v>
      </c>
      <c r="W1627" s="4"/>
      <c r="X1627" s="4"/>
      <c r="AJ1627" s="4"/>
    </row>
    <row r="1628" spans="1:36">
      <c r="A1628" t="str">
        <f t="shared" si="126"/>
        <v>Tanu591627</v>
      </c>
      <c r="B1628">
        <v>1627</v>
      </c>
      <c r="C1628">
        <v>14</v>
      </c>
      <c r="D1628">
        <v>1</v>
      </c>
      <c r="E1628">
        <v>2023</v>
      </c>
      <c r="F1628" s="1">
        <f t="shared" si="127"/>
        <v>44940</v>
      </c>
      <c r="G1628" s="1" t="s">
        <v>316</v>
      </c>
      <c r="H1628" s="2">
        <v>46104</v>
      </c>
      <c r="I1628" t="s">
        <v>26</v>
      </c>
      <c r="J1628">
        <v>1</v>
      </c>
      <c r="K1628">
        <v>36445.949999999997</v>
      </c>
      <c r="L1628" t="s">
        <v>654</v>
      </c>
      <c r="M1628">
        <v>59</v>
      </c>
      <c r="N1628" t="s">
        <v>61</v>
      </c>
      <c r="O1628" s="3" t="s">
        <v>28</v>
      </c>
      <c r="P1628" t="s">
        <v>132</v>
      </c>
      <c r="Q1628" t="s">
        <v>56</v>
      </c>
      <c r="R1628">
        <v>3</v>
      </c>
      <c r="S1628" t="s">
        <v>34</v>
      </c>
      <c r="T1628" s="4">
        <f t="shared" si="128"/>
        <v>36445.949999999997</v>
      </c>
      <c r="U1628" s="4" t="str">
        <f t="shared" si="129"/>
        <v>Average</v>
      </c>
      <c r="V1628" s="4" t="str">
        <f t="shared" si="130"/>
        <v>Low</v>
      </c>
      <c r="W1628" s="4"/>
      <c r="X1628" s="4"/>
      <c r="AJ1628" s="4"/>
    </row>
    <row r="1629" spans="1:36">
      <c r="A1629" t="str">
        <f t="shared" si="126"/>
        <v>Sach181628</v>
      </c>
      <c r="B1629">
        <v>1628</v>
      </c>
      <c r="C1629">
        <v>14</v>
      </c>
      <c r="D1629">
        <v>1</v>
      </c>
      <c r="E1629">
        <v>2023</v>
      </c>
      <c r="F1629" s="1">
        <f t="shared" si="127"/>
        <v>44940</v>
      </c>
      <c r="G1629" s="1" t="s">
        <v>316</v>
      </c>
      <c r="H1629" s="2">
        <v>46105</v>
      </c>
      <c r="I1629" t="s">
        <v>19</v>
      </c>
      <c r="J1629">
        <v>3</v>
      </c>
      <c r="K1629">
        <v>38738.230000000003</v>
      </c>
      <c r="L1629" t="s">
        <v>900</v>
      </c>
      <c r="M1629">
        <v>18</v>
      </c>
      <c r="N1629" t="s">
        <v>36</v>
      </c>
      <c r="O1629" s="3" t="s">
        <v>22</v>
      </c>
      <c r="P1629" t="s">
        <v>64</v>
      </c>
      <c r="Q1629" t="s">
        <v>56</v>
      </c>
      <c r="R1629">
        <v>4</v>
      </c>
      <c r="S1629" t="s">
        <v>25</v>
      </c>
      <c r="T1629" s="4">
        <f t="shared" si="128"/>
        <v>116214.69</v>
      </c>
      <c r="U1629" s="4" t="str">
        <f t="shared" si="129"/>
        <v>Good</v>
      </c>
      <c r="V1629" s="4" t="str">
        <f t="shared" si="130"/>
        <v>Good</v>
      </c>
      <c r="W1629" s="4"/>
      <c r="X1629" s="4"/>
      <c r="AJ1629" s="4"/>
    </row>
    <row r="1630" spans="1:36">
      <c r="A1630" t="str">
        <f t="shared" si="126"/>
        <v>Nami551629</v>
      </c>
      <c r="B1630">
        <v>1629</v>
      </c>
      <c r="C1630">
        <v>15</v>
      </c>
      <c r="D1630">
        <v>1</v>
      </c>
      <c r="E1630">
        <v>2023</v>
      </c>
      <c r="F1630" s="1">
        <f t="shared" si="127"/>
        <v>44941</v>
      </c>
      <c r="G1630" s="1" t="s">
        <v>316</v>
      </c>
      <c r="H1630" s="2">
        <v>46106</v>
      </c>
      <c r="I1630" t="s">
        <v>43</v>
      </c>
      <c r="J1630">
        <v>2</v>
      </c>
      <c r="K1630">
        <v>63819.64</v>
      </c>
      <c r="L1630" t="s">
        <v>697</v>
      </c>
      <c r="M1630">
        <v>55</v>
      </c>
      <c r="N1630" t="s">
        <v>61</v>
      </c>
      <c r="O1630" s="3" t="s">
        <v>22</v>
      </c>
      <c r="P1630" t="s">
        <v>29</v>
      </c>
      <c r="Q1630" t="s">
        <v>56</v>
      </c>
      <c r="R1630">
        <v>5</v>
      </c>
      <c r="S1630" t="s">
        <v>46</v>
      </c>
      <c r="T1630" s="4">
        <f t="shared" si="128"/>
        <v>127639.28</v>
      </c>
      <c r="U1630" s="4" t="str">
        <f t="shared" si="129"/>
        <v>Good</v>
      </c>
      <c r="V1630" s="4" t="str">
        <f t="shared" si="130"/>
        <v>Good</v>
      </c>
      <c r="W1630" s="4"/>
      <c r="X1630" s="4"/>
      <c r="AJ1630" s="4"/>
    </row>
    <row r="1631" spans="1:36">
      <c r="A1631" t="str">
        <f t="shared" si="126"/>
        <v>Shru261630</v>
      </c>
      <c r="B1631">
        <v>1630</v>
      </c>
      <c r="C1631">
        <v>15</v>
      </c>
      <c r="D1631">
        <v>1</v>
      </c>
      <c r="E1631">
        <v>2023</v>
      </c>
      <c r="F1631" s="1">
        <f t="shared" si="127"/>
        <v>44941</v>
      </c>
      <c r="G1631" s="1" t="s">
        <v>316</v>
      </c>
      <c r="H1631" s="2">
        <v>46107</v>
      </c>
      <c r="I1631" t="s">
        <v>19</v>
      </c>
      <c r="J1631">
        <v>6</v>
      </c>
      <c r="K1631">
        <v>33688.050000000003</v>
      </c>
      <c r="L1631" t="s">
        <v>225</v>
      </c>
      <c r="M1631">
        <v>26</v>
      </c>
      <c r="N1631" t="s">
        <v>36</v>
      </c>
      <c r="O1631" s="3" t="s">
        <v>22</v>
      </c>
      <c r="P1631" t="s">
        <v>29</v>
      </c>
      <c r="Q1631" t="s">
        <v>56</v>
      </c>
      <c r="R1631">
        <v>4</v>
      </c>
      <c r="S1631" t="s">
        <v>84</v>
      </c>
      <c r="T1631" s="4">
        <f t="shared" si="128"/>
        <v>202128.30000000002</v>
      </c>
      <c r="U1631" s="4" t="str">
        <f t="shared" si="129"/>
        <v>Good</v>
      </c>
      <c r="V1631" s="4" t="str">
        <f t="shared" si="130"/>
        <v>Excellent</v>
      </c>
      <c r="W1631" s="4"/>
      <c r="X1631" s="4"/>
      <c r="AJ1631" s="4"/>
    </row>
    <row r="1632" spans="1:36">
      <c r="A1632" t="str">
        <f t="shared" si="126"/>
        <v>Shru221631</v>
      </c>
      <c r="B1632">
        <v>1631</v>
      </c>
      <c r="C1632">
        <v>15</v>
      </c>
      <c r="D1632">
        <v>1</v>
      </c>
      <c r="E1632">
        <v>2023</v>
      </c>
      <c r="F1632" s="1">
        <f t="shared" si="127"/>
        <v>44941</v>
      </c>
      <c r="G1632" s="1" t="s">
        <v>316</v>
      </c>
      <c r="H1632" s="2">
        <v>46108</v>
      </c>
      <c r="I1632" t="s">
        <v>43</v>
      </c>
      <c r="J1632">
        <v>8</v>
      </c>
      <c r="K1632">
        <v>67199.460000000006</v>
      </c>
      <c r="L1632" t="s">
        <v>901</v>
      </c>
      <c r="M1632">
        <v>22</v>
      </c>
      <c r="N1632" t="s">
        <v>36</v>
      </c>
      <c r="O1632" s="3" t="s">
        <v>22</v>
      </c>
      <c r="P1632" t="s">
        <v>33</v>
      </c>
      <c r="Q1632" t="s">
        <v>56</v>
      </c>
      <c r="R1632">
        <v>4</v>
      </c>
      <c r="S1632" t="s">
        <v>95</v>
      </c>
      <c r="T1632" s="4">
        <f t="shared" si="128"/>
        <v>537595.68000000005</v>
      </c>
      <c r="U1632" s="4" t="str">
        <f t="shared" si="129"/>
        <v>Good</v>
      </c>
      <c r="V1632" s="4" t="str">
        <f t="shared" si="130"/>
        <v>Excellent</v>
      </c>
      <c r="W1632" s="4"/>
      <c r="X1632" s="4"/>
      <c r="AJ1632" s="4"/>
    </row>
    <row r="1633" spans="1:36">
      <c r="A1633" t="str">
        <f t="shared" si="126"/>
        <v>Bina591632</v>
      </c>
      <c r="B1633">
        <v>1632</v>
      </c>
      <c r="C1633">
        <v>16</v>
      </c>
      <c r="D1633">
        <v>1</v>
      </c>
      <c r="E1633">
        <v>2023</v>
      </c>
      <c r="F1633" s="1">
        <f t="shared" si="127"/>
        <v>44942</v>
      </c>
      <c r="G1633" s="1" t="s">
        <v>316</v>
      </c>
      <c r="H1633" s="2">
        <v>46109</v>
      </c>
      <c r="I1633" t="s">
        <v>43</v>
      </c>
      <c r="J1633">
        <v>3</v>
      </c>
      <c r="K1633">
        <v>39107.910000000003</v>
      </c>
      <c r="L1633" t="s">
        <v>902</v>
      </c>
      <c r="M1633">
        <v>59</v>
      </c>
      <c r="N1633" t="s">
        <v>61</v>
      </c>
      <c r="O1633" s="3" t="s">
        <v>28</v>
      </c>
      <c r="P1633" t="s">
        <v>29</v>
      </c>
      <c r="Q1633" t="s">
        <v>41</v>
      </c>
      <c r="R1633">
        <v>3</v>
      </c>
      <c r="S1633" t="s">
        <v>57</v>
      </c>
      <c r="T1633" s="4">
        <f t="shared" si="128"/>
        <v>117323.73000000001</v>
      </c>
      <c r="U1633" s="4" t="str">
        <f t="shared" si="129"/>
        <v>Average</v>
      </c>
      <c r="V1633" s="4" t="str">
        <f t="shared" si="130"/>
        <v>Good</v>
      </c>
      <c r="W1633" s="4"/>
      <c r="X1633" s="4"/>
      <c r="AJ1633" s="4"/>
    </row>
    <row r="1634" spans="1:36">
      <c r="A1634" t="str">
        <f t="shared" si="126"/>
        <v>Neet511633</v>
      </c>
      <c r="B1634">
        <v>1633</v>
      </c>
      <c r="C1634">
        <v>16</v>
      </c>
      <c r="D1634">
        <v>1</v>
      </c>
      <c r="E1634">
        <v>2023</v>
      </c>
      <c r="F1634" s="1">
        <f t="shared" si="127"/>
        <v>44942</v>
      </c>
      <c r="G1634" s="1" t="s">
        <v>316</v>
      </c>
      <c r="H1634" s="2">
        <v>46110</v>
      </c>
      <c r="I1634" t="s">
        <v>26</v>
      </c>
      <c r="J1634">
        <v>8</v>
      </c>
      <c r="K1634">
        <v>68426.83</v>
      </c>
      <c r="L1634" t="s">
        <v>487</v>
      </c>
      <c r="M1634">
        <v>51</v>
      </c>
      <c r="N1634" t="s">
        <v>61</v>
      </c>
      <c r="O1634" s="3" t="s">
        <v>22</v>
      </c>
      <c r="P1634" t="s">
        <v>29</v>
      </c>
      <c r="Q1634" t="s">
        <v>24</v>
      </c>
      <c r="R1634">
        <v>5</v>
      </c>
      <c r="S1634" t="s">
        <v>34</v>
      </c>
      <c r="T1634" s="4">
        <f t="shared" si="128"/>
        <v>547414.64</v>
      </c>
      <c r="U1634" s="4" t="str">
        <f t="shared" si="129"/>
        <v>Good</v>
      </c>
      <c r="V1634" s="4" t="str">
        <f t="shared" si="130"/>
        <v>Excellent</v>
      </c>
      <c r="W1634" s="4"/>
      <c r="X1634" s="4"/>
      <c r="AJ1634" s="4"/>
    </row>
    <row r="1635" spans="1:36">
      <c r="A1635" t="str">
        <f t="shared" si="126"/>
        <v>Vija541634</v>
      </c>
      <c r="B1635">
        <v>1634</v>
      </c>
      <c r="C1635">
        <v>16</v>
      </c>
      <c r="D1635">
        <v>1</v>
      </c>
      <c r="E1635">
        <v>2023</v>
      </c>
      <c r="F1635" s="1">
        <f t="shared" si="127"/>
        <v>44942</v>
      </c>
      <c r="G1635" s="1" t="s">
        <v>316</v>
      </c>
      <c r="H1635" s="2">
        <v>46111</v>
      </c>
      <c r="I1635" t="s">
        <v>38</v>
      </c>
      <c r="J1635">
        <v>8</v>
      </c>
      <c r="K1635">
        <v>10491.9</v>
      </c>
      <c r="L1635" t="s">
        <v>903</v>
      </c>
      <c r="M1635">
        <v>54</v>
      </c>
      <c r="N1635" t="s">
        <v>61</v>
      </c>
      <c r="O1635" s="3" t="s">
        <v>22</v>
      </c>
      <c r="P1635" t="s">
        <v>132</v>
      </c>
      <c r="Q1635" t="s">
        <v>30</v>
      </c>
      <c r="R1635">
        <v>5</v>
      </c>
      <c r="S1635" t="s">
        <v>99</v>
      </c>
      <c r="T1635" s="4">
        <f t="shared" si="128"/>
        <v>83935.2</v>
      </c>
      <c r="U1635" s="4" t="str">
        <f t="shared" si="129"/>
        <v>Good</v>
      </c>
      <c r="V1635" s="4" t="str">
        <f t="shared" si="130"/>
        <v>Average</v>
      </c>
      <c r="W1635" s="4"/>
      <c r="X1635" s="4"/>
      <c r="AJ1635" s="4"/>
    </row>
    <row r="1636" spans="1:36">
      <c r="A1636" t="str">
        <f t="shared" si="126"/>
        <v>Roha501635</v>
      </c>
      <c r="B1636">
        <v>1635</v>
      </c>
      <c r="C1636">
        <v>16</v>
      </c>
      <c r="D1636">
        <v>1</v>
      </c>
      <c r="E1636">
        <v>2023</v>
      </c>
      <c r="F1636" s="1">
        <f t="shared" si="127"/>
        <v>44942</v>
      </c>
      <c r="G1636" s="1" t="s">
        <v>316</v>
      </c>
      <c r="H1636" s="2">
        <v>46112</v>
      </c>
      <c r="I1636" t="s">
        <v>19</v>
      </c>
      <c r="J1636">
        <v>5</v>
      </c>
      <c r="K1636">
        <v>63928.92</v>
      </c>
      <c r="L1636" t="s">
        <v>350</v>
      </c>
      <c r="M1636">
        <v>50</v>
      </c>
      <c r="N1636" t="s">
        <v>61</v>
      </c>
      <c r="O1636" s="3" t="s">
        <v>22</v>
      </c>
      <c r="P1636" t="s">
        <v>93</v>
      </c>
      <c r="Q1636" t="s">
        <v>24</v>
      </c>
      <c r="R1636">
        <v>4</v>
      </c>
      <c r="S1636" t="s">
        <v>37</v>
      </c>
      <c r="T1636" s="4">
        <f t="shared" si="128"/>
        <v>319644.59999999998</v>
      </c>
      <c r="U1636" s="4" t="str">
        <f t="shared" si="129"/>
        <v>Good</v>
      </c>
      <c r="V1636" s="4" t="str">
        <f t="shared" si="130"/>
        <v>Excellent</v>
      </c>
      <c r="W1636" s="4"/>
      <c r="X1636" s="4"/>
      <c r="AJ1636" s="4"/>
    </row>
    <row r="1637" spans="1:36">
      <c r="A1637" t="str">
        <f t="shared" si="126"/>
        <v>Priy421636</v>
      </c>
      <c r="B1637">
        <v>1636</v>
      </c>
      <c r="C1637">
        <v>17</v>
      </c>
      <c r="D1637">
        <v>1</v>
      </c>
      <c r="E1637">
        <v>2023</v>
      </c>
      <c r="F1637" s="1">
        <f t="shared" si="127"/>
        <v>44943</v>
      </c>
      <c r="G1637" s="1" t="s">
        <v>316</v>
      </c>
      <c r="H1637" s="2">
        <v>46113</v>
      </c>
      <c r="I1637" t="s">
        <v>43</v>
      </c>
      <c r="J1637">
        <v>8</v>
      </c>
      <c r="K1637">
        <v>65867.23</v>
      </c>
      <c r="L1637" t="s">
        <v>833</v>
      </c>
      <c r="M1637">
        <v>42</v>
      </c>
      <c r="N1637" t="s">
        <v>21</v>
      </c>
      <c r="O1637" s="3" t="s">
        <v>22</v>
      </c>
      <c r="P1637" t="s">
        <v>29</v>
      </c>
      <c r="Q1637" t="s">
        <v>24</v>
      </c>
      <c r="R1637">
        <v>5</v>
      </c>
      <c r="S1637" t="s">
        <v>46</v>
      </c>
      <c r="T1637" s="4">
        <f t="shared" si="128"/>
        <v>526937.84</v>
      </c>
      <c r="U1637" s="4" t="str">
        <f t="shared" si="129"/>
        <v>Good</v>
      </c>
      <c r="V1637" s="4" t="str">
        <f t="shared" si="130"/>
        <v>Excellent</v>
      </c>
      <c r="W1637" s="4"/>
      <c r="X1637" s="4"/>
      <c r="AJ1637" s="4"/>
    </row>
    <row r="1638" spans="1:36">
      <c r="A1638" t="str">
        <f t="shared" si="126"/>
        <v>Pras591637</v>
      </c>
      <c r="B1638">
        <v>1637</v>
      </c>
      <c r="C1638">
        <v>17</v>
      </c>
      <c r="D1638">
        <v>1</v>
      </c>
      <c r="E1638">
        <v>2023</v>
      </c>
      <c r="F1638" s="1">
        <f t="shared" si="127"/>
        <v>44943</v>
      </c>
      <c r="G1638" s="1" t="s">
        <v>316</v>
      </c>
      <c r="H1638" s="2">
        <v>46114</v>
      </c>
      <c r="I1638" t="s">
        <v>19</v>
      </c>
      <c r="J1638">
        <v>6</v>
      </c>
      <c r="K1638">
        <v>67661.259999999995</v>
      </c>
      <c r="L1638" t="s">
        <v>634</v>
      </c>
      <c r="M1638">
        <v>59</v>
      </c>
      <c r="N1638" t="s">
        <v>61</v>
      </c>
      <c r="O1638" s="3" t="s">
        <v>22</v>
      </c>
      <c r="P1638" t="s">
        <v>51</v>
      </c>
      <c r="Q1638" t="s">
        <v>41</v>
      </c>
      <c r="R1638">
        <v>5</v>
      </c>
      <c r="S1638" t="s">
        <v>37</v>
      </c>
      <c r="T1638" s="4">
        <f t="shared" si="128"/>
        <v>405967.55999999994</v>
      </c>
      <c r="U1638" s="4" t="str">
        <f t="shared" si="129"/>
        <v>Good</v>
      </c>
      <c r="V1638" s="4" t="str">
        <f t="shared" si="130"/>
        <v>Excellent</v>
      </c>
      <c r="W1638" s="4"/>
      <c r="X1638" s="4"/>
      <c r="AJ1638" s="4"/>
    </row>
    <row r="1639" spans="1:36">
      <c r="A1639" t="str">
        <f t="shared" si="126"/>
        <v>Sach461638</v>
      </c>
      <c r="B1639">
        <v>1638</v>
      </c>
      <c r="C1639">
        <v>17</v>
      </c>
      <c r="D1639">
        <v>1</v>
      </c>
      <c r="E1639">
        <v>2023</v>
      </c>
      <c r="F1639" s="1">
        <f t="shared" si="127"/>
        <v>44943</v>
      </c>
      <c r="G1639" s="1" t="s">
        <v>316</v>
      </c>
      <c r="H1639" s="2">
        <v>46115</v>
      </c>
      <c r="I1639" t="s">
        <v>38</v>
      </c>
      <c r="J1639">
        <v>5</v>
      </c>
      <c r="K1639">
        <v>10784.59</v>
      </c>
      <c r="L1639" t="s">
        <v>904</v>
      </c>
      <c r="M1639">
        <v>46</v>
      </c>
      <c r="N1639" t="s">
        <v>61</v>
      </c>
      <c r="O1639" s="3" t="s">
        <v>22</v>
      </c>
      <c r="P1639" t="s">
        <v>114</v>
      </c>
      <c r="Q1639" t="s">
        <v>41</v>
      </c>
      <c r="R1639">
        <v>4</v>
      </c>
      <c r="S1639" t="s">
        <v>42</v>
      </c>
      <c r="T1639" s="4">
        <f t="shared" si="128"/>
        <v>53922.95</v>
      </c>
      <c r="U1639" s="4" t="str">
        <f t="shared" si="129"/>
        <v>Good</v>
      </c>
      <c r="V1639" s="4" t="str">
        <f t="shared" si="130"/>
        <v>Average</v>
      </c>
      <c r="W1639" s="4"/>
      <c r="X1639" s="4"/>
      <c r="AJ1639" s="4"/>
    </row>
    <row r="1640" spans="1:36">
      <c r="A1640" t="str">
        <f t="shared" si="126"/>
        <v>Neet421639</v>
      </c>
      <c r="B1640">
        <v>1639</v>
      </c>
      <c r="C1640">
        <v>18</v>
      </c>
      <c r="D1640">
        <v>1</v>
      </c>
      <c r="E1640">
        <v>2023</v>
      </c>
      <c r="F1640" s="1">
        <f t="shared" si="127"/>
        <v>44944</v>
      </c>
      <c r="G1640" s="1" t="s">
        <v>316</v>
      </c>
      <c r="H1640" s="2">
        <v>46116</v>
      </c>
      <c r="I1640" t="s">
        <v>38</v>
      </c>
      <c r="J1640">
        <v>9</v>
      </c>
      <c r="K1640">
        <v>20302.05</v>
      </c>
      <c r="L1640" t="s">
        <v>396</v>
      </c>
      <c r="M1640">
        <v>42</v>
      </c>
      <c r="N1640" t="s">
        <v>21</v>
      </c>
      <c r="O1640" s="3" t="s">
        <v>28</v>
      </c>
      <c r="P1640" t="s">
        <v>33</v>
      </c>
      <c r="Q1640" t="s">
        <v>41</v>
      </c>
      <c r="R1640">
        <v>3</v>
      </c>
      <c r="S1640" t="s">
        <v>48</v>
      </c>
      <c r="T1640" s="4">
        <f t="shared" si="128"/>
        <v>182718.44999999998</v>
      </c>
      <c r="U1640" s="4" t="str">
        <f t="shared" si="129"/>
        <v>Average</v>
      </c>
      <c r="V1640" s="4" t="str">
        <f t="shared" si="130"/>
        <v>Good</v>
      </c>
      <c r="W1640" s="4"/>
      <c r="X1640" s="4"/>
      <c r="AJ1640" s="4"/>
    </row>
    <row r="1641" spans="1:36">
      <c r="A1641" t="str">
        <f t="shared" si="126"/>
        <v>Pank261640</v>
      </c>
      <c r="B1641">
        <v>1640</v>
      </c>
      <c r="C1641">
        <v>18</v>
      </c>
      <c r="D1641">
        <v>1</v>
      </c>
      <c r="E1641">
        <v>2023</v>
      </c>
      <c r="F1641" s="1">
        <f t="shared" si="127"/>
        <v>44944</v>
      </c>
      <c r="G1641" s="1" t="s">
        <v>316</v>
      </c>
      <c r="H1641" s="2">
        <v>46117</v>
      </c>
      <c r="I1641" t="s">
        <v>49</v>
      </c>
      <c r="J1641">
        <v>7</v>
      </c>
      <c r="K1641">
        <v>49225.87</v>
      </c>
      <c r="L1641" t="s">
        <v>47</v>
      </c>
      <c r="M1641">
        <v>26</v>
      </c>
      <c r="N1641" t="s">
        <v>36</v>
      </c>
      <c r="O1641" s="3" t="s">
        <v>55</v>
      </c>
      <c r="P1641" t="s">
        <v>33</v>
      </c>
      <c r="Q1641" t="s">
        <v>30</v>
      </c>
      <c r="R1641">
        <v>1</v>
      </c>
      <c r="S1641" t="s">
        <v>102</v>
      </c>
      <c r="T1641" s="4">
        <f t="shared" si="128"/>
        <v>344581.09</v>
      </c>
      <c r="U1641" s="4" t="str">
        <f t="shared" si="129"/>
        <v>Average</v>
      </c>
      <c r="V1641" s="4" t="str">
        <f t="shared" si="130"/>
        <v>Excellent</v>
      </c>
      <c r="W1641" s="4"/>
      <c r="X1641" s="4"/>
      <c r="AJ1641" s="4"/>
    </row>
    <row r="1642" spans="1:36">
      <c r="A1642" t="str">
        <f t="shared" si="126"/>
        <v>Ayes201641</v>
      </c>
      <c r="B1642">
        <v>1641</v>
      </c>
      <c r="C1642">
        <v>18</v>
      </c>
      <c r="D1642">
        <v>1</v>
      </c>
      <c r="E1642">
        <v>2023</v>
      </c>
      <c r="F1642" s="1">
        <f t="shared" si="127"/>
        <v>44944</v>
      </c>
      <c r="G1642" s="1" t="s">
        <v>316</v>
      </c>
      <c r="H1642" s="2">
        <v>46118</v>
      </c>
      <c r="I1642" t="s">
        <v>38</v>
      </c>
      <c r="J1642">
        <v>8</v>
      </c>
      <c r="K1642">
        <v>11528.36</v>
      </c>
      <c r="L1642" t="s">
        <v>576</v>
      </c>
      <c r="M1642">
        <v>20</v>
      </c>
      <c r="N1642" t="s">
        <v>36</v>
      </c>
      <c r="O1642" s="3" t="s">
        <v>22</v>
      </c>
      <c r="P1642" t="s">
        <v>110</v>
      </c>
      <c r="Q1642" t="s">
        <v>41</v>
      </c>
      <c r="R1642">
        <v>4</v>
      </c>
      <c r="S1642" t="s">
        <v>42</v>
      </c>
      <c r="T1642" s="4">
        <f t="shared" si="128"/>
        <v>92226.880000000005</v>
      </c>
      <c r="U1642" s="4" t="str">
        <f t="shared" si="129"/>
        <v>Good</v>
      </c>
      <c r="V1642" s="4" t="str">
        <f t="shared" si="130"/>
        <v>Average</v>
      </c>
      <c r="W1642" s="4"/>
      <c r="X1642" s="4"/>
      <c r="AJ1642" s="4"/>
    </row>
    <row r="1643" spans="1:36">
      <c r="A1643" t="str">
        <f t="shared" si="126"/>
        <v>Roha321642</v>
      </c>
      <c r="B1643">
        <v>1642</v>
      </c>
      <c r="C1643">
        <v>18</v>
      </c>
      <c r="D1643">
        <v>1</v>
      </c>
      <c r="E1643">
        <v>2023</v>
      </c>
      <c r="F1643" s="1">
        <f t="shared" si="127"/>
        <v>44944</v>
      </c>
      <c r="G1643" s="1" t="s">
        <v>316</v>
      </c>
      <c r="H1643" s="2">
        <v>46119</v>
      </c>
      <c r="I1643" t="s">
        <v>26</v>
      </c>
      <c r="J1643">
        <v>1</v>
      </c>
      <c r="K1643">
        <v>13816.54</v>
      </c>
      <c r="L1643" t="s">
        <v>489</v>
      </c>
      <c r="M1643">
        <v>32</v>
      </c>
      <c r="N1643" t="s">
        <v>21</v>
      </c>
      <c r="O1643" s="3" t="s">
        <v>28</v>
      </c>
      <c r="P1643" t="s">
        <v>29</v>
      </c>
      <c r="Q1643" t="s">
        <v>24</v>
      </c>
      <c r="R1643">
        <v>3</v>
      </c>
      <c r="S1643" t="s">
        <v>31</v>
      </c>
      <c r="T1643" s="4">
        <f t="shared" si="128"/>
        <v>13816.54</v>
      </c>
      <c r="U1643" s="4" t="str">
        <f t="shared" si="129"/>
        <v>Average</v>
      </c>
      <c r="V1643" s="4" t="str">
        <f t="shared" si="130"/>
        <v>Low</v>
      </c>
      <c r="W1643" s="4"/>
      <c r="X1643" s="4"/>
      <c r="AJ1643" s="4"/>
    </row>
    <row r="1644" spans="1:36">
      <c r="A1644" t="str">
        <f t="shared" si="126"/>
        <v>Ayes211643</v>
      </c>
      <c r="B1644">
        <v>1643</v>
      </c>
      <c r="C1644">
        <v>19</v>
      </c>
      <c r="D1644">
        <v>1</v>
      </c>
      <c r="E1644">
        <v>2023</v>
      </c>
      <c r="F1644" s="1">
        <f t="shared" si="127"/>
        <v>44945</v>
      </c>
      <c r="G1644" s="1" t="s">
        <v>316</v>
      </c>
      <c r="H1644" s="2">
        <v>46120</v>
      </c>
      <c r="I1644" t="s">
        <v>43</v>
      </c>
      <c r="J1644">
        <v>2</v>
      </c>
      <c r="K1644">
        <v>23264.73</v>
      </c>
      <c r="L1644" t="s">
        <v>665</v>
      </c>
      <c r="M1644">
        <v>21</v>
      </c>
      <c r="N1644" t="s">
        <v>36</v>
      </c>
      <c r="O1644" s="3" t="s">
        <v>22</v>
      </c>
      <c r="P1644" t="s">
        <v>137</v>
      </c>
      <c r="Q1644" t="s">
        <v>30</v>
      </c>
      <c r="R1644">
        <v>5</v>
      </c>
      <c r="S1644" t="s">
        <v>57</v>
      </c>
      <c r="T1644" s="4">
        <f t="shared" si="128"/>
        <v>46529.46</v>
      </c>
      <c r="U1644" s="4" t="str">
        <f t="shared" si="129"/>
        <v>Good</v>
      </c>
      <c r="V1644" s="4" t="str">
        <f t="shared" si="130"/>
        <v>Low</v>
      </c>
      <c r="W1644" s="4"/>
      <c r="X1644" s="4"/>
      <c r="AJ1644" s="4"/>
    </row>
    <row r="1645" spans="1:36">
      <c r="A1645" t="str">
        <f t="shared" si="126"/>
        <v>Ravi551644</v>
      </c>
      <c r="B1645">
        <v>1644</v>
      </c>
      <c r="C1645">
        <v>19</v>
      </c>
      <c r="D1645">
        <v>1</v>
      </c>
      <c r="E1645">
        <v>2023</v>
      </c>
      <c r="F1645" s="1">
        <f t="shared" si="127"/>
        <v>44945</v>
      </c>
      <c r="G1645" s="1" t="s">
        <v>316</v>
      </c>
      <c r="H1645" s="2">
        <v>46121</v>
      </c>
      <c r="I1645" t="s">
        <v>49</v>
      </c>
      <c r="J1645">
        <v>8</v>
      </c>
      <c r="K1645">
        <v>40746.39</v>
      </c>
      <c r="L1645" t="s">
        <v>402</v>
      </c>
      <c r="M1645">
        <v>55</v>
      </c>
      <c r="N1645" t="s">
        <v>61</v>
      </c>
      <c r="O1645" s="3" t="s">
        <v>28</v>
      </c>
      <c r="P1645" t="s">
        <v>23</v>
      </c>
      <c r="Q1645" t="s">
        <v>41</v>
      </c>
      <c r="R1645">
        <v>3</v>
      </c>
      <c r="S1645" t="s">
        <v>102</v>
      </c>
      <c r="T1645" s="4">
        <f t="shared" si="128"/>
        <v>325971.12</v>
      </c>
      <c r="U1645" s="4" t="str">
        <f t="shared" si="129"/>
        <v>Average</v>
      </c>
      <c r="V1645" s="4" t="str">
        <f t="shared" si="130"/>
        <v>Excellent</v>
      </c>
      <c r="W1645" s="4"/>
      <c r="X1645" s="4"/>
      <c r="AJ1645" s="4"/>
    </row>
    <row r="1646" spans="1:36">
      <c r="A1646" t="str">
        <f t="shared" si="126"/>
        <v>Radh371645</v>
      </c>
      <c r="B1646">
        <v>1645</v>
      </c>
      <c r="C1646">
        <v>19</v>
      </c>
      <c r="D1646">
        <v>1</v>
      </c>
      <c r="E1646">
        <v>2023</v>
      </c>
      <c r="F1646" s="1">
        <f t="shared" si="127"/>
        <v>44945</v>
      </c>
      <c r="G1646" s="1" t="s">
        <v>316</v>
      </c>
      <c r="H1646" s="2">
        <v>46122</v>
      </c>
      <c r="I1646" t="s">
        <v>26</v>
      </c>
      <c r="J1646">
        <v>9</v>
      </c>
      <c r="K1646">
        <v>42754.15</v>
      </c>
      <c r="L1646" t="s">
        <v>809</v>
      </c>
      <c r="M1646">
        <v>37</v>
      </c>
      <c r="N1646" t="s">
        <v>21</v>
      </c>
      <c r="O1646" s="3" t="s">
        <v>22</v>
      </c>
      <c r="P1646" t="s">
        <v>110</v>
      </c>
      <c r="Q1646" t="s">
        <v>41</v>
      </c>
      <c r="R1646">
        <v>5</v>
      </c>
      <c r="S1646" t="s">
        <v>34</v>
      </c>
      <c r="T1646" s="4">
        <f t="shared" si="128"/>
        <v>384787.35000000003</v>
      </c>
      <c r="U1646" s="4" t="str">
        <f t="shared" si="129"/>
        <v>Good</v>
      </c>
      <c r="V1646" s="4" t="str">
        <f t="shared" si="130"/>
        <v>Excellent</v>
      </c>
      <c r="W1646" s="4"/>
      <c r="X1646" s="4"/>
      <c r="AJ1646" s="4"/>
    </row>
    <row r="1647" spans="1:36">
      <c r="A1647" t="str">
        <f t="shared" si="126"/>
        <v>Hari401646</v>
      </c>
      <c r="B1647">
        <v>1646</v>
      </c>
      <c r="C1647">
        <v>20</v>
      </c>
      <c r="D1647">
        <v>1</v>
      </c>
      <c r="E1647">
        <v>2023</v>
      </c>
      <c r="F1647" s="1">
        <f t="shared" si="127"/>
        <v>44946</v>
      </c>
      <c r="G1647" s="1" t="s">
        <v>316</v>
      </c>
      <c r="H1647" s="2">
        <v>46123</v>
      </c>
      <c r="I1647" t="s">
        <v>19</v>
      </c>
      <c r="J1647">
        <v>4</v>
      </c>
      <c r="K1647">
        <v>12055.67</v>
      </c>
      <c r="L1647" t="s">
        <v>399</v>
      </c>
      <c r="M1647">
        <v>40</v>
      </c>
      <c r="N1647" t="s">
        <v>21</v>
      </c>
      <c r="O1647" s="3" t="s">
        <v>22</v>
      </c>
      <c r="P1647" t="s">
        <v>29</v>
      </c>
      <c r="Q1647" t="s">
        <v>41</v>
      </c>
      <c r="R1647">
        <v>5</v>
      </c>
      <c r="S1647" t="s">
        <v>84</v>
      </c>
      <c r="T1647" s="4">
        <f t="shared" si="128"/>
        <v>48222.68</v>
      </c>
      <c r="U1647" s="4" t="str">
        <f t="shared" si="129"/>
        <v>Good</v>
      </c>
      <c r="V1647" s="4" t="str">
        <f t="shared" si="130"/>
        <v>Low</v>
      </c>
      <c r="W1647" s="4"/>
      <c r="X1647" s="4"/>
      <c r="AJ1647" s="4"/>
    </row>
    <row r="1648" spans="1:36">
      <c r="A1648" t="str">
        <f t="shared" si="126"/>
        <v>Anit541647</v>
      </c>
      <c r="B1648">
        <v>1647</v>
      </c>
      <c r="C1648">
        <v>20</v>
      </c>
      <c r="D1648">
        <v>1</v>
      </c>
      <c r="E1648">
        <v>2023</v>
      </c>
      <c r="F1648" s="1">
        <f t="shared" si="127"/>
        <v>44946</v>
      </c>
      <c r="G1648" s="1" t="s">
        <v>316</v>
      </c>
      <c r="H1648" s="2">
        <v>46124</v>
      </c>
      <c r="I1648" t="s">
        <v>43</v>
      </c>
      <c r="J1648">
        <v>9</v>
      </c>
      <c r="K1648">
        <v>20222.04</v>
      </c>
      <c r="L1648" t="s">
        <v>291</v>
      </c>
      <c r="M1648">
        <v>54</v>
      </c>
      <c r="N1648" t="s">
        <v>61</v>
      </c>
      <c r="O1648" s="3" t="s">
        <v>22</v>
      </c>
      <c r="P1648" t="s">
        <v>45</v>
      </c>
      <c r="Q1648" t="s">
        <v>24</v>
      </c>
      <c r="R1648">
        <v>5</v>
      </c>
      <c r="S1648" t="s">
        <v>95</v>
      </c>
      <c r="T1648" s="4">
        <f t="shared" si="128"/>
        <v>181998.36000000002</v>
      </c>
      <c r="U1648" s="4" t="str">
        <f t="shared" si="129"/>
        <v>Good</v>
      </c>
      <c r="V1648" s="4" t="str">
        <f t="shared" si="130"/>
        <v>Good</v>
      </c>
      <c r="W1648" s="4"/>
      <c r="X1648" s="4"/>
      <c r="AJ1648" s="4"/>
    </row>
    <row r="1649" spans="1:36">
      <c r="A1649" t="str">
        <f t="shared" si="126"/>
        <v>Amit251648</v>
      </c>
      <c r="B1649">
        <v>1648</v>
      </c>
      <c r="C1649">
        <v>20</v>
      </c>
      <c r="D1649">
        <v>1</v>
      </c>
      <c r="E1649">
        <v>2023</v>
      </c>
      <c r="F1649" s="1">
        <f t="shared" si="127"/>
        <v>44946</v>
      </c>
      <c r="G1649" s="1" t="s">
        <v>316</v>
      </c>
      <c r="H1649" s="2">
        <v>46125</v>
      </c>
      <c r="I1649" t="s">
        <v>38</v>
      </c>
      <c r="J1649">
        <v>4</v>
      </c>
      <c r="K1649">
        <v>39982.339999999997</v>
      </c>
      <c r="L1649" t="s">
        <v>871</v>
      </c>
      <c r="M1649">
        <v>25</v>
      </c>
      <c r="N1649" t="s">
        <v>36</v>
      </c>
      <c r="O1649" s="3" t="s">
        <v>55</v>
      </c>
      <c r="P1649" t="s">
        <v>33</v>
      </c>
      <c r="Q1649" t="s">
        <v>41</v>
      </c>
      <c r="R1649">
        <v>1</v>
      </c>
      <c r="S1649" t="s">
        <v>99</v>
      </c>
      <c r="T1649" s="4">
        <f t="shared" si="128"/>
        <v>159929.35999999999</v>
      </c>
      <c r="U1649" s="4" t="str">
        <f t="shared" si="129"/>
        <v>Average</v>
      </c>
      <c r="V1649" s="4" t="str">
        <f t="shared" si="130"/>
        <v>Good</v>
      </c>
      <c r="W1649" s="4"/>
      <c r="X1649" s="4"/>
      <c r="AJ1649" s="4"/>
    </row>
    <row r="1650" spans="1:36">
      <c r="A1650" t="str">
        <f t="shared" si="126"/>
        <v>Radh541649</v>
      </c>
      <c r="B1650">
        <v>1649</v>
      </c>
      <c r="C1650">
        <v>21</v>
      </c>
      <c r="D1650">
        <v>1</v>
      </c>
      <c r="E1650">
        <v>2023</v>
      </c>
      <c r="F1650" s="1">
        <f t="shared" si="127"/>
        <v>44947</v>
      </c>
      <c r="G1650" s="1" t="s">
        <v>316</v>
      </c>
      <c r="H1650" s="2">
        <v>46126</v>
      </c>
      <c r="I1650" t="s">
        <v>43</v>
      </c>
      <c r="J1650">
        <v>9</v>
      </c>
      <c r="K1650">
        <v>45636.44</v>
      </c>
      <c r="L1650" t="s">
        <v>870</v>
      </c>
      <c r="M1650">
        <v>54</v>
      </c>
      <c r="N1650" t="s">
        <v>61</v>
      </c>
      <c r="O1650" s="3" t="s">
        <v>55</v>
      </c>
      <c r="P1650" t="s">
        <v>66</v>
      </c>
      <c r="Q1650" t="s">
        <v>24</v>
      </c>
      <c r="R1650">
        <v>1</v>
      </c>
      <c r="S1650" t="s">
        <v>46</v>
      </c>
      <c r="T1650" s="4">
        <f t="shared" si="128"/>
        <v>410727.96</v>
      </c>
      <c r="U1650" s="4" t="str">
        <f t="shared" si="129"/>
        <v>Average</v>
      </c>
      <c r="V1650" s="4" t="str">
        <f t="shared" si="130"/>
        <v>Excellent</v>
      </c>
      <c r="W1650" s="4"/>
      <c r="X1650" s="4"/>
      <c r="AJ1650" s="4"/>
    </row>
    <row r="1651" spans="1:36">
      <c r="A1651" t="str">
        <f t="shared" si="126"/>
        <v>Mano501650</v>
      </c>
      <c r="B1651">
        <v>1650</v>
      </c>
      <c r="C1651">
        <v>21</v>
      </c>
      <c r="D1651">
        <v>1</v>
      </c>
      <c r="E1651">
        <v>2023</v>
      </c>
      <c r="F1651" s="1">
        <f t="shared" si="127"/>
        <v>44947</v>
      </c>
      <c r="G1651" s="1" t="s">
        <v>316</v>
      </c>
      <c r="H1651" s="2">
        <v>46127</v>
      </c>
      <c r="I1651" t="s">
        <v>19</v>
      </c>
      <c r="J1651">
        <v>7</v>
      </c>
      <c r="K1651">
        <v>18904.099999999999</v>
      </c>
      <c r="L1651" t="s">
        <v>450</v>
      </c>
      <c r="M1651">
        <v>50</v>
      </c>
      <c r="N1651" t="s">
        <v>61</v>
      </c>
      <c r="O1651" s="3" t="s">
        <v>22</v>
      </c>
      <c r="P1651" t="s">
        <v>150</v>
      </c>
      <c r="Q1651" t="s">
        <v>30</v>
      </c>
      <c r="R1651">
        <v>4</v>
      </c>
      <c r="S1651" t="s">
        <v>84</v>
      </c>
      <c r="T1651" s="4">
        <f t="shared" si="128"/>
        <v>132328.69999999998</v>
      </c>
      <c r="U1651" s="4" t="str">
        <f t="shared" si="129"/>
        <v>Good</v>
      </c>
      <c r="V1651" s="4" t="str">
        <f t="shared" si="130"/>
        <v>Good</v>
      </c>
      <c r="W1651" s="4"/>
      <c r="X1651" s="4"/>
      <c r="AJ1651" s="4"/>
    </row>
    <row r="1652" spans="1:36">
      <c r="A1652" t="str">
        <f t="shared" si="126"/>
        <v>Lata501651</v>
      </c>
      <c r="B1652">
        <v>1651</v>
      </c>
      <c r="C1652">
        <v>21</v>
      </c>
      <c r="D1652">
        <v>1</v>
      </c>
      <c r="E1652">
        <v>2023</v>
      </c>
      <c r="F1652" s="1">
        <f t="shared" si="127"/>
        <v>44947</v>
      </c>
      <c r="G1652" s="1" t="s">
        <v>316</v>
      </c>
      <c r="H1652" s="2">
        <v>46128</v>
      </c>
      <c r="I1652" t="s">
        <v>49</v>
      </c>
      <c r="J1652">
        <v>2</v>
      </c>
      <c r="K1652">
        <v>33930.480000000003</v>
      </c>
      <c r="L1652" t="s">
        <v>905</v>
      </c>
      <c r="M1652">
        <v>50</v>
      </c>
      <c r="N1652" t="s">
        <v>61</v>
      </c>
      <c r="O1652" s="3" t="s">
        <v>28</v>
      </c>
      <c r="P1652" t="s">
        <v>150</v>
      </c>
      <c r="Q1652" t="s">
        <v>41</v>
      </c>
      <c r="R1652">
        <v>3</v>
      </c>
      <c r="S1652" t="s">
        <v>102</v>
      </c>
      <c r="T1652" s="4">
        <f t="shared" si="128"/>
        <v>67860.960000000006</v>
      </c>
      <c r="U1652" s="4" t="str">
        <f t="shared" si="129"/>
        <v>Average</v>
      </c>
      <c r="V1652" s="4" t="str">
        <f t="shared" si="130"/>
        <v>Average</v>
      </c>
      <c r="W1652" s="4"/>
      <c r="X1652" s="4"/>
      <c r="AJ1652" s="4"/>
    </row>
    <row r="1653" spans="1:36">
      <c r="A1653" t="str">
        <f t="shared" si="126"/>
        <v>Isha241652</v>
      </c>
      <c r="B1653">
        <v>1652</v>
      </c>
      <c r="C1653">
        <v>21</v>
      </c>
      <c r="D1653">
        <v>1</v>
      </c>
      <c r="E1653">
        <v>2023</v>
      </c>
      <c r="F1653" s="1">
        <f t="shared" si="127"/>
        <v>44947</v>
      </c>
      <c r="G1653" s="1" t="s">
        <v>316</v>
      </c>
      <c r="H1653" s="2">
        <v>46129</v>
      </c>
      <c r="I1653" t="s">
        <v>49</v>
      </c>
      <c r="J1653">
        <v>9</v>
      </c>
      <c r="K1653">
        <v>64264.09</v>
      </c>
      <c r="L1653" t="s">
        <v>906</v>
      </c>
      <c r="M1653">
        <v>24</v>
      </c>
      <c r="N1653" t="s">
        <v>36</v>
      </c>
      <c r="O1653" s="3" t="s">
        <v>22</v>
      </c>
      <c r="P1653" t="s">
        <v>137</v>
      </c>
      <c r="Q1653" t="s">
        <v>56</v>
      </c>
      <c r="R1653">
        <v>4</v>
      </c>
      <c r="S1653" t="s">
        <v>88</v>
      </c>
      <c r="T1653" s="4">
        <f t="shared" si="128"/>
        <v>578376.80999999994</v>
      </c>
      <c r="U1653" s="4" t="str">
        <f t="shared" si="129"/>
        <v>Good</v>
      </c>
      <c r="V1653" s="4" t="str">
        <f t="shared" si="130"/>
        <v>Excellent</v>
      </c>
      <c r="W1653" s="4"/>
      <c r="X1653" s="4"/>
      <c r="AJ1653" s="4"/>
    </row>
    <row r="1654" spans="1:36">
      <c r="A1654" t="str">
        <f t="shared" si="126"/>
        <v>Kavi391653</v>
      </c>
      <c r="B1654">
        <v>1653</v>
      </c>
      <c r="C1654">
        <v>22</v>
      </c>
      <c r="D1654">
        <v>1</v>
      </c>
      <c r="E1654">
        <v>2023</v>
      </c>
      <c r="F1654" s="1">
        <f t="shared" si="127"/>
        <v>44948</v>
      </c>
      <c r="G1654" s="1" t="s">
        <v>316</v>
      </c>
      <c r="H1654" s="2">
        <v>46130</v>
      </c>
      <c r="I1654" t="s">
        <v>49</v>
      </c>
      <c r="J1654">
        <v>4</v>
      </c>
      <c r="K1654">
        <v>69933.960000000006</v>
      </c>
      <c r="L1654" t="s">
        <v>785</v>
      </c>
      <c r="M1654">
        <v>39</v>
      </c>
      <c r="N1654" t="s">
        <v>21</v>
      </c>
      <c r="O1654" s="3" t="s">
        <v>55</v>
      </c>
      <c r="P1654" t="s">
        <v>66</v>
      </c>
      <c r="Q1654" t="s">
        <v>56</v>
      </c>
      <c r="R1654">
        <v>1</v>
      </c>
      <c r="S1654" t="s">
        <v>52</v>
      </c>
      <c r="T1654" s="4">
        <f t="shared" si="128"/>
        <v>279735.84000000003</v>
      </c>
      <c r="U1654" s="4" t="str">
        <f t="shared" si="129"/>
        <v>Average</v>
      </c>
      <c r="V1654" s="4" t="str">
        <f t="shared" si="130"/>
        <v>Excellent</v>
      </c>
      <c r="W1654" s="4"/>
      <c r="X1654" s="4"/>
      <c r="AJ1654" s="4"/>
    </row>
    <row r="1655" spans="1:36">
      <c r="A1655" t="str">
        <f t="shared" si="126"/>
        <v>Meen221654</v>
      </c>
      <c r="B1655">
        <v>1654</v>
      </c>
      <c r="C1655">
        <v>22</v>
      </c>
      <c r="D1655">
        <v>1</v>
      </c>
      <c r="E1655">
        <v>2023</v>
      </c>
      <c r="F1655" s="1">
        <f t="shared" si="127"/>
        <v>44948</v>
      </c>
      <c r="G1655" s="1" t="s">
        <v>316</v>
      </c>
      <c r="H1655" s="2">
        <v>46131</v>
      </c>
      <c r="I1655" t="s">
        <v>38</v>
      </c>
      <c r="J1655">
        <v>8</v>
      </c>
      <c r="K1655">
        <v>69232.87</v>
      </c>
      <c r="L1655" t="s">
        <v>87</v>
      </c>
      <c r="M1655">
        <v>22</v>
      </c>
      <c r="N1655" t="s">
        <v>36</v>
      </c>
      <c r="O1655" s="3" t="s">
        <v>22</v>
      </c>
      <c r="P1655" t="s">
        <v>110</v>
      </c>
      <c r="Q1655" t="s">
        <v>24</v>
      </c>
      <c r="R1655">
        <v>5</v>
      </c>
      <c r="S1655" t="s">
        <v>99</v>
      </c>
      <c r="T1655" s="4">
        <f t="shared" si="128"/>
        <v>553862.96</v>
      </c>
      <c r="U1655" s="4" t="str">
        <f t="shared" si="129"/>
        <v>Good</v>
      </c>
      <c r="V1655" s="4" t="str">
        <f t="shared" si="130"/>
        <v>Excellent</v>
      </c>
      <c r="W1655" s="4"/>
      <c r="X1655" s="4"/>
      <c r="AJ1655" s="4"/>
    </row>
    <row r="1656" spans="1:36">
      <c r="A1656" t="str">
        <f t="shared" si="126"/>
        <v>Bhav321655</v>
      </c>
      <c r="B1656">
        <v>1655</v>
      </c>
      <c r="C1656">
        <v>22</v>
      </c>
      <c r="D1656">
        <v>1</v>
      </c>
      <c r="E1656">
        <v>2023</v>
      </c>
      <c r="F1656" s="1">
        <f t="shared" si="127"/>
        <v>44948</v>
      </c>
      <c r="G1656" s="1" t="s">
        <v>316</v>
      </c>
      <c r="H1656" s="2">
        <v>46132</v>
      </c>
      <c r="I1656" t="s">
        <v>26</v>
      </c>
      <c r="J1656">
        <v>7</v>
      </c>
      <c r="K1656">
        <v>62900.47</v>
      </c>
      <c r="L1656" t="s">
        <v>593</v>
      </c>
      <c r="M1656">
        <v>32</v>
      </c>
      <c r="N1656" t="s">
        <v>21</v>
      </c>
      <c r="O1656" s="3" t="s">
        <v>55</v>
      </c>
      <c r="P1656" t="s">
        <v>33</v>
      </c>
      <c r="Q1656" t="s">
        <v>41</v>
      </c>
      <c r="R1656">
        <v>1</v>
      </c>
      <c r="S1656" t="s">
        <v>34</v>
      </c>
      <c r="T1656" s="4">
        <f t="shared" si="128"/>
        <v>440303.29000000004</v>
      </c>
      <c r="U1656" s="4" t="str">
        <f t="shared" si="129"/>
        <v>Average</v>
      </c>
      <c r="V1656" s="4" t="str">
        <f t="shared" si="130"/>
        <v>Excellent</v>
      </c>
      <c r="W1656" s="4"/>
      <c r="X1656" s="4"/>
      <c r="AJ1656" s="4"/>
    </row>
    <row r="1657" spans="1:36">
      <c r="A1657" t="str">
        <f t="shared" si="126"/>
        <v>Anit381656</v>
      </c>
      <c r="B1657">
        <v>1656</v>
      </c>
      <c r="C1657">
        <v>23</v>
      </c>
      <c r="D1657">
        <v>1</v>
      </c>
      <c r="E1657">
        <v>2023</v>
      </c>
      <c r="F1657" s="1">
        <f t="shared" si="127"/>
        <v>44949</v>
      </c>
      <c r="G1657" s="1" t="s">
        <v>316</v>
      </c>
      <c r="H1657" s="2">
        <v>46133</v>
      </c>
      <c r="I1657" t="s">
        <v>26</v>
      </c>
      <c r="J1657">
        <v>7</v>
      </c>
      <c r="K1657">
        <v>33679.61</v>
      </c>
      <c r="L1657" t="s">
        <v>838</v>
      </c>
      <c r="M1657">
        <v>38</v>
      </c>
      <c r="N1657" t="s">
        <v>21</v>
      </c>
      <c r="O1657" s="3" t="s">
        <v>28</v>
      </c>
      <c r="P1657" t="s">
        <v>33</v>
      </c>
      <c r="Q1657" t="s">
        <v>41</v>
      </c>
      <c r="R1657">
        <v>3</v>
      </c>
      <c r="S1657" t="s">
        <v>31</v>
      </c>
      <c r="T1657" s="4">
        <f t="shared" si="128"/>
        <v>235757.27000000002</v>
      </c>
      <c r="U1657" s="4" t="str">
        <f t="shared" si="129"/>
        <v>Average</v>
      </c>
      <c r="V1657" s="4" t="str">
        <f t="shared" si="130"/>
        <v>Excellent</v>
      </c>
      <c r="W1657" s="4"/>
      <c r="X1657" s="4"/>
      <c r="AJ1657" s="4"/>
    </row>
    <row r="1658" spans="1:36">
      <c r="A1658" t="str">
        <f t="shared" si="126"/>
        <v>Pras421657</v>
      </c>
      <c r="B1658">
        <v>1657</v>
      </c>
      <c r="C1658">
        <v>23</v>
      </c>
      <c r="D1658">
        <v>1</v>
      </c>
      <c r="E1658">
        <v>2023</v>
      </c>
      <c r="F1658" s="1">
        <f t="shared" si="127"/>
        <v>44949</v>
      </c>
      <c r="G1658" s="1" t="s">
        <v>316</v>
      </c>
      <c r="H1658" s="2">
        <v>46134</v>
      </c>
      <c r="I1658" t="s">
        <v>43</v>
      </c>
      <c r="J1658">
        <v>8</v>
      </c>
      <c r="K1658">
        <v>51194.46</v>
      </c>
      <c r="L1658" t="s">
        <v>777</v>
      </c>
      <c r="M1658">
        <v>42</v>
      </c>
      <c r="N1658" t="s">
        <v>21</v>
      </c>
      <c r="O1658" s="3" t="s">
        <v>22</v>
      </c>
      <c r="P1658" t="s">
        <v>59</v>
      </c>
      <c r="Q1658" t="s">
        <v>56</v>
      </c>
      <c r="R1658">
        <v>5</v>
      </c>
      <c r="S1658" t="s">
        <v>46</v>
      </c>
      <c r="T1658" s="4">
        <f t="shared" si="128"/>
        <v>409555.68</v>
      </c>
      <c r="U1658" s="4" t="str">
        <f t="shared" si="129"/>
        <v>Good</v>
      </c>
      <c r="V1658" s="4" t="str">
        <f t="shared" si="130"/>
        <v>Excellent</v>
      </c>
      <c r="W1658" s="4"/>
      <c r="X1658" s="4"/>
      <c r="AJ1658" s="4"/>
    </row>
    <row r="1659" spans="1:36">
      <c r="A1659" t="str">
        <f t="shared" si="126"/>
        <v>Vino341658</v>
      </c>
      <c r="B1659">
        <v>1658</v>
      </c>
      <c r="C1659">
        <v>23</v>
      </c>
      <c r="D1659">
        <v>1</v>
      </c>
      <c r="E1659">
        <v>2023</v>
      </c>
      <c r="F1659" s="1">
        <f t="shared" si="127"/>
        <v>44949</v>
      </c>
      <c r="G1659" s="1" t="s">
        <v>316</v>
      </c>
      <c r="H1659" s="2">
        <v>46135</v>
      </c>
      <c r="I1659" t="s">
        <v>38</v>
      </c>
      <c r="J1659">
        <v>1</v>
      </c>
      <c r="K1659">
        <v>34995.53</v>
      </c>
      <c r="L1659" t="s">
        <v>175</v>
      </c>
      <c r="M1659">
        <v>34</v>
      </c>
      <c r="N1659" t="s">
        <v>21</v>
      </c>
      <c r="O1659" s="3" t="s">
        <v>22</v>
      </c>
      <c r="P1659" t="s">
        <v>29</v>
      </c>
      <c r="Q1659" t="s">
        <v>30</v>
      </c>
      <c r="R1659">
        <v>4</v>
      </c>
      <c r="S1659" t="s">
        <v>42</v>
      </c>
      <c r="T1659" s="4">
        <f t="shared" si="128"/>
        <v>34995.53</v>
      </c>
      <c r="U1659" s="4" t="str">
        <f t="shared" si="129"/>
        <v>Good</v>
      </c>
      <c r="V1659" s="4" t="str">
        <f t="shared" si="130"/>
        <v>Low</v>
      </c>
      <c r="W1659" s="4"/>
      <c r="X1659" s="4"/>
      <c r="AJ1659" s="4"/>
    </row>
    <row r="1660" spans="1:36">
      <c r="A1660" t="str">
        <f t="shared" si="126"/>
        <v>Sumi241659</v>
      </c>
      <c r="B1660">
        <v>1659</v>
      </c>
      <c r="C1660">
        <v>23</v>
      </c>
      <c r="D1660">
        <v>1</v>
      </c>
      <c r="E1660">
        <v>2023</v>
      </c>
      <c r="F1660" s="1">
        <f t="shared" si="127"/>
        <v>44949</v>
      </c>
      <c r="G1660" s="1" t="s">
        <v>316</v>
      </c>
      <c r="H1660" s="2">
        <v>46136</v>
      </c>
      <c r="I1660" t="s">
        <v>49</v>
      </c>
      <c r="J1660">
        <v>5</v>
      </c>
      <c r="K1660">
        <v>48911.62</v>
      </c>
      <c r="L1660" t="s">
        <v>256</v>
      </c>
      <c r="M1660">
        <v>24</v>
      </c>
      <c r="N1660" t="s">
        <v>36</v>
      </c>
      <c r="O1660" s="3" t="s">
        <v>22</v>
      </c>
      <c r="P1660" t="s">
        <v>64</v>
      </c>
      <c r="Q1660" t="s">
        <v>30</v>
      </c>
      <c r="R1660">
        <v>4</v>
      </c>
      <c r="S1660" t="s">
        <v>88</v>
      </c>
      <c r="T1660" s="4">
        <f t="shared" si="128"/>
        <v>244558.1</v>
      </c>
      <c r="U1660" s="4" t="str">
        <f t="shared" si="129"/>
        <v>Good</v>
      </c>
      <c r="V1660" s="4" t="str">
        <f t="shared" si="130"/>
        <v>Excellent</v>
      </c>
      <c r="W1660" s="4"/>
      <c r="X1660" s="4"/>
      <c r="AJ1660" s="4"/>
    </row>
    <row r="1661" spans="1:36">
      <c r="A1661" t="str">
        <f t="shared" si="126"/>
        <v>Sach361660</v>
      </c>
      <c r="B1661">
        <v>1660</v>
      </c>
      <c r="C1661">
        <v>24</v>
      </c>
      <c r="D1661">
        <v>1</v>
      </c>
      <c r="E1661">
        <v>2023</v>
      </c>
      <c r="F1661" s="1">
        <f t="shared" si="127"/>
        <v>44950</v>
      </c>
      <c r="G1661" s="1" t="s">
        <v>316</v>
      </c>
      <c r="H1661" s="2">
        <v>46137</v>
      </c>
      <c r="I1661" t="s">
        <v>49</v>
      </c>
      <c r="J1661">
        <v>2</v>
      </c>
      <c r="K1661">
        <v>28565.95</v>
      </c>
      <c r="L1661" t="s">
        <v>242</v>
      </c>
      <c r="M1661">
        <v>36</v>
      </c>
      <c r="N1661" t="s">
        <v>21</v>
      </c>
      <c r="O1661" s="3" t="s">
        <v>55</v>
      </c>
      <c r="P1661" t="s">
        <v>33</v>
      </c>
      <c r="Q1661" t="s">
        <v>24</v>
      </c>
      <c r="R1661">
        <v>1</v>
      </c>
      <c r="S1661" t="s">
        <v>52</v>
      </c>
      <c r="T1661" s="4">
        <f t="shared" si="128"/>
        <v>57131.9</v>
      </c>
      <c r="U1661" s="4" t="str">
        <f t="shared" si="129"/>
        <v>Average</v>
      </c>
      <c r="V1661" s="4" t="str">
        <f t="shared" si="130"/>
        <v>Average</v>
      </c>
      <c r="W1661" s="4"/>
      <c r="X1661" s="4"/>
      <c r="AJ1661" s="4"/>
    </row>
    <row r="1662" spans="1:36">
      <c r="A1662" t="str">
        <f t="shared" si="126"/>
        <v>Roha241661</v>
      </c>
      <c r="B1662">
        <v>1661</v>
      </c>
      <c r="C1662">
        <v>24</v>
      </c>
      <c r="D1662">
        <v>1</v>
      </c>
      <c r="E1662">
        <v>2023</v>
      </c>
      <c r="F1662" s="1">
        <f t="shared" si="127"/>
        <v>44950</v>
      </c>
      <c r="G1662" s="1" t="s">
        <v>316</v>
      </c>
      <c r="H1662" s="2">
        <v>46138</v>
      </c>
      <c r="I1662" t="s">
        <v>19</v>
      </c>
      <c r="J1662">
        <v>2</v>
      </c>
      <c r="K1662">
        <v>46372.14</v>
      </c>
      <c r="L1662" t="s">
        <v>489</v>
      </c>
      <c r="M1662">
        <v>24</v>
      </c>
      <c r="N1662" t="s">
        <v>36</v>
      </c>
      <c r="O1662" s="3" t="s">
        <v>55</v>
      </c>
      <c r="P1662" t="s">
        <v>137</v>
      </c>
      <c r="Q1662" t="s">
        <v>56</v>
      </c>
      <c r="R1662">
        <v>1</v>
      </c>
      <c r="S1662" t="s">
        <v>25</v>
      </c>
      <c r="T1662" s="4">
        <f t="shared" si="128"/>
        <v>92744.28</v>
      </c>
      <c r="U1662" s="4" t="str">
        <f t="shared" si="129"/>
        <v>Average</v>
      </c>
      <c r="V1662" s="4" t="str">
        <f t="shared" si="130"/>
        <v>Average</v>
      </c>
      <c r="W1662" s="4"/>
      <c r="X1662" s="4"/>
      <c r="AJ1662" s="4"/>
    </row>
    <row r="1663" spans="1:36">
      <c r="A1663" t="str">
        <f t="shared" si="126"/>
        <v>Ravi571662</v>
      </c>
      <c r="B1663">
        <v>1662</v>
      </c>
      <c r="C1663">
        <v>24</v>
      </c>
      <c r="D1663">
        <v>1</v>
      </c>
      <c r="E1663">
        <v>2023</v>
      </c>
      <c r="F1663" s="1">
        <f t="shared" si="127"/>
        <v>44950</v>
      </c>
      <c r="G1663" s="1" t="s">
        <v>316</v>
      </c>
      <c r="H1663" s="2">
        <v>46139</v>
      </c>
      <c r="I1663" t="s">
        <v>19</v>
      </c>
      <c r="J1663">
        <v>1</v>
      </c>
      <c r="K1663">
        <v>41425.51</v>
      </c>
      <c r="L1663" t="s">
        <v>696</v>
      </c>
      <c r="M1663">
        <v>57</v>
      </c>
      <c r="N1663" t="s">
        <v>61</v>
      </c>
      <c r="O1663" s="3" t="s">
        <v>22</v>
      </c>
      <c r="P1663" t="s">
        <v>29</v>
      </c>
      <c r="Q1663" t="s">
        <v>24</v>
      </c>
      <c r="R1663">
        <v>4</v>
      </c>
      <c r="S1663" t="s">
        <v>25</v>
      </c>
      <c r="T1663" s="4">
        <f t="shared" si="128"/>
        <v>41425.51</v>
      </c>
      <c r="U1663" s="4" t="str">
        <f t="shared" si="129"/>
        <v>Good</v>
      </c>
      <c r="V1663" s="4" t="str">
        <f t="shared" si="130"/>
        <v>Low</v>
      </c>
      <c r="W1663" s="4"/>
      <c r="X1663" s="4"/>
      <c r="AJ1663" s="4"/>
    </row>
    <row r="1664" spans="1:36">
      <c r="A1664" t="str">
        <f t="shared" si="126"/>
        <v>Neet411663</v>
      </c>
      <c r="B1664">
        <v>1663</v>
      </c>
      <c r="C1664">
        <v>25</v>
      </c>
      <c r="D1664">
        <v>1</v>
      </c>
      <c r="E1664">
        <v>2023</v>
      </c>
      <c r="F1664" s="1">
        <f t="shared" si="127"/>
        <v>44951</v>
      </c>
      <c r="G1664" s="1" t="s">
        <v>316</v>
      </c>
      <c r="H1664" s="2">
        <v>46140</v>
      </c>
      <c r="I1664" t="s">
        <v>49</v>
      </c>
      <c r="J1664">
        <v>5</v>
      </c>
      <c r="K1664">
        <v>11468.82</v>
      </c>
      <c r="L1664" t="s">
        <v>252</v>
      </c>
      <c r="M1664">
        <v>41</v>
      </c>
      <c r="N1664" t="s">
        <v>21</v>
      </c>
      <c r="O1664" s="3" t="s">
        <v>22</v>
      </c>
      <c r="P1664" t="s">
        <v>51</v>
      </c>
      <c r="Q1664" t="s">
        <v>24</v>
      </c>
      <c r="R1664">
        <v>4</v>
      </c>
      <c r="S1664" t="s">
        <v>88</v>
      </c>
      <c r="T1664" s="4">
        <f t="shared" si="128"/>
        <v>57344.1</v>
      </c>
      <c r="U1664" s="4" t="str">
        <f t="shared" si="129"/>
        <v>Good</v>
      </c>
      <c r="V1664" s="4" t="str">
        <f t="shared" si="130"/>
        <v>Average</v>
      </c>
      <c r="W1664" s="4"/>
      <c r="X1664" s="4"/>
      <c r="AJ1664" s="4"/>
    </row>
    <row r="1665" spans="1:36">
      <c r="A1665" t="str">
        <f t="shared" si="126"/>
        <v>Amit281664</v>
      </c>
      <c r="B1665">
        <v>1664</v>
      </c>
      <c r="C1665">
        <v>25</v>
      </c>
      <c r="D1665">
        <v>1</v>
      </c>
      <c r="E1665">
        <v>2023</v>
      </c>
      <c r="F1665" s="1">
        <f t="shared" si="127"/>
        <v>44951</v>
      </c>
      <c r="G1665" s="1" t="s">
        <v>316</v>
      </c>
      <c r="H1665" s="2">
        <v>46141</v>
      </c>
      <c r="I1665" t="s">
        <v>49</v>
      </c>
      <c r="J1665">
        <v>2</v>
      </c>
      <c r="K1665">
        <v>57442.17</v>
      </c>
      <c r="L1665" t="s">
        <v>416</v>
      </c>
      <c r="M1665">
        <v>28</v>
      </c>
      <c r="N1665" t="s">
        <v>36</v>
      </c>
      <c r="O1665" s="3" t="s">
        <v>22</v>
      </c>
      <c r="P1665" t="s">
        <v>29</v>
      </c>
      <c r="Q1665" t="s">
        <v>30</v>
      </c>
      <c r="R1665">
        <v>5</v>
      </c>
      <c r="S1665" t="s">
        <v>88</v>
      </c>
      <c r="T1665" s="4">
        <f t="shared" si="128"/>
        <v>114884.34</v>
      </c>
      <c r="U1665" s="4" t="str">
        <f t="shared" si="129"/>
        <v>Good</v>
      </c>
      <c r="V1665" s="4" t="str">
        <f t="shared" si="130"/>
        <v>Good</v>
      </c>
      <c r="W1665" s="4"/>
      <c r="X1665" s="4"/>
      <c r="AJ1665" s="4"/>
    </row>
    <row r="1666" spans="1:36">
      <c r="A1666" t="str">
        <f t="shared" ref="A1666:A1729" si="131">LEFT(L1666,4)&amp;M1666&amp;B1666</f>
        <v>Hari581665</v>
      </c>
      <c r="B1666">
        <v>1665</v>
      </c>
      <c r="C1666">
        <v>25</v>
      </c>
      <c r="D1666">
        <v>1</v>
      </c>
      <c r="E1666">
        <v>2023</v>
      </c>
      <c r="F1666" s="1">
        <f t="shared" si="127"/>
        <v>44951</v>
      </c>
      <c r="G1666" s="1" t="s">
        <v>316</v>
      </c>
      <c r="H1666" s="2">
        <v>46142</v>
      </c>
      <c r="I1666" t="s">
        <v>38</v>
      </c>
      <c r="J1666">
        <v>4</v>
      </c>
      <c r="K1666">
        <v>10713.87</v>
      </c>
      <c r="L1666" t="s">
        <v>907</v>
      </c>
      <c r="M1666">
        <v>58</v>
      </c>
      <c r="N1666" t="s">
        <v>61</v>
      </c>
      <c r="O1666" s="3" t="s">
        <v>28</v>
      </c>
      <c r="P1666" t="s">
        <v>40</v>
      </c>
      <c r="Q1666" t="s">
        <v>56</v>
      </c>
      <c r="R1666">
        <v>3</v>
      </c>
      <c r="S1666" t="s">
        <v>99</v>
      </c>
      <c r="T1666" s="4">
        <f t="shared" si="128"/>
        <v>42855.48</v>
      </c>
      <c r="U1666" s="4" t="str">
        <f t="shared" si="129"/>
        <v>Average</v>
      </c>
      <c r="V1666" s="4" t="str">
        <f t="shared" si="130"/>
        <v>Low</v>
      </c>
      <c r="W1666" s="4"/>
      <c r="X1666" s="4"/>
      <c r="AJ1666" s="4"/>
    </row>
    <row r="1667" spans="1:36">
      <c r="A1667" t="str">
        <f t="shared" si="131"/>
        <v>Vino181666</v>
      </c>
      <c r="B1667">
        <v>1666</v>
      </c>
      <c r="C1667">
        <v>25</v>
      </c>
      <c r="D1667">
        <v>1</v>
      </c>
      <c r="E1667">
        <v>2023</v>
      </c>
      <c r="F1667" s="1">
        <f t="shared" ref="F1667:F1730" si="132">DATE(E1667,D1667,C1667)</f>
        <v>44951</v>
      </c>
      <c r="G1667" s="1" t="s">
        <v>316</v>
      </c>
      <c r="H1667" s="2">
        <v>46143</v>
      </c>
      <c r="I1667" t="s">
        <v>26</v>
      </c>
      <c r="J1667">
        <v>3</v>
      </c>
      <c r="K1667">
        <v>27589.360000000001</v>
      </c>
      <c r="L1667" t="s">
        <v>91</v>
      </c>
      <c r="M1667">
        <v>18</v>
      </c>
      <c r="N1667" t="s">
        <v>36</v>
      </c>
      <c r="O1667" s="3" t="s">
        <v>22</v>
      </c>
      <c r="P1667" t="s">
        <v>29</v>
      </c>
      <c r="Q1667" t="s">
        <v>24</v>
      </c>
      <c r="R1667">
        <v>5</v>
      </c>
      <c r="S1667" t="s">
        <v>34</v>
      </c>
      <c r="T1667" s="4">
        <f t="shared" ref="T1667:T1730" si="133">J1667*K1667</f>
        <v>82768.08</v>
      </c>
      <c r="U1667" s="4" t="str">
        <f t="shared" ref="U1667:U1730" si="134">IF(R1667&gt;=4,"Good","Average")</f>
        <v>Good</v>
      </c>
      <c r="V1667" s="4" t="str">
        <f t="shared" ref="V1667:V1730" si="135">IF(T1667&gt;200000,"Excellent",IF(T1667&gt;100000,"Good",IF(T1667&gt;50000,"Average","Low")))</f>
        <v>Average</v>
      </c>
      <c r="W1667" s="4"/>
      <c r="X1667" s="4"/>
      <c r="AJ1667" s="4"/>
    </row>
    <row r="1668" spans="1:36">
      <c r="A1668" t="str">
        <f t="shared" si="131"/>
        <v>Mano491667</v>
      </c>
      <c r="B1668">
        <v>1667</v>
      </c>
      <c r="C1668">
        <v>26</v>
      </c>
      <c r="D1668">
        <v>1</v>
      </c>
      <c r="E1668">
        <v>2023</v>
      </c>
      <c r="F1668" s="1">
        <f t="shared" si="132"/>
        <v>44952</v>
      </c>
      <c r="G1668" s="1" t="s">
        <v>316</v>
      </c>
      <c r="H1668" s="2">
        <v>46144</v>
      </c>
      <c r="I1668" t="s">
        <v>19</v>
      </c>
      <c r="J1668">
        <v>3</v>
      </c>
      <c r="K1668">
        <v>10355.44</v>
      </c>
      <c r="L1668" t="s">
        <v>105</v>
      </c>
      <c r="M1668">
        <v>49</v>
      </c>
      <c r="N1668" t="s">
        <v>61</v>
      </c>
      <c r="O1668" s="3" t="s">
        <v>22</v>
      </c>
      <c r="P1668" t="s">
        <v>110</v>
      </c>
      <c r="Q1668" t="s">
        <v>30</v>
      </c>
      <c r="R1668">
        <v>5</v>
      </c>
      <c r="S1668" t="s">
        <v>25</v>
      </c>
      <c r="T1668" s="4">
        <f t="shared" si="133"/>
        <v>31066.32</v>
      </c>
      <c r="U1668" s="4" t="str">
        <f t="shared" si="134"/>
        <v>Good</v>
      </c>
      <c r="V1668" s="4" t="str">
        <f t="shared" si="135"/>
        <v>Low</v>
      </c>
      <c r="W1668" s="4"/>
      <c r="X1668" s="4"/>
      <c r="AJ1668" s="4"/>
    </row>
    <row r="1669" spans="1:36">
      <c r="A1669" t="str">
        <f t="shared" si="131"/>
        <v>Roha571668</v>
      </c>
      <c r="B1669">
        <v>1668</v>
      </c>
      <c r="C1669">
        <v>26</v>
      </c>
      <c r="D1669">
        <v>1</v>
      </c>
      <c r="E1669">
        <v>2023</v>
      </c>
      <c r="F1669" s="1">
        <f t="shared" si="132"/>
        <v>44952</v>
      </c>
      <c r="G1669" s="1" t="s">
        <v>316</v>
      </c>
      <c r="H1669" s="2">
        <v>46145</v>
      </c>
      <c r="I1669" t="s">
        <v>26</v>
      </c>
      <c r="J1669">
        <v>2</v>
      </c>
      <c r="K1669">
        <v>32572.080000000002</v>
      </c>
      <c r="L1669" t="s">
        <v>908</v>
      </c>
      <c r="M1669">
        <v>57</v>
      </c>
      <c r="N1669" t="s">
        <v>61</v>
      </c>
      <c r="O1669" s="3" t="s">
        <v>22</v>
      </c>
      <c r="P1669" t="s">
        <v>40</v>
      </c>
      <c r="Q1669" t="s">
        <v>30</v>
      </c>
      <c r="R1669">
        <v>4</v>
      </c>
      <c r="S1669" t="s">
        <v>34</v>
      </c>
      <c r="T1669" s="4">
        <f t="shared" si="133"/>
        <v>65144.160000000003</v>
      </c>
      <c r="U1669" s="4" t="str">
        <f t="shared" si="134"/>
        <v>Good</v>
      </c>
      <c r="V1669" s="4" t="str">
        <f t="shared" si="135"/>
        <v>Average</v>
      </c>
      <c r="W1669" s="4"/>
      <c r="X1669" s="4"/>
      <c r="AJ1669" s="4"/>
    </row>
    <row r="1670" spans="1:36">
      <c r="A1670" t="str">
        <f t="shared" si="131"/>
        <v>Vino191669</v>
      </c>
      <c r="B1670">
        <v>1669</v>
      </c>
      <c r="C1670">
        <v>26</v>
      </c>
      <c r="D1670">
        <v>1</v>
      </c>
      <c r="E1670">
        <v>2023</v>
      </c>
      <c r="F1670" s="1">
        <f t="shared" si="132"/>
        <v>44952</v>
      </c>
      <c r="G1670" s="1" t="s">
        <v>316</v>
      </c>
      <c r="H1670" s="2">
        <v>46146</v>
      </c>
      <c r="I1670" t="s">
        <v>38</v>
      </c>
      <c r="J1670">
        <v>6</v>
      </c>
      <c r="K1670">
        <v>13789.63</v>
      </c>
      <c r="L1670" t="s">
        <v>398</v>
      </c>
      <c r="M1670">
        <v>19</v>
      </c>
      <c r="N1670" t="s">
        <v>36</v>
      </c>
      <c r="O1670" s="3" t="s">
        <v>28</v>
      </c>
      <c r="P1670" t="s">
        <v>29</v>
      </c>
      <c r="Q1670" t="s">
        <v>41</v>
      </c>
      <c r="R1670">
        <v>3</v>
      </c>
      <c r="S1670" t="s">
        <v>99</v>
      </c>
      <c r="T1670" s="4">
        <f t="shared" si="133"/>
        <v>82737.78</v>
      </c>
      <c r="U1670" s="4" t="str">
        <f t="shared" si="134"/>
        <v>Average</v>
      </c>
      <c r="V1670" s="4" t="str">
        <f t="shared" si="135"/>
        <v>Average</v>
      </c>
      <c r="W1670" s="4"/>
      <c r="X1670" s="4"/>
      <c r="AJ1670" s="4"/>
    </row>
    <row r="1671" spans="1:36">
      <c r="A1671" t="str">
        <f t="shared" si="131"/>
        <v>Moni321670</v>
      </c>
      <c r="B1671">
        <v>1670</v>
      </c>
      <c r="C1671">
        <v>27</v>
      </c>
      <c r="D1671">
        <v>1</v>
      </c>
      <c r="E1671">
        <v>2023</v>
      </c>
      <c r="F1671" s="1">
        <f t="shared" si="132"/>
        <v>44953</v>
      </c>
      <c r="G1671" s="1" t="s">
        <v>316</v>
      </c>
      <c r="H1671" s="2">
        <v>46147</v>
      </c>
      <c r="I1671" t="s">
        <v>49</v>
      </c>
      <c r="J1671">
        <v>2</v>
      </c>
      <c r="K1671">
        <v>64810.66</v>
      </c>
      <c r="L1671" t="s">
        <v>111</v>
      </c>
      <c r="M1671">
        <v>32</v>
      </c>
      <c r="N1671" t="s">
        <v>21</v>
      </c>
      <c r="O1671" s="3" t="s">
        <v>22</v>
      </c>
      <c r="P1671" t="s">
        <v>29</v>
      </c>
      <c r="Q1671" t="s">
        <v>56</v>
      </c>
      <c r="R1671">
        <v>4</v>
      </c>
      <c r="S1671" t="s">
        <v>52</v>
      </c>
      <c r="T1671" s="4">
        <f t="shared" si="133"/>
        <v>129621.32</v>
      </c>
      <c r="U1671" s="4" t="str">
        <f t="shared" si="134"/>
        <v>Good</v>
      </c>
      <c r="V1671" s="4" t="str">
        <f t="shared" si="135"/>
        <v>Good</v>
      </c>
      <c r="W1671" s="4"/>
      <c r="X1671" s="4"/>
      <c r="AJ1671" s="4"/>
    </row>
    <row r="1672" spans="1:36">
      <c r="A1672" t="str">
        <f t="shared" si="131"/>
        <v>Anit381671</v>
      </c>
      <c r="B1672">
        <v>1671</v>
      </c>
      <c r="C1672">
        <v>27</v>
      </c>
      <c r="D1672">
        <v>1</v>
      </c>
      <c r="E1672">
        <v>2023</v>
      </c>
      <c r="F1672" s="1">
        <f t="shared" si="132"/>
        <v>44953</v>
      </c>
      <c r="G1672" s="1" t="s">
        <v>316</v>
      </c>
      <c r="H1672" s="2">
        <v>46148</v>
      </c>
      <c r="I1672" t="s">
        <v>26</v>
      </c>
      <c r="J1672">
        <v>8</v>
      </c>
      <c r="K1672">
        <v>34940.76</v>
      </c>
      <c r="L1672" t="s">
        <v>837</v>
      </c>
      <c r="M1672">
        <v>38</v>
      </c>
      <c r="N1672" t="s">
        <v>21</v>
      </c>
      <c r="O1672" s="3" t="s">
        <v>22</v>
      </c>
      <c r="P1672" t="s">
        <v>117</v>
      </c>
      <c r="Q1672" t="s">
        <v>56</v>
      </c>
      <c r="R1672">
        <v>5</v>
      </c>
      <c r="S1672" t="s">
        <v>31</v>
      </c>
      <c r="T1672" s="4">
        <f t="shared" si="133"/>
        <v>279526.08</v>
      </c>
      <c r="U1672" s="4" t="str">
        <f t="shared" si="134"/>
        <v>Good</v>
      </c>
      <c r="V1672" s="4" t="str">
        <f t="shared" si="135"/>
        <v>Excellent</v>
      </c>
      <c r="W1672" s="4"/>
      <c r="X1672" s="4"/>
      <c r="AJ1672" s="4"/>
    </row>
    <row r="1673" spans="1:36">
      <c r="A1673" t="str">
        <f t="shared" si="131"/>
        <v>Navi411672</v>
      </c>
      <c r="B1673">
        <v>1672</v>
      </c>
      <c r="C1673">
        <v>27</v>
      </c>
      <c r="D1673">
        <v>1</v>
      </c>
      <c r="E1673">
        <v>2023</v>
      </c>
      <c r="F1673" s="1">
        <f t="shared" si="132"/>
        <v>44953</v>
      </c>
      <c r="G1673" s="1" t="s">
        <v>316</v>
      </c>
      <c r="H1673" s="2">
        <v>46149</v>
      </c>
      <c r="I1673" t="s">
        <v>49</v>
      </c>
      <c r="J1673">
        <v>8</v>
      </c>
      <c r="K1673">
        <v>37569.75</v>
      </c>
      <c r="L1673" t="s">
        <v>347</v>
      </c>
      <c r="M1673">
        <v>41</v>
      </c>
      <c r="N1673" t="s">
        <v>21</v>
      </c>
      <c r="O1673" s="3" t="s">
        <v>22</v>
      </c>
      <c r="P1673" t="s">
        <v>132</v>
      </c>
      <c r="Q1673" t="s">
        <v>41</v>
      </c>
      <c r="R1673">
        <v>5</v>
      </c>
      <c r="S1673" t="s">
        <v>88</v>
      </c>
      <c r="T1673" s="4">
        <f t="shared" si="133"/>
        <v>300558</v>
      </c>
      <c r="U1673" s="4" t="str">
        <f t="shared" si="134"/>
        <v>Good</v>
      </c>
      <c r="V1673" s="4" t="str">
        <f t="shared" si="135"/>
        <v>Excellent</v>
      </c>
      <c r="W1673" s="4"/>
      <c r="X1673" s="4"/>
      <c r="AJ1673" s="4"/>
    </row>
    <row r="1674" spans="1:36">
      <c r="A1674" t="str">
        <f t="shared" si="131"/>
        <v>Arun341673</v>
      </c>
      <c r="B1674">
        <v>1673</v>
      </c>
      <c r="C1674">
        <v>27</v>
      </c>
      <c r="D1674">
        <v>1</v>
      </c>
      <c r="E1674">
        <v>2023</v>
      </c>
      <c r="F1674" s="1">
        <f t="shared" si="132"/>
        <v>44953</v>
      </c>
      <c r="G1674" s="1" t="s">
        <v>316</v>
      </c>
      <c r="H1674" s="2">
        <v>46150</v>
      </c>
      <c r="I1674" t="s">
        <v>49</v>
      </c>
      <c r="J1674">
        <v>5</v>
      </c>
      <c r="K1674">
        <v>30991.01</v>
      </c>
      <c r="L1674" t="s">
        <v>909</v>
      </c>
      <c r="M1674">
        <v>34</v>
      </c>
      <c r="N1674" t="s">
        <v>21</v>
      </c>
      <c r="O1674" s="3" t="s">
        <v>22</v>
      </c>
      <c r="P1674" t="s">
        <v>29</v>
      </c>
      <c r="Q1674" t="s">
        <v>24</v>
      </c>
      <c r="R1674">
        <v>4</v>
      </c>
      <c r="S1674" t="s">
        <v>102</v>
      </c>
      <c r="T1674" s="4">
        <f t="shared" si="133"/>
        <v>154955.04999999999</v>
      </c>
      <c r="U1674" s="4" t="str">
        <f t="shared" si="134"/>
        <v>Good</v>
      </c>
      <c r="V1674" s="4" t="str">
        <f t="shared" si="135"/>
        <v>Good</v>
      </c>
      <c r="W1674" s="4"/>
      <c r="X1674" s="4"/>
      <c r="AJ1674" s="4"/>
    </row>
    <row r="1675" spans="1:36">
      <c r="A1675" t="str">
        <f t="shared" si="131"/>
        <v>Kris261674</v>
      </c>
      <c r="B1675">
        <v>1674</v>
      </c>
      <c r="C1675">
        <v>28</v>
      </c>
      <c r="D1675">
        <v>1</v>
      </c>
      <c r="E1675">
        <v>2023</v>
      </c>
      <c r="F1675" s="1">
        <f t="shared" si="132"/>
        <v>44954</v>
      </c>
      <c r="G1675" s="1" t="s">
        <v>316</v>
      </c>
      <c r="H1675" s="2">
        <v>46151</v>
      </c>
      <c r="I1675" t="s">
        <v>43</v>
      </c>
      <c r="J1675">
        <v>7</v>
      </c>
      <c r="K1675">
        <v>47650.37</v>
      </c>
      <c r="L1675" t="s">
        <v>606</v>
      </c>
      <c r="M1675">
        <v>26</v>
      </c>
      <c r="N1675" t="s">
        <v>36</v>
      </c>
      <c r="O1675" s="3" t="s">
        <v>55</v>
      </c>
      <c r="P1675" t="s">
        <v>51</v>
      </c>
      <c r="Q1675" t="s">
        <v>30</v>
      </c>
      <c r="R1675">
        <v>1</v>
      </c>
      <c r="S1675" t="s">
        <v>46</v>
      </c>
      <c r="T1675" s="4">
        <f t="shared" si="133"/>
        <v>333552.59000000003</v>
      </c>
      <c r="U1675" s="4" t="str">
        <f t="shared" si="134"/>
        <v>Average</v>
      </c>
      <c r="V1675" s="4" t="str">
        <f t="shared" si="135"/>
        <v>Excellent</v>
      </c>
      <c r="W1675" s="4"/>
      <c r="X1675" s="4"/>
      <c r="AJ1675" s="4"/>
    </row>
    <row r="1676" spans="1:36">
      <c r="A1676" t="str">
        <f t="shared" si="131"/>
        <v>Raje521675</v>
      </c>
      <c r="B1676">
        <v>1675</v>
      </c>
      <c r="C1676">
        <v>28</v>
      </c>
      <c r="D1676">
        <v>1</v>
      </c>
      <c r="E1676">
        <v>2023</v>
      </c>
      <c r="F1676" s="1">
        <f t="shared" si="132"/>
        <v>44954</v>
      </c>
      <c r="G1676" s="1" t="s">
        <v>316</v>
      </c>
      <c r="H1676" s="2">
        <v>46152</v>
      </c>
      <c r="I1676" t="s">
        <v>26</v>
      </c>
      <c r="J1676">
        <v>4</v>
      </c>
      <c r="K1676">
        <v>57064.49</v>
      </c>
      <c r="L1676" t="s">
        <v>784</v>
      </c>
      <c r="M1676">
        <v>52</v>
      </c>
      <c r="N1676" t="s">
        <v>61</v>
      </c>
      <c r="O1676" s="3" t="s">
        <v>55</v>
      </c>
      <c r="P1676" t="s">
        <v>29</v>
      </c>
      <c r="Q1676" t="s">
        <v>30</v>
      </c>
      <c r="R1676">
        <v>1</v>
      </c>
      <c r="S1676" t="s">
        <v>34</v>
      </c>
      <c r="T1676" s="4">
        <f t="shared" si="133"/>
        <v>228257.96</v>
      </c>
      <c r="U1676" s="4" t="str">
        <f t="shared" si="134"/>
        <v>Average</v>
      </c>
      <c r="V1676" s="4" t="str">
        <f t="shared" si="135"/>
        <v>Excellent</v>
      </c>
      <c r="W1676" s="4"/>
      <c r="X1676" s="4"/>
      <c r="AJ1676" s="4"/>
    </row>
    <row r="1677" spans="1:36">
      <c r="A1677" t="str">
        <f t="shared" si="131"/>
        <v>Sneh371676</v>
      </c>
      <c r="B1677">
        <v>1676</v>
      </c>
      <c r="C1677">
        <v>28</v>
      </c>
      <c r="D1677">
        <v>1</v>
      </c>
      <c r="E1677">
        <v>2023</v>
      </c>
      <c r="F1677" s="1">
        <f t="shared" si="132"/>
        <v>44954</v>
      </c>
      <c r="G1677" s="1" t="s">
        <v>316</v>
      </c>
      <c r="H1677" s="2">
        <v>46153</v>
      </c>
      <c r="I1677" t="s">
        <v>26</v>
      </c>
      <c r="J1677">
        <v>1</v>
      </c>
      <c r="K1677">
        <v>48888.800000000003</v>
      </c>
      <c r="L1677" t="s">
        <v>336</v>
      </c>
      <c r="M1677">
        <v>37</v>
      </c>
      <c r="N1677" t="s">
        <v>21</v>
      </c>
      <c r="O1677" s="3" t="s">
        <v>22</v>
      </c>
      <c r="P1677" t="s">
        <v>132</v>
      </c>
      <c r="Q1677" t="s">
        <v>30</v>
      </c>
      <c r="R1677">
        <v>4</v>
      </c>
      <c r="S1677" t="s">
        <v>31</v>
      </c>
      <c r="T1677" s="4">
        <f t="shared" si="133"/>
        <v>48888.800000000003</v>
      </c>
      <c r="U1677" s="4" t="str">
        <f t="shared" si="134"/>
        <v>Good</v>
      </c>
      <c r="V1677" s="4" t="str">
        <f t="shared" si="135"/>
        <v>Low</v>
      </c>
      <c r="W1677" s="4"/>
      <c r="X1677" s="4"/>
      <c r="AJ1677" s="4"/>
    </row>
    <row r="1678" spans="1:36">
      <c r="A1678" t="str">
        <f t="shared" si="131"/>
        <v>Pooj361677</v>
      </c>
      <c r="B1678">
        <v>1677</v>
      </c>
      <c r="C1678">
        <v>29</v>
      </c>
      <c r="D1678">
        <v>1</v>
      </c>
      <c r="E1678">
        <v>2023</v>
      </c>
      <c r="F1678" s="1">
        <f t="shared" si="132"/>
        <v>44955</v>
      </c>
      <c r="G1678" s="1" t="s">
        <v>316</v>
      </c>
      <c r="H1678" s="2">
        <v>46154</v>
      </c>
      <c r="I1678" t="s">
        <v>49</v>
      </c>
      <c r="J1678">
        <v>2</v>
      </c>
      <c r="K1678">
        <v>54892.43</v>
      </c>
      <c r="L1678" t="s">
        <v>816</v>
      </c>
      <c r="M1678">
        <v>36</v>
      </c>
      <c r="N1678" t="s">
        <v>21</v>
      </c>
      <c r="O1678" s="3" t="s">
        <v>22</v>
      </c>
      <c r="P1678" t="s">
        <v>40</v>
      </c>
      <c r="Q1678" t="s">
        <v>41</v>
      </c>
      <c r="R1678">
        <v>5</v>
      </c>
      <c r="S1678" t="s">
        <v>88</v>
      </c>
      <c r="T1678" s="4">
        <f t="shared" si="133"/>
        <v>109784.86</v>
      </c>
      <c r="U1678" s="4" t="str">
        <f t="shared" si="134"/>
        <v>Good</v>
      </c>
      <c r="V1678" s="4" t="str">
        <f t="shared" si="135"/>
        <v>Good</v>
      </c>
      <c r="W1678" s="4"/>
      <c r="X1678" s="4"/>
      <c r="AJ1678" s="4"/>
    </row>
    <row r="1679" spans="1:36">
      <c r="A1679" t="str">
        <f t="shared" si="131"/>
        <v>Priy351678</v>
      </c>
      <c r="B1679">
        <v>1678</v>
      </c>
      <c r="C1679">
        <v>29</v>
      </c>
      <c r="D1679">
        <v>1</v>
      </c>
      <c r="E1679">
        <v>2023</v>
      </c>
      <c r="F1679" s="1">
        <f t="shared" si="132"/>
        <v>44955</v>
      </c>
      <c r="G1679" s="1" t="s">
        <v>316</v>
      </c>
      <c r="H1679" s="2">
        <v>46155</v>
      </c>
      <c r="I1679" t="s">
        <v>38</v>
      </c>
      <c r="J1679">
        <v>4</v>
      </c>
      <c r="K1679">
        <v>64358.42</v>
      </c>
      <c r="L1679" t="s">
        <v>673</v>
      </c>
      <c r="M1679">
        <v>35</v>
      </c>
      <c r="N1679" t="s">
        <v>21</v>
      </c>
      <c r="O1679" s="3" t="s">
        <v>22</v>
      </c>
      <c r="P1679" t="s">
        <v>33</v>
      </c>
      <c r="Q1679" t="s">
        <v>30</v>
      </c>
      <c r="R1679">
        <v>5</v>
      </c>
      <c r="S1679" t="s">
        <v>42</v>
      </c>
      <c r="T1679" s="4">
        <f t="shared" si="133"/>
        <v>257433.68</v>
      </c>
      <c r="U1679" s="4" t="str">
        <f t="shared" si="134"/>
        <v>Good</v>
      </c>
      <c r="V1679" s="4" t="str">
        <f t="shared" si="135"/>
        <v>Excellent</v>
      </c>
      <c r="W1679" s="4"/>
      <c r="X1679" s="4"/>
      <c r="AJ1679" s="4"/>
    </row>
    <row r="1680" spans="1:36">
      <c r="A1680" t="str">
        <f t="shared" si="131"/>
        <v>Mala371679</v>
      </c>
      <c r="B1680">
        <v>1679</v>
      </c>
      <c r="C1680">
        <v>29</v>
      </c>
      <c r="D1680">
        <v>1</v>
      </c>
      <c r="E1680">
        <v>2023</v>
      </c>
      <c r="F1680" s="1">
        <f t="shared" si="132"/>
        <v>44955</v>
      </c>
      <c r="G1680" s="1" t="s">
        <v>316</v>
      </c>
      <c r="H1680" s="2">
        <v>46156</v>
      </c>
      <c r="I1680" t="s">
        <v>43</v>
      </c>
      <c r="J1680">
        <v>1</v>
      </c>
      <c r="K1680">
        <v>61812.79</v>
      </c>
      <c r="L1680" t="s">
        <v>167</v>
      </c>
      <c r="M1680">
        <v>37</v>
      </c>
      <c r="N1680" t="s">
        <v>21</v>
      </c>
      <c r="O1680" s="3" t="s">
        <v>55</v>
      </c>
      <c r="P1680" t="s">
        <v>29</v>
      </c>
      <c r="Q1680" t="s">
        <v>24</v>
      </c>
      <c r="R1680">
        <v>1</v>
      </c>
      <c r="S1680" t="s">
        <v>46</v>
      </c>
      <c r="T1680" s="4">
        <f t="shared" si="133"/>
        <v>61812.79</v>
      </c>
      <c r="U1680" s="4" t="str">
        <f t="shared" si="134"/>
        <v>Average</v>
      </c>
      <c r="V1680" s="4" t="str">
        <f t="shared" si="135"/>
        <v>Average</v>
      </c>
      <c r="W1680" s="4"/>
      <c r="X1680" s="4"/>
      <c r="AJ1680" s="4"/>
    </row>
    <row r="1681" spans="1:36">
      <c r="A1681" t="str">
        <f t="shared" si="131"/>
        <v>Shru471680</v>
      </c>
      <c r="B1681">
        <v>1680</v>
      </c>
      <c r="C1681">
        <v>29</v>
      </c>
      <c r="D1681">
        <v>1</v>
      </c>
      <c r="E1681">
        <v>2023</v>
      </c>
      <c r="F1681" s="1">
        <f t="shared" si="132"/>
        <v>44955</v>
      </c>
      <c r="G1681" s="1" t="s">
        <v>316</v>
      </c>
      <c r="H1681" s="2">
        <v>46157</v>
      </c>
      <c r="I1681" t="s">
        <v>49</v>
      </c>
      <c r="J1681">
        <v>8</v>
      </c>
      <c r="K1681">
        <v>50443.51</v>
      </c>
      <c r="L1681" t="s">
        <v>910</v>
      </c>
      <c r="M1681">
        <v>47</v>
      </c>
      <c r="N1681" t="s">
        <v>61</v>
      </c>
      <c r="O1681" s="3" t="s">
        <v>28</v>
      </c>
      <c r="P1681" t="s">
        <v>132</v>
      </c>
      <c r="Q1681" t="s">
        <v>24</v>
      </c>
      <c r="R1681">
        <v>3</v>
      </c>
      <c r="S1681" t="s">
        <v>52</v>
      </c>
      <c r="T1681" s="4">
        <f t="shared" si="133"/>
        <v>403548.08</v>
      </c>
      <c r="U1681" s="4" t="str">
        <f t="shared" si="134"/>
        <v>Average</v>
      </c>
      <c r="V1681" s="4" t="str">
        <f t="shared" si="135"/>
        <v>Excellent</v>
      </c>
      <c r="W1681" s="4"/>
      <c r="X1681" s="4"/>
      <c r="AJ1681" s="4"/>
    </row>
    <row r="1682" spans="1:36">
      <c r="A1682" t="str">
        <f t="shared" si="131"/>
        <v>Anit571681</v>
      </c>
      <c r="B1682">
        <v>1681</v>
      </c>
      <c r="C1682">
        <v>30</v>
      </c>
      <c r="D1682">
        <v>1</v>
      </c>
      <c r="E1682">
        <v>2023</v>
      </c>
      <c r="F1682" s="1">
        <f t="shared" si="132"/>
        <v>44956</v>
      </c>
      <c r="G1682" s="1" t="s">
        <v>316</v>
      </c>
      <c r="H1682" s="2">
        <v>46158</v>
      </c>
      <c r="I1682" t="s">
        <v>19</v>
      </c>
      <c r="J1682">
        <v>9</v>
      </c>
      <c r="K1682">
        <v>22878.28</v>
      </c>
      <c r="L1682" t="s">
        <v>837</v>
      </c>
      <c r="M1682">
        <v>57</v>
      </c>
      <c r="N1682" t="s">
        <v>61</v>
      </c>
      <c r="O1682" s="3" t="s">
        <v>22</v>
      </c>
      <c r="P1682" t="s">
        <v>33</v>
      </c>
      <c r="Q1682" t="s">
        <v>41</v>
      </c>
      <c r="R1682">
        <v>5</v>
      </c>
      <c r="S1682" t="s">
        <v>84</v>
      </c>
      <c r="T1682" s="4">
        <f t="shared" si="133"/>
        <v>205904.52</v>
      </c>
      <c r="U1682" s="4" t="str">
        <f t="shared" si="134"/>
        <v>Good</v>
      </c>
      <c r="V1682" s="4" t="str">
        <f t="shared" si="135"/>
        <v>Excellent</v>
      </c>
      <c r="W1682" s="4"/>
      <c r="X1682" s="4"/>
      <c r="AJ1682" s="4"/>
    </row>
    <row r="1683" spans="1:36">
      <c r="A1683" t="str">
        <f t="shared" si="131"/>
        <v>Vija181682</v>
      </c>
      <c r="B1683">
        <v>1682</v>
      </c>
      <c r="C1683">
        <v>30</v>
      </c>
      <c r="D1683">
        <v>1</v>
      </c>
      <c r="E1683">
        <v>2023</v>
      </c>
      <c r="F1683" s="1">
        <f t="shared" si="132"/>
        <v>44956</v>
      </c>
      <c r="G1683" s="1" t="s">
        <v>316</v>
      </c>
      <c r="H1683" s="2">
        <v>46159</v>
      </c>
      <c r="I1683" t="s">
        <v>19</v>
      </c>
      <c r="J1683">
        <v>4</v>
      </c>
      <c r="K1683">
        <v>48262.17</v>
      </c>
      <c r="L1683" t="s">
        <v>362</v>
      </c>
      <c r="M1683">
        <v>18</v>
      </c>
      <c r="N1683" t="s">
        <v>36</v>
      </c>
      <c r="O1683" s="3" t="s">
        <v>28</v>
      </c>
      <c r="P1683" t="s">
        <v>29</v>
      </c>
      <c r="Q1683" t="s">
        <v>24</v>
      </c>
      <c r="R1683">
        <v>3</v>
      </c>
      <c r="S1683" t="s">
        <v>84</v>
      </c>
      <c r="T1683" s="4">
        <f t="shared" si="133"/>
        <v>193048.68</v>
      </c>
      <c r="U1683" s="4" t="str">
        <f t="shared" si="134"/>
        <v>Average</v>
      </c>
      <c r="V1683" s="4" t="str">
        <f t="shared" si="135"/>
        <v>Good</v>
      </c>
      <c r="W1683" s="4"/>
      <c r="X1683" s="4"/>
      <c r="AJ1683" s="4"/>
    </row>
    <row r="1684" spans="1:36">
      <c r="A1684" t="str">
        <f t="shared" si="131"/>
        <v>Sanj411683</v>
      </c>
      <c r="B1684">
        <v>1683</v>
      </c>
      <c r="C1684">
        <v>30</v>
      </c>
      <c r="D1684">
        <v>1</v>
      </c>
      <c r="E1684">
        <v>2023</v>
      </c>
      <c r="F1684" s="1">
        <f t="shared" si="132"/>
        <v>44956</v>
      </c>
      <c r="G1684" s="1" t="s">
        <v>316</v>
      </c>
      <c r="H1684" s="2">
        <v>46160</v>
      </c>
      <c r="I1684" t="s">
        <v>43</v>
      </c>
      <c r="J1684">
        <v>3</v>
      </c>
      <c r="K1684">
        <v>40364.99</v>
      </c>
      <c r="L1684" t="s">
        <v>886</v>
      </c>
      <c r="M1684">
        <v>41</v>
      </c>
      <c r="N1684" t="s">
        <v>21</v>
      </c>
      <c r="O1684" s="3" t="s">
        <v>55</v>
      </c>
      <c r="P1684" t="s">
        <v>33</v>
      </c>
      <c r="Q1684" t="s">
        <v>56</v>
      </c>
      <c r="R1684">
        <v>1</v>
      </c>
      <c r="S1684" t="s">
        <v>46</v>
      </c>
      <c r="T1684" s="4">
        <f t="shared" si="133"/>
        <v>121094.97</v>
      </c>
      <c r="U1684" s="4" t="str">
        <f t="shared" si="134"/>
        <v>Average</v>
      </c>
      <c r="V1684" s="4" t="str">
        <f t="shared" si="135"/>
        <v>Good</v>
      </c>
      <c r="W1684" s="4"/>
      <c r="X1684" s="4"/>
      <c r="AJ1684" s="4"/>
    </row>
    <row r="1685" spans="1:36">
      <c r="A1685" t="str">
        <f t="shared" si="131"/>
        <v>Neet411684</v>
      </c>
      <c r="B1685">
        <v>1684</v>
      </c>
      <c r="C1685">
        <v>31</v>
      </c>
      <c r="D1685">
        <v>1</v>
      </c>
      <c r="E1685">
        <v>2023</v>
      </c>
      <c r="F1685" s="1">
        <f t="shared" si="132"/>
        <v>44957</v>
      </c>
      <c r="G1685" s="1" t="s">
        <v>316</v>
      </c>
      <c r="H1685" s="2">
        <v>46161</v>
      </c>
      <c r="I1685" t="s">
        <v>38</v>
      </c>
      <c r="J1685">
        <v>2</v>
      </c>
      <c r="K1685">
        <v>53033.15</v>
      </c>
      <c r="L1685" t="s">
        <v>396</v>
      </c>
      <c r="M1685">
        <v>41</v>
      </c>
      <c r="N1685" t="s">
        <v>21</v>
      </c>
      <c r="O1685" s="3" t="s">
        <v>22</v>
      </c>
      <c r="P1685" t="s">
        <v>45</v>
      </c>
      <c r="Q1685" t="s">
        <v>56</v>
      </c>
      <c r="R1685">
        <v>4</v>
      </c>
      <c r="S1685" t="s">
        <v>99</v>
      </c>
      <c r="T1685" s="4">
        <f t="shared" si="133"/>
        <v>106066.3</v>
      </c>
      <c r="U1685" s="4" t="str">
        <f t="shared" si="134"/>
        <v>Good</v>
      </c>
      <c r="V1685" s="4" t="str">
        <f t="shared" si="135"/>
        <v>Good</v>
      </c>
      <c r="W1685" s="4"/>
      <c r="X1685" s="4"/>
      <c r="AJ1685" s="4"/>
    </row>
    <row r="1686" spans="1:36">
      <c r="A1686" t="str">
        <f t="shared" si="131"/>
        <v>Nami361685</v>
      </c>
      <c r="B1686">
        <v>1685</v>
      </c>
      <c r="C1686">
        <v>31</v>
      </c>
      <c r="D1686">
        <v>1</v>
      </c>
      <c r="E1686">
        <v>2023</v>
      </c>
      <c r="F1686" s="1">
        <f t="shared" si="132"/>
        <v>44957</v>
      </c>
      <c r="G1686" s="1" t="s">
        <v>316</v>
      </c>
      <c r="H1686" s="2">
        <v>46162</v>
      </c>
      <c r="I1686" t="s">
        <v>49</v>
      </c>
      <c r="J1686">
        <v>5</v>
      </c>
      <c r="K1686">
        <v>59975.9</v>
      </c>
      <c r="L1686" t="s">
        <v>852</v>
      </c>
      <c r="M1686">
        <v>36</v>
      </c>
      <c r="N1686" t="s">
        <v>21</v>
      </c>
      <c r="O1686" s="3" t="s">
        <v>22</v>
      </c>
      <c r="P1686" t="s">
        <v>70</v>
      </c>
      <c r="Q1686" t="s">
        <v>30</v>
      </c>
      <c r="R1686">
        <v>5</v>
      </c>
      <c r="S1686" t="s">
        <v>88</v>
      </c>
      <c r="T1686" s="4">
        <f t="shared" si="133"/>
        <v>299879.5</v>
      </c>
      <c r="U1686" s="4" t="str">
        <f t="shared" si="134"/>
        <v>Good</v>
      </c>
      <c r="V1686" s="4" t="str">
        <f t="shared" si="135"/>
        <v>Excellent</v>
      </c>
      <c r="W1686" s="4"/>
      <c r="X1686" s="4"/>
      <c r="AJ1686" s="4"/>
    </row>
    <row r="1687" spans="1:36">
      <c r="A1687" t="str">
        <f t="shared" si="131"/>
        <v>Sach471686</v>
      </c>
      <c r="B1687">
        <v>1686</v>
      </c>
      <c r="C1687">
        <v>31</v>
      </c>
      <c r="D1687">
        <v>1</v>
      </c>
      <c r="E1687">
        <v>2023</v>
      </c>
      <c r="F1687" s="1">
        <f t="shared" si="132"/>
        <v>44957</v>
      </c>
      <c r="G1687" s="1" t="s">
        <v>316</v>
      </c>
      <c r="H1687" s="2">
        <v>46163</v>
      </c>
      <c r="I1687" t="s">
        <v>26</v>
      </c>
      <c r="J1687">
        <v>3</v>
      </c>
      <c r="K1687">
        <v>54563.29</v>
      </c>
      <c r="L1687" t="s">
        <v>904</v>
      </c>
      <c r="M1687">
        <v>47</v>
      </c>
      <c r="N1687" t="s">
        <v>61</v>
      </c>
      <c r="O1687" s="3" t="s">
        <v>55</v>
      </c>
      <c r="P1687" t="s">
        <v>29</v>
      </c>
      <c r="Q1687" t="s">
        <v>30</v>
      </c>
      <c r="R1687">
        <v>1</v>
      </c>
      <c r="S1687" t="s">
        <v>34</v>
      </c>
      <c r="T1687" s="4">
        <f t="shared" si="133"/>
        <v>163689.87</v>
      </c>
      <c r="U1687" s="4" t="str">
        <f t="shared" si="134"/>
        <v>Average</v>
      </c>
      <c r="V1687" s="4" t="str">
        <f t="shared" si="135"/>
        <v>Good</v>
      </c>
      <c r="W1687" s="4"/>
      <c r="X1687" s="4"/>
      <c r="AJ1687" s="4"/>
    </row>
    <row r="1688" spans="1:36">
      <c r="A1688" t="str">
        <f t="shared" si="131"/>
        <v>Lata431687</v>
      </c>
      <c r="B1688">
        <v>1687</v>
      </c>
      <c r="C1688">
        <v>31</v>
      </c>
      <c r="D1688">
        <v>1</v>
      </c>
      <c r="E1688">
        <v>2023</v>
      </c>
      <c r="F1688" s="1">
        <f t="shared" si="132"/>
        <v>44957</v>
      </c>
      <c r="G1688" s="1" t="s">
        <v>316</v>
      </c>
      <c r="H1688" s="2">
        <v>46164</v>
      </c>
      <c r="I1688" t="s">
        <v>43</v>
      </c>
      <c r="J1688">
        <v>7</v>
      </c>
      <c r="K1688">
        <v>60793.67</v>
      </c>
      <c r="L1688" t="s">
        <v>218</v>
      </c>
      <c r="M1688">
        <v>43</v>
      </c>
      <c r="N1688" t="s">
        <v>21</v>
      </c>
      <c r="O1688" s="3" t="s">
        <v>28</v>
      </c>
      <c r="P1688" t="s">
        <v>29</v>
      </c>
      <c r="Q1688" t="s">
        <v>56</v>
      </c>
      <c r="R1688">
        <v>3</v>
      </c>
      <c r="S1688" t="s">
        <v>95</v>
      </c>
      <c r="T1688" s="4">
        <f t="shared" si="133"/>
        <v>425555.69</v>
      </c>
      <c r="U1688" s="4" t="str">
        <f t="shared" si="134"/>
        <v>Average</v>
      </c>
      <c r="V1688" s="4" t="str">
        <f t="shared" si="135"/>
        <v>Excellent</v>
      </c>
      <c r="W1688" s="4"/>
      <c r="X1688" s="4"/>
      <c r="AJ1688" s="4"/>
    </row>
    <row r="1689" spans="1:36">
      <c r="A1689" t="str">
        <f t="shared" si="131"/>
        <v>Pras591688</v>
      </c>
      <c r="B1689">
        <v>1688</v>
      </c>
      <c r="C1689">
        <v>1</v>
      </c>
      <c r="D1689">
        <v>2</v>
      </c>
      <c r="E1689">
        <v>2023</v>
      </c>
      <c r="F1689" s="1">
        <f t="shared" si="132"/>
        <v>44958</v>
      </c>
      <c r="G1689" s="1" t="s">
        <v>408</v>
      </c>
      <c r="H1689" s="2">
        <v>46165</v>
      </c>
      <c r="I1689" t="s">
        <v>38</v>
      </c>
      <c r="J1689">
        <v>6</v>
      </c>
      <c r="K1689">
        <v>13831.98</v>
      </c>
      <c r="L1689" t="s">
        <v>911</v>
      </c>
      <c r="M1689">
        <v>59</v>
      </c>
      <c r="N1689" t="s">
        <v>61</v>
      </c>
      <c r="O1689" s="3" t="s">
        <v>28</v>
      </c>
      <c r="P1689" t="s">
        <v>150</v>
      </c>
      <c r="Q1689" t="s">
        <v>24</v>
      </c>
      <c r="R1689">
        <v>3</v>
      </c>
      <c r="S1689" t="s">
        <v>42</v>
      </c>
      <c r="T1689" s="4">
        <f t="shared" si="133"/>
        <v>82991.88</v>
      </c>
      <c r="U1689" s="4" t="str">
        <f t="shared" si="134"/>
        <v>Average</v>
      </c>
      <c r="V1689" s="4" t="str">
        <f t="shared" si="135"/>
        <v>Average</v>
      </c>
      <c r="W1689" s="4"/>
      <c r="X1689" s="4"/>
      <c r="AJ1689" s="4"/>
    </row>
    <row r="1690" spans="1:36">
      <c r="A1690" t="str">
        <f t="shared" si="131"/>
        <v>Jyot551689</v>
      </c>
      <c r="B1690">
        <v>1689</v>
      </c>
      <c r="C1690">
        <v>1</v>
      </c>
      <c r="D1690">
        <v>2</v>
      </c>
      <c r="E1690">
        <v>2023</v>
      </c>
      <c r="F1690" s="1">
        <f t="shared" si="132"/>
        <v>44958</v>
      </c>
      <c r="G1690" s="1" t="s">
        <v>408</v>
      </c>
      <c r="H1690" s="2">
        <v>46166</v>
      </c>
      <c r="I1690" t="s">
        <v>26</v>
      </c>
      <c r="J1690">
        <v>1</v>
      </c>
      <c r="K1690">
        <v>11897.2</v>
      </c>
      <c r="L1690" t="s">
        <v>912</v>
      </c>
      <c r="M1690">
        <v>55</v>
      </c>
      <c r="N1690" t="s">
        <v>61</v>
      </c>
      <c r="O1690" s="3" t="s">
        <v>55</v>
      </c>
      <c r="P1690" t="s">
        <v>66</v>
      </c>
      <c r="Q1690" t="s">
        <v>41</v>
      </c>
      <c r="R1690">
        <v>1</v>
      </c>
      <c r="S1690" t="s">
        <v>31</v>
      </c>
      <c r="T1690" s="4">
        <f t="shared" si="133"/>
        <v>11897.2</v>
      </c>
      <c r="U1690" s="4" t="str">
        <f t="shared" si="134"/>
        <v>Average</v>
      </c>
      <c r="V1690" s="4" t="str">
        <f t="shared" si="135"/>
        <v>Low</v>
      </c>
      <c r="W1690" s="4"/>
      <c r="X1690" s="4"/>
      <c r="AJ1690" s="4"/>
    </row>
    <row r="1691" spans="1:36">
      <c r="A1691" t="str">
        <f t="shared" si="131"/>
        <v>Rame461690</v>
      </c>
      <c r="B1691">
        <v>1690</v>
      </c>
      <c r="C1691">
        <v>1</v>
      </c>
      <c r="D1691">
        <v>2</v>
      </c>
      <c r="E1691">
        <v>2023</v>
      </c>
      <c r="F1691" s="1">
        <f t="shared" si="132"/>
        <v>44958</v>
      </c>
      <c r="G1691" s="1" t="s">
        <v>408</v>
      </c>
      <c r="H1691" s="2">
        <v>46167</v>
      </c>
      <c r="I1691" t="s">
        <v>19</v>
      </c>
      <c r="J1691">
        <v>8</v>
      </c>
      <c r="K1691">
        <v>25510.03</v>
      </c>
      <c r="L1691" t="s">
        <v>456</v>
      </c>
      <c r="M1691">
        <v>46</v>
      </c>
      <c r="N1691" t="s">
        <v>61</v>
      </c>
      <c r="O1691" s="3" t="s">
        <v>22</v>
      </c>
      <c r="P1691" t="s">
        <v>66</v>
      </c>
      <c r="Q1691" t="s">
        <v>30</v>
      </c>
      <c r="R1691">
        <v>5</v>
      </c>
      <c r="S1691" t="s">
        <v>37</v>
      </c>
      <c r="T1691" s="4">
        <f t="shared" si="133"/>
        <v>204080.24</v>
      </c>
      <c r="U1691" s="4" t="str">
        <f t="shared" si="134"/>
        <v>Good</v>
      </c>
      <c r="V1691" s="4" t="str">
        <f t="shared" si="135"/>
        <v>Excellent</v>
      </c>
      <c r="W1691" s="4"/>
      <c r="X1691" s="4"/>
      <c r="AJ1691" s="4"/>
    </row>
    <row r="1692" spans="1:36">
      <c r="A1692" t="str">
        <f t="shared" si="131"/>
        <v>Pank301691</v>
      </c>
      <c r="B1692">
        <v>1691</v>
      </c>
      <c r="C1692">
        <v>1</v>
      </c>
      <c r="D1692">
        <v>2</v>
      </c>
      <c r="E1692">
        <v>2023</v>
      </c>
      <c r="F1692" s="1">
        <f t="shared" si="132"/>
        <v>44958</v>
      </c>
      <c r="G1692" s="1" t="s">
        <v>408</v>
      </c>
      <c r="H1692" s="2">
        <v>46168</v>
      </c>
      <c r="I1692" t="s">
        <v>19</v>
      </c>
      <c r="J1692">
        <v>2</v>
      </c>
      <c r="K1692">
        <v>64039.97</v>
      </c>
      <c r="L1692" t="s">
        <v>685</v>
      </c>
      <c r="M1692">
        <v>30</v>
      </c>
      <c r="N1692" t="s">
        <v>36</v>
      </c>
      <c r="O1692" s="3" t="s">
        <v>28</v>
      </c>
      <c r="P1692" t="s">
        <v>29</v>
      </c>
      <c r="Q1692" t="s">
        <v>30</v>
      </c>
      <c r="R1692">
        <v>3</v>
      </c>
      <c r="S1692" t="s">
        <v>37</v>
      </c>
      <c r="T1692" s="4">
        <f t="shared" si="133"/>
        <v>128079.94</v>
      </c>
      <c r="U1692" s="4" t="str">
        <f t="shared" si="134"/>
        <v>Average</v>
      </c>
      <c r="V1692" s="4" t="str">
        <f t="shared" si="135"/>
        <v>Good</v>
      </c>
      <c r="W1692" s="4"/>
      <c r="X1692" s="4"/>
      <c r="AJ1692" s="4"/>
    </row>
    <row r="1693" spans="1:36">
      <c r="A1693" t="str">
        <f t="shared" si="131"/>
        <v>Pras211692</v>
      </c>
      <c r="B1693">
        <v>1692</v>
      </c>
      <c r="C1693">
        <v>2</v>
      </c>
      <c r="D1693">
        <v>2</v>
      </c>
      <c r="E1693">
        <v>2023</v>
      </c>
      <c r="F1693" s="1">
        <f t="shared" si="132"/>
        <v>44959</v>
      </c>
      <c r="G1693" s="1" t="s">
        <v>408</v>
      </c>
      <c r="H1693" s="2">
        <v>46169</v>
      </c>
      <c r="I1693" t="s">
        <v>26</v>
      </c>
      <c r="J1693">
        <v>5</v>
      </c>
      <c r="K1693">
        <v>59419.56</v>
      </c>
      <c r="L1693" t="s">
        <v>777</v>
      </c>
      <c r="M1693">
        <v>21</v>
      </c>
      <c r="N1693" t="s">
        <v>36</v>
      </c>
      <c r="O1693" s="3" t="s">
        <v>22</v>
      </c>
      <c r="P1693" t="s">
        <v>117</v>
      </c>
      <c r="Q1693" t="s">
        <v>56</v>
      </c>
      <c r="R1693">
        <v>5</v>
      </c>
      <c r="S1693" t="s">
        <v>31</v>
      </c>
      <c r="T1693" s="4">
        <f t="shared" si="133"/>
        <v>297097.8</v>
      </c>
      <c r="U1693" s="4" t="str">
        <f t="shared" si="134"/>
        <v>Good</v>
      </c>
      <c r="V1693" s="4" t="str">
        <f t="shared" si="135"/>
        <v>Excellent</v>
      </c>
      <c r="W1693" s="4"/>
      <c r="X1693" s="4"/>
      <c r="AJ1693" s="4"/>
    </row>
    <row r="1694" spans="1:36">
      <c r="A1694" t="str">
        <f t="shared" si="131"/>
        <v>Nami341693</v>
      </c>
      <c r="B1694">
        <v>1693</v>
      </c>
      <c r="C1694">
        <v>2</v>
      </c>
      <c r="D1694">
        <v>2</v>
      </c>
      <c r="E1694">
        <v>2023</v>
      </c>
      <c r="F1694" s="1">
        <f t="shared" si="132"/>
        <v>44959</v>
      </c>
      <c r="G1694" s="1" t="s">
        <v>408</v>
      </c>
      <c r="H1694" s="2">
        <v>46170</v>
      </c>
      <c r="I1694" t="s">
        <v>43</v>
      </c>
      <c r="J1694">
        <v>9</v>
      </c>
      <c r="K1694">
        <v>50963.64</v>
      </c>
      <c r="L1694" t="s">
        <v>614</v>
      </c>
      <c r="M1694">
        <v>34</v>
      </c>
      <c r="N1694" t="s">
        <v>21</v>
      </c>
      <c r="O1694" s="3" t="s">
        <v>22</v>
      </c>
      <c r="P1694" t="s">
        <v>117</v>
      </c>
      <c r="Q1694" t="s">
        <v>56</v>
      </c>
      <c r="R1694">
        <v>5</v>
      </c>
      <c r="S1694" t="s">
        <v>46</v>
      </c>
      <c r="T1694" s="4">
        <f t="shared" si="133"/>
        <v>458672.76</v>
      </c>
      <c r="U1694" s="4" t="str">
        <f t="shared" si="134"/>
        <v>Good</v>
      </c>
      <c r="V1694" s="4" t="str">
        <f t="shared" si="135"/>
        <v>Excellent</v>
      </c>
      <c r="W1694" s="4"/>
      <c r="X1694" s="4"/>
      <c r="AJ1694" s="4"/>
    </row>
    <row r="1695" spans="1:36">
      <c r="A1695" t="str">
        <f t="shared" si="131"/>
        <v>Bina501694</v>
      </c>
      <c r="B1695">
        <v>1694</v>
      </c>
      <c r="C1695">
        <v>2</v>
      </c>
      <c r="D1695">
        <v>2</v>
      </c>
      <c r="E1695">
        <v>2023</v>
      </c>
      <c r="F1695" s="1">
        <f t="shared" si="132"/>
        <v>44959</v>
      </c>
      <c r="G1695" s="1" t="s">
        <v>408</v>
      </c>
      <c r="H1695" s="2">
        <v>46171</v>
      </c>
      <c r="I1695" t="s">
        <v>19</v>
      </c>
      <c r="J1695">
        <v>8</v>
      </c>
      <c r="K1695">
        <v>52045.52</v>
      </c>
      <c r="L1695" t="s">
        <v>913</v>
      </c>
      <c r="M1695">
        <v>50</v>
      </c>
      <c r="N1695" t="s">
        <v>61</v>
      </c>
      <c r="O1695" s="3" t="s">
        <v>22</v>
      </c>
      <c r="P1695" t="s">
        <v>45</v>
      </c>
      <c r="Q1695" t="s">
        <v>41</v>
      </c>
      <c r="R1695">
        <v>4</v>
      </c>
      <c r="S1695" t="s">
        <v>37</v>
      </c>
      <c r="T1695" s="4">
        <f t="shared" si="133"/>
        <v>416364.16</v>
      </c>
      <c r="U1695" s="4" t="str">
        <f t="shared" si="134"/>
        <v>Good</v>
      </c>
      <c r="V1695" s="4" t="str">
        <f t="shared" si="135"/>
        <v>Excellent</v>
      </c>
      <c r="W1695" s="4"/>
      <c r="X1695" s="4"/>
      <c r="AJ1695" s="4"/>
    </row>
    <row r="1696" spans="1:36">
      <c r="A1696" t="str">
        <f t="shared" si="131"/>
        <v>Shru221695</v>
      </c>
      <c r="B1696">
        <v>1695</v>
      </c>
      <c r="C1696">
        <v>2</v>
      </c>
      <c r="D1696">
        <v>2</v>
      </c>
      <c r="E1696">
        <v>2023</v>
      </c>
      <c r="F1696" s="1">
        <f t="shared" si="132"/>
        <v>44959</v>
      </c>
      <c r="G1696" s="1" t="s">
        <v>408</v>
      </c>
      <c r="H1696" s="2">
        <v>46172</v>
      </c>
      <c r="I1696" t="s">
        <v>49</v>
      </c>
      <c r="J1696">
        <v>2</v>
      </c>
      <c r="K1696">
        <v>53600.23</v>
      </c>
      <c r="L1696" t="s">
        <v>225</v>
      </c>
      <c r="M1696">
        <v>22</v>
      </c>
      <c r="N1696" t="s">
        <v>36</v>
      </c>
      <c r="O1696" s="3" t="s">
        <v>55</v>
      </c>
      <c r="P1696" t="s">
        <v>66</v>
      </c>
      <c r="Q1696" t="s">
        <v>30</v>
      </c>
      <c r="R1696">
        <v>1</v>
      </c>
      <c r="S1696" t="s">
        <v>102</v>
      </c>
      <c r="T1696" s="4">
        <f t="shared" si="133"/>
        <v>107200.46</v>
      </c>
      <c r="U1696" s="4" t="str">
        <f t="shared" si="134"/>
        <v>Average</v>
      </c>
      <c r="V1696" s="4" t="str">
        <f t="shared" si="135"/>
        <v>Good</v>
      </c>
      <c r="W1696" s="4"/>
      <c r="X1696" s="4"/>
      <c r="AJ1696" s="4"/>
    </row>
    <row r="1697" spans="1:36">
      <c r="A1697" t="str">
        <f t="shared" si="131"/>
        <v>Kris451696</v>
      </c>
      <c r="B1697">
        <v>1696</v>
      </c>
      <c r="C1697">
        <v>3</v>
      </c>
      <c r="D1697">
        <v>2</v>
      </c>
      <c r="E1697">
        <v>2023</v>
      </c>
      <c r="F1697" s="1">
        <f t="shared" si="132"/>
        <v>44960</v>
      </c>
      <c r="G1697" s="1" t="s">
        <v>408</v>
      </c>
      <c r="H1697" s="2">
        <v>46173</v>
      </c>
      <c r="I1697" t="s">
        <v>26</v>
      </c>
      <c r="J1697">
        <v>9</v>
      </c>
      <c r="K1697">
        <v>66556.160000000003</v>
      </c>
      <c r="L1697" t="s">
        <v>163</v>
      </c>
      <c r="M1697">
        <v>45</v>
      </c>
      <c r="N1697" t="s">
        <v>21</v>
      </c>
      <c r="O1697" s="3" t="s">
        <v>55</v>
      </c>
      <c r="P1697" t="s">
        <v>45</v>
      </c>
      <c r="Q1697" t="s">
        <v>24</v>
      </c>
      <c r="R1697">
        <v>1</v>
      </c>
      <c r="S1697" t="s">
        <v>31</v>
      </c>
      <c r="T1697" s="4">
        <f t="shared" si="133"/>
        <v>599005.44000000006</v>
      </c>
      <c r="U1697" s="4" t="str">
        <f t="shared" si="134"/>
        <v>Average</v>
      </c>
      <c r="V1697" s="4" t="str">
        <f t="shared" si="135"/>
        <v>Excellent</v>
      </c>
      <c r="W1697" s="4"/>
      <c r="X1697" s="4"/>
      <c r="AJ1697" s="4"/>
    </row>
    <row r="1698" spans="1:36">
      <c r="A1698" t="str">
        <f t="shared" si="131"/>
        <v>Bina411697</v>
      </c>
      <c r="B1698">
        <v>1697</v>
      </c>
      <c r="C1698">
        <v>3</v>
      </c>
      <c r="D1698">
        <v>2</v>
      </c>
      <c r="E1698">
        <v>2023</v>
      </c>
      <c r="F1698" s="1">
        <f t="shared" si="132"/>
        <v>44960</v>
      </c>
      <c r="G1698" s="1" t="s">
        <v>408</v>
      </c>
      <c r="H1698" s="2">
        <v>46174</v>
      </c>
      <c r="I1698" t="s">
        <v>26</v>
      </c>
      <c r="J1698">
        <v>5</v>
      </c>
      <c r="K1698">
        <v>59931.47</v>
      </c>
      <c r="L1698" t="s">
        <v>913</v>
      </c>
      <c r="M1698">
        <v>41</v>
      </c>
      <c r="N1698" t="s">
        <v>21</v>
      </c>
      <c r="O1698" s="3" t="s">
        <v>22</v>
      </c>
      <c r="P1698" t="s">
        <v>66</v>
      </c>
      <c r="Q1698" t="s">
        <v>24</v>
      </c>
      <c r="R1698">
        <v>5</v>
      </c>
      <c r="S1698" t="s">
        <v>67</v>
      </c>
      <c r="T1698" s="4">
        <f t="shared" si="133"/>
        <v>299657.34999999998</v>
      </c>
      <c r="U1698" s="4" t="str">
        <f t="shared" si="134"/>
        <v>Good</v>
      </c>
      <c r="V1698" s="4" t="str">
        <f t="shared" si="135"/>
        <v>Excellent</v>
      </c>
      <c r="W1698" s="4"/>
      <c r="X1698" s="4"/>
      <c r="AJ1698" s="4"/>
    </row>
    <row r="1699" spans="1:36">
      <c r="A1699" t="str">
        <f t="shared" si="131"/>
        <v>Kavi341698</v>
      </c>
      <c r="B1699">
        <v>1698</v>
      </c>
      <c r="C1699">
        <v>3</v>
      </c>
      <c r="D1699">
        <v>2</v>
      </c>
      <c r="E1699">
        <v>2023</v>
      </c>
      <c r="F1699" s="1">
        <f t="shared" si="132"/>
        <v>44960</v>
      </c>
      <c r="G1699" s="1" t="s">
        <v>408</v>
      </c>
      <c r="H1699" s="2">
        <v>46175</v>
      </c>
      <c r="I1699" t="s">
        <v>19</v>
      </c>
      <c r="J1699">
        <v>6</v>
      </c>
      <c r="K1699">
        <v>47403.42</v>
      </c>
      <c r="L1699" t="s">
        <v>133</v>
      </c>
      <c r="M1699">
        <v>34</v>
      </c>
      <c r="N1699" t="s">
        <v>21</v>
      </c>
      <c r="O1699" s="3" t="s">
        <v>22</v>
      </c>
      <c r="P1699" t="s">
        <v>93</v>
      </c>
      <c r="Q1699" t="s">
        <v>56</v>
      </c>
      <c r="R1699">
        <v>4</v>
      </c>
      <c r="S1699" t="s">
        <v>84</v>
      </c>
      <c r="T1699" s="4">
        <f t="shared" si="133"/>
        <v>284420.52</v>
      </c>
      <c r="U1699" s="4" t="str">
        <f t="shared" si="134"/>
        <v>Good</v>
      </c>
      <c r="V1699" s="4" t="str">
        <f t="shared" si="135"/>
        <v>Excellent</v>
      </c>
      <c r="W1699" s="4"/>
      <c r="X1699" s="4"/>
      <c r="AJ1699" s="4"/>
    </row>
    <row r="1700" spans="1:36">
      <c r="A1700" t="str">
        <f t="shared" si="131"/>
        <v>Anit561699</v>
      </c>
      <c r="B1700">
        <v>1699</v>
      </c>
      <c r="C1700">
        <v>4</v>
      </c>
      <c r="D1700">
        <v>2</v>
      </c>
      <c r="E1700">
        <v>2023</v>
      </c>
      <c r="F1700" s="1">
        <f t="shared" si="132"/>
        <v>44961</v>
      </c>
      <c r="G1700" s="1" t="s">
        <v>408</v>
      </c>
      <c r="H1700" s="2">
        <v>46176</v>
      </c>
      <c r="I1700" t="s">
        <v>43</v>
      </c>
      <c r="J1700">
        <v>3</v>
      </c>
      <c r="K1700">
        <v>49942.93</v>
      </c>
      <c r="L1700" t="s">
        <v>914</v>
      </c>
      <c r="M1700">
        <v>56</v>
      </c>
      <c r="N1700" t="s">
        <v>61</v>
      </c>
      <c r="O1700" s="3" t="s">
        <v>28</v>
      </c>
      <c r="P1700" t="s">
        <v>114</v>
      </c>
      <c r="Q1700" t="s">
        <v>41</v>
      </c>
      <c r="R1700">
        <v>3</v>
      </c>
      <c r="S1700" t="s">
        <v>57</v>
      </c>
      <c r="T1700" s="4">
        <f t="shared" si="133"/>
        <v>149828.79</v>
      </c>
      <c r="U1700" s="4" t="str">
        <f t="shared" si="134"/>
        <v>Average</v>
      </c>
      <c r="V1700" s="4" t="str">
        <f t="shared" si="135"/>
        <v>Good</v>
      </c>
      <c r="W1700" s="4"/>
      <c r="X1700" s="4"/>
      <c r="AJ1700" s="4"/>
    </row>
    <row r="1701" spans="1:36">
      <c r="A1701" t="str">
        <f t="shared" si="131"/>
        <v>Navi571700</v>
      </c>
      <c r="B1701">
        <v>1700</v>
      </c>
      <c r="C1701">
        <v>4</v>
      </c>
      <c r="D1701">
        <v>2</v>
      </c>
      <c r="E1701">
        <v>2023</v>
      </c>
      <c r="F1701" s="1">
        <f t="shared" si="132"/>
        <v>44961</v>
      </c>
      <c r="G1701" s="1" t="s">
        <v>408</v>
      </c>
      <c r="H1701" s="2">
        <v>46177</v>
      </c>
      <c r="I1701" t="s">
        <v>49</v>
      </c>
      <c r="J1701">
        <v>3</v>
      </c>
      <c r="K1701">
        <v>22824.42</v>
      </c>
      <c r="L1701" t="s">
        <v>603</v>
      </c>
      <c r="M1701">
        <v>57</v>
      </c>
      <c r="N1701" t="s">
        <v>61</v>
      </c>
      <c r="O1701" s="3" t="s">
        <v>28</v>
      </c>
      <c r="P1701" t="s">
        <v>29</v>
      </c>
      <c r="Q1701" t="s">
        <v>56</v>
      </c>
      <c r="R1701">
        <v>3</v>
      </c>
      <c r="S1701" t="s">
        <v>102</v>
      </c>
      <c r="T1701" s="4">
        <f t="shared" si="133"/>
        <v>68473.259999999995</v>
      </c>
      <c r="U1701" s="4" t="str">
        <f t="shared" si="134"/>
        <v>Average</v>
      </c>
      <c r="V1701" s="4" t="str">
        <f t="shared" si="135"/>
        <v>Average</v>
      </c>
      <c r="W1701" s="4"/>
      <c r="X1701" s="4"/>
      <c r="AJ1701" s="4"/>
    </row>
    <row r="1702" spans="1:36">
      <c r="A1702" t="str">
        <f t="shared" si="131"/>
        <v>Pras281701</v>
      </c>
      <c r="B1702">
        <v>1701</v>
      </c>
      <c r="C1702">
        <v>4</v>
      </c>
      <c r="D1702">
        <v>2</v>
      </c>
      <c r="E1702">
        <v>2023</v>
      </c>
      <c r="F1702" s="1">
        <f t="shared" si="132"/>
        <v>44961</v>
      </c>
      <c r="G1702" s="1" t="s">
        <v>408</v>
      </c>
      <c r="H1702" s="2">
        <v>46178</v>
      </c>
      <c r="I1702" t="s">
        <v>43</v>
      </c>
      <c r="J1702">
        <v>8</v>
      </c>
      <c r="K1702">
        <v>49439.13</v>
      </c>
      <c r="L1702" t="s">
        <v>188</v>
      </c>
      <c r="M1702">
        <v>28</v>
      </c>
      <c r="N1702" t="s">
        <v>36</v>
      </c>
      <c r="O1702" s="3" t="s">
        <v>55</v>
      </c>
      <c r="P1702" t="s">
        <v>66</v>
      </c>
      <c r="Q1702" t="s">
        <v>41</v>
      </c>
      <c r="R1702">
        <v>1</v>
      </c>
      <c r="S1702" t="s">
        <v>57</v>
      </c>
      <c r="T1702" s="4">
        <f t="shared" si="133"/>
        <v>395513.04</v>
      </c>
      <c r="U1702" s="4" t="str">
        <f t="shared" si="134"/>
        <v>Average</v>
      </c>
      <c r="V1702" s="4" t="str">
        <f t="shared" si="135"/>
        <v>Excellent</v>
      </c>
      <c r="W1702" s="4"/>
      <c r="X1702" s="4"/>
      <c r="AJ1702" s="4"/>
    </row>
    <row r="1703" spans="1:36">
      <c r="A1703" t="str">
        <f t="shared" si="131"/>
        <v>Kris291702</v>
      </c>
      <c r="B1703">
        <v>1702</v>
      </c>
      <c r="C1703">
        <v>4</v>
      </c>
      <c r="D1703">
        <v>2</v>
      </c>
      <c r="E1703">
        <v>2023</v>
      </c>
      <c r="F1703" s="1">
        <f t="shared" si="132"/>
        <v>44961</v>
      </c>
      <c r="G1703" s="1" t="s">
        <v>408</v>
      </c>
      <c r="H1703" s="2">
        <v>46179</v>
      </c>
      <c r="I1703" t="s">
        <v>38</v>
      </c>
      <c r="J1703">
        <v>2</v>
      </c>
      <c r="K1703">
        <v>35480.74</v>
      </c>
      <c r="L1703" t="s">
        <v>723</v>
      </c>
      <c r="M1703">
        <v>29</v>
      </c>
      <c r="N1703" t="s">
        <v>36</v>
      </c>
      <c r="O1703" s="3" t="s">
        <v>22</v>
      </c>
      <c r="P1703" t="s">
        <v>77</v>
      </c>
      <c r="Q1703" t="s">
        <v>24</v>
      </c>
      <c r="R1703">
        <v>5</v>
      </c>
      <c r="S1703" t="s">
        <v>99</v>
      </c>
      <c r="T1703" s="4">
        <f t="shared" si="133"/>
        <v>70961.48</v>
      </c>
      <c r="U1703" s="4" t="str">
        <f t="shared" si="134"/>
        <v>Good</v>
      </c>
      <c r="V1703" s="4" t="str">
        <f t="shared" si="135"/>
        <v>Average</v>
      </c>
      <c r="W1703" s="4"/>
      <c r="X1703" s="4"/>
      <c r="AJ1703" s="4"/>
    </row>
    <row r="1704" spans="1:36">
      <c r="A1704" t="str">
        <f t="shared" si="131"/>
        <v>Pank301703</v>
      </c>
      <c r="B1704">
        <v>1703</v>
      </c>
      <c r="C1704">
        <v>5</v>
      </c>
      <c r="D1704">
        <v>2</v>
      </c>
      <c r="E1704">
        <v>2023</v>
      </c>
      <c r="F1704" s="1">
        <f t="shared" si="132"/>
        <v>44962</v>
      </c>
      <c r="G1704" s="1" t="s">
        <v>408</v>
      </c>
      <c r="H1704" s="2">
        <v>46180</v>
      </c>
      <c r="I1704" t="s">
        <v>38</v>
      </c>
      <c r="J1704">
        <v>2</v>
      </c>
      <c r="K1704">
        <v>19177.71</v>
      </c>
      <c r="L1704" t="s">
        <v>915</v>
      </c>
      <c r="M1704">
        <v>30</v>
      </c>
      <c r="N1704" t="s">
        <v>36</v>
      </c>
      <c r="O1704" s="3" t="s">
        <v>22</v>
      </c>
      <c r="P1704" t="s">
        <v>29</v>
      </c>
      <c r="Q1704" t="s">
        <v>41</v>
      </c>
      <c r="R1704">
        <v>4</v>
      </c>
      <c r="S1704" t="s">
        <v>42</v>
      </c>
      <c r="T1704" s="4">
        <f t="shared" si="133"/>
        <v>38355.42</v>
      </c>
      <c r="U1704" s="4" t="str">
        <f t="shared" si="134"/>
        <v>Good</v>
      </c>
      <c r="V1704" s="4" t="str">
        <f t="shared" si="135"/>
        <v>Low</v>
      </c>
      <c r="W1704" s="4"/>
      <c r="X1704" s="4"/>
      <c r="AJ1704" s="4"/>
    </row>
    <row r="1705" spans="1:36">
      <c r="A1705" t="str">
        <f t="shared" si="131"/>
        <v>Pras251704</v>
      </c>
      <c r="B1705">
        <v>1704</v>
      </c>
      <c r="C1705">
        <v>5</v>
      </c>
      <c r="D1705">
        <v>2</v>
      </c>
      <c r="E1705">
        <v>2023</v>
      </c>
      <c r="F1705" s="1">
        <f t="shared" si="132"/>
        <v>44962</v>
      </c>
      <c r="G1705" s="1" t="s">
        <v>408</v>
      </c>
      <c r="H1705" s="2">
        <v>46181</v>
      </c>
      <c r="I1705" t="s">
        <v>19</v>
      </c>
      <c r="J1705">
        <v>5</v>
      </c>
      <c r="K1705">
        <v>58384.17</v>
      </c>
      <c r="L1705" t="s">
        <v>878</v>
      </c>
      <c r="M1705">
        <v>25</v>
      </c>
      <c r="N1705" t="s">
        <v>36</v>
      </c>
      <c r="O1705" s="3" t="s">
        <v>22</v>
      </c>
      <c r="P1705" t="s">
        <v>114</v>
      </c>
      <c r="Q1705" t="s">
        <v>24</v>
      </c>
      <c r="R1705">
        <v>4</v>
      </c>
      <c r="S1705" t="s">
        <v>37</v>
      </c>
      <c r="T1705" s="4">
        <f t="shared" si="133"/>
        <v>291920.84999999998</v>
      </c>
      <c r="U1705" s="4" t="str">
        <f t="shared" si="134"/>
        <v>Good</v>
      </c>
      <c r="V1705" s="4" t="str">
        <f t="shared" si="135"/>
        <v>Excellent</v>
      </c>
      <c r="W1705" s="4"/>
      <c r="X1705" s="4"/>
      <c r="AJ1705" s="4"/>
    </row>
    <row r="1706" spans="1:36">
      <c r="A1706" t="str">
        <f t="shared" si="131"/>
        <v>Sumi181705</v>
      </c>
      <c r="B1706">
        <v>1705</v>
      </c>
      <c r="C1706">
        <v>5</v>
      </c>
      <c r="D1706">
        <v>2</v>
      </c>
      <c r="E1706">
        <v>2023</v>
      </c>
      <c r="F1706" s="1">
        <f t="shared" si="132"/>
        <v>44962</v>
      </c>
      <c r="G1706" s="1" t="s">
        <v>408</v>
      </c>
      <c r="H1706" s="2">
        <v>46182</v>
      </c>
      <c r="I1706" t="s">
        <v>19</v>
      </c>
      <c r="J1706">
        <v>6</v>
      </c>
      <c r="K1706">
        <v>40614.83</v>
      </c>
      <c r="L1706" t="s">
        <v>452</v>
      </c>
      <c r="M1706">
        <v>18</v>
      </c>
      <c r="N1706" t="s">
        <v>36</v>
      </c>
      <c r="O1706" s="3" t="s">
        <v>28</v>
      </c>
      <c r="P1706" t="s">
        <v>66</v>
      </c>
      <c r="Q1706" t="s">
        <v>41</v>
      </c>
      <c r="R1706">
        <v>3</v>
      </c>
      <c r="S1706" t="s">
        <v>25</v>
      </c>
      <c r="T1706" s="4">
        <f t="shared" si="133"/>
        <v>243688.98</v>
      </c>
      <c r="U1706" s="4" t="str">
        <f t="shared" si="134"/>
        <v>Average</v>
      </c>
      <c r="V1706" s="4" t="str">
        <f t="shared" si="135"/>
        <v>Excellent</v>
      </c>
      <c r="W1706" s="4"/>
      <c r="X1706" s="4"/>
      <c r="AJ1706" s="4"/>
    </row>
    <row r="1707" spans="1:36">
      <c r="A1707" t="str">
        <f t="shared" si="131"/>
        <v>Mano261706</v>
      </c>
      <c r="B1707">
        <v>1706</v>
      </c>
      <c r="C1707">
        <v>6</v>
      </c>
      <c r="D1707">
        <v>2</v>
      </c>
      <c r="E1707">
        <v>2023</v>
      </c>
      <c r="F1707" s="1">
        <f t="shared" si="132"/>
        <v>44963</v>
      </c>
      <c r="G1707" s="1" t="s">
        <v>408</v>
      </c>
      <c r="H1707" s="2">
        <v>46183</v>
      </c>
      <c r="I1707" t="s">
        <v>19</v>
      </c>
      <c r="J1707">
        <v>2</v>
      </c>
      <c r="K1707">
        <v>68645.5</v>
      </c>
      <c r="L1707" t="s">
        <v>916</v>
      </c>
      <c r="M1707">
        <v>26</v>
      </c>
      <c r="N1707" t="s">
        <v>36</v>
      </c>
      <c r="O1707" s="3" t="s">
        <v>28</v>
      </c>
      <c r="P1707" t="s">
        <v>29</v>
      </c>
      <c r="Q1707" t="s">
        <v>56</v>
      </c>
      <c r="R1707">
        <v>3</v>
      </c>
      <c r="S1707" t="s">
        <v>25</v>
      </c>
      <c r="T1707" s="4">
        <f t="shared" si="133"/>
        <v>137291</v>
      </c>
      <c r="U1707" s="4" t="str">
        <f t="shared" si="134"/>
        <v>Average</v>
      </c>
      <c r="V1707" s="4" t="str">
        <f t="shared" si="135"/>
        <v>Good</v>
      </c>
      <c r="W1707" s="4"/>
      <c r="X1707" s="4"/>
      <c r="AJ1707" s="4"/>
    </row>
    <row r="1708" spans="1:36">
      <c r="A1708" t="str">
        <f t="shared" si="131"/>
        <v>Arun451707</v>
      </c>
      <c r="B1708">
        <v>1707</v>
      </c>
      <c r="C1708">
        <v>6</v>
      </c>
      <c r="D1708">
        <v>2</v>
      </c>
      <c r="E1708">
        <v>2023</v>
      </c>
      <c r="F1708" s="1">
        <f t="shared" si="132"/>
        <v>44963</v>
      </c>
      <c r="G1708" s="1" t="s">
        <v>408</v>
      </c>
      <c r="H1708" s="2">
        <v>46184</v>
      </c>
      <c r="I1708" t="s">
        <v>38</v>
      </c>
      <c r="J1708">
        <v>5</v>
      </c>
      <c r="K1708">
        <v>26900.76</v>
      </c>
      <c r="L1708" t="s">
        <v>917</v>
      </c>
      <c r="M1708">
        <v>45</v>
      </c>
      <c r="N1708" t="s">
        <v>21</v>
      </c>
      <c r="O1708" s="3" t="s">
        <v>22</v>
      </c>
      <c r="P1708" t="s">
        <v>33</v>
      </c>
      <c r="Q1708" t="s">
        <v>24</v>
      </c>
      <c r="R1708">
        <v>5</v>
      </c>
      <c r="S1708" t="s">
        <v>42</v>
      </c>
      <c r="T1708" s="4">
        <f t="shared" si="133"/>
        <v>134503.79999999999</v>
      </c>
      <c r="U1708" s="4" t="str">
        <f t="shared" si="134"/>
        <v>Good</v>
      </c>
      <c r="V1708" s="4" t="str">
        <f t="shared" si="135"/>
        <v>Good</v>
      </c>
      <c r="W1708" s="4"/>
      <c r="X1708" s="4"/>
      <c r="AJ1708" s="4"/>
    </row>
    <row r="1709" spans="1:36">
      <c r="A1709" t="str">
        <f t="shared" si="131"/>
        <v>Lata191708</v>
      </c>
      <c r="B1709">
        <v>1708</v>
      </c>
      <c r="C1709">
        <v>6</v>
      </c>
      <c r="D1709">
        <v>2</v>
      </c>
      <c r="E1709">
        <v>2023</v>
      </c>
      <c r="F1709" s="1">
        <f t="shared" si="132"/>
        <v>44963</v>
      </c>
      <c r="G1709" s="1" t="s">
        <v>408</v>
      </c>
      <c r="H1709" s="2">
        <v>46185</v>
      </c>
      <c r="I1709" t="s">
        <v>43</v>
      </c>
      <c r="J1709">
        <v>7</v>
      </c>
      <c r="K1709">
        <v>38840.21</v>
      </c>
      <c r="L1709" t="s">
        <v>787</v>
      </c>
      <c r="M1709">
        <v>19</v>
      </c>
      <c r="N1709" t="s">
        <v>36</v>
      </c>
      <c r="O1709" s="3" t="s">
        <v>22</v>
      </c>
      <c r="P1709" t="s">
        <v>117</v>
      </c>
      <c r="Q1709" t="s">
        <v>30</v>
      </c>
      <c r="R1709">
        <v>5</v>
      </c>
      <c r="S1709" t="s">
        <v>46</v>
      </c>
      <c r="T1709" s="4">
        <f t="shared" si="133"/>
        <v>271881.46999999997</v>
      </c>
      <c r="U1709" s="4" t="str">
        <f t="shared" si="134"/>
        <v>Good</v>
      </c>
      <c r="V1709" s="4" t="str">
        <f t="shared" si="135"/>
        <v>Excellent</v>
      </c>
      <c r="W1709" s="4"/>
      <c r="X1709" s="4"/>
      <c r="AJ1709" s="4"/>
    </row>
    <row r="1710" spans="1:36">
      <c r="A1710" t="str">
        <f t="shared" si="131"/>
        <v>Neet311709</v>
      </c>
      <c r="B1710">
        <v>1709</v>
      </c>
      <c r="C1710">
        <v>6</v>
      </c>
      <c r="D1710">
        <v>2</v>
      </c>
      <c r="E1710">
        <v>2023</v>
      </c>
      <c r="F1710" s="1">
        <f t="shared" si="132"/>
        <v>44963</v>
      </c>
      <c r="G1710" s="1" t="s">
        <v>408</v>
      </c>
      <c r="H1710" s="2">
        <v>46186</v>
      </c>
      <c r="I1710" t="s">
        <v>43</v>
      </c>
      <c r="J1710">
        <v>8</v>
      </c>
      <c r="K1710">
        <v>36879.730000000003</v>
      </c>
      <c r="L1710" t="s">
        <v>252</v>
      </c>
      <c r="M1710">
        <v>31</v>
      </c>
      <c r="N1710" t="s">
        <v>21</v>
      </c>
      <c r="O1710" s="3" t="s">
        <v>22</v>
      </c>
      <c r="P1710" t="s">
        <v>29</v>
      </c>
      <c r="Q1710" t="s">
        <v>30</v>
      </c>
      <c r="R1710">
        <v>5</v>
      </c>
      <c r="S1710" t="s">
        <v>95</v>
      </c>
      <c r="T1710" s="4">
        <f t="shared" si="133"/>
        <v>295037.84000000003</v>
      </c>
      <c r="U1710" s="4" t="str">
        <f t="shared" si="134"/>
        <v>Good</v>
      </c>
      <c r="V1710" s="4" t="str">
        <f t="shared" si="135"/>
        <v>Excellent</v>
      </c>
      <c r="W1710" s="4"/>
      <c r="X1710" s="4"/>
      <c r="AJ1710" s="4"/>
    </row>
    <row r="1711" spans="1:36">
      <c r="A1711" t="str">
        <f t="shared" si="131"/>
        <v>Priy301710</v>
      </c>
      <c r="B1711">
        <v>1710</v>
      </c>
      <c r="C1711">
        <v>7</v>
      </c>
      <c r="D1711">
        <v>2</v>
      </c>
      <c r="E1711">
        <v>2023</v>
      </c>
      <c r="F1711" s="1">
        <f t="shared" si="132"/>
        <v>44964</v>
      </c>
      <c r="G1711" s="1" t="s">
        <v>408</v>
      </c>
      <c r="H1711" s="2">
        <v>46187</v>
      </c>
      <c r="I1711" t="s">
        <v>19</v>
      </c>
      <c r="J1711">
        <v>7</v>
      </c>
      <c r="K1711">
        <v>17246.77</v>
      </c>
      <c r="L1711" t="s">
        <v>261</v>
      </c>
      <c r="M1711">
        <v>30</v>
      </c>
      <c r="N1711" t="s">
        <v>36</v>
      </c>
      <c r="O1711" s="3" t="s">
        <v>22</v>
      </c>
      <c r="P1711" t="s">
        <v>66</v>
      </c>
      <c r="Q1711" t="s">
        <v>24</v>
      </c>
      <c r="R1711">
        <v>5</v>
      </c>
      <c r="S1711" t="s">
        <v>37</v>
      </c>
      <c r="T1711" s="4">
        <f t="shared" si="133"/>
        <v>120727.39</v>
      </c>
      <c r="U1711" s="4" t="str">
        <f t="shared" si="134"/>
        <v>Good</v>
      </c>
      <c r="V1711" s="4" t="str">
        <f t="shared" si="135"/>
        <v>Good</v>
      </c>
      <c r="W1711" s="4"/>
      <c r="X1711" s="4"/>
      <c r="AJ1711" s="4"/>
    </row>
    <row r="1712" spans="1:36">
      <c r="A1712" t="str">
        <f t="shared" si="131"/>
        <v>Tapa191711</v>
      </c>
      <c r="B1712">
        <v>1711</v>
      </c>
      <c r="C1712">
        <v>7</v>
      </c>
      <c r="D1712">
        <v>2</v>
      </c>
      <c r="E1712">
        <v>2023</v>
      </c>
      <c r="F1712" s="1">
        <f t="shared" si="132"/>
        <v>44964</v>
      </c>
      <c r="G1712" s="1" t="s">
        <v>408</v>
      </c>
      <c r="H1712" s="2">
        <v>46188</v>
      </c>
      <c r="I1712" t="s">
        <v>49</v>
      </c>
      <c r="J1712">
        <v>8</v>
      </c>
      <c r="K1712">
        <v>35566.92</v>
      </c>
      <c r="L1712" t="s">
        <v>918</v>
      </c>
      <c r="M1712">
        <v>19</v>
      </c>
      <c r="N1712" t="s">
        <v>36</v>
      </c>
      <c r="O1712" s="3" t="s">
        <v>22</v>
      </c>
      <c r="P1712" t="s">
        <v>33</v>
      </c>
      <c r="Q1712" t="s">
        <v>30</v>
      </c>
      <c r="R1712">
        <v>4</v>
      </c>
      <c r="S1712" t="s">
        <v>52</v>
      </c>
      <c r="T1712" s="4">
        <f t="shared" si="133"/>
        <v>284535.36</v>
      </c>
      <c r="U1712" s="4" t="str">
        <f t="shared" si="134"/>
        <v>Good</v>
      </c>
      <c r="V1712" s="4" t="str">
        <f t="shared" si="135"/>
        <v>Excellent</v>
      </c>
      <c r="W1712" s="4"/>
      <c r="X1712" s="4"/>
      <c r="AJ1712" s="4"/>
    </row>
    <row r="1713" spans="1:36">
      <c r="A1713" t="str">
        <f t="shared" si="131"/>
        <v>Mano211712</v>
      </c>
      <c r="B1713">
        <v>1712</v>
      </c>
      <c r="C1713">
        <v>7</v>
      </c>
      <c r="D1713">
        <v>2</v>
      </c>
      <c r="E1713">
        <v>2023</v>
      </c>
      <c r="F1713" s="1">
        <f t="shared" si="132"/>
        <v>44964</v>
      </c>
      <c r="G1713" s="1" t="s">
        <v>408</v>
      </c>
      <c r="H1713" s="2">
        <v>46189</v>
      </c>
      <c r="I1713" t="s">
        <v>43</v>
      </c>
      <c r="J1713">
        <v>9</v>
      </c>
      <c r="K1713">
        <v>27253.21</v>
      </c>
      <c r="L1713" t="s">
        <v>919</v>
      </c>
      <c r="M1713">
        <v>21</v>
      </c>
      <c r="N1713" t="s">
        <v>36</v>
      </c>
      <c r="O1713" s="3" t="s">
        <v>22</v>
      </c>
      <c r="P1713" t="s">
        <v>70</v>
      </c>
      <c r="Q1713" t="s">
        <v>24</v>
      </c>
      <c r="R1713">
        <v>5</v>
      </c>
      <c r="S1713" t="s">
        <v>95</v>
      </c>
      <c r="T1713" s="4">
        <f t="shared" si="133"/>
        <v>245278.88999999998</v>
      </c>
      <c r="U1713" s="4" t="str">
        <f t="shared" si="134"/>
        <v>Good</v>
      </c>
      <c r="V1713" s="4" t="str">
        <f t="shared" si="135"/>
        <v>Excellent</v>
      </c>
      <c r="W1713" s="4"/>
      <c r="X1713" s="4"/>
      <c r="AJ1713" s="4"/>
    </row>
    <row r="1714" spans="1:36">
      <c r="A1714" t="str">
        <f t="shared" si="131"/>
        <v>Bhav291713</v>
      </c>
      <c r="B1714">
        <v>1713</v>
      </c>
      <c r="C1714">
        <v>8</v>
      </c>
      <c r="D1714">
        <v>2</v>
      </c>
      <c r="E1714">
        <v>2023</v>
      </c>
      <c r="F1714" s="1">
        <f t="shared" si="132"/>
        <v>44965</v>
      </c>
      <c r="G1714" s="1" t="s">
        <v>408</v>
      </c>
      <c r="H1714" s="2">
        <v>46190</v>
      </c>
      <c r="I1714" t="s">
        <v>38</v>
      </c>
      <c r="J1714">
        <v>5</v>
      </c>
      <c r="K1714">
        <v>19619.23</v>
      </c>
      <c r="L1714" t="s">
        <v>775</v>
      </c>
      <c r="M1714">
        <v>29</v>
      </c>
      <c r="N1714" t="s">
        <v>36</v>
      </c>
      <c r="O1714" s="3" t="s">
        <v>55</v>
      </c>
      <c r="P1714" t="s">
        <v>23</v>
      </c>
      <c r="Q1714" t="s">
        <v>56</v>
      </c>
      <c r="R1714">
        <v>1</v>
      </c>
      <c r="S1714" t="s">
        <v>48</v>
      </c>
      <c r="T1714" s="4">
        <f t="shared" si="133"/>
        <v>98096.15</v>
      </c>
      <c r="U1714" s="4" t="str">
        <f t="shared" si="134"/>
        <v>Average</v>
      </c>
      <c r="V1714" s="4" t="str">
        <f t="shared" si="135"/>
        <v>Average</v>
      </c>
      <c r="W1714" s="4"/>
      <c r="X1714" s="4"/>
      <c r="AJ1714" s="4"/>
    </row>
    <row r="1715" spans="1:36">
      <c r="A1715" t="str">
        <f t="shared" si="131"/>
        <v>Priy271714</v>
      </c>
      <c r="B1715">
        <v>1714</v>
      </c>
      <c r="C1715">
        <v>8</v>
      </c>
      <c r="D1715">
        <v>2</v>
      </c>
      <c r="E1715">
        <v>2023</v>
      </c>
      <c r="F1715" s="1">
        <f t="shared" si="132"/>
        <v>44965</v>
      </c>
      <c r="G1715" s="1" t="s">
        <v>408</v>
      </c>
      <c r="H1715" s="2">
        <v>46191</v>
      </c>
      <c r="I1715" t="s">
        <v>26</v>
      </c>
      <c r="J1715">
        <v>5</v>
      </c>
      <c r="K1715">
        <v>26929.34</v>
      </c>
      <c r="L1715" t="s">
        <v>259</v>
      </c>
      <c r="M1715">
        <v>27</v>
      </c>
      <c r="N1715" t="s">
        <v>36</v>
      </c>
      <c r="O1715" s="3" t="s">
        <v>55</v>
      </c>
      <c r="P1715" t="s">
        <v>66</v>
      </c>
      <c r="Q1715" t="s">
        <v>56</v>
      </c>
      <c r="R1715">
        <v>1</v>
      </c>
      <c r="S1715" t="s">
        <v>31</v>
      </c>
      <c r="T1715" s="4">
        <f t="shared" si="133"/>
        <v>134646.70000000001</v>
      </c>
      <c r="U1715" s="4" t="str">
        <f t="shared" si="134"/>
        <v>Average</v>
      </c>
      <c r="V1715" s="4" t="str">
        <f t="shared" si="135"/>
        <v>Good</v>
      </c>
      <c r="W1715" s="4"/>
      <c r="X1715" s="4"/>
      <c r="AJ1715" s="4"/>
    </row>
    <row r="1716" spans="1:36">
      <c r="A1716" t="str">
        <f t="shared" si="131"/>
        <v>Tanu201715</v>
      </c>
      <c r="B1716">
        <v>1715</v>
      </c>
      <c r="C1716">
        <v>8</v>
      </c>
      <c r="D1716">
        <v>2</v>
      </c>
      <c r="E1716">
        <v>2023</v>
      </c>
      <c r="F1716" s="1">
        <f t="shared" si="132"/>
        <v>44965</v>
      </c>
      <c r="G1716" s="1" t="s">
        <v>408</v>
      </c>
      <c r="H1716" s="2">
        <v>46192</v>
      </c>
      <c r="I1716" t="s">
        <v>26</v>
      </c>
      <c r="J1716">
        <v>4</v>
      </c>
      <c r="K1716">
        <v>23995.1</v>
      </c>
      <c r="L1716" t="s">
        <v>920</v>
      </c>
      <c r="M1716">
        <v>20</v>
      </c>
      <c r="N1716" t="s">
        <v>36</v>
      </c>
      <c r="O1716" s="3" t="s">
        <v>28</v>
      </c>
      <c r="P1716" t="s">
        <v>29</v>
      </c>
      <c r="Q1716" t="s">
        <v>41</v>
      </c>
      <c r="R1716">
        <v>3</v>
      </c>
      <c r="S1716" t="s">
        <v>34</v>
      </c>
      <c r="T1716" s="4">
        <f t="shared" si="133"/>
        <v>95980.4</v>
      </c>
      <c r="U1716" s="4" t="str">
        <f t="shared" si="134"/>
        <v>Average</v>
      </c>
      <c r="V1716" s="4" t="str">
        <f t="shared" si="135"/>
        <v>Average</v>
      </c>
      <c r="W1716" s="4"/>
      <c r="X1716" s="4"/>
      <c r="AJ1716" s="4"/>
    </row>
    <row r="1717" spans="1:36">
      <c r="A1717" t="str">
        <f t="shared" si="131"/>
        <v>Kavi211716</v>
      </c>
      <c r="B1717">
        <v>1716</v>
      </c>
      <c r="C1717">
        <v>8</v>
      </c>
      <c r="D1717">
        <v>2</v>
      </c>
      <c r="E1717">
        <v>2023</v>
      </c>
      <c r="F1717" s="1">
        <f t="shared" si="132"/>
        <v>44965</v>
      </c>
      <c r="G1717" s="1" t="s">
        <v>408</v>
      </c>
      <c r="H1717" s="2">
        <v>46193</v>
      </c>
      <c r="I1717" t="s">
        <v>26</v>
      </c>
      <c r="J1717">
        <v>9</v>
      </c>
      <c r="K1717">
        <v>54044.41</v>
      </c>
      <c r="L1717" t="s">
        <v>133</v>
      </c>
      <c r="M1717">
        <v>21</v>
      </c>
      <c r="N1717" t="s">
        <v>36</v>
      </c>
      <c r="O1717" s="3" t="s">
        <v>28</v>
      </c>
      <c r="P1717" t="s">
        <v>66</v>
      </c>
      <c r="Q1717" t="s">
        <v>30</v>
      </c>
      <c r="R1717">
        <v>3</v>
      </c>
      <c r="S1717" t="s">
        <v>67</v>
      </c>
      <c r="T1717" s="4">
        <f t="shared" si="133"/>
        <v>486399.69000000006</v>
      </c>
      <c r="U1717" s="4" t="str">
        <f t="shared" si="134"/>
        <v>Average</v>
      </c>
      <c r="V1717" s="4" t="str">
        <f t="shared" si="135"/>
        <v>Excellent</v>
      </c>
      <c r="W1717" s="4"/>
      <c r="X1717" s="4"/>
      <c r="AJ1717" s="4"/>
    </row>
    <row r="1718" spans="1:36">
      <c r="A1718" t="str">
        <f t="shared" si="131"/>
        <v>Sneh231717</v>
      </c>
      <c r="B1718">
        <v>1717</v>
      </c>
      <c r="C1718">
        <v>9</v>
      </c>
      <c r="D1718">
        <v>2</v>
      </c>
      <c r="E1718">
        <v>2023</v>
      </c>
      <c r="F1718" s="1">
        <f t="shared" si="132"/>
        <v>44966</v>
      </c>
      <c r="G1718" s="1" t="s">
        <v>408</v>
      </c>
      <c r="H1718" s="2">
        <v>46194</v>
      </c>
      <c r="I1718" t="s">
        <v>49</v>
      </c>
      <c r="J1718">
        <v>5</v>
      </c>
      <c r="K1718">
        <v>11846.51</v>
      </c>
      <c r="L1718" t="s">
        <v>149</v>
      </c>
      <c r="M1718">
        <v>23</v>
      </c>
      <c r="N1718" t="s">
        <v>36</v>
      </c>
      <c r="O1718" s="3" t="s">
        <v>22</v>
      </c>
      <c r="P1718" t="s">
        <v>59</v>
      </c>
      <c r="Q1718" t="s">
        <v>30</v>
      </c>
      <c r="R1718">
        <v>5</v>
      </c>
      <c r="S1718" t="s">
        <v>88</v>
      </c>
      <c r="T1718" s="4">
        <f t="shared" si="133"/>
        <v>59232.55</v>
      </c>
      <c r="U1718" s="4" t="str">
        <f t="shared" si="134"/>
        <v>Good</v>
      </c>
      <c r="V1718" s="4" t="str">
        <f t="shared" si="135"/>
        <v>Average</v>
      </c>
      <c r="W1718" s="4"/>
      <c r="X1718" s="4"/>
      <c r="AJ1718" s="4"/>
    </row>
    <row r="1719" spans="1:36">
      <c r="A1719" t="str">
        <f t="shared" si="131"/>
        <v>Suni401718</v>
      </c>
      <c r="B1719">
        <v>1718</v>
      </c>
      <c r="C1719">
        <v>9</v>
      </c>
      <c r="D1719">
        <v>2</v>
      </c>
      <c r="E1719">
        <v>2023</v>
      </c>
      <c r="F1719" s="1">
        <f t="shared" si="132"/>
        <v>44966</v>
      </c>
      <c r="G1719" s="1" t="s">
        <v>408</v>
      </c>
      <c r="H1719" s="2">
        <v>46195</v>
      </c>
      <c r="I1719" t="s">
        <v>19</v>
      </c>
      <c r="J1719">
        <v>2</v>
      </c>
      <c r="K1719">
        <v>47047.76</v>
      </c>
      <c r="L1719" t="s">
        <v>854</v>
      </c>
      <c r="M1719">
        <v>40</v>
      </c>
      <c r="N1719" t="s">
        <v>21</v>
      </c>
      <c r="O1719" s="3" t="s">
        <v>55</v>
      </c>
      <c r="P1719" t="s">
        <v>29</v>
      </c>
      <c r="Q1719" t="s">
        <v>30</v>
      </c>
      <c r="R1719">
        <v>1</v>
      </c>
      <c r="S1719" t="s">
        <v>25</v>
      </c>
      <c r="T1719" s="4">
        <f t="shared" si="133"/>
        <v>94095.52</v>
      </c>
      <c r="U1719" s="4" t="str">
        <f t="shared" si="134"/>
        <v>Average</v>
      </c>
      <c r="V1719" s="4" t="str">
        <f t="shared" si="135"/>
        <v>Average</v>
      </c>
      <c r="W1719" s="4"/>
      <c r="X1719" s="4"/>
      <c r="AJ1719" s="4"/>
    </row>
    <row r="1720" spans="1:36">
      <c r="A1720" t="str">
        <f t="shared" si="131"/>
        <v>Vija221719</v>
      </c>
      <c r="B1720">
        <v>1719</v>
      </c>
      <c r="C1720">
        <v>9</v>
      </c>
      <c r="D1720">
        <v>2</v>
      </c>
      <c r="E1720">
        <v>2023</v>
      </c>
      <c r="F1720" s="1">
        <f t="shared" si="132"/>
        <v>44966</v>
      </c>
      <c r="G1720" s="1" t="s">
        <v>408</v>
      </c>
      <c r="H1720" s="2">
        <v>46196</v>
      </c>
      <c r="I1720" t="s">
        <v>38</v>
      </c>
      <c r="J1720">
        <v>8</v>
      </c>
      <c r="K1720">
        <v>55639.68</v>
      </c>
      <c r="L1720" t="s">
        <v>290</v>
      </c>
      <c r="M1720">
        <v>22</v>
      </c>
      <c r="N1720" t="s">
        <v>36</v>
      </c>
      <c r="O1720" s="3" t="s">
        <v>22</v>
      </c>
      <c r="P1720" t="s">
        <v>137</v>
      </c>
      <c r="Q1720" t="s">
        <v>24</v>
      </c>
      <c r="R1720">
        <v>5</v>
      </c>
      <c r="S1720" t="s">
        <v>48</v>
      </c>
      <c r="T1720" s="4">
        <f t="shared" si="133"/>
        <v>445117.44</v>
      </c>
      <c r="U1720" s="4" t="str">
        <f t="shared" si="134"/>
        <v>Good</v>
      </c>
      <c r="V1720" s="4" t="str">
        <f t="shared" si="135"/>
        <v>Excellent</v>
      </c>
      <c r="W1720" s="4"/>
      <c r="X1720" s="4"/>
      <c r="AJ1720" s="4"/>
    </row>
    <row r="1721" spans="1:36">
      <c r="A1721" t="str">
        <f t="shared" si="131"/>
        <v>Pras201720</v>
      </c>
      <c r="B1721">
        <v>1720</v>
      </c>
      <c r="C1721">
        <v>10</v>
      </c>
      <c r="D1721">
        <v>2</v>
      </c>
      <c r="E1721">
        <v>2023</v>
      </c>
      <c r="F1721" s="1">
        <f t="shared" si="132"/>
        <v>44967</v>
      </c>
      <c r="G1721" s="1" t="s">
        <v>408</v>
      </c>
      <c r="H1721" s="2">
        <v>46197</v>
      </c>
      <c r="I1721" t="s">
        <v>49</v>
      </c>
      <c r="J1721">
        <v>7</v>
      </c>
      <c r="K1721">
        <v>38843.410000000003</v>
      </c>
      <c r="L1721" t="s">
        <v>921</v>
      </c>
      <c r="M1721">
        <v>20</v>
      </c>
      <c r="N1721" t="s">
        <v>36</v>
      </c>
      <c r="O1721" s="3" t="s">
        <v>22</v>
      </c>
      <c r="P1721" t="s">
        <v>117</v>
      </c>
      <c r="Q1721" t="s">
        <v>56</v>
      </c>
      <c r="R1721">
        <v>5</v>
      </c>
      <c r="S1721" t="s">
        <v>88</v>
      </c>
      <c r="T1721" s="4">
        <f t="shared" si="133"/>
        <v>271903.87</v>
      </c>
      <c r="U1721" s="4" t="str">
        <f t="shared" si="134"/>
        <v>Good</v>
      </c>
      <c r="V1721" s="4" t="str">
        <f t="shared" si="135"/>
        <v>Excellent</v>
      </c>
      <c r="W1721" s="4"/>
      <c r="X1721" s="4"/>
      <c r="AJ1721" s="4"/>
    </row>
    <row r="1722" spans="1:36">
      <c r="A1722" t="str">
        <f t="shared" si="131"/>
        <v>Adit271721</v>
      </c>
      <c r="B1722">
        <v>1721</v>
      </c>
      <c r="C1722">
        <v>10</v>
      </c>
      <c r="D1722">
        <v>2</v>
      </c>
      <c r="E1722">
        <v>2023</v>
      </c>
      <c r="F1722" s="1">
        <f t="shared" si="132"/>
        <v>44967</v>
      </c>
      <c r="G1722" s="1" t="s">
        <v>408</v>
      </c>
      <c r="H1722" s="2">
        <v>46198</v>
      </c>
      <c r="I1722" t="s">
        <v>38</v>
      </c>
      <c r="J1722">
        <v>8</v>
      </c>
      <c r="K1722">
        <v>65893.899999999994</v>
      </c>
      <c r="L1722" t="s">
        <v>324</v>
      </c>
      <c r="M1722">
        <v>27</v>
      </c>
      <c r="N1722" t="s">
        <v>36</v>
      </c>
      <c r="O1722" s="3" t="s">
        <v>22</v>
      </c>
      <c r="P1722" t="s">
        <v>59</v>
      </c>
      <c r="Q1722" t="s">
        <v>30</v>
      </c>
      <c r="R1722">
        <v>5</v>
      </c>
      <c r="S1722" t="s">
        <v>99</v>
      </c>
      <c r="T1722" s="4">
        <f t="shared" si="133"/>
        <v>527151.19999999995</v>
      </c>
      <c r="U1722" s="4" t="str">
        <f t="shared" si="134"/>
        <v>Good</v>
      </c>
      <c r="V1722" s="4" t="str">
        <f t="shared" si="135"/>
        <v>Excellent</v>
      </c>
      <c r="W1722" s="4"/>
      <c r="X1722" s="4"/>
      <c r="AJ1722" s="4"/>
    </row>
    <row r="1723" spans="1:36">
      <c r="A1723" t="str">
        <f t="shared" si="131"/>
        <v>Bhav361722</v>
      </c>
      <c r="B1723">
        <v>1722</v>
      </c>
      <c r="C1723">
        <v>10</v>
      </c>
      <c r="D1723">
        <v>2</v>
      </c>
      <c r="E1723">
        <v>2023</v>
      </c>
      <c r="F1723" s="1">
        <f t="shared" si="132"/>
        <v>44967</v>
      </c>
      <c r="G1723" s="1" t="s">
        <v>408</v>
      </c>
      <c r="H1723" s="2">
        <v>46199</v>
      </c>
      <c r="I1723" t="s">
        <v>38</v>
      </c>
      <c r="J1723">
        <v>3</v>
      </c>
      <c r="K1723">
        <v>52472.84</v>
      </c>
      <c r="L1723" t="s">
        <v>593</v>
      </c>
      <c r="M1723">
        <v>36</v>
      </c>
      <c r="N1723" t="s">
        <v>21</v>
      </c>
      <c r="O1723" s="3" t="s">
        <v>28</v>
      </c>
      <c r="P1723" t="s">
        <v>66</v>
      </c>
      <c r="Q1723" t="s">
        <v>41</v>
      </c>
      <c r="R1723">
        <v>3</v>
      </c>
      <c r="S1723" t="s">
        <v>99</v>
      </c>
      <c r="T1723" s="4">
        <f t="shared" si="133"/>
        <v>157418.51999999999</v>
      </c>
      <c r="U1723" s="4" t="str">
        <f t="shared" si="134"/>
        <v>Average</v>
      </c>
      <c r="V1723" s="4" t="str">
        <f t="shared" si="135"/>
        <v>Good</v>
      </c>
      <c r="W1723" s="4"/>
      <c r="X1723" s="4"/>
      <c r="AJ1723" s="4"/>
    </row>
    <row r="1724" spans="1:36">
      <c r="A1724" t="str">
        <f t="shared" si="131"/>
        <v>Nami311723</v>
      </c>
      <c r="B1724">
        <v>1723</v>
      </c>
      <c r="C1724">
        <v>11</v>
      </c>
      <c r="D1724">
        <v>2</v>
      </c>
      <c r="E1724">
        <v>2023</v>
      </c>
      <c r="F1724" s="1">
        <f t="shared" si="132"/>
        <v>44968</v>
      </c>
      <c r="G1724" s="1" t="s">
        <v>408</v>
      </c>
      <c r="H1724" s="2">
        <v>46200</v>
      </c>
      <c r="I1724" t="s">
        <v>19</v>
      </c>
      <c r="J1724">
        <v>4</v>
      </c>
      <c r="K1724">
        <v>54875.42</v>
      </c>
      <c r="L1724" t="s">
        <v>219</v>
      </c>
      <c r="M1724">
        <v>31</v>
      </c>
      <c r="N1724" t="s">
        <v>21</v>
      </c>
      <c r="O1724" s="3" t="s">
        <v>22</v>
      </c>
      <c r="P1724" t="s">
        <v>137</v>
      </c>
      <c r="Q1724" t="s">
        <v>30</v>
      </c>
      <c r="R1724">
        <v>5</v>
      </c>
      <c r="S1724" t="s">
        <v>84</v>
      </c>
      <c r="T1724" s="4">
        <f t="shared" si="133"/>
        <v>219501.68</v>
      </c>
      <c r="U1724" s="4" t="str">
        <f t="shared" si="134"/>
        <v>Good</v>
      </c>
      <c r="V1724" s="4" t="str">
        <f t="shared" si="135"/>
        <v>Excellent</v>
      </c>
      <c r="W1724" s="4"/>
      <c r="X1724" s="4"/>
      <c r="AJ1724" s="4"/>
    </row>
    <row r="1725" spans="1:36">
      <c r="A1725" t="str">
        <f t="shared" si="131"/>
        <v>Arun381724</v>
      </c>
      <c r="B1725">
        <v>1724</v>
      </c>
      <c r="C1725">
        <v>11</v>
      </c>
      <c r="D1725">
        <v>2</v>
      </c>
      <c r="E1725">
        <v>2023</v>
      </c>
      <c r="F1725" s="1">
        <f t="shared" si="132"/>
        <v>44968</v>
      </c>
      <c r="G1725" s="1" t="s">
        <v>408</v>
      </c>
      <c r="H1725" s="2">
        <v>46201</v>
      </c>
      <c r="I1725" t="s">
        <v>26</v>
      </c>
      <c r="J1725">
        <v>5</v>
      </c>
      <c r="K1725">
        <v>21816.01</v>
      </c>
      <c r="L1725" t="s">
        <v>804</v>
      </c>
      <c r="M1725">
        <v>38</v>
      </c>
      <c r="N1725" t="s">
        <v>21</v>
      </c>
      <c r="O1725" s="3" t="s">
        <v>22</v>
      </c>
      <c r="P1725" t="s">
        <v>66</v>
      </c>
      <c r="Q1725" t="s">
        <v>41</v>
      </c>
      <c r="R1725">
        <v>5</v>
      </c>
      <c r="S1725" t="s">
        <v>34</v>
      </c>
      <c r="T1725" s="4">
        <f t="shared" si="133"/>
        <v>109080.04999999999</v>
      </c>
      <c r="U1725" s="4" t="str">
        <f t="shared" si="134"/>
        <v>Good</v>
      </c>
      <c r="V1725" s="4" t="str">
        <f t="shared" si="135"/>
        <v>Good</v>
      </c>
      <c r="W1725" s="4"/>
      <c r="X1725" s="4"/>
      <c r="AJ1725" s="4"/>
    </row>
    <row r="1726" spans="1:36">
      <c r="A1726" t="str">
        <f t="shared" si="131"/>
        <v>Bhav451725</v>
      </c>
      <c r="B1726">
        <v>1725</v>
      </c>
      <c r="C1726">
        <v>11</v>
      </c>
      <c r="D1726">
        <v>2</v>
      </c>
      <c r="E1726">
        <v>2023</v>
      </c>
      <c r="F1726" s="1">
        <f t="shared" si="132"/>
        <v>44968</v>
      </c>
      <c r="G1726" s="1" t="s">
        <v>408</v>
      </c>
      <c r="H1726" s="2">
        <v>46202</v>
      </c>
      <c r="I1726" t="s">
        <v>19</v>
      </c>
      <c r="J1726">
        <v>6</v>
      </c>
      <c r="K1726">
        <v>56637.73</v>
      </c>
      <c r="L1726" t="s">
        <v>268</v>
      </c>
      <c r="M1726">
        <v>45</v>
      </c>
      <c r="N1726" t="s">
        <v>21</v>
      </c>
      <c r="O1726" s="3" t="s">
        <v>28</v>
      </c>
      <c r="P1726" t="s">
        <v>33</v>
      </c>
      <c r="Q1726" t="s">
        <v>30</v>
      </c>
      <c r="R1726">
        <v>3</v>
      </c>
      <c r="S1726" t="s">
        <v>37</v>
      </c>
      <c r="T1726" s="4">
        <f t="shared" si="133"/>
        <v>339826.38</v>
      </c>
      <c r="U1726" s="4" t="str">
        <f t="shared" si="134"/>
        <v>Average</v>
      </c>
      <c r="V1726" s="4" t="str">
        <f t="shared" si="135"/>
        <v>Excellent</v>
      </c>
      <c r="W1726" s="4"/>
      <c r="X1726" s="4"/>
      <c r="AJ1726" s="4"/>
    </row>
    <row r="1727" spans="1:36">
      <c r="A1727" t="str">
        <f t="shared" si="131"/>
        <v>Shru381726</v>
      </c>
      <c r="B1727">
        <v>1726</v>
      </c>
      <c r="C1727">
        <v>11</v>
      </c>
      <c r="D1727">
        <v>2</v>
      </c>
      <c r="E1727">
        <v>2023</v>
      </c>
      <c r="F1727" s="1">
        <f t="shared" si="132"/>
        <v>44968</v>
      </c>
      <c r="G1727" s="1" t="s">
        <v>408</v>
      </c>
      <c r="H1727" s="2">
        <v>46203</v>
      </c>
      <c r="I1727" t="s">
        <v>49</v>
      </c>
      <c r="J1727">
        <v>1</v>
      </c>
      <c r="K1727">
        <v>59925.68</v>
      </c>
      <c r="L1727" t="s">
        <v>901</v>
      </c>
      <c r="M1727">
        <v>38</v>
      </c>
      <c r="N1727" t="s">
        <v>21</v>
      </c>
      <c r="O1727" s="3" t="s">
        <v>28</v>
      </c>
      <c r="P1727" t="s">
        <v>59</v>
      </c>
      <c r="Q1727" t="s">
        <v>30</v>
      </c>
      <c r="R1727">
        <v>3</v>
      </c>
      <c r="S1727" t="s">
        <v>52</v>
      </c>
      <c r="T1727" s="4">
        <f t="shared" si="133"/>
        <v>59925.68</v>
      </c>
      <c r="U1727" s="4" t="str">
        <f t="shared" si="134"/>
        <v>Average</v>
      </c>
      <c r="V1727" s="4" t="str">
        <f t="shared" si="135"/>
        <v>Average</v>
      </c>
      <c r="W1727" s="4"/>
      <c r="X1727" s="4"/>
      <c r="AJ1727" s="4"/>
    </row>
    <row r="1728" spans="1:36">
      <c r="A1728" t="str">
        <f t="shared" si="131"/>
        <v>Mala531727</v>
      </c>
      <c r="B1728">
        <v>1727</v>
      </c>
      <c r="C1728">
        <v>12</v>
      </c>
      <c r="D1728">
        <v>2</v>
      </c>
      <c r="E1728">
        <v>2023</v>
      </c>
      <c r="F1728" s="1">
        <f t="shared" si="132"/>
        <v>44969</v>
      </c>
      <c r="G1728" s="1" t="s">
        <v>408</v>
      </c>
      <c r="H1728" s="2">
        <v>46204</v>
      </c>
      <c r="I1728" t="s">
        <v>49</v>
      </c>
      <c r="J1728">
        <v>4</v>
      </c>
      <c r="K1728">
        <v>31675.98</v>
      </c>
      <c r="L1728" t="s">
        <v>118</v>
      </c>
      <c r="M1728">
        <v>53</v>
      </c>
      <c r="N1728" t="s">
        <v>61</v>
      </c>
      <c r="O1728" s="3" t="s">
        <v>55</v>
      </c>
      <c r="P1728" t="s">
        <v>29</v>
      </c>
      <c r="Q1728" t="s">
        <v>56</v>
      </c>
      <c r="R1728">
        <v>1</v>
      </c>
      <c r="S1728" t="s">
        <v>52</v>
      </c>
      <c r="T1728" s="4">
        <f t="shared" si="133"/>
        <v>126703.92</v>
      </c>
      <c r="U1728" s="4" t="str">
        <f t="shared" si="134"/>
        <v>Average</v>
      </c>
      <c r="V1728" s="4" t="str">
        <f t="shared" si="135"/>
        <v>Good</v>
      </c>
      <c r="W1728" s="4"/>
      <c r="X1728" s="4"/>
      <c r="AJ1728" s="4"/>
    </row>
    <row r="1729" spans="1:36">
      <c r="A1729" t="str">
        <f t="shared" si="131"/>
        <v>Priy411728</v>
      </c>
      <c r="B1729">
        <v>1728</v>
      </c>
      <c r="C1729">
        <v>12</v>
      </c>
      <c r="D1729">
        <v>2</v>
      </c>
      <c r="E1729">
        <v>2023</v>
      </c>
      <c r="F1729" s="1">
        <f t="shared" si="132"/>
        <v>44969</v>
      </c>
      <c r="G1729" s="1" t="s">
        <v>408</v>
      </c>
      <c r="H1729" s="2">
        <v>46205</v>
      </c>
      <c r="I1729" t="s">
        <v>49</v>
      </c>
      <c r="J1729">
        <v>5</v>
      </c>
      <c r="K1729">
        <v>22801.78</v>
      </c>
      <c r="L1729" t="s">
        <v>212</v>
      </c>
      <c r="M1729">
        <v>41</v>
      </c>
      <c r="N1729" t="s">
        <v>21</v>
      </c>
      <c r="O1729" s="3" t="s">
        <v>28</v>
      </c>
      <c r="P1729" t="s">
        <v>33</v>
      </c>
      <c r="Q1729" t="s">
        <v>41</v>
      </c>
      <c r="R1729">
        <v>3</v>
      </c>
      <c r="S1729" t="s">
        <v>52</v>
      </c>
      <c r="T1729" s="4">
        <f t="shared" si="133"/>
        <v>114008.9</v>
      </c>
      <c r="U1729" s="4" t="str">
        <f t="shared" si="134"/>
        <v>Average</v>
      </c>
      <c r="V1729" s="4" t="str">
        <f t="shared" si="135"/>
        <v>Good</v>
      </c>
      <c r="W1729" s="4"/>
      <c r="X1729" s="4"/>
      <c r="AJ1729" s="4"/>
    </row>
    <row r="1730" spans="1:36">
      <c r="A1730" t="str">
        <f t="shared" ref="A1730:A1793" si="136">LEFT(L1730,4)&amp;M1730&amp;B1730</f>
        <v>Priy551729</v>
      </c>
      <c r="B1730">
        <v>1729</v>
      </c>
      <c r="C1730">
        <v>12</v>
      </c>
      <c r="D1730">
        <v>2</v>
      </c>
      <c r="E1730">
        <v>2023</v>
      </c>
      <c r="F1730" s="1">
        <f t="shared" si="132"/>
        <v>44969</v>
      </c>
      <c r="G1730" s="1" t="s">
        <v>408</v>
      </c>
      <c r="H1730" s="2">
        <v>46206</v>
      </c>
      <c r="I1730" t="s">
        <v>19</v>
      </c>
      <c r="J1730">
        <v>7</v>
      </c>
      <c r="K1730">
        <v>33103.040000000001</v>
      </c>
      <c r="L1730" t="s">
        <v>358</v>
      </c>
      <c r="M1730">
        <v>55</v>
      </c>
      <c r="N1730" t="s">
        <v>61</v>
      </c>
      <c r="O1730" s="3" t="s">
        <v>22</v>
      </c>
      <c r="P1730" t="s">
        <v>66</v>
      </c>
      <c r="Q1730" t="s">
        <v>30</v>
      </c>
      <c r="R1730">
        <v>5</v>
      </c>
      <c r="S1730" t="s">
        <v>25</v>
      </c>
      <c r="T1730" s="4">
        <f t="shared" si="133"/>
        <v>231721.28</v>
      </c>
      <c r="U1730" s="4" t="str">
        <f t="shared" si="134"/>
        <v>Good</v>
      </c>
      <c r="V1730" s="4" t="str">
        <f t="shared" si="135"/>
        <v>Excellent</v>
      </c>
      <c r="W1730" s="4"/>
      <c r="X1730" s="4"/>
      <c r="AJ1730" s="4"/>
    </row>
    <row r="1731" spans="1:36">
      <c r="A1731" t="str">
        <f t="shared" si="136"/>
        <v>Amit341730</v>
      </c>
      <c r="B1731">
        <v>1730</v>
      </c>
      <c r="C1731">
        <v>13</v>
      </c>
      <c r="D1731">
        <v>2</v>
      </c>
      <c r="E1731">
        <v>2023</v>
      </c>
      <c r="F1731" s="1">
        <f t="shared" ref="F1731:F1794" si="137">DATE(E1731,D1731,C1731)</f>
        <v>44970</v>
      </c>
      <c r="G1731" s="1" t="s">
        <v>408</v>
      </c>
      <c r="H1731" s="2">
        <v>46207</v>
      </c>
      <c r="I1731" t="s">
        <v>38</v>
      </c>
      <c r="J1731">
        <v>5</v>
      </c>
      <c r="K1731">
        <v>54376.480000000003</v>
      </c>
      <c r="L1731" t="s">
        <v>895</v>
      </c>
      <c r="M1731">
        <v>34</v>
      </c>
      <c r="N1731" t="s">
        <v>21</v>
      </c>
      <c r="O1731" s="3" t="s">
        <v>55</v>
      </c>
      <c r="P1731" t="s">
        <v>33</v>
      </c>
      <c r="Q1731" t="s">
        <v>41</v>
      </c>
      <c r="R1731">
        <v>1</v>
      </c>
      <c r="S1731" t="s">
        <v>48</v>
      </c>
      <c r="T1731" s="4">
        <f t="shared" ref="T1731:T1794" si="138">J1731*K1731</f>
        <v>271882.40000000002</v>
      </c>
      <c r="U1731" s="4" t="str">
        <f t="shared" ref="U1731:U1794" si="139">IF(R1731&gt;=4,"Good","Average")</f>
        <v>Average</v>
      </c>
      <c r="V1731" s="4" t="str">
        <f t="shared" ref="V1731:V1794" si="140">IF(T1731&gt;200000,"Excellent",IF(T1731&gt;100000,"Good",IF(T1731&gt;50000,"Average","Low")))</f>
        <v>Excellent</v>
      </c>
      <c r="W1731" s="4"/>
      <c r="X1731" s="4"/>
      <c r="AJ1731" s="4"/>
    </row>
    <row r="1732" spans="1:36">
      <c r="A1732" t="str">
        <f t="shared" si="136"/>
        <v>Ayes391731</v>
      </c>
      <c r="B1732">
        <v>1731</v>
      </c>
      <c r="C1732">
        <v>13</v>
      </c>
      <c r="D1732">
        <v>2</v>
      </c>
      <c r="E1732">
        <v>2023</v>
      </c>
      <c r="F1732" s="1">
        <f t="shared" si="137"/>
        <v>44970</v>
      </c>
      <c r="G1732" s="1" t="s">
        <v>408</v>
      </c>
      <c r="H1732" s="2">
        <v>46208</v>
      </c>
      <c r="I1732" t="s">
        <v>38</v>
      </c>
      <c r="J1732">
        <v>1</v>
      </c>
      <c r="K1732">
        <v>35058.339999999997</v>
      </c>
      <c r="L1732" t="s">
        <v>922</v>
      </c>
      <c r="M1732">
        <v>39</v>
      </c>
      <c r="N1732" t="s">
        <v>21</v>
      </c>
      <c r="O1732" s="3" t="s">
        <v>22</v>
      </c>
      <c r="P1732" t="s">
        <v>132</v>
      </c>
      <c r="Q1732" t="s">
        <v>41</v>
      </c>
      <c r="R1732">
        <v>5</v>
      </c>
      <c r="S1732" t="s">
        <v>42</v>
      </c>
      <c r="T1732" s="4">
        <f t="shared" si="138"/>
        <v>35058.339999999997</v>
      </c>
      <c r="U1732" s="4" t="str">
        <f t="shared" si="139"/>
        <v>Good</v>
      </c>
      <c r="V1732" s="4" t="str">
        <f t="shared" si="140"/>
        <v>Low</v>
      </c>
      <c r="W1732" s="4"/>
      <c r="X1732" s="4"/>
      <c r="AJ1732" s="4"/>
    </row>
    <row r="1733" spans="1:36">
      <c r="A1733" t="str">
        <f t="shared" si="136"/>
        <v>Vive361732</v>
      </c>
      <c r="B1733">
        <v>1732</v>
      </c>
      <c r="C1733">
        <v>13</v>
      </c>
      <c r="D1733">
        <v>2</v>
      </c>
      <c r="E1733">
        <v>2023</v>
      </c>
      <c r="F1733" s="1">
        <f t="shared" si="137"/>
        <v>44970</v>
      </c>
      <c r="G1733" s="1" t="s">
        <v>408</v>
      </c>
      <c r="H1733" s="2">
        <v>46209</v>
      </c>
      <c r="I1733" t="s">
        <v>43</v>
      </c>
      <c r="J1733">
        <v>7</v>
      </c>
      <c r="K1733">
        <v>54199.11</v>
      </c>
      <c r="L1733" t="s">
        <v>320</v>
      </c>
      <c r="M1733">
        <v>36</v>
      </c>
      <c r="N1733" t="s">
        <v>21</v>
      </c>
      <c r="O1733" s="3" t="s">
        <v>22</v>
      </c>
      <c r="P1733" t="s">
        <v>29</v>
      </c>
      <c r="Q1733" t="s">
        <v>56</v>
      </c>
      <c r="R1733">
        <v>5</v>
      </c>
      <c r="S1733" t="s">
        <v>57</v>
      </c>
      <c r="T1733" s="4">
        <f t="shared" si="138"/>
        <v>379393.77</v>
      </c>
      <c r="U1733" s="4" t="str">
        <f t="shared" si="139"/>
        <v>Good</v>
      </c>
      <c r="V1733" s="4" t="str">
        <f t="shared" si="140"/>
        <v>Excellent</v>
      </c>
      <c r="W1733" s="4"/>
      <c r="X1733" s="4"/>
      <c r="AJ1733" s="4"/>
    </row>
    <row r="1734" spans="1:36">
      <c r="A1734" t="str">
        <f t="shared" si="136"/>
        <v>Mala271733</v>
      </c>
      <c r="B1734">
        <v>1733</v>
      </c>
      <c r="C1734">
        <v>14</v>
      </c>
      <c r="D1734">
        <v>2</v>
      </c>
      <c r="E1734">
        <v>2023</v>
      </c>
      <c r="F1734" s="1">
        <f t="shared" si="137"/>
        <v>44971</v>
      </c>
      <c r="G1734" s="1" t="s">
        <v>408</v>
      </c>
      <c r="H1734" s="2">
        <v>46210</v>
      </c>
      <c r="I1734" t="s">
        <v>49</v>
      </c>
      <c r="J1734">
        <v>8</v>
      </c>
      <c r="K1734">
        <v>16813.87</v>
      </c>
      <c r="L1734" t="s">
        <v>923</v>
      </c>
      <c r="M1734">
        <v>27</v>
      </c>
      <c r="N1734" t="s">
        <v>36</v>
      </c>
      <c r="O1734" s="3" t="s">
        <v>22</v>
      </c>
      <c r="P1734" t="s">
        <v>33</v>
      </c>
      <c r="Q1734" t="s">
        <v>56</v>
      </c>
      <c r="R1734">
        <v>5</v>
      </c>
      <c r="S1734" t="s">
        <v>88</v>
      </c>
      <c r="T1734" s="4">
        <f t="shared" si="138"/>
        <v>134510.96</v>
      </c>
      <c r="U1734" s="4" t="str">
        <f t="shared" si="139"/>
        <v>Good</v>
      </c>
      <c r="V1734" s="4" t="str">
        <f t="shared" si="140"/>
        <v>Good</v>
      </c>
      <c r="W1734" s="4"/>
      <c r="X1734" s="4"/>
      <c r="AJ1734" s="4"/>
    </row>
    <row r="1735" spans="1:36">
      <c r="A1735" t="str">
        <f t="shared" si="136"/>
        <v>Vive281734</v>
      </c>
      <c r="B1735">
        <v>1734</v>
      </c>
      <c r="C1735">
        <v>14</v>
      </c>
      <c r="D1735">
        <v>2</v>
      </c>
      <c r="E1735">
        <v>2023</v>
      </c>
      <c r="F1735" s="1">
        <f t="shared" si="137"/>
        <v>44971</v>
      </c>
      <c r="G1735" s="1" t="s">
        <v>408</v>
      </c>
      <c r="H1735" s="2">
        <v>46211</v>
      </c>
      <c r="I1735" t="s">
        <v>38</v>
      </c>
      <c r="J1735">
        <v>7</v>
      </c>
      <c r="K1735">
        <v>58360.7</v>
      </c>
      <c r="L1735" t="s">
        <v>233</v>
      </c>
      <c r="M1735">
        <v>28</v>
      </c>
      <c r="N1735" t="s">
        <v>36</v>
      </c>
      <c r="O1735" s="3" t="s">
        <v>55</v>
      </c>
      <c r="P1735" t="s">
        <v>23</v>
      </c>
      <c r="Q1735" t="s">
        <v>41</v>
      </c>
      <c r="R1735">
        <v>1</v>
      </c>
      <c r="S1735" t="s">
        <v>42</v>
      </c>
      <c r="T1735" s="4">
        <f t="shared" si="138"/>
        <v>408524.89999999997</v>
      </c>
      <c r="U1735" s="4" t="str">
        <f t="shared" si="139"/>
        <v>Average</v>
      </c>
      <c r="V1735" s="4" t="str">
        <f t="shared" si="140"/>
        <v>Excellent</v>
      </c>
      <c r="W1735" s="4"/>
      <c r="X1735" s="4"/>
      <c r="AJ1735" s="4"/>
    </row>
    <row r="1736" spans="1:36">
      <c r="A1736" t="str">
        <f t="shared" si="136"/>
        <v>Arun551735</v>
      </c>
      <c r="B1736">
        <v>1735</v>
      </c>
      <c r="C1736">
        <v>14</v>
      </c>
      <c r="D1736">
        <v>2</v>
      </c>
      <c r="E1736">
        <v>2023</v>
      </c>
      <c r="F1736" s="1">
        <f t="shared" si="137"/>
        <v>44971</v>
      </c>
      <c r="G1736" s="1" t="s">
        <v>408</v>
      </c>
      <c r="H1736" s="2">
        <v>46212</v>
      </c>
      <c r="I1736" t="s">
        <v>43</v>
      </c>
      <c r="J1736">
        <v>4</v>
      </c>
      <c r="K1736">
        <v>25192.45</v>
      </c>
      <c r="L1736" t="s">
        <v>382</v>
      </c>
      <c r="M1736">
        <v>55</v>
      </c>
      <c r="N1736" t="s">
        <v>61</v>
      </c>
      <c r="O1736" s="3" t="s">
        <v>22</v>
      </c>
      <c r="P1736" t="s">
        <v>29</v>
      </c>
      <c r="Q1736" t="s">
        <v>56</v>
      </c>
      <c r="R1736">
        <v>5</v>
      </c>
      <c r="S1736" t="s">
        <v>95</v>
      </c>
      <c r="T1736" s="4">
        <f t="shared" si="138"/>
        <v>100769.8</v>
      </c>
      <c r="U1736" s="4" t="str">
        <f t="shared" si="139"/>
        <v>Good</v>
      </c>
      <c r="V1736" s="4" t="str">
        <f t="shared" si="140"/>
        <v>Good</v>
      </c>
      <c r="W1736" s="4"/>
      <c r="X1736" s="4"/>
      <c r="AJ1736" s="4"/>
    </row>
    <row r="1737" spans="1:36">
      <c r="A1737" t="str">
        <f t="shared" si="136"/>
        <v>Priy191736</v>
      </c>
      <c r="B1737">
        <v>1736</v>
      </c>
      <c r="C1737">
        <v>14</v>
      </c>
      <c r="D1737">
        <v>2</v>
      </c>
      <c r="E1737">
        <v>2023</v>
      </c>
      <c r="F1737" s="1">
        <f t="shared" si="137"/>
        <v>44971</v>
      </c>
      <c r="G1737" s="1" t="s">
        <v>408</v>
      </c>
      <c r="H1737" s="2">
        <v>46213</v>
      </c>
      <c r="I1737" t="s">
        <v>38</v>
      </c>
      <c r="J1737">
        <v>8</v>
      </c>
      <c r="K1737">
        <v>24935.74</v>
      </c>
      <c r="L1737" t="s">
        <v>924</v>
      </c>
      <c r="M1737">
        <v>19</v>
      </c>
      <c r="N1737" t="s">
        <v>36</v>
      </c>
      <c r="O1737" s="3" t="s">
        <v>55</v>
      </c>
      <c r="P1737" t="s">
        <v>29</v>
      </c>
      <c r="Q1737" t="s">
        <v>30</v>
      </c>
      <c r="R1737">
        <v>1</v>
      </c>
      <c r="S1737" t="s">
        <v>42</v>
      </c>
      <c r="T1737" s="4">
        <f t="shared" si="138"/>
        <v>199485.92</v>
      </c>
      <c r="U1737" s="4" t="str">
        <f t="shared" si="139"/>
        <v>Average</v>
      </c>
      <c r="V1737" s="4" t="str">
        <f t="shared" si="140"/>
        <v>Good</v>
      </c>
      <c r="W1737" s="4"/>
      <c r="X1737" s="4"/>
      <c r="AJ1737" s="4"/>
    </row>
    <row r="1738" spans="1:36">
      <c r="A1738" t="str">
        <f t="shared" si="136"/>
        <v>Pank501737</v>
      </c>
      <c r="B1738">
        <v>1737</v>
      </c>
      <c r="C1738">
        <v>15</v>
      </c>
      <c r="D1738">
        <v>2</v>
      </c>
      <c r="E1738">
        <v>2023</v>
      </c>
      <c r="F1738" s="1">
        <f t="shared" si="137"/>
        <v>44972</v>
      </c>
      <c r="G1738" s="1" t="s">
        <v>408</v>
      </c>
      <c r="H1738" s="2">
        <v>46214</v>
      </c>
      <c r="I1738" t="s">
        <v>49</v>
      </c>
      <c r="J1738">
        <v>5</v>
      </c>
      <c r="K1738">
        <v>45422.86</v>
      </c>
      <c r="L1738" t="s">
        <v>657</v>
      </c>
      <c r="M1738">
        <v>50</v>
      </c>
      <c r="N1738" t="s">
        <v>61</v>
      </c>
      <c r="O1738" s="3" t="s">
        <v>22</v>
      </c>
      <c r="P1738" t="s">
        <v>29</v>
      </c>
      <c r="Q1738" t="s">
        <v>30</v>
      </c>
      <c r="R1738">
        <v>4</v>
      </c>
      <c r="S1738" t="s">
        <v>102</v>
      </c>
      <c r="T1738" s="4">
        <f t="shared" si="138"/>
        <v>227114.3</v>
      </c>
      <c r="U1738" s="4" t="str">
        <f t="shared" si="139"/>
        <v>Good</v>
      </c>
      <c r="V1738" s="4" t="str">
        <f t="shared" si="140"/>
        <v>Excellent</v>
      </c>
      <c r="W1738" s="4"/>
      <c r="X1738" s="4"/>
      <c r="AJ1738" s="4"/>
    </row>
    <row r="1739" spans="1:36">
      <c r="A1739" t="str">
        <f t="shared" si="136"/>
        <v>Pras481738</v>
      </c>
      <c r="B1739">
        <v>1738</v>
      </c>
      <c r="C1739">
        <v>15</v>
      </c>
      <c r="D1739">
        <v>2</v>
      </c>
      <c r="E1739">
        <v>2023</v>
      </c>
      <c r="F1739" s="1">
        <f t="shared" si="137"/>
        <v>44972</v>
      </c>
      <c r="G1739" s="1" t="s">
        <v>408</v>
      </c>
      <c r="H1739" s="2">
        <v>46215</v>
      </c>
      <c r="I1739" t="s">
        <v>26</v>
      </c>
      <c r="J1739">
        <v>9</v>
      </c>
      <c r="K1739">
        <v>14207.08</v>
      </c>
      <c r="L1739" t="s">
        <v>713</v>
      </c>
      <c r="M1739">
        <v>48</v>
      </c>
      <c r="N1739" t="s">
        <v>61</v>
      </c>
      <c r="O1739" s="3" t="s">
        <v>22</v>
      </c>
      <c r="P1739" t="s">
        <v>33</v>
      </c>
      <c r="Q1739" t="s">
        <v>56</v>
      </c>
      <c r="R1739">
        <v>4</v>
      </c>
      <c r="S1739" t="s">
        <v>34</v>
      </c>
      <c r="T1739" s="4">
        <f t="shared" si="138"/>
        <v>127863.72</v>
      </c>
      <c r="U1739" s="4" t="str">
        <f t="shared" si="139"/>
        <v>Good</v>
      </c>
      <c r="V1739" s="4" t="str">
        <f t="shared" si="140"/>
        <v>Good</v>
      </c>
      <c r="W1739" s="4"/>
      <c r="X1739" s="4"/>
      <c r="AJ1739" s="4"/>
    </row>
    <row r="1740" spans="1:36">
      <c r="A1740" t="str">
        <f t="shared" si="136"/>
        <v>Yoge521739</v>
      </c>
      <c r="B1740">
        <v>1739</v>
      </c>
      <c r="C1740">
        <v>15</v>
      </c>
      <c r="D1740">
        <v>2</v>
      </c>
      <c r="E1740">
        <v>2023</v>
      </c>
      <c r="F1740" s="1">
        <f t="shared" si="137"/>
        <v>44972</v>
      </c>
      <c r="G1740" s="1" t="s">
        <v>408</v>
      </c>
      <c r="H1740" s="2">
        <v>46216</v>
      </c>
      <c r="I1740" t="s">
        <v>49</v>
      </c>
      <c r="J1740">
        <v>5</v>
      </c>
      <c r="K1740">
        <v>11577.86</v>
      </c>
      <c r="L1740" t="s">
        <v>289</v>
      </c>
      <c r="M1740">
        <v>52</v>
      </c>
      <c r="N1740" t="s">
        <v>61</v>
      </c>
      <c r="O1740" s="3" t="s">
        <v>55</v>
      </c>
      <c r="P1740" t="s">
        <v>93</v>
      </c>
      <c r="Q1740" t="s">
        <v>41</v>
      </c>
      <c r="R1740">
        <v>1</v>
      </c>
      <c r="S1740" t="s">
        <v>52</v>
      </c>
      <c r="T1740" s="4">
        <f t="shared" si="138"/>
        <v>57889.3</v>
      </c>
      <c r="U1740" s="4" t="str">
        <f t="shared" si="139"/>
        <v>Average</v>
      </c>
      <c r="V1740" s="4" t="str">
        <f t="shared" si="140"/>
        <v>Average</v>
      </c>
      <c r="W1740" s="4"/>
      <c r="X1740" s="4"/>
      <c r="AJ1740" s="4"/>
    </row>
    <row r="1741" spans="1:36">
      <c r="A1741" t="str">
        <f t="shared" si="136"/>
        <v>Tapa541740</v>
      </c>
      <c r="B1741">
        <v>1740</v>
      </c>
      <c r="C1741">
        <v>16</v>
      </c>
      <c r="D1741">
        <v>2</v>
      </c>
      <c r="E1741">
        <v>2023</v>
      </c>
      <c r="F1741" s="1">
        <f t="shared" si="137"/>
        <v>44973</v>
      </c>
      <c r="G1741" s="1" t="s">
        <v>408</v>
      </c>
      <c r="H1741" s="2">
        <v>46217</v>
      </c>
      <c r="I1741" t="s">
        <v>19</v>
      </c>
      <c r="J1741">
        <v>1</v>
      </c>
      <c r="K1741">
        <v>25661.72</v>
      </c>
      <c r="L1741" t="s">
        <v>925</v>
      </c>
      <c r="M1741">
        <v>54</v>
      </c>
      <c r="N1741" t="s">
        <v>61</v>
      </c>
      <c r="O1741" s="3" t="s">
        <v>22</v>
      </c>
      <c r="P1741" t="s">
        <v>150</v>
      </c>
      <c r="Q1741" t="s">
        <v>30</v>
      </c>
      <c r="R1741">
        <v>5</v>
      </c>
      <c r="S1741" t="s">
        <v>37</v>
      </c>
      <c r="T1741" s="4">
        <f t="shared" si="138"/>
        <v>25661.72</v>
      </c>
      <c r="U1741" s="4" t="str">
        <f t="shared" si="139"/>
        <v>Good</v>
      </c>
      <c r="V1741" s="4" t="str">
        <f t="shared" si="140"/>
        <v>Low</v>
      </c>
      <c r="W1741" s="4"/>
      <c r="X1741" s="4"/>
      <c r="AJ1741" s="4"/>
    </row>
    <row r="1742" spans="1:36">
      <c r="A1742" t="str">
        <f t="shared" si="136"/>
        <v>Kavi531741</v>
      </c>
      <c r="B1742">
        <v>1741</v>
      </c>
      <c r="C1742">
        <v>16</v>
      </c>
      <c r="D1742">
        <v>2</v>
      </c>
      <c r="E1742">
        <v>2023</v>
      </c>
      <c r="F1742" s="1">
        <f t="shared" si="137"/>
        <v>44973</v>
      </c>
      <c r="G1742" s="1" t="s">
        <v>408</v>
      </c>
      <c r="H1742" s="2">
        <v>46218</v>
      </c>
      <c r="I1742" t="s">
        <v>38</v>
      </c>
      <c r="J1742">
        <v>9</v>
      </c>
      <c r="K1742">
        <v>42284.05</v>
      </c>
      <c r="L1742" t="s">
        <v>725</v>
      </c>
      <c r="M1742">
        <v>53</v>
      </c>
      <c r="N1742" t="s">
        <v>61</v>
      </c>
      <c r="O1742" s="3" t="s">
        <v>22</v>
      </c>
      <c r="P1742" t="s">
        <v>29</v>
      </c>
      <c r="Q1742" t="s">
        <v>24</v>
      </c>
      <c r="R1742">
        <v>5</v>
      </c>
      <c r="S1742" t="s">
        <v>48</v>
      </c>
      <c r="T1742" s="4">
        <f t="shared" si="138"/>
        <v>380556.45</v>
      </c>
      <c r="U1742" s="4" t="str">
        <f t="shared" si="139"/>
        <v>Good</v>
      </c>
      <c r="V1742" s="4" t="str">
        <f t="shared" si="140"/>
        <v>Excellent</v>
      </c>
      <c r="W1742" s="4"/>
      <c r="X1742" s="4"/>
      <c r="AJ1742" s="4"/>
    </row>
    <row r="1743" spans="1:36">
      <c r="A1743" t="str">
        <f t="shared" si="136"/>
        <v>Reen401742</v>
      </c>
      <c r="B1743">
        <v>1742</v>
      </c>
      <c r="C1743">
        <v>16</v>
      </c>
      <c r="D1743">
        <v>2</v>
      </c>
      <c r="E1743">
        <v>2023</v>
      </c>
      <c r="F1743" s="1">
        <f t="shared" si="137"/>
        <v>44973</v>
      </c>
      <c r="G1743" s="1" t="s">
        <v>408</v>
      </c>
      <c r="H1743" s="2">
        <v>46219</v>
      </c>
      <c r="I1743" t="s">
        <v>38</v>
      </c>
      <c r="J1743">
        <v>5</v>
      </c>
      <c r="K1743">
        <v>64456.98</v>
      </c>
      <c r="L1743" t="s">
        <v>926</v>
      </c>
      <c r="M1743">
        <v>40</v>
      </c>
      <c r="N1743" t="s">
        <v>21</v>
      </c>
      <c r="O1743" s="3" t="s">
        <v>28</v>
      </c>
      <c r="P1743" t="s">
        <v>51</v>
      </c>
      <c r="Q1743" t="s">
        <v>41</v>
      </c>
      <c r="R1743">
        <v>3</v>
      </c>
      <c r="S1743" t="s">
        <v>48</v>
      </c>
      <c r="T1743" s="4">
        <f t="shared" si="138"/>
        <v>322284.90000000002</v>
      </c>
      <c r="U1743" s="4" t="str">
        <f t="shared" si="139"/>
        <v>Average</v>
      </c>
      <c r="V1743" s="4" t="str">
        <f t="shared" si="140"/>
        <v>Excellent</v>
      </c>
      <c r="W1743" s="4"/>
      <c r="X1743" s="4"/>
      <c r="AJ1743" s="4"/>
    </row>
    <row r="1744" spans="1:36">
      <c r="A1744" t="str">
        <f t="shared" si="136"/>
        <v>Anja531743</v>
      </c>
      <c r="B1744">
        <v>1743</v>
      </c>
      <c r="C1744">
        <v>17</v>
      </c>
      <c r="D1744">
        <v>2</v>
      </c>
      <c r="E1744">
        <v>2023</v>
      </c>
      <c r="F1744" s="1">
        <f t="shared" si="137"/>
        <v>44974</v>
      </c>
      <c r="G1744" s="1" t="s">
        <v>408</v>
      </c>
      <c r="H1744" s="2">
        <v>46220</v>
      </c>
      <c r="I1744" t="s">
        <v>19</v>
      </c>
      <c r="J1744">
        <v>6</v>
      </c>
      <c r="K1744">
        <v>60786.11</v>
      </c>
      <c r="L1744" t="s">
        <v>927</v>
      </c>
      <c r="M1744">
        <v>53</v>
      </c>
      <c r="N1744" t="s">
        <v>61</v>
      </c>
      <c r="O1744" s="3" t="s">
        <v>22</v>
      </c>
      <c r="P1744" t="s">
        <v>23</v>
      </c>
      <c r="Q1744" t="s">
        <v>41</v>
      </c>
      <c r="R1744">
        <v>5</v>
      </c>
      <c r="S1744" t="s">
        <v>84</v>
      </c>
      <c r="T1744" s="4">
        <f t="shared" si="138"/>
        <v>364716.66000000003</v>
      </c>
      <c r="U1744" s="4" t="str">
        <f t="shared" si="139"/>
        <v>Good</v>
      </c>
      <c r="V1744" s="4" t="str">
        <f t="shared" si="140"/>
        <v>Excellent</v>
      </c>
      <c r="W1744" s="4"/>
      <c r="X1744" s="4"/>
      <c r="AJ1744" s="4"/>
    </row>
    <row r="1745" spans="1:36">
      <c r="A1745" t="str">
        <f t="shared" si="136"/>
        <v>Anit571744</v>
      </c>
      <c r="B1745">
        <v>1744</v>
      </c>
      <c r="C1745">
        <v>17</v>
      </c>
      <c r="D1745">
        <v>2</v>
      </c>
      <c r="E1745">
        <v>2023</v>
      </c>
      <c r="F1745" s="1">
        <f t="shared" si="137"/>
        <v>44974</v>
      </c>
      <c r="G1745" s="1" t="s">
        <v>408</v>
      </c>
      <c r="H1745" s="2">
        <v>46221</v>
      </c>
      <c r="I1745" t="s">
        <v>19</v>
      </c>
      <c r="J1745">
        <v>4</v>
      </c>
      <c r="K1745">
        <v>39426.79</v>
      </c>
      <c r="L1745" t="s">
        <v>561</v>
      </c>
      <c r="M1745">
        <v>57</v>
      </c>
      <c r="N1745" t="s">
        <v>61</v>
      </c>
      <c r="O1745" s="3" t="s">
        <v>55</v>
      </c>
      <c r="P1745" t="s">
        <v>114</v>
      </c>
      <c r="Q1745" t="s">
        <v>24</v>
      </c>
      <c r="R1745">
        <v>1</v>
      </c>
      <c r="S1745" t="s">
        <v>25</v>
      </c>
      <c r="T1745" s="4">
        <f t="shared" si="138"/>
        <v>157707.16</v>
      </c>
      <c r="U1745" s="4" t="str">
        <f t="shared" si="139"/>
        <v>Average</v>
      </c>
      <c r="V1745" s="4" t="str">
        <f t="shared" si="140"/>
        <v>Good</v>
      </c>
      <c r="W1745" s="4"/>
      <c r="X1745" s="4"/>
      <c r="AJ1745" s="4"/>
    </row>
    <row r="1746" spans="1:36">
      <c r="A1746" t="str">
        <f t="shared" si="136"/>
        <v>Yoge561745</v>
      </c>
      <c r="B1746">
        <v>1745</v>
      </c>
      <c r="C1746">
        <v>17</v>
      </c>
      <c r="D1746">
        <v>2</v>
      </c>
      <c r="E1746">
        <v>2023</v>
      </c>
      <c r="F1746" s="1">
        <f t="shared" si="137"/>
        <v>44974</v>
      </c>
      <c r="G1746" s="1" t="s">
        <v>408</v>
      </c>
      <c r="H1746" s="2">
        <v>46222</v>
      </c>
      <c r="I1746" t="s">
        <v>26</v>
      </c>
      <c r="J1746">
        <v>6</v>
      </c>
      <c r="K1746">
        <v>12223.12</v>
      </c>
      <c r="L1746" t="s">
        <v>289</v>
      </c>
      <c r="M1746">
        <v>56</v>
      </c>
      <c r="N1746" t="s">
        <v>61</v>
      </c>
      <c r="O1746" s="3" t="s">
        <v>22</v>
      </c>
      <c r="P1746" t="s">
        <v>117</v>
      </c>
      <c r="Q1746" t="s">
        <v>24</v>
      </c>
      <c r="R1746">
        <v>5</v>
      </c>
      <c r="S1746" t="s">
        <v>67</v>
      </c>
      <c r="T1746" s="4">
        <f t="shared" si="138"/>
        <v>73338.720000000001</v>
      </c>
      <c r="U1746" s="4" t="str">
        <f t="shared" si="139"/>
        <v>Good</v>
      </c>
      <c r="V1746" s="4" t="str">
        <f t="shared" si="140"/>
        <v>Average</v>
      </c>
      <c r="W1746" s="4"/>
      <c r="X1746" s="4"/>
      <c r="AJ1746" s="4"/>
    </row>
    <row r="1747" spans="1:36">
      <c r="A1747" t="str">
        <f t="shared" si="136"/>
        <v>Jyot431746</v>
      </c>
      <c r="B1747">
        <v>1746</v>
      </c>
      <c r="C1747">
        <v>18</v>
      </c>
      <c r="D1747">
        <v>2</v>
      </c>
      <c r="E1747">
        <v>2023</v>
      </c>
      <c r="F1747" s="1">
        <f t="shared" si="137"/>
        <v>44975</v>
      </c>
      <c r="G1747" s="1" t="s">
        <v>408</v>
      </c>
      <c r="H1747" s="2">
        <v>46223</v>
      </c>
      <c r="I1747" t="s">
        <v>38</v>
      </c>
      <c r="J1747">
        <v>8</v>
      </c>
      <c r="K1747">
        <v>42115.16</v>
      </c>
      <c r="L1747" t="s">
        <v>306</v>
      </c>
      <c r="M1747">
        <v>43</v>
      </c>
      <c r="N1747" t="s">
        <v>21</v>
      </c>
      <c r="O1747" s="3" t="s">
        <v>22</v>
      </c>
      <c r="P1747" t="s">
        <v>90</v>
      </c>
      <c r="Q1747" t="s">
        <v>41</v>
      </c>
      <c r="R1747">
        <v>5</v>
      </c>
      <c r="S1747" t="s">
        <v>48</v>
      </c>
      <c r="T1747" s="4">
        <f t="shared" si="138"/>
        <v>336921.28</v>
      </c>
      <c r="U1747" s="4" t="str">
        <f t="shared" si="139"/>
        <v>Good</v>
      </c>
      <c r="V1747" s="4" t="str">
        <f t="shared" si="140"/>
        <v>Excellent</v>
      </c>
      <c r="W1747" s="4"/>
      <c r="X1747" s="4"/>
      <c r="AJ1747" s="4"/>
    </row>
    <row r="1748" spans="1:36">
      <c r="A1748" t="str">
        <f t="shared" si="136"/>
        <v>Bhav421747</v>
      </c>
      <c r="B1748">
        <v>1747</v>
      </c>
      <c r="C1748">
        <v>18</v>
      </c>
      <c r="D1748">
        <v>2</v>
      </c>
      <c r="E1748">
        <v>2023</v>
      </c>
      <c r="F1748" s="1">
        <f t="shared" si="137"/>
        <v>44975</v>
      </c>
      <c r="G1748" s="1" t="s">
        <v>408</v>
      </c>
      <c r="H1748" s="2">
        <v>46224</v>
      </c>
      <c r="I1748" t="s">
        <v>38</v>
      </c>
      <c r="J1748">
        <v>3</v>
      </c>
      <c r="K1748">
        <v>52287.74</v>
      </c>
      <c r="L1748" t="s">
        <v>35</v>
      </c>
      <c r="M1748">
        <v>42</v>
      </c>
      <c r="N1748" t="s">
        <v>21</v>
      </c>
      <c r="O1748" s="3" t="s">
        <v>22</v>
      </c>
      <c r="P1748" t="s">
        <v>33</v>
      </c>
      <c r="Q1748" t="s">
        <v>24</v>
      </c>
      <c r="R1748">
        <v>4</v>
      </c>
      <c r="S1748" t="s">
        <v>48</v>
      </c>
      <c r="T1748" s="4">
        <f t="shared" si="138"/>
        <v>156863.22</v>
      </c>
      <c r="U1748" s="4" t="str">
        <f t="shared" si="139"/>
        <v>Good</v>
      </c>
      <c r="V1748" s="4" t="str">
        <f t="shared" si="140"/>
        <v>Good</v>
      </c>
      <c r="W1748" s="4"/>
      <c r="X1748" s="4"/>
      <c r="AJ1748" s="4"/>
    </row>
    <row r="1749" spans="1:36">
      <c r="A1749" t="str">
        <f t="shared" si="136"/>
        <v>Arun341748</v>
      </c>
      <c r="B1749">
        <v>1748</v>
      </c>
      <c r="C1749">
        <v>18</v>
      </c>
      <c r="D1749">
        <v>2</v>
      </c>
      <c r="E1749">
        <v>2023</v>
      </c>
      <c r="F1749" s="1">
        <f t="shared" si="137"/>
        <v>44975</v>
      </c>
      <c r="G1749" s="1" t="s">
        <v>408</v>
      </c>
      <c r="H1749" s="2">
        <v>46225</v>
      </c>
      <c r="I1749" t="s">
        <v>26</v>
      </c>
      <c r="J1749">
        <v>5</v>
      </c>
      <c r="K1749">
        <v>30349.87</v>
      </c>
      <c r="L1749" t="s">
        <v>382</v>
      </c>
      <c r="M1749">
        <v>34</v>
      </c>
      <c r="N1749" t="s">
        <v>21</v>
      </c>
      <c r="O1749" s="3" t="s">
        <v>22</v>
      </c>
      <c r="P1749" t="s">
        <v>40</v>
      </c>
      <c r="Q1749" t="s">
        <v>56</v>
      </c>
      <c r="R1749">
        <v>4</v>
      </c>
      <c r="S1749" t="s">
        <v>31</v>
      </c>
      <c r="T1749" s="4">
        <f t="shared" si="138"/>
        <v>151749.35</v>
      </c>
      <c r="U1749" s="4" t="str">
        <f t="shared" si="139"/>
        <v>Good</v>
      </c>
      <c r="V1749" s="4" t="str">
        <f t="shared" si="140"/>
        <v>Good</v>
      </c>
      <c r="W1749" s="4"/>
      <c r="X1749" s="4"/>
      <c r="AJ1749" s="4"/>
    </row>
    <row r="1750" spans="1:36">
      <c r="A1750" t="str">
        <f t="shared" si="136"/>
        <v>Rame321749</v>
      </c>
      <c r="B1750">
        <v>1749</v>
      </c>
      <c r="C1750">
        <v>18</v>
      </c>
      <c r="D1750">
        <v>2</v>
      </c>
      <c r="E1750">
        <v>2023</v>
      </c>
      <c r="F1750" s="1">
        <f t="shared" si="137"/>
        <v>44975</v>
      </c>
      <c r="G1750" s="1" t="s">
        <v>408</v>
      </c>
      <c r="H1750" s="2">
        <v>46226</v>
      </c>
      <c r="I1750" t="s">
        <v>43</v>
      </c>
      <c r="J1750">
        <v>2</v>
      </c>
      <c r="K1750">
        <v>16663.8</v>
      </c>
      <c r="L1750" t="s">
        <v>69</v>
      </c>
      <c r="M1750">
        <v>32</v>
      </c>
      <c r="N1750" t="s">
        <v>21</v>
      </c>
      <c r="O1750" s="3" t="s">
        <v>55</v>
      </c>
      <c r="P1750" t="s">
        <v>51</v>
      </c>
      <c r="Q1750" t="s">
        <v>56</v>
      </c>
      <c r="R1750">
        <v>1</v>
      </c>
      <c r="S1750" t="s">
        <v>46</v>
      </c>
      <c r="T1750" s="4">
        <f t="shared" si="138"/>
        <v>33327.599999999999</v>
      </c>
      <c r="U1750" s="4" t="str">
        <f t="shared" si="139"/>
        <v>Average</v>
      </c>
      <c r="V1750" s="4" t="str">
        <f t="shared" si="140"/>
        <v>Low</v>
      </c>
      <c r="W1750" s="4"/>
      <c r="X1750" s="4"/>
      <c r="AJ1750" s="4"/>
    </row>
    <row r="1751" spans="1:36">
      <c r="A1751" t="str">
        <f t="shared" si="136"/>
        <v>Nami541750</v>
      </c>
      <c r="B1751">
        <v>1750</v>
      </c>
      <c r="C1751">
        <v>19</v>
      </c>
      <c r="D1751">
        <v>2</v>
      </c>
      <c r="E1751">
        <v>2023</v>
      </c>
      <c r="F1751" s="1">
        <f t="shared" si="137"/>
        <v>44976</v>
      </c>
      <c r="G1751" s="1" t="s">
        <v>408</v>
      </c>
      <c r="H1751" s="2">
        <v>46227</v>
      </c>
      <c r="I1751" t="s">
        <v>26</v>
      </c>
      <c r="J1751">
        <v>2</v>
      </c>
      <c r="K1751">
        <v>26714.080000000002</v>
      </c>
      <c r="L1751" t="s">
        <v>153</v>
      </c>
      <c r="M1751">
        <v>54</v>
      </c>
      <c r="N1751" t="s">
        <v>61</v>
      </c>
      <c r="O1751" s="3" t="s">
        <v>55</v>
      </c>
      <c r="P1751" t="s">
        <v>29</v>
      </c>
      <c r="Q1751" t="s">
        <v>41</v>
      </c>
      <c r="R1751">
        <v>1</v>
      </c>
      <c r="S1751" t="s">
        <v>34</v>
      </c>
      <c r="T1751" s="4">
        <f t="shared" si="138"/>
        <v>53428.160000000003</v>
      </c>
      <c r="U1751" s="4" t="str">
        <f t="shared" si="139"/>
        <v>Average</v>
      </c>
      <c r="V1751" s="4" t="str">
        <f t="shared" si="140"/>
        <v>Average</v>
      </c>
      <c r="W1751" s="4"/>
      <c r="X1751" s="4"/>
      <c r="AJ1751" s="4"/>
    </row>
    <row r="1752" spans="1:36">
      <c r="A1752" t="str">
        <f t="shared" si="136"/>
        <v>Sach211751</v>
      </c>
      <c r="B1752">
        <v>1751</v>
      </c>
      <c r="C1752">
        <v>19</v>
      </c>
      <c r="D1752">
        <v>2</v>
      </c>
      <c r="E1752">
        <v>2023</v>
      </c>
      <c r="F1752" s="1">
        <f t="shared" si="137"/>
        <v>44976</v>
      </c>
      <c r="G1752" s="1" t="s">
        <v>408</v>
      </c>
      <c r="H1752" s="2">
        <v>46228</v>
      </c>
      <c r="I1752" t="s">
        <v>49</v>
      </c>
      <c r="J1752">
        <v>7</v>
      </c>
      <c r="K1752">
        <v>56295.33</v>
      </c>
      <c r="L1752" t="s">
        <v>104</v>
      </c>
      <c r="M1752">
        <v>21</v>
      </c>
      <c r="N1752" t="s">
        <v>36</v>
      </c>
      <c r="O1752" s="3" t="s">
        <v>22</v>
      </c>
      <c r="P1752" t="s">
        <v>70</v>
      </c>
      <c r="Q1752" t="s">
        <v>56</v>
      </c>
      <c r="R1752">
        <v>5</v>
      </c>
      <c r="S1752" t="s">
        <v>102</v>
      </c>
      <c r="T1752" s="4">
        <f t="shared" si="138"/>
        <v>394067.31</v>
      </c>
      <c r="U1752" s="4" t="str">
        <f t="shared" si="139"/>
        <v>Good</v>
      </c>
      <c r="V1752" s="4" t="str">
        <f t="shared" si="140"/>
        <v>Excellent</v>
      </c>
      <c r="W1752" s="4"/>
      <c r="X1752" s="4"/>
      <c r="AJ1752" s="4"/>
    </row>
    <row r="1753" spans="1:36">
      <c r="A1753" t="str">
        <f t="shared" si="136"/>
        <v>Mala391752</v>
      </c>
      <c r="B1753">
        <v>1752</v>
      </c>
      <c r="C1753">
        <v>19</v>
      </c>
      <c r="D1753">
        <v>2</v>
      </c>
      <c r="E1753">
        <v>2023</v>
      </c>
      <c r="F1753" s="1">
        <f t="shared" si="137"/>
        <v>44976</v>
      </c>
      <c r="G1753" s="1" t="s">
        <v>408</v>
      </c>
      <c r="H1753" s="2">
        <v>46229</v>
      </c>
      <c r="I1753" t="s">
        <v>38</v>
      </c>
      <c r="J1753">
        <v>6</v>
      </c>
      <c r="K1753">
        <v>31074.63</v>
      </c>
      <c r="L1753" t="s">
        <v>542</v>
      </c>
      <c r="M1753">
        <v>39</v>
      </c>
      <c r="N1753" t="s">
        <v>21</v>
      </c>
      <c r="O1753" s="3" t="s">
        <v>55</v>
      </c>
      <c r="P1753" t="s">
        <v>29</v>
      </c>
      <c r="Q1753" t="s">
        <v>30</v>
      </c>
      <c r="R1753">
        <v>1</v>
      </c>
      <c r="S1753" t="s">
        <v>48</v>
      </c>
      <c r="T1753" s="4">
        <f t="shared" si="138"/>
        <v>186447.78</v>
      </c>
      <c r="U1753" s="4" t="str">
        <f t="shared" si="139"/>
        <v>Average</v>
      </c>
      <c r="V1753" s="4" t="str">
        <f t="shared" si="140"/>
        <v>Good</v>
      </c>
      <c r="W1753" s="4"/>
      <c r="X1753" s="4"/>
      <c r="AJ1753" s="4"/>
    </row>
    <row r="1754" spans="1:36">
      <c r="A1754" t="str">
        <f t="shared" si="136"/>
        <v>Hari341753</v>
      </c>
      <c r="B1754">
        <v>1753</v>
      </c>
      <c r="C1754">
        <v>20</v>
      </c>
      <c r="D1754">
        <v>2</v>
      </c>
      <c r="E1754">
        <v>2023</v>
      </c>
      <c r="F1754" s="1">
        <f t="shared" si="137"/>
        <v>44977</v>
      </c>
      <c r="G1754" s="1" t="s">
        <v>408</v>
      </c>
      <c r="H1754" s="2">
        <v>46230</v>
      </c>
      <c r="I1754" t="s">
        <v>19</v>
      </c>
      <c r="J1754">
        <v>4</v>
      </c>
      <c r="K1754">
        <v>58718.89</v>
      </c>
      <c r="L1754" t="s">
        <v>344</v>
      </c>
      <c r="M1754">
        <v>34</v>
      </c>
      <c r="N1754" t="s">
        <v>21</v>
      </c>
      <c r="O1754" s="3" t="s">
        <v>22</v>
      </c>
      <c r="P1754" t="s">
        <v>29</v>
      </c>
      <c r="Q1754" t="s">
        <v>56</v>
      </c>
      <c r="R1754">
        <v>5</v>
      </c>
      <c r="S1754" t="s">
        <v>37</v>
      </c>
      <c r="T1754" s="4">
        <f t="shared" si="138"/>
        <v>234875.56</v>
      </c>
      <c r="U1754" s="4" t="str">
        <f t="shared" si="139"/>
        <v>Good</v>
      </c>
      <c r="V1754" s="4" t="str">
        <f t="shared" si="140"/>
        <v>Excellent</v>
      </c>
      <c r="W1754" s="4"/>
      <c r="X1754" s="4"/>
      <c r="AJ1754" s="4"/>
    </row>
    <row r="1755" spans="1:36">
      <c r="A1755" t="str">
        <f t="shared" si="136"/>
        <v>Lata391754</v>
      </c>
      <c r="B1755">
        <v>1754</v>
      </c>
      <c r="C1755">
        <v>20</v>
      </c>
      <c r="D1755">
        <v>2</v>
      </c>
      <c r="E1755">
        <v>2023</v>
      </c>
      <c r="F1755" s="1">
        <f t="shared" si="137"/>
        <v>44977</v>
      </c>
      <c r="G1755" s="1" t="s">
        <v>408</v>
      </c>
      <c r="H1755" s="2">
        <v>46231</v>
      </c>
      <c r="I1755" t="s">
        <v>49</v>
      </c>
      <c r="J1755">
        <v>5</v>
      </c>
      <c r="K1755">
        <v>29171.29</v>
      </c>
      <c r="L1755" t="s">
        <v>522</v>
      </c>
      <c r="M1755">
        <v>39</v>
      </c>
      <c r="N1755" t="s">
        <v>21</v>
      </c>
      <c r="O1755" s="3" t="s">
        <v>22</v>
      </c>
      <c r="P1755" t="s">
        <v>29</v>
      </c>
      <c r="Q1755" t="s">
        <v>56</v>
      </c>
      <c r="R1755">
        <v>5</v>
      </c>
      <c r="S1755" t="s">
        <v>88</v>
      </c>
      <c r="T1755" s="4">
        <f t="shared" si="138"/>
        <v>145856.45000000001</v>
      </c>
      <c r="U1755" s="4" t="str">
        <f t="shared" si="139"/>
        <v>Good</v>
      </c>
      <c r="V1755" s="4" t="str">
        <f t="shared" si="140"/>
        <v>Good</v>
      </c>
      <c r="W1755" s="4"/>
      <c r="X1755" s="4"/>
      <c r="AJ1755" s="4"/>
    </row>
    <row r="1756" spans="1:36">
      <c r="A1756" t="str">
        <f t="shared" si="136"/>
        <v>Rame341755</v>
      </c>
      <c r="B1756">
        <v>1755</v>
      </c>
      <c r="C1756">
        <v>20</v>
      </c>
      <c r="D1756">
        <v>2</v>
      </c>
      <c r="E1756">
        <v>2023</v>
      </c>
      <c r="F1756" s="1">
        <f t="shared" si="137"/>
        <v>44977</v>
      </c>
      <c r="G1756" s="1" t="s">
        <v>408</v>
      </c>
      <c r="H1756" s="2">
        <v>46232</v>
      </c>
      <c r="I1756" t="s">
        <v>38</v>
      </c>
      <c r="J1756">
        <v>1</v>
      </c>
      <c r="K1756">
        <v>19813.3</v>
      </c>
      <c r="L1756" t="s">
        <v>69</v>
      </c>
      <c r="M1756">
        <v>34</v>
      </c>
      <c r="N1756" t="s">
        <v>21</v>
      </c>
      <c r="O1756" s="3" t="s">
        <v>55</v>
      </c>
      <c r="P1756" t="s">
        <v>33</v>
      </c>
      <c r="Q1756" t="s">
        <v>24</v>
      </c>
      <c r="R1756">
        <v>1</v>
      </c>
      <c r="S1756" t="s">
        <v>42</v>
      </c>
      <c r="T1756" s="4">
        <f t="shared" si="138"/>
        <v>19813.3</v>
      </c>
      <c r="U1756" s="4" t="str">
        <f t="shared" si="139"/>
        <v>Average</v>
      </c>
      <c r="V1756" s="4" t="str">
        <f t="shared" si="140"/>
        <v>Low</v>
      </c>
      <c r="W1756" s="4"/>
      <c r="X1756" s="4"/>
      <c r="AJ1756" s="4"/>
    </row>
    <row r="1757" spans="1:36">
      <c r="A1757" t="str">
        <f t="shared" si="136"/>
        <v>Deve311756</v>
      </c>
      <c r="B1757">
        <v>1756</v>
      </c>
      <c r="C1757">
        <v>20</v>
      </c>
      <c r="D1757">
        <v>2</v>
      </c>
      <c r="E1757">
        <v>2023</v>
      </c>
      <c r="F1757" s="1">
        <f t="shared" si="137"/>
        <v>44977</v>
      </c>
      <c r="G1757" s="1" t="s">
        <v>408</v>
      </c>
      <c r="H1757" s="2">
        <v>46233</v>
      </c>
      <c r="I1757" t="s">
        <v>26</v>
      </c>
      <c r="J1757">
        <v>7</v>
      </c>
      <c r="K1757">
        <v>36150.9</v>
      </c>
      <c r="L1757" t="s">
        <v>351</v>
      </c>
      <c r="M1757">
        <v>31</v>
      </c>
      <c r="N1757" t="s">
        <v>21</v>
      </c>
      <c r="O1757" s="3" t="s">
        <v>22</v>
      </c>
      <c r="P1757" t="s">
        <v>23</v>
      </c>
      <c r="Q1757" t="s">
        <v>56</v>
      </c>
      <c r="R1757">
        <v>5</v>
      </c>
      <c r="S1757" t="s">
        <v>34</v>
      </c>
      <c r="T1757" s="4">
        <f t="shared" si="138"/>
        <v>253056.30000000002</v>
      </c>
      <c r="U1757" s="4" t="str">
        <f t="shared" si="139"/>
        <v>Good</v>
      </c>
      <c r="V1757" s="4" t="str">
        <f t="shared" si="140"/>
        <v>Excellent</v>
      </c>
      <c r="W1757" s="4"/>
      <c r="X1757" s="4"/>
      <c r="AJ1757" s="4"/>
    </row>
    <row r="1758" spans="1:36">
      <c r="A1758" t="str">
        <f t="shared" si="136"/>
        <v>Meen311757</v>
      </c>
      <c r="B1758">
        <v>1757</v>
      </c>
      <c r="C1758">
        <v>21</v>
      </c>
      <c r="D1758">
        <v>2</v>
      </c>
      <c r="E1758">
        <v>2023</v>
      </c>
      <c r="F1758" s="1">
        <f t="shared" si="137"/>
        <v>44978</v>
      </c>
      <c r="G1758" s="1" t="s">
        <v>408</v>
      </c>
      <c r="H1758" s="2">
        <v>46234</v>
      </c>
      <c r="I1758" t="s">
        <v>49</v>
      </c>
      <c r="J1758">
        <v>8</v>
      </c>
      <c r="K1758">
        <v>37136.47</v>
      </c>
      <c r="L1758" t="s">
        <v>432</v>
      </c>
      <c r="M1758">
        <v>31</v>
      </c>
      <c r="N1758" t="s">
        <v>21</v>
      </c>
      <c r="O1758" s="3" t="s">
        <v>22</v>
      </c>
      <c r="P1758" t="s">
        <v>137</v>
      </c>
      <c r="Q1758" t="s">
        <v>41</v>
      </c>
      <c r="R1758">
        <v>5</v>
      </c>
      <c r="S1758" t="s">
        <v>52</v>
      </c>
      <c r="T1758" s="4">
        <f t="shared" si="138"/>
        <v>297091.76</v>
      </c>
      <c r="U1758" s="4" t="str">
        <f t="shared" si="139"/>
        <v>Good</v>
      </c>
      <c r="V1758" s="4" t="str">
        <f t="shared" si="140"/>
        <v>Excellent</v>
      </c>
      <c r="W1758" s="4"/>
      <c r="X1758" s="4"/>
      <c r="AJ1758" s="4"/>
    </row>
    <row r="1759" spans="1:36">
      <c r="A1759" t="str">
        <f t="shared" si="136"/>
        <v>Roha341758</v>
      </c>
      <c r="B1759">
        <v>1758</v>
      </c>
      <c r="C1759">
        <v>21</v>
      </c>
      <c r="D1759">
        <v>2</v>
      </c>
      <c r="E1759">
        <v>2023</v>
      </c>
      <c r="F1759" s="1">
        <f t="shared" si="137"/>
        <v>44978</v>
      </c>
      <c r="G1759" s="1" t="s">
        <v>408</v>
      </c>
      <c r="H1759" s="2">
        <v>46235</v>
      </c>
      <c r="I1759" t="s">
        <v>38</v>
      </c>
      <c r="J1759">
        <v>9</v>
      </c>
      <c r="K1759">
        <v>10966.49</v>
      </c>
      <c r="L1759" t="s">
        <v>489</v>
      </c>
      <c r="M1759">
        <v>34</v>
      </c>
      <c r="N1759" t="s">
        <v>21</v>
      </c>
      <c r="O1759" s="3" t="s">
        <v>22</v>
      </c>
      <c r="P1759" t="s">
        <v>70</v>
      </c>
      <c r="Q1759" t="s">
        <v>56</v>
      </c>
      <c r="R1759">
        <v>5</v>
      </c>
      <c r="S1759" t="s">
        <v>48</v>
      </c>
      <c r="T1759" s="4">
        <f t="shared" si="138"/>
        <v>98698.41</v>
      </c>
      <c r="U1759" s="4" t="str">
        <f t="shared" si="139"/>
        <v>Good</v>
      </c>
      <c r="V1759" s="4" t="str">
        <f t="shared" si="140"/>
        <v>Average</v>
      </c>
      <c r="W1759" s="4"/>
      <c r="X1759" s="4"/>
      <c r="AJ1759" s="4"/>
    </row>
    <row r="1760" spans="1:36">
      <c r="A1760" t="str">
        <f t="shared" si="136"/>
        <v>Nikh251759</v>
      </c>
      <c r="B1760">
        <v>1759</v>
      </c>
      <c r="C1760">
        <v>21</v>
      </c>
      <c r="D1760">
        <v>2</v>
      </c>
      <c r="E1760">
        <v>2023</v>
      </c>
      <c r="F1760" s="1">
        <f t="shared" si="137"/>
        <v>44978</v>
      </c>
      <c r="G1760" s="1" t="s">
        <v>408</v>
      </c>
      <c r="H1760" s="2">
        <v>46236</v>
      </c>
      <c r="I1760" t="s">
        <v>43</v>
      </c>
      <c r="J1760">
        <v>8</v>
      </c>
      <c r="K1760">
        <v>17022.7</v>
      </c>
      <c r="L1760" t="s">
        <v>928</v>
      </c>
      <c r="M1760">
        <v>25</v>
      </c>
      <c r="N1760" t="s">
        <v>36</v>
      </c>
      <c r="O1760" s="3" t="s">
        <v>22</v>
      </c>
      <c r="P1760" t="s">
        <v>117</v>
      </c>
      <c r="Q1760" t="s">
        <v>56</v>
      </c>
      <c r="R1760">
        <v>5</v>
      </c>
      <c r="S1760" t="s">
        <v>95</v>
      </c>
      <c r="T1760" s="4">
        <f t="shared" si="138"/>
        <v>136181.6</v>
      </c>
      <c r="U1760" s="4" t="str">
        <f t="shared" si="139"/>
        <v>Good</v>
      </c>
      <c r="V1760" s="4" t="str">
        <f t="shared" si="140"/>
        <v>Good</v>
      </c>
      <c r="W1760" s="4"/>
      <c r="X1760" s="4"/>
      <c r="AJ1760" s="4"/>
    </row>
    <row r="1761" spans="1:36">
      <c r="A1761" t="str">
        <f t="shared" si="136"/>
        <v>Kira511760</v>
      </c>
      <c r="B1761">
        <v>1760</v>
      </c>
      <c r="C1761">
        <v>22</v>
      </c>
      <c r="D1761">
        <v>2</v>
      </c>
      <c r="E1761">
        <v>2023</v>
      </c>
      <c r="F1761" s="1">
        <f t="shared" si="137"/>
        <v>44979</v>
      </c>
      <c r="G1761" s="1" t="s">
        <v>408</v>
      </c>
      <c r="H1761" s="2">
        <v>46237</v>
      </c>
      <c r="I1761" t="s">
        <v>43</v>
      </c>
      <c r="J1761">
        <v>5</v>
      </c>
      <c r="K1761">
        <v>21095.56</v>
      </c>
      <c r="L1761" t="s">
        <v>763</v>
      </c>
      <c r="M1761">
        <v>51</v>
      </c>
      <c r="N1761" t="s">
        <v>61</v>
      </c>
      <c r="O1761" s="3" t="s">
        <v>22</v>
      </c>
      <c r="P1761" t="s">
        <v>33</v>
      </c>
      <c r="Q1761" t="s">
        <v>41</v>
      </c>
      <c r="R1761">
        <v>5</v>
      </c>
      <c r="S1761" t="s">
        <v>46</v>
      </c>
      <c r="T1761" s="4">
        <f t="shared" si="138"/>
        <v>105477.8</v>
      </c>
      <c r="U1761" s="4" t="str">
        <f t="shared" si="139"/>
        <v>Good</v>
      </c>
      <c r="V1761" s="4" t="str">
        <f t="shared" si="140"/>
        <v>Good</v>
      </c>
      <c r="W1761" s="4"/>
      <c r="X1761" s="4"/>
      <c r="AJ1761" s="4"/>
    </row>
    <row r="1762" spans="1:36">
      <c r="A1762" t="str">
        <f t="shared" si="136"/>
        <v>Arun431761</v>
      </c>
      <c r="B1762">
        <v>1761</v>
      </c>
      <c r="C1762">
        <v>22</v>
      </c>
      <c r="D1762">
        <v>2</v>
      </c>
      <c r="E1762">
        <v>2023</v>
      </c>
      <c r="F1762" s="1">
        <f t="shared" si="137"/>
        <v>44979</v>
      </c>
      <c r="G1762" s="1" t="s">
        <v>408</v>
      </c>
      <c r="H1762" s="2">
        <v>46238</v>
      </c>
      <c r="I1762" t="s">
        <v>19</v>
      </c>
      <c r="J1762">
        <v>3</v>
      </c>
      <c r="K1762">
        <v>16815.240000000002</v>
      </c>
      <c r="L1762" t="s">
        <v>929</v>
      </c>
      <c r="M1762">
        <v>43</v>
      </c>
      <c r="N1762" t="s">
        <v>21</v>
      </c>
      <c r="O1762" s="3" t="s">
        <v>22</v>
      </c>
      <c r="P1762" t="s">
        <v>29</v>
      </c>
      <c r="Q1762" t="s">
        <v>41</v>
      </c>
      <c r="R1762">
        <v>5</v>
      </c>
      <c r="S1762" t="s">
        <v>25</v>
      </c>
      <c r="T1762" s="4">
        <f t="shared" si="138"/>
        <v>50445.72</v>
      </c>
      <c r="U1762" s="4" t="str">
        <f t="shared" si="139"/>
        <v>Good</v>
      </c>
      <c r="V1762" s="4" t="str">
        <f t="shared" si="140"/>
        <v>Average</v>
      </c>
      <c r="W1762" s="4"/>
      <c r="X1762" s="4"/>
      <c r="AJ1762" s="4"/>
    </row>
    <row r="1763" spans="1:36">
      <c r="A1763" t="str">
        <f t="shared" si="136"/>
        <v>Moni471762</v>
      </c>
      <c r="B1763">
        <v>1762</v>
      </c>
      <c r="C1763">
        <v>22</v>
      </c>
      <c r="D1763">
        <v>2</v>
      </c>
      <c r="E1763">
        <v>2023</v>
      </c>
      <c r="F1763" s="1">
        <f t="shared" si="137"/>
        <v>44979</v>
      </c>
      <c r="G1763" s="1" t="s">
        <v>408</v>
      </c>
      <c r="H1763" s="2">
        <v>46239</v>
      </c>
      <c r="I1763" t="s">
        <v>38</v>
      </c>
      <c r="J1763">
        <v>9</v>
      </c>
      <c r="K1763">
        <v>30491.56</v>
      </c>
      <c r="L1763" t="s">
        <v>688</v>
      </c>
      <c r="M1763">
        <v>47</v>
      </c>
      <c r="N1763" t="s">
        <v>61</v>
      </c>
      <c r="O1763" s="3" t="s">
        <v>28</v>
      </c>
      <c r="P1763" t="s">
        <v>33</v>
      </c>
      <c r="Q1763" t="s">
        <v>24</v>
      </c>
      <c r="R1763">
        <v>3</v>
      </c>
      <c r="S1763" t="s">
        <v>99</v>
      </c>
      <c r="T1763" s="4">
        <f t="shared" si="138"/>
        <v>274424.04000000004</v>
      </c>
      <c r="U1763" s="4" t="str">
        <f t="shared" si="139"/>
        <v>Average</v>
      </c>
      <c r="V1763" s="4" t="str">
        <f t="shared" si="140"/>
        <v>Excellent</v>
      </c>
      <c r="W1763" s="4"/>
      <c r="X1763" s="4"/>
      <c r="AJ1763" s="4"/>
    </row>
    <row r="1764" spans="1:36">
      <c r="A1764" t="str">
        <f t="shared" si="136"/>
        <v>Lali391763</v>
      </c>
      <c r="B1764">
        <v>1763</v>
      </c>
      <c r="C1764">
        <v>23</v>
      </c>
      <c r="D1764">
        <v>2</v>
      </c>
      <c r="E1764">
        <v>2023</v>
      </c>
      <c r="F1764" s="1">
        <f t="shared" si="137"/>
        <v>44980</v>
      </c>
      <c r="G1764" s="1" t="s">
        <v>408</v>
      </c>
      <c r="H1764" s="2">
        <v>46240</v>
      </c>
      <c r="I1764" t="s">
        <v>43</v>
      </c>
      <c r="J1764">
        <v>6</v>
      </c>
      <c r="K1764">
        <v>67877.37</v>
      </c>
      <c r="L1764" t="s">
        <v>698</v>
      </c>
      <c r="M1764">
        <v>39</v>
      </c>
      <c r="N1764" t="s">
        <v>21</v>
      </c>
      <c r="O1764" s="3" t="s">
        <v>28</v>
      </c>
      <c r="P1764" t="s">
        <v>51</v>
      </c>
      <c r="Q1764" t="s">
        <v>30</v>
      </c>
      <c r="R1764">
        <v>3</v>
      </c>
      <c r="S1764" t="s">
        <v>57</v>
      </c>
      <c r="T1764" s="4">
        <f t="shared" si="138"/>
        <v>407264.22</v>
      </c>
      <c r="U1764" s="4" t="str">
        <f t="shared" si="139"/>
        <v>Average</v>
      </c>
      <c r="V1764" s="4" t="str">
        <f t="shared" si="140"/>
        <v>Excellent</v>
      </c>
      <c r="W1764" s="4"/>
      <c r="X1764" s="4"/>
      <c r="AJ1764" s="4"/>
    </row>
    <row r="1765" spans="1:36">
      <c r="A1765" t="str">
        <f t="shared" si="136"/>
        <v>Ravi331764</v>
      </c>
      <c r="B1765">
        <v>1764</v>
      </c>
      <c r="C1765">
        <v>23</v>
      </c>
      <c r="D1765">
        <v>2</v>
      </c>
      <c r="E1765">
        <v>2023</v>
      </c>
      <c r="F1765" s="1">
        <f t="shared" si="137"/>
        <v>44980</v>
      </c>
      <c r="G1765" s="1" t="s">
        <v>408</v>
      </c>
      <c r="H1765" s="2">
        <v>46241</v>
      </c>
      <c r="I1765" t="s">
        <v>26</v>
      </c>
      <c r="J1765">
        <v>5</v>
      </c>
      <c r="K1765">
        <v>40553.35</v>
      </c>
      <c r="L1765" t="s">
        <v>581</v>
      </c>
      <c r="M1765">
        <v>33</v>
      </c>
      <c r="N1765" t="s">
        <v>21</v>
      </c>
      <c r="O1765" s="3" t="s">
        <v>22</v>
      </c>
      <c r="P1765" t="s">
        <v>29</v>
      </c>
      <c r="Q1765" t="s">
        <v>56</v>
      </c>
      <c r="R1765">
        <v>5</v>
      </c>
      <c r="S1765" t="s">
        <v>31</v>
      </c>
      <c r="T1765" s="4">
        <f t="shared" si="138"/>
        <v>202766.75</v>
      </c>
      <c r="U1765" s="4" t="str">
        <f t="shared" si="139"/>
        <v>Good</v>
      </c>
      <c r="V1765" s="4" t="str">
        <f t="shared" si="140"/>
        <v>Excellent</v>
      </c>
      <c r="W1765" s="4"/>
      <c r="X1765" s="4"/>
      <c r="AJ1765" s="4"/>
    </row>
    <row r="1766" spans="1:36">
      <c r="A1766" t="str">
        <f t="shared" si="136"/>
        <v>Pooj471765</v>
      </c>
      <c r="B1766">
        <v>1765</v>
      </c>
      <c r="C1766">
        <v>23</v>
      </c>
      <c r="D1766">
        <v>2</v>
      </c>
      <c r="E1766">
        <v>2023</v>
      </c>
      <c r="F1766" s="1">
        <f t="shared" si="137"/>
        <v>44980</v>
      </c>
      <c r="G1766" s="1" t="s">
        <v>408</v>
      </c>
      <c r="H1766" s="2">
        <v>46242</v>
      </c>
      <c r="I1766" t="s">
        <v>38</v>
      </c>
      <c r="J1766">
        <v>3</v>
      </c>
      <c r="K1766">
        <v>47653.36</v>
      </c>
      <c r="L1766" t="s">
        <v>470</v>
      </c>
      <c r="M1766">
        <v>47</v>
      </c>
      <c r="N1766" t="s">
        <v>61</v>
      </c>
      <c r="O1766" s="3" t="s">
        <v>55</v>
      </c>
      <c r="P1766" t="s">
        <v>33</v>
      </c>
      <c r="Q1766" t="s">
        <v>30</v>
      </c>
      <c r="R1766">
        <v>1</v>
      </c>
      <c r="S1766" t="s">
        <v>99</v>
      </c>
      <c r="T1766" s="4">
        <f t="shared" si="138"/>
        <v>142960.08000000002</v>
      </c>
      <c r="U1766" s="4" t="str">
        <f t="shared" si="139"/>
        <v>Average</v>
      </c>
      <c r="V1766" s="4" t="str">
        <f t="shared" si="140"/>
        <v>Good</v>
      </c>
      <c r="W1766" s="4"/>
      <c r="X1766" s="4"/>
      <c r="AJ1766" s="4"/>
    </row>
    <row r="1767" spans="1:36">
      <c r="A1767" t="str">
        <f t="shared" si="136"/>
        <v>Mano331766</v>
      </c>
      <c r="B1767">
        <v>1766</v>
      </c>
      <c r="C1767">
        <v>24</v>
      </c>
      <c r="D1767">
        <v>2</v>
      </c>
      <c r="E1767">
        <v>2023</v>
      </c>
      <c r="F1767" s="1">
        <f t="shared" si="137"/>
        <v>44981</v>
      </c>
      <c r="G1767" s="1" t="s">
        <v>408</v>
      </c>
      <c r="H1767" s="2">
        <v>46243</v>
      </c>
      <c r="I1767" t="s">
        <v>26</v>
      </c>
      <c r="J1767">
        <v>6</v>
      </c>
      <c r="K1767">
        <v>31383.19</v>
      </c>
      <c r="L1767" t="s">
        <v>105</v>
      </c>
      <c r="M1767">
        <v>33</v>
      </c>
      <c r="N1767" t="s">
        <v>21</v>
      </c>
      <c r="O1767" s="3" t="s">
        <v>22</v>
      </c>
      <c r="P1767" t="s">
        <v>45</v>
      </c>
      <c r="Q1767" t="s">
        <v>24</v>
      </c>
      <c r="R1767">
        <v>5</v>
      </c>
      <c r="S1767" t="s">
        <v>31</v>
      </c>
      <c r="T1767" s="4">
        <f t="shared" si="138"/>
        <v>188299.13999999998</v>
      </c>
      <c r="U1767" s="4" t="str">
        <f t="shared" si="139"/>
        <v>Good</v>
      </c>
      <c r="V1767" s="4" t="str">
        <f t="shared" si="140"/>
        <v>Good</v>
      </c>
      <c r="W1767" s="4"/>
      <c r="X1767" s="4"/>
      <c r="AJ1767" s="4"/>
    </row>
    <row r="1768" spans="1:36">
      <c r="A1768" t="str">
        <f t="shared" si="136"/>
        <v>Pooj551767</v>
      </c>
      <c r="B1768">
        <v>1767</v>
      </c>
      <c r="C1768">
        <v>24</v>
      </c>
      <c r="D1768">
        <v>2</v>
      </c>
      <c r="E1768">
        <v>2023</v>
      </c>
      <c r="F1768" s="1">
        <f t="shared" si="137"/>
        <v>44981</v>
      </c>
      <c r="G1768" s="1" t="s">
        <v>408</v>
      </c>
      <c r="H1768" s="2">
        <v>46244</v>
      </c>
      <c r="I1768" t="s">
        <v>26</v>
      </c>
      <c r="J1768">
        <v>3</v>
      </c>
      <c r="K1768">
        <v>29409.27</v>
      </c>
      <c r="L1768" t="s">
        <v>300</v>
      </c>
      <c r="M1768">
        <v>55</v>
      </c>
      <c r="N1768" t="s">
        <v>61</v>
      </c>
      <c r="O1768" s="3" t="s">
        <v>28</v>
      </c>
      <c r="P1768" t="s">
        <v>33</v>
      </c>
      <c r="Q1768" t="s">
        <v>41</v>
      </c>
      <c r="R1768">
        <v>3</v>
      </c>
      <c r="S1768" t="s">
        <v>34</v>
      </c>
      <c r="T1768" s="4">
        <f t="shared" si="138"/>
        <v>88227.81</v>
      </c>
      <c r="U1768" s="4" t="str">
        <f t="shared" si="139"/>
        <v>Average</v>
      </c>
      <c r="V1768" s="4" t="str">
        <f t="shared" si="140"/>
        <v>Average</v>
      </c>
      <c r="W1768" s="4"/>
      <c r="X1768" s="4"/>
      <c r="AJ1768" s="4"/>
    </row>
    <row r="1769" spans="1:36">
      <c r="A1769" t="str">
        <f t="shared" si="136"/>
        <v>Roha411768</v>
      </c>
      <c r="B1769">
        <v>1768</v>
      </c>
      <c r="C1769">
        <v>24</v>
      </c>
      <c r="D1769">
        <v>2</v>
      </c>
      <c r="E1769">
        <v>2023</v>
      </c>
      <c r="F1769" s="1">
        <f t="shared" si="137"/>
        <v>44981</v>
      </c>
      <c r="G1769" s="1" t="s">
        <v>408</v>
      </c>
      <c r="H1769" s="2">
        <v>46245</v>
      </c>
      <c r="I1769" t="s">
        <v>43</v>
      </c>
      <c r="J1769">
        <v>6</v>
      </c>
      <c r="K1769">
        <v>11388.81</v>
      </c>
      <c r="L1769" t="s">
        <v>489</v>
      </c>
      <c r="M1769">
        <v>41</v>
      </c>
      <c r="N1769" t="s">
        <v>21</v>
      </c>
      <c r="O1769" s="3" t="s">
        <v>22</v>
      </c>
      <c r="P1769" t="s">
        <v>29</v>
      </c>
      <c r="Q1769" t="s">
        <v>41</v>
      </c>
      <c r="R1769">
        <v>4</v>
      </c>
      <c r="S1769" t="s">
        <v>95</v>
      </c>
      <c r="T1769" s="4">
        <f t="shared" si="138"/>
        <v>68332.86</v>
      </c>
      <c r="U1769" s="4" t="str">
        <f t="shared" si="139"/>
        <v>Good</v>
      </c>
      <c r="V1769" s="4" t="str">
        <f t="shared" si="140"/>
        <v>Average</v>
      </c>
      <c r="W1769" s="4"/>
      <c r="X1769" s="4"/>
      <c r="AJ1769" s="4"/>
    </row>
    <row r="1770" spans="1:36">
      <c r="A1770" t="str">
        <f t="shared" si="136"/>
        <v>Anja531769</v>
      </c>
      <c r="B1770">
        <v>1769</v>
      </c>
      <c r="C1770">
        <v>24</v>
      </c>
      <c r="D1770">
        <v>2</v>
      </c>
      <c r="E1770">
        <v>2023</v>
      </c>
      <c r="F1770" s="1">
        <f t="shared" si="137"/>
        <v>44981</v>
      </c>
      <c r="G1770" s="1" t="s">
        <v>408</v>
      </c>
      <c r="H1770" s="2">
        <v>46246</v>
      </c>
      <c r="I1770" t="s">
        <v>38</v>
      </c>
      <c r="J1770">
        <v>4</v>
      </c>
      <c r="K1770">
        <v>40020.019999999997</v>
      </c>
      <c r="L1770" t="s">
        <v>339</v>
      </c>
      <c r="M1770">
        <v>53</v>
      </c>
      <c r="N1770" t="s">
        <v>61</v>
      </c>
      <c r="O1770" s="3" t="s">
        <v>22</v>
      </c>
      <c r="P1770" t="s">
        <v>29</v>
      </c>
      <c r="Q1770" t="s">
        <v>41</v>
      </c>
      <c r="R1770">
        <v>4</v>
      </c>
      <c r="S1770" t="s">
        <v>99</v>
      </c>
      <c r="T1770" s="4">
        <f t="shared" si="138"/>
        <v>160080.07999999999</v>
      </c>
      <c r="U1770" s="4" t="str">
        <f t="shared" si="139"/>
        <v>Good</v>
      </c>
      <c r="V1770" s="4" t="str">
        <f t="shared" si="140"/>
        <v>Good</v>
      </c>
      <c r="W1770" s="4"/>
      <c r="X1770" s="4"/>
      <c r="AJ1770" s="4"/>
    </row>
    <row r="1771" spans="1:36">
      <c r="A1771" t="str">
        <f t="shared" si="136"/>
        <v>Kris521770</v>
      </c>
      <c r="B1771">
        <v>1770</v>
      </c>
      <c r="C1771">
        <v>25</v>
      </c>
      <c r="D1771">
        <v>2</v>
      </c>
      <c r="E1771">
        <v>2023</v>
      </c>
      <c r="F1771" s="1">
        <f t="shared" si="137"/>
        <v>44982</v>
      </c>
      <c r="G1771" s="1" t="s">
        <v>408</v>
      </c>
      <c r="H1771" s="2">
        <v>46247</v>
      </c>
      <c r="I1771" t="s">
        <v>49</v>
      </c>
      <c r="J1771">
        <v>2</v>
      </c>
      <c r="K1771">
        <v>39016.54</v>
      </c>
      <c r="L1771" t="s">
        <v>550</v>
      </c>
      <c r="M1771">
        <v>52</v>
      </c>
      <c r="N1771" t="s">
        <v>61</v>
      </c>
      <c r="O1771" s="3" t="s">
        <v>22</v>
      </c>
      <c r="P1771" t="s">
        <v>29</v>
      </c>
      <c r="Q1771" t="s">
        <v>24</v>
      </c>
      <c r="R1771">
        <v>5</v>
      </c>
      <c r="S1771" t="s">
        <v>88</v>
      </c>
      <c r="T1771" s="4">
        <f t="shared" si="138"/>
        <v>78033.08</v>
      </c>
      <c r="U1771" s="4" t="str">
        <f t="shared" si="139"/>
        <v>Good</v>
      </c>
      <c r="V1771" s="4" t="str">
        <f t="shared" si="140"/>
        <v>Average</v>
      </c>
      <c r="W1771" s="4"/>
      <c r="X1771" s="4"/>
      <c r="AJ1771" s="4"/>
    </row>
    <row r="1772" spans="1:36">
      <c r="A1772" t="str">
        <f t="shared" si="136"/>
        <v>Vive231771</v>
      </c>
      <c r="B1772">
        <v>1771</v>
      </c>
      <c r="C1772">
        <v>25</v>
      </c>
      <c r="D1772">
        <v>2</v>
      </c>
      <c r="E1772">
        <v>2023</v>
      </c>
      <c r="F1772" s="1">
        <f t="shared" si="137"/>
        <v>44982</v>
      </c>
      <c r="G1772" s="1" t="s">
        <v>408</v>
      </c>
      <c r="H1772" s="2">
        <v>46248</v>
      </c>
      <c r="I1772" t="s">
        <v>43</v>
      </c>
      <c r="J1772">
        <v>8</v>
      </c>
      <c r="K1772">
        <v>19469.84</v>
      </c>
      <c r="L1772" t="s">
        <v>420</v>
      </c>
      <c r="M1772">
        <v>23</v>
      </c>
      <c r="N1772" t="s">
        <v>36</v>
      </c>
      <c r="O1772" s="3" t="s">
        <v>28</v>
      </c>
      <c r="P1772" t="s">
        <v>114</v>
      </c>
      <c r="Q1772" t="s">
        <v>56</v>
      </c>
      <c r="R1772">
        <v>3</v>
      </c>
      <c r="S1772" t="s">
        <v>46</v>
      </c>
      <c r="T1772" s="4">
        <f t="shared" si="138"/>
        <v>155758.72</v>
      </c>
      <c r="U1772" s="4" t="str">
        <f t="shared" si="139"/>
        <v>Average</v>
      </c>
      <c r="V1772" s="4" t="str">
        <f t="shared" si="140"/>
        <v>Good</v>
      </c>
      <c r="W1772" s="4"/>
      <c r="X1772" s="4"/>
      <c r="AJ1772" s="4"/>
    </row>
    <row r="1773" spans="1:36">
      <c r="A1773" t="str">
        <f t="shared" si="136"/>
        <v>Reen211772</v>
      </c>
      <c r="B1773">
        <v>1772</v>
      </c>
      <c r="C1773">
        <v>25</v>
      </c>
      <c r="D1773">
        <v>2</v>
      </c>
      <c r="E1773">
        <v>2023</v>
      </c>
      <c r="F1773" s="1">
        <f t="shared" si="137"/>
        <v>44982</v>
      </c>
      <c r="G1773" s="1" t="s">
        <v>408</v>
      </c>
      <c r="H1773" s="2">
        <v>46249</v>
      </c>
      <c r="I1773" t="s">
        <v>43</v>
      </c>
      <c r="J1773">
        <v>4</v>
      </c>
      <c r="K1773">
        <v>55859.44</v>
      </c>
      <c r="L1773" t="s">
        <v>221</v>
      </c>
      <c r="M1773">
        <v>21</v>
      </c>
      <c r="N1773" t="s">
        <v>36</v>
      </c>
      <c r="O1773" s="3" t="s">
        <v>22</v>
      </c>
      <c r="P1773" t="s">
        <v>33</v>
      </c>
      <c r="Q1773" t="s">
        <v>24</v>
      </c>
      <c r="R1773">
        <v>5</v>
      </c>
      <c r="S1773" t="s">
        <v>95</v>
      </c>
      <c r="T1773" s="4">
        <f t="shared" si="138"/>
        <v>223437.76</v>
      </c>
      <c r="U1773" s="4" t="str">
        <f t="shared" si="139"/>
        <v>Good</v>
      </c>
      <c r="V1773" s="4" t="str">
        <f t="shared" si="140"/>
        <v>Excellent</v>
      </c>
      <c r="W1773" s="4"/>
      <c r="X1773" s="4"/>
      <c r="AJ1773" s="4"/>
    </row>
    <row r="1774" spans="1:36">
      <c r="A1774" t="str">
        <f t="shared" si="136"/>
        <v>Jyot351773</v>
      </c>
      <c r="B1774">
        <v>1773</v>
      </c>
      <c r="C1774">
        <v>26</v>
      </c>
      <c r="D1774">
        <v>2</v>
      </c>
      <c r="E1774">
        <v>2023</v>
      </c>
      <c r="F1774" s="1">
        <f t="shared" si="137"/>
        <v>44983</v>
      </c>
      <c r="G1774" s="1" t="s">
        <v>408</v>
      </c>
      <c r="H1774" s="2">
        <v>46250</v>
      </c>
      <c r="I1774" t="s">
        <v>38</v>
      </c>
      <c r="J1774">
        <v>9</v>
      </c>
      <c r="K1774">
        <v>39560.46</v>
      </c>
      <c r="L1774" t="s">
        <v>281</v>
      </c>
      <c r="M1774">
        <v>35</v>
      </c>
      <c r="N1774" t="s">
        <v>21</v>
      </c>
      <c r="O1774" s="3" t="s">
        <v>28</v>
      </c>
      <c r="P1774" t="s">
        <v>90</v>
      </c>
      <c r="Q1774" t="s">
        <v>41</v>
      </c>
      <c r="R1774">
        <v>3</v>
      </c>
      <c r="S1774" t="s">
        <v>99</v>
      </c>
      <c r="T1774" s="4">
        <f t="shared" si="138"/>
        <v>356044.14</v>
      </c>
      <c r="U1774" s="4" t="str">
        <f t="shared" si="139"/>
        <v>Average</v>
      </c>
      <c r="V1774" s="4" t="str">
        <f t="shared" si="140"/>
        <v>Excellent</v>
      </c>
      <c r="W1774" s="4"/>
      <c r="X1774" s="4"/>
      <c r="AJ1774" s="4"/>
    </row>
    <row r="1775" spans="1:36">
      <c r="A1775" t="str">
        <f t="shared" si="136"/>
        <v>Bina231774</v>
      </c>
      <c r="B1775">
        <v>1774</v>
      </c>
      <c r="C1775">
        <v>26</v>
      </c>
      <c r="D1775">
        <v>2</v>
      </c>
      <c r="E1775">
        <v>2023</v>
      </c>
      <c r="F1775" s="1">
        <f t="shared" si="137"/>
        <v>44983</v>
      </c>
      <c r="G1775" s="1" t="s">
        <v>408</v>
      </c>
      <c r="H1775" s="2">
        <v>46251</v>
      </c>
      <c r="I1775" t="s">
        <v>38</v>
      </c>
      <c r="J1775">
        <v>7</v>
      </c>
      <c r="K1775">
        <v>30339.64</v>
      </c>
      <c r="L1775" t="s">
        <v>930</v>
      </c>
      <c r="M1775">
        <v>23</v>
      </c>
      <c r="N1775" t="s">
        <v>36</v>
      </c>
      <c r="O1775" s="3" t="s">
        <v>22</v>
      </c>
      <c r="P1775" t="s">
        <v>117</v>
      </c>
      <c r="Q1775" t="s">
        <v>56</v>
      </c>
      <c r="R1775">
        <v>5</v>
      </c>
      <c r="S1775" t="s">
        <v>99</v>
      </c>
      <c r="T1775" s="4">
        <f t="shared" si="138"/>
        <v>212377.47999999998</v>
      </c>
      <c r="U1775" s="4" t="str">
        <f t="shared" si="139"/>
        <v>Good</v>
      </c>
      <c r="V1775" s="4" t="str">
        <f t="shared" si="140"/>
        <v>Excellent</v>
      </c>
      <c r="W1775" s="4"/>
      <c r="X1775" s="4"/>
      <c r="AJ1775" s="4"/>
    </row>
    <row r="1776" spans="1:36">
      <c r="A1776" t="str">
        <f t="shared" si="136"/>
        <v>Yoge431775</v>
      </c>
      <c r="B1776">
        <v>1775</v>
      </c>
      <c r="C1776">
        <v>26</v>
      </c>
      <c r="D1776">
        <v>2</v>
      </c>
      <c r="E1776">
        <v>2023</v>
      </c>
      <c r="F1776" s="1">
        <f t="shared" si="137"/>
        <v>44983</v>
      </c>
      <c r="G1776" s="1" t="s">
        <v>408</v>
      </c>
      <c r="H1776" s="2">
        <v>46252</v>
      </c>
      <c r="I1776" t="s">
        <v>26</v>
      </c>
      <c r="J1776">
        <v>2</v>
      </c>
      <c r="K1776">
        <v>18814.53</v>
      </c>
      <c r="L1776" t="s">
        <v>54</v>
      </c>
      <c r="M1776">
        <v>43</v>
      </c>
      <c r="N1776" t="s">
        <v>21</v>
      </c>
      <c r="O1776" s="3" t="s">
        <v>28</v>
      </c>
      <c r="P1776" t="s">
        <v>23</v>
      </c>
      <c r="Q1776" t="s">
        <v>41</v>
      </c>
      <c r="R1776">
        <v>3</v>
      </c>
      <c r="S1776" t="s">
        <v>31</v>
      </c>
      <c r="T1776" s="4">
        <f t="shared" si="138"/>
        <v>37629.06</v>
      </c>
      <c r="U1776" s="4" t="str">
        <f t="shared" si="139"/>
        <v>Average</v>
      </c>
      <c r="V1776" s="4" t="str">
        <f t="shared" si="140"/>
        <v>Low</v>
      </c>
      <c r="W1776" s="4"/>
      <c r="X1776" s="4"/>
      <c r="AJ1776" s="4"/>
    </row>
    <row r="1777" spans="1:36">
      <c r="A1777" t="str">
        <f t="shared" si="136"/>
        <v>Bina541776</v>
      </c>
      <c r="B1777">
        <v>1776</v>
      </c>
      <c r="C1777">
        <v>27</v>
      </c>
      <c r="D1777">
        <v>2</v>
      </c>
      <c r="E1777">
        <v>2023</v>
      </c>
      <c r="F1777" s="1">
        <f t="shared" si="137"/>
        <v>44984</v>
      </c>
      <c r="G1777" s="1" t="s">
        <v>408</v>
      </c>
      <c r="H1777" s="2">
        <v>46253</v>
      </c>
      <c r="I1777" t="s">
        <v>38</v>
      </c>
      <c r="J1777">
        <v>4</v>
      </c>
      <c r="K1777">
        <v>43129.65</v>
      </c>
      <c r="L1777" t="s">
        <v>931</v>
      </c>
      <c r="M1777">
        <v>54</v>
      </c>
      <c r="N1777" t="s">
        <v>61</v>
      </c>
      <c r="O1777" s="3" t="s">
        <v>22</v>
      </c>
      <c r="P1777" t="s">
        <v>33</v>
      </c>
      <c r="Q1777" t="s">
        <v>41</v>
      </c>
      <c r="R1777">
        <v>4</v>
      </c>
      <c r="S1777" t="s">
        <v>42</v>
      </c>
      <c r="T1777" s="4">
        <f t="shared" si="138"/>
        <v>172518.6</v>
      </c>
      <c r="U1777" s="4" t="str">
        <f t="shared" si="139"/>
        <v>Good</v>
      </c>
      <c r="V1777" s="4" t="str">
        <f t="shared" si="140"/>
        <v>Good</v>
      </c>
      <c r="W1777" s="4"/>
      <c r="X1777" s="4"/>
      <c r="AJ1777" s="4"/>
    </row>
    <row r="1778" spans="1:36">
      <c r="A1778" t="str">
        <f t="shared" si="136"/>
        <v>Sneh441777</v>
      </c>
      <c r="B1778">
        <v>1777</v>
      </c>
      <c r="C1778">
        <v>27</v>
      </c>
      <c r="D1778">
        <v>2</v>
      </c>
      <c r="E1778">
        <v>2023</v>
      </c>
      <c r="F1778" s="1">
        <f t="shared" si="137"/>
        <v>44984</v>
      </c>
      <c r="G1778" s="1" t="s">
        <v>408</v>
      </c>
      <c r="H1778" s="2">
        <v>46254</v>
      </c>
      <c r="I1778" t="s">
        <v>26</v>
      </c>
      <c r="J1778">
        <v>5</v>
      </c>
      <c r="K1778">
        <v>55169.02</v>
      </c>
      <c r="L1778" t="s">
        <v>517</v>
      </c>
      <c r="M1778">
        <v>44</v>
      </c>
      <c r="N1778" t="s">
        <v>21</v>
      </c>
      <c r="O1778" s="3" t="s">
        <v>22</v>
      </c>
      <c r="P1778" t="s">
        <v>77</v>
      </c>
      <c r="Q1778" t="s">
        <v>24</v>
      </c>
      <c r="R1778">
        <v>5</v>
      </c>
      <c r="S1778" t="s">
        <v>67</v>
      </c>
      <c r="T1778" s="4">
        <f t="shared" si="138"/>
        <v>275845.09999999998</v>
      </c>
      <c r="U1778" s="4" t="str">
        <f t="shared" si="139"/>
        <v>Good</v>
      </c>
      <c r="V1778" s="4" t="str">
        <f t="shared" si="140"/>
        <v>Excellent</v>
      </c>
      <c r="W1778" s="4"/>
      <c r="X1778" s="4"/>
      <c r="AJ1778" s="4"/>
    </row>
    <row r="1779" spans="1:36">
      <c r="A1779" t="str">
        <f t="shared" si="136"/>
        <v>Anan581778</v>
      </c>
      <c r="B1779">
        <v>1778</v>
      </c>
      <c r="C1779">
        <v>27</v>
      </c>
      <c r="D1779">
        <v>2</v>
      </c>
      <c r="E1779">
        <v>2023</v>
      </c>
      <c r="F1779" s="1">
        <f t="shared" si="137"/>
        <v>44984</v>
      </c>
      <c r="G1779" s="1" t="s">
        <v>408</v>
      </c>
      <c r="H1779" s="2">
        <v>46255</v>
      </c>
      <c r="I1779" t="s">
        <v>43</v>
      </c>
      <c r="J1779">
        <v>3</v>
      </c>
      <c r="K1779">
        <v>26919.96</v>
      </c>
      <c r="L1779" t="s">
        <v>112</v>
      </c>
      <c r="M1779">
        <v>58</v>
      </c>
      <c r="N1779" t="s">
        <v>61</v>
      </c>
      <c r="O1779" s="3" t="s">
        <v>22</v>
      </c>
      <c r="P1779" t="s">
        <v>29</v>
      </c>
      <c r="Q1779" t="s">
        <v>24</v>
      </c>
      <c r="R1779">
        <v>5</v>
      </c>
      <c r="S1779" t="s">
        <v>57</v>
      </c>
      <c r="T1779" s="4">
        <f t="shared" si="138"/>
        <v>80759.88</v>
      </c>
      <c r="U1779" s="4" t="str">
        <f t="shared" si="139"/>
        <v>Good</v>
      </c>
      <c r="V1779" s="4" t="str">
        <f t="shared" si="140"/>
        <v>Average</v>
      </c>
      <c r="W1779" s="4"/>
      <c r="X1779" s="4"/>
      <c r="AJ1779" s="4"/>
    </row>
    <row r="1780" spans="1:36">
      <c r="A1780" t="str">
        <f t="shared" si="136"/>
        <v>Arun281779</v>
      </c>
      <c r="B1780">
        <v>1779</v>
      </c>
      <c r="C1780">
        <v>27</v>
      </c>
      <c r="D1780">
        <v>2</v>
      </c>
      <c r="E1780">
        <v>2023</v>
      </c>
      <c r="F1780" s="1">
        <f t="shared" si="137"/>
        <v>44984</v>
      </c>
      <c r="G1780" s="1" t="s">
        <v>408</v>
      </c>
      <c r="H1780" s="2">
        <v>46256</v>
      </c>
      <c r="I1780" t="s">
        <v>19</v>
      </c>
      <c r="J1780">
        <v>9</v>
      </c>
      <c r="K1780">
        <v>23127.66</v>
      </c>
      <c r="L1780" t="s">
        <v>917</v>
      </c>
      <c r="M1780">
        <v>28</v>
      </c>
      <c r="N1780" t="s">
        <v>36</v>
      </c>
      <c r="O1780" s="3" t="s">
        <v>22</v>
      </c>
      <c r="P1780" t="s">
        <v>29</v>
      </c>
      <c r="Q1780" t="s">
        <v>30</v>
      </c>
      <c r="R1780">
        <v>5</v>
      </c>
      <c r="S1780" t="s">
        <v>37</v>
      </c>
      <c r="T1780" s="4">
        <f t="shared" si="138"/>
        <v>208148.94</v>
      </c>
      <c r="U1780" s="4" t="str">
        <f t="shared" si="139"/>
        <v>Good</v>
      </c>
      <c r="V1780" s="4" t="str">
        <f t="shared" si="140"/>
        <v>Excellent</v>
      </c>
      <c r="W1780" s="4"/>
      <c r="X1780" s="4"/>
      <c r="AJ1780" s="4"/>
    </row>
    <row r="1781" spans="1:36">
      <c r="A1781" t="str">
        <f t="shared" si="136"/>
        <v>Suni551780</v>
      </c>
      <c r="B1781">
        <v>1780</v>
      </c>
      <c r="C1781">
        <v>28</v>
      </c>
      <c r="D1781">
        <v>2</v>
      </c>
      <c r="E1781">
        <v>2023</v>
      </c>
      <c r="F1781" s="1">
        <f t="shared" si="137"/>
        <v>44985</v>
      </c>
      <c r="G1781" s="1" t="s">
        <v>408</v>
      </c>
      <c r="H1781" s="2">
        <v>46257</v>
      </c>
      <c r="I1781" t="s">
        <v>49</v>
      </c>
      <c r="J1781">
        <v>5</v>
      </c>
      <c r="K1781">
        <v>41316.1</v>
      </c>
      <c r="L1781" t="s">
        <v>932</v>
      </c>
      <c r="M1781">
        <v>55</v>
      </c>
      <c r="N1781" t="s">
        <v>61</v>
      </c>
      <c r="O1781" s="3" t="s">
        <v>55</v>
      </c>
      <c r="P1781" t="s">
        <v>110</v>
      </c>
      <c r="Q1781" t="s">
        <v>41</v>
      </c>
      <c r="R1781">
        <v>1</v>
      </c>
      <c r="S1781" t="s">
        <v>102</v>
      </c>
      <c r="T1781" s="4">
        <f t="shared" si="138"/>
        <v>206580.5</v>
      </c>
      <c r="U1781" s="4" t="str">
        <f t="shared" si="139"/>
        <v>Average</v>
      </c>
      <c r="V1781" s="4" t="str">
        <f t="shared" si="140"/>
        <v>Excellent</v>
      </c>
      <c r="W1781" s="4"/>
      <c r="X1781" s="4"/>
      <c r="AJ1781" s="4"/>
    </row>
    <row r="1782" spans="1:36">
      <c r="A1782" t="str">
        <f t="shared" si="136"/>
        <v>Anan331781</v>
      </c>
      <c r="B1782">
        <v>1781</v>
      </c>
      <c r="C1782">
        <v>28</v>
      </c>
      <c r="D1782">
        <v>2</v>
      </c>
      <c r="E1782">
        <v>2023</v>
      </c>
      <c r="F1782" s="1">
        <f t="shared" si="137"/>
        <v>44985</v>
      </c>
      <c r="G1782" s="1" t="s">
        <v>408</v>
      </c>
      <c r="H1782" s="2">
        <v>46258</v>
      </c>
      <c r="I1782" t="s">
        <v>43</v>
      </c>
      <c r="J1782">
        <v>2</v>
      </c>
      <c r="K1782">
        <v>19320.599999999999</v>
      </c>
      <c r="L1782" t="s">
        <v>248</v>
      </c>
      <c r="M1782">
        <v>33</v>
      </c>
      <c r="N1782" t="s">
        <v>21</v>
      </c>
      <c r="O1782" s="3" t="s">
        <v>22</v>
      </c>
      <c r="P1782" t="s">
        <v>51</v>
      </c>
      <c r="Q1782" t="s">
        <v>56</v>
      </c>
      <c r="R1782">
        <v>5</v>
      </c>
      <c r="S1782" t="s">
        <v>46</v>
      </c>
      <c r="T1782" s="4">
        <f t="shared" si="138"/>
        <v>38641.199999999997</v>
      </c>
      <c r="U1782" s="4" t="str">
        <f t="shared" si="139"/>
        <v>Good</v>
      </c>
      <c r="V1782" s="4" t="str">
        <f t="shared" si="140"/>
        <v>Low</v>
      </c>
      <c r="W1782" s="4"/>
      <c r="X1782" s="4"/>
      <c r="AJ1782" s="4"/>
    </row>
    <row r="1783" spans="1:36">
      <c r="A1783" t="str">
        <f t="shared" si="136"/>
        <v>Amit361782</v>
      </c>
      <c r="B1783">
        <v>1782</v>
      </c>
      <c r="C1783">
        <v>28</v>
      </c>
      <c r="D1783">
        <v>2</v>
      </c>
      <c r="E1783">
        <v>2023</v>
      </c>
      <c r="F1783" s="1">
        <f t="shared" si="137"/>
        <v>44985</v>
      </c>
      <c r="G1783" s="1" t="s">
        <v>408</v>
      </c>
      <c r="H1783" s="2">
        <v>46259</v>
      </c>
      <c r="I1783" t="s">
        <v>38</v>
      </c>
      <c r="J1783">
        <v>3</v>
      </c>
      <c r="K1783">
        <v>49996.800000000003</v>
      </c>
      <c r="L1783" t="s">
        <v>871</v>
      </c>
      <c r="M1783">
        <v>36</v>
      </c>
      <c r="N1783" t="s">
        <v>21</v>
      </c>
      <c r="O1783" s="3" t="s">
        <v>22</v>
      </c>
      <c r="P1783" t="s">
        <v>114</v>
      </c>
      <c r="Q1783" t="s">
        <v>41</v>
      </c>
      <c r="R1783">
        <v>5</v>
      </c>
      <c r="S1783" t="s">
        <v>99</v>
      </c>
      <c r="T1783" s="4">
        <f t="shared" si="138"/>
        <v>149990.40000000002</v>
      </c>
      <c r="U1783" s="4" t="str">
        <f t="shared" si="139"/>
        <v>Good</v>
      </c>
      <c r="V1783" s="4" t="str">
        <f t="shared" si="140"/>
        <v>Good</v>
      </c>
      <c r="W1783" s="4"/>
      <c r="X1783" s="4"/>
      <c r="AJ1783" s="4"/>
    </row>
    <row r="1784" spans="1:36">
      <c r="A1784" t="str">
        <f t="shared" si="136"/>
        <v>Kira321783</v>
      </c>
      <c r="B1784">
        <v>1783</v>
      </c>
      <c r="C1784">
        <v>1</v>
      </c>
      <c r="D1784">
        <v>3</v>
      </c>
      <c r="E1784">
        <v>2023</v>
      </c>
      <c r="F1784" s="1">
        <f t="shared" si="137"/>
        <v>44986</v>
      </c>
      <c r="G1784" s="1" t="s">
        <v>475</v>
      </c>
      <c r="H1784" s="2">
        <v>46260</v>
      </c>
      <c r="I1784" t="s">
        <v>49</v>
      </c>
      <c r="J1784">
        <v>9</v>
      </c>
      <c r="K1784">
        <v>46320.62</v>
      </c>
      <c r="L1784" t="s">
        <v>72</v>
      </c>
      <c r="M1784">
        <v>32</v>
      </c>
      <c r="N1784" t="s">
        <v>21</v>
      </c>
      <c r="O1784" s="3" t="s">
        <v>28</v>
      </c>
      <c r="P1784" t="s">
        <v>29</v>
      </c>
      <c r="Q1784" t="s">
        <v>56</v>
      </c>
      <c r="R1784">
        <v>3</v>
      </c>
      <c r="S1784" t="s">
        <v>52</v>
      </c>
      <c r="T1784" s="4">
        <f t="shared" si="138"/>
        <v>416885.58</v>
      </c>
      <c r="U1784" s="4" t="str">
        <f t="shared" si="139"/>
        <v>Average</v>
      </c>
      <c r="V1784" s="4" t="str">
        <f t="shared" si="140"/>
        <v>Excellent</v>
      </c>
      <c r="W1784" s="4"/>
      <c r="X1784" s="4"/>
      <c r="AJ1784" s="4"/>
    </row>
    <row r="1785" spans="1:36">
      <c r="A1785" t="str">
        <f t="shared" si="136"/>
        <v>Nikh431784</v>
      </c>
      <c r="B1785">
        <v>1784</v>
      </c>
      <c r="C1785">
        <v>1</v>
      </c>
      <c r="D1785">
        <v>3</v>
      </c>
      <c r="E1785">
        <v>2023</v>
      </c>
      <c r="F1785" s="1">
        <f t="shared" si="137"/>
        <v>44986</v>
      </c>
      <c r="G1785" s="1" t="s">
        <v>475</v>
      </c>
      <c r="H1785" s="2">
        <v>46261</v>
      </c>
      <c r="I1785" t="s">
        <v>19</v>
      </c>
      <c r="J1785">
        <v>7</v>
      </c>
      <c r="K1785">
        <v>15224.92</v>
      </c>
      <c r="L1785" t="s">
        <v>827</v>
      </c>
      <c r="M1785">
        <v>43</v>
      </c>
      <c r="N1785" t="s">
        <v>21</v>
      </c>
      <c r="O1785" s="3" t="s">
        <v>28</v>
      </c>
      <c r="P1785" t="s">
        <v>77</v>
      </c>
      <c r="Q1785" t="s">
        <v>30</v>
      </c>
      <c r="R1785">
        <v>3</v>
      </c>
      <c r="S1785" t="s">
        <v>25</v>
      </c>
      <c r="T1785" s="4">
        <f t="shared" si="138"/>
        <v>106574.44</v>
      </c>
      <c r="U1785" s="4" t="str">
        <f t="shared" si="139"/>
        <v>Average</v>
      </c>
      <c r="V1785" s="4" t="str">
        <f t="shared" si="140"/>
        <v>Good</v>
      </c>
      <c r="W1785" s="4"/>
      <c r="X1785" s="4"/>
      <c r="AJ1785" s="4"/>
    </row>
    <row r="1786" spans="1:36">
      <c r="A1786" t="str">
        <f t="shared" si="136"/>
        <v>Meen581785</v>
      </c>
      <c r="B1786">
        <v>1785</v>
      </c>
      <c r="C1786">
        <v>1</v>
      </c>
      <c r="D1786">
        <v>3</v>
      </c>
      <c r="E1786">
        <v>2023</v>
      </c>
      <c r="F1786" s="1">
        <f t="shared" si="137"/>
        <v>44986</v>
      </c>
      <c r="G1786" s="1" t="s">
        <v>475</v>
      </c>
      <c r="H1786" s="2">
        <v>46262</v>
      </c>
      <c r="I1786" t="s">
        <v>19</v>
      </c>
      <c r="J1786">
        <v>2</v>
      </c>
      <c r="K1786">
        <v>12191.22</v>
      </c>
      <c r="L1786" t="s">
        <v>134</v>
      </c>
      <c r="M1786">
        <v>58</v>
      </c>
      <c r="N1786" t="s">
        <v>61</v>
      </c>
      <c r="O1786" s="3" t="s">
        <v>28</v>
      </c>
      <c r="P1786" t="s">
        <v>33</v>
      </c>
      <c r="Q1786" t="s">
        <v>41</v>
      </c>
      <c r="R1786">
        <v>3</v>
      </c>
      <c r="S1786" t="s">
        <v>37</v>
      </c>
      <c r="T1786" s="4">
        <f t="shared" si="138"/>
        <v>24382.44</v>
      </c>
      <c r="U1786" s="4" t="str">
        <f t="shared" si="139"/>
        <v>Average</v>
      </c>
      <c r="V1786" s="4" t="str">
        <f t="shared" si="140"/>
        <v>Low</v>
      </c>
      <c r="W1786" s="4"/>
      <c r="X1786" s="4"/>
      <c r="AJ1786" s="4"/>
    </row>
    <row r="1787" spans="1:36">
      <c r="A1787" t="str">
        <f t="shared" si="136"/>
        <v>Pooj481786</v>
      </c>
      <c r="B1787">
        <v>1786</v>
      </c>
      <c r="C1787">
        <v>1</v>
      </c>
      <c r="D1787">
        <v>3</v>
      </c>
      <c r="E1787">
        <v>2023</v>
      </c>
      <c r="F1787" s="1">
        <f t="shared" si="137"/>
        <v>44986</v>
      </c>
      <c r="G1787" s="1" t="s">
        <v>475</v>
      </c>
      <c r="H1787" s="2">
        <v>46263</v>
      </c>
      <c r="I1787" t="s">
        <v>26</v>
      </c>
      <c r="J1787">
        <v>9</v>
      </c>
      <c r="K1787">
        <v>47217.32</v>
      </c>
      <c r="L1787" t="s">
        <v>470</v>
      </c>
      <c r="M1787">
        <v>48</v>
      </c>
      <c r="N1787" t="s">
        <v>61</v>
      </c>
      <c r="O1787" s="3" t="s">
        <v>28</v>
      </c>
      <c r="P1787" t="s">
        <v>29</v>
      </c>
      <c r="Q1787" t="s">
        <v>56</v>
      </c>
      <c r="R1787">
        <v>3</v>
      </c>
      <c r="S1787" t="s">
        <v>31</v>
      </c>
      <c r="T1787" s="4">
        <f t="shared" si="138"/>
        <v>424955.88</v>
      </c>
      <c r="U1787" s="4" t="str">
        <f t="shared" si="139"/>
        <v>Average</v>
      </c>
      <c r="V1787" s="4" t="str">
        <f t="shared" si="140"/>
        <v>Excellent</v>
      </c>
      <c r="W1787" s="4"/>
      <c r="X1787" s="4"/>
      <c r="AJ1787" s="4"/>
    </row>
    <row r="1788" spans="1:36">
      <c r="A1788" t="str">
        <f t="shared" si="136"/>
        <v>Bina361787</v>
      </c>
      <c r="B1788">
        <v>1787</v>
      </c>
      <c r="C1788">
        <v>2</v>
      </c>
      <c r="D1788">
        <v>3</v>
      </c>
      <c r="E1788">
        <v>2023</v>
      </c>
      <c r="F1788" s="1">
        <f t="shared" si="137"/>
        <v>44987</v>
      </c>
      <c r="G1788" s="1" t="s">
        <v>475</v>
      </c>
      <c r="H1788" s="2">
        <v>46264</v>
      </c>
      <c r="I1788" t="s">
        <v>49</v>
      </c>
      <c r="J1788">
        <v>4</v>
      </c>
      <c r="K1788">
        <v>27657.63</v>
      </c>
      <c r="L1788" t="s">
        <v>227</v>
      </c>
      <c r="M1788">
        <v>36</v>
      </c>
      <c r="N1788" t="s">
        <v>21</v>
      </c>
      <c r="O1788" s="3" t="s">
        <v>22</v>
      </c>
      <c r="P1788" t="s">
        <v>29</v>
      </c>
      <c r="Q1788" t="s">
        <v>56</v>
      </c>
      <c r="R1788">
        <v>5</v>
      </c>
      <c r="S1788" t="s">
        <v>102</v>
      </c>
      <c r="T1788" s="4">
        <f t="shared" si="138"/>
        <v>110630.52</v>
      </c>
      <c r="U1788" s="4" t="str">
        <f t="shared" si="139"/>
        <v>Good</v>
      </c>
      <c r="V1788" s="4" t="str">
        <f t="shared" si="140"/>
        <v>Good</v>
      </c>
      <c r="W1788" s="4"/>
      <c r="X1788" s="4"/>
      <c r="AJ1788" s="4"/>
    </row>
    <row r="1789" spans="1:36">
      <c r="A1789" t="str">
        <f t="shared" si="136"/>
        <v>Deve411788</v>
      </c>
      <c r="B1789">
        <v>1788</v>
      </c>
      <c r="C1789">
        <v>2</v>
      </c>
      <c r="D1789">
        <v>3</v>
      </c>
      <c r="E1789">
        <v>2023</v>
      </c>
      <c r="F1789" s="1">
        <f t="shared" si="137"/>
        <v>44987</v>
      </c>
      <c r="G1789" s="1" t="s">
        <v>475</v>
      </c>
      <c r="H1789" s="2">
        <v>46265</v>
      </c>
      <c r="I1789" t="s">
        <v>26</v>
      </c>
      <c r="J1789">
        <v>9</v>
      </c>
      <c r="K1789">
        <v>15186.75</v>
      </c>
      <c r="L1789" t="s">
        <v>933</v>
      </c>
      <c r="M1789">
        <v>41</v>
      </c>
      <c r="N1789" t="s">
        <v>21</v>
      </c>
      <c r="O1789" s="3" t="s">
        <v>22</v>
      </c>
      <c r="P1789" t="s">
        <v>29</v>
      </c>
      <c r="Q1789" t="s">
        <v>30</v>
      </c>
      <c r="R1789">
        <v>4</v>
      </c>
      <c r="S1789" t="s">
        <v>31</v>
      </c>
      <c r="T1789" s="4">
        <f t="shared" si="138"/>
        <v>136680.75</v>
      </c>
      <c r="U1789" s="4" t="str">
        <f t="shared" si="139"/>
        <v>Good</v>
      </c>
      <c r="V1789" s="4" t="str">
        <f t="shared" si="140"/>
        <v>Good</v>
      </c>
      <c r="W1789" s="4"/>
      <c r="X1789" s="4"/>
      <c r="AJ1789" s="4"/>
    </row>
    <row r="1790" spans="1:36">
      <c r="A1790" t="str">
        <f t="shared" si="136"/>
        <v>Navi261789</v>
      </c>
      <c r="B1790">
        <v>1789</v>
      </c>
      <c r="C1790">
        <v>2</v>
      </c>
      <c r="D1790">
        <v>3</v>
      </c>
      <c r="E1790">
        <v>2023</v>
      </c>
      <c r="F1790" s="1">
        <f t="shared" si="137"/>
        <v>44987</v>
      </c>
      <c r="G1790" s="1" t="s">
        <v>475</v>
      </c>
      <c r="H1790" s="2">
        <v>46266</v>
      </c>
      <c r="I1790" t="s">
        <v>43</v>
      </c>
      <c r="J1790">
        <v>2</v>
      </c>
      <c r="K1790">
        <v>55565.72</v>
      </c>
      <c r="L1790" t="s">
        <v>359</v>
      </c>
      <c r="M1790">
        <v>26</v>
      </c>
      <c r="N1790" t="s">
        <v>36</v>
      </c>
      <c r="O1790" s="3" t="s">
        <v>22</v>
      </c>
      <c r="P1790" t="s">
        <v>23</v>
      </c>
      <c r="Q1790" t="s">
        <v>24</v>
      </c>
      <c r="R1790">
        <v>5</v>
      </c>
      <c r="S1790" t="s">
        <v>57</v>
      </c>
      <c r="T1790" s="4">
        <f t="shared" si="138"/>
        <v>111131.44</v>
      </c>
      <c r="U1790" s="4" t="str">
        <f t="shared" si="139"/>
        <v>Good</v>
      </c>
      <c r="V1790" s="4" t="str">
        <f t="shared" si="140"/>
        <v>Good</v>
      </c>
      <c r="W1790" s="4"/>
      <c r="X1790" s="4"/>
      <c r="AJ1790" s="4"/>
    </row>
    <row r="1791" spans="1:36">
      <c r="A1791" t="str">
        <f t="shared" si="136"/>
        <v>Anan401790</v>
      </c>
      <c r="B1791">
        <v>1790</v>
      </c>
      <c r="C1791">
        <v>2</v>
      </c>
      <c r="D1791">
        <v>3</v>
      </c>
      <c r="E1791">
        <v>2023</v>
      </c>
      <c r="F1791" s="1">
        <f t="shared" si="137"/>
        <v>44987</v>
      </c>
      <c r="G1791" s="1" t="s">
        <v>475</v>
      </c>
      <c r="H1791" s="2">
        <v>46267</v>
      </c>
      <c r="I1791" t="s">
        <v>49</v>
      </c>
      <c r="J1791">
        <v>4</v>
      </c>
      <c r="K1791">
        <v>28842.639999999999</v>
      </c>
      <c r="L1791" t="s">
        <v>462</v>
      </c>
      <c r="M1791">
        <v>40</v>
      </c>
      <c r="N1791" t="s">
        <v>21</v>
      </c>
      <c r="O1791" s="3" t="s">
        <v>28</v>
      </c>
      <c r="P1791" t="s">
        <v>29</v>
      </c>
      <c r="Q1791" t="s">
        <v>30</v>
      </c>
      <c r="R1791">
        <v>3</v>
      </c>
      <c r="S1791" t="s">
        <v>88</v>
      </c>
      <c r="T1791" s="4">
        <f t="shared" si="138"/>
        <v>115370.56</v>
      </c>
      <c r="U1791" s="4" t="str">
        <f t="shared" si="139"/>
        <v>Average</v>
      </c>
      <c r="V1791" s="4" t="str">
        <f t="shared" si="140"/>
        <v>Good</v>
      </c>
      <c r="W1791" s="4"/>
      <c r="X1791" s="4"/>
      <c r="AJ1791" s="4"/>
    </row>
    <row r="1792" spans="1:36">
      <c r="A1792" t="str">
        <f t="shared" si="136"/>
        <v>Mala211791</v>
      </c>
      <c r="B1792">
        <v>1791</v>
      </c>
      <c r="C1792">
        <v>3</v>
      </c>
      <c r="D1792">
        <v>3</v>
      </c>
      <c r="E1792">
        <v>2023</v>
      </c>
      <c r="F1792" s="1">
        <f t="shared" si="137"/>
        <v>44988</v>
      </c>
      <c r="G1792" s="1" t="s">
        <v>475</v>
      </c>
      <c r="H1792" s="2">
        <v>46268</v>
      </c>
      <c r="I1792" t="s">
        <v>43</v>
      </c>
      <c r="J1792">
        <v>5</v>
      </c>
      <c r="K1792">
        <v>37575.97</v>
      </c>
      <c r="L1792" t="s">
        <v>794</v>
      </c>
      <c r="M1792">
        <v>21</v>
      </c>
      <c r="N1792" t="s">
        <v>36</v>
      </c>
      <c r="O1792" s="3" t="s">
        <v>22</v>
      </c>
      <c r="P1792" t="s">
        <v>114</v>
      </c>
      <c r="Q1792" t="s">
        <v>56</v>
      </c>
      <c r="R1792">
        <v>5</v>
      </c>
      <c r="S1792" t="s">
        <v>46</v>
      </c>
      <c r="T1792" s="4">
        <f t="shared" si="138"/>
        <v>187879.85</v>
      </c>
      <c r="U1792" s="4" t="str">
        <f t="shared" si="139"/>
        <v>Good</v>
      </c>
      <c r="V1792" s="4" t="str">
        <f t="shared" si="140"/>
        <v>Good</v>
      </c>
      <c r="W1792" s="4"/>
      <c r="X1792" s="4"/>
      <c r="AJ1792" s="4"/>
    </row>
    <row r="1793" spans="1:36">
      <c r="A1793" t="str">
        <f t="shared" si="136"/>
        <v>Anja271792</v>
      </c>
      <c r="B1793">
        <v>1792</v>
      </c>
      <c r="C1793">
        <v>3</v>
      </c>
      <c r="D1793">
        <v>3</v>
      </c>
      <c r="E1793">
        <v>2023</v>
      </c>
      <c r="F1793" s="1">
        <f t="shared" si="137"/>
        <v>44988</v>
      </c>
      <c r="G1793" s="1" t="s">
        <v>475</v>
      </c>
      <c r="H1793" s="2">
        <v>46269</v>
      </c>
      <c r="I1793" t="s">
        <v>26</v>
      </c>
      <c r="J1793">
        <v>2</v>
      </c>
      <c r="K1793">
        <v>24208.78</v>
      </c>
      <c r="L1793" t="s">
        <v>231</v>
      </c>
      <c r="M1793">
        <v>27</v>
      </c>
      <c r="N1793" t="s">
        <v>36</v>
      </c>
      <c r="O1793" s="3" t="s">
        <v>22</v>
      </c>
      <c r="P1793" t="s">
        <v>114</v>
      </c>
      <c r="Q1793" t="s">
        <v>30</v>
      </c>
      <c r="R1793">
        <v>5</v>
      </c>
      <c r="S1793" t="s">
        <v>31</v>
      </c>
      <c r="T1793" s="4">
        <f t="shared" si="138"/>
        <v>48417.56</v>
      </c>
      <c r="U1793" s="4" t="str">
        <f t="shared" si="139"/>
        <v>Good</v>
      </c>
      <c r="V1793" s="4" t="str">
        <f t="shared" si="140"/>
        <v>Low</v>
      </c>
      <c r="W1793" s="4"/>
      <c r="X1793" s="4"/>
      <c r="AJ1793" s="4"/>
    </row>
    <row r="1794" spans="1:36">
      <c r="A1794" t="str">
        <f t="shared" ref="A1794:A1857" si="141">LEFT(L1794,4)&amp;M1794&amp;B1794</f>
        <v>Hari261793</v>
      </c>
      <c r="B1794">
        <v>1793</v>
      </c>
      <c r="C1794">
        <v>3</v>
      </c>
      <c r="D1794">
        <v>3</v>
      </c>
      <c r="E1794">
        <v>2023</v>
      </c>
      <c r="F1794" s="1">
        <f t="shared" si="137"/>
        <v>44988</v>
      </c>
      <c r="G1794" s="1" t="s">
        <v>475</v>
      </c>
      <c r="H1794" s="2">
        <v>46270</v>
      </c>
      <c r="I1794" t="s">
        <v>49</v>
      </c>
      <c r="J1794">
        <v>1</v>
      </c>
      <c r="K1794">
        <v>47639.02</v>
      </c>
      <c r="L1794" t="s">
        <v>529</v>
      </c>
      <c r="M1794">
        <v>26</v>
      </c>
      <c r="N1794" t="s">
        <v>36</v>
      </c>
      <c r="O1794" s="3" t="s">
        <v>28</v>
      </c>
      <c r="P1794" t="s">
        <v>29</v>
      </c>
      <c r="Q1794" t="s">
        <v>24</v>
      </c>
      <c r="R1794">
        <v>3</v>
      </c>
      <c r="S1794" t="s">
        <v>102</v>
      </c>
      <c r="T1794" s="4">
        <f t="shared" si="138"/>
        <v>47639.02</v>
      </c>
      <c r="U1794" s="4" t="str">
        <f t="shared" si="139"/>
        <v>Average</v>
      </c>
      <c r="V1794" s="4" t="str">
        <f t="shared" si="140"/>
        <v>Low</v>
      </c>
      <c r="W1794" s="4"/>
      <c r="X1794" s="4"/>
      <c r="AJ1794" s="4"/>
    </row>
    <row r="1795" spans="1:36">
      <c r="A1795" t="str">
        <f t="shared" si="141"/>
        <v>Radh361794</v>
      </c>
      <c r="B1795">
        <v>1794</v>
      </c>
      <c r="C1795">
        <v>4</v>
      </c>
      <c r="D1795">
        <v>3</v>
      </c>
      <c r="E1795">
        <v>2023</v>
      </c>
      <c r="F1795" s="1">
        <f t="shared" ref="F1795:F1858" si="142">DATE(E1795,D1795,C1795)</f>
        <v>44989</v>
      </c>
      <c r="G1795" s="1" t="s">
        <v>475</v>
      </c>
      <c r="H1795" s="2">
        <v>46271</v>
      </c>
      <c r="I1795" t="s">
        <v>26</v>
      </c>
      <c r="J1795">
        <v>7</v>
      </c>
      <c r="K1795">
        <v>28089.3</v>
      </c>
      <c r="L1795" t="s">
        <v>32</v>
      </c>
      <c r="M1795">
        <v>36</v>
      </c>
      <c r="N1795" t="s">
        <v>21</v>
      </c>
      <c r="O1795" s="3" t="s">
        <v>55</v>
      </c>
      <c r="P1795" t="s">
        <v>110</v>
      </c>
      <c r="Q1795" t="s">
        <v>41</v>
      </c>
      <c r="R1795">
        <v>1</v>
      </c>
      <c r="S1795" t="s">
        <v>34</v>
      </c>
      <c r="T1795" s="4">
        <f t="shared" ref="T1795:T1858" si="143">J1795*K1795</f>
        <v>196625.1</v>
      </c>
      <c r="U1795" s="4" t="str">
        <f t="shared" ref="U1795:U1858" si="144">IF(R1795&gt;=4,"Good","Average")</f>
        <v>Average</v>
      </c>
      <c r="V1795" s="4" t="str">
        <f t="shared" ref="V1795:V1858" si="145">IF(T1795&gt;200000,"Excellent",IF(T1795&gt;100000,"Good",IF(T1795&gt;50000,"Average","Low")))</f>
        <v>Good</v>
      </c>
      <c r="W1795" s="4"/>
      <c r="X1795" s="4"/>
      <c r="AJ1795" s="4"/>
    </row>
    <row r="1796" spans="1:36">
      <c r="A1796" t="str">
        <f t="shared" si="141"/>
        <v>Navi321795</v>
      </c>
      <c r="B1796">
        <v>1795</v>
      </c>
      <c r="C1796">
        <v>4</v>
      </c>
      <c r="D1796">
        <v>3</v>
      </c>
      <c r="E1796">
        <v>2023</v>
      </c>
      <c r="F1796" s="1">
        <f t="shared" si="142"/>
        <v>44989</v>
      </c>
      <c r="G1796" s="1" t="s">
        <v>475</v>
      </c>
      <c r="H1796" s="2">
        <v>46272</v>
      </c>
      <c r="I1796" t="s">
        <v>49</v>
      </c>
      <c r="J1796">
        <v>1</v>
      </c>
      <c r="K1796">
        <v>68081.259999999995</v>
      </c>
      <c r="L1796" t="s">
        <v>359</v>
      </c>
      <c r="M1796">
        <v>32</v>
      </c>
      <c r="N1796" t="s">
        <v>21</v>
      </c>
      <c r="O1796" s="3" t="s">
        <v>22</v>
      </c>
      <c r="P1796" t="s">
        <v>59</v>
      </c>
      <c r="Q1796" t="s">
        <v>30</v>
      </c>
      <c r="R1796">
        <v>5</v>
      </c>
      <c r="S1796" t="s">
        <v>52</v>
      </c>
      <c r="T1796" s="4">
        <f t="shared" si="143"/>
        <v>68081.259999999995</v>
      </c>
      <c r="U1796" s="4" t="str">
        <f t="shared" si="144"/>
        <v>Good</v>
      </c>
      <c r="V1796" s="4" t="str">
        <f t="shared" si="145"/>
        <v>Average</v>
      </c>
      <c r="W1796" s="4"/>
      <c r="X1796" s="4"/>
      <c r="AJ1796" s="4"/>
    </row>
    <row r="1797" spans="1:36">
      <c r="A1797" t="str">
        <f t="shared" si="141"/>
        <v>Kris511796</v>
      </c>
      <c r="B1797">
        <v>1796</v>
      </c>
      <c r="C1797">
        <v>4</v>
      </c>
      <c r="D1797">
        <v>3</v>
      </c>
      <c r="E1797">
        <v>2023</v>
      </c>
      <c r="F1797" s="1">
        <f t="shared" si="142"/>
        <v>44989</v>
      </c>
      <c r="G1797" s="1" t="s">
        <v>475</v>
      </c>
      <c r="H1797" s="2">
        <v>46273</v>
      </c>
      <c r="I1797" t="s">
        <v>26</v>
      </c>
      <c r="J1797">
        <v>8</v>
      </c>
      <c r="K1797">
        <v>52176.85</v>
      </c>
      <c r="L1797" t="s">
        <v>761</v>
      </c>
      <c r="M1797">
        <v>51</v>
      </c>
      <c r="N1797" t="s">
        <v>61</v>
      </c>
      <c r="O1797" s="3" t="s">
        <v>22</v>
      </c>
      <c r="P1797" t="s">
        <v>29</v>
      </c>
      <c r="Q1797" t="s">
        <v>30</v>
      </c>
      <c r="R1797">
        <v>5</v>
      </c>
      <c r="S1797" t="s">
        <v>34</v>
      </c>
      <c r="T1797" s="4">
        <f t="shared" si="143"/>
        <v>417414.8</v>
      </c>
      <c r="U1797" s="4" t="str">
        <f t="shared" si="144"/>
        <v>Good</v>
      </c>
      <c r="V1797" s="4" t="str">
        <f t="shared" si="145"/>
        <v>Excellent</v>
      </c>
      <c r="W1797" s="4"/>
      <c r="X1797" s="4"/>
      <c r="AJ1797" s="4"/>
    </row>
    <row r="1798" spans="1:36">
      <c r="A1798" t="str">
        <f t="shared" si="141"/>
        <v>Vive591797</v>
      </c>
      <c r="B1798">
        <v>1797</v>
      </c>
      <c r="C1798">
        <v>4</v>
      </c>
      <c r="D1798">
        <v>3</v>
      </c>
      <c r="E1798">
        <v>2023</v>
      </c>
      <c r="F1798" s="1">
        <f t="shared" si="142"/>
        <v>44989</v>
      </c>
      <c r="G1798" s="1" t="s">
        <v>475</v>
      </c>
      <c r="H1798" s="2">
        <v>46274</v>
      </c>
      <c r="I1798" t="s">
        <v>19</v>
      </c>
      <c r="J1798">
        <v>3</v>
      </c>
      <c r="K1798">
        <v>18203.34</v>
      </c>
      <c r="L1798" t="s">
        <v>934</v>
      </c>
      <c r="M1798">
        <v>59</v>
      </c>
      <c r="N1798" t="s">
        <v>61</v>
      </c>
      <c r="O1798" s="3" t="s">
        <v>22</v>
      </c>
      <c r="P1798" t="s">
        <v>40</v>
      </c>
      <c r="Q1798" t="s">
        <v>41</v>
      </c>
      <c r="R1798">
        <v>5</v>
      </c>
      <c r="S1798" t="s">
        <v>84</v>
      </c>
      <c r="T1798" s="4">
        <f t="shared" si="143"/>
        <v>54610.020000000004</v>
      </c>
      <c r="U1798" s="4" t="str">
        <f t="shared" si="144"/>
        <v>Good</v>
      </c>
      <c r="V1798" s="4" t="str">
        <f t="shared" si="145"/>
        <v>Average</v>
      </c>
      <c r="W1798" s="4"/>
      <c r="X1798" s="4"/>
      <c r="AJ1798" s="4"/>
    </row>
    <row r="1799" spans="1:36">
      <c r="A1799" t="str">
        <f t="shared" si="141"/>
        <v>Adit361798</v>
      </c>
      <c r="B1799">
        <v>1798</v>
      </c>
      <c r="C1799">
        <v>5</v>
      </c>
      <c r="D1799">
        <v>3</v>
      </c>
      <c r="E1799">
        <v>2023</v>
      </c>
      <c r="F1799" s="1">
        <f t="shared" si="142"/>
        <v>44990</v>
      </c>
      <c r="G1799" s="1" t="s">
        <v>475</v>
      </c>
      <c r="H1799" s="2">
        <v>46275</v>
      </c>
      <c r="I1799" t="s">
        <v>26</v>
      </c>
      <c r="J1799">
        <v>6</v>
      </c>
      <c r="K1799">
        <v>35001.69</v>
      </c>
      <c r="L1799" t="s">
        <v>650</v>
      </c>
      <c r="M1799">
        <v>36</v>
      </c>
      <c r="N1799" t="s">
        <v>21</v>
      </c>
      <c r="O1799" s="3" t="s">
        <v>55</v>
      </c>
      <c r="P1799" t="s">
        <v>33</v>
      </c>
      <c r="Q1799" t="s">
        <v>30</v>
      </c>
      <c r="R1799">
        <v>1</v>
      </c>
      <c r="S1799" t="s">
        <v>31</v>
      </c>
      <c r="T1799" s="4">
        <f t="shared" si="143"/>
        <v>210010.14</v>
      </c>
      <c r="U1799" s="4" t="str">
        <f t="shared" si="144"/>
        <v>Average</v>
      </c>
      <c r="V1799" s="4" t="str">
        <f t="shared" si="145"/>
        <v>Excellent</v>
      </c>
      <c r="W1799" s="4"/>
      <c r="X1799" s="4"/>
      <c r="AJ1799" s="4"/>
    </row>
    <row r="1800" spans="1:36">
      <c r="A1800" t="str">
        <f t="shared" si="141"/>
        <v>Sanj381799</v>
      </c>
      <c r="B1800">
        <v>1799</v>
      </c>
      <c r="C1800">
        <v>5</v>
      </c>
      <c r="D1800">
        <v>3</v>
      </c>
      <c r="E1800">
        <v>2023</v>
      </c>
      <c r="F1800" s="1">
        <f t="shared" si="142"/>
        <v>44990</v>
      </c>
      <c r="G1800" s="1" t="s">
        <v>475</v>
      </c>
      <c r="H1800" s="2">
        <v>46276</v>
      </c>
      <c r="I1800" t="s">
        <v>19</v>
      </c>
      <c r="J1800">
        <v>7</v>
      </c>
      <c r="K1800">
        <v>33125.269999999997</v>
      </c>
      <c r="L1800" t="s">
        <v>935</v>
      </c>
      <c r="M1800">
        <v>38</v>
      </c>
      <c r="N1800" t="s">
        <v>21</v>
      </c>
      <c r="O1800" s="3" t="s">
        <v>22</v>
      </c>
      <c r="P1800" t="s">
        <v>33</v>
      </c>
      <c r="Q1800" t="s">
        <v>24</v>
      </c>
      <c r="R1800">
        <v>5</v>
      </c>
      <c r="S1800" t="s">
        <v>37</v>
      </c>
      <c r="T1800" s="4">
        <f t="shared" si="143"/>
        <v>231876.88999999998</v>
      </c>
      <c r="U1800" s="4" t="str">
        <f t="shared" si="144"/>
        <v>Good</v>
      </c>
      <c r="V1800" s="4" t="str">
        <f t="shared" si="145"/>
        <v>Excellent</v>
      </c>
      <c r="W1800" s="4"/>
      <c r="X1800" s="4"/>
      <c r="AJ1800" s="4"/>
    </row>
    <row r="1801" spans="1:36">
      <c r="A1801" t="str">
        <f t="shared" si="141"/>
        <v>Kavi511800</v>
      </c>
      <c r="B1801">
        <v>1800</v>
      </c>
      <c r="C1801">
        <v>5</v>
      </c>
      <c r="D1801">
        <v>3</v>
      </c>
      <c r="E1801">
        <v>2023</v>
      </c>
      <c r="F1801" s="1">
        <f t="shared" si="142"/>
        <v>44990</v>
      </c>
      <c r="G1801" s="1" t="s">
        <v>475</v>
      </c>
      <c r="H1801" s="2">
        <v>46277</v>
      </c>
      <c r="I1801" t="s">
        <v>26</v>
      </c>
      <c r="J1801">
        <v>1</v>
      </c>
      <c r="K1801">
        <v>42054.83</v>
      </c>
      <c r="L1801" t="s">
        <v>125</v>
      </c>
      <c r="M1801">
        <v>51</v>
      </c>
      <c r="N1801" t="s">
        <v>61</v>
      </c>
      <c r="O1801" s="3" t="s">
        <v>55</v>
      </c>
      <c r="P1801" t="s">
        <v>110</v>
      </c>
      <c r="Q1801" t="s">
        <v>56</v>
      </c>
      <c r="R1801">
        <v>1</v>
      </c>
      <c r="S1801" t="s">
        <v>67</v>
      </c>
      <c r="T1801" s="4">
        <f t="shared" si="143"/>
        <v>42054.83</v>
      </c>
      <c r="U1801" s="4" t="str">
        <f t="shared" si="144"/>
        <v>Average</v>
      </c>
      <c r="V1801" s="4" t="str">
        <f t="shared" si="145"/>
        <v>Low</v>
      </c>
      <c r="W1801" s="4"/>
      <c r="X1801" s="4"/>
      <c r="AJ1801" s="4"/>
    </row>
    <row r="1802" spans="1:36">
      <c r="A1802" t="str">
        <f t="shared" si="141"/>
        <v>Priy341801</v>
      </c>
      <c r="B1802">
        <v>1801</v>
      </c>
      <c r="C1802">
        <v>6</v>
      </c>
      <c r="D1802">
        <v>3</v>
      </c>
      <c r="E1802">
        <v>2023</v>
      </c>
      <c r="F1802" s="1">
        <f t="shared" si="142"/>
        <v>44991</v>
      </c>
      <c r="G1802" s="1" t="s">
        <v>475</v>
      </c>
      <c r="H1802" s="2">
        <v>46278</v>
      </c>
      <c r="I1802" t="s">
        <v>49</v>
      </c>
      <c r="J1802">
        <v>6</v>
      </c>
      <c r="K1802">
        <v>60515.839999999997</v>
      </c>
      <c r="L1802" t="s">
        <v>936</v>
      </c>
      <c r="M1802">
        <v>34</v>
      </c>
      <c r="N1802" t="s">
        <v>21</v>
      </c>
      <c r="O1802" s="3" t="s">
        <v>22</v>
      </c>
      <c r="P1802" t="s">
        <v>29</v>
      </c>
      <c r="Q1802" t="s">
        <v>30</v>
      </c>
      <c r="R1802">
        <v>5</v>
      </c>
      <c r="S1802" t="s">
        <v>102</v>
      </c>
      <c r="T1802" s="4">
        <f t="shared" si="143"/>
        <v>363095.03999999998</v>
      </c>
      <c r="U1802" s="4" t="str">
        <f t="shared" si="144"/>
        <v>Good</v>
      </c>
      <c r="V1802" s="4" t="str">
        <f t="shared" si="145"/>
        <v>Excellent</v>
      </c>
      <c r="W1802" s="4"/>
      <c r="X1802" s="4"/>
      <c r="AJ1802" s="4"/>
    </row>
    <row r="1803" spans="1:36">
      <c r="A1803" t="str">
        <f t="shared" si="141"/>
        <v>Reen351802</v>
      </c>
      <c r="B1803">
        <v>1802</v>
      </c>
      <c r="C1803">
        <v>6</v>
      </c>
      <c r="D1803">
        <v>3</v>
      </c>
      <c r="E1803">
        <v>2023</v>
      </c>
      <c r="F1803" s="1">
        <f t="shared" si="142"/>
        <v>44991</v>
      </c>
      <c r="G1803" s="1" t="s">
        <v>475</v>
      </c>
      <c r="H1803" s="2">
        <v>46279</v>
      </c>
      <c r="I1803" t="s">
        <v>49</v>
      </c>
      <c r="J1803">
        <v>7</v>
      </c>
      <c r="K1803">
        <v>45005.32</v>
      </c>
      <c r="L1803" t="s">
        <v>161</v>
      </c>
      <c r="M1803">
        <v>35</v>
      </c>
      <c r="N1803" t="s">
        <v>21</v>
      </c>
      <c r="O1803" s="3" t="s">
        <v>22</v>
      </c>
      <c r="P1803" t="s">
        <v>29</v>
      </c>
      <c r="Q1803" t="s">
        <v>41</v>
      </c>
      <c r="R1803">
        <v>5</v>
      </c>
      <c r="S1803" t="s">
        <v>102</v>
      </c>
      <c r="T1803" s="4">
        <f t="shared" si="143"/>
        <v>315037.24</v>
      </c>
      <c r="U1803" s="4" t="str">
        <f t="shared" si="144"/>
        <v>Good</v>
      </c>
      <c r="V1803" s="4" t="str">
        <f t="shared" si="145"/>
        <v>Excellent</v>
      </c>
      <c r="W1803" s="4"/>
      <c r="X1803" s="4"/>
      <c r="AJ1803" s="4"/>
    </row>
    <row r="1804" spans="1:36">
      <c r="A1804" t="str">
        <f t="shared" si="141"/>
        <v>Anja341803</v>
      </c>
      <c r="B1804">
        <v>1803</v>
      </c>
      <c r="C1804">
        <v>6</v>
      </c>
      <c r="D1804">
        <v>3</v>
      </c>
      <c r="E1804">
        <v>2023</v>
      </c>
      <c r="F1804" s="1">
        <f t="shared" si="142"/>
        <v>44991</v>
      </c>
      <c r="G1804" s="1" t="s">
        <v>475</v>
      </c>
      <c r="H1804" s="2">
        <v>46280</v>
      </c>
      <c r="I1804" t="s">
        <v>49</v>
      </c>
      <c r="J1804">
        <v>6</v>
      </c>
      <c r="K1804">
        <v>13693.4</v>
      </c>
      <c r="L1804" t="s">
        <v>799</v>
      </c>
      <c r="M1804">
        <v>34</v>
      </c>
      <c r="N1804" t="s">
        <v>21</v>
      </c>
      <c r="O1804" s="3" t="s">
        <v>55</v>
      </c>
      <c r="P1804" t="s">
        <v>137</v>
      </c>
      <c r="Q1804" t="s">
        <v>41</v>
      </c>
      <c r="R1804">
        <v>1</v>
      </c>
      <c r="S1804" t="s">
        <v>52</v>
      </c>
      <c r="T1804" s="4">
        <f t="shared" si="143"/>
        <v>82160.399999999994</v>
      </c>
      <c r="U1804" s="4" t="str">
        <f t="shared" si="144"/>
        <v>Average</v>
      </c>
      <c r="V1804" s="4" t="str">
        <f t="shared" si="145"/>
        <v>Average</v>
      </c>
      <c r="W1804" s="4"/>
      <c r="X1804" s="4"/>
      <c r="AJ1804" s="4"/>
    </row>
    <row r="1805" spans="1:36">
      <c r="A1805" t="str">
        <f t="shared" si="141"/>
        <v>Radh191804</v>
      </c>
      <c r="B1805">
        <v>1804</v>
      </c>
      <c r="C1805">
        <v>6</v>
      </c>
      <c r="D1805">
        <v>3</v>
      </c>
      <c r="E1805">
        <v>2023</v>
      </c>
      <c r="F1805" s="1">
        <f t="shared" si="142"/>
        <v>44991</v>
      </c>
      <c r="G1805" s="1" t="s">
        <v>475</v>
      </c>
      <c r="H1805" s="2">
        <v>46281</v>
      </c>
      <c r="I1805" t="s">
        <v>38</v>
      </c>
      <c r="J1805">
        <v>4</v>
      </c>
      <c r="K1805">
        <v>49324.94</v>
      </c>
      <c r="L1805" t="s">
        <v>328</v>
      </c>
      <c r="M1805">
        <v>19</v>
      </c>
      <c r="N1805" t="s">
        <v>36</v>
      </c>
      <c r="O1805" s="3" t="s">
        <v>22</v>
      </c>
      <c r="P1805" t="s">
        <v>33</v>
      </c>
      <c r="Q1805" t="s">
        <v>30</v>
      </c>
      <c r="R1805">
        <v>4</v>
      </c>
      <c r="S1805" t="s">
        <v>99</v>
      </c>
      <c r="T1805" s="4">
        <f t="shared" si="143"/>
        <v>197299.76</v>
      </c>
      <c r="U1805" s="4" t="str">
        <f t="shared" si="144"/>
        <v>Good</v>
      </c>
      <c r="V1805" s="4" t="str">
        <f t="shared" si="145"/>
        <v>Good</v>
      </c>
      <c r="W1805" s="4"/>
      <c r="X1805" s="4"/>
      <c r="AJ1805" s="4"/>
    </row>
    <row r="1806" spans="1:36">
      <c r="A1806" t="str">
        <f t="shared" si="141"/>
        <v>Neet181805</v>
      </c>
      <c r="B1806">
        <v>1805</v>
      </c>
      <c r="C1806">
        <v>7</v>
      </c>
      <c r="D1806">
        <v>3</v>
      </c>
      <c r="E1806">
        <v>2023</v>
      </c>
      <c r="F1806" s="1">
        <f t="shared" si="142"/>
        <v>44992</v>
      </c>
      <c r="G1806" s="1" t="s">
        <v>475</v>
      </c>
      <c r="H1806" s="2">
        <v>46282</v>
      </c>
      <c r="I1806" t="s">
        <v>43</v>
      </c>
      <c r="J1806">
        <v>1</v>
      </c>
      <c r="K1806">
        <v>10495.92</v>
      </c>
      <c r="L1806" t="s">
        <v>541</v>
      </c>
      <c r="M1806">
        <v>18</v>
      </c>
      <c r="N1806" t="s">
        <v>36</v>
      </c>
      <c r="O1806" s="3" t="s">
        <v>28</v>
      </c>
      <c r="P1806" t="s">
        <v>64</v>
      </c>
      <c r="Q1806" t="s">
        <v>41</v>
      </c>
      <c r="R1806">
        <v>3</v>
      </c>
      <c r="S1806" t="s">
        <v>46</v>
      </c>
      <c r="T1806" s="4">
        <f t="shared" si="143"/>
        <v>10495.92</v>
      </c>
      <c r="U1806" s="4" t="str">
        <f t="shared" si="144"/>
        <v>Average</v>
      </c>
      <c r="V1806" s="4" t="str">
        <f t="shared" si="145"/>
        <v>Low</v>
      </c>
      <c r="W1806" s="4"/>
      <c r="X1806" s="4"/>
      <c r="AJ1806" s="4"/>
    </row>
    <row r="1807" spans="1:36">
      <c r="A1807" t="str">
        <f t="shared" si="141"/>
        <v>Mano271806</v>
      </c>
      <c r="B1807">
        <v>1806</v>
      </c>
      <c r="C1807">
        <v>7</v>
      </c>
      <c r="D1807">
        <v>3</v>
      </c>
      <c r="E1807">
        <v>2023</v>
      </c>
      <c r="F1807" s="1">
        <f t="shared" si="142"/>
        <v>44992</v>
      </c>
      <c r="G1807" s="1" t="s">
        <v>475</v>
      </c>
      <c r="H1807" s="2">
        <v>46283</v>
      </c>
      <c r="I1807" t="s">
        <v>49</v>
      </c>
      <c r="J1807">
        <v>9</v>
      </c>
      <c r="K1807">
        <v>56797.63</v>
      </c>
      <c r="L1807" t="s">
        <v>792</v>
      </c>
      <c r="M1807">
        <v>27</v>
      </c>
      <c r="N1807" t="s">
        <v>36</v>
      </c>
      <c r="O1807" s="3" t="s">
        <v>28</v>
      </c>
      <c r="P1807" t="s">
        <v>33</v>
      </c>
      <c r="Q1807" t="s">
        <v>56</v>
      </c>
      <c r="R1807">
        <v>3</v>
      </c>
      <c r="S1807" t="s">
        <v>102</v>
      </c>
      <c r="T1807" s="4">
        <f t="shared" si="143"/>
        <v>511178.67</v>
      </c>
      <c r="U1807" s="4" t="str">
        <f t="shared" si="144"/>
        <v>Average</v>
      </c>
      <c r="V1807" s="4" t="str">
        <f t="shared" si="145"/>
        <v>Excellent</v>
      </c>
      <c r="W1807" s="4"/>
      <c r="X1807" s="4"/>
      <c r="AJ1807" s="4"/>
    </row>
    <row r="1808" spans="1:36">
      <c r="A1808" t="str">
        <f t="shared" si="141"/>
        <v>Navi541807</v>
      </c>
      <c r="B1808">
        <v>1807</v>
      </c>
      <c r="C1808">
        <v>7</v>
      </c>
      <c r="D1808">
        <v>3</v>
      </c>
      <c r="E1808">
        <v>2023</v>
      </c>
      <c r="F1808" s="1">
        <f t="shared" si="142"/>
        <v>44992</v>
      </c>
      <c r="G1808" s="1" t="s">
        <v>475</v>
      </c>
      <c r="H1808" s="2">
        <v>46284</v>
      </c>
      <c r="I1808" t="s">
        <v>19</v>
      </c>
      <c r="J1808">
        <v>4</v>
      </c>
      <c r="K1808">
        <v>49998.16</v>
      </c>
      <c r="L1808" t="s">
        <v>258</v>
      </c>
      <c r="M1808">
        <v>54</v>
      </c>
      <c r="N1808" t="s">
        <v>61</v>
      </c>
      <c r="O1808" s="3" t="s">
        <v>28</v>
      </c>
      <c r="P1808" t="s">
        <v>29</v>
      </c>
      <c r="Q1808" t="s">
        <v>56</v>
      </c>
      <c r="R1808">
        <v>3</v>
      </c>
      <c r="S1808" t="s">
        <v>84</v>
      </c>
      <c r="T1808" s="4">
        <f t="shared" si="143"/>
        <v>199992.64</v>
      </c>
      <c r="U1808" s="4" t="str">
        <f t="shared" si="144"/>
        <v>Average</v>
      </c>
      <c r="V1808" s="4" t="str">
        <f t="shared" si="145"/>
        <v>Good</v>
      </c>
      <c r="W1808" s="4"/>
      <c r="X1808" s="4"/>
      <c r="AJ1808" s="4"/>
    </row>
    <row r="1809" spans="1:36">
      <c r="A1809" t="str">
        <f t="shared" si="141"/>
        <v>Kira221808</v>
      </c>
      <c r="B1809">
        <v>1808</v>
      </c>
      <c r="C1809">
        <v>7</v>
      </c>
      <c r="D1809">
        <v>3</v>
      </c>
      <c r="E1809">
        <v>2023</v>
      </c>
      <c r="F1809" s="1">
        <f t="shared" si="142"/>
        <v>44992</v>
      </c>
      <c r="G1809" s="1" t="s">
        <v>475</v>
      </c>
      <c r="H1809" s="2">
        <v>46285</v>
      </c>
      <c r="I1809" t="s">
        <v>49</v>
      </c>
      <c r="J1809">
        <v>7</v>
      </c>
      <c r="K1809">
        <v>28527.14</v>
      </c>
      <c r="L1809" t="s">
        <v>265</v>
      </c>
      <c r="M1809">
        <v>22</v>
      </c>
      <c r="N1809" t="s">
        <v>36</v>
      </c>
      <c r="O1809" s="3" t="s">
        <v>55</v>
      </c>
      <c r="P1809" t="s">
        <v>45</v>
      </c>
      <c r="Q1809" t="s">
        <v>41</v>
      </c>
      <c r="R1809">
        <v>1</v>
      </c>
      <c r="S1809" t="s">
        <v>102</v>
      </c>
      <c r="T1809" s="4">
        <f t="shared" si="143"/>
        <v>199689.97999999998</v>
      </c>
      <c r="U1809" s="4" t="str">
        <f t="shared" si="144"/>
        <v>Average</v>
      </c>
      <c r="V1809" s="4" t="str">
        <f t="shared" si="145"/>
        <v>Good</v>
      </c>
      <c r="W1809" s="4"/>
      <c r="X1809" s="4"/>
      <c r="AJ1809" s="4"/>
    </row>
    <row r="1810" spans="1:36">
      <c r="A1810" t="str">
        <f t="shared" si="141"/>
        <v>Pooj291809</v>
      </c>
      <c r="B1810">
        <v>1809</v>
      </c>
      <c r="C1810">
        <v>8</v>
      </c>
      <c r="D1810">
        <v>3</v>
      </c>
      <c r="E1810">
        <v>2023</v>
      </c>
      <c r="F1810" s="1">
        <f t="shared" si="142"/>
        <v>44993</v>
      </c>
      <c r="G1810" s="1" t="s">
        <v>475</v>
      </c>
      <c r="H1810" s="2">
        <v>46286</v>
      </c>
      <c r="I1810" t="s">
        <v>38</v>
      </c>
      <c r="J1810">
        <v>7</v>
      </c>
      <c r="K1810">
        <v>27546.51</v>
      </c>
      <c r="L1810" t="s">
        <v>340</v>
      </c>
      <c r="M1810">
        <v>29</v>
      </c>
      <c r="N1810" t="s">
        <v>36</v>
      </c>
      <c r="O1810" s="3" t="s">
        <v>22</v>
      </c>
      <c r="P1810" t="s">
        <v>110</v>
      </c>
      <c r="Q1810" t="s">
        <v>30</v>
      </c>
      <c r="R1810">
        <v>5</v>
      </c>
      <c r="S1810" t="s">
        <v>48</v>
      </c>
      <c r="T1810" s="4">
        <f t="shared" si="143"/>
        <v>192825.56999999998</v>
      </c>
      <c r="U1810" s="4" t="str">
        <f t="shared" si="144"/>
        <v>Good</v>
      </c>
      <c r="V1810" s="4" t="str">
        <f t="shared" si="145"/>
        <v>Good</v>
      </c>
      <c r="W1810" s="4"/>
      <c r="X1810" s="4"/>
      <c r="AJ1810" s="4"/>
    </row>
    <row r="1811" spans="1:36">
      <c r="A1811" t="str">
        <f t="shared" si="141"/>
        <v>Nami531810</v>
      </c>
      <c r="B1811">
        <v>1810</v>
      </c>
      <c r="C1811">
        <v>8</v>
      </c>
      <c r="D1811">
        <v>3</v>
      </c>
      <c r="E1811">
        <v>2023</v>
      </c>
      <c r="F1811" s="1">
        <f t="shared" si="142"/>
        <v>44993</v>
      </c>
      <c r="G1811" s="1" t="s">
        <v>475</v>
      </c>
      <c r="H1811" s="2">
        <v>46287</v>
      </c>
      <c r="I1811" t="s">
        <v>19</v>
      </c>
      <c r="J1811">
        <v>2</v>
      </c>
      <c r="K1811">
        <v>57896.38</v>
      </c>
      <c r="L1811" t="s">
        <v>381</v>
      </c>
      <c r="M1811">
        <v>53</v>
      </c>
      <c r="N1811" t="s">
        <v>61</v>
      </c>
      <c r="O1811" s="3" t="s">
        <v>22</v>
      </c>
      <c r="P1811" t="s">
        <v>90</v>
      </c>
      <c r="Q1811" t="s">
        <v>30</v>
      </c>
      <c r="R1811">
        <v>5</v>
      </c>
      <c r="S1811" t="s">
        <v>37</v>
      </c>
      <c r="T1811" s="4">
        <f t="shared" si="143"/>
        <v>115792.76</v>
      </c>
      <c r="U1811" s="4" t="str">
        <f t="shared" si="144"/>
        <v>Good</v>
      </c>
      <c r="V1811" s="4" t="str">
        <f t="shared" si="145"/>
        <v>Good</v>
      </c>
      <c r="W1811" s="4"/>
      <c r="X1811" s="4"/>
      <c r="AJ1811" s="4"/>
    </row>
    <row r="1812" spans="1:36">
      <c r="A1812" t="str">
        <f t="shared" si="141"/>
        <v>Pank481811</v>
      </c>
      <c r="B1812">
        <v>1811</v>
      </c>
      <c r="C1812">
        <v>8</v>
      </c>
      <c r="D1812">
        <v>3</v>
      </c>
      <c r="E1812">
        <v>2023</v>
      </c>
      <c r="F1812" s="1">
        <f t="shared" si="142"/>
        <v>44993</v>
      </c>
      <c r="G1812" s="1" t="s">
        <v>475</v>
      </c>
      <c r="H1812" s="2">
        <v>46288</v>
      </c>
      <c r="I1812" t="s">
        <v>38</v>
      </c>
      <c r="J1812">
        <v>1</v>
      </c>
      <c r="K1812">
        <v>57000.2</v>
      </c>
      <c r="L1812" t="s">
        <v>789</v>
      </c>
      <c r="M1812">
        <v>48</v>
      </c>
      <c r="N1812" t="s">
        <v>61</v>
      </c>
      <c r="O1812" s="3" t="s">
        <v>22</v>
      </c>
      <c r="P1812" t="s">
        <v>29</v>
      </c>
      <c r="Q1812" t="s">
        <v>41</v>
      </c>
      <c r="R1812">
        <v>5</v>
      </c>
      <c r="S1812" t="s">
        <v>99</v>
      </c>
      <c r="T1812" s="4">
        <f t="shared" si="143"/>
        <v>57000.2</v>
      </c>
      <c r="U1812" s="4" t="str">
        <f t="shared" si="144"/>
        <v>Good</v>
      </c>
      <c r="V1812" s="4" t="str">
        <f t="shared" si="145"/>
        <v>Average</v>
      </c>
      <c r="W1812" s="4"/>
      <c r="X1812" s="4"/>
      <c r="AJ1812" s="4"/>
    </row>
    <row r="1813" spans="1:36">
      <c r="A1813" t="str">
        <f t="shared" si="141"/>
        <v>Moni551812</v>
      </c>
      <c r="B1813">
        <v>1812</v>
      </c>
      <c r="C1813">
        <v>9</v>
      </c>
      <c r="D1813">
        <v>3</v>
      </c>
      <c r="E1813">
        <v>2023</v>
      </c>
      <c r="F1813" s="1">
        <f t="shared" si="142"/>
        <v>44994</v>
      </c>
      <c r="G1813" s="1" t="s">
        <v>475</v>
      </c>
      <c r="H1813" s="2">
        <v>46289</v>
      </c>
      <c r="I1813" t="s">
        <v>19</v>
      </c>
      <c r="J1813">
        <v>8</v>
      </c>
      <c r="K1813">
        <v>31138.14</v>
      </c>
      <c r="L1813" t="s">
        <v>843</v>
      </c>
      <c r="M1813">
        <v>55</v>
      </c>
      <c r="N1813" t="s">
        <v>61</v>
      </c>
      <c r="O1813" s="3" t="s">
        <v>22</v>
      </c>
      <c r="P1813" t="s">
        <v>33</v>
      </c>
      <c r="Q1813" t="s">
        <v>56</v>
      </c>
      <c r="R1813">
        <v>5</v>
      </c>
      <c r="S1813" t="s">
        <v>84</v>
      </c>
      <c r="T1813" s="4">
        <f t="shared" si="143"/>
        <v>249105.12</v>
      </c>
      <c r="U1813" s="4" t="str">
        <f t="shared" si="144"/>
        <v>Good</v>
      </c>
      <c r="V1813" s="4" t="str">
        <f t="shared" si="145"/>
        <v>Excellent</v>
      </c>
      <c r="W1813" s="4"/>
      <c r="X1813" s="4"/>
      <c r="AJ1813" s="4"/>
    </row>
    <row r="1814" spans="1:36">
      <c r="A1814" t="str">
        <f t="shared" si="141"/>
        <v>Vino261813</v>
      </c>
      <c r="B1814">
        <v>1813</v>
      </c>
      <c r="C1814">
        <v>9</v>
      </c>
      <c r="D1814">
        <v>3</v>
      </c>
      <c r="E1814">
        <v>2023</v>
      </c>
      <c r="F1814" s="1">
        <f t="shared" si="142"/>
        <v>44994</v>
      </c>
      <c r="G1814" s="1" t="s">
        <v>475</v>
      </c>
      <c r="H1814" s="2">
        <v>46290</v>
      </c>
      <c r="I1814" t="s">
        <v>26</v>
      </c>
      <c r="J1814">
        <v>8</v>
      </c>
      <c r="K1814">
        <v>27936.86</v>
      </c>
      <c r="L1814" t="s">
        <v>656</v>
      </c>
      <c r="M1814">
        <v>26</v>
      </c>
      <c r="N1814" t="s">
        <v>36</v>
      </c>
      <c r="O1814" s="3" t="s">
        <v>22</v>
      </c>
      <c r="P1814" t="s">
        <v>29</v>
      </c>
      <c r="Q1814" t="s">
        <v>56</v>
      </c>
      <c r="R1814">
        <v>4</v>
      </c>
      <c r="S1814" t="s">
        <v>34</v>
      </c>
      <c r="T1814" s="4">
        <f t="shared" si="143"/>
        <v>223494.88</v>
      </c>
      <c r="U1814" s="4" t="str">
        <f t="shared" si="144"/>
        <v>Good</v>
      </c>
      <c r="V1814" s="4" t="str">
        <f t="shared" si="145"/>
        <v>Excellent</v>
      </c>
      <c r="W1814" s="4"/>
      <c r="X1814" s="4"/>
      <c r="AJ1814" s="4"/>
    </row>
    <row r="1815" spans="1:36">
      <c r="A1815" t="str">
        <f t="shared" si="141"/>
        <v>Bhav431814</v>
      </c>
      <c r="B1815">
        <v>1814</v>
      </c>
      <c r="C1815">
        <v>9</v>
      </c>
      <c r="D1815">
        <v>3</v>
      </c>
      <c r="E1815">
        <v>2023</v>
      </c>
      <c r="F1815" s="1">
        <f t="shared" si="142"/>
        <v>44994</v>
      </c>
      <c r="G1815" s="1" t="s">
        <v>475</v>
      </c>
      <c r="H1815" s="2">
        <v>46291</v>
      </c>
      <c r="I1815" t="s">
        <v>43</v>
      </c>
      <c r="J1815">
        <v>7</v>
      </c>
      <c r="K1815">
        <v>43589.49</v>
      </c>
      <c r="L1815" t="s">
        <v>35</v>
      </c>
      <c r="M1815">
        <v>43</v>
      </c>
      <c r="N1815" t="s">
        <v>21</v>
      </c>
      <c r="O1815" s="3" t="s">
        <v>28</v>
      </c>
      <c r="P1815" t="s">
        <v>29</v>
      </c>
      <c r="Q1815" t="s">
        <v>30</v>
      </c>
      <c r="R1815">
        <v>3</v>
      </c>
      <c r="S1815" t="s">
        <v>46</v>
      </c>
      <c r="T1815" s="4">
        <f t="shared" si="143"/>
        <v>305126.43</v>
      </c>
      <c r="U1815" s="4" t="str">
        <f t="shared" si="144"/>
        <v>Average</v>
      </c>
      <c r="V1815" s="4" t="str">
        <f t="shared" si="145"/>
        <v>Excellent</v>
      </c>
      <c r="W1815" s="4"/>
      <c r="X1815" s="4"/>
      <c r="AJ1815" s="4"/>
    </row>
    <row r="1816" spans="1:36">
      <c r="A1816" t="str">
        <f t="shared" si="141"/>
        <v>Isha321815</v>
      </c>
      <c r="B1816">
        <v>1815</v>
      </c>
      <c r="C1816">
        <v>9</v>
      </c>
      <c r="D1816">
        <v>3</v>
      </c>
      <c r="E1816">
        <v>2023</v>
      </c>
      <c r="F1816" s="1">
        <f t="shared" si="142"/>
        <v>44994</v>
      </c>
      <c r="G1816" s="1" t="s">
        <v>475</v>
      </c>
      <c r="H1816" s="2">
        <v>46292</v>
      </c>
      <c r="I1816" t="s">
        <v>43</v>
      </c>
      <c r="J1816">
        <v>8</v>
      </c>
      <c r="K1816">
        <v>10501.94</v>
      </c>
      <c r="L1816" t="s">
        <v>738</v>
      </c>
      <c r="M1816">
        <v>32</v>
      </c>
      <c r="N1816" t="s">
        <v>21</v>
      </c>
      <c r="O1816" s="3" t="s">
        <v>22</v>
      </c>
      <c r="P1816" t="s">
        <v>117</v>
      </c>
      <c r="Q1816" t="s">
        <v>56</v>
      </c>
      <c r="R1816">
        <v>4</v>
      </c>
      <c r="S1816" t="s">
        <v>95</v>
      </c>
      <c r="T1816" s="4">
        <f t="shared" si="143"/>
        <v>84015.52</v>
      </c>
      <c r="U1816" s="4" t="str">
        <f t="shared" si="144"/>
        <v>Good</v>
      </c>
      <c r="V1816" s="4" t="str">
        <f t="shared" si="145"/>
        <v>Average</v>
      </c>
      <c r="W1816" s="4"/>
      <c r="X1816" s="4"/>
      <c r="AJ1816" s="4"/>
    </row>
    <row r="1817" spans="1:36">
      <c r="A1817" t="str">
        <f t="shared" si="141"/>
        <v>Neet331816</v>
      </c>
      <c r="B1817">
        <v>1816</v>
      </c>
      <c r="C1817">
        <v>10</v>
      </c>
      <c r="D1817">
        <v>3</v>
      </c>
      <c r="E1817">
        <v>2023</v>
      </c>
      <c r="F1817" s="1">
        <f t="shared" si="142"/>
        <v>44995</v>
      </c>
      <c r="G1817" s="1" t="s">
        <v>475</v>
      </c>
      <c r="H1817" s="2">
        <v>46293</v>
      </c>
      <c r="I1817" t="s">
        <v>38</v>
      </c>
      <c r="J1817">
        <v>3</v>
      </c>
      <c r="K1817">
        <v>14960.02</v>
      </c>
      <c r="L1817" t="s">
        <v>834</v>
      </c>
      <c r="M1817">
        <v>33</v>
      </c>
      <c r="N1817" t="s">
        <v>21</v>
      </c>
      <c r="O1817" s="3" t="s">
        <v>28</v>
      </c>
      <c r="P1817" t="s">
        <v>117</v>
      </c>
      <c r="Q1817" t="s">
        <v>24</v>
      </c>
      <c r="R1817">
        <v>3</v>
      </c>
      <c r="S1817" t="s">
        <v>99</v>
      </c>
      <c r="T1817" s="4">
        <f t="shared" si="143"/>
        <v>44880.06</v>
      </c>
      <c r="U1817" s="4" t="str">
        <f t="shared" si="144"/>
        <v>Average</v>
      </c>
      <c r="V1817" s="4" t="str">
        <f t="shared" si="145"/>
        <v>Low</v>
      </c>
      <c r="W1817" s="4"/>
      <c r="X1817" s="4"/>
      <c r="AJ1817" s="4"/>
    </row>
    <row r="1818" spans="1:36">
      <c r="A1818" t="str">
        <f t="shared" si="141"/>
        <v>Kira301817</v>
      </c>
      <c r="B1818">
        <v>1817</v>
      </c>
      <c r="C1818">
        <v>10</v>
      </c>
      <c r="D1818">
        <v>3</v>
      </c>
      <c r="E1818">
        <v>2023</v>
      </c>
      <c r="F1818" s="1">
        <f t="shared" si="142"/>
        <v>44995</v>
      </c>
      <c r="G1818" s="1" t="s">
        <v>475</v>
      </c>
      <c r="H1818" s="2">
        <v>46294</v>
      </c>
      <c r="I1818" t="s">
        <v>43</v>
      </c>
      <c r="J1818">
        <v>2</v>
      </c>
      <c r="K1818">
        <v>17570.18</v>
      </c>
      <c r="L1818" t="s">
        <v>187</v>
      </c>
      <c r="M1818">
        <v>30</v>
      </c>
      <c r="N1818" t="s">
        <v>36</v>
      </c>
      <c r="O1818" s="3" t="s">
        <v>55</v>
      </c>
      <c r="P1818" t="s">
        <v>29</v>
      </c>
      <c r="Q1818" t="s">
        <v>56</v>
      </c>
      <c r="R1818">
        <v>1</v>
      </c>
      <c r="S1818" t="s">
        <v>57</v>
      </c>
      <c r="T1818" s="4">
        <f t="shared" si="143"/>
        <v>35140.36</v>
      </c>
      <c r="U1818" s="4" t="str">
        <f t="shared" si="144"/>
        <v>Average</v>
      </c>
      <c r="V1818" s="4" t="str">
        <f t="shared" si="145"/>
        <v>Low</v>
      </c>
      <c r="W1818" s="4"/>
      <c r="X1818" s="4"/>
      <c r="AJ1818" s="4"/>
    </row>
    <row r="1819" spans="1:36">
      <c r="A1819" t="str">
        <f t="shared" si="141"/>
        <v>Pooj421818</v>
      </c>
      <c r="B1819">
        <v>1818</v>
      </c>
      <c r="C1819">
        <v>10</v>
      </c>
      <c r="D1819">
        <v>3</v>
      </c>
      <c r="E1819">
        <v>2023</v>
      </c>
      <c r="F1819" s="1">
        <f t="shared" si="142"/>
        <v>44995</v>
      </c>
      <c r="G1819" s="1" t="s">
        <v>475</v>
      </c>
      <c r="H1819" s="2">
        <v>46295</v>
      </c>
      <c r="I1819" t="s">
        <v>38</v>
      </c>
      <c r="J1819">
        <v>7</v>
      </c>
      <c r="K1819">
        <v>21124.71</v>
      </c>
      <c r="L1819" t="s">
        <v>752</v>
      </c>
      <c r="M1819">
        <v>42</v>
      </c>
      <c r="N1819" t="s">
        <v>21</v>
      </c>
      <c r="O1819" s="3" t="s">
        <v>22</v>
      </c>
      <c r="P1819" t="s">
        <v>29</v>
      </c>
      <c r="Q1819" t="s">
        <v>30</v>
      </c>
      <c r="R1819">
        <v>4</v>
      </c>
      <c r="S1819" t="s">
        <v>99</v>
      </c>
      <c r="T1819" s="4">
        <f t="shared" si="143"/>
        <v>147872.97</v>
      </c>
      <c r="U1819" s="4" t="str">
        <f t="shared" si="144"/>
        <v>Good</v>
      </c>
      <c r="V1819" s="4" t="str">
        <f t="shared" si="145"/>
        <v>Good</v>
      </c>
      <c r="W1819" s="4"/>
      <c r="X1819" s="4"/>
      <c r="AJ1819" s="4"/>
    </row>
    <row r="1820" spans="1:36">
      <c r="A1820" t="str">
        <f t="shared" si="141"/>
        <v>Sumi471819</v>
      </c>
      <c r="B1820">
        <v>1819</v>
      </c>
      <c r="C1820">
        <v>10</v>
      </c>
      <c r="D1820">
        <v>3</v>
      </c>
      <c r="E1820">
        <v>2023</v>
      </c>
      <c r="F1820" s="1">
        <f t="shared" si="142"/>
        <v>44995</v>
      </c>
      <c r="G1820" s="1" t="s">
        <v>475</v>
      </c>
      <c r="H1820" s="2">
        <v>46296</v>
      </c>
      <c r="I1820" t="s">
        <v>38</v>
      </c>
      <c r="J1820">
        <v>8</v>
      </c>
      <c r="K1820">
        <v>40721.089999999997</v>
      </c>
      <c r="L1820" t="s">
        <v>444</v>
      </c>
      <c r="M1820">
        <v>47</v>
      </c>
      <c r="N1820" t="s">
        <v>61</v>
      </c>
      <c r="O1820" s="3" t="s">
        <v>22</v>
      </c>
      <c r="P1820" t="s">
        <v>29</v>
      </c>
      <c r="Q1820" t="s">
        <v>56</v>
      </c>
      <c r="R1820">
        <v>5</v>
      </c>
      <c r="S1820" t="s">
        <v>99</v>
      </c>
      <c r="T1820" s="4">
        <f t="shared" si="143"/>
        <v>325768.71999999997</v>
      </c>
      <c r="U1820" s="4" t="str">
        <f t="shared" si="144"/>
        <v>Good</v>
      </c>
      <c r="V1820" s="4" t="str">
        <f t="shared" si="145"/>
        <v>Excellent</v>
      </c>
      <c r="W1820" s="4"/>
      <c r="X1820" s="4"/>
      <c r="AJ1820" s="4"/>
    </row>
    <row r="1821" spans="1:36">
      <c r="A1821" t="str">
        <f t="shared" si="141"/>
        <v>Pras241820</v>
      </c>
      <c r="B1821">
        <v>1820</v>
      </c>
      <c r="C1821">
        <v>11</v>
      </c>
      <c r="D1821">
        <v>3</v>
      </c>
      <c r="E1821">
        <v>2023</v>
      </c>
      <c r="F1821" s="1">
        <f t="shared" si="142"/>
        <v>44996</v>
      </c>
      <c r="G1821" s="1" t="s">
        <v>475</v>
      </c>
      <c r="H1821" s="2">
        <v>46297</v>
      </c>
      <c r="I1821" t="s">
        <v>38</v>
      </c>
      <c r="J1821">
        <v>1</v>
      </c>
      <c r="K1821">
        <v>69534.509999999995</v>
      </c>
      <c r="L1821" t="s">
        <v>734</v>
      </c>
      <c r="M1821">
        <v>24</v>
      </c>
      <c r="N1821" t="s">
        <v>36</v>
      </c>
      <c r="O1821" s="3" t="s">
        <v>28</v>
      </c>
      <c r="P1821" t="s">
        <v>33</v>
      </c>
      <c r="Q1821" t="s">
        <v>56</v>
      </c>
      <c r="R1821">
        <v>3</v>
      </c>
      <c r="S1821" t="s">
        <v>48</v>
      </c>
      <c r="T1821" s="4">
        <f t="shared" si="143"/>
        <v>69534.509999999995</v>
      </c>
      <c r="U1821" s="4" t="str">
        <f t="shared" si="144"/>
        <v>Average</v>
      </c>
      <c r="V1821" s="4" t="str">
        <f t="shared" si="145"/>
        <v>Average</v>
      </c>
      <c r="W1821" s="4"/>
      <c r="X1821" s="4"/>
      <c r="AJ1821" s="4"/>
    </row>
    <row r="1822" spans="1:36">
      <c r="A1822" t="str">
        <f t="shared" si="141"/>
        <v>Ravi211821</v>
      </c>
      <c r="B1822">
        <v>1821</v>
      </c>
      <c r="C1822">
        <v>11</v>
      </c>
      <c r="D1822">
        <v>3</v>
      </c>
      <c r="E1822">
        <v>2023</v>
      </c>
      <c r="F1822" s="1">
        <f t="shared" si="142"/>
        <v>44996</v>
      </c>
      <c r="G1822" s="1" t="s">
        <v>475</v>
      </c>
      <c r="H1822" s="2">
        <v>46298</v>
      </c>
      <c r="I1822" t="s">
        <v>43</v>
      </c>
      <c r="J1822">
        <v>9</v>
      </c>
      <c r="K1822">
        <v>49156.800000000003</v>
      </c>
      <c r="L1822" t="s">
        <v>937</v>
      </c>
      <c r="M1822">
        <v>21</v>
      </c>
      <c r="N1822" t="s">
        <v>36</v>
      </c>
      <c r="O1822" s="3" t="s">
        <v>22</v>
      </c>
      <c r="P1822" t="s">
        <v>29</v>
      </c>
      <c r="Q1822" t="s">
        <v>41</v>
      </c>
      <c r="R1822">
        <v>5</v>
      </c>
      <c r="S1822" t="s">
        <v>95</v>
      </c>
      <c r="T1822" s="4">
        <f t="shared" si="143"/>
        <v>442411.2</v>
      </c>
      <c r="U1822" s="4" t="str">
        <f t="shared" si="144"/>
        <v>Good</v>
      </c>
      <c r="V1822" s="4" t="str">
        <f t="shared" si="145"/>
        <v>Excellent</v>
      </c>
      <c r="W1822" s="4"/>
      <c r="X1822" s="4"/>
      <c r="AJ1822" s="4"/>
    </row>
    <row r="1823" spans="1:36">
      <c r="A1823" t="str">
        <f t="shared" si="141"/>
        <v>Hari571822</v>
      </c>
      <c r="B1823">
        <v>1822</v>
      </c>
      <c r="C1823">
        <v>11</v>
      </c>
      <c r="D1823">
        <v>3</v>
      </c>
      <c r="E1823">
        <v>2023</v>
      </c>
      <c r="F1823" s="1">
        <f t="shared" si="142"/>
        <v>44996</v>
      </c>
      <c r="G1823" s="1" t="s">
        <v>475</v>
      </c>
      <c r="H1823" s="2">
        <v>46299</v>
      </c>
      <c r="I1823" t="s">
        <v>38</v>
      </c>
      <c r="J1823">
        <v>4</v>
      </c>
      <c r="K1823">
        <v>13677.93</v>
      </c>
      <c r="L1823" t="s">
        <v>472</v>
      </c>
      <c r="M1823">
        <v>57</v>
      </c>
      <c r="N1823" t="s">
        <v>61</v>
      </c>
      <c r="O1823" s="3" t="s">
        <v>22</v>
      </c>
      <c r="P1823" t="s">
        <v>93</v>
      </c>
      <c r="Q1823" t="s">
        <v>24</v>
      </c>
      <c r="R1823">
        <v>4</v>
      </c>
      <c r="S1823" t="s">
        <v>42</v>
      </c>
      <c r="T1823" s="4">
        <f t="shared" si="143"/>
        <v>54711.72</v>
      </c>
      <c r="U1823" s="4" t="str">
        <f t="shared" si="144"/>
        <v>Good</v>
      </c>
      <c r="V1823" s="4" t="str">
        <f t="shared" si="145"/>
        <v>Average</v>
      </c>
      <c r="W1823" s="4"/>
      <c r="X1823" s="4"/>
      <c r="AJ1823" s="4"/>
    </row>
    <row r="1824" spans="1:36">
      <c r="A1824" t="str">
        <f t="shared" si="141"/>
        <v>Suni551823</v>
      </c>
      <c r="B1824">
        <v>1823</v>
      </c>
      <c r="C1824">
        <v>11</v>
      </c>
      <c r="D1824">
        <v>3</v>
      </c>
      <c r="E1824">
        <v>2023</v>
      </c>
      <c r="F1824" s="1">
        <f t="shared" si="142"/>
        <v>44996</v>
      </c>
      <c r="G1824" s="1" t="s">
        <v>475</v>
      </c>
      <c r="H1824" s="2">
        <v>46300</v>
      </c>
      <c r="I1824" t="s">
        <v>43</v>
      </c>
      <c r="J1824">
        <v>4</v>
      </c>
      <c r="K1824">
        <v>41534.76</v>
      </c>
      <c r="L1824" t="s">
        <v>430</v>
      </c>
      <c r="M1824">
        <v>55</v>
      </c>
      <c r="N1824" t="s">
        <v>61</v>
      </c>
      <c r="O1824" s="3" t="s">
        <v>55</v>
      </c>
      <c r="P1824" t="s">
        <v>66</v>
      </c>
      <c r="Q1824" t="s">
        <v>41</v>
      </c>
      <c r="R1824">
        <v>1</v>
      </c>
      <c r="S1824" t="s">
        <v>57</v>
      </c>
      <c r="T1824" s="4">
        <f t="shared" si="143"/>
        <v>166139.04</v>
      </c>
      <c r="U1824" s="4" t="str">
        <f t="shared" si="144"/>
        <v>Average</v>
      </c>
      <c r="V1824" s="4" t="str">
        <f t="shared" si="145"/>
        <v>Good</v>
      </c>
      <c r="W1824" s="4"/>
      <c r="X1824" s="4"/>
      <c r="AJ1824" s="4"/>
    </row>
    <row r="1825" spans="1:36">
      <c r="A1825" t="str">
        <f t="shared" si="141"/>
        <v>Sumi471824</v>
      </c>
      <c r="B1825">
        <v>1824</v>
      </c>
      <c r="C1825">
        <v>12</v>
      </c>
      <c r="D1825">
        <v>3</v>
      </c>
      <c r="E1825">
        <v>2023</v>
      </c>
      <c r="F1825" s="1">
        <f t="shared" si="142"/>
        <v>44997</v>
      </c>
      <c r="G1825" s="1" t="s">
        <v>475</v>
      </c>
      <c r="H1825" s="2">
        <v>46301</v>
      </c>
      <c r="I1825" t="s">
        <v>38</v>
      </c>
      <c r="J1825">
        <v>3</v>
      </c>
      <c r="K1825">
        <v>39798.71</v>
      </c>
      <c r="L1825" t="s">
        <v>645</v>
      </c>
      <c r="M1825">
        <v>47</v>
      </c>
      <c r="N1825" t="s">
        <v>61</v>
      </c>
      <c r="O1825" s="3" t="s">
        <v>22</v>
      </c>
      <c r="P1825" t="s">
        <v>114</v>
      </c>
      <c r="Q1825" t="s">
        <v>56</v>
      </c>
      <c r="R1825">
        <v>5</v>
      </c>
      <c r="S1825" t="s">
        <v>48</v>
      </c>
      <c r="T1825" s="4">
        <f t="shared" si="143"/>
        <v>119396.13</v>
      </c>
      <c r="U1825" s="4" t="str">
        <f t="shared" si="144"/>
        <v>Good</v>
      </c>
      <c r="V1825" s="4" t="str">
        <f t="shared" si="145"/>
        <v>Good</v>
      </c>
      <c r="W1825" s="4"/>
      <c r="X1825" s="4"/>
      <c r="AJ1825" s="4"/>
    </row>
    <row r="1826" spans="1:36">
      <c r="A1826" t="str">
        <f t="shared" si="141"/>
        <v>Lata271825</v>
      </c>
      <c r="B1826">
        <v>1825</v>
      </c>
      <c r="C1826">
        <v>12</v>
      </c>
      <c r="D1826">
        <v>3</v>
      </c>
      <c r="E1826">
        <v>2023</v>
      </c>
      <c r="F1826" s="1">
        <f t="shared" si="142"/>
        <v>44997</v>
      </c>
      <c r="G1826" s="1" t="s">
        <v>475</v>
      </c>
      <c r="H1826" s="2">
        <v>46302</v>
      </c>
      <c r="I1826" t="s">
        <v>49</v>
      </c>
      <c r="J1826">
        <v>6</v>
      </c>
      <c r="K1826">
        <v>18650.07</v>
      </c>
      <c r="L1826" t="s">
        <v>800</v>
      </c>
      <c r="M1826">
        <v>27</v>
      </c>
      <c r="N1826" t="s">
        <v>36</v>
      </c>
      <c r="O1826" s="3" t="s">
        <v>55</v>
      </c>
      <c r="P1826" t="s">
        <v>77</v>
      </c>
      <c r="Q1826" t="s">
        <v>56</v>
      </c>
      <c r="R1826">
        <v>1</v>
      </c>
      <c r="S1826" t="s">
        <v>102</v>
      </c>
      <c r="T1826" s="4">
        <f t="shared" si="143"/>
        <v>111900.42</v>
      </c>
      <c r="U1826" s="4" t="str">
        <f t="shared" si="144"/>
        <v>Average</v>
      </c>
      <c r="V1826" s="4" t="str">
        <f t="shared" si="145"/>
        <v>Good</v>
      </c>
      <c r="W1826" s="4"/>
      <c r="X1826" s="4"/>
      <c r="AJ1826" s="4"/>
    </row>
    <row r="1827" spans="1:36">
      <c r="A1827" t="str">
        <f t="shared" si="141"/>
        <v>Bhav471826</v>
      </c>
      <c r="B1827">
        <v>1826</v>
      </c>
      <c r="C1827">
        <v>12</v>
      </c>
      <c r="D1827">
        <v>3</v>
      </c>
      <c r="E1827">
        <v>2023</v>
      </c>
      <c r="F1827" s="1">
        <f t="shared" si="142"/>
        <v>44997</v>
      </c>
      <c r="G1827" s="1" t="s">
        <v>475</v>
      </c>
      <c r="H1827" s="2">
        <v>46303</v>
      </c>
      <c r="I1827" t="s">
        <v>38</v>
      </c>
      <c r="J1827">
        <v>1</v>
      </c>
      <c r="K1827">
        <v>65216.34</v>
      </c>
      <c r="L1827" t="s">
        <v>775</v>
      </c>
      <c r="M1827">
        <v>47</v>
      </c>
      <c r="N1827" t="s">
        <v>61</v>
      </c>
      <c r="O1827" s="3" t="s">
        <v>28</v>
      </c>
      <c r="P1827" t="s">
        <v>29</v>
      </c>
      <c r="Q1827" t="s">
        <v>41</v>
      </c>
      <c r="R1827">
        <v>3</v>
      </c>
      <c r="S1827" t="s">
        <v>48</v>
      </c>
      <c r="T1827" s="4">
        <f t="shared" si="143"/>
        <v>65216.34</v>
      </c>
      <c r="U1827" s="4" t="str">
        <f t="shared" si="144"/>
        <v>Average</v>
      </c>
      <c r="V1827" s="4" t="str">
        <f t="shared" si="145"/>
        <v>Average</v>
      </c>
      <c r="W1827" s="4"/>
      <c r="X1827" s="4"/>
      <c r="AJ1827" s="4"/>
    </row>
    <row r="1828" spans="1:36">
      <c r="A1828" t="str">
        <f t="shared" si="141"/>
        <v>Mala561827</v>
      </c>
      <c r="B1828">
        <v>1827</v>
      </c>
      <c r="C1828">
        <v>12</v>
      </c>
      <c r="D1828">
        <v>3</v>
      </c>
      <c r="E1828">
        <v>2023</v>
      </c>
      <c r="F1828" s="1">
        <f t="shared" si="142"/>
        <v>44997</v>
      </c>
      <c r="G1828" s="1" t="s">
        <v>475</v>
      </c>
      <c r="H1828" s="2">
        <v>46304</v>
      </c>
      <c r="I1828" t="s">
        <v>19</v>
      </c>
      <c r="J1828">
        <v>6</v>
      </c>
      <c r="K1828">
        <v>36445.910000000003</v>
      </c>
      <c r="L1828" t="s">
        <v>78</v>
      </c>
      <c r="M1828">
        <v>56</v>
      </c>
      <c r="N1828" t="s">
        <v>61</v>
      </c>
      <c r="O1828" s="3" t="s">
        <v>22</v>
      </c>
      <c r="P1828" t="s">
        <v>33</v>
      </c>
      <c r="Q1828" t="s">
        <v>24</v>
      </c>
      <c r="R1828">
        <v>4</v>
      </c>
      <c r="S1828" t="s">
        <v>84</v>
      </c>
      <c r="T1828" s="4">
        <f t="shared" si="143"/>
        <v>218675.46000000002</v>
      </c>
      <c r="U1828" s="4" t="str">
        <f t="shared" si="144"/>
        <v>Good</v>
      </c>
      <c r="V1828" s="4" t="str">
        <f t="shared" si="145"/>
        <v>Excellent</v>
      </c>
      <c r="W1828" s="4"/>
      <c r="X1828" s="4"/>
      <c r="AJ1828" s="4"/>
    </row>
    <row r="1829" spans="1:36">
      <c r="A1829" t="str">
        <f t="shared" si="141"/>
        <v>Roha241828</v>
      </c>
      <c r="B1829">
        <v>1828</v>
      </c>
      <c r="C1829">
        <v>13</v>
      </c>
      <c r="D1829">
        <v>3</v>
      </c>
      <c r="E1829">
        <v>2023</v>
      </c>
      <c r="F1829" s="1">
        <f t="shared" si="142"/>
        <v>44998</v>
      </c>
      <c r="G1829" s="1" t="s">
        <v>475</v>
      </c>
      <c r="H1829" s="2">
        <v>46305</v>
      </c>
      <c r="I1829" t="s">
        <v>38</v>
      </c>
      <c r="J1829">
        <v>2</v>
      </c>
      <c r="K1829">
        <v>69673.55</v>
      </c>
      <c r="L1829" t="s">
        <v>773</v>
      </c>
      <c r="M1829">
        <v>24</v>
      </c>
      <c r="N1829" t="s">
        <v>36</v>
      </c>
      <c r="O1829" s="3" t="s">
        <v>55</v>
      </c>
      <c r="P1829" t="s">
        <v>45</v>
      </c>
      <c r="Q1829" t="s">
        <v>30</v>
      </c>
      <c r="R1829">
        <v>1</v>
      </c>
      <c r="S1829" t="s">
        <v>99</v>
      </c>
      <c r="T1829" s="4">
        <f t="shared" si="143"/>
        <v>139347.1</v>
      </c>
      <c r="U1829" s="4" t="str">
        <f t="shared" si="144"/>
        <v>Average</v>
      </c>
      <c r="V1829" s="4" t="str">
        <f t="shared" si="145"/>
        <v>Good</v>
      </c>
      <c r="W1829" s="4"/>
      <c r="X1829" s="4"/>
      <c r="AJ1829" s="4"/>
    </row>
    <row r="1830" spans="1:36">
      <c r="A1830" t="str">
        <f t="shared" si="141"/>
        <v>Roha531829</v>
      </c>
      <c r="B1830">
        <v>1829</v>
      </c>
      <c r="C1830">
        <v>13</v>
      </c>
      <c r="D1830">
        <v>3</v>
      </c>
      <c r="E1830">
        <v>2023</v>
      </c>
      <c r="F1830" s="1">
        <f t="shared" si="142"/>
        <v>44998</v>
      </c>
      <c r="G1830" s="1" t="s">
        <v>475</v>
      </c>
      <c r="H1830" s="2">
        <v>46306</v>
      </c>
      <c r="I1830" t="s">
        <v>26</v>
      </c>
      <c r="J1830">
        <v>9</v>
      </c>
      <c r="K1830">
        <v>35204.339999999997</v>
      </c>
      <c r="L1830" t="s">
        <v>938</v>
      </c>
      <c r="M1830">
        <v>53</v>
      </c>
      <c r="N1830" t="s">
        <v>61</v>
      </c>
      <c r="O1830" s="3" t="s">
        <v>22</v>
      </c>
      <c r="P1830" t="s">
        <v>45</v>
      </c>
      <c r="Q1830" t="s">
        <v>41</v>
      </c>
      <c r="R1830">
        <v>5</v>
      </c>
      <c r="S1830" t="s">
        <v>31</v>
      </c>
      <c r="T1830" s="4">
        <f t="shared" si="143"/>
        <v>316839.05999999994</v>
      </c>
      <c r="U1830" s="4" t="str">
        <f t="shared" si="144"/>
        <v>Good</v>
      </c>
      <c r="V1830" s="4" t="str">
        <f t="shared" si="145"/>
        <v>Excellent</v>
      </c>
      <c r="W1830" s="4"/>
      <c r="X1830" s="4"/>
      <c r="AJ1830" s="4"/>
    </row>
    <row r="1831" spans="1:36">
      <c r="A1831" t="str">
        <f t="shared" si="141"/>
        <v>Navi521830</v>
      </c>
      <c r="B1831">
        <v>1830</v>
      </c>
      <c r="C1831">
        <v>13</v>
      </c>
      <c r="D1831">
        <v>3</v>
      </c>
      <c r="E1831">
        <v>2023</v>
      </c>
      <c r="F1831" s="1">
        <f t="shared" si="142"/>
        <v>44998</v>
      </c>
      <c r="G1831" s="1" t="s">
        <v>475</v>
      </c>
      <c r="H1831" s="2">
        <v>46307</v>
      </c>
      <c r="I1831" t="s">
        <v>38</v>
      </c>
      <c r="J1831">
        <v>2</v>
      </c>
      <c r="K1831">
        <v>46477.46</v>
      </c>
      <c r="L1831" t="s">
        <v>603</v>
      </c>
      <c r="M1831">
        <v>52</v>
      </c>
      <c r="N1831" t="s">
        <v>61</v>
      </c>
      <c r="O1831" s="3" t="s">
        <v>22</v>
      </c>
      <c r="P1831" t="s">
        <v>33</v>
      </c>
      <c r="Q1831" t="s">
        <v>56</v>
      </c>
      <c r="R1831">
        <v>5</v>
      </c>
      <c r="S1831" t="s">
        <v>99</v>
      </c>
      <c r="T1831" s="4">
        <f t="shared" si="143"/>
        <v>92954.92</v>
      </c>
      <c r="U1831" s="4" t="str">
        <f t="shared" si="144"/>
        <v>Good</v>
      </c>
      <c r="V1831" s="4" t="str">
        <f t="shared" si="145"/>
        <v>Average</v>
      </c>
      <c r="W1831" s="4"/>
      <c r="X1831" s="4"/>
      <c r="AJ1831" s="4"/>
    </row>
    <row r="1832" spans="1:36">
      <c r="A1832" t="str">
        <f t="shared" si="141"/>
        <v>Sanj411831</v>
      </c>
      <c r="B1832">
        <v>1831</v>
      </c>
      <c r="C1832">
        <v>13</v>
      </c>
      <c r="D1832">
        <v>3</v>
      </c>
      <c r="E1832">
        <v>2023</v>
      </c>
      <c r="F1832" s="1">
        <f t="shared" si="142"/>
        <v>44998</v>
      </c>
      <c r="G1832" s="1" t="s">
        <v>475</v>
      </c>
      <c r="H1832" s="2">
        <v>46308</v>
      </c>
      <c r="I1832" t="s">
        <v>19</v>
      </c>
      <c r="J1832">
        <v>7</v>
      </c>
      <c r="K1832">
        <v>16285.75</v>
      </c>
      <c r="L1832" t="s">
        <v>247</v>
      </c>
      <c r="M1832">
        <v>41</v>
      </c>
      <c r="N1832" t="s">
        <v>21</v>
      </c>
      <c r="O1832" s="3" t="s">
        <v>22</v>
      </c>
      <c r="P1832" t="s">
        <v>40</v>
      </c>
      <c r="Q1832" t="s">
        <v>56</v>
      </c>
      <c r="R1832">
        <v>5</v>
      </c>
      <c r="S1832" t="s">
        <v>25</v>
      </c>
      <c r="T1832" s="4">
        <f t="shared" si="143"/>
        <v>114000.25</v>
      </c>
      <c r="U1832" s="4" t="str">
        <f t="shared" si="144"/>
        <v>Good</v>
      </c>
      <c r="V1832" s="4" t="str">
        <f t="shared" si="145"/>
        <v>Good</v>
      </c>
      <c r="W1832" s="4"/>
      <c r="X1832" s="4"/>
      <c r="AJ1832" s="4"/>
    </row>
    <row r="1833" spans="1:36">
      <c r="A1833" t="str">
        <f t="shared" si="141"/>
        <v>Pras561832</v>
      </c>
      <c r="B1833">
        <v>1832</v>
      </c>
      <c r="C1833">
        <v>14</v>
      </c>
      <c r="D1833">
        <v>3</v>
      </c>
      <c r="E1833">
        <v>2023</v>
      </c>
      <c r="F1833" s="1">
        <f t="shared" si="142"/>
        <v>44999</v>
      </c>
      <c r="G1833" s="1" t="s">
        <v>475</v>
      </c>
      <c r="H1833" s="2">
        <v>46309</v>
      </c>
      <c r="I1833" t="s">
        <v>19</v>
      </c>
      <c r="J1833">
        <v>1</v>
      </c>
      <c r="K1833">
        <v>37253.67</v>
      </c>
      <c r="L1833" t="s">
        <v>778</v>
      </c>
      <c r="M1833">
        <v>56</v>
      </c>
      <c r="N1833" t="s">
        <v>61</v>
      </c>
      <c r="O1833" s="3" t="s">
        <v>55</v>
      </c>
      <c r="P1833" t="s">
        <v>114</v>
      </c>
      <c r="Q1833" t="s">
        <v>30</v>
      </c>
      <c r="R1833">
        <v>1</v>
      </c>
      <c r="S1833" t="s">
        <v>25</v>
      </c>
      <c r="T1833" s="4">
        <f t="shared" si="143"/>
        <v>37253.67</v>
      </c>
      <c r="U1833" s="4" t="str">
        <f t="shared" si="144"/>
        <v>Average</v>
      </c>
      <c r="V1833" s="4" t="str">
        <f t="shared" si="145"/>
        <v>Low</v>
      </c>
      <c r="W1833" s="4"/>
      <c r="X1833" s="4"/>
      <c r="AJ1833" s="4"/>
    </row>
    <row r="1834" spans="1:36">
      <c r="A1834" t="str">
        <f t="shared" si="141"/>
        <v>Pras531833</v>
      </c>
      <c r="B1834">
        <v>1833</v>
      </c>
      <c r="C1834">
        <v>14</v>
      </c>
      <c r="D1834">
        <v>3</v>
      </c>
      <c r="E1834">
        <v>2023</v>
      </c>
      <c r="F1834" s="1">
        <f t="shared" si="142"/>
        <v>44999</v>
      </c>
      <c r="G1834" s="1" t="s">
        <v>475</v>
      </c>
      <c r="H1834" s="2">
        <v>46310</v>
      </c>
      <c r="I1834" t="s">
        <v>43</v>
      </c>
      <c r="J1834">
        <v>7</v>
      </c>
      <c r="K1834">
        <v>24325.95</v>
      </c>
      <c r="L1834" t="s">
        <v>711</v>
      </c>
      <c r="M1834">
        <v>53</v>
      </c>
      <c r="N1834" t="s">
        <v>61</v>
      </c>
      <c r="O1834" s="3" t="s">
        <v>22</v>
      </c>
      <c r="P1834" t="s">
        <v>29</v>
      </c>
      <c r="Q1834" t="s">
        <v>56</v>
      </c>
      <c r="R1834">
        <v>4</v>
      </c>
      <c r="S1834" t="s">
        <v>57</v>
      </c>
      <c r="T1834" s="4">
        <f t="shared" si="143"/>
        <v>170281.65</v>
      </c>
      <c r="U1834" s="4" t="str">
        <f t="shared" si="144"/>
        <v>Good</v>
      </c>
      <c r="V1834" s="4" t="str">
        <f t="shared" si="145"/>
        <v>Good</v>
      </c>
      <c r="W1834" s="4"/>
      <c r="X1834" s="4"/>
      <c r="AJ1834" s="4"/>
    </row>
    <row r="1835" spans="1:36">
      <c r="A1835" t="str">
        <f t="shared" si="141"/>
        <v>Mano371834</v>
      </c>
      <c r="B1835">
        <v>1834</v>
      </c>
      <c r="C1835">
        <v>14</v>
      </c>
      <c r="D1835">
        <v>3</v>
      </c>
      <c r="E1835">
        <v>2023</v>
      </c>
      <c r="F1835" s="1">
        <f t="shared" si="142"/>
        <v>44999</v>
      </c>
      <c r="G1835" s="1" t="s">
        <v>475</v>
      </c>
      <c r="H1835" s="2">
        <v>46311</v>
      </c>
      <c r="I1835" t="s">
        <v>49</v>
      </c>
      <c r="J1835">
        <v>5</v>
      </c>
      <c r="K1835">
        <v>60133.89</v>
      </c>
      <c r="L1835" t="s">
        <v>609</v>
      </c>
      <c r="M1835">
        <v>37</v>
      </c>
      <c r="N1835" t="s">
        <v>21</v>
      </c>
      <c r="O1835" s="3" t="s">
        <v>22</v>
      </c>
      <c r="P1835" t="s">
        <v>132</v>
      </c>
      <c r="Q1835" t="s">
        <v>56</v>
      </c>
      <c r="R1835">
        <v>4</v>
      </c>
      <c r="S1835" t="s">
        <v>102</v>
      </c>
      <c r="T1835" s="4">
        <f t="shared" si="143"/>
        <v>300669.45</v>
      </c>
      <c r="U1835" s="4" t="str">
        <f t="shared" si="144"/>
        <v>Good</v>
      </c>
      <c r="V1835" s="4" t="str">
        <f t="shared" si="145"/>
        <v>Excellent</v>
      </c>
      <c r="W1835" s="4"/>
      <c r="X1835" s="4"/>
      <c r="AJ1835" s="4"/>
    </row>
    <row r="1836" spans="1:36">
      <c r="A1836" t="str">
        <f t="shared" si="141"/>
        <v>Jyot491835</v>
      </c>
      <c r="B1836">
        <v>1835</v>
      </c>
      <c r="C1836">
        <v>15</v>
      </c>
      <c r="D1836">
        <v>3</v>
      </c>
      <c r="E1836">
        <v>2023</v>
      </c>
      <c r="F1836" s="1">
        <f t="shared" si="142"/>
        <v>45000</v>
      </c>
      <c r="G1836" s="1" t="s">
        <v>475</v>
      </c>
      <c r="H1836" s="2">
        <v>46312</v>
      </c>
      <c r="I1836" t="s">
        <v>38</v>
      </c>
      <c r="J1836">
        <v>8</v>
      </c>
      <c r="K1836">
        <v>57035.18</v>
      </c>
      <c r="L1836" t="s">
        <v>306</v>
      </c>
      <c r="M1836">
        <v>49</v>
      </c>
      <c r="N1836" t="s">
        <v>61</v>
      </c>
      <c r="O1836" s="3" t="s">
        <v>22</v>
      </c>
      <c r="P1836" t="s">
        <v>29</v>
      </c>
      <c r="Q1836" t="s">
        <v>30</v>
      </c>
      <c r="R1836">
        <v>5</v>
      </c>
      <c r="S1836" t="s">
        <v>48</v>
      </c>
      <c r="T1836" s="4">
        <f t="shared" si="143"/>
        <v>456281.44</v>
      </c>
      <c r="U1836" s="4" t="str">
        <f t="shared" si="144"/>
        <v>Good</v>
      </c>
      <c r="V1836" s="4" t="str">
        <f t="shared" si="145"/>
        <v>Excellent</v>
      </c>
      <c r="W1836" s="4"/>
      <c r="X1836" s="4"/>
      <c r="AJ1836" s="4"/>
    </row>
    <row r="1837" spans="1:36">
      <c r="A1837" t="str">
        <f t="shared" si="141"/>
        <v>Nami561836</v>
      </c>
      <c r="B1837">
        <v>1836</v>
      </c>
      <c r="C1837">
        <v>15</v>
      </c>
      <c r="D1837">
        <v>3</v>
      </c>
      <c r="E1837">
        <v>2023</v>
      </c>
      <c r="F1837" s="1">
        <f t="shared" si="142"/>
        <v>45000</v>
      </c>
      <c r="G1837" s="1" t="s">
        <v>475</v>
      </c>
      <c r="H1837" s="2">
        <v>46313</v>
      </c>
      <c r="I1837" t="s">
        <v>43</v>
      </c>
      <c r="J1837">
        <v>4</v>
      </c>
      <c r="K1837">
        <v>59450.8</v>
      </c>
      <c r="L1837" t="s">
        <v>60</v>
      </c>
      <c r="M1837">
        <v>56</v>
      </c>
      <c r="N1837" t="s">
        <v>61</v>
      </c>
      <c r="O1837" s="3" t="s">
        <v>22</v>
      </c>
      <c r="P1837" t="s">
        <v>33</v>
      </c>
      <c r="Q1837" t="s">
        <v>56</v>
      </c>
      <c r="R1837">
        <v>5</v>
      </c>
      <c r="S1837" t="s">
        <v>57</v>
      </c>
      <c r="T1837" s="4">
        <f t="shared" si="143"/>
        <v>237803.2</v>
      </c>
      <c r="U1837" s="4" t="str">
        <f t="shared" si="144"/>
        <v>Good</v>
      </c>
      <c r="V1837" s="4" t="str">
        <f t="shared" si="145"/>
        <v>Excellent</v>
      </c>
      <c r="W1837" s="4"/>
      <c r="X1837" s="4"/>
      <c r="AJ1837" s="4"/>
    </row>
    <row r="1838" spans="1:36">
      <c r="A1838" t="str">
        <f t="shared" si="141"/>
        <v>Kira431837</v>
      </c>
      <c r="B1838">
        <v>1837</v>
      </c>
      <c r="C1838">
        <v>15</v>
      </c>
      <c r="D1838">
        <v>3</v>
      </c>
      <c r="E1838">
        <v>2023</v>
      </c>
      <c r="F1838" s="1">
        <f t="shared" si="142"/>
        <v>45000</v>
      </c>
      <c r="G1838" s="1" t="s">
        <v>475</v>
      </c>
      <c r="H1838" s="2">
        <v>46314</v>
      </c>
      <c r="I1838" t="s">
        <v>49</v>
      </c>
      <c r="J1838">
        <v>7</v>
      </c>
      <c r="K1838">
        <v>53416.57</v>
      </c>
      <c r="L1838" t="s">
        <v>714</v>
      </c>
      <c r="M1838">
        <v>43</v>
      </c>
      <c r="N1838" t="s">
        <v>21</v>
      </c>
      <c r="O1838" s="3" t="s">
        <v>55</v>
      </c>
      <c r="P1838" t="s">
        <v>33</v>
      </c>
      <c r="Q1838" t="s">
        <v>56</v>
      </c>
      <c r="R1838">
        <v>1</v>
      </c>
      <c r="S1838" t="s">
        <v>52</v>
      </c>
      <c r="T1838" s="4">
        <f t="shared" si="143"/>
        <v>373915.99</v>
      </c>
      <c r="U1838" s="4" t="str">
        <f t="shared" si="144"/>
        <v>Average</v>
      </c>
      <c r="V1838" s="4" t="str">
        <f t="shared" si="145"/>
        <v>Excellent</v>
      </c>
      <c r="W1838" s="4"/>
      <c r="X1838" s="4"/>
      <c r="AJ1838" s="4"/>
    </row>
    <row r="1839" spans="1:36">
      <c r="A1839" t="str">
        <f t="shared" si="141"/>
        <v>Rame431838</v>
      </c>
      <c r="B1839">
        <v>1838</v>
      </c>
      <c r="C1839">
        <v>15</v>
      </c>
      <c r="D1839">
        <v>3</v>
      </c>
      <c r="E1839">
        <v>2023</v>
      </c>
      <c r="F1839" s="1">
        <f t="shared" si="142"/>
        <v>45000</v>
      </c>
      <c r="G1839" s="1" t="s">
        <v>475</v>
      </c>
      <c r="H1839" s="2">
        <v>46315</v>
      </c>
      <c r="I1839" t="s">
        <v>38</v>
      </c>
      <c r="J1839">
        <v>6</v>
      </c>
      <c r="K1839">
        <v>59960.99</v>
      </c>
      <c r="L1839" t="s">
        <v>699</v>
      </c>
      <c r="M1839">
        <v>43</v>
      </c>
      <c r="N1839" t="s">
        <v>21</v>
      </c>
      <c r="O1839" s="3" t="s">
        <v>22</v>
      </c>
      <c r="P1839" t="s">
        <v>59</v>
      </c>
      <c r="Q1839" t="s">
        <v>24</v>
      </c>
      <c r="R1839">
        <v>5</v>
      </c>
      <c r="S1839" t="s">
        <v>42</v>
      </c>
      <c r="T1839" s="4">
        <f t="shared" si="143"/>
        <v>359765.94</v>
      </c>
      <c r="U1839" s="4" t="str">
        <f t="shared" si="144"/>
        <v>Good</v>
      </c>
      <c r="V1839" s="4" t="str">
        <f t="shared" si="145"/>
        <v>Excellent</v>
      </c>
      <c r="W1839" s="4"/>
      <c r="X1839" s="4"/>
      <c r="AJ1839" s="4"/>
    </row>
    <row r="1840" spans="1:36">
      <c r="A1840" t="str">
        <f t="shared" si="141"/>
        <v>Deep531839</v>
      </c>
      <c r="B1840">
        <v>1839</v>
      </c>
      <c r="C1840">
        <v>16</v>
      </c>
      <c r="D1840">
        <v>3</v>
      </c>
      <c r="E1840">
        <v>2023</v>
      </c>
      <c r="F1840" s="1">
        <f t="shared" si="142"/>
        <v>45001</v>
      </c>
      <c r="G1840" s="1" t="s">
        <v>475</v>
      </c>
      <c r="H1840" s="2">
        <v>46316</v>
      </c>
      <c r="I1840" t="s">
        <v>26</v>
      </c>
      <c r="J1840">
        <v>5</v>
      </c>
      <c r="K1840">
        <v>22049.73</v>
      </c>
      <c r="L1840" t="s">
        <v>830</v>
      </c>
      <c r="M1840">
        <v>53</v>
      </c>
      <c r="N1840" t="s">
        <v>61</v>
      </c>
      <c r="O1840" s="3" t="s">
        <v>55</v>
      </c>
      <c r="P1840" t="s">
        <v>33</v>
      </c>
      <c r="Q1840" t="s">
        <v>41</v>
      </c>
      <c r="R1840">
        <v>1</v>
      </c>
      <c r="S1840" t="s">
        <v>34</v>
      </c>
      <c r="T1840" s="4">
        <f t="shared" si="143"/>
        <v>110248.65</v>
      </c>
      <c r="U1840" s="4" t="str">
        <f t="shared" si="144"/>
        <v>Average</v>
      </c>
      <c r="V1840" s="4" t="str">
        <f t="shared" si="145"/>
        <v>Good</v>
      </c>
      <c r="W1840" s="4"/>
      <c r="X1840" s="4"/>
      <c r="AJ1840" s="4"/>
    </row>
    <row r="1841" spans="1:36">
      <c r="A1841" t="str">
        <f t="shared" si="141"/>
        <v>Lali521840</v>
      </c>
      <c r="B1841">
        <v>1840</v>
      </c>
      <c r="C1841">
        <v>16</v>
      </c>
      <c r="D1841">
        <v>3</v>
      </c>
      <c r="E1841">
        <v>2023</v>
      </c>
      <c r="F1841" s="1">
        <f t="shared" si="142"/>
        <v>45001</v>
      </c>
      <c r="G1841" s="1" t="s">
        <v>475</v>
      </c>
      <c r="H1841" s="2">
        <v>46317</v>
      </c>
      <c r="I1841" t="s">
        <v>38</v>
      </c>
      <c r="J1841">
        <v>4</v>
      </c>
      <c r="K1841">
        <v>37122.629999999997</v>
      </c>
      <c r="L1841" t="s">
        <v>709</v>
      </c>
      <c r="M1841">
        <v>52</v>
      </c>
      <c r="N1841" t="s">
        <v>61</v>
      </c>
      <c r="O1841" s="3" t="s">
        <v>55</v>
      </c>
      <c r="P1841" t="s">
        <v>29</v>
      </c>
      <c r="Q1841" t="s">
        <v>24</v>
      </c>
      <c r="R1841">
        <v>1</v>
      </c>
      <c r="S1841" t="s">
        <v>99</v>
      </c>
      <c r="T1841" s="4">
        <f t="shared" si="143"/>
        <v>148490.51999999999</v>
      </c>
      <c r="U1841" s="4" t="str">
        <f t="shared" si="144"/>
        <v>Average</v>
      </c>
      <c r="V1841" s="4" t="str">
        <f t="shared" si="145"/>
        <v>Good</v>
      </c>
      <c r="W1841" s="4"/>
      <c r="X1841" s="4"/>
      <c r="AJ1841" s="4"/>
    </row>
    <row r="1842" spans="1:36">
      <c r="A1842" t="str">
        <f t="shared" si="141"/>
        <v>Hari521841</v>
      </c>
      <c r="B1842">
        <v>1841</v>
      </c>
      <c r="C1842">
        <v>16</v>
      </c>
      <c r="D1842">
        <v>3</v>
      </c>
      <c r="E1842">
        <v>2023</v>
      </c>
      <c r="F1842" s="1">
        <f t="shared" si="142"/>
        <v>45001</v>
      </c>
      <c r="G1842" s="1" t="s">
        <v>475</v>
      </c>
      <c r="H1842" s="2">
        <v>46318</v>
      </c>
      <c r="I1842" t="s">
        <v>19</v>
      </c>
      <c r="J1842">
        <v>7</v>
      </c>
      <c r="K1842">
        <v>51510.81</v>
      </c>
      <c r="L1842" t="s">
        <v>655</v>
      </c>
      <c r="M1842">
        <v>52</v>
      </c>
      <c r="N1842" t="s">
        <v>61</v>
      </c>
      <c r="O1842" s="3" t="s">
        <v>55</v>
      </c>
      <c r="P1842" t="s">
        <v>117</v>
      </c>
      <c r="Q1842" t="s">
        <v>24</v>
      </c>
      <c r="R1842">
        <v>1</v>
      </c>
      <c r="S1842" t="s">
        <v>25</v>
      </c>
      <c r="T1842" s="4">
        <f t="shared" si="143"/>
        <v>360575.67</v>
      </c>
      <c r="U1842" s="4" t="str">
        <f t="shared" si="144"/>
        <v>Average</v>
      </c>
      <c r="V1842" s="4" t="str">
        <f t="shared" si="145"/>
        <v>Excellent</v>
      </c>
      <c r="W1842" s="4"/>
      <c r="X1842" s="4"/>
      <c r="AJ1842" s="4"/>
    </row>
    <row r="1843" spans="1:36">
      <c r="A1843" t="str">
        <f t="shared" si="141"/>
        <v>Ayes291842</v>
      </c>
      <c r="B1843">
        <v>1842</v>
      </c>
      <c r="C1843">
        <v>17</v>
      </c>
      <c r="D1843">
        <v>3</v>
      </c>
      <c r="E1843">
        <v>2023</v>
      </c>
      <c r="F1843" s="1">
        <f t="shared" si="142"/>
        <v>45002</v>
      </c>
      <c r="G1843" s="1" t="s">
        <v>475</v>
      </c>
      <c r="H1843" s="2">
        <v>46319</v>
      </c>
      <c r="I1843" t="s">
        <v>19</v>
      </c>
      <c r="J1843">
        <v>5</v>
      </c>
      <c r="K1843">
        <v>48243.55</v>
      </c>
      <c r="L1843" t="s">
        <v>746</v>
      </c>
      <c r="M1843">
        <v>29</v>
      </c>
      <c r="N1843" t="s">
        <v>36</v>
      </c>
      <c r="O1843" s="3" t="s">
        <v>22</v>
      </c>
      <c r="P1843" t="s">
        <v>51</v>
      </c>
      <c r="Q1843" t="s">
        <v>56</v>
      </c>
      <c r="R1843">
        <v>5</v>
      </c>
      <c r="S1843" t="s">
        <v>25</v>
      </c>
      <c r="T1843" s="4">
        <f t="shared" si="143"/>
        <v>241217.75</v>
      </c>
      <c r="U1843" s="4" t="str">
        <f t="shared" si="144"/>
        <v>Good</v>
      </c>
      <c r="V1843" s="4" t="str">
        <f t="shared" si="145"/>
        <v>Excellent</v>
      </c>
      <c r="W1843" s="4"/>
      <c r="X1843" s="4"/>
      <c r="AJ1843" s="4"/>
    </row>
    <row r="1844" spans="1:36">
      <c r="A1844" t="str">
        <f t="shared" si="141"/>
        <v>Hari501843</v>
      </c>
      <c r="B1844">
        <v>1843</v>
      </c>
      <c r="C1844">
        <v>17</v>
      </c>
      <c r="D1844">
        <v>3</v>
      </c>
      <c r="E1844">
        <v>2023</v>
      </c>
      <c r="F1844" s="1">
        <f t="shared" si="142"/>
        <v>45002</v>
      </c>
      <c r="G1844" s="1" t="s">
        <v>475</v>
      </c>
      <c r="H1844" s="2">
        <v>46320</v>
      </c>
      <c r="I1844" t="s">
        <v>26</v>
      </c>
      <c r="J1844">
        <v>5</v>
      </c>
      <c r="K1844">
        <v>52981.27</v>
      </c>
      <c r="L1844" t="s">
        <v>655</v>
      </c>
      <c r="M1844">
        <v>50</v>
      </c>
      <c r="N1844" t="s">
        <v>61</v>
      </c>
      <c r="O1844" s="3" t="s">
        <v>22</v>
      </c>
      <c r="P1844" t="s">
        <v>29</v>
      </c>
      <c r="Q1844" t="s">
        <v>41</v>
      </c>
      <c r="R1844">
        <v>5</v>
      </c>
      <c r="S1844" t="s">
        <v>67</v>
      </c>
      <c r="T1844" s="4">
        <f t="shared" si="143"/>
        <v>264906.34999999998</v>
      </c>
      <c r="U1844" s="4" t="str">
        <f t="shared" si="144"/>
        <v>Good</v>
      </c>
      <c r="V1844" s="4" t="str">
        <f t="shared" si="145"/>
        <v>Excellent</v>
      </c>
      <c r="W1844" s="4"/>
      <c r="X1844" s="4"/>
      <c r="AJ1844" s="4"/>
    </row>
    <row r="1845" spans="1:36">
      <c r="A1845" t="str">
        <f t="shared" si="141"/>
        <v>Vive531844</v>
      </c>
      <c r="B1845">
        <v>1844</v>
      </c>
      <c r="C1845">
        <v>17</v>
      </c>
      <c r="D1845">
        <v>3</v>
      </c>
      <c r="E1845">
        <v>2023</v>
      </c>
      <c r="F1845" s="1">
        <f t="shared" si="142"/>
        <v>45002</v>
      </c>
      <c r="G1845" s="1" t="s">
        <v>475</v>
      </c>
      <c r="H1845" s="2">
        <v>46321</v>
      </c>
      <c r="I1845" t="s">
        <v>43</v>
      </c>
      <c r="J1845">
        <v>1</v>
      </c>
      <c r="K1845">
        <v>23455.5</v>
      </c>
      <c r="L1845" t="s">
        <v>334</v>
      </c>
      <c r="M1845">
        <v>53</v>
      </c>
      <c r="N1845" t="s">
        <v>61</v>
      </c>
      <c r="O1845" s="3" t="s">
        <v>22</v>
      </c>
      <c r="P1845" t="s">
        <v>51</v>
      </c>
      <c r="Q1845" t="s">
        <v>41</v>
      </c>
      <c r="R1845">
        <v>5</v>
      </c>
      <c r="S1845" t="s">
        <v>57</v>
      </c>
      <c r="T1845" s="4">
        <f t="shared" si="143"/>
        <v>23455.5</v>
      </c>
      <c r="U1845" s="4" t="str">
        <f t="shared" si="144"/>
        <v>Good</v>
      </c>
      <c r="V1845" s="4" t="str">
        <f t="shared" si="145"/>
        <v>Low</v>
      </c>
      <c r="W1845" s="4"/>
      <c r="X1845" s="4"/>
      <c r="AJ1845" s="4"/>
    </row>
    <row r="1846" spans="1:36">
      <c r="A1846" t="str">
        <f t="shared" si="141"/>
        <v>Roha311845</v>
      </c>
      <c r="B1846">
        <v>1845</v>
      </c>
      <c r="C1846">
        <v>17</v>
      </c>
      <c r="D1846">
        <v>3</v>
      </c>
      <c r="E1846">
        <v>2023</v>
      </c>
      <c r="F1846" s="1">
        <f t="shared" si="142"/>
        <v>45002</v>
      </c>
      <c r="G1846" s="1" t="s">
        <v>475</v>
      </c>
      <c r="H1846" s="2">
        <v>46322</v>
      </c>
      <c r="I1846" t="s">
        <v>49</v>
      </c>
      <c r="J1846">
        <v>2</v>
      </c>
      <c r="K1846">
        <v>15906.08</v>
      </c>
      <c r="L1846" t="s">
        <v>489</v>
      </c>
      <c r="M1846">
        <v>31</v>
      </c>
      <c r="N1846" t="s">
        <v>21</v>
      </c>
      <c r="O1846" s="3" t="s">
        <v>28</v>
      </c>
      <c r="P1846" t="s">
        <v>29</v>
      </c>
      <c r="Q1846" t="s">
        <v>56</v>
      </c>
      <c r="R1846">
        <v>3</v>
      </c>
      <c r="S1846" t="s">
        <v>52</v>
      </c>
      <c r="T1846" s="4">
        <f t="shared" si="143"/>
        <v>31812.16</v>
      </c>
      <c r="U1846" s="4" t="str">
        <f t="shared" si="144"/>
        <v>Average</v>
      </c>
      <c r="V1846" s="4" t="str">
        <f t="shared" si="145"/>
        <v>Low</v>
      </c>
      <c r="W1846" s="4"/>
      <c r="X1846" s="4"/>
      <c r="AJ1846" s="4"/>
    </row>
    <row r="1847" spans="1:36">
      <c r="A1847" t="str">
        <f t="shared" si="141"/>
        <v>Vija501846</v>
      </c>
      <c r="B1847">
        <v>1846</v>
      </c>
      <c r="C1847">
        <v>18</v>
      </c>
      <c r="D1847">
        <v>3</v>
      </c>
      <c r="E1847">
        <v>2023</v>
      </c>
      <c r="F1847" s="1">
        <f t="shared" si="142"/>
        <v>45003</v>
      </c>
      <c r="G1847" s="1" t="s">
        <v>475</v>
      </c>
      <c r="H1847" s="2">
        <v>46323</v>
      </c>
      <c r="I1847" t="s">
        <v>38</v>
      </c>
      <c r="J1847">
        <v>5</v>
      </c>
      <c r="K1847">
        <v>65008.39</v>
      </c>
      <c r="L1847" t="s">
        <v>290</v>
      </c>
      <c r="M1847">
        <v>50</v>
      </c>
      <c r="N1847" t="s">
        <v>61</v>
      </c>
      <c r="O1847" s="3" t="s">
        <v>22</v>
      </c>
      <c r="P1847" t="s">
        <v>29</v>
      </c>
      <c r="Q1847" t="s">
        <v>24</v>
      </c>
      <c r="R1847">
        <v>5</v>
      </c>
      <c r="S1847" t="s">
        <v>99</v>
      </c>
      <c r="T1847" s="4">
        <f t="shared" si="143"/>
        <v>325041.95</v>
      </c>
      <c r="U1847" s="4" t="str">
        <f t="shared" si="144"/>
        <v>Good</v>
      </c>
      <c r="V1847" s="4" t="str">
        <f t="shared" si="145"/>
        <v>Excellent</v>
      </c>
      <c r="W1847" s="4"/>
      <c r="X1847" s="4"/>
      <c r="AJ1847" s="4"/>
    </row>
    <row r="1848" spans="1:36">
      <c r="A1848" t="str">
        <f t="shared" si="141"/>
        <v>Raje411847</v>
      </c>
      <c r="B1848">
        <v>1847</v>
      </c>
      <c r="C1848">
        <v>18</v>
      </c>
      <c r="D1848">
        <v>3</v>
      </c>
      <c r="E1848">
        <v>2023</v>
      </c>
      <c r="F1848" s="1">
        <f t="shared" si="142"/>
        <v>45003</v>
      </c>
      <c r="G1848" s="1" t="s">
        <v>475</v>
      </c>
      <c r="H1848" s="2">
        <v>46324</v>
      </c>
      <c r="I1848" t="s">
        <v>19</v>
      </c>
      <c r="J1848">
        <v>3</v>
      </c>
      <c r="K1848">
        <v>43610.31</v>
      </c>
      <c r="L1848" t="s">
        <v>160</v>
      </c>
      <c r="M1848">
        <v>41</v>
      </c>
      <c r="N1848" t="s">
        <v>21</v>
      </c>
      <c r="O1848" s="3" t="s">
        <v>22</v>
      </c>
      <c r="P1848" t="s">
        <v>51</v>
      </c>
      <c r="Q1848" t="s">
        <v>24</v>
      </c>
      <c r="R1848">
        <v>5</v>
      </c>
      <c r="S1848" t="s">
        <v>25</v>
      </c>
      <c r="T1848" s="4">
        <f t="shared" si="143"/>
        <v>130830.93</v>
      </c>
      <c r="U1848" s="4" t="str">
        <f t="shared" si="144"/>
        <v>Good</v>
      </c>
      <c r="V1848" s="4" t="str">
        <f t="shared" si="145"/>
        <v>Good</v>
      </c>
      <c r="W1848" s="4"/>
      <c r="X1848" s="4"/>
      <c r="AJ1848" s="4"/>
    </row>
    <row r="1849" spans="1:36">
      <c r="A1849" t="str">
        <f t="shared" si="141"/>
        <v>Ravi321848</v>
      </c>
      <c r="B1849">
        <v>1848</v>
      </c>
      <c r="C1849">
        <v>18</v>
      </c>
      <c r="D1849">
        <v>3</v>
      </c>
      <c r="E1849">
        <v>2023</v>
      </c>
      <c r="F1849" s="1">
        <f t="shared" si="142"/>
        <v>45003</v>
      </c>
      <c r="G1849" s="1" t="s">
        <v>475</v>
      </c>
      <c r="H1849" s="2">
        <v>46325</v>
      </c>
      <c r="I1849" t="s">
        <v>43</v>
      </c>
      <c r="J1849">
        <v>2</v>
      </c>
      <c r="K1849">
        <v>19229.560000000001</v>
      </c>
      <c r="L1849" t="s">
        <v>402</v>
      </c>
      <c r="M1849">
        <v>32</v>
      </c>
      <c r="N1849" t="s">
        <v>21</v>
      </c>
      <c r="O1849" s="3" t="s">
        <v>28</v>
      </c>
      <c r="P1849" t="s">
        <v>93</v>
      </c>
      <c r="Q1849" t="s">
        <v>24</v>
      </c>
      <c r="R1849">
        <v>3</v>
      </c>
      <c r="S1849" t="s">
        <v>57</v>
      </c>
      <c r="T1849" s="4">
        <f t="shared" si="143"/>
        <v>38459.120000000003</v>
      </c>
      <c r="U1849" s="4" t="str">
        <f t="shared" si="144"/>
        <v>Average</v>
      </c>
      <c r="V1849" s="4" t="str">
        <f t="shared" si="145"/>
        <v>Low</v>
      </c>
      <c r="W1849" s="4"/>
      <c r="X1849" s="4"/>
      <c r="AJ1849" s="4"/>
    </row>
    <row r="1850" spans="1:36">
      <c r="A1850" t="str">
        <f t="shared" si="141"/>
        <v>Sach481849</v>
      </c>
      <c r="B1850">
        <v>1849</v>
      </c>
      <c r="C1850">
        <v>19</v>
      </c>
      <c r="D1850">
        <v>3</v>
      </c>
      <c r="E1850">
        <v>2023</v>
      </c>
      <c r="F1850" s="1">
        <f t="shared" si="142"/>
        <v>45004</v>
      </c>
      <c r="G1850" s="1" t="s">
        <v>475</v>
      </c>
      <c r="H1850" s="2">
        <v>46326</v>
      </c>
      <c r="I1850" t="s">
        <v>26</v>
      </c>
      <c r="J1850">
        <v>4</v>
      </c>
      <c r="K1850">
        <v>57606.19</v>
      </c>
      <c r="L1850" t="s">
        <v>534</v>
      </c>
      <c r="M1850">
        <v>48</v>
      </c>
      <c r="N1850" t="s">
        <v>61</v>
      </c>
      <c r="O1850" s="3" t="s">
        <v>55</v>
      </c>
      <c r="P1850" t="s">
        <v>29</v>
      </c>
      <c r="Q1850" t="s">
        <v>41</v>
      </c>
      <c r="R1850">
        <v>1</v>
      </c>
      <c r="S1850" t="s">
        <v>34</v>
      </c>
      <c r="T1850" s="4">
        <f t="shared" si="143"/>
        <v>230424.76</v>
      </c>
      <c r="U1850" s="4" t="str">
        <f t="shared" si="144"/>
        <v>Average</v>
      </c>
      <c r="V1850" s="4" t="str">
        <f t="shared" si="145"/>
        <v>Excellent</v>
      </c>
      <c r="W1850" s="4"/>
      <c r="X1850" s="4"/>
      <c r="AJ1850" s="4"/>
    </row>
    <row r="1851" spans="1:36">
      <c r="A1851" t="str">
        <f t="shared" si="141"/>
        <v>Reen341850</v>
      </c>
      <c r="B1851">
        <v>1850</v>
      </c>
      <c r="C1851">
        <v>19</v>
      </c>
      <c r="D1851">
        <v>3</v>
      </c>
      <c r="E1851">
        <v>2023</v>
      </c>
      <c r="F1851" s="1">
        <f t="shared" si="142"/>
        <v>45004</v>
      </c>
      <c r="G1851" s="1" t="s">
        <v>475</v>
      </c>
      <c r="H1851" s="2">
        <v>46327</v>
      </c>
      <c r="I1851" t="s">
        <v>19</v>
      </c>
      <c r="J1851">
        <v>4</v>
      </c>
      <c r="K1851">
        <v>64895.8</v>
      </c>
      <c r="L1851" t="s">
        <v>79</v>
      </c>
      <c r="M1851">
        <v>34</v>
      </c>
      <c r="N1851" t="s">
        <v>21</v>
      </c>
      <c r="O1851" s="3" t="s">
        <v>22</v>
      </c>
      <c r="P1851" t="s">
        <v>23</v>
      </c>
      <c r="Q1851" t="s">
        <v>56</v>
      </c>
      <c r="R1851">
        <v>4</v>
      </c>
      <c r="S1851" t="s">
        <v>84</v>
      </c>
      <c r="T1851" s="4">
        <f t="shared" si="143"/>
        <v>259583.2</v>
      </c>
      <c r="U1851" s="4" t="str">
        <f t="shared" si="144"/>
        <v>Good</v>
      </c>
      <c r="V1851" s="4" t="str">
        <f t="shared" si="145"/>
        <v>Excellent</v>
      </c>
      <c r="W1851" s="4"/>
      <c r="X1851" s="4"/>
      <c r="AJ1851" s="4"/>
    </row>
    <row r="1852" spans="1:36">
      <c r="A1852" t="str">
        <f t="shared" si="141"/>
        <v>Anit291851</v>
      </c>
      <c r="B1852">
        <v>1851</v>
      </c>
      <c r="C1852">
        <v>19</v>
      </c>
      <c r="D1852">
        <v>3</v>
      </c>
      <c r="E1852">
        <v>2023</v>
      </c>
      <c r="F1852" s="1">
        <f t="shared" si="142"/>
        <v>45004</v>
      </c>
      <c r="G1852" s="1" t="s">
        <v>475</v>
      </c>
      <c r="H1852" s="2">
        <v>46328</v>
      </c>
      <c r="I1852" t="s">
        <v>26</v>
      </c>
      <c r="J1852">
        <v>4</v>
      </c>
      <c r="K1852">
        <v>20173.810000000001</v>
      </c>
      <c r="L1852" t="s">
        <v>333</v>
      </c>
      <c r="M1852">
        <v>29</v>
      </c>
      <c r="N1852" t="s">
        <v>36</v>
      </c>
      <c r="O1852" s="3" t="s">
        <v>28</v>
      </c>
      <c r="P1852" t="s">
        <v>59</v>
      </c>
      <c r="Q1852" t="s">
        <v>41</v>
      </c>
      <c r="R1852">
        <v>3</v>
      </c>
      <c r="S1852" t="s">
        <v>34</v>
      </c>
      <c r="T1852" s="4">
        <f t="shared" si="143"/>
        <v>80695.240000000005</v>
      </c>
      <c r="U1852" s="4" t="str">
        <f t="shared" si="144"/>
        <v>Average</v>
      </c>
      <c r="V1852" s="4" t="str">
        <f t="shared" si="145"/>
        <v>Average</v>
      </c>
      <c r="W1852" s="4"/>
      <c r="X1852" s="4"/>
      <c r="AJ1852" s="4"/>
    </row>
    <row r="1853" spans="1:36">
      <c r="A1853" t="str">
        <f t="shared" si="141"/>
        <v>Pank391852</v>
      </c>
      <c r="B1853">
        <v>1852</v>
      </c>
      <c r="C1853">
        <v>20</v>
      </c>
      <c r="D1853">
        <v>3</v>
      </c>
      <c r="E1853">
        <v>2023</v>
      </c>
      <c r="F1853" s="1">
        <f t="shared" si="142"/>
        <v>45005</v>
      </c>
      <c r="G1853" s="1" t="s">
        <v>475</v>
      </c>
      <c r="H1853" s="2">
        <v>46329</v>
      </c>
      <c r="I1853" t="s">
        <v>38</v>
      </c>
      <c r="J1853">
        <v>4</v>
      </c>
      <c r="K1853">
        <v>59044.75</v>
      </c>
      <c r="L1853" t="s">
        <v>47</v>
      </c>
      <c r="M1853">
        <v>39</v>
      </c>
      <c r="N1853" t="s">
        <v>21</v>
      </c>
      <c r="O1853" s="3" t="s">
        <v>28</v>
      </c>
      <c r="P1853" t="s">
        <v>29</v>
      </c>
      <c r="Q1853" t="s">
        <v>24</v>
      </c>
      <c r="R1853">
        <v>3</v>
      </c>
      <c r="S1853" t="s">
        <v>99</v>
      </c>
      <c r="T1853" s="4">
        <f t="shared" si="143"/>
        <v>236179</v>
      </c>
      <c r="U1853" s="4" t="str">
        <f t="shared" si="144"/>
        <v>Average</v>
      </c>
      <c r="V1853" s="4" t="str">
        <f t="shared" si="145"/>
        <v>Excellent</v>
      </c>
      <c r="W1853" s="4"/>
      <c r="X1853" s="4"/>
      <c r="AJ1853" s="4"/>
    </row>
    <row r="1854" spans="1:36">
      <c r="A1854" t="str">
        <f t="shared" si="141"/>
        <v>Meen401853</v>
      </c>
      <c r="B1854">
        <v>1853</v>
      </c>
      <c r="C1854">
        <v>20</v>
      </c>
      <c r="D1854">
        <v>3</v>
      </c>
      <c r="E1854">
        <v>2023</v>
      </c>
      <c r="F1854" s="1">
        <f t="shared" si="142"/>
        <v>45005</v>
      </c>
      <c r="G1854" s="1" t="s">
        <v>475</v>
      </c>
      <c r="H1854" s="2">
        <v>46330</v>
      </c>
      <c r="I1854" t="s">
        <v>49</v>
      </c>
      <c r="J1854">
        <v>3</v>
      </c>
      <c r="K1854">
        <v>65993.5</v>
      </c>
      <c r="L1854" t="s">
        <v>87</v>
      </c>
      <c r="M1854">
        <v>40</v>
      </c>
      <c r="N1854" t="s">
        <v>21</v>
      </c>
      <c r="O1854" s="3" t="s">
        <v>55</v>
      </c>
      <c r="P1854" t="s">
        <v>137</v>
      </c>
      <c r="Q1854" t="s">
        <v>41</v>
      </c>
      <c r="R1854">
        <v>1</v>
      </c>
      <c r="S1854" t="s">
        <v>88</v>
      </c>
      <c r="T1854" s="4">
        <f t="shared" si="143"/>
        <v>197980.5</v>
      </c>
      <c r="U1854" s="4" t="str">
        <f t="shared" si="144"/>
        <v>Average</v>
      </c>
      <c r="V1854" s="4" t="str">
        <f t="shared" si="145"/>
        <v>Good</v>
      </c>
      <c r="W1854" s="4"/>
      <c r="X1854" s="4"/>
      <c r="AJ1854" s="4"/>
    </row>
    <row r="1855" spans="1:36">
      <c r="A1855" t="str">
        <f t="shared" si="141"/>
        <v>Vino431854</v>
      </c>
      <c r="B1855">
        <v>1854</v>
      </c>
      <c r="C1855">
        <v>20</v>
      </c>
      <c r="D1855">
        <v>3</v>
      </c>
      <c r="E1855">
        <v>2023</v>
      </c>
      <c r="F1855" s="1">
        <f t="shared" si="142"/>
        <v>45005</v>
      </c>
      <c r="G1855" s="1" t="s">
        <v>475</v>
      </c>
      <c r="H1855" s="2">
        <v>46331</v>
      </c>
      <c r="I1855" t="s">
        <v>19</v>
      </c>
      <c r="J1855">
        <v>7</v>
      </c>
      <c r="K1855">
        <v>66301.7</v>
      </c>
      <c r="L1855" t="s">
        <v>448</v>
      </c>
      <c r="M1855">
        <v>43</v>
      </c>
      <c r="N1855" t="s">
        <v>21</v>
      </c>
      <c r="O1855" s="3" t="s">
        <v>22</v>
      </c>
      <c r="P1855" t="s">
        <v>29</v>
      </c>
      <c r="Q1855" t="s">
        <v>41</v>
      </c>
      <c r="R1855">
        <v>5</v>
      </c>
      <c r="S1855" t="s">
        <v>25</v>
      </c>
      <c r="T1855" s="4">
        <f t="shared" si="143"/>
        <v>464111.89999999997</v>
      </c>
      <c r="U1855" s="4" t="str">
        <f t="shared" si="144"/>
        <v>Good</v>
      </c>
      <c r="V1855" s="4" t="str">
        <f t="shared" si="145"/>
        <v>Excellent</v>
      </c>
      <c r="W1855" s="4"/>
      <c r="X1855" s="4"/>
      <c r="AJ1855" s="4"/>
    </row>
    <row r="1856" spans="1:36">
      <c r="A1856" t="str">
        <f t="shared" si="141"/>
        <v>Sanj311855</v>
      </c>
      <c r="B1856">
        <v>1855</v>
      </c>
      <c r="C1856">
        <v>20</v>
      </c>
      <c r="D1856">
        <v>3</v>
      </c>
      <c r="E1856">
        <v>2023</v>
      </c>
      <c r="F1856" s="1">
        <f t="shared" si="142"/>
        <v>45005</v>
      </c>
      <c r="G1856" s="1" t="s">
        <v>475</v>
      </c>
      <c r="H1856" s="2">
        <v>46332</v>
      </c>
      <c r="I1856" t="s">
        <v>19</v>
      </c>
      <c r="J1856">
        <v>9</v>
      </c>
      <c r="K1856">
        <v>64849.39</v>
      </c>
      <c r="L1856" t="s">
        <v>498</v>
      </c>
      <c r="M1856">
        <v>31</v>
      </c>
      <c r="N1856" t="s">
        <v>21</v>
      </c>
      <c r="O1856" s="3" t="s">
        <v>22</v>
      </c>
      <c r="P1856" t="s">
        <v>45</v>
      </c>
      <c r="Q1856" t="s">
        <v>56</v>
      </c>
      <c r="R1856">
        <v>5</v>
      </c>
      <c r="S1856" t="s">
        <v>37</v>
      </c>
      <c r="T1856" s="4">
        <f t="shared" si="143"/>
        <v>583644.51</v>
      </c>
      <c r="U1856" s="4" t="str">
        <f t="shared" si="144"/>
        <v>Good</v>
      </c>
      <c r="V1856" s="4" t="str">
        <f t="shared" si="145"/>
        <v>Excellent</v>
      </c>
      <c r="W1856" s="4"/>
      <c r="X1856" s="4"/>
      <c r="AJ1856" s="4"/>
    </row>
    <row r="1857" spans="1:36">
      <c r="A1857" t="str">
        <f t="shared" si="141"/>
        <v>Raje291856</v>
      </c>
      <c r="B1857">
        <v>1856</v>
      </c>
      <c r="C1857">
        <v>21</v>
      </c>
      <c r="D1857">
        <v>3</v>
      </c>
      <c r="E1857">
        <v>2023</v>
      </c>
      <c r="F1857" s="1">
        <f t="shared" si="142"/>
        <v>45006</v>
      </c>
      <c r="G1857" s="1" t="s">
        <v>475</v>
      </c>
      <c r="H1857" s="2">
        <v>46333</v>
      </c>
      <c r="I1857" t="s">
        <v>38</v>
      </c>
      <c r="J1857">
        <v>5</v>
      </c>
      <c r="K1857">
        <v>42785.26</v>
      </c>
      <c r="L1857" t="s">
        <v>285</v>
      </c>
      <c r="M1857">
        <v>29</v>
      </c>
      <c r="N1857" t="s">
        <v>36</v>
      </c>
      <c r="O1857" s="3" t="s">
        <v>28</v>
      </c>
      <c r="P1857" t="s">
        <v>33</v>
      </c>
      <c r="Q1857" t="s">
        <v>56</v>
      </c>
      <c r="R1857">
        <v>3</v>
      </c>
      <c r="S1857" t="s">
        <v>48</v>
      </c>
      <c r="T1857" s="4">
        <f t="shared" si="143"/>
        <v>213926.30000000002</v>
      </c>
      <c r="U1857" s="4" t="str">
        <f t="shared" si="144"/>
        <v>Average</v>
      </c>
      <c r="V1857" s="4" t="str">
        <f t="shared" si="145"/>
        <v>Excellent</v>
      </c>
      <c r="W1857" s="4"/>
      <c r="X1857" s="4"/>
      <c r="AJ1857" s="4"/>
    </row>
    <row r="1858" spans="1:36">
      <c r="A1858" t="str">
        <f t="shared" ref="A1858:A1921" si="146">LEFT(L1858,4)&amp;M1858&amp;B1858</f>
        <v>Kris211857</v>
      </c>
      <c r="B1858">
        <v>1857</v>
      </c>
      <c r="C1858">
        <v>21</v>
      </c>
      <c r="D1858">
        <v>3</v>
      </c>
      <c r="E1858">
        <v>2023</v>
      </c>
      <c r="F1858" s="1">
        <f t="shared" si="142"/>
        <v>45006</v>
      </c>
      <c r="G1858" s="1" t="s">
        <v>475</v>
      </c>
      <c r="H1858" s="2">
        <v>46334</v>
      </c>
      <c r="I1858" t="s">
        <v>43</v>
      </c>
      <c r="J1858">
        <v>4</v>
      </c>
      <c r="K1858">
        <v>31372.68</v>
      </c>
      <c r="L1858" t="s">
        <v>163</v>
      </c>
      <c r="M1858">
        <v>21</v>
      </c>
      <c r="N1858" t="s">
        <v>36</v>
      </c>
      <c r="O1858" s="3" t="s">
        <v>22</v>
      </c>
      <c r="P1858" t="s">
        <v>137</v>
      </c>
      <c r="Q1858" t="s">
        <v>41</v>
      </c>
      <c r="R1858">
        <v>5</v>
      </c>
      <c r="S1858" t="s">
        <v>57</v>
      </c>
      <c r="T1858" s="4">
        <f t="shared" si="143"/>
        <v>125490.72</v>
      </c>
      <c r="U1858" s="4" t="str">
        <f t="shared" si="144"/>
        <v>Good</v>
      </c>
      <c r="V1858" s="4" t="str">
        <f t="shared" si="145"/>
        <v>Good</v>
      </c>
      <c r="W1858" s="4"/>
      <c r="X1858" s="4"/>
      <c r="AJ1858" s="4"/>
    </row>
    <row r="1859" spans="1:36">
      <c r="A1859" t="str">
        <f t="shared" si="146"/>
        <v>Umes301858</v>
      </c>
      <c r="B1859">
        <v>1858</v>
      </c>
      <c r="C1859">
        <v>21</v>
      </c>
      <c r="D1859">
        <v>3</v>
      </c>
      <c r="E1859">
        <v>2023</v>
      </c>
      <c r="F1859" s="1">
        <f t="shared" ref="F1859:F1922" si="147">DATE(E1859,D1859,C1859)</f>
        <v>45006</v>
      </c>
      <c r="G1859" s="1" t="s">
        <v>475</v>
      </c>
      <c r="H1859" s="2">
        <v>46335</v>
      </c>
      <c r="I1859" t="s">
        <v>49</v>
      </c>
      <c r="J1859">
        <v>2</v>
      </c>
      <c r="K1859">
        <v>10436.370000000001</v>
      </c>
      <c r="L1859" t="s">
        <v>363</v>
      </c>
      <c r="M1859">
        <v>30</v>
      </c>
      <c r="N1859" t="s">
        <v>36</v>
      </c>
      <c r="O1859" s="3" t="s">
        <v>28</v>
      </c>
      <c r="P1859" t="s">
        <v>33</v>
      </c>
      <c r="Q1859" t="s">
        <v>30</v>
      </c>
      <c r="R1859">
        <v>3</v>
      </c>
      <c r="S1859" t="s">
        <v>102</v>
      </c>
      <c r="T1859" s="4">
        <f t="shared" ref="T1859:T1922" si="148">J1859*K1859</f>
        <v>20872.740000000002</v>
      </c>
      <c r="U1859" s="4" t="str">
        <f t="shared" ref="U1859:U1922" si="149">IF(R1859&gt;=4,"Good","Average")</f>
        <v>Average</v>
      </c>
      <c r="V1859" s="4" t="str">
        <f t="shared" ref="V1859:V1922" si="150">IF(T1859&gt;200000,"Excellent",IF(T1859&gt;100000,"Good",IF(T1859&gt;50000,"Average","Low")))</f>
        <v>Low</v>
      </c>
      <c r="W1859" s="4"/>
      <c r="X1859" s="4"/>
      <c r="AJ1859" s="4"/>
    </row>
    <row r="1860" spans="1:36">
      <c r="A1860" t="str">
        <f t="shared" si="146"/>
        <v>Kira351859</v>
      </c>
      <c r="B1860">
        <v>1859</v>
      </c>
      <c r="C1860">
        <v>21</v>
      </c>
      <c r="D1860">
        <v>3</v>
      </c>
      <c r="E1860">
        <v>2023</v>
      </c>
      <c r="F1860" s="1">
        <f t="shared" si="147"/>
        <v>45006</v>
      </c>
      <c r="G1860" s="1" t="s">
        <v>475</v>
      </c>
      <c r="H1860" s="2">
        <v>46336</v>
      </c>
      <c r="I1860" t="s">
        <v>19</v>
      </c>
      <c r="J1860">
        <v>2</v>
      </c>
      <c r="K1860">
        <v>13654.73</v>
      </c>
      <c r="L1860" t="s">
        <v>763</v>
      </c>
      <c r="M1860">
        <v>35</v>
      </c>
      <c r="N1860" t="s">
        <v>21</v>
      </c>
      <c r="O1860" s="3" t="s">
        <v>22</v>
      </c>
      <c r="P1860" t="s">
        <v>93</v>
      </c>
      <c r="Q1860" t="s">
        <v>56</v>
      </c>
      <c r="R1860">
        <v>4</v>
      </c>
      <c r="S1860" t="s">
        <v>25</v>
      </c>
      <c r="T1860" s="4">
        <f t="shared" si="148"/>
        <v>27309.46</v>
      </c>
      <c r="U1860" s="4" t="str">
        <f t="shared" si="149"/>
        <v>Good</v>
      </c>
      <c r="V1860" s="4" t="str">
        <f t="shared" si="150"/>
        <v>Low</v>
      </c>
      <c r="W1860" s="4"/>
      <c r="X1860" s="4"/>
      <c r="AJ1860" s="4"/>
    </row>
    <row r="1861" spans="1:36">
      <c r="A1861" t="str">
        <f t="shared" si="146"/>
        <v>Mano451860</v>
      </c>
      <c r="B1861">
        <v>1860</v>
      </c>
      <c r="C1861">
        <v>22</v>
      </c>
      <c r="D1861">
        <v>3</v>
      </c>
      <c r="E1861">
        <v>2023</v>
      </c>
      <c r="F1861" s="1">
        <f t="shared" si="147"/>
        <v>45007</v>
      </c>
      <c r="G1861" s="1" t="s">
        <v>475</v>
      </c>
      <c r="H1861" s="2">
        <v>46337</v>
      </c>
      <c r="I1861" t="s">
        <v>49</v>
      </c>
      <c r="J1861">
        <v>5</v>
      </c>
      <c r="K1861">
        <v>35730.339999999997</v>
      </c>
      <c r="L1861" t="s">
        <v>916</v>
      </c>
      <c r="M1861">
        <v>45</v>
      </c>
      <c r="N1861" t="s">
        <v>21</v>
      </c>
      <c r="O1861" s="3" t="s">
        <v>22</v>
      </c>
      <c r="P1861" t="s">
        <v>29</v>
      </c>
      <c r="Q1861" t="s">
        <v>30</v>
      </c>
      <c r="R1861">
        <v>4</v>
      </c>
      <c r="S1861" t="s">
        <v>102</v>
      </c>
      <c r="T1861" s="4">
        <f t="shared" si="148"/>
        <v>178651.69999999998</v>
      </c>
      <c r="U1861" s="4" t="str">
        <f t="shared" si="149"/>
        <v>Good</v>
      </c>
      <c r="V1861" s="4" t="str">
        <f t="shared" si="150"/>
        <v>Good</v>
      </c>
      <c r="W1861" s="4"/>
      <c r="X1861" s="4"/>
      <c r="AJ1861" s="4"/>
    </row>
    <row r="1862" spans="1:36">
      <c r="A1862" t="str">
        <f t="shared" si="146"/>
        <v>Sach551861</v>
      </c>
      <c r="B1862">
        <v>1861</v>
      </c>
      <c r="C1862">
        <v>22</v>
      </c>
      <c r="D1862">
        <v>3</v>
      </c>
      <c r="E1862">
        <v>2023</v>
      </c>
      <c r="F1862" s="1">
        <f t="shared" si="147"/>
        <v>45007</v>
      </c>
      <c r="G1862" s="1" t="s">
        <v>475</v>
      </c>
      <c r="H1862" s="2">
        <v>46338</v>
      </c>
      <c r="I1862" t="s">
        <v>19</v>
      </c>
      <c r="J1862">
        <v>7</v>
      </c>
      <c r="K1862">
        <v>33959.57</v>
      </c>
      <c r="L1862" t="s">
        <v>595</v>
      </c>
      <c r="M1862">
        <v>55</v>
      </c>
      <c r="N1862" t="s">
        <v>61</v>
      </c>
      <c r="O1862" s="3" t="s">
        <v>55</v>
      </c>
      <c r="P1862" t="s">
        <v>33</v>
      </c>
      <c r="Q1862" t="s">
        <v>56</v>
      </c>
      <c r="R1862">
        <v>1</v>
      </c>
      <c r="S1862" t="s">
        <v>25</v>
      </c>
      <c r="T1862" s="4">
        <f t="shared" si="148"/>
        <v>237716.99</v>
      </c>
      <c r="U1862" s="4" t="str">
        <f t="shared" si="149"/>
        <v>Average</v>
      </c>
      <c r="V1862" s="4" t="str">
        <f t="shared" si="150"/>
        <v>Excellent</v>
      </c>
      <c r="W1862" s="4"/>
      <c r="X1862" s="4"/>
      <c r="AJ1862" s="4"/>
    </row>
    <row r="1863" spans="1:36">
      <c r="A1863" t="str">
        <f t="shared" si="146"/>
        <v>Bhav581862</v>
      </c>
      <c r="B1863">
        <v>1862</v>
      </c>
      <c r="C1863">
        <v>22</v>
      </c>
      <c r="D1863">
        <v>3</v>
      </c>
      <c r="E1863">
        <v>2023</v>
      </c>
      <c r="F1863" s="1">
        <f t="shared" si="147"/>
        <v>45007</v>
      </c>
      <c r="G1863" s="1" t="s">
        <v>475</v>
      </c>
      <c r="H1863" s="2">
        <v>46339</v>
      </c>
      <c r="I1863" t="s">
        <v>49</v>
      </c>
      <c r="J1863">
        <v>9</v>
      </c>
      <c r="K1863">
        <v>21082.83</v>
      </c>
      <c r="L1863" t="s">
        <v>939</v>
      </c>
      <c r="M1863">
        <v>58</v>
      </c>
      <c r="N1863" t="s">
        <v>61</v>
      </c>
      <c r="O1863" s="3" t="s">
        <v>22</v>
      </c>
      <c r="P1863" t="s">
        <v>59</v>
      </c>
      <c r="Q1863" t="s">
        <v>24</v>
      </c>
      <c r="R1863">
        <v>5</v>
      </c>
      <c r="S1863" t="s">
        <v>52</v>
      </c>
      <c r="T1863" s="4">
        <f t="shared" si="148"/>
        <v>189745.47000000003</v>
      </c>
      <c r="U1863" s="4" t="str">
        <f t="shared" si="149"/>
        <v>Good</v>
      </c>
      <c r="V1863" s="4" t="str">
        <f t="shared" si="150"/>
        <v>Good</v>
      </c>
      <c r="W1863" s="4"/>
      <c r="X1863" s="4"/>
      <c r="AJ1863" s="4"/>
    </row>
    <row r="1864" spans="1:36">
      <c r="A1864" t="str">
        <f t="shared" si="146"/>
        <v>Sumi361863</v>
      </c>
      <c r="B1864">
        <v>1863</v>
      </c>
      <c r="C1864">
        <v>22</v>
      </c>
      <c r="D1864">
        <v>3</v>
      </c>
      <c r="E1864">
        <v>2023</v>
      </c>
      <c r="F1864" s="1">
        <f t="shared" si="147"/>
        <v>45007</v>
      </c>
      <c r="G1864" s="1" t="s">
        <v>475</v>
      </c>
      <c r="H1864" s="2">
        <v>46340</v>
      </c>
      <c r="I1864" t="s">
        <v>26</v>
      </c>
      <c r="J1864">
        <v>7</v>
      </c>
      <c r="K1864">
        <v>33728.800000000003</v>
      </c>
      <c r="L1864" t="s">
        <v>444</v>
      </c>
      <c r="M1864">
        <v>36</v>
      </c>
      <c r="N1864" t="s">
        <v>21</v>
      </c>
      <c r="O1864" s="3" t="s">
        <v>22</v>
      </c>
      <c r="P1864" t="s">
        <v>29</v>
      </c>
      <c r="Q1864" t="s">
        <v>30</v>
      </c>
      <c r="R1864">
        <v>5</v>
      </c>
      <c r="S1864" t="s">
        <v>34</v>
      </c>
      <c r="T1864" s="4">
        <f t="shared" si="148"/>
        <v>236101.60000000003</v>
      </c>
      <c r="U1864" s="4" t="str">
        <f t="shared" si="149"/>
        <v>Good</v>
      </c>
      <c r="V1864" s="4" t="str">
        <f t="shared" si="150"/>
        <v>Excellent</v>
      </c>
      <c r="W1864" s="4"/>
      <c r="X1864" s="4"/>
      <c r="AJ1864" s="4"/>
    </row>
    <row r="1865" spans="1:36">
      <c r="A1865" t="str">
        <f t="shared" si="146"/>
        <v>Gita551864</v>
      </c>
      <c r="B1865">
        <v>1864</v>
      </c>
      <c r="C1865">
        <v>23</v>
      </c>
      <c r="D1865">
        <v>3</v>
      </c>
      <c r="E1865">
        <v>2023</v>
      </c>
      <c r="F1865" s="1">
        <f t="shared" si="147"/>
        <v>45008</v>
      </c>
      <c r="G1865" s="1" t="s">
        <v>475</v>
      </c>
      <c r="H1865" s="2">
        <v>46341</v>
      </c>
      <c r="I1865" t="s">
        <v>19</v>
      </c>
      <c r="J1865">
        <v>5</v>
      </c>
      <c r="K1865">
        <v>20479</v>
      </c>
      <c r="L1865" t="s">
        <v>940</v>
      </c>
      <c r="M1865">
        <v>55</v>
      </c>
      <c r="N1865" t="s">
        <v>61</v>
      </c>
      <c r="O1865" s="3" t="s">
        <v>22</v>
      </c>
      <c r="P1865" t="s">
        <v>45</v>
      </c>
      <c r="Q1865" t="s">
        <v>24</v>
      </c>
      <c r="R1865">
        <v>5</v>
      </c>
      <c r="S1865" t="s">
        <v>37</v>
      </c>
      <c r="T1865" s="4">
        <f t="shared" si="148"/>
        <v>102395</v>
      </c>
      <c r="U1865" s="4" t="str">
        <f t="shared" si="149"/>
        <v>Good</v>
      </c>
      <c r="V1865" s="4" t="str">
        <f t="shared" si="150"/>
        <v>Good</v>
      </c>
      <c r="W1865" s="4"/>
      <c r="X1865" s="4"/>
      <c r="AJ1865" s="4"/>
    </row>
    <row r="1866" spans="1:36">
      <c r="A1866" t="str">
        <f t="shared" si="146"/>
        <v>Ravi201865</v>
      </c>
      <c r="B1866">
        <v>1865</v>
      </c>
      <c r="C1866">
        <v>23</v>
      </c>
      <c r="D1866">
        <v>3</v>
      </c>
      <c r="E1866">
        <v>2023</v>
      </c>
      <c r="F1866" s="1">
        <f t="shared" si="147"/>
        <v>45008</v>
      </c>
      <c r="G1866" s="1" t="s">
        <v>475</v>
      </c>
      <c r="H1866" s="2">
        <v>46342</v>
      </c>
      <c r="I1866" t="s">
        <v>49</v>
      </c>
      <c r="J1866">
        <v>6</v>
      </c>
      <c r="K1866">
        <v>60927.48</v>
      </c>
      <c r="L1866" t="s">
        <v>678</v>
      </c>
      <c r="M1866">
        <v>20</v>
      </c>
      <c r="N1866" t="s">
        <v>36</v>
      </c>
      <c r="O1866" s="3" t="s">
        <v>22</v>
      </c>
      <c r="P1866" t="s">
        <v>64</v>
      </c>
      <c r="Q1866" t="s">
        <v>24</v>
      </c>
      <c r="R1866">
        <v>5</v>
      </c>
      <c r="S1866" t="s">
        <v>102</v>
      </c>
      <c r="T1866" s="4">
        <f t="shared" si="148"/>
        <v>365564.88</v>
      </c>
      <c r="U1866" s="4" t="str">
        <f t="shared" si="149"/>
        <v>Good</v>
      </c>
      <c r="V1866" s="4" t="str">
        <f t="shared" si="150"/>
        <v>Excellent</v>
      </c>
      <c r="W1866" s="4"/>
      <c r="X1866" s="4"/>
      <c r="AJ1866" s="4"/>
    </row>
    <row r="1867" spans="1:36">
      <c r="A1867" t="str">
        <f t="shared" si="146"/>
        <v>Nikh361866</v>
      </c>
      <c r="B1867">
        <v>1866</v>
      </c>
      <c r="C1867">
        <v>23</v>
      </c>
      <c r="D1867">
        <v>3</v>
      </c>
      <c r="E1867">
        <v>2023</v>
      </c>
      <c r="F1867" s="1">
        <f t="shared" si="147"/>
        <v>45008</v>
      </c>
      <c r="G1867" s="1" t="s">
        <v>475</v>
      </c>
      <c r="H1867" s="2">
        <v>46343</v>
      </c>
      <c r="I1867" t="s">
        <v>43</v>
      </c>
      <c r="J1867">
        <v>3</v>
      </c>
      <c r="K1867">
        <v>27891.69</v>
      </c>
      <c r="L1867" t="s">
        <v>667</v>
      </c>
      <c r="M1867">
        <v>36</v>
      </c>
      <c r="N1867" t="s">
        <v>21</v>
      </c>
      <c r="O1867" s="3" t="s">
        <v>22</v>
      </c>
      <c r="P1867" t="s">
        <v>117</v>
      </c>
      <c r="Q1867" t="s">
        <v>41</v>
      </c>
      <c r="R1867">
        <v>4</v>
      </c>
      <c r="S1867" t="s">
        <v>57</v>
      </c>
      <c r="T1867" s="4">
        <f t="shared" si="148"/>
        <v>83675.069999999992</v>
      </c>
      <c r="U1867" s="4" t="str">
        <f t="shared" si="149"/>
        <v>Good</v>
      </c>
      <c r="V1867" s="4" t="str">
        <f t="shared" si="150"/>
        <v>Average</v>
      </c>
      <c r="W1867" s="4"/>
      <c r="X1867" s="4"/>
      <c r="AJ1867" s="4"/>
    </row>
    <row r="1868" spans="1:36">
      <c r="A1868" t="str">
        <f t="shared" si="146"/>
        <v>Deep371867</v>
      </c>
      <c r="B1868">
        <v>1867</v>
      </c>
      <c r="C1868">
        <v>24</v>
      </c>
      <c r="D1868">
        <v>3</v>
      </c>
      <c r="E1868">
        <v>2023</v>
      </c>
      <c r="F1868" s="1">
        <f t="shared" si="147"/>
        <v>45009</v>
      </c>
      <c r="G1868" s="1" t="s">
        <v>475</v>
      </c>
      <c r="H1868" s="2">
        <v>46344</v>
      </c>
      <c r="I1868" t="s">
        <v>26</v>
      </c>
      <c r="J1868">
        <v>5</v>
      </c>
      <c r="K1868">
        <v>45913.86</v>
      </c>
      <c r="L1868" t="s">
        <v>941</v>
      </c>
      <c r="M1868">
        <v>37</v>
      </c>
      <c r="N1868" t="s">
        <v>21</v>
      </c>
      <c r="O1868" s="3" t="s">
        <v>55</v>
      </c>
      <c r="P1868" t="s">
        <v>114</v>
      </c>
      <c r="Q1868" t="s">
        <v>24</v>
      </c>
      <c r="R1868">
        <v>1</v>
      </c>
      <c r="S1868" t="s">
        <v>34</v>
      </c>
      <c r="T1868" s="4">
        <f t="shared" si="148"/>
        <v>229569.3</v>
      </c>
      <c r="U1868" s="4" t="str">
        <f t="shared" si="149"/>
        <v>Average</v>
      </c>
      <c r="V1868" s="4" t="str">
        <f t="shared" si="150"/>
        <v>Excellent</v>
      </c>
      <c r="W1868" s="4"/>
      <c r="X1868" s="4"/>
      <c r="AJ1868" s="4"/>
    </row>
    <row r="1869" spans="1:36">
      <c r="A1869" t="str">
        <f t="shared" si="146"/>
        <v>Mano421868</v>
      </c>
      <c r="B1869">
        <v>1868</v>
      </c>
      <c r="C1869">
        <v>24</v>
      </c>
      <c r="D1869">
        <v>3</v>
      </c>
      <c r="E1869">
        <v>2023</v>
      </c>
      <c r="F1869" s="1">
        <f t="shared" si="147"/>
        <v>45009</v>
      </c>
      <c r="G1869" s="1" t="s">
        <v>475</v>
      </c>
      <c r="H1869" s="2">
        <v>46345</v>
      </c>
      <c r="I1869" t="s">
        <v>26</v>
      </c>
      <c r="J1869">
        <v>8</v>
      </c>
      <c r="K1869">
        <v>40170.58</v>
      </c>
      <c r="L1869" t="s">
        <v>916</v>
      </c>
      <c r="M1869">
        <v>42</v>
      </c>
      <c r="N1869" t="s">
        <v>21</v>
      </c>
      <c r="O1869" s="3" t="s">
        <v>22</v>
      </c>
      <c r="P1869" t="s">
        <v>29</v>
      </c>
      <c r="Q1869" t="s">
        <v>24</v>
      </c>
      <c r="R1869">
        <v>4</v>
      </c>
      <c r="S1869" t="s">
        <v>67</v>
      </c>
      <c r="T1869" s="4">
        <f t="shared" si="148"/>
        <v>321364.64</v>
      </c>
      <c r="U1869" s="4" t="str">
        <f t="shared" si="149"/>
        <v>Good</v>
      </c>
      <c r="V1869" s="4" t="str">
        <f t="shared" si="150"/>
        <v>Excellent</v>
      </c>
      <c r="W1869" s="4"/>
      <c r="X1869" s="4"/>
      <c r="AJ1869" s="4"/>
    </row>
    <row r="1870" spans="1:36">
      <c r="A1870" t="str">
        <f t="shared" si="146"/>
        <v>Shru281869</v>
      </c>
      <c r="B1870">
        <v>1869</v>
      </c>
      <c r="C1870">
        <v>24</v>
      </c>
      <c r="D1870">
        <v>3</v>
      </c>
      <c r="E1870">
        <v>2023</v>
      </c>
      <c r="F1870" s="1">
        <f t="shared" si="147"/>
        <v>45009</v>
      </c>
      <c r="G1870" s="1" t="s">
        <v>475</v>
      </c>
      <c r="H1870" s="2">
        <v>46346</v>
      </c>
      <c r="I1870" t="s">
        <v>43</v>
      </c>
      <c r="J1870">
        <v>1</v>
      </c>
      <c r="K1870">
        <v>13112.92</v>
      </c>
      <c r="L1870" t="s">
        <v>639</v>
      </c>
      <c r="M1870">
        <v>28</v>
      </c>
      <c r="N1870" t="s">
        <v>36</v>
      </c>
      <c r="O1870" s="3" t="s">
        <v>28</v>
      </c>
      <c r="P1870" t="s">
        <v>29</v>
      </c>
      <c r="Q1870" t="s">
        <v>24</v>
      </c>
      <c r="R1870">
        <v>3</v>
      </c>
      <c r="S1870" t="s">
        <v>57</v>
      </c>
      <c r="T1870" s="4">
        <f t="shared" si="148"/>
        <v>13112.92</v>
      </c>
      <c r="U1870" s="4" t="str">
        <f t="shared" si="149"/>
        <v>Average</v>
      </c>
      <c r="V1870" s="4" t="str">
        <f t="shared" si="150"/>
        <v>Low</v>
      </c>
      <c r="W1870" s="4"/>
      <c r="X1870" s="4"/>
      <c r="AJ1870" s="4"/>
    </row>
    <row r="1871" spans="1:36">
      <c r="A1871" t="str">
        <f t="shared" si="146"/>
        <v>Meen341870</v>
      </c>
      <c r="B1871">
        <v>1870</v>
      </c>
      <c r="C1871">
        <v>24</v>
      </c>
      <c r="D1871">
        <v>3</v>
      </c>
      <c r="E1871">
        <v>2023</v>
      </c>
      <c r="F1871" s="1">
        <f t="shared" si="147"/>
        <v>45009</v>
      </c>
      <c r="G1871" s="1" t="s">
        <v>475</v>
      </c>
      <c r="H1871" s="2">
        <v>46347</v>
      </c>
      <c r="I1871" t="s">
        <v>49</v>
      </c>
      <c r="J1871">
        <v>1</v>
      </c>
      <c r="K1871">
        <v>66534.02</v>
      </c>
      <c r="L1871" t="s">
        <v>755</v>
      </c>
      <c r="M1871">
        <v>34</v>
      </c>
      <c r="N1871" t="s">
        <v>21</v>
      </c>
      <c r="O1871" s="3" t="s">
        <v>22</v>
      </c>
      <c r="P1871" t="s">
        <v>137</v>
      </c>
      <c r="Q1871" t="s">
        <v>24</v>
      </c>
      <c r="R1871">
        <v>5</v>
      </c>
      <c r="S1871" t="s">
        <v>102</v>
      </c>
      <c r="T1871" s="4">
        <f t="shared" si="148"/>
        <v>66534.02</v>
      </c>
      <c r="U1871" s="4" t="str">
        <f t="shared" si="149"/>
        <v>Good</v>
      </c>
      <c r="V1871" s="4" t="str">
        <f t="shared" si="150"/>
        <v>Average</v>
      </c>
      <c r="W1871" s="4"/>
      <c r="X1871" s="4"/>
      <c r="AJ1871" s="4"/>
    </row>
    <row r="1872" spans="1:36">
      <c r="A1872" t="str">
        <f t="shared" si="146"/>
        <v>Vive521871</v>
      </c>
      <c r="B1872">
        <v>1871</v>
      </c>
      <c r="C1872">
        <v>25</v>
      </c>
      <c r="D1872">
        <v>3</v>
      </c>
      <c r="E1872">
        <v>2023</v>
      </c>
      <c r="F1872" s="1">
        <f t="shared" si="147"/>
        <v>45010</v>
      </c>
      <c r="G1872" s="1" t="s">
        <v>475</v>
      </c>
      <c r="H1872" s="2">
        <v>46348</v>
      </c>
      <c r="I1872" t="s">
        <v>38</v>
      </c>
      <c r="J1872">
        <v>7</v>
      </c>
      <c r="K1872">
        <v>41633.56</v>
      </c>
      <c r="L1872" t="s">
        <v>942</v>
      </c>
      <c r="M1872">
        <v>52</v>
      </c>
      <c r="N1872" t="s">
        <v>61</v>
      </c>
      <c r="O1872" s="3" t="s">
        <v>22</v>
      </c>
      <c r="P1872" t="s">
        <v>150</v>
      </c>
      <c r="Q1872" t="s">
        <v>41</v>
      </c>
      <c r="R1872">
        <v>5</v>
      </c>
      <c r="S1872" t="s">
        <v>48</v>
      </c>
      <c r="T1872" s="4">
        <f t="shared" si="148"/>
        <v>291434.92</v>
      </c>
      <c r="U1872" s="4" t="str">
        <f t="shared" si="149"/>
        <v>Good</v>
      </c>
      <c r="V1872" s="4" t="str">
        <f t="shared" si="150"/>
        <v>Excellent</v>
      </c>
      <c r="W1872" s="4"/>
      <c r="X1872" s="4"/>
      <c r="AJ1872" s="4"/>
    </row>
    <row r="1873" spans="1:36">
      <c r="A1873" t="str">
        <f t="shared" si="146"/>
        <v>Vino311872</v>
      </c>
      <c r="B1873">
        <v>1872</v>
      </c>
      <c r="C1873">
        <v>25</v>
      </c>
      <c r="D1873">
        <v>3</v>
      </c>
      <c r="E1873">
        <v>2023</v>
      </c>
      <c r="F1873" s="1">
        <f t="shared" si="147"/>
        <v>45010</v>
      </c>
      <c r="G1873" s="1" t="s">
        <v>475</v>
      </c>
      <c r="H1873" s="2">
        <v>46349</v>
      </c>
      <c r="I1873" t="s">
        <v>43</v>
      </c>
      <c r="J1873">
        <v>5</v>
      </c>
      <c r="K1873">
        <v>29503.46</v>
      </c>
      <c r="L1873" t="s">
        <v>246</v>
      </c>
      <c r="M1873">
        <v>31</v>
      </c>
      <c r="N1873" t="s">
        <v>21</v>
      </c>
      <c r="O1873" s="3" t="s">
        <v>22</v>
      </c>
      <c r="P1873" t="s">
        <v>33</v>
      </c>
      <c r="Q1873" t="s">
        <v>41</v>
      </c>
      <c r="R1873">
        <v>5</v>
      </c>
      <c r="S1873" t="s">
        <v>57</v>
      </c>
      <c r="T1873" s="4">
        <f t="shared" si="148"/>
        <v>147517.29999999999</v>
      </c>
      <c r="U1873" s="4" t="str">
        <f t="shared" si="149"/>
        <v>Good</v>
      </c>
      <c r="V1873" s="4" t="str">
        <f t="shared" si="150"/>
        <v>Good</v>
      </c>
      <c r="W1873" s="4"/>
      <c r="X1873" s="4"/>
      <c r="AJ1873" s="4"/>
    </row>
    <row r="1874" spans="1:36">
      <c r="A1874" t="str">
        <f t="shared" si="146"/>
        <v>Priy561873</v>
      </c>
      <c r="B1874">
        <v>1873</v>
      </c>
      <c r="C1874">
        <v>25</v>
      </c>
      <c r="D1874">
        <v>3</v>
      </c>
      <c r="E1874">
        <v>2023</v>
      </c>
      <c r="F1874" s="1">
        <f t="shared" si="147"/>
        <v>45010</v>
      </c>
      <c r="G1874" s="1" t="s">
        <v>475</v>
      </c>
      <c r="H1874" s="2">
        <v>46350</v>
      </c>
      <c r="I1874" t="s">
        <v>49</v>
      </c>
      <c r="J1874">
        <v>5</v>
      </c>
      <c r="K1874">
        <v>19487.59</v>
      </c>
      <c r="L1874" t="s">
        <v>936</v>
      </c>
      <c r="M1874">
        <v>56</v>
      </c>
      <c r="N1874" t="s">
        <v>61</v>
      </c>
      <c r="O1874" s="3" t="s">
        <v>28</v>
      </c>
      <c r="P1874" t="s">
        <v>23</v>
      </c>
      <c r="Q1874" t="s">
        <v>24</v>
      </c>
      <c r="R1874">
        <v>3</v>
      </c>
      <c r="S1874" t="s">
        <v>88</v>
      </c>
      <c r="T1874" s="4">
        <f t="shared" si="148"/>
        <v>97437.95</v>
      </c>
      <c r="U1874" s="4" t="str">
        <f t="shared" si="149"/>
        <v>Average</v>
      </c>
      <c r="V1874" s="4" t="str">
        <f t="shared" si="150"/>
        <v>Average</v>
      </c>
      <c r="W1874" s="4"/>
      <c r="X1874" s="4"/>
      <c r="AJ1874" s="4"/>
    </row>
    <row r="1875" spans="1:36">
      <c r="A1875" t="str">
        <f t="shared" si="146"/>
        <v>Kira361874</v>
      </c>
      <c r="B1875">
        <v>1874</v>
      </c>
      <c r="C1875">
        <v>26</v>
      </c>
      <c r="D1875">
        <v>3</v>
      </c>
      <c r="E1875">
        <v>2023</v>
      </c>
      <c r="F1875" s="1">
        <f t="shared" si="147"/>
        <v>45011</v>
      </c>
      <c r="G1875" s="1" t="s">
        <v>475</v>
      </c>
      <c r="H1875" s="2">
        <v>46351</v>
      </c>
      <c r="I1875" t="s">
        <v>43</v>
      </c>
      <c r="J1875">
        <v>1</v>
      </c>
      <c r="K1875">
        <v>30311.599999999999</v>
      </c>
      <c r="L1875" t="s">
        <v>786</v>
      </c>
      <c r="M1875">
        <v>36</v>
      </c>
      <c r="N1875" t="s">
        <v>21</v>
      </c>
      <c r="O1875" s="3" t="s">
        <v>22</v>
      </c>
      <c r="P1875" t="s">
        <v>29</v>
      </c>
      <c r="Q1875" t="s">
        <v>30</v>
      </c>
      <c r="R1875">
        <v>5</v>
      </c>
      <c r="S1875" t="s">
        <v>57</v>
      </c>
      <c r="T1875" s="4">
        <f t="shared" si="148"/>
        <v>30311.599999999999</v>
      </c>
      <c r="U1875" s="4" t="str">
        <f t="shared" si="149"/>
        <v>Good</v>
      </c>
      <c r="V1875" s="4" t="str">
        <f t="shared" si="150"/>
        <v>Low</v>
      </c>
      <c r="W1875" s="4"/>
      <c r="X1875" s="4"/>
      <c r="AJ1875" s="4"/>
    </row>
    <row r="1876" spans="1:36">
      <c r="A1876" t="str">
        <f t="shared" si="146"/>
        <v>Nami201875</v>
      </c>
      <c r="B1876">
        <v>1875</v>
      </c>
      <c r="C1876">
        <v>26</v>
      </c>
      <c r="D1876">
        <v>3</v>
      </c>
      <c r="E1876">
        <v>2023</v>
      </c>
      <c r="F1876" s="1">
        <f t="shared" si="147"/>
        <v>45011</v>
      </c>
      <c r="G1876" s="1" t="s">
        <v>475</v>
      </c>
      <c r="H1876" s="2">
        <v>46352</v>
      </c>
      <c r="I1876" t="s">
        <v>43</v>
      </c>
      <c r="J1876">
        <v>9</v>
      </c>
      <c r="K1876">
        <v>11230.7</v>
      </c>
      <c r="L1876" t="s">
        <v>694</v>
      </c>
      <c r="M1876">
        <v>20</v>
      </c>
      <c r="N1876" t="s">
        <v>36</v>
      </c>
      <c r="O1876" s="3" t="s">
        <v>22</v>
      </c>
      <c r="P1876" t="s">
        <v>29</v>
      </c>
      <c r="Q1876" t="s">
        <v>56</v>
      </c>
      <c r="R1876">
        <v>5</v>
      </c>
      <c r="S1876" t="s">
        <v>57</v>
      </c>
      <c r="T1876" s="4">
        <f t="shared" si="148"/>
        <v>101076.3</v>
      </c>
      <c r="U1876" s="4" t="str">
        <f t="shared" si="149"/>
        <v>Good</v>
      </c>
      <c r="V1876" s="4" t="str">
        <f t="shared" si="150"/>
        <v>Good</v>
      </c>
      <c r="W1876" s="4"/>
      <c r="X1876" s="4"/>
      <c r="AJ1876" s="4"/>
    </row>
    <row r="1877" spans="1:36">
      <c r="A1877" t="str">
        <f t="shared" si="146"/>
        <v>Kris511876</v>
      </c>
      <c r="B1877">
        <v>1876</v>
      </c>
      <c r="C1877">
        <v>26</v>
      </c>
      <c r="D1877">
        <v>3</v>
      </c>
      <c r="E1877">
        <v>2023</v>
      </c>
      <c r="F1877" s="1">
        <f t="shared" si="147"/>
        <v>45011</v>
      </c>
      <c r="G1877" s="1" t="s">
        <v>475</v>
      </c>
      <c r="H1877" s="2">
        <v>46353</v>
      </c>
      <c r="I1877" t="s">
        <v>19</v>
      </c>
      <c r="J1877">
        <v>1</v>
      </c>
      <c r="K1877">
        <v>31813.49</v>
      </c>
      <c r="L1877" t="s">
        <v>717</v>
      </c>
      <c r="M1877">
        <v>51</v>
      </c>
      <c r="N1877" t="s">
        <v>61</v>
      </c>
      <c r="O1877" s="3" t="s">
        <v>22</v>
      </c>
      <c r="P1877" t="s">
        <v>51</v>
      </c>
      <c r="Q1877" t="s">
        <v>30</v>
      </c>
      <c r="R1877">
        <v>5</v>
      </c>
      <c r="S1877" t="s">
        <v>25</v>
      </c>
      <c r="T1877" s="4">
        <f t="shared" si="148"/>
        <v>31813.49</v>
      </c>
      <c r="U1877" s="4" t="str">
        <f t="shared" si="149"/>
        <v>Good</v>
      </c>
      <c r="V1877" s="4" t="str">
        <f t="shared" si="150"/>
        <v>Low</v>
      </c>
      <c r="W1877" s="4"/>
      <c r="X1877" s="4"/>
      <c r="AJ1877" s="4"/>
    </row>
    <row r="1878" spans="1:36">
      <c r="A1878" t="str">
        <f t="shared" si="146"/>
        <v>Tapa581877</v>
      </c>
      <c r="B1878">
        <v>1877</v>
      </c>
      <c r="C1878">
        <v>27</v>
      </c>
      <c r="D1878">
        <v>3</v>
      </c>
      <c r="E1878">
        <v>2023</v>
      </c>
      <c r="F1878" s="1">
        <f t="shared" si="147"/>
        <v>45012</v>
      </c>
      <c r="G1878" s="1" t="s">
        <v>475</v>
      </c>
      <c r="H1878" s="2">
        <v>46354</v>
      </c>
      <c r="I1878" t="s">
        <v>49</v>
      </c>
      <c r="J1878">
        <v>5</v>
      </c>
      <c r="K1878">
        <v>41889.160000000003</v>
      </c>
      <c r="L1878" t="s">
        <v>282</v>
      </c>
      <c r="M1878">
        <v>58</v>
      </c>
      <c r="N1878" t="s">
        <v>61</v>
      </c>
      <c r="O1878" s="3" t="s">
        <v>28</v>
      </c>
      <c r="P1878" t="s">
        <v>77</v>
      </c>
      <c r="Q1878" t="s">
        <v>24</v>
      </c>
      <c r="R1878">
        <v>3</v>
      </c>
      <c r="S1878" t="s">
        <v>88</v>
      </c>
      <c r="T1878" s="4">
        <f t="shared" si="148"/>
        <v>209445.80000000002</v>
      </c>
      <c r="U1878" s="4" t="str">
        <f t="shared" si="149"/>
        <v>Average</v>
      </c>
      <c r="V1878" s="4" t="str">
        <f t="shared" si="150"/>
        <v>Excellent</v>
      </c>
      <c r="W1878" s="4"/>
      <c r="X1878" s="4"/>
      <c r="AJ1878" s="4"/>
    </row>
    <row r="1879" spans="1:36">
      <c r="A1879" t="str">
        <f t="shared" si="146"/>
        <v>Kira391878</v>
      </c>
      <c r="B1879">
        <v>1878</v>
      </c>
      <c r="C1879">
        <v>27</v>
      </c>
      <c r="D1879">
        <v>3</v>
      </c>
      <c r="E1879">
        <v>2023</v>
      </c>
      <c r="F1879" s="1">
        <f t="shared" si="147"/>
        <v>45012</v>
      </c>
      <c r="G1879" s="1" t="s">
        <v>475</v>
      </c>
      <c r="H1879" s="2">
        <v>46355</v>
      </c>
      <c r="I1879" t="s">
        <v>38</v>
      </c>
      <c r="J1879">
        <v>9</v>
      </c>
      <c r="K1879">
        <v>62311.97</v>
      </c>
      <c r="L1879" t="s">
        <v>143</v>
      </c>
      <c r="M1879">
        <v>39</v>
      </c>
      <c r="N1879" t="s">
        <v>21</v>
      </c>
      <c r="O1879" s="3" t="s">
        <v>22</v>
      </c>
      <c r="P1879" t="s">
        <v>33</v>
      </c>
      <c r="Q1879" t="s">
        <v>41</v>
      </c>
      <c r="R1879">
        <v>5</v>
      </c>
      <c r="S1879" t="s">
        <v>48</v>
      </c>
      <c r="T1879" s="4">
        <f t="shared" si="148"/>
        <v>560807.73</v>
      </c>
      <c r="U1879" s="4" t="str">
        <f t="shared" si="149"/>
        <v>Good</v>
      </c>
      <c r="V1879" s="4" t="str">
        <f t="shared" si="150"/>
        <v>Excellent</v>
      </c>
      <c r="W1879" s="4"/>
      <c r="X1879" s="4"/>
      <c r="AJ1879" s="4"/>
    </row>
    <row r="1880" spans="1:36">
      <c r="A1880" t="str">
        <f t="shared" si="146"/>
        <v>Adit551879</v>
      </c>
      <c r="B1880">
        <v>1879</v>
      </c>
      <c r="C1880">
        <v>27</v>
      </c>
      <c r="D1880">
        <v>3</v>
      </c>
      <c r="E1880">
        <v>2023</v>
      </c>
      <c r="F1880" s="1">
        <f t="shared" si="147"/>
        <v>45012</v>
      </c>
      <c r="G1880" s="1" t="s">
        <v>475</v>
      </c>
      <c r="H1880" s="2">
        <v>46356</v>
      </c>
      <c r="I1880" t="s">
        <v>19</v>
      </c>
      <c r="J1880">
        <v>4</v>
      </c>
      <c r="K1880">
        <v>51242.47</v>
      </c>
      <c r="L1880" t="s">
        <v>943</v>
      </c>
      <c r="M1880">
        <v>55</v>
      </c>
      <c r="N1880" t="s">
        <v>61</v>
      </c>
      <c r="O1880" s="3" t="s">
        <v>22</v>
      </c>
      <c r="P1880" t="s">
        <v>45</v>
      </c>
      <c r="Q1880" t="s">
        <v>24</v>
      </c>
      <c r="R1880">
        <v>5</v>
      </c>
      <c r="S1880" t="s">
        <v>37</v>
      </c>
      <c r="T1880" s="4">
        <f t="shared" si="148"/>
        <v>204969.88</v>
      </c>
      <c r="U1880" s="4" t="str">
        <f t="shared" si="149"/>
        <v>Good</v>
      </c>
      <c r="V1880" s="4" t="str">
        <f t="shared" si="150"/>
        <v>Excellent</v>
      </c>
      <c r="W1880" s="4"/>
      <c r="X1880" s="4"/>
      <c r="AJ1880" s="4"/>
    </row>
    <row r="1881" spans="1:36">
      <c r="A1881" t="str">
        <f t="shared" si="146"/>
        <v>Anan441880</v>
      </c>
      <c r="B1881">
        <v>1880</v>
      </c>
      <c r="C1881">
        <v>28</v>
      </c>
      <c r="D1881">
        <v>3</v>
      </c>
      <c r="E1881">
        <v>2023</v>
      </c>
      <c r="F1881" s="1">
        <f t="shared" si="147"/>
        <v>45013</v>
      </c>
      <c r="G1881" s="1" t="s">
        <v>475</v>
      </c>
      <c r="H1881" s="2">
        <v>46357</v>
      </c>
      <c r="I1881" t="s">
        <v>43</v>
      </c>
      <c r="J1881">
        <v>8</v>
      </c>
      <c r="K1881">
        <v>16694.939999999999</v>
      </c>
      <c r="L1881" t="s">
        <v>196</v>
      </c>
      <c r="M1881">
        <v>44</v>
      </c>
      <c r="N1881" t="s">
        <v>21</v>
      </c>
      <c r="O1881" s="3" t="s">
        <v>22</v>
      </c>
      <c r="P1881" t="s">
        <v>59</v>
      </c>
      <c r="Q1881" t="s">
        <v>24</v>
      </c>
      <c r="R1881">
        <v>5</v>
      </c>
      <c r="S1881" t="s">
        <v>57</v>
      </c>
      <c r="T1881" s="4">
        <f t="shared" si="148"/>
        <v>133559.51999999999</v>
      </c>
      <c r="U1881" s="4" t="str">
        <f t="shared" si="149"/>
        <v>Good</v>
      </c>
      <c r="V1881" s="4" t="str">
        <f t="shared" si="150"/>
        <v>Good</v>
      </c>
      <c r="W1881" s="4"/>
      <c r="X1881" s="4"/>
      <c r="AJ1881" s="4"/>
    </row>
    <row r="1882" spans="1:36">
      <c r="A1882" t="str">
        <f t="shared" si="146"/>
        <v>Anit381881</v>
      </c>
      <c r="B1882">
        <v>1881</v>
      </c>
      <c r="C1882">
        <v>28</v>
      </c>
      <c r="D1882">
        <v>3</v>
      </c>
      <c r="E1882">
        <v>2023</v>
      </c>
      <c r="F1882" s="1">
        <f t="shared" si="147"/>
        <v>45013</v>
      </c>
      <c r="G1882" s="1" t="s">
        <v>475</v>
      </c>
      <c r="H1882" s="2">
        <v>46358</v>
      </c>
      <c r="I1882" t="s">
        <v>43</v>
      </c>
      <c r="J1882">
        <v>6</v>
      </c>
      <c r="K1882">
        <v>18864.78</v>
      </c>
      <c r="L1882" t="s">
        <v>810</v>
      </c>
      <c r="M1882">
        <v>38</v>
      </c>
      <c r="N1882" t="s">
        <v>21</v>
      </c>
      <c r="O1882" s="3" t="s">
        <v>28</v>
      </c>
      <c r="P1882" t="s">
        <v>40</v>
      </c>
      <c r="Q1882" t="s">
        <v>41</v>
      </c>
      <c r="R1882">
        <v>3</v>
      </c>
      <c r="S1882" t="s">
        <v>46</v>
      </c>
      <c r="T1882" s="4">
        <f t="shared" si="148"/>
        <v>113188.68</v>
      </c>
      <c r="U1882" s="4" t="str">
        <f t="shared" si="149"/>
        <v>Average</v>
      </c>
      <c r="V1882" s="4" t="str">
        <f t="shared" si="150"/>
        <v>Good</v>
      </c>
      <c r="W1882" s="4"/>
      <c r="X1882" s="4"/>
      <c r="AJ1882" s="4"/>
    </row>
    <row r="1883" spans="1:36">
      <c r="A1883" t="str">
        <f t="shared" si="146"/>
        <v>Radh581882</v>
      </c>
      <c r="B1883">
        <v>1882</v>
      </c>
      <c r="C1883">
        <v>28</v>
      </c>
      <c r="D1883">
        <v>3</v>
      </c>
      <c r="E1883">
        <v>2023</v>
      </c>
      <c r="F1883" s="1">
        <f t="shared" si="147"/>
        <v>45013</v>
      </c>
      <c r="G1883" s="1" t="s">
        <v>475</v>
      </c>
      <c r="H1883" s="2">
        <v>46359</v>
      </c>
      <c r="I1883" t="s">
        <v>43</v>
      </c>
      <c r="J1883">
        <v>3</v>
      </c>
      <c r="K1883">
        <v>35687.4</v>
      </c>
      <c r="L1883" t="s">
        <v>743</v>
      </c>
      <c r="M1883">
        <v>58</v>
      </c>
      <c r="N1883" t="s">
        <v>61</v>
      </c>
      <c r="O1883" s="3" t="s">
        <v>28</v>
      </c>
      <c r="P1883" t="s">
        <v>33</v>
      </c>
      <c r="Q1883" t="s">
        <v>30</v>
      </c>
      <c r="R1883">
        <v>3</v>
      </c>
      <c r="S1883" t="s">
        <v>46</v>
      </c>
      <c r="T1883" s="4">
        <f t="shared" si="148"/>
        <v>107062.20000000001</v>
      </c>
      <c r="U1883" s="4" t="str">
        <f t="shared" si="149"/>
        <v>Average</v>
      </c>
      <c r="V1883" s="4" t="str">
        <f t="shared" si="150"/>
        <v>Good</v>
      </c>
      <c r="W1883" s="4"/>
      <c r="X1883" s="4"/>
      <c r="AJ1883" s="4"/>
    </row>
    <row r="1884" spans="1:36">
      <c r="A1884" t="str">
        <f t="shared" si="146"/>
        <v>Kira481883</v>
      </c>
      <c r="B1884">
        <v>1883</v>
      </c>
      <c r="C1884">
        <v>28</v>
      </c>
      <c r="D1884">
        <v>3</v>
      </c>
      <c r="E1884">
        <v>2023</v>
      </c>
      <c r="F1884" s="1">
        <f t="shared" si="147"/>
        <v>45013</v>
      </c>
      <c r="G1884" s="1" t="s">
        <v>475</v>
      </c>
      <c r="H1884" s="2">
        <v>46360</v>
      </c>
      <c r="I1884" t="s">
        <v>49</v>
      </c>
      <c r="J1884">
        <v>4</v>
      </c>
      <c r="K1884">
        <v>21742.47</v>
      </c>
      <c r="L1884" t="s">
        <v>187</v>
      </c>
      <c r="M1884">
        <v>48</v>
      </c>
      <c r="N1884" t="s">
        <v>61</v>
      </c>
      <c r="O1884" s="3" t="s">
        <v>22</v>
      </c>
      <c r="P1884" t="s">
        <v>150</v>
      </c>
      <c r="Q1884" t="s">
        <v>56</v>
      </c>
      <c r="R1884">
        <v>4</v>
      </c>
      <c r="S1884" t="s">
        <v>102</v>
      </c>
      <c r="T1884" s="4">
        <f t="shared" si="148"/>
        <v>86969.88</v>
      </c>
      <c r="U1884" s="4" t="str">
        <f t="shared" si="149"/>
        <v>Good</v>
      </c>
      <c r="V1884" s="4" t="str">
        <f t="shared" si="150"/>
        <v>Average</v>
      </c>
      <c r="W1884" s="4"/>
      <c r="X1884" s="4"/>
      <c r="AJ1884" s="4"/>
    </row>
    <row r="1885" spans="1:36">
      <c r="A1885" t="str">
        <f t="shared" si="146"/>
        <v>Meen441884</v>
      </c>
      <c r="B1885">
        <v>1884</v>
      </c>
      <c r="C1885">
        <v>29</v>
      </c>
      <c r="D1885">
        <v>3</v>
      </c>
      <c r="E1885">
        <v>2023</v>
      </c>
      <c r="F1885" s="1">
        <f t="shared" si="147"/>
        <v>45014</v>
      </c>
      <c r="G1885" s="1" t="s">
        <v>475</v>
      </c>
      <c r="H1885" s="2">
        <v>46361</v>
      </c>
      <c r="I1885" t="s">
        <v>49</v>
      </c>
      <c r="J1885">
        <v>2</v>
      </c>
      <c r="K1885">
        <v>11670.99</v>
      </c>
      <c r="L1885" t="s">
        <v>442</v>
      </c>
      <c r="M1885">
        <v>44</v>
      </c>
      <c r="N1885" t="s">
        <v>21</v>
      </c>
      <c r="O1885" s="3" t="s">
        <v>22</v>
      </c>
      <c r="P1885" t="s">
        <v>114</v>
      </c>
      <c r="Q1885" t="s">
        <v>24</v>
      </c>
      <c r="R1885">
        <v>5</v>
      </c>
      <c r="S1885" t="s">
        <v>102</v>
      </c>
      <c r="T1885" s="4">
        <f t="shared" si="148"/>
        <v>23341.98</v>
      </c>
      <c r="U1885" s="4" t="str">
        <f t="shared" si="149"/>
        <v>Good</v>
      </c>
      <c r="V1885" s="4" t="str">
        <f t="shared" si="150"/>
        <v>Low</v>
      </c>
      <c r="W1885" s="4"/>
      <c r="X1885" s="4"/>
      <c r="AJ1885" s="4"/>
    </row>
    <row r="1886" spans="1:36">
      <c r="A1886" t="str">
        <f t="shared" si="146"/>
        <v>Vive541885</v>
      </c>
      <c r="B1886">
        <v>1885</v>
      </c>
      <c r="C1886">
        <v>29</v>
      </c>
      <c r="D1886">
        <v>3</v>
      </c>
      <c r="E1886">
        <v>2023</v>
      </c>
      <c r="F1886" s="1">
        <f t="shared" si="147"/>
        <v>45014</v>
      </c>
      <c r="G1886" s="1" t="s">
        <v>475</v>
      </c>
      <c r="H1886" s="2">
        <v>46362</v>
      </c>
      <c r="I1886" t="s">
        <v>19</v>
      </c>
      <c r="J1886">
        <v>1</v>
      </c>
      <c r="K1886">
        <v>58300.89</v>
      </c>
      <c r="L1886" t="s">
        <v>273</v>
      </c>
      <c r="M1886">
        <v>54</v>
      </c>
      <c r="N1886" t="s">
        <v>61</v>
      </c>
      <c r="O1886" s="3" t="s">
        <v>28</v>
      </c>
      <c r="P1886" t="s">
        <v>114</v>
      </c>
      <c r="Q1886" t="s">
        <v>41</v>
      </c>
      <c r="R1886">
        <v>3</v>
      </c>
      <c r="S1886" t="s">
        <v>25</v>
      </c>
      <c r="T1886" s="4">
        <f t="shared" si="148"/>
        <v>58300.89</v>
      </c>
      <c r="U1886" s="4" t="str">
        <f t="shared" si="149"/>
        <v>Average</v>
      </c>
      <c r="V1886" s="4" t="str">
        <f t="shared" si="150"/>
        <v>Average</v>
      </c>
      <c r="W1886" s="4"/>
      <c r="X1886" s="4"/>
      <c r="AJ1886" s="4"/>
    </row>
    <row r="1887" spans="1:36">
      <c r="A1887" t="str">
        <f t="shared" si="146"/>
        <v>Kuna191886</v>
      </c>
      <c r="B1887">
        <v>1886</v>
      </c>
      <c r="C1887">
        <v>29</v>
      </c>
      <c r="D1887">
        <v>3</v>
      </c>
      <c r="E1887">
        <v>2023</v>
      </c>
      <c r="F1887" s="1">
        <f t="shared" si="147"/>
        <v>45014</v>
      </c>
      <c r="G1887" s="1" t="s">
        <v>475</v>
      </c>
      <c r="H1887" s="2">
        <v>46363</v>
      </c>
      <c r="I1887" t="s">
        <v>38</v>
      </c>
      <c r="J1887">
        <v>8</v>
      </c>
      <c r="K1887">
        <v>11171.35</v>
      </c>
      <c r="L1887" t="s">
        <v>619</v>
      </c>
      <c r="M1887">
        <v>19</v>
      </c>
      <c r="N1887" t="s">
        <v>36</v>
      </c>
      <c r="O1887" s="3" t="s">
        <v>22</v>
      </c>
      <c r="P1887" t="s">
        <v>33</v>
      </c>
      <c r="Q1887" t="s">
        <v>56</v>
      </c>
      <c r="R1887">
        <v>5</v>
      </c>
      <c r="S1887" t="s">
        <v>42</v>
      </c>
      <c r="T1887" s="4">
        <f t="shared" si="148"/>
        <v>89370.8</v>
      </c>
      <c r="U1887" s="4" t="str">
        <f t="shared" si="149"/>
        <v>Good</v>
      </c>
      <c r="V1887" s="4" t="str">
        <f t="shared" si="150"/>
        <v>Average</v>
      </c>
      <c r="W1887" s="4"/>
      <c r="X1887" s="4"/>
      <c r="AJ1887" s="4"/>
    </row>
    <row r="1888" spans="1:36">
      <c r="A1888" t="str">
        <f t="shared" si="146"/>
        <v>Vive261887</v>
      </c>
      <c r="B1888">
        <v>1887</v>
      </c>
      <c r="C1888">
        <v>29</v>
      </c>
      <c r="D1888">
        <v>3</v>
      </c>
      <c r="E1888">
        <v>2023</v>
      </c>
      <c r="F1888" s="1">
        <f t="shared" si="147"/>
        <v>45014</v>
      </c>
      <c r="G1888" s="1" t="s">
        <v>475</v>
      </c>
      <c r="H1888" s="2">
        <v>46364</v>
      </c>
      <c r="I1888" t="s">
        <v>19</v>
      </c>
      <c r="J1888">
        <v>1</v>
      </c>
      <c r="K1888">
        <v>59841.38</v>
      </c>
      <c r="L1888" t="s">
        <v>934</v>
      </c>
      <c r="M1888">
        <v>26</v>
      </c>
      <c r="N1888" t="s">
        <v>36</v>
      </c>
      <c r="O1888" s="3" t="s">
        <v>55</v>
      </c>
      <c r="P1888" t="s">
        <v>59</v>
      </c>
      <c r="Q1888" t="s">
        <v>56</v>
      </c>
      <c r="R1888">
        <v>1</v>
      </c>
      <c r="S1888" t="s">
        <v>37</v>
      </c>
      <c r="T1888" s="4">
        <f t="shared" si="148"/>
        <v>59841.38</v>
      </c>
      <c r="U1888" s="4" t="str">
        <f t="shared" si="149"/>
        <v>Average</v>
      </c>
      <c r="V1888" s="4" t="str">
        <f t="shared" si="150"/>
        <v>Average</v>
      </c>
      <c r="W1888" s="4"/>
      <c r="X1888" s="4"/>
      <c r="AJ1888" s="4"/>
    </row>
    <row r="1889" spans="1:36">
      <c r="A1889" t="str">
        <f t="shared" si="146"/>
        <v>Vija361888</v>
      </c>
      <c r="B1889">
        <v>1888</v>
      </c>
      <c r="C1889">
        <v>30</v>
      </c>
      <c r="D1889">
        <v>3</v>
      </c>
      <c r="E1889">
        <v>2023</v>
      </c>
      <c r="F1889" s="1">
        <f t="shared" si="147"/>
        <v>45015</v>
      </c>
      <c r="G1889" s="1" t="s">
        <v>475</v>
      </c>
      <c r="H1889" s="2">
        <v>46365</v>
      </c>
      <c r="I1889" t="s">
        <v>26</v>
      </c>
      <c r="J1889">
        <v>1</v>
      </c>
      <c r="K1889">
        <v>18646.240000000002</v>
      </c>
      <c r="L1889" t="s">
        <v>903</v>
      </c>
      <c r="M1889">
        <v>36</v>
      </c>
      <c r="N1889" t="s">
        <v>21</v>
      </c>
      <c r="O1889" s="3" t="s">
        <v>22</v>
      </c>
      <c r="P1889" t="s">
        <v>66</v>
      </c>
      <c r="Q1889" t="s">
        <v>56</v>
      </c>
      <c r="R1889">
        <v>5</v>
      </c>
      <c r="S1889" t="s">
        <v>67</v>
      </c>
      <c r="T1889" s="4">
        <f t="shared" si="148"/>
        <v>18646.240000000002</v>
      </c>
      <c r="U1889" s="4" t="str">
        <f t="shared" si="149"/>
        <v>Good</v>
      </c>
      <c r="V1889" s="4" t="str">
        <f t="shared" si="150"/>
        <v>Low</v>
      </c>
      <c r="W1889" s="4"/>
      <c r="X1889" s="4"/>
      <c r="AJ1889" s="4"/>
    </row>
    <row r="1890" spans="1:36">
      <c r="A1890" t="str">
        <f t="shared" si="146"/>
        <v>Sach591889</v>
      </c>
      <c r="B1890">
        <v>1889</v>
      </c>
      <c r="C1890">
        <v>30</v>
      </c>
      <c r="D1890">
        <v>3</v>
      </c>
      <c r="E1890">
        <v>2023</v>
      </c>
      <c r="F1890" s="1">
        <f t="shared" si="147"/>
        <v>45015</v>
      </c>
      <c r="G1890" s="1" t="s">
        <v>475</v>
      </c>
      <c r="H1890" s="2">
        <v>46366</v>
      </c>
      <c r="I1890" t="s">
        <v>43</v>
      </c>
      <c r="J1890">
        <v>4</v>
      </c>
      <c r="K1890">
        <v>68480.7</v>
      </c>
      <c r="L1890" t="s">
        <v>877</v>
      </c>
      <c r="M1890">
        <v>59</v>
      </c>
      <c r="N1890" t="s">
        <v>61</v>
      </c>
      <c r="O1890" s="3" t="s">
        <v>22</v>
      </c>
      <c r="P1890" t="s">
        <v>29</v>
      </c>
      <c r="Q1890" t="s">
        <v>41</v>
      </c>
      <c r="R1890">
        <v>5</v>
      </c>
      <c r="S1890" t="s">
        <v>95</v>
      </c>
      <c r="T1890" s="4">
        <f t="shared" si="148"/>
        <v>273922.8</v>
      </c>
      <c r="U1890" s="4" t="str">
        <f t="shared" si="149"/>
        <v>Good</v>
      </c>
      <c r="V1890" s="4" t="str">
        <f t="shared" si="150"/>
        <v>Excellent</v>
      </c>
      <c r="W1890" s="4"/>
      <c r="X1890" s="4"/>
      <c r="AJ1890" s="4"/>
    </row>
    <row r="1891" spans="1:36">
      <c r="A1891" t="str">
        <f t="shared" si="146"/>
        <v>Vino531890</v>
      </c>
      <c r="B1891">
        <v>1890</v>
      </c>
      <c r="C1891">
        <v>30</v>
      </c>
      <c r="D1891">
        <v>3</v>
      </c>
      <c r="E1891">
        <v>2023</v>
      </c>
      <c r="F1891" s="1">
        <f t="shared" si="147"/>
        <v>45015</v>
      </c>
      <c r="G1891" s="1" t="s">
        <v>475</v>
      </c>
      <c r="H1891" s="2">
        <v>46367</v>
      </c>
      <c r="I1891" t="s">
        <v>43</v>
      </c>
      <c r="J1891">
        <v>6</v>
      </c>
      <c r="K1891">
        <v>46232.43</v>
      </c>
      <c r="L1891" t="s">
        <v>684</v>
      </c>
      <c r="M1891">
        <v>53</v>
      </c>
      <c r="N1891" t="s">
        <v>61</v>
      </c>
      <c r="O1891" s="3" t="s">
        <v>22</v>
      </c>
      <c r="P1891" t="s">
        <v>33</v>
      </c>
      <c r="Q1891" t="s">
        <v>24</v>
      </c>
      <c r="R1891">
        <v>5</v>
      </c>
      <c r="S1891" t="s">
        <v>57</v>
      </c>
      <c r="T1891" s="4">
        <f t="shared" si="148"/>
        <v>277394.58</v>
      </c>
      <c r="U1891" s="4" t="str">
        <f t="shared" si="149"/>
        <v>Good</v>
      </c>
      <c r="V1891" s="4" t="str">
        <f t="shared" si="150"/>
        <v>Excellent</v>
      </c>
      <c r="W1891" s="4"/>
      <c r="X1891" s="4"/>
      <c r="AJ1891" s="4"/>
    </row>
    <row r="1892" spans="1:36">
      <c r="A1892" t="str">
        <f t="shared" si="146"/>
        <v>Tanu271891</v>
      </c>
      <c r="B1892">
        <v>1891</v>
      </c>
      <c r="C1892">
        <v>31</v>
      </c>
      <c r="D1892">
        <v>3</v>
      </c>
      <c r="E1892">
        <v>2023</v>
      </c>
      <c r="F1892" s="1">
        <f t="shared" si="147"/>
        <v>45016</v>
      </c>
      <c r="G1892" s="1" t="s">
        <v>475</v>
      </c>
      <c r="H1892" s="2">
        <v>46368</v>
      </c>
      <c r="I1892" t="s">
        <v>43</v>
      </c>
      <c r="J1892">
        <v>9</v>
      </c>
      <c r="K1892">
        <v>54098.98</v>
      </c>
      <c r="L1892" t="s">
        <v>329</v>
      </c>
      <c r="M1892">
        <v>27</v>
      </c>
      <c r="N1892" t="s">
        <v>36</v>
      </c>
      <c r="O1892" s="3" t="s">
        <v>22</v>
      </c>
      <c r="P1892" t="s">
        <v>33</v>
      </c>
      <c r="Q1892" t="s">
        <v>41</v>
      </c>
      <c r="R1892">
        <v>5</v>
      </c>
      <c r="S1892" t="s">
        <v>95</v>
      </c>
      <c r="T1892" s="4">
        <f t="shared" si="148"/>
        <v>486890.82</v>
      </c>
      <c r="U1892" s="4" t="str">
        <f t="shared" si="149"/>
        <v>Good</v>
      </c>
      <c r="V1892" s="4" t="str">
        <f t="shared" si="150"/>
        <v>Excellent</v>
      </c>
      <c r="W1892" s="4"/>
      <c r="X1892" s="4"/>
      <c r="AJ1892" s="4"/>
    </row>
    <row r="1893" spans="1:36">
      <c r="A1893" t="str">
        <f t="shared" si="146"/>
        <v>Raje571892</v>
      </c>
      <c r="B1893">
        <v>1892</v>
      </c>
      <c r="C1893">
        <v>31</v>
      </c>
      <c r="D1893">
        <v>3</v>
      </c>
      <c r="E1893">
        <v>2023</v>
      </c>
      <c r="F1893" s="1">
        <f t="shared" si="147"/>
        <v>45016</v>
      </c>
      <c r="G1893" s="1" t="s">
        <v>475</v>
      </c>
      <c r="H1893" s="2">
        <v>46369</v>
      </c>
      <c r="I1893" t="s">
        <v>19</v>
      </c>
      <c r="J1893">
        <v>1</v>
      </c>
      <c r="K1893">
        <v>16629.02</v>
      </c>
      <c r="L1893" t="s">
        <v>544</v>
      </c>
      <c r="M1893">
        <v>57</v>
      </c>
      <c r="N1893" t="s">
        <v>61</v>
      </c>
      <c r="O1893" s="3" t="s">
        <v>22</v>
      </c>
      <c r="P1893" t="s">
        <v>33</v>
      </c>
      <c r="Q1893" t="s">
        <v>24</v>
      </c>
      <c r="R1893">
        <v>5</v>
      </c>
      <c r="S1893" t="s">
        <v>37</v>
      </c>
      <c r="T1893" s="4">
        <f t="shared" si="148"/>
        <v>16629.02</v>
      </c>
      <c r="U1893" s="4" t="str">
        <f t="shared" si="149"/>
        <v>Good</v>
      </c>
      <c r="V1893" s="4" t="str">
        <f t="shared" si="150"/>
        <v>Low</v>
      </c>
      <c r="W1893" s="4"/>
      <c r="X1893" s="4"/>
      <c r="AJ1893" s="4"/>
    </row>
    <row r="1894" spans="1:36">
      <c r="A1894" t="str">
        <f t="shared" si="146"/>
        <v>Vive561893</v>
      </c>
      <c r="B1894">
        <v>1893</v>
      </c>
      <c r="C1894">
        <v>31</v>
      </c>
      <c r="D1894">
        <v>3</v>
      </c>
      <c r="E1894">
        <v>2023</v>
      </c>
      <c r="F1894" s="1">
        <f t="shared" si="147"/>
        <v>45016</v>
      </c>
      <c r="G1894" s="1" t="s">
        <v>475</v>
      </c>
      <c r="H1894" s="2">
        <v>46370</v>
      </c>
      <c r="I1894" t="s">
        <v>19</v>
      </c>
      <c r="J1894">
        <v>7</v>
      </c>
      <c r="K1894">
        <v>61726.239999999998</v>
      </c>
      <c r="L1894" t="s">
        <v>894</v>
      </c>
      <c r="M1894">
        <v>56</v>
      </c>
      <c r="N1894" t="s">
        <v>61</v>
      </c>
      <c r="O1894" s="3" t="s">
        <v>55</v>
      </c>
      <c r="P1894" t="s">
        <v>114</v>
      </c>
      <c r="Q1894" t="s">
        <v>30</v>
      </c>
      <c r="R1894">
        <v>1</v>
      </c>
      <c r="S1894" t="s">
        <v>37</v>
      </c>
      <c r="T1894" s="4">
        <f t="shared" si="148"/>
        <v>432083.68</v>
      </c>
      <c r="U1894" s="4" t="str">
        <f t="shared" si="149"/>
        <v>Average</v>
      </c>
      <c r="V1894" s="4" t="str">
        <f t="shared" si="150"/>
        <v>Excellent</v>
      </c>
      <c r="W1894" s="4"/>
      <c r="X1894" s="4"/>
      <c r="AJ1894" s="4"/>
    </row>
    <row r="1895" spans="1:36">
      <c r="A1895" t="str">
        <f t="shared" si="146"/>
        <v>Lata241894</v>
      </c>
      <c r="B1895">
        <v>1894</v>
      </c>
      <c r="C1895">
        <v>1</v>
      </c>
      <c r="D1895">
        <v>4</v>
      </c>
      <c r="E1895">
        <v>2023</v>
      </c>
      <c r="F1895" s="1">
        <f t="shared" si="147"/>
        <v>45017</v>
      </c>
      <c r="G1895" s="1" t="s">
        <v>537</v>
      </c>
      <c r="H1895" s="2">
        <v>46371</v>
      </c>
      <c r="I1895" t="s">
        <v>43</v>
      </c>
      <c r="J1895">
        <v>5</v>
      </c>
      <c r="K1895">
        <v>60351.54</v>
      </c>
      <c r="L1895" t="s">
        <v>764</v>
      </c>
      <c r="M1895">
        <v>24</v>
      </c>
      <c r="N1895" t="s">
        <v>36</v>
      </c>
      <c r="O1895" s="3" t="s">
        <v>22</v>
      </c>
      <c r="P1895" t="s">
        <v>114</v>
      </c>
      <c r="Q1895" t="s">
        <v>56</v>
      </c>
      <c r="R1895">
        <v>5</v>
      </c>
      <c r="S1895" t="s">
        <v>46</v>
      </c>
      <c r="T1895" s="4">
        <f t="shared" si="148"/>
        <v>301757.7</v>
      </c>
      <c r="U1895" s="4" t="str">
        <f t="shared" si="149"/>
        <v>Good</v>
      </c>
      <c r="V1895" s="4" t="str">
        <f t="shared" si="150"/>
        <v>Excellent</v>
      </c>
      <c r="W1895" s="4"/>
      <c r="X1895" s="4"/>
      <c r="AJ1895" s="4"/>
    </row>
    <row r="1896" spans="1:36">
      <c r="A1896" t="str">
        <f t="shared" si="146"/>
        <v>Yoge211895</v>
      </c>
      <c r="B1896">
        <v>1895</v>
      </c>
      <c r="C1896">
        <v>1</v>
      </c>
      <c r="D1896">
        <v>4</v>
      </c>
      <c r="E1896">
        <v>2023</v>
      </c>
      <c r="F1896" s="1">
        <f t="shared" si="147"/>
        <v>45017</v>
      </c>
      <c r="G1896" s="1" t="s">
        <v>537</v>
      </c>
      <c r="H1896" s="2">
        <v>46372</v>
      </c>
      <c r="I1896" t="s">
        <v>19</v>
      </c>
      <c r="J1896">
        <v>8</v>
      </c>
      <c r="K1896">
        <v>49179.56</v>
      </c>
      <c r="L1896" t="s">
        <v>944</v>
      </c>
      <c r="M1896">
        <v>21</v>
      </c>
      <c r="N1896" t="s">
        <v>36</v>
      </c>
      <c r="O1896" s="3" t="s">
        <v>22</v>
      </c>
      <c r="P1896" t="s">
        <v>93</v>
      </c>
      <c r="Q1896" t="s">
        <v>24</v>
      </c>
      <c r="R1896">
        <v>5</v>
      </c>
      <c r="S1896" t="s">
        <v>37</v>
      </c>
      <c r="T1896" s="4">
        <f t="shared" si="148"/>
        <v>393436.48</v>
      </c>
      <c r="U1896" s="4" t="str">
        <f t="shared" si="149"/>
        <v>Good</v>
      </c>
      <c r="V1896" s="4" t="str">
        <f t="shared" si="150"/>
        <v>Excellent</v>
      </c>
      <c r="W1896" s="4"/>
      <c r="X1896" s="4"/>
      <c r="AJ1896" s="4"/>
    </row>
    <row r="1897" spans="1:36">
      <c r="A1897" t="str">
        <f t="shared" si="146"/>
        <v>Anit321896</v>
      </c>
      <c r="B1897">
        <v>1896</v>
      </c>
      <c r="C1897">
        <v>1</v>
      </c>
      <c r="D1897">
        <v>4</v>
      </c>
      <c r="E1897">
        <v>2023</v>
      </c>
      <c r="F1897" s="1">
        <f t="shared" si="147"/>
        <v>45017</v>
      </c>
      <c r="G1897" s="1" t="s">
        <v>537</v>
      </c>
      <c r="H1897" s="2">
        <v>46373</v>
      </c>
      <c r="I1897" t="s">
        <v>49</v>
      </c>
      <c r="J1897">
        <v>7</v>
      </c>
      <c r="K1897">
        <v>40136.49</v>
      </c>
      <c r="L1897" t="s">
        <v>322</v>
      </c>
      <c r="M1897">
        <v>32</v>
      </c>
      <c r="N1897" t="s">
        <v>21</v>
      </c>
      <c r="O1897" s="3" t="s">
        <v>28</v>
      </c>
      <c r="P1897" t="s">
        <v>51</v>
      </c>
      <c r="Q1897" t="s">
        <v>30</v>
      </c>
      <c r="R1897">
        <v>3</v>
      </c>
      <c r="S1897" t="s">
        <v>88</v>
      </c>
      <c r="T1897" s="4">
        <f t="shared" si="148"/>
        <v>280955.43</v>
      </c>
      <c r="U1897" s="4" t="str">
        <f t="shared" si="149"/>
        <v>Average</v>
      </c>
      <c r="V1897" s="4" t="str">
        <f t="shared" si="150"/>
        <v>Excellent</v>
      </c>
      <c r="W1897" s="4"/>
      <c r="X1897" s="4"/>
      <c r="AJ1897" s="4"/>
    </row>
    <row r="1898" spans="1:36">
      <c r="A1898" t="str">
        <f t="shared" si="146"/>
        <v>Shru291897</v>
      </c>
      <c r="B1898">
        <v>1897</v>
      </c>
      <c r="C1898">
        <v>1</v>
      </c>
      <c r="D1898">
        <v>4</v>
      </c>
      <c r="E1898">
        <v>2023</v>
      </c>
      <c r="F1898" s="1">
        <f t="shared" si="147"/>
        <v>45017</v>
      </c>
      <c r="G1898" s="1" t="s">
        <v>537</v>
      </c>
      <c r="H1898" s="2">
        <v>46374</v>
      </c>
      <c r="I1898" t="s">
        <v>49</v>
      </c>
      <c r="J1898">
        <v>4</v>
      </c>
      <c r="K1898">
        <v>53289.35</v>
      </c>
      <c r="L1898" t="s">
        <v>945</v>
      </c>
      <c r="M1898">
        <v>29</v>
      </c>
      <c r="N1898" t="s">
        <v>36</v>
      </c>
      <c r="O1898" s="3" t="s">
        <v>22</v>
      </c>
      <c r="P1898" t="s">
        <v>117</v>
      </c>
      <c r="Q1898" t="s">
        <v>41</v>
      </c>
      <c r="R1898">
        <v>5</v>
      </c>
      <c r="S1898" t="s">
        <v>52</v>
      </c>
      <c r="T1898" s="4">
        <f t="shared" si="148"/>
        <v>213157.4</v>
      </c>
      <c r="U1898" s="4" t="str">
        <f t="shared" si="149"/>
        <v>Good</v>
      </c>
      <c r="V1898" s="4" t="str">
        <f t="shared" si="150"/>
        <v>Excellent</v>
      </c>
      <c r="W1898" s="4"/>
      <c r="X1898" s="4"/>
      <c r="AJ1898" s="4"/>
    </row>
    <row r="1899" spans="1:36">
      <c r="A1899" t="str">
        <f t="shared" si="146"/>
        <v>Shru231898</v>
      </c>
      <c r="B1899">
        <v>1898</v>
      </c>
      <c r="C1899">
        <v>2</v>
      </c>
      <c r="D1899">
        <v>4</v>
      </c>
      <c r="E1899">
        <v>2023</v>
      </c>
      <c r="F1899" s="1">
        <f t="shared" si="147"/>
        <v>45018</v>
      </c>
      <c r="G1899" s="1" t="s">
        <v>537</v>
      </c>
      <c r="H1899" s="2">
        <v>46375</v>
      </c>
      <c r="I1899" t="s">
        <v>19</v>
      </c>
      <c r="J1899">
        <v>4</v>
      </c>
      <c r="K1899">
        <v>10355.69</v>
      </c>
      <c r="L1899" t="s">
        <v>225</v>
      </c>
      <c r="M1899">
        <v>23</v>
      </c>
      <c r="N1899" t="s">
        <v>36</v>
      </c>
      <c r="O1899" s="3" t="s">
        <v>22</v>
      </c>
      <c r="P1899" t="s">
        <v>29</v>
      </c>
      <c r="Q1899" t="s">
        <v>56</v>
      </c>
      <c r="R1899">
        <v>5</v>
      </c>
      <c r="S1899" t="s">
        <v>37</v>
      </c>
      <c r="T1899" s="4">
        <f t="shared" si="148"/>
        <v>41422.76</v>
      </c>
      <c r="U1899" s="4" t="str">
        <f t="shared" si="149"/>
        <v>Good</v>
      </c>
      <c r="V1899" s="4" t="str">
        <f t="shared" si="150"/>
        <v>Low</v>
      </c>
      <c r="W1899" s="4"/>
      <c r="X1899" s="4"/>
      <c r="AJ1899" s="4"/>
    </row>
    <row r="1900" spans="1:36">
      <c r="A1900" t="str">
        <f t="shared" si="146"/>
        <v>Lali261899</v>
      </c>
      <c r="B1900">
        <v>1899</v>
      </c>
      <c r="C1900">
        <v>2</v>
      </c>
      <c r="D1900">
        <v>4</v>
      </c>
      <c r="E1900">
        <v>2023</v>
      </c>
      <c r="F1900" s="1">
        <f t="shared" si="147"/>
        <v>45018</v>
      </c>
      <c r="G1900" s="1" t="s">
        <v>537</v>
      </c>
      <c r="H1900" s="2">
        <v>46376</v>
      </c>
      <c r="I1900" t="s">
        <v>43</v>
      </c>
      <c r="J1900">
        <v>6</v>
      </c>
      <c r="K1900">
        <v>45546.45</v>
      </c>
      <c r="L1900" t="s">
        <v>236</v>
      </c>
      <c r="M1900">
        <v>26</v>
      </c>
      <c r="N1900" t="s">
        <v>36</v>
      </c>
      <c r="O1900" s="3" t="s">
        <v>22</v>
      </c>
      <c r="P1900" t="s">
        <v>45</v>
      </c>
      <c r="Q1900" t="s">
        <v>24</v>
      </c>
      <c r="R1900">
        <v>5</v>
      </c>
      <c r="S1900" t="s">
        <v>57</v>
      </c>
      <c r="T1900" s="4">
        <f t="shared" si="148"/>
        <v>273278.69999999995</v>
      </c>
      <c r="U1900" s="4" t="str">
        <f t="shared" si="149"/>
        <v>Good</v>
      </c>
      <c r="V1900" s="4" t="str">
        <f t="shared" si="150"/>
        <v>Excellent</v>
      </c>
      <c r="W1900" s="4"/>
      <c r="X1900" s="4"/>
      <c r="AJ1900" s="4"/>
    </row>
    <row r="1901" spans="1:36">
      <c r="A1901" t="str">
        <f t="shared" si="146"/>
        <v>Isha521900</v>
      </c>
      <c r="B1901">
        <v>1900</v>
      </c>
      <c r="C1901">
        <v>2</v>
      </c>
      <c r="D1901">
        <v>4</v>
      </c>
      <c r="E1901">
        <v>2023</v>
      </c>
      <c r="F1901" s="1">
        <f t="shared" si="147"/>
        <v>45018</v>
      </c>
      <c r="G1901" s="1" t="s">
        <v>537</v>
      </c>
      <c r="H1901" s="2">
        <v>46377</v>
      </c>
      <c r="I1901" t="s">
        <v>19</v>
      </c>
      <c r="J1901">
        <v>6</v>
      </c>
      <c r="K1901">
        <v>60844.37</v>
      </c>
      <c r="L1901" t="s">
        <v>277</v>
      </c>
      <c r="M1901">
        <v>52</v>
      </c>
      <c r="N1901" t="s">
        <v>61</v>
      </c>
      <c r="O1901" s="3" t="s">
        <v>22</v>
      </c>
      <c r="P1901" t="s">
        <v>29</v>
      </c>
      <c r="Q1901" t="s">
        <v>56</v>
      </c>
      <c r="R1901">
        <v>5</v>
      </c>
      <c r="S1901" t="s">
        <v>37</v>
      </c>
      <c r="T1901" s="4">
        <f t="shared" si="148"/>
        <v>365066.22000000003</v>
      </c>
      <c r="U1901" s="4" t="str">
        <f t="shared" si="149"/>
        <v>Good</v>
      </c>
      <c r="V1901" s="4" t="str">
        <f t="shared" si="150"/>
        <v>Excellent</v>
      </c>
      <c r="W1901" s="4"/>
      <c r="X1901" s="4"/>
      <c r="AJ1901" s="4"/>
    </row>
    <row r="1902" spans="1:36">
      <c r="A1902" t="str">
        <f t="shared" si="146"/>
        <v>Hari251901</v>
      </c>
      <c r="B1902">
        <v>1901</v>
      </c>
      <c r="C1902">
        <v>3</v>
      </c>
      <c r="D1902">
        <v>4</v>
      </c>
      <c r="E1902">
        <v>2023</v>
      </c>
      <c r="F1902" s="1">
        <f t="shared" si="147"/>
        <v>45019</v>
      </c>
      <c r="G1902" s="1" t="s">
        <v>537</v>
      </c>
      <c r="H1902" s="2">
        <v>46378</v>
      </c>
      <c r="I1902" t="s">
        <v>19</v>
      </c>
      <c r="J1902">
        <v>9</v>
      </c>
      <c r="K1902">
        <v>31413.99</v>
      </c>
      <c r="L1902" t="s">
        <v>704</v>
      </c>
      <c r="M1902">
        <v>25</v>
      </c>
      <c r="N1902" t="s">
        <v>36</v>
      </c>
      <c r="O1902" s="3" t="s">
        <v>22</v>
      </c>
      <c r="P1902" t="s">
        <v>29</v>
      </c>
      <c r="Q1902" t="s">
        <v>56</v>
      </c>
      <c r="R1902">
        <v>5</v>
      </c>
      <c r="S1902" t="s">
        <v>25</v>
      </c>
      <c r="T1902" s="4">
        <f t="shared" si="148"/>
        <v>282725.91000000003</v>
      </c>
      <c r="U1902" s="4" t="str">
        <f t="shared" si="149"/>
        <v>Good</v>
      </c>
      <c r="V1902" s="4" t="str">
        <f t="shared" si="150"/>
        <v>Excellent</v>
      </c>
      <c r="W1902" s="4"/>
      <c r="X1902" s="4"/>
      <c r="AJ1902" s="4"/>
    </row>
    <row r="1903" spans="1:36">
      <c r="A1903" t="str">
        <f t="shared" si="146"/>
        <v>Nikh241902</v>
      </c>
      <c r="B1903">
        <v>1902</v>
      </c>
      <c r="C1903">
        <v>3</v>
      </c>
      <c r="D1903">
        <v>4</v>
      </c>
      <c r="E1903">
        <v>2023</v>
      </c>
      <c r="F1903" s="1">
        <f t="shared" si="147"/>
        <v>45019</v>
      </c>
      <c r="G1903" s="1" t="s">
        <v>537</v>
      </c>
      <c r="H1903" s="2">
        <v>46379</v>
      </c>
      <c r="I1903" t="s">
        <v>19</v>
      </c>
      <c r="J1903">
        <v>5</v>
      </c>
      <c r="K1903">
        <v>16497.36</v>
      </c>
      <c r="L1903" t="s">
        <v>169</v>
      </c>
      <c r="M1903">
        <v>24</v>
      </c>
      <c r="N1903" t="s">
        <v>36</v>
      </c>
      <c r="O1903" s="3" t="s">
        <v>22</v>
      </c>
      <c r="P1903" t="s">
        <v>33</v>
      </c>
      <c r="Q1903" t="s">
        <v>56</v>
      </c>
      <c r="R1903">
        <v>5</v>
      </c>
      <c r="S1903" t="s">
        <v>84</v>
      </c>
      <c r="T1903" s="4">
        <f t="shared" si="148"/>
        <v>82486.8</v>
      </c>
      <c r="U1903" s="4" t="str">
        <f t="shared" si="149"/>
        <v>Good</v>
      </c>
      <c r="V1903" s="4" t="str">
        <f t="shared" si="150"/>
        <v>Average</v>
      </c>
      <c r="W1903" s="4"/>
      <c r="X1903" s="4"/>
      <c r="AJ1903" s="4"/>
    </row>
    <row r="1904" spans="1:36">
      <c r="A1904" t="str">
        <f t="shared" si="146"/>
        <v>Radh211903</v>
      </c>
      <c r="B1904">
        <v>1903</v>
      </c>
      <c r="C1904">
        <v>3</v>
      </c>
      <c r="D1904">
        <v>4</v>
      </c>
      <c r="E1904">
        <v>2023</v>
      </c>
      <c r="F1904" s="1">
        <f t="shared" si="147"/>
        <v>45019</v>
      </c>
      <c r="G1904" s="1" t="s">
        <v>537</v>
      </c>
      <c r="H1904" s="2">
        <v>46380</v>
      </c>
      <c r="I1904" t="s">
        <v>26</v>
      </c>
      <c r="J1904">
        <v>8</v>
      </c>
      <c r="K1904">
        <v>35252.629999999997</v>
      </c>
      <c r="L1904" t="s">
        <v>649</v>
      </c>
      <c r="M1904">
        <v>21</v>
      </c>
      <c r="N1904" t="s">
        <v>36</v>
      </c>
      <c r="O1904" s="3" t="s">
        <v>22</v>
      </c>
      <c r="P1904" t="s">
        <v>93</v>
      </c>
      <c r="Q1904" t="s">
        <v>41</v>
      </c>
      <c r="R1904">
        <v>5</v>
      </c>
      <c r="S1904" t="s">
        <v>67</v>
      </c>
      <c r="T1904" s="4">
        <f t="shared" si="148"/>
        <v>282021.03999999998</v>
      </c>
      <c r="U1904" s="4" t="str">
        <f t="shared" si="149"/>
        <v>Good</v>
      </c>
      <c r="V1904" s="4" t="str">
        <f t="shared" si="150"/>
        <v>Excellent</v>
      </c>
      <c r="W1904" s="4"/>
      <c r="X1904" s="4"/>
      <c r="AJ1904" s="4"/>
    </row>
    <row r="1905" spans="1:36">
      <c r="A1905" t="str">
        <f t="shared" si="146"/>
        <v>Priy301904</v>
      </c>
      <c r="B1905">
        <v>1904</v>
      </c>
      <c r="C1905">
        <v>3</v>
      </c>
      <c r="D1905">
        <v>4</v>
      </c>
      <c r="E1905">
        <v>2023</v>
      </c>
      <c r="F1905" s="1">
        <f t="shared" si="147"/>
        <v>45019</v>
      </c>
      <c r="G1905" s="1" t="s">
        <v>537</v>
      </c>
      <c r="H1905" s="2">
        <v>46381</v>
      </c>
      <c r="I1905" t="s">
        <v>49</v>
      </c>
      <c r="J1905">
        <v>5</v>
      </c>
      <c r="K1905">
        <v>53626.27</v>
      </c>
      <c r="L1905" t="s">
        <v>812</v>
      </c>
      <c r="M1905">
        <v>30</v>
      </c>
      <c r="N1905" t="s">
        <v>36</v>
      </c>
      <c r="O1905" s="3" t="s">
        <v>22</v>
      </c>
      <c r="P1905" t="s">
        <v>29</v>
      </c>
      <c r="Q1905" t="s">
        <v>56</v>
      </c>
      <c r="R1905">
        <v>5</v>
      </c>
      <c r="S1905" t="s">
        <v>88</v>
      </c>
      <c r="T1905" s="4">
        <f t="shared" si="148"/>
        <v>268131.34999999998</v>
      </c>
      <c r="U1905" s="4" t="str">
        <f t="shared" si="149"/>
        <v>Good</v>
      </c>
      <c r="V1905" s="4" t="str">
        <f t="shared" si="150"/>
        <v>Excellent</v>
      </c>
      <c r="W1905" s="4"/>
      <c r="X1905" s="4"/>
      <c r="AJ1905" s="4"/>
    </row>
    <row r="1906" spans="1:36">
      <c r="A1906" t="str">
        <f t="shared" si="146"/>
        <v>Suni361905</v>
      </c>
      <c r="B1906">
        <v>1905</v>
      </c>
      <c r="C1906">
        <v>4</v>
      </c>
      <c r="D1906">
        <v>4</v>
      </c>
      <c r="E1906">
        <v>2023</v>
      </c>
      <c r="F1906" s="1">
        <f t="shared" si="147"/>
        <v>45020</v>
      </c>
      <c r="G1906" s="1" t="s">
        <v>537</v>
      </c>
      <c r="H1906" s="2">
        <v>46382</v>
      </c>
      <c r="I1906" t="s">
        <v>38</v>
      </c>
      <c r="J1906">
        <v>2</v>
      </c>
      <c r="K1906">
        <v>16438.07</v>
      </c>
      <c r="L1906" t="s">
        <v>648</v>
      </c>
      <c r="M1906">
        <v>36</v>
      </c>
      <c r="N1906" t="s">
        <v>21</v>
      </c>
      <c r="O1906" s="3" t="s">
        <v>22</v>
      </c>
      <c r="P1906" t="s">
        <v>59</v>
      </c>
      <c r="Q1906" t="s">
        <v>24</v>
      </c>
      <c r="R1906">
        <v>5</v>
      </c>
      <c r="S1906" t="s">
        <v>99</v>
      </c>
      <c r="T1906" s="4">
        <f t="shared" si="148"/>
        <v>32876.14</v>
      </c>
      <c r="U1906" s="4" t="str">
        <f t="shared" si="149"/>
        <v>Good</v>
      </c>
      <c r="V1906" s="4" t="str">
        <f t="shared" si="150"/>
        <v>Low</v>
      </c>
      <c r="W1906" s="4"/>
      <c r="X1906" s="4"/>
      <c r="AJ1906" s="4"/>
    </row>
    <row r="1907" spans="1:36">
      <c r="A1907" t="str">
        <f t="shared" si="146"/>
        <v>Bhav241906</v>
      </c>
      <c r="B1907">
        <v>1906</v>
      </c>
      <c r="C1907">
        <v>4</v>
      </c>
      <c r="D1907">
        <v>4</v>
      </c>
      <c r="E1907">
        <v>2023</v>
      </c>
      <c r="F1907" s="1">
        <f t="shared" si="147"/>
        <v>45020</v>
      </c>
      <c r="G1907" s="1" t="s">
        <v>537</v>
      </c>
      <c r="H1907" s="2">
        <v>46383</v>
      </c>
      <c r="I1907" t="s">
        <v>38</v>
      </c>
      <c r="J1907">
        <v>6</v>
      </c>
      <c r="K1907">
        <v>22362.91</v>
      </c>
      <c r="L1907" t="s">
        <v>268</v>
      </c>
      <c r="M1907">
        <v>24</v>
      </c>
      <c r="N1907" t="s">
        <v>36</v>
      </c>
      <c r="O1907" s="3" t="s">
        <v>55</v>
      </c>
      <c r="P1907" t="s">
        <v>29</v>
      </c>
      <c r="Q1907" t="s">
        <v>41</v>
      </c>
      <c r="R1907">
        <v>1</v>
      </c>
      <c r="S1907" t="s">
        <v>99</v>
      </c>
      <c r="T1907" s="4">
        <f t="shared" si="148"/>
        <v>134177.46</v>
      </c>
      <c r="U1907" s="4" t="str">
        <f t="shared" si="149"/>
        <v>Average</v>
      </c>
      <c r="V1907" s="4" t="str">
        <f t="shared" si="150"/>
        <v>Good</v>
      </c>
      <c r="W1907" s="4"/>
      <c r="X1907" s="4"/>
      <c r="AJ1907" s="4"/>
    </row>
    <row r="1908" spans="1:36">
      <c r="A1908" t="str">
        <f t="shared" si="146"/>
        <v>Nami271907</v>
      </c>
      <c r="B1908">
        <v>1907</v>
      </c>
      <c r="C1908">
        <v>4</v>
      </c>
      <c r="D1908">
        <v>4</v>
      </c>
      <c r="E1908">
        <v>2023</v>
      </c>
      <c r="F1908" s="1">
        <f t="shared" si="147"/>
        <v>45020</v>
      </c>
      <c r="G1908" s="1" t="s">
        <v>537</v>
      </c>
      <c r="H1908" s="2">
        <v>46384</v>
      </c>
      <c r="I1908" t="s">
        <v>26</v>
      </c>
      <c r="J1908">
        <v>9</v>
      </c>
      <c r="K1908">
        <v>18853.11</v>
      </c>
      <c r="L1908" t="s">
        <v>647</v>
      </c>
      <c r="M1908">
        <v>27</v>
      </c>
      <c r="N1908" t="s">
        <v>36</v>
      </c>
      <c r="O1908" s="3" t="s">
        <v>22</v>
      </c>
      <c r="P1908" t="s">
        <v>33</v>
      </c>
      <c r="Q1908" t="s">
        <v>30</v>
      </c>
      <c r="R1908">
        <v>4</v>
      </c>
      <c r="S1908" t="s">
        <v>67</v>
      </c>
      <c r="T1908" s="4">
        <f t="shared" si="148"/>
        <v>169677.99</v>
      </c>
      <c r="U1908" s="4" t="str">
        <f t="shared" si="149"/>
        <v>Good</v>
      </c>
      <c r="V1908" s="4" t="str">
        <f t="shared" si="150"/>
        <v>Good</v>
      </c>
      <c r="W1908" s="4"/>
      <c r="X1908" s="4"/>
      <c r="AJ1908" s="4"/>
    </row>
    <row r="1909" spans="1:36">
      <c r="A1909" t="str">
        <f t="shared" si="146"/>
        <v>Hari421908</v>
      </c>
      <c r="B1909">
        <v>1908</v>
      </c>
      <c r="C1909">
        <v>5</v>
      </c>
      <c r="D1909">
        <v>4</v>
      </c>
      <c r="E1909">
        <v>2023</v>
      </c>
      <c r="F1909" s="1">
        <f t="shared" si="147"/>
        <v>45021</v>
      </c>
      <c r="G1909" s="1" t="s">
        <v>537</v>
      </c>
      <c r="H1909" s="2">
        <v>46385</v>
      </c>
      <c r="I1909" t="s">
        <v>19</v>
      </c>
      <c r="J1909">
        <v>3</v>
      </c>
      <c r="K1909">
        <v>57816.87</v>
      </c>
      <c r="L1909" t="s">
        <v>814</v>
      </c>
      <c r="M1909">
        <v>42</v>
      </c>
      <c r="N1909" t="s">
        <v>21</v>
      </c>
      <c r="O1909" s="3" t="s">
        <v>22</v>
      </c>
      <c r="P1909" t="s">
        <v>33</v>
      </c>
      <c r="Q1909" t="s">
        <v>24</v>
      </c>
      <c r="R1909">
        <v>4</v>
      </c>
      <c r="S1909" t="s">
        <v>25</v>
      </c>
      <c r="T1909" s="4">
        <f t="shared" si="148"/>
        <v>173450.61000000002</v>
      </c>
      <c r="U1909" s="4" t="str">
        <f t="shared" si="149"/>
        <v>Good</v>
      </c>
      <c r="V1909" s="4" t="str">
        <f t="shared" si="150"/>
        <v>Good</v>
      </c>
      <c r="W1909" s="4"/>
      <c r="X1909" s="4"/>
      <c r="AJ1909" s="4"/>
    </row>
    <row r="1910" spans="1:36">
      <c r="A1910" t="str">
        <f t="shared" si="146"/>
        <v>Bina521909</v>
      </c>
      <c r="B1910">
        <v>1909</v>
      </c>
      <c r="C1910">
        <v>5</v>
      </c>
      <c r="D1910">
        <v>4</v>
      </c>
      <c r="E1910">
        <v>2023</v>
      </c>
      <c r="F1910" s="1">
        <f t="shared" si="147"/>
        <v>45021</v>
      </c>
      <c r="G1910" s="1" t="s">
        <v>537</v>
      </c>
      <c r="H1910" s="2">
        <v>46386</v>
      </c>
      <c r="I1910" t="s">
        <v>26</v>
      </c>
      <c r="J1910">
        <v>1</v>
      </c>
      <c r="K1910">
        <v>13773.56</v>
      </c>
      <c r="L1910" t="s">
        <v>286</v>
      </c>
      <c r="M1910">
        <v>52</v>
      </c>
      <c r="N1910" t="s">
        <v>61</v>
      </c>
      <c r="O1910" s="3" t="s">
        <v>22</v>
      </c>
      <c r="P1910" t="s">
        <v>29</v>
      </c>
      <c r="Q1910" t="s">
        <v>41</v>
      </c>
      <c r="R1910">
        <v>4</v>
      </c>
      <c r="S1910" t="s">
        <v>34</v>
      </c>
      <c r="T1910" s="4">
        <f t="shared" si="148"/>
        <v>13773.56</v>
      </c>
      <c r="U1910" s="4" t="str">
        <f t="shared" si="149"/>
        <v>Good</v>
      </c>
      <c r="V1910" s="4" t="str">
        <f t="shared" si="150"/>
        <v>Low</v>
      </c>
      <c r="W1910" s="4"/>
      <c r="X1910" s="4"/>
      <c r="AJ1910" s="4"/>
    </row>
    <row r="1911" spans="1:36">
      <c r="A1911" t="str">
        <f t="shared" si="146"/>
        <v>Bhav421910</v>
      </c>
      <c r="B1911">
        <v>1910</v>
      </c>
      <c r="C1911">
        <v>5</v>
      </c>
      <c r="D1911">
        <v>4</v>
      </c>
      <c r="E1911">
        <v>2023</v>
      </c>
      <c r="F1911" s="1">
        <f t="shared" si="147"/>
        <v>45021</v>
      </c>
      <c r="G1911" s="1" t="s">
        <v>537</v>
      </c>
      <c r="H1911" s="2">
        <v>46387</v>
      </c>
      <c r="I1911" t="s">
        <v>26</v>
      </c>
      <c r="J1911">
        <v>1</v>
      </c>
      <c r="K1911">
        <v>51195.19</v>
      </c>
      <c r="L1911" t="s">
        <v>80</v>
      </c>
      <c r="M1911">
        <v>42</v>
      </c>
      <c r="N1911" t="s">
        <v>21</v>
      </c>
      <c r="O1911" s="3" t="s">
        <v>22</v>
      </c>
      <c r="P1911" t="s">
        <v>29</v>
      </c>
      <c r="Q1911" t="s">
        <v>24</v>
      </c>
      <c r="R1911">
        <v>4</v>
      </c>
      <c r="S1911" t="s">
        <v>67</v>
      </c>
      <c r="T1911" s="4">
        <f t="shared" si="148"/>
        <v>51195.19</v>
      </c>
      <c r="U1911" s="4" t="str">
        <f t="shared" si="149"/>
        <v>Good</v>
      </c>
      <c r="V1911" s="4" t="str">
        <f t="shared" si="150"/>
        <v>Average</v>
      </c>
      <c r="W1911" s="4"/>
      <c r="X1911" s="4"/>
      <c r="AJ1911" s="4"/>
    </row>
    <row r="1912" spans="1:36">
      <c r="A1912" t="str">
        <f t="shared" si="146"/>
        <v>Neet461911</v>
      </c>
      <c r="B1912">
        <v>1911</v>
      </c>
      <c r="C1912">
        <v>5</v>
      </c>
      <c r="D1912">
        <v>4</v>
      </c>
      <c r="E1912">
        <v>2023</v>
      </c>
      <c r="F1912" s="1">
        <f t="shared" si="147"/>
        <v>45021</v>
      </c>
      <c r="G1912" s="1" t="s">
        <v>537</v>
      </c>
      <c r="H1912" s="2">
        <v>46388</v>
      </c>
      <c r="I1912" t="s">
        <v>43</v>
      </c>
      <c r="J1912">
        <v>3</v>
      </c>
      <c r="K1912">
        <v>31987.42</v>
      </c>
      <c r="L1912" t="s">
        <v>834</v>
      </c>
      <c r="M1912">
        <v>46</v>
      </c>
      <c r="N1912" t="s">
        <v>61</v>
      </c>
      <c r="O1912" s="3" t="s">
        <v>55</v>
      </c>
      <c r="P1912" t="s">
        <v>33</v>
      </c>
      <c r="Q1912" t="s">
        <v>24</v>
      </c>
      <c r="R1912">
        <v>1</v>
      </c>
      <c r="S1912" t="s">
        <v>95</v>
      </c>
      <c r="T1912" s="4">
        <f t="shared" si="148"/>
        <v>95962.26</v>
      </c>
      <c r="U1912" s="4" t="str">
        <f t="shared" si="149"/>
        <v>Average</v>
      </c>
      <c r="V1912" s="4" t="str">
        <f t="shared" si="150"/>
        <v>Average</v>
      </c>
      <c r="W1912" s="4"/>
      <c r="X1912" s="4"/>
      <c r="AJ1912" s="4"/>
    </row>
    <row r="1913" spans="1:36">
      <c r="A1913" t="str">
        <f t="shared" si="146"/>
        <v>Pank291912</v>
      </c>
      <c r="B1913">
        <v>1912</v>
      </c>
      <c r="C1913">
        <v>6</v>
      </c>
      <c r="D1913">
        <v>4</v>
      </c>
      <c r="E1913">
        <v>2023</v>
      </c>
      <c r="F1913" s="1">
        <f t="shared" si="147"/>
        <v>45022</v>
      </c>
      <c r="G1913" s="1" t="s">
        <v>537</v>
      </c>
      <c r="H1913" s="2">
        <v>46389</v>
      </c>
      <c r="I1913" t="s">
        <v>49</v>
      </c>
      <c r="J1913">
        <v>5</v>
      </c>
      <c r="K1913">
        <v>55347.47</v>
      </c>
      <c r="L1913" t="s">
        <v>53</v>
      </c>
      <c r="M1913">
        <v>29</v>
      </c>
      <c r="N1913" t="s">
        <v>36</v>
      </c>
      <c r="O1913" s="3" t="s">
        <v>55</v>
      </c>
      <c r="P1913" t="s">
        <v>40</v>
      </c>
      <c r="Q1913" t="s">
        <v>30</v>
      </c>
      <c r="R1913">
        <v>1</v>
      </c>
      <c r="S1913" t="s">
        <v>102</v>
      </c>
      <c r="T1913" s="4">
        <f t="shared" si="148"/>
        <v>276737.34999999998</v>
      </c>
      <c r="U1913" s="4" t="str">
        <f t="shared" si="149"/>
        <v>Average</v>
      </c>
      <c r="V1913" s="4" t="str">
        <f t="shared" si="150"/>
        <v>Excellent</v>
      </c>
      <c r="W1913" s="4"/>
      <c r="X1913" s="4"/>
      <c r="AJ1913" s="4"/>
    </row>
    <row r="1914" spans="1:36">
      <c r="A1914" t="str">
        <f t="shared" si="146"/>
        <v>Tanu571913</v>
      </c>
      <c r="B1914">
        <v>1913</v>
      </c>
      <c r="C1914">
        <v>6</v>
      </c>
      <c r="D1914">
        <v>4</v>
      </c>
      <c r="E1914">
        <v>2023</v>
      </c>
      <c r="F1914" s="1">
        <f t="shared" si="147"/>
        <v>45022</v>
      </c>
      <c r="G1914" s="1" t="s">
        <v>537</v>
      </c>
      <c r="H1914" s="2">
        <v>46390</v>
      </c>
      <c r="I1914" t="s">
        <v>38</v>
      </c>
      <c r="J1914">
        <v>3</v>
      </c>
      <c r="K1914">
        <v>67863.009999999995</v>
      </c>
      <c r="L1914" t="s">
        <v>920</v>
      </c>
      <c r="M1914">
        <v>57</v>
      </c>
      <c r="N1914" t="s">
        <v>61</v>
      </c>
      <c r="O1914" s="3" t="s">
        <v>22</v>
      </c>
      <c r="P1914" t="s">
        <v>33</v>
      </c>
      <c r="Q1914" t="s">
        <v>41</v>
      </c>
      <c r="R1914">
        <v>5</v>
      </c>
      <c r="S1914" t="s">
        <v>99</v>
      </c>
      <c r="T1914" s="4">
        <f t="shared" si="148"/>
        <v>203589.02999999997</v>
      </c>
      <c r="U1914" s="4" t="str">
        <f t="shared" si="149"/>
        <v>Good</v>
      </c>
      <c r="V1914" s="4" t="str">
        <f t="shared" si="150"/>
        <v>Excellent</v>
      </c>
      <c r="W1914" s="4"/>
      <c r="X1914" s="4"/>
      <c r="AJ1914" s="4"/>
    </row>
    <row r="1915" spans="1:36">
      <c r="A1915" t="str">
        <f t="shared" si="146"/>
        <v>Vija291914</v>
      </c>
      <c r="B1915">
        <v>1914</v>
      </c>
      <c r="C1915">
        <v>6</v>
      </c>
      <c r="D1915">
        <v>4</v>
      </c>
      <c r="E1915">
        <v>2023</v>
      </c>
      <c r="F1915" s="1">
        <f t="shared" si="147"/>
        <v>45022</v>
      </c>
      <c r="G1915" s="1" t="s">
        <v>537</v>
      </c>
      <c r="H1915" s="2">
        <v>46391</v>
      </c>
      <c r="I1915" t="s">
        <v>19</v>
      </c>
      <c r="J1915">
        <v>9</v>
      </c>
      <c r="K1915">
        <v>16872.72</v>
      </c>
      <c r="L1915" t="s">
        <v>565</v>
      </c>
      <c r="M1915">
        <v>29</v>
      </c>
      <c r="N1915" t="s">
        <v>36</v>
      </c>
      <c r="O1915" s="3" t="s">
        <v>55</v>
      </c>
      <c r="P1915" t="s">
        <v>70</v>
      </c>
      <c r="Q1915" t="s">
        <v>56</v>
      </c>
      <c r="R1915">
        <v>1</v>
      </c>
      <c r="S1915" t="s">
        <v>37</v>
      </c>
      <c r="T1915" s="4">
        <f t="shared" si="148"/>
        <v>151854.48000000001</v>
      </c>
      <c r="U1915" s="4" t="str">
        <f t="shared" si="149"/>
        <v>Average</v>
      </c>
      <c r="V1915" s="4" t="str">
        <f t="shared" si="150"/>
        <v>Good</v>
      </c>
      <c r="W1915" s="4"/>
      <c r="X1915" s="4"/>
      <c r="AJ1915" s="4"/>
    </row>
    <row r="1916" spans="1:36">
      <c r="A1916" t="str">
        <f t="shared" si="146"/>
        <v>Pank231915</v>
      </c>
      <c r="B1916">
        <v>1915</v>
      </c>
      <c r="C1916">
        <v>7</v>
      </c>
      <c r="D1916">
        <v>4</v>
      </c>
      <c r="E1916">
        <v>2023</v>
      </c>
      <c r="F1916" s="1">
        <f t="shared" si="147"/>
        <v>45023</v>
      </c>
      <c r="G1916" s="1" t="s">
        <v>537</v>
      </c>
      <c r="H1916" s="2">
        <v>46392</v>
      </c>
      <c r="I1916" t="s">
        <v>38</v>
      </c>
      <c r="J1916">
        <v>8</v>
      </c>
      <c r="K1916">
        <v>28863.1</v>
      </c>
      <c r="L1916" t="s">
        <v>605</v>
      </c>
      <c r="M1916">
        <v>23</v>
      </c>
      <c r="N1916" t="s">
        <v>36</v>
      </c>
      <c r="O1916" s="3" t="s">
        <v>22</v>
      </c>
      <c r="P1916" t="s">
        <v>40</v>
      </c>
      <c r="Q1916" t="s">
        <v>24</v>
      </c>
      <c r="R1916">
        <v>4</v>
      </c>
      <c r="S1916" t="s">
        <v>99</v>
      </c>
      <c r="T1916" s="4">
        <f t="shared" si="148"/>
        <v>230904.8</v>
      </c>
      <c r="U1916" s="4" t="str">
        <f t="shared" si="149"/>
        <v>Good</v>
      </c>
      <c r="V1916" s="4" t="str">
        <f t="shared" si="150"/>
        <v>Excellent</v>
      </c>
      <c r="W1916" s="4"/>
      <c r="X1916" s="4"/>
      <c r="AJ1916" s="4"/>
    </row>
    <row r="1917" spans="1:36">
      <c r="A1917" t="str">
        <f t="shared" si="146"/>
        <v>Nikh271916</v>
      </c>
      <c r="B1917">
        <v>1916</v>
      </c>
      <c r="C1917">
        <v>7</v>
      </c>
      <c r="D1917">
        <v>4</v>
      </c>
      <c r="E1917">
        <v>2023</v>
      </c>
      <c r="F1917" s="1">
        <f t="shared" si="147"/>
        <v>45023</v>
      </c>
      <c r="G1917" s="1" t="s">
        <v>537</v>
      </c>
      <c r="H1917" s="2">
        <v>46393</v>
      </c>
      <c r="I1917" t="s">
        <v>38</v>
      </c>
      <c r="J1917">
        <v>3</v>
      </c>
      <c r="K1917">
        <v>58607.53</v>
      </c>
      <c r="L1917" t="s">
        <v>169</v>
      </c>
      <c r="M1917">
        <v>27</v>
      </c>
      <c r="N1917" t="s">
        <v>36</v>
      </c>
      <c r="O1917" s="3" t="s">
        <v>22</v>
      </c>
      <c r="P1917" t="s">
        <v>29</v>
      </c>
      <c r="Q1917" t="s">
        <v>24</v>
      </c>
      <c r="R1917">
        <v>4</v>
      </c>
      <c r="S1917" t="s">
        <v>99</v>
      </c>
      <c r="T1917" s="4">
        <f t="shared" si="148"/>
        <v>175822.59</v>
      </c>
      <c r="U1917" s="4" t="str">
        <f t="shared" si="149"/>
        <v>Good</v>
      </c>
      <c r="V1917" s="4" t="str">
        <f t="shared" si="150"/>
        <v>Good</v>
      </c>
      <c r="W1917" s="4"/>
      <c r="X1917" s="4"/>
      <c r="AJ1917" s="4"/>
    </row>
    <row r="1918" spans="1:36">
      <c r="A1918" t="str">
        <f t="shared" si="146"/>
        <v>Nikh191917</v>
      </c>
      <c r="B1918">
        <v>1917</v>
      </c>
      <c r="C1918">
        <v>7</v>
      </c>
      <c r="D1918">
        <v>4</v>
      </c>
      <c r="E1918">
        <v>2023</v>
      </c>
      <c r="F1918" s="1">
        <f t="shared" si="147"/>
        <v>45023</v>
      </c>
      <c r="G1918" s="1" t="s">
        <v>537</v>
      </c>
      <c r="H1918" s="2">
        <v>46394</v>
      </c>
      <c r="I1918" t="s">
        <v>49</v>
      </c>
      <c r="J1918">
        <v>9</v>
      </c>
      <c r="K1918">
        <v>25969.5</v>
      </c>
      <c r="L1918" t="s">
        <v>511</v>
      </c>
      <c r="M1918">
        <v>19</v>
      </c>
      <c r="N1918" t="s">
        <v>36</v>
      </c>
      <c r="O1918" s="3" t="s">
        <v>22</v>
      </c>
      <c r="P1918" t="s">
        <v>23</v>
      </c>
      <c r="Q1918" t="s">
        <v>24</v>
      </c>
      <c r="R1918">
        <v>5</v>
      </c>
      <c r="S1918" t="s">
        <v>102</v>
      </c>
      <c r="T1918" s="4">
        <f t="shared" si="148"/>
        <v>233725.5</v>
      </c>
      <c r="U1918" s="4" t="str">
        <f t="shared" si="149"/>
        <v>Good</v>
      </c>
      <c r="V1918" s="4" t="str">
        <f t="shared" si="150"/>
        <v>Excellent</v>
      </c>
      <c r="W1918" s="4"/>
      <c r="X1918" s="4"/>
      <c r="AJ1918" s="4"/>
    </row>
    <row r="1919" spans="1:36">
      <c r="A1919" t="str">
        <f t="shared" si="146"/>
        <v>Moni421918</v>
      </c>
      <c r="B1919">
        <v>1918</v>
      </c>
      <c r="C1919">
        <v>7</v>
      </c>
      <c r="D1919">
        <v>4</v>
      </c>
      <c r="E1919">
        <v>2023</v>
      </c>
      <c r="F1919" s="1">
        <f t="shared" si="147"/>
        <v>45023</v>
      </c>
      <c r="G1919" s="1" t="s">
        <v>537</v>
      </c>
      <c r="H1919" s="2">
        <v>46395</v>
      </c>
      <c r="I1919" t="s">
        <v>38</v>
      </c>
      <c r="J1919">
        <v>6</v>
      </c>
      <c r="K1919">
        <v>22907.24</v>
      </c>
      <c r="L1919" t="s">
        <v>946</v>
      </c>
      <c r="M1919">
        <v>42</v>
      </c>
      <c r="N1919" t="s">
        <v>21</v>
      </c>
      <c r="O1919" s="3" t="s">
        <v>22</v>
      </c>
      <c r="P1919" t="s">
        <v>23</v>
      </c>
      <c r="Q1919" t="s">
        <v>24</v>
      </c>
      <c r="R1919">
        <v>5</v>
      </c>
      <c r="S1919" t="s">
        <v>99</v>
      </c>
      <c r="T1919" s="4">
        <f t="shared" si="148"/>
        <v>137443.44</v>
      </c>
      <c r="U1919" s="4" t="str">
        <f t="shared" si="149"/>
        <v>Good</v>
      </c>
      <c r="V1919" s="4" t="str">
        <f t="shared" si="150"/>
        <v>Good</v>
      </c>
      <c r="W1919" s="4"/>
      <c r="X1919" s="4"/>
      <c r="AJ1919" s="4"/>
    </row>
    <row r="1920" spans="1:36">
      <c r="A1920" t="str">
        <f t="shared" si="146"/>
        <v>Priy241919</v>
      </c>
      <c r="B1920">
        <v>1919</v>
      </c>
      <c r="C1920">
        <v>8</v>
      </c>
      <c r="D1920">
        <v>4</v>
      </c>
      <c r="E1920">
        <v>2023</v>
      </c>
      <c r="F1920" s="1">
        <f t="shared" si="147"/>
        <v>45024</v>
      </c>
      <c r="G1920" s="1" t="s">
        <v>537</v>
      </c>
      <c r="H1920" s="2">
        <v>46396</v>
      </c>
      <c r="I1920" t="s">
        <v>38</v>
      </c>
      <c r="J1920">
        <v>7</v>
      </c>
      <c r="K1920">
        <v>59522.68</v>
      </c>
      <c r="L1920" t="s">
        <v>435</v>
      </c>
      <c r="M1920">
        <v>24</v>
      </c>
      <c r="N1920" t="s">
        <v>36</v>
      </c>
      <c r="O1920" s="3" t="s">
        <v>22</v>
      </c>
      <c r="P1920" t="s">
        <v>132</v>
      </c>
      <c r="Q1920" t="s">
        <v>24</v>
      </c>
      <c r="R1920">
        <v>4</v>
      </c>
      <c r="S1920" t="s">
        <v>48</v>
      </c>
      <c r="T1920" s="4">
        <f t="shared" si="148"/>
        <v>416658.76</v>
      </c>
      <c r="U1920" s="4" t="str">
        <f t="shared" si="149"/>
        <v>Good</v>
      </c>
      <c r="V1920" s="4" t="str">
        <f t="shared" si="150"/>
        <v>Excellent</v>
      </c>
      <c r="W1920" s="4"/>
      <c r="X1920" s="4"/>
      <c r="AJ1920" s="4"/>
    </row>
    <row r="1921" spans="1:36">
      <c r="A1921" t="str">
        <f t="shared" si="146"/>
        <v>Neet571920</v>
      </c>
      <c r="B1921">
        <v>1920</v>
      </c>
      <c r="C1921">
        <v>8</v>
      </c>
      <c r="D1921">
        <v>4</v>
      </c>
      <c r="E1921">
        <v>2023</v>
      </c>
      <c r="F1921" s="1">
        <f t="shared" si="147"/>
        <v>45024</v>
      </c>
      <c r="G1921" s="1" t="s">
        <v>537</v>
      </c>
      <c r="H1921" s="2">
        <v>46397</v>
      </c>
      <c r="I1921" t="s">
        <v>26</v>
      </c>
      <c r="J1921">
        <v>4</v>
      </c>
      <c r="K1921">
        <v>69224.94</v>
      </c>
      <c r="L1921" t="s">
        <v>858</v>
      </c>
      <c r="M1921">
        <v>57</v>
      </c>
      <c r="N1921" t="s">
        <v>61</v>
      </c>
      <c r="O1921" s="3" t="s">
        <v>22</v>
      </c>
      <c r="P1921" t="s">
        <v>90</v>
      </c>
      <c r="Q1921" t="s">
        <v>41</v>
      </c>
      <c r="R1921">
        <v>4</v>
      </c>
      <c r="S1921" t="s">
        <v>31</v>
      </c>
      <c r="T1921" s="4">
        <f t="shared" si="148"/>
        <v>276899.76</v>
      </c>
      <c r="U1921" s="4" t="str">
        <f t="shared" si="149"/>
        <v>Good</v>
      </c>
      <c r="V1921" s="4" t="str">
        <f t="shared" si="150"/>
        <v>Excellent</v>
      </c>
      <c r="W1921" s="4"/>
      <c r="X1921" s="4"/>
      <c r="AJ1921" s="4"/>
    </row>
    <row r="1922" spans="1:36">
      <c r="A1922" t="str">
        <f t="shared" ref="A1922:A1985" si="151">LEFT(L1922,4)&amp;M1922&amp;B1922</f>
        <v>Adit401921</v>
      </c>
      <c r="B1922">
        <v>1921</v>
      </c>
      <c r="C1922">
        <v>8</v>
      </c>
      <c r="D1922">
        <v>4</v>
      </c>
      <c r="E1922">
        <v>2023</v>
      </c>
      <c r="F1922" s="1">
        <f t="shared" si="147"/>
        <v>45024</v>
      </c>
      <c r="G1922" s="1" t="s">
        <v>537</v>
      </c>
      <c r="H1922" s="2">
        <v>46398</v>
      </c>
      <c r="I1922" t="s">
        <v>49</v>
      </c>
      <c r="J1922">
        <v>4</v>
      </c>
      <c r="K1922">
        <v>43412.84</v>
      </c>
      <c r="L1922" t="s">
        <v>602</v>
      </c>
      <c r="M1922">
        <v>40</v>
      </c>
      <c r="N1922" t="s">
        <v>21</v>
      </c>
      <c r="O1922" s="3" t="s">
        <v>22</v>
      </c>
      <c r="P1922" t="s">
        <v>23</v>
      </c>
      <c r="Q1922" t="s">
        <v>24</v>
      </c>
      <c r="R1922">
        <v>4</v>
      </c>
      <c r="S1922" t="s">
        <v>102</v>
      </c>
      <c r="T1922" s="4">
        <f t="shared" si="148"/>
        <v>173651.36</v>
      </c>
      <c r="U1922" s="4" t="str">
        <f t="shared" si="149"/>
        <v>Good</v>
      </c>
      <c r="V1922" s="4" t="str">
        <f t="shared" si="150"/>
        <v>Good</v>
      </c>
      <c r="W1922" s="4"/>
      <c r="X1922" s="4"/>
      <c r="AJ1922" s="4"/>
    </row>
    <row r="1923" spans="1:36">
      <c r="A1923" t="str">
        <f t="shared" si="151"/>
        <v>Rame281922</v>
      </c>
      <c r="B1923">
        <v>1922</v>
      </c>
      <c r="C1923">
        <v>9</v>
      </c>
      <c r="D1923">
        <v>4</v>
      </c>
      <c r="E1923">
        <v>2023</v>
      </c>
      <c r="F1923" s="1">
        <f t="shared" ref="F1923:F1986" si="152">DATE(E1923,D1923,C1923)</f>
        <v>45025</v>
      </c>
      <c r="G1923" s="1" t="s">
        <v>537</v>
      </c>
      <c r="H1923" s="2">
        <v>46399</v>
      </c>
      <c r="I1923" t="s">
        <v>43</v>
      </c>
      <c r="J1923">
        <v>2</v>
      </c>
      <c r="K1923">
        <v>26682.92</v>
      </c>
      <c r="L1923" t="s">
        <v>456</v>
      </c>
      <c r="M1923">
        <v>28</v>
      </c>
      <c r="N1923" t="s">
        <v>36</v>
      </c>
      <c r="O1923" s="3" t="s">
        <v>55</v>
      </c>
      <c r="P1923" t="s">
        <v>137</v>
      </c>
      <c r="Q1923" t="s">
        <v>24</v>
      </c>
      <c r="R1923">
        <v>1</v>
      </c>
      <c r="S1923" t="s">
        <v>46</v>
      </c>
      <c r="T1923" s="4">
        <f t="shared" ref="T1923:T1986" si="153">J1923*K1923</f>
        <v>53365.84</v>
      </c>
      <c r="U1923" s="4" t="str">
        <f t="shared" ref="U1923:U1986" si="154">IF(R1923&gt;=4,"Good","Average")</f>
        <v>Average</v>
      </c>
      <c r="V1923" s="4" t="str">
        <f t="shared" ref="V1923:V1986" si="155">IF(T1923&gt;200000,"Excellent",IF(T1923&gt;100000,"Good",IF(T1923&gt;50000,"Average","Low")))</f>
        <v>Average</v>
      </c>
      <c r="W1923" s="4"/>
      <c r="X1923" s="4"/>
      <c r="AJ1923" s="4"/>
    </row>
    <row r="1924" spans="1:36">
      <c r="A1924" t="str">
        <f t="shared" si="151"/>
        <v>Sanj531923</v>
      </c>
      <c r="B1924">
        <v>1923</v>
      </c>
      <c r="C1924">
        <v>9</v>
      </c>
      <c r="D1924">
        <v>4</v>
      </c>
      <c r="E1924">
        <v>2023</v>
      </c>
      <c r="F1924" s="1">
        <f t="shared" si="152"/>
        <v>45025</v>
      </c>
      <c r="G1924" s="1" t="s">
        <v>537</v>
      </c>
      <c r="H1924" s="2">
        <v>46400</v>
      </c>
      <c r="I1924" t="s">
        <v>19</v>
      </c>
      <c r="J1924">
        <v>5</v>
      </c>
      <c r="K1924">
        <v>33913.96</v>
      </c>
      <c r="L1924" t="s">
        <v>808</v>
      </c>
      <c r="M1924">
        <v>53</v>
      </c>
      <c r="N1924" t="s">
        <v>61</v>
      </c>
      <c r="O1924" s="3" t="s">
        <v>22</v>
      </c>
      <c r="P1924" t="s">
        <v>29</v>
      </c>
      <c r="Q1924" t="s">
        <v>24</v>
      </c>
      <c r="R1924">
        <v>5</v>
      </c>
      <c r="S1924" t="s">
        <v>37</v>
      </c>
      <c r="T1924" s="4">
        <f t="shared" si="153"/>
        <v>169569.8</v>
      </c>
      <c r="U1924" s="4" t="str">
        <f t="shared" si="154"/>
        <v>Good</v>
      </c>
      <c r="V1924" s="4" t="str">
        <f t="shared" si="155"/>
        <v>Good</v>
      </c>
      <c r="W1924" s="4"/>
      <c r="X1924" s="4"/>
      <c r="AJ1924" s="4"/>
    </row>
    <row r="1925" spans="1:36">
      <c r="A1925" t="str">
        <f t="shared" si="151"/>
        <v>Vija401924</v>
      </c>
      <c r="B1925">
        <v>1924</v>
      </c>
      <c r="C1925">
        <v>9</v>
      </c>
      <c r="D1925">
        <v>4</v>
      </c>
      <c r="E1925">
        <v>2023</v>
      </c>
      <c r="F1925" s="1">
        <f t="shared" si="152"/>
        <v>45025</v>
      </c>
      <c r="G1925" s="1" t="s">
        <v>537</v>
      </c>
      <c r="H1925" s="2">
        <v>46401</v>
      </c>
      <c r="I1925" t="s">
        <v>38</v>
      </c>
      <c r="J1925">
        <v>8</v>
      </c>
      <c r="K1925">
        <v>20207.82</v>
      </c>
      <c r="L1925" t="s">
        <v>362</v>
      </c>
      <c r="M1925">
        <v>40</v>
      </c>
      <c r="N1925" t="s">
        <v>21</v>
      </c>
      <c r="O1925" s="3" t="s">
        <v>22</v>
      </c>
      <c r="P1925" t="s">
        <v>29</v>
      </c>
      <c r="Q1925" t="s">
        <v>56</v>
      </c>
      <c r="R1925">
        <v>5</v>
      </c>
      <c r="S1925" t="s">
        <v>99</v>
      </c>
      <c r="T1925" s="4">
        <f t="shared" si="153"/>
        <v>161662.56</v>
      </c>
      <c r="U1925" s="4" t="str">
        <f t="shared" si="154"/>
        <v>Good</v>
      </c>
      <c r="V1925" s="4" t="str">
        <f t="shared" si="155"/>
        <v>Good</v>
      </c>
      <c r="W1925" s="4"/>
      <c r="X1925" s="4"/>
      <c r="AJ1925" s="4"/>
    </row>
    <row r="1926" spans="1:36">
      <c r="A1926" t="str">
        <f t="shared" si="151"/>
        <v>Pooj241925</v>
      </c>
      <c r="B1926">
        <v>1925</v>
      </c>
      <c r="C1926">
        <v>9</v>
      </c>
      <c r="D1926">
        <v>4</v>
      </c>
      <c r="E1926">
        <v>2023</v>
      </c>
      <c r="F1926" s="1">
        <f t="shared" si="152"/>
        <v>45025</v>
      </c>
      <c r="G1926" s="1" t="s">
        <v>537</v>
      </c>
      <c r="H1926" s="2">
        <v>46402</v>
      </c>
      <c r="I1926" t="s">
        <v>19</v>
      </c>
      <c r="J1926">
        <v>7</v>
      </c>
      <c r="K1926">
        <v>55713.24</v>
      </c>
      <c r="L1926" t="s">
        <v>222</v>
      </c>
      <c r="M1926">
        <v>24</v>
      </c>
      <c r="N1926" t="s">
        <v>36</v>
      </c>
      <c r="O1926" s="3" t="s">
        <v>22</v>
      </c>
      <c r="P1926" t="s">
        <v>90</v>
      </c>
      <c r="Q1926" t="s">
        <v>56</v>
      </c>
      <c r="R1926">
        <v>4</v>
      </c>
      <c r="S1926" t="s">
        <v>25</v>
      </c>
      <c r="T1926" s="4">
        <f t="shared" si="153"/>
        <v>389992.68</v>
      </c>
      <c r="U1926" s="4" t="str">
        <f t="shared" si="154"/>
        <v>Good</v>
      </c>
      <c r="V1926" s="4" t="str">
        <f t="shared" si="155"/>
        <v>Excellent</v>
      </c>
      <c r="W1926" s="4"/>
      <c r="X1926" s="4"/>
      <c r="AJ1926" s="4"/>
    </row>
    <row r="1927" spans="1:36">
      <c r="A1927" t="str">
        <f t="shared" si="151"/>
        <v>Pank441926</v>
      </c>
      <c r="B1927">
        <v>1926</v>
      </c>
      <c r="C1927">
        <v>10</v>
      </c>
      <c r="D1927">
        <v>4</v>
      </c>
      <c r="E1927">
        <v>2023</v>
      </c>
      <c r="F1927" s="1">
        <f t="shared" si="152"/>
        <v>45026</v>
      </c>
      <c r="G1927" s="1" t="s">
        <v>537</v>
      </c>
      <c r="H1927" s="2">
        <v>46403</v>
      </c>
      <c r="I1927" t="s">
        <v>43</v>
      </c>
      <c r="J1927">
        <v>7</v>
      </c>
      <c r="K1927">
        <v>56408.44</v>
      </c>
      <c r="L1927" t="s">
        <v>186</v>
      </c>
      <c r="M1927">
        <v>44</v>
      </c>
      <c r="N1927" t="s">
        <v>21</v>
      </c>
      <c r="O1927" s="3" t="s">
        <v>22</v>
      </c>
      <c r="P1927" t="s">
        <v>33</v>
      </c>
      <c r="Q1927" t="s">
        <v>41</v>
      </c>
      <c r="R1927">
        <v>5</v>
      </c>
      <c r="S1927" t="s">
        <v>95</v>
      </c>
      <c r="T1927" s="4">
        <f t="shared" si="153"/>
        <v>394859.08</v>
      </c>
      <c r="U1927" s="4" t="str">
        <f t="shared" si="154"/>
        <v>Good</v>
      </c>
      <c r="V1927" s="4" t="str">
        <f t="shared" si="155"/>
        <v>Excellent</v>
      </c>
      <c r="W1927" s="4"/>
      <c r="X1927" s="4"/>
      <c r="AJ1927" s="4"/>
    </row>
    <row r="1928" spans="1:36">
      <c r="A1928" t="str">
        <f t="shared" si="151"/>
        <v>Sumi301927</v>
      </c>
      <c r="B1928">
        <v>1927</v>
      </c>
      <c r="C1928">
        <v>10</v>
      </c>
      <c r="D1928">
        <v>4</v>
      </c>
      <c r="E1928">
        <v>2023</v>
      </c>
      <c r="F1928" s="1">
        <f t="shared" si="152"/>
        <v>45026</v>
      </c>
      <c r="G1928" s="1" t="s">
        <v>537</v>
      </c>
      <c r="H1928" s="2">
        <v>46404</v>
      </c>
      <c r="I1928" t="s">
        <v>19</v>
      </c>
      <c r="J1928">
        <v>6</v>
      </c>
      <c r="K1928">
        <v>62507.26</v>
      </c>
      <c r="L1928" t="s">
        <v>645</v>
      </c>
      <c r="M1928">
        <v>30</v>
      </c>
      <c r="N1928" t="s">
        <v>36</v>
      </c>
      <c r="O1928" s="3" t="s">
        <v>22</v>
      </c>
      <c r="P1928" t="s">
        <v>70</v>
      </c>
      <c r="Q1928" t="s">
        <v>24</v>
      </c>
      <c r="R1928">
        <v>4</v>
      </c>
      <c r="S1928" t="s">
        <v>37</v>
      </c>
      <c r="T1928" s="4">
        <f t="shared" si="153"/>
        <v>375043.56</v>
      </c>
      <c r="U1928" s="4" t="str">
        <f t="shared" si="154"/>
        <v>Good</v>
      </c>
      <c r="V1928" s="4" t="str">
        <f t="shared" si="155"/>
        <v>Excellent</v>
      </c>
      <c r="W1928" s="4"/>
      <c r="X1928" s="4"/>
      <c r="AJ1928" s="4"/>
    </row>
    <row r="1929" spans="1:36">
      <c r="A1929" t="str">
        <f t="shared" si="151"/>
        <v>Priy341928</v>
      </c>
      <c r="B1929">
        <v>1928</v>
      </c>
      <c r="C1929">
        <v>10</v>
      </c>
      <c r="D1929">
        <v>4</v>
      </c>
      <c r="E1929">
        <v>2023</v>
      </c>
      <c r="F1929" s="1">
        <f t="shared" si="152"/>
        <v>45026</v>
      </c>
      <c r="G1929" s="1" t="s">
        <v>537</v>
      </c>
      <c r="H1929" s="2">
        <v>46405</v>
      </c>
      <c r="I1929" t="s">
        <v>43</v>
      </c>
      <c r="J1929">
        <v>3</v>
      </c>
      <c r="K1929">
        <v>11596.15</v>
      </c>
      <c r="L1929" t="s">
        <v>947</v>
      </c>
      <c r="M1929">
        <v>34</v>
      </c>
      <c r="N1929" t="s">
        <v>21</v>
      </c>
      <c r="O1929" s="3" t="s">
        <v>55</v>
      </c>
      <c r="P1929" t="s">
        <v>59</v>
      </c>
      <c r="Q1929" t="s">
        <v>24</v>
      </c>
      <c r="R1929">
        <v>1</v>
      </c>
      <c r="S1929" t="s">
        <v>46</v>
      </c>
      <c r="T1929" s="4">
        <f t="shared" si="153"/>
        <v>34788.449999999997</v>
      </c>
      <c r="U1929" s="4" t="str">
        <f t="shared" si="154"/>
        <v>Average</v>
      </c>
      <c r="V1929" s="4" t="str">
        <f t="shared" si="155"/>
        <v>Low</v>
      </c>
      <c r="W1929" s="4"/>
      <c r="X1929" s="4"/>
      <c r="AJ1929" s="4"/>
    </row>
    <row r="1930" spans="1:36">
      <c r="A1930" t="str">
        <f t="shared" si="151"/>
        <v>Isha491929</v>
      </c>
      <c r="B1930">
        <v>1929</v>
      </c>
      <c r="C1930">
        <v>10</v>
      </c>
      <c r="D1930">
        <v>4</v>
      </c>
      <c r="E1930">
        <v>2023</v>
      </c>
      <c r="F1930" s="1">
        <f t="shared" si="152"/>
        <v>45026</v>
      </c>
      <c r="G1930" s="1" t="s">
        <v>537</v>
      </c>
      <c r="H1930" s="2">
        <v>46406</v>
      </c>
      <c r="I1930" t="s">
        <v>26</v>
      </c>
      <c r="J1930">
        <v>5</v>
      </c>
      <c r="K1930">
        <v>43718.879999999997</v>
      </c>
      <c r="L1930" t="s">
        <v>821</v>
      </c>
      <c r="M1930">
        <v>49</v>
      </c>
      <c r="N1930" t="s">
        <v>61</v>
      </c>
      <c r="O1930" s="3" t="s">
        <v>22</v>
      </c>
      <c r="P1930" t="s">
        <v>150</v>
      </c>
      <c r="Q1930" t="s">
        <v>30</v>
      </c>
      <c r="R1930">
        <v>4</v>
      </c>
      <c r="S1930" t="s">
        <v>31</v>
      </c>
      <c r="T1930" s="4">
        <f t="shared" si="153"/>
        <v>218594.4</v>
      </c>
      <c r="U1930" s="4" t="str">
        <f t="shared" si="154"/>
        <v>Good</v>
      </c>
      <c r="V1930" s="4" t="str">
        <f t="shared" si="155"/>
        <v>Excellent</v>
      </c>
      <c r="W1930" s="4"/>
      <c r="X1930" s="4"/>
      <c r="AJ1930" s="4"/>
    </row>
    <row r="1931" spans="1:36">
      <c r="A1931" t="str">
        <f t="shared" si="151"/>
        <v>Isha431930</v>
      </c>
      <c r="B1931">
        <v>1930</v>
      </c>
      <c r="C1931">
        <v>11</v>
      </c>
      <c r="D1931">
        <v>4</v>
      </c>
      <c r="E1931">
        <v>2023</v>
      </c>
      <c r="F1931" s="1">
        <f t="shared" si="152"/>
        <v>45027</v>
      </c>
      <c r="G1931" s="1" t="s">
        <v>537</v>
      </c>
      <c r="H1931" s="2">
        <v>46407</v>
      </c>
      <c r="I1931" t="s">
        <v>38</v>
      </c>
      <c r="J1931">
        <v>1</v>
      </c>
      <c r="K1931">
        <v>22855.33</v>
      </c>
      <c r="L1931" t="s">
        <v>948</v>
      </c>
      <c r="M1931">
        <v>43</v>
      </c>
      <c r="N1931" t="s">
        <v>21</v>
      </c>
      <c r="O1931" s="3" t="s">
        <v>55</v>
      </c>
      <c r="P1931" t="s">
        <v>64</v>
      </c>
      <c r="Q1931" t="s">
        <v>56</v>
      </c>
      <c r="R1931">
        <v>2</v>
      </c>
      <c r="S1931" t="s">
        <v>48</v>
      </c>
      <c r="T1931" s="4">
        <f t="shared" si="153"/>
        <v>22855.33</v>
      </c>
      <c r="U1931" s="4" t="str">
        <f t="shared" si="154"/>
        <v>Average</v>
      </c>
      <c r="V1931" s="4" t="str">
        <f t="shared" si="155"/>
        <v>Low</v>
      </c>
      <c r="W1931" s="4"/>
      <c r="X1931" s="4"/>
      <c r="AJ1931" s="4"/>
    </row>
    <row r="1932" spans="1:36">
      <c r="A1932" t="str">
        <f t="shared" si="151"/>
        <v>Meen391931</v>
      </c>
      <c r="B1932">
        <v>1931</v>
      </c>
      <c r="C1932">
        <v>11</v>
      </c>
      <c r="D1932">
        <v>4</v>
      </c>
      <c r="E1932">
        <v>2023</v>
      </c>
      <c r="F1932" s="1">
        <f t="shared" si="152"/>
        <v>45027</v>
      </c>
      <c r="G1932" s="1" t="s">
        <v>537</v>
      </c>
      <c r="H1932" s="2">
        <v>46408</v>
      </c>
      <c r="I1932" t="s">
        <v>43</v>
      </c>
      <c r="J1932">
        <v>7</v>
      </c>
      <c r="K1932">
        <v>30452.98</v>
      </c>
      <c r="L1932" t="s">
        <v>682</v>
      </c>
      <c r="M1932">
        <v>39</v>
      </c>
      <c r="N1932" t="s">
        <v>21</v>
      </c>
      <c r="O1932" s="3" t="s">
        <v>55</v>
      </c>
      <c r="P1932" t="s">
        <v>114</v>
      </c>
      <c r="Q1932" t="s">
        <v>30</v>
      </c>
      <c r="R1932">
        <v>2</v>
      </c>
      <c r="S1932" t="s">
        <v>46</v>
      </c>
      <c r="T1932" s="4">
        <f t="shared" si="153"/>
        <v>213170.86</v>
      </c>
      <c r="U1932" s="4" t="str">
        <f t="shared" si="154"/>
        <v>Average</v>
      </c>
      <c r="V1932" s="4" t="str">
        <f t="shared" si="155"/>
        <v>Excellent</v>
      </c>
      <c r="W1932" s="4"/>
      <c r="X1932" s="4"/>
      <c r="AJ1932" s="4"/>
    </row>
    <row r="1933" spans="1:36">
      <c r="A1933" t="str">
        <f t="shared" si="151"/>
        <v>Priy301932</v>
      </c>
      <c r="B1933">
        <v>1932</v>
      </c>
      <c r="C1933">
        <v>11</v>
      </c>
      <c r="D1933">
        <v>4</v>
      </c>
      <c r="E1933">
        <v>2023</v>
      </c>
      <c r="F1933" s="1">
        <f t="shared" si="152"/>
        <v>45027</v>
      </c>
      <c r="G1933" s="1" t="s">
        <v>537</v>
      </c>
      <c r="H1933" s="2">
        <v>46409</v>
      </c>
      <c r="I1933" t="s">
        <v>19</v>
      </c>
      <c r="J1933">
        <v>9</v>
      </c>
      <c r="K1933">
        <v>57097.34</v>
      </c>
      <c r="L1933" t="s">
        <v>317</v>
      </c>
      <c r="M1933">
        <v>30</v>
      </c>
      <c r="N1933" t="s">
        <v>36</v>
      </c>
      <c r="O1933" s="3" t="s">
        <v>22</v>
      </c>
      <c r="P1933" t="s">
        <v>40</v>
      </c>
      <c r="Q1933" t="s">
        <v>24</v>
      </c>
      <c r="R1933">
        <v>4</v>
      </c>
      <c r="S1933" t="s">
        <v>84</v>
      </c>
      <c r="T1933" s="4">
        <f t="shared" si="153"/>
        <v>513876.05999999994</v>
      </c>
      <c r="U1933" s="4" t="str">
        <f t="shared" si="154"/>
        <v>Good</v>
      </c>
      <c r="V1933" s="4" t="str">
        <f t="shared" si="155"/>
        <v>Excellent</v>
      </c>
      <c r="W1933" s="4"/>
      <c r="X1933" s="4"/>
      <c r="AJ1933" s="4"/>
    </row>
    <row r="1934" spans="1:36">
      <c r="A1934" t="str">
        <f t="shared" si="151"/>
        <v>Sach291933</v>
      </c>
      <c r="B1934">
        <v>1933</v>
      </c>
      <c r="C1934">
        <v>12</v>
      </c>
      <c r="D1934">
        <v>4</v>
      </c>
      <c r="E1934">
        <v>2023</v>
      </c>
      <c r="F1934" s="1">
        <f t="shared" si="152"/>
        <v>45028</v>
      </c>
      <c r="G1934" s="1" t="s">
        <v>537</v>
      </c>
      <c r="H1934" s="2">
        <v>46410</v>
      </c>
      <c r="I1934" t="s">
        <v>38</v>
      </c>
      <c r="J1934">
        <v>1</v>
      </c>
      <c r="K1934">
        <v>21522.02</v>
      </c>
      <c r="L1934" t="s">
        <v>595</v>
      </c>
      <c r="M1934">
        <v>29</v>
      </c>
      <c r="N1934" t="s">
        <v>36</v>
      </c>
      <c r="O1934" s="3" t="s">
        <v>55</v>
      </c>
      <c r="P1934" t="s">
        <v>29</v>
      </c>
      <c r="Q1934" t="s">
        <v>24</v>
      </c>
      <c r="R1934">
        <v>2</v>
      </c>
      <c r="S1934" t="s">
        <v>48</v>
      </c>
      <c r="T1934" s="4">
        <f t="shared" si="153"/>
        <v>21522.02</v>
      </c>
      <c r="U1934" s="4" t="str">
        <f t="shared" si="154"/>
        <v>Average</v>
      </c>
      <c r="V1934" s="4" t="str">
        <f t="shared" si="155"/>
        <v>Low</v>
      </c>
      <c r="W1934" s="4"/>
      <c r="X1934" s="4"/>
      <c r="AJ1934" s="4"/>
    </row>
    <row r="1935" spans="1:36">
      <c r="A1935" t="str">
        <f t="shared" si="151"/>
        <v>Meen241934</v>
      </c>
      <c r="B1935">
        <v>1934</v>
      </c>
      <c r="C1935">
        <v>12</v>
      </c>
      <c r="D1935">
        <v>4</v>
      </c>
      <c r="E1935">
        <v>2023</v>
      </c>
      <c r="F1935" s="1">
        <f t="shared" si="152"/>
        <v>45028</v>
      </c>
      <c r="G1935" s="1" t="s">
        <v>537</v>
      </c>
      <c r="H1935" s="2">
        <v>46411</v>
      </c>
      <c r="I1935" t="s">
        <v>26</v>
      </c>
      <c r="J1935">
        <v>2</v>
      </c>
      <c r="K1935">
        <v>48300.51</v>
      </c>
      <c r="L1935" t="s">
        <v>771</v>
      </c>
      <c r="M1935">
        <v>24</v>
      </c>
      <c r="N1935" t="s">
        <v>36</v>
      </c>
      <c r="O1935" s="3" t="s">
        <v>55</v>
      </c>
      <c r="P1935" t="s">
        <v>51</v>
      </c>
      <c r="Q1935" t="s">
        <v>30</v>
      </c>
      <c r="R1935">
        <v>2</v>
      </c>
      <c r="S1935" t="s">
        <v>31</v>
      </c>
      <c r="T1935" s="4">
        <f t="shared" si="153"/>
        <v>96601.02</v>
      </c>
      <c r="U1935" s="4" t="str">
        <f t="shared" si="154"/>
        <v>Average</v>
      </c>
      <c r="V1935" s="4" t="str">
        <f t="shared" si="155"/>
        <v>Average</v>
      </c>
      <c r="W1935" s="4"/>
      <c r="X1935" s="4"/>
      <c r="AJ1935" s="4"/>
    </row>
    <row r="1936" spans="1:36">
      <c r="A1936" t="str">
        <f t="shared" si="151"/>
        <v>Moni181935</v>
      </c>
      <c r="B1936">
        <v>1935</v>
      </c>
      <c r="C1936">
        <v>12</v>
      </c>
      <c r="D1936">
        <v>4</v>
      </c>
      <c r="E1936">
        <v>2023</v>
      </c>
      <c r="F1936" s="1">
        <f t="shared" si="152"/>
        <v>45028</v>
      </c>
      <c r="G1936" s="1" t="s">
        <v>537</v>
      </c>
      <c r="H1936" s="2">
        <v>46412</v>
      </c>
      <c r="I1936" t="s">
        <v>38</v>
      </c>
      <c r="J1936">
        <v>3</v>
      </c>
      <c r="K1936">
        <v>49273.97</v>
      </c>
      <c r="L1936" t="s">
        <v>744</v>
      </c>
      <c r="M1936">
        <v>18</v>
      </c>
      <c r="N1936" t="s">
        <v>36</v>
      </c>
      <c r="O1936" s="3" t="s">
        <v>22</v>
      </c>
      <c r="P1936" t="s">
        <v>51</v>
      </c>
      <c r="Q1936" t="s">
        <v>41</v>
      </c>
      <c r="R1936">
        <v>5</v>
      </c>
      <c r="S1936" t="s">
        <v>42</v>
      </c>
      <c r="T1936" s="4">
        <f t="shared" si="153"/>
        <v>147821.91</v>
      </c>
      <c r="U1936" s="4" t="str">
        <f t="shared" si="154"/>
        <v>Good</v>
      </c>
      <c r="V1936" s="4" t="str">
        <f t="shared" si="155"/>
        <v>Good</v>
      </c>
      <c r="W1936" s="4"/>
      <c r="X1936" s="4"/>
      <c r="AJ1936" s="4"/>
    </row>
    <row r="1937" spans="1:36">
      <c r="A1937" t="str">
        <f t="shared" si="151"/>
        <v>Mano501936</v>
      </c>
      <c r="B1937">
        <v>1936</v>
      </c>
      <c r="C1937">
        <v>13</v>
      </c>
      <c r="D1937">
        <v>4</v>
      </c>
      <c r="E1937">
        <v>2023</v>
      </c>
      <c r="F1937" s="1">
        <f t="shared" si="152"/>
        <v>45029</v>
      </c>
      <c r="G1937" s="1" t="s">
        <v>537</v>
      </c>
      <c r="H1937" s="2">
        <v>46413</v>
      </c>
      <c r="I1937" t="s">
        <v>43</v>
      </c>
      <c r="J1937">
        <v>3</v>
      </c>
      <c r="K1937">
        <v>67245.63</v>
      </c>
      <c r="L1937" t="s">
        <v>797</v>
      </c>
      <c r="M1937">
        <v>50</v>
      </c>
      <c r="N1937" t="s">
        <v>61</v>
      </c>
      <c r="O1937" s="3" t="s">
        <v>55</v>
      </c>
      <c r="P1937" t="s">
        <v>29</v>
      </c>
      <c r="Q1937" t="s">
        <v>41</v>
      </c>
      <c r="R1937">
        <v>1</v>
      </c>
      <c r="S1937" t="s">
        <v>46</v>
      </c>
      <c r="T1937" s="4">
        <f t="shared" si="153"/>
        <v>201736.89</v>
      </c>
      <c r="U1937" s="4" t="str">
        <f t="shared" si="154"/>
        <v>Average</v>
      </c>
      <c r="V1937" s="4" t="str">
        <f t="shared" si="155"/>
        <v>Excellent</v>
      </c>
      <c r="W1937" s="4"/>
      <c r="X1937" s="4"/>
      <c r="AJ1937" s="4"/>
    </row>
    <row r="1938" spans="1:36">
      <c r="A1938" t="str">
        <f t="shared" si="151"/>
        <v>Mano311937</v>
      </c>
      <c r="B1938">
        <v>1937</v>
      </c>
      <c r="C1938">
        <v>13</v>
      </c>
      <c r="D1938">
        <v>4</v>
      </c>
      <c r="E1938">
        <v>2023</v>
      </c>
      <c r="F1938" s="1">
        <f t="shared" si="152"/>
        <v>45029</v>
      </c>
      <c r="G1938" s="1" t="s">
        <v>537</v>
      </c>
      <c r="H1938" s="2">
        <v>46414</v>
      </c>
      <c r="I1938" t="s">
        <v>26</v>
      </c>
      <c r="J1938">
        <v>8</v>
      </c>
      <c r="K1938">
        <v>56509.66</v>
      </c>
      <c r="L1938" t="s">
        <v>279</v>
      </c>
      <c r="M1938">
        <v>31</v>
      </c>
      <c r="N1938" t="s">
        <v>21</v>
      </c>
      <c r="O1938" s="3" t="s">
        <v>22</v>
      </c>
      <c r="P1938" t="s">
        <v>93</v>
      </c>
      <c r="Q1938" t="s">
        <v>30</v>
      </c>
      <c r="R1938">
        <v>5</v>
      </c>
      <c r="S1938" t="s">
        <v>31</v>
      </c>
      <c r="T1938" s="4">
        <f t="shared" si="153"/>
        <v>452077.28</v>
      </c>
      <c r="U1938" s="4" t="str">
        <f t="shared" si="154"/>
        <v>Good</v>
      </c>
      <c r="V1938" s="4" t="str">
        <f t="shared" si="155"/>
        <v>Excellent</v>
      </c>
      <c r="W1938" s="4"/>
      <c r="X1938" s="4"/>
      <c r="AJ1938" s="4"/>
    </row>
    <row r="1939" spans="1:36">
      <c r="A1939" t="str">
        <f t="shared" si="151"/>
        <v>Priy581938</v>
      </c>
      <c r="B1939">
        <v>1938</v>
      </c>
      <c r="C1939">
        <v>13</v>
      </c>
      <c r="D1939">
        <v>4</v>
      </c>
      <c r="E1939">
        <v>2023</v>
      </c>
      <c r="F1939" s="1">
        <f t="shared" si="152"/>
        <v>45029</v>
      </c>
      <c r="G1939" s="1" t="s">
        <v>537</v>
      </c>
      <c r="H1939" s="2">
        <v>46415</v>
      </c>
      <c r="I1939" t="s">
        <v>19</v>
      </c>
      <c r="J1939">
        <v>7</v>
      </c>
      <c r="K1939">
        <v>58218.11</v>
      </c>
      <c r="L1939" t="s">
        <v>673</v>
      </c>
      <c r="M1939">
        <v>58</v>
      </c>
      <c r="N1939" t="s">
        <v>61</v>
      </c>
      <c r="O1939" s="3" t="s">
        <v>55</v>
      </c>
      <c r="P1939" t="s">
        <v>117</v>
      </c>
      <c r="Q1939" t="s">
        <v>24</v>
      </c>
      <c r="R1939">
        <v>1</v>
      </c>
      <c r="S1939" t="s">
        <v>25</v>
      </c>
      <c r="T1939" s="4">
        <f t="shared" si="153"/>
        <v>407526.77</v>
      </c>
      <c r="U1939" s="4" t="str">
        <f t="shared" si="154"/>
        <v>Average</v>
      </c>
      <c r="V1939" s="4" t="str">
        <f t="shared" si="155"/>
        <v>Excellent</v>
      </c>
      <c r="W1939" s="4"/>
      <c r="X1939" s="4"/>
      <c r="AJ1939" s="4"/>
    </row>
    <row r="1940" spans="1:36">
      <c r="A1940" t="str">
        <f t="shared" si="151"/>
        <v>Deep341939</v>
      </c>
      <c r="B1940">
        <v>1939</v>
      </c>
      <c r="C1940">
        <v>13</v>
      </c>
      <c r="D1940">
        <v>4</v>
      </c>
      <c r="E1940">
        <v>2023</v>
      </c>
      <c r="F1940" s="1">
        <f t="shared" si="152"/>
        <v>45029</v>
      </c>
      <c r="G1940" s="1" t="s">
        <v>537</v>
      </c>
      <c r="H1940" s="2">
        <v>46416</v>
      </c>
      <c r="I1940" t="s">
        <v>26</v>
      </c>
      <c r="J1940">
        <v>6</v>
      </c>
      <c r="K1940">
        <v>41896.04</v>
      </c>
      <c r="L1940" t="s">
        <v>321</v>
      </c>
      <c r="M1940">
        <v>34</v>
      </c>
      <c r="N1940" t="s">
        <v>21</v>
      </c>
      <c r="O1940" s="3" t="s">
        <v>55</v>
      </c>
      <c r="P1940" t="s">
        <v>29</v>
      </c>
      <c r="Q1940" t="s">
        <v>30</v>
      </c>
      <c r="R1940">
        <v>1</v>
      </c>
      <c r="S1940" t="s">
        <v>67</v>
      </c>
      <c r="T1940" s="4">
        <f t="shared" si="153"/>
        <v>251376.24</v>
      </c>
      <c r="U1940" s="4" t="str">
        <f t="shared" si="154"/>
        <v>Average</v>
      </c>
      <c r="V1940" s="4" t="str">
        <f t="shared" si="155"/>
        <v>Excellent</v>
      </c>
      <c r="W1940" s="4"/>
      <c r="X1940" s="4"/>
      <c r="AJ1940" s="4"/>
    </row>
    <row r="1941" spans="1:36">
      <c r="A1941" t="str">
        <f t="shared" si="151"/>
        <v>Anja211940</v>
      </c>
      <c r="B1941">
        <v>1940</v>
      </c>
      <c r="C1941">
        <v>14</v>
      </c>
      <c r="D1941">
        <v>4</v>
      </c>
      <c r="E1941">
        <v>2023</v>
      </c>
      <c r="F1941" s="1">
        <f t="shared" si="152"/>
        <v>45030</v>
      </c>
      <c r="G1941" s="1" t="s">
        <v>537</v>
      </c>
      <c r="H1941" s="2">
        <v>46417</v>
      </c>
      <c r="I1941" t="s">
        <v>26</v>
      </c>
      <c r="J1941">
        <v>4</v>
      </c>
      <c r="K1941">
        <v>21206.85</v>
      </c>
      <c r="L1941" t="s">
        <v>202</v>
      </c>
      <c r="M1941">
        <v>21</v>
      </c>
      <c r="N1941" t="s">
        <v>36</v>
      </c>
      <c r="O1941" s="3" t="s">
        <v>22</v>
      </c>
      <c r="P1941" t="s">
        <v>64</v>
      </c>
      <c r="Q1941" t="s">
        <v>56</v>
      </c>
      <c r="R1941">
        <v>5</v>
      </c>
      <c r="S1941" t="s">
        <v>31</v>
      </c>
      <c r="T1941" s="4">
        <f t="shared" si="153"/>
        <v>84827.4</v>
      </c>
      <c r="U1941" s="4" t="str">
        <f t="shared" si="154"/>
        <v>Good</v>
      </c>
      <c r="V1941" s="4" t="str">
        <f t="shared" si="155"/>
        <v>Average</v>
      </c>
      <c r="W1941" s="4"/>
      <c r="X1941" s="4"/>
      <c r="AJ1941" s="4"/>
    </row>
    <row r="1942" spans="1:36">
      <c r="A1942" t="str">
        <f t="shared" si="151"/>
        <v>Suni561941</v>
      </c>
      <c r="B1942">
        <v>1941</v>
      </c>
      <c r="C1942">
        <v>14</v>
      </c>
      <c r="D1942">
        <v>4</v>
      </c>
      <c r="E1942">
        <v>2023</v>
      </c>
      <c r="F1942" s="1">
        <f t="shared" si="152"/>
        <v>45030</v>
      </c>
      <c r="G1942" s="1" t="s">
        <v>537</v>
      </c>
      <c r="H1942" s="2">
        <v>46418</v>
      </c>
      <c r="I1942" t="s">
        <v>49</v>
      </c>
      <c r="J1942">
        <v>9</v>
      </c>
      <c r="K1942">
        <v>35533.800000000003</v>
      </c>
      <c r="L1942" t="s">
        <v>139</v>
      </c>
      <c r="M1942">
        <v>56</v>
      </c>
      <c r="N1942" t="s">
        <v>61</v>
      </c>
      <c r="O1942" s="3" t="s">
        <v>22</v>
      </c>
      <c r="P1942" t="s">
        <v>29</v>
      </c>
      <c r="Q1942" t="s">
        <v>41</v>
      </c>
      <c r="R1942">
        <v>4</v>
      </c>
      <c r="S1942" t="s">
        <v>102</v>
      </c>
      <c r="T1942" s="4">
        <f t="shared" si="153"/>
        <v>319804.2</v>
      </c>
      <c r="U1942" s="4" t="str">
        <f t="shared" si="154"/>
        <v>Good</v>
      </c>
      <c r="V1942" s="4" t="str">
        <f t="shared" si="155"/>
        <v>Excellent</v>
      </c>
      <c r="W1942" s="4"/>
      <c r="X1942" s="4"/>
      <c r="AJ1942" s="4"/>
    </row>
    <row r="1943" spans="1:36">
      <c r="A1943" t="str">
        <f t="shared" si="151"/>
        <v>Suni181942</v>
      </c>
      <c r="B1943">
        <v>1942</v>
      </c>
      <c r="C1943">
        <v>14</v>
      </c>
      <c r="D1943">
        <v>4</v>
      </c>
      <c r="E1943">
        <v>2023</v>
      </c>
      <c r="F1943" s="1">
        <f t="shared" si="152"/>
        <v>45030</v>
      </c>
      <c r="G1943" s="1" t="s">
        <v>537</v>
      </c>
      <c r="H1943" s="2">
        <v>46419</v>
      </c>
      <c r="I1943" t="s">
        <v>26</v>
      </c>
      <c r="J1943">
        <v>1</v>
      </c>
      <c r="K1943">
        <v>42969.37</v>
      </c>
      <c r="L1943" t="s">
        <v>949</v>
      </c>
      <c r="M1943">
        <v>18</v>
      </c>
      <c r="N1943" t="s">
        <v>36</v>
      </c>
      <c r="O1943" s="3" t="s">
        <v>55</v>
      </c>
      <c r="P1943" t="s">
        <v>77</v>
      </c>
      <c r="Q1943" t="s">
        <v>30</v>
      </c>
      <c r="R1943">
        <v>2</v>
      </c>
      <c r="S1943" t="s">
        <v>34</v>
      </c>
      <c r="T1943" s="4">
        <f t="shared" si="153"/>
        <v>42969.37</v>
      </c>
      <c r="U1943" s="4" t="str">
        <f t="shared" si="154"/>
        <v>Average</v>
      </c>
      <c r="V1943" s="4" t="str">
        <f t="shared" si="155"/>
        <v>Low</v>
      </c>
      <c r="W1943" s="4"/>
      <c r="X1943" s="4"/>
      <c r="AJ1943" s="4"/>
    </row>
    <row r="1944" spans="1:36">
      <c r="A1944" t="str">
        <f t="shared" si="151"/>
        <v>Priy581943</v>
      </c>
      <c r="B1944">
        <v>1943</v>
      </c>
      <c r="C1944">
        <v>15</v>
      </c>
      <c r="D1944">
        <v>4</v>
      </c>
      <c r="E1944">
        <v>2023</v>
      </c>
      <c r="F1944" s="1">
        <f t="shared" si="152"/>
        <v>45031</v>
      </c>
      <c r="G1944" s="1" t="s">
        <v>537</v>
      </c>
      <c r="H1944" s="2">
        <v>46420</v>
      </c>
      <c r="I1944" t="s">
        <v>26</v>
      </c>
      <c r="J1944">
        <v>2</v>
      </c>
      <c r="K1944">
        <v>50705.16</v>
      </c>
      <c r="L1944" t="s">
        <v>671</v>
      </c>
      <c r="M1944">
        <v>58</v>
      </c>
      <c r="N1944" t="s">
        <v>61</v>
      </c>
      <c r="O1944" s="3" t="s">
        <v>22</v>
      </c>
      <c r="P1944" t="s">
        <v>77</v>
      </c>
      <c r="Q1944" t="s">
        <v>41</v>
      </c>
      <c r="R1944">
        <v>4</v>
      </c>
      <c r="S1944" t="s">
        <v>67</v>
      </c>
      <c r="T1944" s="4">
        <f t="shared" si="153"/>
        <v>101410.32</v>
      </c>
      <c r="U1944" s="4" t="str">
        <f t="shared" si="154"/>
        <v>Good</v>
      </c>
      <c r="V1944" s="4" t="str">
        <f t="shared" si="155"/>
        <v>Good</v>
      </c>
      <c r="W1944" s="4"/>
      <c r="X1944" s="4"/>
      <c r="AJ1944" s="4"/>
    </row>
    <row r="1945" spans="1:36">
      <c r="A1945" t="str">
        <f t="shared" si="151"/>
        <v>Reen411944</v>
      </c>
      <c r="B1945">
        <v>1944</v>
      </c>
      <c r="C1945">
        <v>15</v>
      </c>
      <c r="D1945">
        <v>4</v>
      </c>
      <c r="E1945">
        <v>2023</v>
      </c>
      <c r="F1945" s="1">
        <f t="shared" si="152"/>
        <v>45031</v>
      </c>
      <c r="G1945" s="1" t="s">
        <v>537</v>
      </c>
      <c r="H1945" s="2">
        <v>46421</v>
      </c>
      <c r="I1945" t="s">
        <v>38</v>
      </c>
      <c r="J1945">
        <v>4</v>
      </c>
      <c r="K1945">
        <v>46462.55</v>
      </c>
      <c r="L1945" t="s">
        <v>161</v>
      </c>
      <c r="M1945">
        <v>41</v>
      </c>
      <c r="N1945" t="s">
        <v>21</v>
      </c>
      <c r="O1945" s="3" t="s">
        <v>22</v>
      </c>
      <c r="P1945" t="s">
        <v>132</v>
      </c>
      <c r="Q1945" t="s">
        <v>56</v>
      </c>
      <c r="R1945">
        <v>5</v>
      </c>
      <c r="S1945" t="s">
        <v>48</v>
      </c>
      <c r="T1945" s="4">
        <f t="shared" si="153"/>
        <v>185850.2</v>
      </c>
      <c r="U1945" s="4" t="str">
        <f t="shared" si="154"/>
        <v>Good</v>
      </c>
      <c r="V1945" s="4" t="str">
        <f t="shared" si="155"/>
        <v>Good</v>
      </c>
      <c r="W1945" s="4"/>
      <c r="X1945" s="4"/>
      <c r="AJ1945" s="4"/>
    </row>
    <row r="1946" spans="1:36">
      <c r="A1946" t="str">
        <f t="shared" si="151"/>
        <v>Adit511945</v>
      </c>
      <c r="B1946">
        <v>1945</v>
      </c>
      <c r="C1946">
        <v>15</v>
      </c>
      <c r="D1946">
        <v>4</v>
      </c>
      <c r="E1946">
        <v>2023</v>
      </c>
      <c r="F1946" s="1">
        <f t="shared" si="152"/>
        <v>45031</v>
      </c>
      <c r="G1946" s="1" t="s">
        <v>537</v>
      </c>
      <c r="H1946" s="2">
        <v>46422</v>
      </c>
      <c r="I1946" t="s">
        <v>19</v>
      </c>
      <c r="J1946">
        <v>3</v>
      </c>
      <c r="K1946">
        <v>33638.67</v>
      </c>
      <c r="L1946" t="s">
        <v>602</v>
      </c>
      <c r="M1946">
        <v>51</v>
      </c>
      <c r="N1946" t="s">
        <v>61</v>
      </c>
      <c r="O1946" s="3" t="s">
        <v>22</v>
      </c>
      <c r="P1946" t="s">
        <v>59</v>
      </c>
      <c r="Q1946" t="s">
        <v>24</v>
      </c>
      <c r="R1946">
        <v>5</v>
      </c>
      <c r="S1946" t="s">
        <v>84</v>
      </c>
      <c r="T1946" s="4">
        <f t="shared" si="153"/>
        <v>100916.01</v>
      </c>
      <c r="U1946" s="4" t="str">
        <f t="shared" si="154"/>
        <v>Good</v>
      </c>
      <c r="V1946" s="4" t="str">
        <f t="shared" si="155"/>
        <v>Good</v>
      </c>
      <c r="W1946" s="4"/>
      <c r="X1946" s="4"/>
      <c r="AJ1946" s="4"/>
    </row>
    <row r="1947" spans="1:36">
      <c r="A1947" t="str">
        <f t="shared" si="151"/>
        <v>Isha511946</v>
      </c>
      <c r="B1947">
        <v>1946</v>
      </c>
      <c r="C1947">
        <v>15</v>
      </c>
      <c r="D1947">
        <v>4</v>
      </c>
      <c r="E1947">
        <v>2023</v>
      </c>
      <c r="F1947" s="1">
        <f t="shared" si="152"/>
        <v>45031</v>
      </c>
      <c r="G1947" s="1" t="s">
        <v>537</v>
      </c>
      <c r="H1947" s="2">
        <v>46423</v>
      </c>
      <c r="I1947" t="s">
        <v>38</v>
      </c>
      <c r="J1947">
        <v>1</v>
      </c>
      <c r="K1947">
        <v>25918.79</v>
      </c>
      <c r="L1947" t="s">
        <v>906</v>
      </c>
      <c r="M1947">
        <v>51</v>
      </c>
      <c r="N1947" t="s">
        <v>61</v>
      </c>
      <c r="O1947" s="3" t="s">
        <v>22</v>
      </c>
      <c r="P1947" t="s">
        <v>90</v>
      </c>
      <c r="Q1947" t="s">
        <v>24</v>
      </c>
      <c r="R1947">
        <v>4</v>
      </c>
      <c r="S1947" t="s">
        <v>48</v>
      </c>
      <c r="T1947" s="4">
        <f t="shared" si="153"/>
        <v>25918.79</v>
      </c>
      <c r="U1947" s="4" t="str">
        <f t="shared" si="154"/>
        <v>Good</v>
      </c>
      <c r="V1947" s="4" t="str">
        <f t="shared" si="155"/>
        <v>Low</v>
      </c>
      <c r="W1947" s="4"/>
      <c r="X1947" s="4"/>
      <c r="AJ1947" s="4"/>
    </row>
    <row r="1948" spans="1:36">
      <c r="A1948" t="str">
        <f t="shared" si="151"/>
        <v>Raje411947</v>
      </c>
      <c r="B1948">
        <v>1947</v>
      </c>
      <c r="C1948">
        <v>16</v>
      </c>
      <c r="D1948">
        <v>4</v>
      </c>
      <c r="E1948">
        <v>2023</v>
      </c>
      <c r="F1948" s="1">
        <f t="shared" si="152"/>
        <v>45032</v>
      </c>
      <c r="G1948" s="1" t="s">
        <v>537</v>
      </c>
      <c r="H1948" s="2">
        <v>46424</v>
      </c>
      <c r="I1948" t="s">
        <v>38</v>
      </c>
      <c r="J1948">
        <v>5</v>
      </c>
      <c r="K1948">
        <v>20093.849999999999</v>
      </c>
      <c r="L1948" t="s">
        <v>100</v>
      </c>
      <c r="M1948">
        <v>41</v>
      </c>
      <c r="N1948" t="s">
        <v>21</v>
      </c>
      <c r="O1948" s="3" t="s">
        <v>55</v>
      </c>
      <c r="P1948" t="s">
        <v>29</v>
      </c>
      <c r="Q1948" t="s">
        <v>24</v>
      </c>
      <c r="R1948">
        <v>2</v>
      </c>
      <c r="S1948" t="s">
        <v>48</v>
      </c>
      <c r="T1948" s="4">
        <f t="shared" si="153"/>
        <v>100469.25</v>
      </c>
      <c r="U1948" s="4" t="str">
        <f t="shared" si="154"/>
        <v>Average</v>
      </c>
      <c r="V1948" s="4" t="str">
        <f t="shared" si="155"/>
        <v>Good</v>
      </c>
      <c r="W1948" s="4"/>
      <c r="X1948" s="4"/>
      <c r="AJ1948" s="4"/>
    </row>
    <row r="1949" spans="1:36">
      <c r="A1949" t="str">
        <f t="shared" si="151"/>
        <v>Mano321948</v>
      </c>
      <c r="B1949">
        <v>1948</v>
      </c>
      <c r="C1949">
        <v>16</v>
      </c>
      <c r="D1949">
        <v>4</v>
      </c>
      <c r="E1949">
        <v>2023</v>
      </c>
      <c r="F1949" s="1">
        <f t="shared" si="152"/>
        <v>45032</v>
      </c>
      <c r="G1949" s="1" t="s">
        <v>537</v>
      </c>
      <c r="H1949" s="2">
        <v>46425</v>
      </c>
      <c r="I1949" t="s">
        <v>43</v>
      </c>
      <c r="J1949">
        <v>7</v>
      </c>
      <c r="K1949">
        <v>51630.720000000001</v>
      </c>
      <c r="L1949" t="s">
        <v>797</v>
      </c>
      <c r="M1949">
        <v>32</v>
      </c>
      <c r="N1949" t="s">
        <v>21</v>
      </c>
      <c r="O1949" s="3" t="s">
        <v>22</v>
      </c>
      <c r="P1949" t="s">
        <v>23</v>
      </c>
      <c r="Q1949" t="s">
        <v>41</v>
      </c>
      <c r="R1949">
        <v>5</v>
      </c>
      <c r="S1949" t="s">
        <v>95</v>
      </c>
      <c r="T1949" s="4">
        <f t="shared" si="153"/>
        <v>361415.04000000004</v>
      </c>
      <c r="U1949" s="4" t="str">
        <f t="shared" si="154"/>
        <v>Good</v>
      </c>
      <c r="V1949" s="4" t="str">
        <f t="shared" si="155"/>
        <v>Excellent</v>
      </c>
      <c r="W1949" s="4"/>
      <c r="X1949" s="4"/>
      <c r="AJ1949" s="4"/>
    </row>
    <row r="1950" spans="1:36">
      <c r="A1950" t="str">
        <f t="shared" si="151"/>
        <v>Jyot341949</v>
      </c>
      <c r="B1950">
        <v>1949</v>
      </c>
      <c r="C1950">
        <v>16</v>
      </c>
      <c r="D1950">
        <v>4</v>
      </c>
      <c r="E1950">
        <v>2023</v>
      </c>
      <c r="F1950" s="1">
        <f t="shared" si="152"/>
        <v>45032</v>
      </c>
      <c r="G1950" s="1" t="s">
        <v>537</v>
      </c>
      <c r="H1950" s="2">
        <v>46426</v>
      </c>
      <c r="I1950" t="s">
        <v>38</v>
      </c>
      <c r="J1950">
        <v>2</v>
      </c>
      <c r="K1950">
        <v>48723.92</v>
      </c>
      <c r="L1950" t="s">
        <v>950</v>
      </c>
      <c r="M1950">
        <v>34</v>
      </c>
      <c r="N1950" t="s">
        <v>21</v>
      </c>
      <c r="O1950" s="3" t="s">
        <v>22</v>
      </c>
      <c r="P1950" t="s">
        <v>40</v>
      </c>
      <c r="Q1950" t="s">
        <v>56</v>
      </c>
      <c r="R1950">
        <v>4</v>
      </c>
      <c r="S1950" t="s">
        <v>42</v>
      </c>
      <c r="T1950" s="4">
        <f t="shared" si="153"/>
        <v>97447.84</v>
      </c>
      <c r="U1950" s="4" t="str">
        <f t="shared" si="154"/>
        <v>Good</v>
      </c>
      <c r="V1950" s="4" t="str">
        <f t="shared" si="155"/>
        <v>Average</v>
      </c>
      <c r="W1950" s="4"/>
      <c r="X1950" s="4"/>
      <c r="AJ1950" s="4"/>
    </row>
    <row r="1951" spans="1:36">
      <c r="A1951" t="str">
        <f t="shared" si="151"/>
        <v>Pank301950</v>
      </c>
      <c r="B1951">
        <v>1950</v>
      </c>
      <c r="C1951">
        <v>17</v>
      </c>
      <c r="D1951">
        <v>4</v>
      </c>
      <c r="E1951">
        <v>2023</v>
      </c>
      <c r="F1951" s="1">
        <f t="shared" si="152"/>
        <v>45033</v>
      </c>
      <c r="G1951" s="1" t="s">
        <v>537</v>
      </c>
      <c r="H1951" s="2">
        <v>46427</v>
      </c>
      <c r="I1951" t="s">
        <v>49</v>
      </c>
      <c r="J1951">
        <v>5</v>
      </c>
      <c r="K1951">
        <v>51242.35</v>
      </c>
      <c r="L1951" t="s">
        <v>94</v>
      </c>
      <c r="M1951">
        <v>30</v>
      </c>
      <c r="N1951" t="s">
        <v>36</v>
      </c>
      <c r="O1951" s="3" t="s">
        <v>55</v>
      </c>
      <c r="P1951" t="s">
        <v>33</v>
      </c>
      <c r="Q1951" t="s">
        <v>30</v>
      </c>
      <c r="R1951">
        <v>2</v>
      </c>
      <c r="S1951" t="s">
        <v>52</v>
      </c>
      <c r="T1951" s="4">
        <f t="shared" si="153"/>
        <v>256211.75</v>
      </c>
      <c r="U1951" s="4" t="str">
        <f t="shared" si="154"/>
        <v>Average</v>
      </c>
      <c r="V1951" s="4" t="str">
        <f t="shared" si="155"/>
        <v>Excellent</v>
      </c>
      <c r="W1951" s="4"/>
      <c r="X1951" s="4"/>
      <c r="AJ1951" s="4"/>
    </row>
    <row r="1952" spans="1:36">
      <c r="A1952" t="str">
        <f t="shared" si="151"/>
        <v>Priy241951</v>
      </c>
      <c r="B1952">
        <v>1951</v>
      </c>
      <c r="C1952">
        <v>17</v>
      </c>
      <c r="D1952">
        <v>4</v>
      </c>
      <c r="E1952">
        <v>2023</v>
      </c>
      <c r="F1952" s="1">
        <f t="shared" si="152"/>
        <v>45033</v>
      </c>
      <c r="G1952" s="1" t="s">
        <v>537</v>
      </c>
      <c r="H1952" s="2">
        <v>46428</v>
      </c>
      <c r="I1952" t="s">
        <v>49</v>
      </c>
      <c r="J1952">
        <v>6</v>
      </c>
      <c r="K1952">
        <v>32351.65</v>
      </c>
      <c r="L1952" t="s">
        <v>107</v>
      </c>
      <c r="M1952">
        <v>24</v>
      </c>
      <c r="N1952" t="s">
        <v>36</v>
      </c>
      <c r="O1952" s="3" t="s">
        <v>22</v>
      </c>
      <c r="P1952" t="s">
        <v>70</v>
      </c>
      <c r="Q1952" t="s">
        <v>24</v>
      </c>
      <c r="R1952">
        <v>5</v>
      </c>
      <c r="S1952" t="s">
        <v>102</v>
      </c>
      <c r="T1952" s="4">
        <f t="shared" si="153"/>
        <v>194109.90000000002</v>
      </c>
      <c r="U1952" s="4" t="str">
        <f t="shared" si="154"/>
        <v>Good</v>
      </c>
      <c r="V1952" s="4" t="str">
        <f t="shared" si="155"/>
        <v>Good</v>
      </c>
      <c r="W1952" s="4"/>
      <c r="X1952" s="4"/>
      <c r="AJ1952" s="4"/>
    </row>
    <row r="1953" spans="1:36">
      <c r="A1953" t="str">
        <f t="shared" si="151"/>
        <v>Tapa261952</v>
      </c>
      <c r="B1953">
        <v>1952</v>
      </c>
      <c r="C1953">
        <v>17</v>
      </c>
      <c r="D1953">
        <v>4</v>
      </c>
      <c r="E1953">
        <v>2023</v>
      </c>
      <c r="F1953" s="1">
        <f t="shared" si="152"/>
        <v>45033</v>
      </c>
      <c r="G1953" s="1" t="s">
        <v>537</v>
      </c>
      <c r="H1953" s="2">
        <v>46429</v>
      </c>
      <c r="I1953" t="s">
        <v>43</v>
      </c>
      <c r="J1953">
        <v>7</v>
      </c>
      <c r="K1953">
        <v>25744.47</v>
      </c>
      <c r="L1953" t="s">
        <v>378</v>
      </c>
      <c r="M1953">
        <v>26</v>
      </c>
      <c r="N1953" t="s">
        <v>36</v>
      </c>
      <c r="O1953" s="3" t="s">
        <v>22</v>
      </c>
      <c r="P1953" t="s">
        <v>93</v>
      </c>
      <c r="Q1953" t="s">
        <v>41</v>
      </c>
      <c r="R1953">
        <v>5</v>
      </c>
      <c r="S1953" t="s">
        <v>57</v>
      </c>
      <c r="T1953" s="4">
        <f t="shared" si="153"/>
        <v>180211.29</v>
      </c>
      <c r="U1953" s="4" t="str">
        <f t="shared" si="154"/>
        <v>Good</v>
      </c>
      <c r="V1953" s="4" t="str">
        <f t="shared" si="155"/>
        <v>Good</v>
      </c>
      <c r="W1953" s="4"/>
      <c r="X1953" s="4"/>
      <c r="AJ1953" s="4"/>
    </row>
    <row r="1954" spans="1:36">
      <c r="A1954" t="str">
        <f t="shared" si="151"/>
        <v>Kira521953</v>
      </c>
      <c r="B1954">
        <v>1953</v>
      </c>
      <c r="C1954">
        <v>17</v>
      </c>
      <c r="D1954">
        <v>4</v>
      </c>
      <c r="E1954">
        <v>2023</v>
      </c>
      <c r="F1954" s="1">
        <f t="shared" si="152"/>
        <v>45033</v>
      </c>
      <c r="G1954" s="1" t="s">
        <v>537</v>
      </c>
      <c r="H1954" s="2">
        <v>46430</v>
      </c>
      <c r="I1954" t="s">
        <v>19</v>
      </c>
      <c r="J1954">
        <v>1</v>
      </c>
      <c r="K1954">
        <v>55583.28</v>
      </c>
      <c r="L1954" t="s">
        <v>823</v>
      </c>
      <c r="M1954">
        <v>52</v>
      </c>
      <c r="N1954" t="s">
        <v>61</v>
      </c>
      <c r="O1954" s="3" t="s">
        <v>55</v>
      </c>
      <c r="P1954" t="s">
        <v>29</v>
      </c>
      <c r="Q1954" t="s">
        <v>24</v>
      </c>
      <c r="R1954">
        <v>1</v>
      </c>
      <c r="S1954" t="s">
        <v>37</v>
      </c>
      <c r="T1954" s="4">
        <f t="shared" si="153"/>
        <v>55583.28</v>
      </c>
      <c r="U1954" s="4" t="str">
        <f t="shared" si="154"/>
        <v>Average</v>
      </c>
      <c r="V1954" s="4" t="str">
        <f t="shared" si="155"/>
        <v>Average</v>
      </c>
      <c r="W1954" s="4"/>
      <c r="X1954" s="4"/>
      <c r="AJ1954" s="4"/>
    </row>
    <row r="1955" spans="1:36">
      <c r="A1955" t="str">
        <f t="shared" si="151"/>
        <v>Suni401954</v>
      </c>
      <c r="B1955">
        <v>1954</v>
      </c>
      <c r="C1955">
        <v>18</v>
      </c>
      <c r="D1955">
        <v>4</v>
      </c>
      <c r="E1955">
        <v>2023</v>
      </c>
      <c r="F1955" s="1">
        <f t="shared" si="152"/>
        <v>45034</v>
      </c>
      <c r="G1955" s="1" t="s">
        <v>537</v>
      </c>
      <c r="H1955" s="2">
        <v>46431</v>
      </c>
      <c r="I1955" t="s">
        <v>19</v>
      </c>
      <c r="J1955">
        <v>7</v>
      </c>
      <c r="K1955">
        <v>56418.84</v>
      </c>
      <c r="L1955" t="s">
        <v>148</v>
      </c>
      <c r="M1955">
        <v>40</v>
      </c>
      <c r="N1955" t="s">
        <v>21</v>
      </c>
      <c r="O1955" s="3" t="s">
        <v>55</v>
      </c>
      <c r="P1955" t="s">
        <v>70</v>
      </c>
      <c r="Q1955" t="s">
        <v>56</v>
      </c>
      <c r="R1955">
        <v>1</v>
      </c>
      <c r="S1955" t="s">
        <v>25</v>
      </c>
      <c r="T1955" s="4">
        <f t="shared" si="153"/>
        <v>394931.88</v>
      </c>
      <c r="U1955" s="4" t="str">
        <f t="shared" si="154"/>
        <v>Average</v>
      </c>
      <c r="V1955" s="4" t="str">
        <f t="shared" si="155"/>
        <v>Excellent</v>
      </c>
      <c r="W1955" s="4"/>
      <c r="X1955" s="4"/>
      <c r="AJ1955" s="4"/>
    </row>
    <row r="1956" spans="1:36">
      <c r="A1956" t="str">
        <f t="shared" si="151"/>
        <v>Lali561955</v>
      </c>
      <c r="B1956">
        <v>1955</v>
      </c>
      <c r="C1956">
        <v>18</v>
      </c>
      <c r="D1956">
        <v>4</v>
      </c>
      <c r="E1956">
        <v>2023</v>
      </c>
      <c r="F1956" s="1">
        <f t="shared" si="152"/>
        <v>45034</v>
      </c>
      <c r="G1956" s="1" t="s">
        <v>537</v>
      </c>
      <c r="H1956" s="2">
        <v>46432</v>
      </c>
      <c r="I1956" t="s">
        <v>38</v>
      </c>
      <c r="J1956">
        <v>4</v>
      </c>
      <c r="K1956">
        <v>37336.980000000003</v>
      </c>
      <c r="L1956" t="s">
        <v>807</v>
      </c>
      <c r="M1956">
        <v>56</v>
      </c>
      <c r="N1956" t="s">
        <v>61</v>
      </c>
      <c r="O1956" s="3" t="s">
        <v>22</v>
      </c>
      <c r="P1956" t="s">
        <v>110</v>
      </c>
      <c r="Q1956" t="s">
        <v>30</v>
      </c>
      <c r="R1956">
        <v>5</v>
      </c>
      <c r="S1956" t="s">
        <v>42</v>
      </c>
      <c r="T1956" s="4">
        <f t="shared" si="153"/>
        <v>149347.92000000001</v>
      </c>
      <c r="U1956" s="4" t="str">
        <f t="shared" si="154"/>
        <v>Good</v>
      </c>
      <c r="V1956" s="4" t="str">
        <f t="shared" si="155"/>
        <v>Good</v>
      </c>
      <c r="W1956" s="4"/>
      <c r="X1956" s="4"/>
      <c r="AJ1956" s="4"/>
    </row>
    <row r="1957" spans="1:36">
      <c r="A1957" t="str">
        <f t="shared" si="151"/>
        <v>Anit401956</v>
      </c>
      <c r="B1957">
        <v>1956</v>
      </c>
      <c r="C1957">
        <v>18</v>
      </c>
      <c r="D1957">
        <v>4</v>
      </c>
      <c r="E1957">
        <v>2023</v>
      </c>
      <c r="F1957" s="1">
        <f t="shared" si="152"/>
        <v>45034</v>
      </c>
      <c r="G1957" s="1" t="s">
        <v>537</v>
      </c>
      <c r="H1957" s="2">
        <v>46433</v>
      </c>
      <c r="I1957" t="s">
        <v>38</v>
      </c>
      <c r="J1957">
        <v>8</v>
      </c>
      <c r="K1957">
        <v>46714.25</v>
      </c>
      <c r="L1957" t="s">
        <v>322</v>
      </c>
      <c r="M1957">
        <v>40</v>
      </c>
      <c r="N1957" t="s">
        <v>21</v>
      </c>
      <c r="O1957" s="3" t="s">
        <v>22</v>
      </c>
      <c r="P1957" t="s">
        <v>51</v>
      </c>
      <c r="Q1957" t="s">
        <v>24</v>
      </c>
      <c r="R1957">
        <v>4</v>
      </c>
      <c r="S1957" t="s">
        <v>99</v>
      </c>
      <c r="T1957" s="4">
        <f t="shared" si="153"/>
        <v>373714</v>
      </c>
      <c r="U1957" s="4" t="str">
        <f t="shared" si="154"/>
        <v>Good</v>
      </c>
      <c r="V1957" s="4" t="str">
        <f t="shared" si="155"/>
        <v>Excellent</v>
      </c>
      <c r="W1957" s="4"/>
      <c r="X1957" s="4"/>
      <c r="AJ1957" s="4"/>
    </row>
    <row r="1958" spans="1:36">
      <c r="A1958" t="str">
        <f t="shared" si="151"/>
        <v>Tapa431957</v>
      </c>
      <c r="B1958">
        <v>1957</v>
      </c>
      <c r="C1958">
        <v>18</v>
      </c>
      <c r="D1958">
        <v>4</v>
      </c>
      <c r="E1958">
        <v>2023</v>
      </c>
      <c r="F1958" s="1">
        <f t="shared" si="152"/>
        <v>45034</v>
      </c>
      <c r="G1958" s="1" t="s">
        <v>537</v>
      </c>
      <c r="H1958" s="2">
        <v>46434</v>
      </c>
      <c r="I1958" t="s">
        <v>38</v>
      </c>
      <c r="J1958">
        <v>4</v>
      </c>
      <c r="K1958">
        <v>32411.18</v>
      </c>
      <c r="L1958" t="s">
        <v>380</v>
      </c>
      <c r="M1958">
        <v>43</v>
      </c>
      <c r="N1958" t="s">
        <v>21</v>
      </c>
      <c r="O1958" s="3" t="s">
        <v>55</v>
      </c>
      <c r="P1958" t="s">
        <v>137</v>
      </c>
      <c r="Q1958" t="s">
        <v>56</v>
      </c>
      <c r="R1958">
        <v>1</v>
      </c>
      <c r="S1958" t="s">
        <v>48</v>
      </c>
      <c r="T1958" s="4">
        <f t="shared" si="153"/>
        <v>129644.72</v>
      </c>
      <c r="U1958" s="4" t="str">
        <f t="shared" si="154"/>
        <v>Average</v>
      </c>
      <c r="V1958" s="4" t="str">
        <f t="shared" si="155"/>
        <v>Good</v>
      </c>
      <c r="W1958" s="4"/>
      <c r="X1958" s="4"/>
      <c r="AJ1958" s="4"/>
    </row>
    <row r="1959" spans="1:36">
      <c r="A1959" t="str">
        <f t="shared" si="151"/>
        <v>Tapa181958</v>
      </c>
      <c r="B1959">
        <v>1958</v>
      </c>
      <c r="C1959">
        <v>19</v>
      </c>
      <c r="D1959">
        <v>4</v>
      </c>
      <c r="E1959">
        <v>2023</v>
      </c>
      <c r="F1959" s="1">
        <f t="shared" si="152"/>
        <v>45035</v>
      </c>
      <c r="G1959" s="1" t="s">
        <v>537</v>
      </c>
      <c r="H1959" s="2">
        <v>46435</v>
      </c>
      <c r="I1959" t="s">
        <v>19</v>
      </c>
      <c r="J1959">
        <v>6</v>
      </c>
      <c r="K1959">
        <v>52116.83</v>
      </c>
      <c r="L1959" t="s">
        <v>174</v>
      </c>
      <c r="M1959">
        <v>18</v>
      </c>
      <c r="N1959" t="s">
        <v>36</v>
      </c>
      <c r="O1959" s="3" t="s">
        <v>22</v>
      </c>
      <c r="P1959" t="s">
        <v>33</v>
      </c>
      <c r="Q1959" t="s">
        <v>41</v>
      </c>
      <c r="R1959">
        <v>5</v>
      </c>
      <c r="S1959" t="s">
        <v>25</v>
      </c>
      <c r="T1959" s="4">
        <f t="shared" si="153"/>
        <v>312700.98</v>
      </c>
      <c r="U1959" s="4" t="str">
        <f t="shared" si="154"/>
        <v>Good</v>
      </c>
      <c r="V1959" s="4" t="str">
        <f t="shared" si="155"/>
        <v>Excellent</v>
      </c>
      <c r="W1959" s="4"/>
      <c r="X1959" s="4"/>
      <c r="AJ1959" s="4"/>
    </row>
    <row r="1960" spans="1:36">
      <c r="A1960" t="str">
        <f t="shared" si="151"/>
        <v>Anit311959</v>
      </c>
      <c r="B1960">
        <v>1959</v>
      </c>
      <c r="C1960">
        <v>19</v>
      </c>
      <c r="D1960">
        <v>4</v>
      </c>
      <c r="E1960">
        <v>2023</v>
      </c>
      <c r="F1960" s="1">
        <f t="shared" si="152"/>
        <v>45035</v>
      </c>
      <c r="G1960" s="1" t="s">
        <v>537</v>
      </c>
      <c r="H1960" s="2">
        <v>46436</v>
      </c>
      <c r="I1960" t="s">
        <v>26</v>
      </c>
      <c r="J1960">
        <v>9</v>
      </c>
      <c r="K1960">
        <v>60143.3</v>
      </c>
      <c r="L1960" t="s">
        <v>811</v>
      </c>
      <c r="M1960">
        <v>31</v>
      </c>
      <c r="N1960" t="s">
        <v>21</v>
      </c>
      <c r="O1960" s="3" t="s">
        <v>55</v>
      </c>
      <c r="P1960" t="s">
        <v>45</v>
      </c>
      <c r="Q1960" t="s">
        <v>56</v>
      </c>
      <c r="R1960">
        <v>2</v>
      </c>
      <c r="S1960" t="s">
        <v>34</v>
      </c>
      <c r="T1960" s="4">
        <f t="shared" si="153"/>
        <v>541289.70000000007</v>
      </c>
      <c r="U1960" s="4" t="str">
        <f t="shared" si="154"/>
        <v>Average</v>
      </c>
      <c r="V1960" s="4" t="str">
        <f t="shared" si="155"/>
        <v>Excellent</v>
      </c>
      <c r="W1960" s="4"/>
      <c r="X1960" s="4"/>
      <c r="AJ1960" s="4"/>
    </row>
    <row r="1961" spans="1:36">
      <c r="A1961" t="str">
        <f t="shared" si="151"/>
        <v>Tapa491960</v>
      </c>
      <c r="B1961">
        <v>1960</v>
      </c>
      <c r="C1961">
        <v>19</v>
      </c>
      <c r="D1961">
        <v>4</v>
      </c>
      <c r="E1961">
        <v>2023</v>
      </c>
      <c r="F1961" s="1">
        <f t="shared" si="152"/>
        <v>45035</v>
      </c>
      <c r="G1961" s="1" t="s">
        <v>537</v>
      </c>
      <c r="H1961" s="2">
        <v>46437</v>
      </c>
      <c r="I1961" t="s">
        <v>49</v>
      </c>
      <c r="J1961">
        <v>5</v>
      </c>
      <c r="K1961">
        <v>51294</v>
      </c>
      <c r="L1961" t="s">
        <v>380</v>
      </c>
      <c r="M1961">
        <v>49</v>
      </c>
      <c r="N1961" t="s">
        <v>61</v>
      </c>
      <c r="O1961" s="3" t="s">
        <v>22</v>
      </c>
      <c r="P1961" t="s">
        <v>150</v>
      </c>
      <c r="Q1961" t="s">
        <v>41</v>
      </c>
      <c r="R1961">
        <v>4</v>
      </c>
      <c r="S1961" t="s">
        <v>88</v>
      </c>
      <c r="T1961" s="4">
        <f t="shared" si="153"/>
        <v>256470</v>
      </c>
      <c r="U1961" s="4" t="str">
        <f t="shared" si="154"/>
        <v>Good</v>
      </c>
      <c r="V1961" s="4" t="str">
        <f t="shared" si="155"/>
        <v>Excellent</v>
      </c>
      <c r="W1961" s="4"/>
      <c r="X1961" s="4"/>
      <c r="AJ1961" s="4"/>
    </row>
    <row r="1962" spans="1:36">
      <c r="A1962" t="str">
        <f t="shared" si="151"/>
        <v>Pooj271961</v>
      </c>
      <c r="B1962">
        <v>1961</v>
      </c>
      <c r="C1962">
        <v>19</v>
      </c>
      <c r="D1962">
        <v>4</v>
      </c>
      <c r="E1962">
        <v>2023</v>
      </c>
      <c r="F1962" s="1">
        <f t="shared" si="152"/>
        <v>45035</v>
      </c>
      <c r="G1962" s="1" t="s">
        <v>537</v>
      </c>
      <c r="H1962" s="2">
        <v>46438</v>
      </c>
      <c r="I1962" t="s">
        <v>26</v>
      </c>
      <c r="J1962">
        <v>4</v>
      </c>
      <c r="K1962">
        <v>40754.959999999999</v>
      </c>
      <c r="L1962" t="s">
        <v>951</v>
      </c>
      <c r="M1962">
        <v>27</v>
      </c>
      <c r="N1962" t="s">
        <v>36</v>
      </c>
      <c r="O1962" s="3" t="s">
        <v>55</v>
      </c>
      <c r="P1962" t="s">
        <v>33</v>
      </c>
      <c r="Q1962" t="s">
        <v>24</v>
      </c>
      <c r="R1962">
        <v>1</v>
      </c>
      <c r="S1962" t="s">
        <v>67</v>
      </c>
      <c r="T1962" s="4">
        <f t="shared" si="153"/>
        <v>163019.84</v>
      </c>
      <c r="U1962" s="4" t="str">
        <f t="shared" si="154"/>
        <v>Average</v>
      </c>
      <c r="V1962" s="4" t="str">
        <f t="shared" si="155"/>
        <v>Good</v>
      </c>
      <c r="W1962" s="4"/>
      <c r="X1962" s="4"/>
      <c r="AJ1962" s="4"/>
    </row>
    <row r="1963" spans="1:36">
      <c r="A1963" t="str">
        <f t="shared" si="151"/>
        <v>Vive181962</v>
      </c>
      <c r="B1963">
        <v>1962</v>
      </c>
      <c r="C1963">
        <v>20</v>
      </c>
      <c r="D1963">
        <v>4</v>
      </c>
      <c r="E1963">
        <v>2023</v>
      </c>
      <c r="F1963" s="1">
        <f t="shared" si="152"/>
        <v>45036</v>
      </c>
      <c r="G1963" s="1" t="s">
        <v>537</v>
      </c>
      <c r="H1963" s="2">
        <v>46439</v>
      </c>
      <c r="I1963" t="s">
        <v>26</v>
      </c>
      <c r="J1963">
        <v>8</v>
      </c>
      <c r="K1963">
        <v>37519.480000000003</v>
      </c>
      <c r="L1963" t="s">
        <v>229</v>
      </c>
      <c r="M1963">
        <v>18</v>
      </c>
      <c r="N1963" t="s">
        <v>36</v>
      </c>
      <c r="O1963" s="3" t="s">
        <v>22</v>
      </c>
      <c r="P1963" t="s">
        <v>40</v>
      </c>
      <c r="Q1963" t="s">
        <v>24</v>
      </c>
      <c r="R1963">
        <v>5</v>
      </c>
      <c r="S1963" t="s">
        <v>31</v>
      </c>
      <c r="T1963" s="4">
        <f t="shared" si="153"/>
        <v>300155.84000000003</v>
      </c>
      <c r="U1963" s="4" t="str">
        <f t="shared" si="154"/>
        <v>Good</v>
      </c>
      <c r="V1963" s="4" t="str">
        <f t="shared" si="155"/>
        <v>Excellent</v>
      </c>
      <c r="W1963" s="4"/>
      <c r="X1963" s="4"/>
      <c r="AJ1963" s="4"/>
    </row>
    <row r="1964" spans="1:36">
      <c r="A1964" t="str">
        <f t="shared" si="151"/>
        <v>Arun221963</v>
      </c>
      <c r="B1964">
        <v>1963</v>
      </c>
      <c r="C1964">
        <v>20</v>
      </c>
      <c r="D1964">
        <v>4</v>
      </c>
      <c r="E1964">
        <v>2023</v>
      </c>
      <c r="F1964" s="1">
        <f t="shared" si="152"/>
        <v>45036</v>
      </c>
      <c r="G1964" s="1" t="s">
        <v>537</v>
      </c>
      <c r="H1964" s="2">
        <v>46440</v>
      </c>
      <c r="I1964" t="s">
        <v>19</v>
      </c>
      <c r="J1964">
        <v>9</v>
      </c>
      <c r="K1964">
        <v>48539.18</v>
      </c>
      <c r="L1964" t="s">
        <v>63</v>
      </c>
      <c r="M1964">
        <v>22</v>
      </c>
      <c r="N1964" t="s">
        <v>36</v>
      </c>
      <c r="O1964" s="3" t="s">
        <v>55</v>
      </c>
      <c r="P1964" t="s">
        <v>45</v>
      </c>
      <c r="Q1964" t="s">
        <v>56</v>
      </c>
      <c r="R1964">
        <v>1</v>
      </c>
      <c r="S1964" t="s">
        <v>84</v>
      </c>
      <c r="T1964" s="4">
        <f t="shared" si="153"/>
        <v>436852.62</v>
      </c>
      <c r="U1964" s="4" t="str">
        <f t="shared" si="154"/>
        <v>Average</v>
      </c>
      <c r="V1964" s="4" t="str">
        <f t="shared" si="155"/>
        <v>Excellent</v>
      </c>
      <c r="W1964" s="4"/>
      <c r="X1964" s="4"/>
      <c r="AJ1964" s="4"/>
    </row>
    <row r="1965" spans="1:36">
      <c r="A1965" t="str">
        <f t="shared" si="151"/>
        <v>Deve201964</v>
      </c>
      <c r="B1965">
        <v>1964</v>
      </c>
      <c r="C1965">
        <v>20</v>
      </c>
      <c r="D1965">
        <v>4</v>
      </c>
      <c r="E1965">
        <v>2023</v>
      </c>
      <c r="F1965" s="1">
        <f t="shared" si="152"/>
        <v>45036</v>
      </c>
      <c r="G1965" s="1" t="s">
        <v>537</v>
      </c>
      <c r="H1965" s="2">
        <v>46441</v>
      </c>
      <c r="I1965" t="s">
        <v>26</v>
      </c>
      <c r="J1965">
        <v>4</v>
      </c>
      <c r="K1965">
        <v>50788.65</v>
      </c>
      <c r="L1965" t="s">
        <v>760</v>
      </c>
      <c r="M1965">
        <v>20</v>
      </c>
      <c r="N1965" t="s">
        <v>36</v>
      </c>
      <c r="O1965" s="3" t="s">
        <v>55</v>
      </c>
      <c r="P1965" t="s">
        <v>23</v>
      </c>
      <c r="Q1965" t="s">
        <v>41</v>
      </c>
      <c r="R1965">
        <v>2</v>
      </c>
      <c r="S1965" t="s">
        <v>31</v>
      </c>
      <c r="T1965" s="4">
        <f t="shared" si="153"/>
        <v>203154.6</v>
      </c>
      <c r="U1965" s="4" t="str">
        <f t="shared" si="154"/>
        <v>Average</v>
      </c>
      <c r="V1965" s="4" t="str">
        <f t="shared" si="155"/>
        <v>Excellent</v>
      </c>
      <c r="W1965" s="4"/>
      <c r="X1965" s="4"/>
      <c r="AJ1965" s="4"/>
    </row>
    <row r="1966" spans="1:36">
      <c r="A1966" t="str">
        <f t="shared" si="151"/>
        <v>Jyot441965</v>
      </c>
      <c r="B1966">
        <v>1965</v>
      </c>
      <c r="C1966">
        <v>20</v>
      </c>
      <c r="D1966">
        <v>4</v>
      </c>
      <c r="E1966">
        <v>2023</v>
      </c>
      <c r="F1966" s="1">
        <f t="shared" si="152"/>
        <v>45036</v>
      </c>
      <c r="G1966" s="1" t="s">
        <v>537</v>
      </c>
      <c r="H1966" s="2">
        <v>46442</v>
      </c>
      <c r="I1966" t="s">
        <v>43</v>
      </c>
      <c r="J1966">
        <v>3</v>
      </c>
      <c r="K1966">
        <v>43523.77</v>
      </c>
      <c r="L1966" t="s">
        <v>449</v>
      </c>
      <c r="M1966">
        <v>44</v>
      </c>
      <c r="N1966" t="s">
        <v>21</v>
      </c>
      <c r="O1966" s="3" t="s">
        <v>22</v>
      </c>
      <c r="P1966" t="s">
        <v>33</v>
      </c>
      <c r="Q1966" t="s">
        <v>56</v>
      </c>
      <c r="R1966">
        <v>4</v>
      </c>
      <c r="S1966" t="s">
        <v>57</v>
      </c>
      <c r="T1966" s="4">
        <f t="shared" si="153"/>
        <v>130571.31</v>
      </c>
      <c r="U1966" s="4" t="str">
        <f t="shared" si="154"/>
        <v>Good</v>
      </c>
      <c r="V1966" s="4" t="str">
        <f t="shared" si="155"/>
        <v>Good</v>
      </c>
      <c r="W1966" s="4"/>
      <c r="X1966" s="4"/>
      <c r="AJ1966" s="4"/>
    </row>
    <row r="1967" spans="1:36">
      <c r="A1967" t="str">
        <f t="shared" si="151"/>
        <v>Pank391966</v>
      </c>
      <c r="B1967">
        <v>1966</v>
      </c>
      <c r="C1967">
        <v>21</v>
      </c>
      <c r="D1967">
        <v>4</v>
      </c>
      <c r="E1967">
        <v>2023</v>
      </c>
      <c r="F1967" s="1">
        <f t="shared" si="152"/>
        <v>45037</v>
      </c>
      <c r="G1967" s="1" t="s">
        <v>537</v>
      </c>
      <c r="H1967" s="2">
        <v>46443</v>
      </c>
      <c r="I1967" t="s">
        <v>38</v>
      </c>
      <c r="J1967">
        <v>8</v>
      </c>
      <c r="K1967">
        <v>47496.54</v>
      </c>
      <c r="L1967" t="s">
        <v>952</v>
      </c>
      <c r="M1967">
        <v>39</v>
      </c>
      <c r="N1967" t="s">
        <v>21</v>
      </c>
      <c r="O1967" s="3" t="s">
        <v>22</v>
      </c>
      <c r="P1967" t="s">
        <v>45</v>
      </c>
      <c r="Q1967" t="s">
        <v>56</v>
      </c>
      <c r="R1967">
        <v>5</v>
      </c>
      <c r="S1967" t="s">
        <v>48</v>
      </c>
      <c r="T1967" s="4">
        <f t="shared" si="153"/>
        <v>379972.32</v>
      </c>
      <c r="U1967" s="4" t="str">
        <f t="shared" si="154"/>
        <v>Good</v>
      </c>
      <c r="V1967" s="4" t="str">
        <f t="shared" si="155"/>
        <v>Excellent</v>
      </c>
      <c r="W1967" s="4"/>
      <c r="X1967" s="4"/>
      <c r="AJ1967" s="4"/>
    </row>
    <row r="1968" spans="1:36">
      <c r="A1968" t="str">
        <f t="shared" si="151"/>
        <v>Bina351967</v>
      </c>
      <c r="B1968">
        <v>1967</v>
      </c>
      <c r="C1968">
        <v>21</v>
      </c>
      <c r="D1968">
        <v>4</v>
      </c>
      <c r="E1968">
        <v>2023</v>
      </c>
      <c r="F1968" s="1">
        <f t="shared" si="152"/>
        <v>45037</v>
      </c>
      <c r="G1968" s="1" t="s">
        <v>537</v>
      </c>
      <c r="H1968" s="2">
        <v>46444</v>
      </c>
      <c r="I1968" t="s">
        <v>43</v>
      </c>
      <c r="J1968">
        <v>5</v>
      </c>
      <c r="K1968">
        <v>15795.32</v>
      </c>
      <c r="L1968" t="s">
        <v>165</v>
      </c>
      <c r="M1968">
        <v>35</v>
      </c>
      <c r="N1968" t="s">
        <v>21</v>
      </c>
      <c r="O1968" s="3" t="s">
        <v>55</v>
      </c>
      <c r="P1968" t="s">
        <v>40</v>
      </c>
      <c r="Q1968" t="s">
        <v>24</v>
      </c>
      <c r="R1968">
        <v>2</v>
      </c>
      <c r="S1968" t="s">
        <v>95</v>
      </c>
      <c r="T1968" s="4">
        <f t="shared" si="153"/>
        <v>78976.600000000006</v>
      </c>
      <c r="U1968" s="4" t="str">
        <f t="shared" si="154"/>
        <v>Average</v>
      </c>
      <c r="V1968" s="4" t="str">
        <f t="shared" si="155"/>
        <v>Average</v>
      </c>
      <c r="W1968" s="4"/>
      <c r="X1968" s="4"/>
      <c r="AJ1968" s="4"/>
    </row>
    <row r="1969" spans="1:36">
      <c r="A1969" t="str">
        <f t="shared" si="151"/>
        <v>Kira331968</v>
      </c>
      <c r="B1969">
        <v>1968</v>
      </c>
      <c r="C1969">
        <v>21</v>
      </c>
      <c r="D1969">
        <v>4</v>
      </c>
      <c r="E1969">
        <v>2023</v>
      </c>
      <c r="F1969" s="1">
        <f t="shared" si="152"/>
        <v>45037</v>
      </c>
      <c r="G1969" s="1" t="s">
        <v>537</v>
      </c>
      <c r="H1969" s="2">
        <v>46445</v>
      </c>
      <c r="I1969" t="s">
        <v>49</v>
      </c>
      <c r="J1969">
        <v>2</v>
      </c>
      <c r="K1969">
        <v>67105.929999999993</v>
      </c>
      <c r="L1969" t="s">
        <v>143</v>
      </c>
      <c r="M1969">
        <v>33</v>
      </c>
      <c r="N1969" t="s">
        <v>21</v>
      </c>
      <c r="O1969" s="3" t="s">
        <v>22</v>
      </c>
      <c r="P1969" t="s">
        <v>33</v>
      </c>
      <c r="Q1969" t="s">
        <v>24</v>
      </c>
      <c r="R1969">
        <v>4</v>
      </c>
      <c r="S1969" t="s">
        <v>102</v>
      </c>
      <c r="T1969" s="4">
        <f t="shared" si="153"/>
        <v>134211.85999999999</v>
      </c>
      <c r="U1969" s="4" t="str">
        <f t="shared" si="154"/>
        <v>Good</v>
      </c>
      <c r="V1969" s="4" t="str">
        <f t="shared" si="155"/>
        <v>Good</v>
      </c>
      <c r="W1969" s="4"/>
      <c r="X1969" s="4"/>
      <c r="AJ1969" s="4"/>
    </row>
    <row r="1970" spans="1:36">
      <c r="A1970" t="str">
        <f t="shared" si="151"/>
        <v>Tanu191969</v>
      </c>
      <c r="B1970">
        <v>1969</v>
      </c>
      <c r="C1970">
        <v>21</v>
      </c>
      <c r="D1970">
        <v>4</v>
      </c>
      <c r="E1970">
        <v>2023</v>
      </c>
      <c r="F1970" s="1">
        <f t="shared" si="152"/>
        <v>45037</v>
      </c>
      <c r="G1970" s="1" t="s">
        <v>537</v>
      </c>
      <c r="H1970" s="2">
        <v>46446</v>
      </c>
      <c r="I1970" t="s">
        <v>38</v>
      </c>
      <c r="J1970">
        <v>9</v>
      </c>
      <c r="K1970">
        <v>57446.38</v>
      </c>
      <c r="L1970" t="s">
        <v>129</v>
      </c>
      <c r="M1970">
        <v>19</v>
      </c>
      <c r="N1970" t="s">
        <v>36</v>
      </c>
      <c r="O1970" s="3" t="s">
        <v>22</v>
      </c>
      <c r="P1970" t="s">
        <v>33</v>
      </c>
      <c r="Q1970" t="s">
        <v>24</v>
      </c>
      <c r="R1970">
        <v>5</v>
      </c>
      <c r="S1970" t="s">
        <v>48</v>
      </c>
      <c r="T1970" s="4">
        <f t="shared" si="153"/>
        <v>517017.42</v>
      </c>
      <c r="U1970" s="4" t="str">
        <f t="shared" si="154"/>
        <v>Good</v>
      </c>
      <c r="V1970" s="4" t="str">
        <f t="shared" si="155"/>
        <v>Excellent</v>
      </c>
      <c r="W1970" s="4"/>
      <c r="X1970" s="4"/>
      <c r="AJ1970" s="4"/>
    </row>
    <row r="1971" spans="1:36">
      <c r="A1971" t="str">
        <f t="shared" si="151"/>
        <v>Deve301970</v>
      </c>
      <c r="B1971">
        <v>1970</v>
      </c>
      <c r="C1971">
        <v>22</v>
      </c>
      <c r="D1971">
        <v>4</v>
      </c>
      <c r="E1971">
        <v>2023</v>
      </c>
      <c r="F1971" s="1">
        <f t="shared" si="152"/>
        <v>45038</v>
      </c>
      <c r="G1971" s="1" t="s">
        <v>537</v>
      </c>
      <c r="H1971" s="2">
        <v>46447</v>
      </c>
      <c r="I1971" t="s">
        <v>26</v>
      </c>
      <c r="J1971">
        <v>3</v>
      </c>
      <c r="K1971">
        <v>32435.67</v>
      </c>
      <c r="L1971" t="s">
        <v>548</v>
      </c>
      <c r="M1971">
        <v>30</v>
      </c>
      <c r="N1971" t="s">
        <v>36</v>
      </c>
      <c r="O1971" s="3" t="s">
        <v>22</v>
      </c>
      <c r="P1971" t="s">
        <v>70</v>
      </c>
      <c r="Q1971" t="s">
        <v>56</v>
      </c>
      <c r="R1971">
        <v>4</v>
      </c>
      <c r="S1971" t="s">
        <v>31</v>
      </c>
      <c r="T1971" s="4">
        <f t="shared" si="153"/>
        <v>97307.01</v>
      </c>
      <c r="U1971" s="4" t="str">
        <f t="shared" si="154"/>
        <v>Good</v>
      </c>
      <c r="V1971" s="4" t="str">
        <f t="shared" si="155"/>
        <v>Average</v>
      </c>
      <c r="W1971" s="4"/>
      <c r="X1971" s="4"/>
      <c r="AJ1971" s="4"/>
    </row>
    <row r="1972" spans="1:36">
      <c r="A1972" t="str">
        <f t="shared" si="151"/>
        <v>Kavi331971</v>
      </c>
      <c r="B1972">
        <v>1971</v>
      </c>
      <c r="C1972">
        <v>22</v>
      </c>
      <c r="D1972">
        <v>4</v>
      </c>
      <c r="E1972">
        <v>2023</v>
      </c>
      <c r="F1972" s="1">
        <f t="shared" si="152"/>
        <v>45038</v>
      </c>
      <c r="G1972" s="1" t="s">
        <v>537</v>
      </c>
      <c r="H1972" s="2">
        <v>46448</v>
      </c>
      <c r="I1972" t="s">
        <v>49</v>
      </c>
      <c r="J1972">
        <v>2</v>
      </c>
      <c r="K1972">
        <v>43768.76</v>
      </c>
      <c r="L1972" t="s">
        <v>125</v>
      </c>
      <c r="M1972">
        <v>33</v>
      </c>
      <c r="N1972" t="s">
        <v>21</v>
      </c>
      <c r="O1972" s="3" t="s">
        <v>22</v>
      </c>
      <c r="P1972" t="s">
        <v>114</v>
      </c>
      <c r="Q1972" t="s">
        <v>56</v>
      </c>
      <c r="R1972">
        <v>4</v>
      </c>
      <c r="S1972" t="s">
        <v>88</v>
      </c>
      <c r="T1972" s="4">
        <f t="shared" si="153"/>
        <v>87537.52</v>
      </c>
      <c r="U1972" s="4" t="str">
        <f t="shared" si="154"/>
        <v>Good</v>
      </c>
      <c r="V1972" s="4" t="str">
        <f t="shared" si="155"/>
        <v>Average</v>
      </c>
      <c r="W1972" s="4"/>
      <c r="X1972" s="4"/>
      <c r="AJ1972" s="4"/>
    </row>
    <row r="1973" spans="1:36">
      <c r="A1973" t="str">
        <f t="shared" si="151"/>
        <v>Anja251972</v>
      </c>
      <c r="B1973">
        <v>1972</v>
      </c>
      <c r="C1973">
        <v>22</v>
      </c>
      <c r="D1973">
        <v>4</v>
      </c>
      <c r="E1973">
        <v>2023</v>
      </c>
      <c r="F1973" s="1">
        <f t="shared" si="152"/>
        <v>45038</v>
      </c>
      <c r="G1973" s="1" t="s">
        <v>537</v>
      </c>
      <c r="H1973" s="2">
        <v>46449</v>
      </c>
      <c r="I1973" t="s">
        <v>38</v>
      </c>
      <c r="J1973">
        <v>1</v>
      </c>
      <c r="K1973">
        <v>12839.47</v>
      </c>
      <c r="L1973" t="s">
        <v>280</v>
      </c>
      <c r="M1973">
        <v>25</v>
      </c>
      <c r="N1973" t="s">
        <v>36</v>
      </c>
      <c r="O1973" s="3" t="s">
        <v>22</v>
      </c>
      <c r="P1973" t="s">
        <v>64</v>
      </c>
      <c r="Q1973" t="s">
        <v>30</v>
      </c>
      <c r="R1973">
        <v>5</v>
      </c>
      <c r="S1973" t="s">
        <v>99</v>
      </c>
      <c r="T1973" s="4">
        <f t="shared" si="153"/>
        <v>12839.47</v>
      </c>
      <c r="U1973" s="4" t="str">
        <f t="shared" si="154"/>
        <v>Good</v>
      </c>
      <c r="V1973" s="4" t="str">
        <f t="shared" si="155"/>
        <v>Low</v>
      </c>
      <c r="W1973" s="4"/>
      <c r="X1973" s="4"/>
      <c r="AJ1973" s="4"/>
    </row>
    <row r="1974" spans="1:36">
      <c r="A1974" t="str">
        <f t="shared" si="151"/>
        <v>Lata251973</v>
      </c>
      <c r="B1974">
        <v>1973</v>
      </c>
      <c r="C1974">
        <v>22</v>
      </c>
      <c r="D1974">
        <v>4</v>
      </c>
      <c r="E1974">
        <v>2023</v>
      </c>
      <c r="F1974" s="1">
        <f t="shared" si="152"/>
        <v>45038</v>
      </c>
      <c r="G1974" s="1" t="s">
        <v>537</v>
      </c>
      <c r="H1974" s="2">
        <v>46450</v>
      </c>
      <c r="I1974" t="s">
        <v>26</v>
      </c>
      <c r="J1974">
        <v>8</v>
      </c>
      <c r="K1974">
        <v>12473.67</v>
      </c>
      <c r="L1974" t="s">
        <v>818</v>
      </c>
      <c r="M1974">
        <v>25</v>
      </c>
      <c r="N1974" t="s">
        <v>36</v>
      </c>
      <c r="O1974" s="3" t="s">
        <v>22</v>
      </c>
      <c r="P1974" t="s">
        <v>132</v>
      </c>
      <c r="Q1974" t="s">
        <v>30</v>
      </c>
      <c r="R1974">
        <v>5</v>
      </c>
      <c r="S1974" t="s">
        <v>31</v>
      </c>
      <c r="T1974" s="4">
        <f t="shared" si="153"/>
        <v>99789.36</v>
      </c>
      <c r="U1974" s="4" t="str">
        <f t="shared" si="154"/>
        <v>Good</v>
      </c>
      <c r="V1974" s="4" t="str">
        <f t="shared" si="155"/>
        <v>Average</v>
      </c>
      <c r="W1974" s="4"/>
      <c r="X1974" s="4"/>
      <c r="AJ1974" s="4"/>
    </row>
    <row r="1975" spans="1:36">
      <c r="A1975" t="str">
        <f t="shared" si="151"/>
        <v>Deep271974</v>
      </c>
      <c r="B1975">
        <v>1974</v>
      </c>
      <c r="C1975">
        <v>23</v>
      </c>
      <c r="D1975">
        <v>4</v>
      </c>
      <c r="E1975">
        <v>2023</v>
      </c>
      <c r="F1975" s="1">
        <f t="shared" si="152"/>
        <v>45039</v>
      </c>
      <c r="G1975" s="1" t="s">
        <v>537</v>
      </c>
      <c r="H1975" s="2">
        <v>46451</v>
      </c>
      <c r="I1975" t="s">
        <v>43</v>
      </c>
      <c r="J1975">
        <v>3</v>
      </c>
      <c r="K1975">
        <v>25047.9</v>
      </c>
      <c r="L1975" t="s">
        <v>767</v>
      </c>
      <c r="M1975">
        <v>27</v>
      </c>
      <c r="N1975" t="s">
        <v>36</v>
      </c>
      <c r="O1975" s="3" t="s">
        <v>55</v>
      </c>
      <c r="P1975" t="s">
        <v>64</v>
      </c>
      <c r="Q1975" t="s">
        <v>56</v>
      </c>
      <c r="R1975">
        <v>2</v>
      </c>
      <c r="S1975" t="s">
        <v>95</v>
      </c>
      <c r="T1975" s="4">
        <f t="shared" si="153"/>
        <v>75143.700000000012</v>
      </c>
      <c r="U1975" s="4" t="str">
        <f t="shared" si="154"/>
        <v>Average</v>
      </c>
      <c r="V1975" s="4" t="str">
        <f t="shared" si="155"/>
        <v>Average</v>
      </c>
      <c r="W1975" s="4"/>
      <c r="X1975" s="4"/>
      <c r="AJ1975" s="4"/>
    </row>
    <row r="1976" spans="1:36">
      <c r="A1976" t="str">
        <f t="shared" si="151"/>
        <v>Vive501975</v>
      </c>
      <c r="B1976">
        <v>1975</v>
      </c>
      <c r="C1976">
        <v>23</v>
      </c>
      <c r="D1976">
        <v>4</v>
      </c>
      <c r="E1976">
        <v>2023</v>
      </c>
      <c r="F1976" s="1">
        <f t="shared" si="152"/>
        <v>45039</v>
      </c>
      <c r="G1976" s="1" t="s">
        <v>537</v>
      </c>
      <c r="H1976" s="2">
        <v>46452</v>
      </c>
      <c r="I1976" t="s">
        <v>38</v>
      </c>
      <c r="J1976">
        <v>7</v>
      </c>
      <c r="K1976">
        <v>51382.1</v>
      </c>
      <c r="L1976" t="s">
        <v>334</v>
      </c>
      <c r="M1976">
        <v>50</v>
      </c>
      <c r="N1976" t="s">
        <v>61</v>
      </c>
      <c r="O1976" s="3" t="s">
        <v>55</v>
      </c>
      <c r="P1976" t="s">
        <v>150</v>
      </c>
      <c r="Q1976" t="s">
        <v>30</v>
      </c>
      <c r="R1976">
        <v>1</v>
      </c>
      <c r="S1976" t="s">
        <v>48</v>
      </c>
      <c r="T1976" s="4">
        <f t="shared" si="153"/>
        <v>359674.7</v>
      </c>
      <c r="U1976" s="4" t="str">
        <f t="shared" si="154"/>
        <v>Average</v>
      </c>
      <c r="V1976" s="4" t="str">
        <f t="shared" si="155"/>
        <v>Excellent</v>
      </c>
      <c r="W1976" s="4"/>
      <c r="X1976" s="4"/>
      <c r="AJ1976" s="4"/>
    </row>
    <row r="1977" spans="1:36">
      <c r="A1977" t="str">
        <f t="shared" si="151"/>
        <v>Reen481976</v>
      </c>
      <c r="B1977">
        <v>1976</v>
      </c>
      <c r="C1977">
        <v>23</v>
      </c>
      <c r="D1977">
        <v>4</v>
      </c>
      <c r="E1977">
        <v>2023</v>
      </c>
      <c r="F1977" s="1">
        <f t="shared" si="152"/>
        <v>45039</v>
      </c>
      <c r="G1977" s="1" t="s">
        <v>537</v>
      </c>
      <c r="H1977" s="2">
        <v>46453</v>
      </c>
      <c r="I1977" t="s">
        <v>26</v>
      </c>
      <c r="J1977">
        <v>1</v>
      </c>
      <c r="K1977">
        <v>61128.86</v>
      </c>
      <c r="L1977" t="s">
        <v>926</v>
      </c>
      <c r="M1977">
        <v>48</v>
      </c>
      <c r="N1977" t="s">
        <v>61</v>
      </c>
      <c r="O1977" s="3" t="s">
        <v>22</v>
      </c>
      <c r="P1977" t="s">
        <v>64</v>
      </c>
      <c r="Q1977" t="s">
        <v>56</v>
      </c>
      <c r="R1977">
        <v>5</v>
      </c>
      <c r="S1977" t="s">
        <v>34</v>
      </c>
      <c r="T1977" s="4">
        <f t="shared" si="153"/>
        <v>61128.86</v>
      </c>
      <c r="U1977" s="4" t="str">
        <f t="shared" si="154"/>
        <v>Good</v>
      </c>
      <c r="V1977" s="4" t="str">
        <f t="shared" si="155"/>
        <v>Average</v>
      </c>
      <c r="W1977" s="4"/>
      <c r="X1977" s="4"/>
      <c r="AJ1977" s="4"/>
    </row>
    <row r="1978" spans="1:36">
      <c r="A1978" t="str">
        <f t="shared" si="151"/>
        <v>Pras291977</v>
      </c>
      <c r="B1978">
        <v>1977</v>
      </c>
      <c r="C1978">
        <v>24</v>
      </c>
      <c r="D1978">
        <v>4</v>
      </c>
      <c r="E1978">
        <v>2023</v>
      </c>
      <c r="F1978" s="1">
        <f t="shared" si="152"/>
        <v>45040</v>
      </c>
      <c r="G1978" s="1" t="s">
        <v>537</v>
      </c>
      <c r="H1978" s="2">
        <v>46454</v>
      </c>
      <c r="I1978" t="s">
        <v>43</v>
      </c>
      <c r="J1978">
        <v>1</v>
      </c>
      <c r="K1978">
        <v>43551.15</v>
      </c>
      <c r="L1978" t="s">
        <v>911</v>
      </c>
      <c r="M1978">
        <v>29</v>
      </c>
      <c r="N1978" t="s">
        <v>36</v>
      </c>
      <c r="O1978" s="3" t="s">
        <v>22</v>
      </c>
      <c r="P1978" t="s">
        <v>29</v>
      </c>
      <c r="Q1978" t="s">
        <v>24</v>
      </c>
      <c r="R1978">
        <v>4</v>
      </c>
      <c r="S1978" t="s">
        <v>57</v>
      </c>
      <c r="T1978" s="4">
        <f t="shared" si="153"/>
        <v>43551.15</v>
      </c>
      <c r="U1978" s="4" t="str">
        <f t="shared" si="154"/>
        <v>Good</v>
      </c>
      <c r="V1978" s="4" t="str">
        <f t="shared" si="155"/>
        <v>Low</v>
      </c>
      <c r="W1978" s="4"/>
      <c r="X1978" s="4"/>
      <c r="AJ1978" s="4"/>
    </row>
    <row r="1979" spans="1:36">
      <c r="A1979" t="str">
        <f t="shared" si="151"/>
        <v>Pank261978</v>
      </c>
      <c r="B1979">
        <v>1978</v>
      </c>
      <c r="C1979">
        <v>24</v>
      </c>
      <c r="D1979">
        <v>4</v>
      </c>
      <c r="E1979">
        <v>2023</v>
      </c>
      <c r="F1979" s="1">
        <f t="shared" si="152"/>
        <v>45040</v>
      </c>
      <c r="G1979" s="1" t="s">
        <v>537</v>
      </c>
      <c r="H1979" s="2">
        <v>46455</v>
      </c>
      <c r="I1979" t="s">
        <v>49</v>
      </c>
      <c r="J1979">
        <v>9</v>
      </c>
      <c r="K1979">
        <v>41927.96</v>
      </c>
      <c r="L1979" t="s">
        <v>805</v>
      </c>
      <c r="M1979">
        <v>26</v>
      </c>
      <c r="N1979" t="s">
        <v>36</v>
      </c>
      <c r="O1979" s="3" t="s">
        <v>22</v>
      </c>
      <c r="P1979" t="s">
        <v>29</v>
      </c>
      <c r="Q1979" t="s">
        <v>41</v>
      </c>
      <c r="R1979">
        <v>5</v>
      </c>
      <c r="S1979" t="s">
        <v>88</v>
      </c>
      <c r="T1979" s="4">
        <f t="shared" si="153"/>
        <v>377351.64</v>
      </c>
      <c r="U1979" s="4" t="str">
        <f t="shared" si="154"/>
        <v>Good</v>
      </c>
      <c r="V1979" s="4" t="str">
        <f t="shared" si="155"/>
        <v>Excellent</v>
      </c>
      <c r="W1979" s="4"/>
      <c r="X1979" s="4"/>
      <c r="AJ1979" s="4"/>
    </row>
    <row r="1980" spans="1:36">
      <c r="A1980" t="str">
        <f t="shared" si="151"/>
        <v>Pank541979</v>
      </c>
      <c r="B1980">
        <v>1979</v>
      </c>
      <c r="C1980">
        <v>24</v>
      </c>
      <c r="D1980">
        <v>4</v>
      </c>
      <c r="E1980">
        <v>2023</v>
      </c>
      <c r="F1980" s="1">
        <f t="shared" si="152"/>
        <v>45040</v>
      </c>
      <c r="G1980" s="1" t="s">
        <v>537</v>
      </c>
      <c r="H1980" s="2">
        <v>46456</v>
      </c>
      <c r="I1980" t="s">
        <v>49</v>
      </c>
      <c r="J1980">
        <v>8</v>
      </c>
      <c r="K1980">
        <v>34138.57</v>
      </c>
      <c r="L1980" t="s">
        <v>512</v>
      </c>
      <c r="M1980">
        <v>54</v>
      </c>
      <c r="N1980" t="s">
        <v>61</v>
      </c>
      <c r="O1980" s="3" t="s">
        <v>22</v>
      </c>
      <c r="P1980" t="s">
        <v>23</v>
      </c>
      <c r="Q1980" t="s">
        <v>24</v>
      </c>
      <c r="R1980">
        <v>5</v>
      </c>
      <c r="S1980" t="s">
        <v>52</v>
      </c>
      <c r="T1980" s="4">
        <f t="shared" si="153"/>
        <v>273108.56</v>
      </c>
      <c r="U1980" s="4" t="str">
        <f t="shared" si="154"/>
        <v>Good</v>
      </c>
      <c r="V1980" s="4" t="str">
        <f t="shared" si="155"/>
        <v>Excellent</v>
      </c>
      <c r="W1980" s="4"/>
      <c r="X1980" s="4"/>
      <c r="AJ1980" s="4"/>
    </row>
    <row r="1981" spans="1:36">
      <c r="A1981" t="str">
        <f t="shared" si="151"/>
        <v>Hari261980</v>
      </c>
      <c r="B1981">
        <v>1980</v>
      </c>
      <c r="C1981">
        <v>25</v>
      </c>
      <c r="D1981">
        <v>4</v>
      </c>
      <c r="E1981">
        <v>2023</v>
      </c>
      <c r="F1981" s="1">
        <f t="shared" si="152"/>
        <v>45041</v>
      </c>
      <c r="G1981" s="1" t="s">
        <v>537</v>
      </c>
      <c r="H1981" s="2">
        <v>46457</v>
      </c>
      <c r="I1981" t="s">
        <v>49</v>
      </c>
      <c r="J1981">
        <v>3</v>
      </c>
      <c r="K1981">
        <v>19695.88</v>
      </c>
      <c r="L1981" t="s">
        <v>907</v>
      </c>
      <c r="M1981">
        <v>26</v>
      </c>
      <c r="N1981" t="s">
        <v>36</v>
      </c>
      <c r="O1981" s="3" t="s">
        <v>22</v>
      </c>
      <c r="P1981" t="s">
        <v>90</v>
      </c>
      <c r="Q1981" t="s">
        <v>56</v>
      </c>
      <c r="R1981">
        <v>5</v>
      </c>
      <c r="S1981" t="s">
        <v>52</v>
      </c>
      <c r="T1981" s="4">
        <f t="shared" si="153"/>
        <v>59087.64</v>
      </c>
      <c r="U1981" s="4" t="str">
        <f t="shared" si="154"/>
        <v>Good</v>
      </c>
      <c r="V1981" s="4" t="str">
        <f t="shared" si="155"/>
        <v>Average</v>
      </c>
      <c r="W1981" s="4"/>
      <c r="X1981" s="4"/>
      <c r="AJ1981" s="4"/>
    </row>
    <row r="1982" spans="1:36">
      <c r="A1982" t="str">
        <f t="shared" si="151"/>
        <v>Rame351981</v>
      </c>
      <c r="B1982">
        <v>1981</v>
      </c>
      <c r="C1982">
        <v>25</v>
      </c>
      <c r="D1982">
        <v>4</v>
      </c>
      <c r="E1982">
        <v>2023</v>
      </c>
      <c r="F1982" s="1">
        <f t="shared" si="152"/>
        <v>45041</v>
      </c>
      <c r="G1982" s="1" t="s">
        <v>537</v>
      </c>
      <c r="H1982" s="2">
        <v>46458</v>
      </c>
      <c r="I1982" t="s">
        <v>49</v>
      </c>
      <c r="J1982">
        <v>6</v>
      </c>
      <c r="K1982">
        <v>17101.25</v>
      </c>
      <c r="L1982" t="s">
        <v>69</v>
      </c>
      <c r="M1982">
        <v>35</v>
      </c>
      <c r="N1982" t="s">
        <v>21</v>
      </c>
      <c r="O1982" s="3" t="s">
        <v>22</v>
      </c>
      <c r="P1982" t="s">
        <v>29</v>
      </c>
      <c r="Q1982" t="s">
        <v>24</v>
      </c>
      <c r="R1982">
        <v>5</v>
      </c>
      <c r="S1982" t="s">
        <v>88</v>
      </c>
      <c r="T1982" s="4">
        <f t="shared" si="153"/>
        <v>102607.5</v>
      </c>
      <c r="U1982" s="4" t="str">
        <f t="shared" si="154"/>
        <v>Good</v>
      </c>
      <c r="V1982" s="4" t="str">
        <f t="shared" si="155"/>
        <v>Good</v>
      </c>
      <c r="W1982" s="4"/>
      <c r="X1982" s="4"/>
      <c r="AJ1982" s="4"/>
    </row>
    <row r="1983" spans="1:36">
      <c r="A1983" t="str">
        <f t="shared" si="151"/>
        <v>Vino471982</v>
      </c>
      <c r="B1983">
        <v>1982</v>
      </c>
      <c r="C1983">
        <v>25</v>
      </c>
      <c r="D1983">
        <v>4</v>
      </c>
      <c r="E1983">
        <v>2023</v>
      </c>
      <c r="F1983" s="1">
        <f t="shared" si="152"/>
        <v>45041</v>
      </c>
      <c r="G1983" s="1" t="s">
        <v>537</v>
      </c>
      <c r="H1983" s="2">
        <v>46459</v>
      </c>
      <c r="I1983" t="s">
        <v>19</v>
      </c>
      <c r="J1983">
        <v>3</v>
      </c>
      <c r="K1983">
        <v>55640.79</v>
      </c>
      <c r="L1983" t="s">
        <v>192</v>
      </c>
      <c r="M1983">
        <v>47</v>
      </c>
      <c r="N1983" t="s">
        <v>61</v>
      </c>
      <c r="O1983" s="3" t="s">
        <v>22</v>
      </c>
      <c r="P1983" t="s">
        <v>29</v>
      </c>
      <c r="Q1983" t="s">
        <v>56</v>
      </c>
      <c r="R1983">
        <v>4</v>
      </c>
      <c r="S1983" t="s">
        <v>37</v>
      </c>
      <c r="T1983" s="4">
        <f t="shared" si="153"/>
        <v>166922.37</v>
      </c>
      <c r="U1983" s="4" t="str">
        <f t="shared" si="154"/>
        <v>Good</v>
      </c>
      <c r="V1983" s="4" t="str">
        <f t="shared" si="155"/>
        <v>Good</v>
      </c>
      <c r="W1983" s="4"/>
      <c r="X1983" s="4"/>
      <c r="AJ1983" s="4"/>
    </row>
    <row r="1984" spans="1:36">
      <c r="A1984" t="str">
        <f t="shared" si="151"/>
        <v>Navi491983</v>
      </c>
      <c r="B1984">
        <v>1983</v>
      </c>
      <c r="C1984">
        <v>26</v>
      </c>
      <c r="D1984">
        <v>4</v>
      </c>
      <c r="E1984">
        <v>2023</v>
      </c>
      <c r="F1984" s="1">
        <f t="shared" si="152"/>
        <v>45042</v>
      </c>
      <c r="G1984" s="1" t="s">
        <v>537</v>
      </c>
      <c r="H1984" s="2">
        <v>46460</v>
      </c>
      <c r="I1984" t="s">
        <v>38</v>
      </c>
      <c r="J1984">
        <v>4</v>
      </c>
      <c r="K1984">
        <v>65650.210000000006</v>
      </c>
      <c r="L1984" t="s">
        <v>347</v>
      </c>
      <c r="M1984">
        <v>49</v>
      </c>
      <c r="N1984" t="s">
        <v>61</v>
      </c>
      <c r="O1984" s="3" t="s">
        <v>55</v>
      </c>
      <c r="P1984" t="s">
        <v>110</v>
      </c>
      <c r="Q1984" t="s">
        <v>56</v>
      </c>
      <c r="R1984">
        <v>2</v>
      </c>
      <c r="S1984" t="s">
        <v>42</v>
      </c>
      <c r="T1984" s="4">
        <f t="shared" si="153"/>
        <v>262600.84000000003</v>
      </c>
      <c r="U1984" s="4" t="str">
        <f t="shared" si="154"/>
        <v>Average</v>
      </c>
      <c r="V1984" s="4" t="str">
        <f t="shared" si="155"/>
        <v>Excellent</v>
      </c>
      <c r="W1984" s="4"/>
      <c r="X1984" s="4"/>
      <c r="AJ1984" s="4"/>
    </row>
    <row r="1985" spans="1:36">
      <c r="A1985" t="str">
        <f t="shared" si="151"/>
        <v>Gita571984</v>
      </c>
      <c r="B1985">
        <v>1984</v>
      </c>
      <c r="C1985">
        <v>26</v>
      </c>
      <c r="D1985">
        <v>4</v>
      </c>
      <c r="E1985">
        <v>2023</v>
      </c>
      <c r="F1985" s="1">
        <f t="shared" si="152"/>
        <v>45042</v>
      </c>
      <c r="G1985" s="1" t="s">
        <v>537</v>
      </c>
      <c r="H1985" s="2">
        <v>46461</v>
      </c>
      <c r="I1985" t="s">
        <v>38</v>
      </c>
      <c r="J1985">
        <v>1</v>
      </c>
      <c r="K1985">
        <v>37496.99</v>
      </c>
      <c r="L1985" t="s">
        <v>410</v>
      </c>
      <c r="M1985">
        <v>57</v>
      </c>
      <c r="N1985" t="s">
        <v>61</v>
      </c>
      <c r="O1985" s="3" t="s">
        <v>55</v>
      </c>
      <c r="P1985" t="s">
        <v>29</v>
      </c>
      <c r="Q1985" t="s">
        <v>30</v>
      </c>
      <c r="R1985">
        <v>1</v>
      </c>
      <c r="S1985" t="s">
        <v>99</v>
      </c>
      <c r="T1985" s="4">
        <f t="shared" si="153"/>
        <v>37496.99</v>
      </c>
      <c r="U1985" s="4" t="str">
        <f t="shared" si="154"/>
        <v>Average</v>
      </c>
      <c r="V1985" s="4" t="str">
        <f t="shared" si="155"/>
        <v>Low</v>
      </c>
      <c r="W1985" s="4"/>
      <c r="X1985" s="4"/>
      <c r="AJ1985" s="4"/>
    </row>
    <row r="1986" spans="1:36">
      <c r="A1986" t="str">
        <f t="shared" ref="A1986:A2049" si="156">LEFT(L1986,4)&amp;M1986&amp;B1986</f>
        <v>Hari401985</v>
      </c>
      <c r="B1986">
        <v>1985</v>
      </c>
      <c r="C1986">
        <v>26</v>
      </c>
      <c r="D1986">
        <v>4</v>
      </c>
      <c r="E1986">
        <v>2023</v>
      </c>
      <c r="F1986" s="1">
        <f t="shared" si="152"/>
        <v>45042</v>
      </c>
      <c r="G1986" s="1" t="s">
        <v>537</v>
      </c>
      <c r="H1986" s="2">
        <v>46462</v>
      </c>
      <c r="I1986" t="s">
        <v>19</v>
      </c>
      <c r="J1986">
        <v>5</v>
      </c>
      <c r="K1986">
        <v>49566.74</v>
      </c>
      <c r="L1986" t="s">
        <v>472</v>
      </c>
      <c r="M1986">
        <v>40</v>
      </c>
      <c r="N1986" t="s">
        <v>21</v>
      </c>
      <c r="O1986" s="3" t="s">
        <v>22</v>
      </c>
      <c r="P1986" t="s">
        <v>77</v>
      </c>
      <c r="Q1986" t="s">
        <v>56</v>
      </c>
      <c r="R1986">
        <v>4</v>
      </c>
      <c r="S1986" t="s">
        <v>37</v>
      </c>
      <c r="T1986" s="4">
        <f t="shared" si="153"/>
        <v>247833.69999999998</v>
      </c>
      <c r="U1986" s="4" t="str">
        <f t="shared" si="154"/>
        <v>Good</v>
      </c>
      <c r="V1986" s="4" t="str">
        <f t="shared" si="155"/>
        <v>Excellent</v>
      </c>
      <c r="W1986" s="4"/>
      <c r="X1986" s="4"/>
      <c r="AJ1986" s="4"/>
    </row>
    <row r="1987" spans="1:36">
      <c r="A1987" t="str">
        <f t="shared" si="156"/>
        <v>Tapa281986</v>
      </c>
      <c r="B1987">
        <v>1986</v>
      </c>
      <c r="C1987">
        <v>26</v>
      </c>
      <c r="D1987">
        <v>4</v>
      </c>
      <c r="E1987">
        <v>2023</v>
      </c>
      <c r="F1987" s="1">
        <f t="shared" ref="F1987:F2050" si="157">DATE(E1987,D1987,C1987)</f>
        <v>45042</v>
      </c>
      <c r="G1987" s="1" t="s">
        <v>537</v>
      </c>
      <c r="H1987" s="2">
        <v>46463</v>
      </c>
      <c r="I1987" t="s">
        <v>26</v>
      </c>
      <c r="J1987">
        <v>1</v>
      </c>
      <c r="K1987">
        <v>64867.46</v>
      </c>
      <c r="L1987" t="s">
        <v>312</v>
      </c>
      <c r="M1987">
        <v>28</v>
      </c>
      <c r="N1987" t="s">
        <v>36</v>
      </c>
      <c r="O1987" s="3" t="s">
        <v>22</v>
      </c>
      <c r="P1987" t="s">
        <v>132</v>
      </c>
      <c r="Q1987" t="s">
        <v>41</v>
      </c>
      <c r="R1987">
        <v>4</v>
      </c>
      <c r="S1987" t="s">
        <v>31</v>
      </c>
      <c r="T1987" s="4">
        <f t="shared" ref="T1987:T2050" si="158">J1987*K1987</f>
        <v>64867.46</v>
      </c>
      <c r="U1987" s="4" t="str">
        <f t="shared" ref="U1987:U2050" si="159">IF(R1987&gt;=4,"Good","Average")</f>
        <v>Good</v>
      </c>
      <c r="V1987" s="4" t="str">
        <f t="shared" ref="V1987:V2050" si="160">IF(T1987&gt;200000,"Excellent",IF(T1987&gt;100000,"Good",IF(T1987&gt;50000,"Average","Low")))</f>
        <v>Average</v>
      </c>
      <c r="W1987" s="4"/>
      <c r="X1987" s="4"/>
      <c r="AJ1987" s="4"/>
    </row>
    <row r="1988" spans="1:36">
      <c r="A1988" t="str">
        <f t="shared" si="156"/>
        <v>Neet371987</v>
      </c>
      <c r="B1988">
        <v>1987</v>
      </c>
      <c r="C1988">
        <v>27</v>
      </c>
      <c r="D1988">
        <v>4</v>
      </c>
      <c r="E1988">
        <v>2023</v>
      </c>
      <c r="F1988" s="1">
        <f t="shared" si="157"/>
        <v>45043</v>
      </c>
      <c r="G1988" s="1" t="s">
        <v>537</v>
      </c>
      <c r="H1988" s="2">
        <v>46464</v>
      </c>
      <c r="I1988" t="s">
        <v>26</v>
      </c>
      <c r="J1988">
        <v>1</v>
      </c>
      <c r="K1988">
        <v>15406.82</v>
      </c>
      <c r="L1988" t="s">
        <v>479</v>
      </c>
      <c r="M1988">
        <v>37</v>
      </c>
      <c r="N1988" t="s">
        <v>21</v>
      </c>
      <c r="O1988" s="3" t="s">
        <v>22</v>
      </c>
      <c r="P1988" t="s">
        <v>29</v>
      </c>
      <c r="Q1988" t="s">
        <v>30</v>
      </c>
      <c r="R1988">
        <v>4</v>
      </c>
      <c r="S1988" t="s">
        <v>34</v>
      </c>
      <c r="T1988" s="4">
        <f t="shared" si="158"/>
        <v>15406.82</v>
      </c>
      <c r="U1988" s="4" t="str">
        <f t="shared" si="159"/>
        <v>Good</v>
      </c>
      <c r="V1988" s="4" t="str">
        <f t="shared" si="160"/>
        <v>Low</v>
      </c>
      <c r="W1988" s="4"/>
      <c r="X1988" s="4"/>
      <c r="AJ1988" s="4"/>
    </row>
    <row r="1989" spans="1:36">
      <c r="A1989" t="str">
        <f t="shared" si="156"/>
        <v>Kira361988</v>
      </c>
      <c r="B1989">
        <v>1988</v>
      </c>
      <c r="C1989">
        <v>27</v>
      </c>
      <c r="D1989">
        <v>4</v>
      </c>
      <c r="E1989">
        <v>2023</v>
      </c>
      <c r="F1989" s="1">
        <f t="shared" si="157"/>
        <v>45043</v>
      </c>
      <c r="G1989" s="1" t="s">
        <v>537</v>
      </c>
      <c r="H1989" s="2">
        <v>46465</v>
      </c>
      <c r="I1989" t="s">
        <v>49</v>
      </c>
      <c r="J1989">
        <v>7</v>
      </c>
      <c r="K1989">
        <v>56228.89</v>
      </c>
      <c r="L1989" t="s">
        <v>302</v>
      </c>
      <c r="M1989">
        <v>36</v>
      </c>
      <c r="N1989" t="s">
        <v>21</v>
      </c>
      <c r="O1989" s="3" t="s">
        <v>55</v>
      </c>
      <c r="P1989" t="s">
        <v>33</v>
      </c>
      <c r="Q1989" t="s">
        <v>41</v>
      </c>
      <c r="R1989">
        <v>1</v>
      </c>
      <c r="S1989" t="s">
        <v>52</v>
      </c>
      <c r="T1989" s="4">
        <f t="shared" si="158"/>
        <v>393602.23</v>
      </c>
      <c r="U1989" s="4" t="str">
        <f t="shared" si="159"/>
        <v>Average</v>
      </c>
      <c r="V1989" s="4" t="str">
        <f t="shared" si="160"/>
        <v>Excellent</v>
      </c>
      <c r="W1989" s="4"/>
      <c r="X1989" s="4"/>
      <c r="AJ1989" s="4"/>
    </row>
    <row r="1990" spans="1:36">
      <c r="A1990" t="str">
        <f t="shared" si="156"/>
        <v>Vija531989</v>
      </c>
      <c r="B1990">
        <v>1989</v>
      </c>
      <c r="C1990">
        <v>27</v>
      </c>
      <c r="D1990">
        <v>4</v>
      </c>
      <c r="E1990">
        <v>2023</v>
      </c>
      <c r="F1990" s="1">
        <f t="shared" si="157"/>
        <v>45043</v>
      </c>
      <c r="G1990" s="1" t="s">
        <v>537</v>
      </c>
      <c r="H1990" s="2">
        <v>46466</v>
      </c>
      <c r="I1990" t="s">
        <v>43</v>
      </c>
      <c r="J1990">
        <v>6</v>
      </c>
      <c r="K1990">
        <v>47009.01</v>
      </c>
      <c r="L1990" t="s">
        <v>565</v>
      </c>
      <c r="M1990">
        <v>53</v>
      </c>
      <c r="N1990" t="s">
        <v>61</v>
      </c>
      <c r="O1990" s="3" t="s">
        <v>55</v>
      </c>
      <c r="P1990" t="s">
        <v>93</v>
      </c>
      <c r="Q1990" t="s">
        <v>56</v>
      </c>
      <c r="R1990">
        <v>2</v>
      </c>
      <c r="S1990" t="s">
        <v>57</v>
      </c>
      <c r="T1990" s="4">
        <f t="shared" si="158"/>
        <v>282054.06</v>
      </c>
      <c r="U1990" s="4" t="str">
        <f t="shared" si="159"/>
        <v>Average</v>
      </c>
      <c r="V1990" s="4" t="str">
        <f t="shared" si="160"/>
        <v>Excellent</v>
      </c>
      <c r="W1990" s="4"/>
      <c r="X1990" s="4"/>
      <c r="AJ1990" s="4"/>
    </row>
    <row r="1991" spans="1:36">
      <c r="A1991" t="str">
        <f t="shared" si="156"/>
        <v>Meen431990</v>
      </c>
      <c r="B1991">
        <v>1990</v>
      </c>
      <c r="C1991">
        <v>27</v>
      </c>
      <c r="D1991">
        <v>4</v>
      </c>
      <c r="E1991">
        <v>2023</v>
      </c>
      <c r="F1991" s="1">
        <f t="shared" si="157"/>
        <v>45043</v>
      </c>
      <c r="G1991" s="1" t="s">
        <v>537</v>
      </c>
      <c r="H1991" s="2">
        <v>46467</v>
      </c>
      <c r="I1991" t="s">
        <v>26</v>
      </c>
      <c r="J1991">
        <v>2</v>
      </c>
      <c r="K1991">
        <v>45918.23</v>
      </c>
      <c r="L1991" t="s">
        <v>953</v>
      </c>
      <c r="M1991">
        <v>43</v>
      </c>
      <c r="N1991" t="s">
        <v>21</v>
      </c>
      <c r="O1991" s="3" t="s">
        <v>55</v>
      </c>
      <c r="P1991" t="s">
        <v>29</v>
      </c>
      <c r="Q1991" t="s">
        <v>24</v>
      </c>
      <c r="R1991">
        <v>2</v>
      </c>
      <c r="S1991" t="s">
        <v>31</v>
      </c>
      <c r="T1991" s="4">
        <f t="shared" si="158"/>
        <v>91836.46</v>
      </c>
      <c r="U1991" s="4" t="str">
        <f t="shared" si="159"/>
        <v>Average</v>
      </c>
      <c r="V1991" s="4" t="str">
        <f t="shared" si="160"/>
        <v>Average</v>
      </c>
      <c r="W1991" s="4"/>
      <c r="X1991" s="4"/>
      <c r="AJ1991" s="4"/>
    </row>
    <row r="1992" spans="1:36">
      <c r="A1992" t="str">
        <f t="shared" si="156"/>
        <v>Deve271991</v>
      </c>
      <c r="B1992">
        <v>1991</v>
      </c>
      <c r="C1992">
        <v>28</v>
      </c>
      <c r="D1992">
        <v>4</v>
      </c>
      <c r="E1992">
        <v>2023</v>
      </c>
      <c r="F1992" s="1">
        <f t="shared" si="157"/>
        <v>45044</v>
      </c>
      <c r="G1992" s="1" t="s">
        <v>537</v>
      </c>
      <c r="H1992" s="2">
        <v>46468</v>
      </c>
      <c r="I1992" t="s">
        <v>43</v>
      </c>
      <c r="J1992">
        <v>2</v>
      </c>
      <c r="K1992">
        <v>27552.43</v>
      </c>
      <c r="L1992" t="s">
        <v>454</v>
      </c>
      <c r="M1992">
        <v>27</v>
      </c>
      <c r="N1992" t="s">
        <v>36</v>
      </c>
      <c r="O1992" s="3" t="s">
        <v>22</v>
      </c>
      <c r="P1992" t="s">
        <v>29</v>
      </c>
      <c r="Q1992" t="s">
        <v>56</v>
      </c>
      <c r="R1992">
        <v>4</v>
      </c>
      <c r="S1992" t="s">
        <v>57</v>
      </c>
      <c r="T1992" s="4">
        <f t="shared" si="158"/>
        <v>55104.86</v>
      </c>
      <c r="U1992" s="4" t="str">
        <f t="shared" si="159"/>
        <v>Good</v>
      </c>
      <c r="V1992" s="4" t="str">
        <f t="shared" si="160"/>
        <v>Average</v>
      </c>
      <c r="W1992" s="4"/>
      <c r="X1992" s="4"/>
      <c r="AJ1992" s="4"/>
    </row>
    <row r="1993" spans="1:36">
      <c r="A1993" t="str">
        <f t="shared" si="156"/>
        <v>Moni411992</v>
      </c>
      <c r="B1993">
        <v>1992</v>
      </c>
      <c r="C1993">
        <v>28</v>
      </c>
      <c r="D1993">
        <v>4</v>
      </c>
      <c r="E1993">
        <v>2023</v>
      </c>
      <c r="F1993" s="1">
        <f t="shared" si="157"/>
        <v>45044</v>
      </c>
      <c r="G1993" s="1" t="s">
        <v>537</v>
      </c>
      <c r="H1993" s="2">
        <v>46469</v>
      </c>
      <c r="I1993" t="s">
        <v>38</v>
      </c>
      <c r="J1993">
        <v>7</v>
      </c>
      <c r="K1993">
        <v>51033.599999999999</v>
      </c>
      <c r="L1993" t="s">
        <v>865</v>
      </c>
      <c r="M1993">
        <v>41</v>
      </c>
      <c r="N1993" t="s">
        <v>21</v>
      </c>
      <c r="O1993" s="3" t="s">
        <v>22</v>
      </c>
      <c r="P1993" t="s">
        <v>29</v>
      </c>
      <c r="Q1993" t="s">
        <v>56</v>
      </c>
      <c r="R1993">
        <v>4</v>
      </c>
      <c r="S1993" t="s">
        <v>99</v>
      </c>
      <c r="T1993" s="4">
        <f t="shared" si="158"/>
        <v>357235.20000000001</v>
      </c>
      <c r="U1993" s="4" t="str">
        <f t="shared" si="159"/>
        <v>Good</v>
      </c>
      <c r="V1993" s="4" t="str">
        <f t="shared" si="160"/>
        <v>Excellent</v>
      </c>
      <c r="W1993" s="4"/>
      <c r="X1993" s="4"/>
      <c r="AJ1993" s="4"/>
    </row>
    <row r="1994" spans="1:36">
      <c r="A1994" t="str">
        <f t="shared" si="156"/>
        <v>Anan301993</v>
      </c>
      <c r="B1994">
        <v>1993</v>
      </c>
      <c r="C1994">
        <v>28</v>
      </c>
      <c r="D1994">
        <v>4</v>
      </c>
      <c r="E1994">
        <v>2023</v>
      </c>
      <c r="F1994" s="1">
        <f t="shared" si="157"/>
        <v>45044</v>
      </c>
      <c r="G1994" s="1" t="s">
        <v>537</v>
      </c>
      <c r="H1994" s="2">
        <v>46470</v>
      </c>
      <c r="I1994" t="s">
        <v>43</v>
      </c>
      <c r="J1994">
        <v>1</v>
      </c>
      <c r="K1994">
        <v>57687.87</v>
      </c>
      <c r="L1994" t="s">
        <v>418</v>
      </c>
      <c r="M1994">
        <v>30</v>
      </c>
      <c r="N1994" t="s">
        <v>36</v>
      </c>
      <c r="O1994" s="3" t="s">
        <v>22</v>
      </c>
      <c r="P1994" t="s">
        <v>66</v>
      </c>
      <c r="Q1994" t="s">
        <v>24</v>
      </c>
      <c r="R1994">
        <v>4</v>
      </c>
      <c r="S1994" t="s">
        <v>57</v>
      </c>
      <c r="T1994" s="4">
        <f t="shared" si="158"/>
        <v>57687.87</v>
      </c>
      <c r="U1994" s="4" t="str">
        <f t="shared" si="159"/>
        <v>Good</v>
      </c>
      <c r="V1994" s="4" t="str">
        <f t="shared" si="160"/>
        <v>Average</v>
      </c>
      <c r="W1994" s="4"/>
      <c r="X1994" s="4"/>
      <c r="AJ1994" s="4"/>
    </row>
    <row r="1995" spans="1:36">
      <c r="A1995" t="str">
        <f t="shared" si="156"/>
        <v>Anja511994</v>
      </c>
      <c r="B1995">
        <v>1994</v>
      </c>
      <c r="C1995">
        <v>28</v>
      </c>
      <c r="D1995">
        <v>4</v>
      </c>
      <c r="E1995">
        <v>2023</v>
      </c>
      <c r="F1995" s="1">
        <f t="shared" si="157"/>
        <v>45044</v>
      </c>
      <c r="G1995" s="1" t="s">
        <v>537</v>
      </c>
      <c r="H1995" s="2">
        <v>46471</v>
      </c>
      <c r="I1995" t="s">
        <v>38</v>
      </c>
      <c r="J1995">
        <v>2</v>
      </c>
      <c r="K1995">
        <v>16771.490000000002</v>
      </c>
      <c r="L1995" t="s">
        <v>954</v>
      </c>
      <c r="M1995">
        <v>51</v>
      </c>
      <c r="N1995" t="s">
        <v>61</v>
      </c>
      <c r="O1995" s="3" t="s">
        <v>55</v>
      </c>
      <c r="P1995" t="s">
        <v>29</v>
      </c>
      <c r="Q1995" t="s">
        <v>24</v>
      </c>
      <c r="R1995">
        <v>2</v>
      </c>
      <c r="S1995" t="s">
        <v>48</v>
      </c>
      <c r="T1995" s="4">
        <f t="shared" si="158"/>
        <v>33542.980000000003</v>
      </c>
      <c r="U1995" s="4" t="str">
        <f t="shared" si="159"/>
        <v>Average</v>
      </c>
      <c r="V1995" s="4" t="str">
        <f t="shared" si="160"/>
        <v>Low</v>
      </c>
      <c r="W1995" s="4"/>
      <c r="X1995" s="4"/>
      <c r="AJ1995" s="4"/>
    </row>
    <row r="1996" spans="1:36">
      <c r="A1996" t="str">
        <f t="shared" si="156"/>
        <v>Reen461995</v>
      </c>
      <c r="B1996">
        <v>1995</v>
      </c>
      <c r="C1996">
        <v>29</v>
      </c>
      <c r="D1996">
        <v>4</v>
      </c>
      <c r="E1996">
        <v>2023</v>
      </c>
      <c r="F1996" s="1">
        <f t="shared" si="157"/>
        <v>45045</v>
      </c>
      <c r="G1996" s="1" t="s">
        <v>537</v>
      </c>
      <c r="H1996" s="2">
        <v>46472</v>
      </c>
      <c r="I1996" t="s">
        <v>19</v>
      </c>
      <c r="J1996">
        <v>8</v>
      </c>
      <c r="K1996">
        <v>42011.29</v>
      </c>
      <c r="L1996" t="s">
        <v>451</v>
      </c>
      <c r="M1996">
        <v>46</v>
      </c>
      <c r="N1996" t="s">
        <v>61</v>
      </c>
      <c r="O1996" s="3" t="s">
        <v>55</v>
      </c>
      <c r="P1996" t="s">
        <v>70</v>
      </c>
      <c r="Q1996" t="s">
        <v>41</v>
      </c>
      <c r="R1996">
        <v>2</v>
      </c>
      <c r="S1996" t="s">
        <v>25</v>
      </c>
      <c r="T1996" s="4">
        <f t="shared" si="158"/>
        <v>336090.32</v>
      </c>
      <c r="U1996" s="4" t="str">
        <f t="shared" si="159"/>
        <v>Average</v>
      </c>
      <c r="V1996" s="4" t="str">
        <f t="shared" si="160"/>
        <v>Excellent</v>
      </c>
      <c r="W1996" s="4"/>
      <c r="X1996" s="4"/>
      <c r="AJ1996" s="4"/>
    </row>
    <row r="1997" spans="1:36">
      <c r="A1997" t="str">
        <f t="shared" si="156"/>
        <v>Nikh531996</v>
      </c>
      <c r="B1997">
        <v>1996</v>
      </c>
      <c r="C1997">
        <v>29</v>
      </c>
      <c r="D1997">
        <v>4</v>
      </c>
      <c r="E1997">
        <v>2023</v>
      </c>
      <c r="F1997" s="1">
        <f t="shared" si="157"/>
        <v>45045</v>
      </c>
      <c r="G1997" s="1" t="s">
        <v>537</v>
      </c>
      <c r="H1997" s="2">
        <v>46473</v>
      </c>
      <c r="I1997" t="s">
        <v>19</v>
      </c>
      <c r="J1997">
        <v>6</v>
      </c>
      <c r="K1997">
        <v>16075.91</v>
      </c>
      <c r="L1997" t="s">
        <v>169</v>
      </c>
      <c r="M1997">
        <v>53</v>
      </c>
      <c r="N1997" t="s">
        <v>61</v>
      </c>
      <c r="O1997" s="3" t="s">
        <v>55</v>
      </c>
      <c r="P1997" t="s">
        <v>70</v>
      </c>
      <c r="Q1997" t="s">
        <v>30</v>
      </c>
      <c r="R1997">
        <v>2</v>
      </c>
      <c r="S1997" t="s">
        <v>25</v>
      </c>
      <c r="T1997" s="4">
        <f t="shared" si="158"/>
        <v>96455.459999999992</v>
      </c>
      <c r="U1997" s="4" t="str">
        <f t="shared" si="159"/>
        <v>Average</v>
      </c>
      <c r="V1997" s="4" t="str">
        <f t="shared" si="160"/>
        <v>Average</v>
      </c>
      <c r="W1997" s="4"/>
      <c r="X1997" s="4"/>
      <c r="AJ1997" s="4"/>
    </row>
    <row r="1998" spans="1:36">
      <c r="A1998" t="str">
        <f t="shared" si="156"/>
        <v>Kira241997</v>
      </c>
      <c r="B1998">
        <v>1997</v>
      </c>
      <c r="C1998">
        <v>29</v>
      </c>
      <c r="D1998">
        <v>4</v>
      </c>
      <c r="E1998">
        <v>2023</v>
      </c>
      <c r="F1998" s="1">
        <f t="shared" si="157"/>
        <v>45045</v>
      </c>
      <c r="G1998" s="1" t="s">
        <v>537</v>
      </c>
      <c r="H1998" s="2">
        <v>46474</v>
      </c>
      <c r="I1998" t="s">
        <v>49</v>
      </c>
      <c r="J1998">
        <v>2</v>
      </c>
      <c r="K1998">
        <v>62354.44</v>
      </c>
      <c r="L1998" t="s">
        <v>610</v>
      </c>
      <c r="M1998">
        <v>24</v>
      </c>
      <c r="N1998" t="s">
        <v>36</v>
      </c>
      <c r="O1998" s="3" t="s">
        <v>22</v>
      </c>
      <c r="P1998" t="s">
        <v>33</v>
      </c>
      <c r="Q1998" t="s">
        <v>30</v>
      </c>
      <c r="R1998">
        <v>4</v>
      </c>
      <c r="S1998" t="s">
        <v>102</v>
      </c>
      <c r="T1998" s="4">
        <f t="shared" si="158"/>
        <v>124708.88</v>
      </c>
      <c r="U1998" s="4" t="str">
        <f t="shared" si="159"/>
        <v>Good</v>
      </c>
      <c r="V1998" s="4" t="str">
        <f t="shared" si="160"/>
        <v>Good</v>
      </c>
      <c r="W1998" s="4"/>
      <c r="X1998" s="4"/>
      <c r="AJ1998" s="4"/>
    </row>
    <row r="1999" spans="1:36">
      <c r="A1999" t="str">
        <f t="shared" si="156"/>
        <v>Priy471998</v>
      </c>
      <c r="B1999">
        <v>1998</v>
      </c>
      <c r="C1999">
        <v>29</v>
      </c>
      <c r="D1999">
        <v>4</v>
      </c>
      <c r="E1999">
        <v>2023</v>
      </c>
      <c r="F1999" s="1">
        <f t="shared" si="157"/>
        <v>45045</v>
      </c>
      <c r="G1999" s="1" t="s">
        <v>537</v>
      </c>
      <c r="H1999" s="2">
        <v>46475</v>
      </c>
      <c r="I1999" t="s">
        <v>26</v>
      </c>
      <c r="J1999">
        <v>7</v>
      </c>
      <c r="K1999">
        <v>40458.199999999997</v>
      </c>
      <c r="L1999" t="s">
        <v>317</v>
      </c>
      <c r="M1999">
        <v>47</v>
      </c>
      <c r="N1999" t="s">
        <v>61</v>
      </c>
      <c r="O1999" s="3" t="s">
        <v>55</v>
      </c>
      <c r="P1999" t="s">
        <v>150</v>
      </c>
      <c r="Q1999" t="s">
        <v>30</v>
      </c>
      <c r="R1999">
        <v>2</v>
      </c>
      <c r="S1999" t="s">
        <v>31</v>
      </c>
      <c r="T1999" s="4">
        <f t="shared" si="158"/>
        <v>283207.39999999997</v>
      </c>
      <c r="U1999" s="4" t="str">
        <f t="shared" si="159"/>
        <v>Average</v>
      </c>
      <c r="V1999" s="4" t="str">
        <f t="shared" si="160"/>
        <v>Excellent</v>
      </c>
      <c r="W1999" s="4"/>
      <c r="X1999" s="4"/>
      <c r="AJ1999" s="4"/>
    </row>
    <row r="2000" spans="1:36">
      <c r="A2000" t="str">
        <f t="shared" si="156"/>
        <v>Adit341999</v>
      </c>
      <c r="B2000">
        <v>1999</v>
      </c>
      <c r="C2000">
        <v>30</v>
      </c>
      <c r="D2000">
        <v>4</v>
      </c>
      <c r="E2000">
        <v>2023</v>
      </c>
      <c r="F2000" s="1">
        <f t="shared" si="157"/>
        <v>45046</v>
      </c>
      <c r="G2000" s="1" t="s">
        <v>537</v>
      </c>
      <c r="H2000" s="2">
        <v>46476</v>
      </c>
      <c r="I2000" t="s">
        <v>49</v>
      </c>
      <c r="J2000">
        <v>4</v>
      </c>
      <c r="K2000">
        <v>58477.94</v>
      </c>
      <c r="L2000" t="s">
        <v>589</v>
      </c>
      <c r="M2000">
        <v>34</v>
      </c>
      <c r="N2000" t="s">
        <v>21</v>
      </c>
      <c r="O2000" s="3" t="s">
        <v>22</v>
      </c>
      <c r="P2000" t="s">
        <v>33</v>
      </c>
      <c r="Q2000" t="s">
        <v>41</v>
      </c>
      <c r="R2000">
        <v>5</v>
      </c>
      <c r="S2000" t="s">
        <v>102</v>
      </c>
      <c r="T2000" s="4">
        <f t="shared" si="158"/>
        <v>233911.76</v>
      </c>
      <c r="U2000" s="4" t="str">
        <f t="shared" si="159"/>
        <v>Good</v>
      </c>
      <c r="V2000" s="4" t="str">
        <f t="shared" si="160"/>
        <v>Excellent</v>
      </c>
      <c r="W2000" s="4"/>
      <c r="X2000" s="4"/>
      <c r="AJ2000" s="4"/>
    </row>
    <row r="2001" spans="1:36">
      <c r="A2001" t="str">
        <f t="shared" si="156"/>
        <v>Moni302000</v>
      </c>
      <c r="B2001">
        <v>2000</v>
      </c>
      <c r="C2001">
        <v>30</v>
      </c>
      <c r="D2001">
        <v>4</v>
      </c>
      <c r="E2001">
        <v>2023</v>
      </c>
      <c r="F2001" s="1">
        <f t="shared" si="157"/>
        <v>45046</v>
      </c>
      <c r="G2001" s="1" t="s">
        <v>537</v>
      </c>
      <c r="H2001" s="2">
        <v>46477</v>
      </c>
      <c r="I2001" t="s">
        <v>38</v>
      </c>
      <c r="J2001">
        <v>2</v>
      </c>
      <c r="K2001">
        <v>32085.14</v>
      </c>
      <c r="L2001" t="s">
        <v>955</v>
      </c>
      <c r="M2001">
        <v>30</v>
      </c>
      <c r="N2001" t="s">
        <v>36</v>
      </c>
      <c r="O2001" s="3" t="s">
        <v>22</v>
      </c>
      <c r="P2001" t="s">
        <v>93</v>
      </c>
      <c r="Q2001" t="s">
        <v>41</v>
      </c>
      <c r="R2001">
        <v>4</v>
      </c>
      <c r="S2001" t="s">
        <v>48</v>
      </c>
      <c r="T2001" s="4">
        <f t="shared" si="158"/>
        <v>64170.28</v>
      </c>
      <c r="U2001" s="4" t="str">
        <f t="shared" si="159"/>
        <v>Good</v>
      </c>
      <c r="V2001" s="4" t="str">
        <f t="shared" si="160"/>
        <v>Average</v>
      </c>
      <c r="W2001" s="4"/>
      <c r="X2001" s="4"/>
      <c r="AJ2001" s="4"/>
    </row>
    <row r="2002" spans="1:36">
      <c r="A2002" t="str">
        <f t="shared" si="156"/>
        <v>Deep412001</v>
      </c>
      <c r="B2002">
        <v>2001</v>
      </c>
      <c r="C2002">
        <v>30</v>
      </c>
      <c r="D2002">
        <v>4</v>
      </c>
      <c r="E2002">
        <v>2023</v>
      </c>
      <c r="F2002" s="1">
        <f t="shared" si="157"/>
        <v>45046</v>
      </c>
      <c r="G2002" s="1" t="s">
        <v>537</v>
      </c>
      <c r="H2002" s="2">
        <v>46478</v>
      </c>
      <c r="I2002" t="s">
        <v>49</v>
      </c>
      <c r="J2002">
        <v>6</v>
      </c>
      <c r="K2002">
        <v>17504.689999999999</v>
      </c>
      <c r="L2002" t="s">
        <v>830</v>
      </c>
      <c r="M2002">
        <v>41</v>
      </c>
      <c r="N2002" t="s">
        <v>21</v>
      </c>
      <c r="O2002" s="3" t="s">
        <v>22</v>
      </c>
      <c r="P2002" t="s">
        <v>33</v>
      </c>
      <c r="Q2002" t="s">
        <v>24</v>
      </c>
      <c r="R2002">
        <v>4</v>
      </c>
      <c r="S2002" t="s">
        <v>102</v>
      </c>
      <c r="T2002" s="4">
        <f t="shared" si="158"/>
        <v>105028.13999999998</v>
      </c>
      <c r="U2002" s="4" t="str">
        <f t="shared" si="159"/>
        <v>Good</v>
      </c>
      <c r="V2002" s="4" t="str">
        <f t="shared" si="160"/>
        <v>Good</v>
      </c>
      <c r="W2002" s="4"/>
      <c r="X2002" s="4"/>
      <c r="AJ2002" s="4"/>
    </row>
    <row r="2003" spans="1:36">
      <c r="A2003" t="str">
        <f t="shared" si="156"/>
        <v>Umes482002</v>
      </c>
      <c r="B2003">
        <v>2002</v>
      </c>
      <c r="C2003">
        <v>1</v>
      </c>
      <c r="D2003">
        <v>5</v>
      </c>
      <c r="E2003">
        <v>2023</v>
      </c>
      <c r="F2003" s="1">
        <f t="shared" si="157"/>
        <v>45047</v>
      </c>
      <c r="G2003" s="1" t="s">
        <v>592</v>
      </c>
      <c r="H2003" s="2">
        <v>46479</v>
      </c>
      <c r="I2003" t="s">
        <v>43</v>
      </c>
      <c r="J2003">
        <v>9</v>
      </c>
      <c r="K2003">
        <v>12489.96</v>
      </c>
      <c r="L2003" t="s">
        <v>817</v>
      </c>
      <c r="M2003">
        <v>48</v>
      </c>
      <c r="N2003" t="s">
        <v>61</v>
      </c>
      <c r="O2003" s="3" t="s">
        <v>22</v>
      </c>
      <c r="P2003" t="s">
        <v>132</v>
      </c>
      <c r="Q2003" t="s">
        <v>30</v>
      </c>
      <c r="R2003">
        <v>4</v>
      </c>
      <c r="S2003" t="s">
        <v>95</v>
      </c>
      <c r="T2003" s="4">
        <f t="shared" si="158"/>
        <v>112409.63999999998</v>
      </c>
      <c r="U2003" s="4" t="str">
        <f t="shared" si="159"/>
        <v>Good</v>
      </c>
      <c r="V2003" s="4" t="str">
        <f t="shared" si="160"/>
        <v>Good</v>
      </c>
      <c r="W2003" s="4"/>
      <c r="X2003" s="4"/>
      <c r="AJ2003" s="4"/>
    </row>
    <row r="2004" spans="1:36">
      <c r="A2004" t="str">
        <f t="shared" si="156"/>
        <v>Arun442003</v>
      </c>
      <c r="B2004">
        <v>2003</v>
      </c>
      <c r="C2004">
        <v>1</v>
      </c>
      <c r="D2004">
        <v>5</v>
      </c>
      <c r="E2004">
        <v>2023</v>
      </c>
      <c r="F2004" s="1">
        <f t="shared" si="157"/>
        <v>45047</v>
      </c>
      <c r="G2004" s="1" t="s">
        <v>592</v>
      </c>
      <c r="H2004" s="2">
        <v>46480</v>
      </c>
      <c r="I2004" t="s">
        <v>38</v>
      </c>
      <c r="J2004">
        <v>9</v>
      </c>
      <c r="K2004">
        <v>26890.58</v>
      </c>
      <c r="L2004" t="s">
        <v>804</v>
      </c>
      <c r="M2004">
        <v>44</v>
      </c>
      <c r="N2004" t="s">
        <v>21</v>
      </c>
      <c r="O2004" s="3" t="s">
        <v>22</v>
      </c>
      <c r="P2004" t="s">
        <v>114</v>
      </c>
      <c r="Q2004" t="s">
        <v>56</v>
      </c>
      <c r="R2004">
        <v>4</v>
      </c>
      <c r="S2004" t="s">
        <v>99</v>
      </c>
      <c r="T2004" s="4">
        <f t="shared" si="158"/>
        <v>242015.22000000003</v>
      </c>
      <c r="U2004" s="4" t="str">
        <f t="shared" si="159"/>
        <v>Good</v>
      </c>
      <c r="V2004" s="4" t="str">
        <f t="shared" si="160"/>
        <v>Excellent</v>
      </c>
      <c r="W2004" s="4"/>
      <c r="X2004" s="4"/>
      <c r="AJ2004" s="4"/>
    </row>
    <row r="2005" spans="1:36">
      <c r="A2005" t="str">
        <f t="shared" si="156"/>
        <v>Arun382004</v>
      </c>
      <c r="B2005">
        <v>2004</v>
      </c>
      <c r="C2005">
        <v>1</v>
      </c>
      <c r="D2005">
        <v>5</v>
      </c>
      <c r="E2005">
        <v>2023</v>
      </c>
      <c r="F2005" s="1">
        <f t="shared" si="157"/>
        <v>45047</v>
      </c>
      <c r="G2005" s="1" t="s">
        <v>592</v>
      </c>
      <c r="H2005" s="2">
        <v>46481</v>
      </c>
      <c r="I2005" t="s">
        <v>19</v>
      </c>
      <c r="J2005">
        <v>8</v>
      </c>
      <c r="K2005">
        <v>24654.02</v>
      </c>
      <c r="L2005" t="s">
        <v>438</v>
      </c>
      <c r="M2005">
        <v>38</v>
      </c>
      <c r="N2005" t="s">
        <v>21</v>
      </c>
      <c r="O2005" s="3" t="s">
        <v>22</v>
      </c>
      <c r="P2005" t="s">
        <v>29</v>
      </c>
      <c r="Q2005" t="s">
        <v>41</v>
      </c>
      <c r="R2005">
        <v>5</v>
      </c>
      <c r="S2005" t="s">
        <v>37</v>
      </c>
      <c r="T2005" s="4">
        <f t="shared" si="158"/>
        <v>197232.16</v>
      </c>
      <c r="U2005" s="4" t="str">
        <f t="shared" si="159"/>
        <v>Good</v>
      </c>
      <c r="V2005" s="4" t="str">
        <f t="shared" si="160"/>
        <v>Good</v>
      </c>
      <c r="W2005" s="4"/>
      <c r="X2005" s="4"/>
      <c r="AJ2005" s="4"/>
    </row>
    <row r="2006" spans="1:36">
      <c r="A2006" t="str">
        <f t="shared" si="156"/>
        <v>Lali182005</v>
      </c>
      <c r="B2006">
        <v>2005</v>
      </c>
      <c r="C2006">
        <v>2</v>
      </c>
      <c r="D2006">
        <v>5</v>
      </c>
      <c r="E2006">
        <v>2023</v>
      </c>
      <c r="F2006" s="1">
        <f t="shared" si="157"/>
        <v>45048</v>
      </c>
      <c r="G2006" s="1" t="s">
        <v>592</v>
      </c>
      <c r="H2006" s="2">
        <v>46482</v>
      </c>
      <c r="I2006" t="s">
        <v>26</v>
      </c>
      <c r="J2006">
        <v>3</v>
      </c>
      <c r="K2006">
        <v>43621.120000000003</v>
      </c>
      <c r="L2006" t="s">
        <v>807</v>
      </c>
      <c r="M2006">
        <v>18</v>
      </c>
      <c r="N2006" t="s">
        <v>36</v>
      </c>
      <c r="O2006" s="3" t="s">
        <v>55</v>
      </c>
      <c r="P2006" t="s">
        <v>110</v>
      </c>
      <c r="Q2006" t="s">
        <v>56</v>
      </c>
      <c r="R2006">
        <v>1</v>
      </c>
      <c r="S2006" t="s">
        <v>34</v>
      </c>
      <c r="T2006" s="4">
        <f t="shared" si="158"/>
        <v>130863.36000000002</v>
      </c>
      <c r="U2006" s="4" t="str">
        <f t="shared" si="159"/>
        <v>Average</v>
      </c>
      <c r="V2006" s="4" t="str">
        <f t="shared" si="160"/>
        <v>Good</v>
      </c>
      <c r="W2006" s="4"/>
      <c r="X2006" s="4"/>
      <c r="AJ2006" s="4"/>
    </row>
    <row r="2007" spans="1:36">
      <c r="A2007" t="str">
        <f t="shared" si="156"/>
        <v>Rame322006</v>
      </c>
      <c r="B2007">
        <v>2006</v>
      </c>
      <c r="C2007">
        <v>2</v>
      </c>
      <c r="D2007">
        <v>5</v>
      </c>
      <c r="E2007">
        <v>2023</v>
      </c>
      <c r="F2007" s="1">
        <f t="shared" si="157"/>
        <v>45048</v>
      </c>
      <c r="G2007" s="1" t="s">
        <v>592</v>
      </c>
      <c r="H2007" s="2">
        <v>46483</v>
      </c>
      <c r="I2007" t="s">
        <v>38</v>
      </c>
      <c r="J2007">
        <v>3</v>
      </c>
      <c r="K2007">
        <v>11304.33</v>
      </c>
      <c r="L2007" t="s">
        <v>739</v>
      </c>
      <c r="M2007">
        <v>32</v>
      </c>
      <c r="N2007" t="s">
        <v>21</v>
      </c>
      <c r="O2007" s="3" t="s">
        <v>55</v>
      </c>
      <c r="P2007" t="s">
        <v>33</v>
      </c>
      <c r="Q2007" t="s">
        <v>30</v>
      </c>
      <c r="R2007">
        <v>2</v>
      </c>
      <c r="S2007" t="s">
        <v>42</v>
      </c>
      <c r="T2007" s="4">
        <f t="shared" si="158"/>
        <v>33912.99</v>
      </c>
      <c r="U2007" s="4" t="str">
        <f t="shared" si="159"/>
        <v>Average</v>
      </c>
      <c r="V2007" s="4" t="str">
        <f t="shared" si="160"/>
        <v>Low</v>
      </c>
      <c r="W2007" s="4"/>
      <c r="X2007" s="4"/>
      <c r="AJ2007" s="4"/>
    </row>
    <row r="2008" spans="1:36">
      <c r="A2008" t="str">
        <f t="shared" si="156"/>
        <v>Priy202007</v>
      </c>
      <c r="B2008">
        <v>2007</v>
      </c>
      <c r="C2008">
        <v>2</v>
      </c>
      <c r="D2008">
        <v>5</v>
      </c>
      <c r="E2008">
        <v>2023</v>
      </c>
      <c r="F2008" s="1">
        <f t="shared" si="157"/>
        <v>45048</v>
      </c>
      <c r="G2008" s="1" t="s">
        <v>592</v>
      </c>
      <c r="H2008" s="2">
        <v>46484</v>
      </c>
      <c r="I2008" t="s">
        <v>38</v>
      </c>
      <c r="J2008">
        <v>2</v>
      </c>
      <c r="K2008">
        <v>41234.230000000003</v>
      </c>
      <c r="L2008" t="s">
        <v>212</v>
      </c>
      <c r="M2008">
        <v>20</v>
      </c>
      <c r="N2008" t="s">
        <v>36</v>
      </c>
      <c r="O2008" s="3" t="s">
        <v>22</v>
      </c>
      <c r="P2008" t="s">
        <v>77</v>
      </c>
      <c r="Q2008" t="s">
        <v>30</v>
      </c>
      <c r="R2008">
        <v>4</v>
      </c>
      <c r="S2008" t="s">
        <v>99</v>
      </c>
      <c r="T2008" s="4">
        <f t="shared" si="158"/>
        <v>82468.460000000006</v>
      </c>
      <c r="U2008" s="4" t="str">
        <f t="shared" si="159"/>
        <v>Good</v>
      </c>
      <c r="V2008" s="4" t="str">
        <f t="shared" si="160"/>
        <v>Average</v>
      </c>
      <c r="W2008" s="4"/>
      <c r="X2008" s="4"/>
      <c r="AJ2008" s="4"/>
    </row>
    <row r="2009" spans="1:36">
      <c r="A2009" t="str">
        <f t="shared" si="156"/>
        <v>Bhav232008</v>
      </c>
      <c r="B2009">
        <v>2008</v>
      </c>
      <c r="C2009">
        <v>2</v>
      </c>
      <c r="D2009">
        <v>5</v>
      </c>
      <c r="E2009">
        <v>2023</v>
      </c>
      <c r="F2009" s="1">
        <f t="shared" si="157"/>
        <v>45048</v>
      </c>
      <c r="G2009" s="1" t="s">
        <v>592</v>
      </c>
      <c r="H2009" s="2">
        <v>46485</v>
      </c>
      <c r="I2009" t="s">
        <v>43</v>
      </c>
      <c r="J2009">
        <v>5</v>
      </c>
      <c r="K2009">
        <v>33506.300000000003</v>
      </c>
      <c r="L2009" t="s">
        <v>355</v>
      </c>
      <c r="M2009">
        <v>23</v>
      </c>
      <c r="N2009" t="s">
        <v>36</v>
      </c>
      <c r="O2009" s="3" t="s">
        <v>55</v>
      </c>
      <c r="P2009" t="s">
        <v>150</v>
      </c>
      <c r="Q2009" t="s">
        <v>41</v>
      </c>
      <c r="R2009">
        <v>2</v>
      </c>
      <c r="S2009" t="s">
        <v>95</v>
      </c>
      <c r="T2009" s="4">
        <f t="shared" si="158"/>
        <v>167531.5</v>
      </c>
      <c r="U2009" s="4" t="str">
        <f t="shared" si="159"/>
        <v>Average</v>
      </c>
      <c r="V2009" s="4" t="str">
        <f t="shared" si="160"/>
        <v>Good</v>
      </c>
      <c r="W2009" s="4"/>
      <c r="X2009" s="4"/>
      <c r="AJ2009" s="4"/>
    </row>
    <row r="2010" spans="1:36">
      <c r="A2010" t="str">
        <f t="shared" si="156"/>
        <v>Deve312009</v>
      </c>
      <c r="B2010">
        <v>2009</v>
      </c>
      <c r="C2010">
        <v>3</v>
      </c>
      <c r="D2010">
        <v>5</v>
      </c>
      <c r="E2010">
        <v>2023</v>
      </c>
      <c r="F2010" s="1">
        <f t="shared" si="157"/>
        <v>45049</v>
      </c>
      <c r="G2010" s="1" t="s">
        <v>592</v>
      </c>
      <c r="H2010" s="2">
        <v>46486</v>
      </c>
      <c r="I2010" t="s">
        <v>26</v>
      </c>
      <c r="J2010">
        <v>4</v>
      </c>
      <c r="K2010">
        <v>44627.34</v>
      </c>
      <c r="L2010" t="s">
        <v>351</v>
      </c>
      <c r="M2010">
        <v>31</v>
      </c>
      <c r="N2010" t="s">
        <v>21</v>
      </c>
      <c r="O2010" s="3" t="s">
        <v>55</v>
      </c>
      <c r="P2010" t="s">
        <v>110</v>
      </c>
      <c r="Q2010" t="s">
        <v>41</v>
      </c>
      <c r="R2010">
        <v>2</v>
      </c>
      <c r="S2010" t="s">
        <v>31</v>
      </c>
      <c r="T2010" s="4">
        <f t="shared" si="158"/>
        <v>178509.36</v>
      </c>
      <c r="U2010" s="4" t="str">
        <f t="shared" si="159"/>
        <v>Average</v>
      </c>
      <c r="V2010" s="4" t="str">
        <f t="shared" si="160"/>
        <v>Good</v>
      </c>
      <c r="W2010" s="4"/>
      <c r="X2010" s="4"/>
      <c r="AJ2010" s="4"/>
    </row>
    <row r="2011" spans="1:36">
      <c r="A2011" t="str">
        <f t="shared" si="156"/>
        <v>Pras552010</v>
      </c>
      <c r="B2011">
        <v>2010</v>
      </c>
      <c r="C2011">
        <v>3</v>
      </c>
      <c r="D2011">
        <v>5</v>
      </c>
      <c r="E2011">
        <v>2023</v>
      </c>
      <c r="F2011" s="1">
        <f t="shared" si="157"/>
        <v>45049</v>
      </c>
      <c r="G2011" s="1" t="s">
        <v>592</v>
      </c>
      <c r="H2011" s="2">
        <v>46487</v>
      </c>
      <c r="I2011" t="s">
        <v>19</v>
      </c>
      <c r="J2011">
        <v>7</v>
      </c>
      <c r="K2011">
        <v>52145.05</v>
      </c>
      <c r="L2011" t="s">
        <v>777</v>
      </c>
      <c r="M2011">
        <v>55</v>
      </c>
      <c r="N2011" t="s">
        <v>61</v>
      </c>
      <c r="O2011" s="3" t="s">
        <v>22</v>
      </c>
      <c r="P2011" t="s">
        <v>150</v>
      </c>
      <c r="Q2011" t="s">
        <v>24</v>
      </c>
      <c r="R2011">
        <v>5</v>
      </c>
      <c r="S2011" t="s">
        <v>25</v>
      </c>
      <c r="T2011" s="4">
        <f t="shared" si="158"/>
        <v>365015.35000000003</v>
      </c>
      <c r="U2011" s="4" t="str">
        <f t="shared" si="159"/>
        <v>Good</v>
      </c>
      <c r="V2011" s="4" t="str">
        <f t="shared" si="160"/>
        <v>Excellent</v>
      </c>
      <c r="W2011" s="4"/>
      <c r="X2011" s="4"/>
      <c r="AJ2011" s="4"/>
    </row>
    <row r="2012" spans="1:36">
      <c r="A2012" t="str">
        <f t="shared" si="156"/>
        <v>Nami502011</v>
      </c>
      <c r="B2012">
        <v>2011</v>
      </c>
      <c r="C2012">
        <v>3</v>
      </c>
      <c r="D2012">
        <v>5</v>
      </c>
      <c r="E2012">
        <v>2023</v>
      </c>
      <c r="F2012" s="1">
        <f t="shared" si="157"/>
        <v>45049</v>
      </c>
      <c r="G2012" s="1" t="s">
        <v>592</v>
      </c>
      <c r="H2012" s="2">
        <v>46488</v>
      </c>
      <c r="I2012" t="s">
        <v>38</v>
      </c>
      <c r="J2012">
        <v>4</v>
      </c>
      <c r="K2012">
        <v>48045.52</v>
      </c>
      <c r="L2012" t="s">
        <v>381</v>
      </c>
      <c r="M2012">
        <v>50</v>
      </c>
      <c r="N2012" t="s">
        <v>61</v>
      </c>
      <c r="O2012" s="3" t="s">
        <v>55</v>
      </c>
      <c r="P2012" t="s">
        <v>45</v>
      </c>
      <c r="Q2012" t="s">
        <v>56</v>
      </c>
      <c r="R2012">
        <v>2</v>
      </c>
      <c r="S2012" t="s">
        <v>99</v>
      </c>
      <c r="T2012" s="4">
        <f t="shared" si="158"/>
        <v>192182.08</v>
      </c>
      <c r="U2012" s="4" t="str">
        <f t="shared" si="159"/>
        <v>Average</v>
      </c>
      <c r="V2012" s="4" t="str">
        <f t="shared" si="160"/>
        <v>Good</v>
      </c>
      <c r="W2012" s="4"/>
      <c r="X2012" s="4"/>
      <c r="AJ2012" s="4"/>
    </row>
    <row r="2013" spans="1:36">
      <c r="A2013" t="str">
        <f t="shared" si="156"/>
        <v>Kira552012</v>
      </c>
      <c r="B2013">
        <v>2012</v>
      </c>
      <c r="C2013">
        <v>4</v>
      </c>
      <c r="D2013">
        <v>5</v>
      </c>
      <c r="E2013">
        <v>2023</v>
      </c>
      <c r="F2013" s="1">
        <f t="shared" si="157"/>
        <v>45050</v>
      </c>
      <c r="G2013" s="1" t="s">
        <v>592</v>
      </c>
      <c r="H2013" s="2">
        <v>46489</v>
      </c>
      <c r="I2013" t="s">
        <v>38</v>
      </c>
      <c r="J2013">
        <v>9</v>
      </c>
      <c r="K2013">
        <v>69078.66</v>
      </c>
      <c r="L2013" t="s">
        <v>171</v>
      </c>
      <c r="M2013">
        <v>55</v>
      </c>
      <c r="N2013" t="s">
        <v>61</v>
      </c>
      <c r="O2013" s="3" t="s">
        <v>22</v>
      </c>
      <c r="P2013" t="s">
        <v>137</v>
      </c>
      <c r="Q2013" t="s">
        <v>24</v>
      </c>
      <c r="R2013">
        <v>4</v>
      </c>
      <c r="S2013" t="s">
        <v>99</v>
      </c>
      <c r="T2013" s="4">
        <f t="shared" si="158"/>
        <v>621707.94000000006</v>
      </c>
      <c r="U2013" s="4" t="str">
        <f t="shared" si="159"/>
        <v>Good</v>
      </c>
      <c r="V2013" s="4" t="str">
        <f t="shared" si="160"/>
        <v>Excellent</v>
      </c>
      <c r="W2013" s="4"/>
      <c r="X2013" s="4"/>
      <c r="AJ2013" s="4"/>
    </row>
    <row r="2014" spans="1:36">
      <c r="A2014" t="str">
        <f t="shared" si="156"/>
        <v>Reen252013</v>
      </c>
      <c r="B2014">
        <v>2013</v>
      </c>
      <c r="C2014">
        <v>4</v>
      </c>
      <c r="D2014">
        <v>5</v>
      </c>
      <c r="E2014">
        <v>2023</v>
      </c>
      <c r="F2014" s="1">
        <f t="shared" si="157"/>
        <v>45050</v>
      </c>
      <c r="G2014" s="1" t="s">
        <v>592</v>
      </c>
      <c r="H2014" s="2">
        <v>46490</v>
      </c>
      <c r="I2014" t="s">
        <v>43</v>
      </c>
      <c r="J2014">
        <v>2</v>
      </c>
      <c r="K2014">
        <v>18295.919999999998</v>
      </c>
      <c r="L2014" t="s">
        <v>956</v>
      </c>
      <c r="M2014">
        <v>25</v>
      </c>
      <c r="N2014" t="s">
        <v>36</v>
      </c>
      <c r="O2014" s="3" t="s">
        <v>55</v>
      </c>
      <c r="P2014" t="s">
        <v>90</v>
      </c>
      <c r="Q2014" t="s">
        <v>24</v>
      </c>
      <c r="R2014">
        <v>2</v>
      </c>
      <c r="S2014" t="s">
        <v>57</v>
      </c>
      <c r="T2014" s="4">
        <f t="shared" si="158"/>
        <v>36591.839999999997</v>
      </c>
      <c r="U2014" s="4" t="str">
        <f t="shared" si="159"/>
        <v>Average</v>
      </c>
      <c r="V2014" s="4" t="str">
        <f t="shared" si="160"/>
        <v>Low</v>
      </c>
      <c r="W2014" s="4"/>
      <c r="X2014" s="4"/>
      <c r="AJ2014" s="4"/>
    </row>
    <row r="2015" spans="1:36">
      <c r="A2015" t="str">
        <f t="shared" si="156"/>
        <v>Roha432014</v>
      </c>
      <c r="B2015">
        <v>2014</v>
      </c>
      <c r="C2015">
        <v>4</v>
      </c>
      <c r="D2015">
        <v>5</v>
      </c>
      <c r="E2015">
        <v>2023</v>
      </c>
      <c r="F2015" s="1">
        <f t="shared" si="157"/>
        <v>45050</v>
      </c>
      <c r="G2015" s="1" t="s">
        <v>592</v>
      </c>
      <c r="H2015" s="2">
        <v>46491</v>
      </c>
      <c r="I2015" t="s">
        <v>49</v>
      </c>
      <c r="J2015">
        <v>6</v>
      </c>
      <c r="K2015">
        <v>35784.22</v>
      </c>
      <c r="L2015" t="s">
        <v>590</v>
      </c>
      <c r="M2015">
        <v>43</v>
      </c>
      <c r="N2015" t="s">
        <v>21</v>
      </c>
      <c r="O2015" s="3" t="s">
        <v>22</v>
      </c>
      <c r="P2015" t="s">
        <v>40</v>
      </c>
      <c r="Q2015" t="s">
        <v>56</v>
      </c>
      <c r="R2015">
        <v>5</v>
      </c>
      <c r="S2015" t="s">
        <v>88</v>
      </c>
      <c r="T2015" s="4">
        <f t="shared" si="158"/>
        <v>214705.32</v>
      </c>
      <c r="U2015" s="4" t="str">
        <f t="shared" si="159"/>
        <v>Good</v>
      </c>
      <c r="V2015" s="4" t="str">
        <f t="shared" si="160"/>
        <v>Excellent</v>
      </c>
      <c r="W2015" s="4"/>
      <c r="X2015" s="4"/>
      <c r="AJ2015" s="4"/>
    </row>
    <row r="2016" spans="1:36">
      <c r="A2016" t="str">
        <f t="shared" si="156"/>
        <v>Sneh322015</v>
      </c>
      <c r="B2016">
        <v>2015</v>
      </c>
      <c r="C2016">
        <v>5</v>
      </c>
      <c r="D2016">
        <v>5</v>
      </c>
      <c r="E2016">
        <v>2023</v>
      </c>
      <c r="F2016" s="1">
        <f t="shared" si="157"/>
        <v>45051</v>
      </c>
      <c r="G2016" s="1" t="s">
        <v>592</v>
      </c>
      <c r="H2016" s="2">
        <v>46492</v>
      </c>
      <c r="I2016" t="s">
        <v>19</v>
      </c>
      <c r="J2016">
        <v>7</v>
      </c>
      <c r="K2016">
        <v>35489.839999999997</v>
      </c>
      <c r="L2016" t="s">
        <v>957</v>
      </c>
      <c r="M2016">
        <v>32</v>
      </c>
      <c r="N2016" t="s">
        <v>21</v>
      </c>
      <c r="O2016" s="3" t="s">
        <v>22</v>
      </c>
      <c r="P2016" t="s">
        <v>150</v>
      </c>
      <c r="Q2016" t="s">
        <v>30</v>
      </c>
      <c r="R2016">
        <v>4</v>
      </c>
      <c r="S2016" t="s">
        <v>25</v>
      </c>
      <c r="T2016" s="4">
        <f t="shared" si="158"/>
        <v>248428.87999999998</v>
      </c>
      <c r="U2016" s="4" t="str">
        <f t="shared" si="159"/>
        <v>Good</v>
      </c>
      <c r="V2016" s="4" t="str">
        <f t="shared" si="160"/>
        <v>Excellent</v>
      </c>
      <c r="W2016" s="4"/>
      <c r="X2016" s="4"/>
      <c r="AJ2016" s="4"/>
    </row>
    <row r="2017" spans="1:36">
      <c r="A2017" t="str">
        <f t="shared" si="156"/>
        <v>Radh312016</v>
      </c>
      <c r="B2017">
        <v>2016</v>
      </c>
      <c r="C2017">
        <v>5</v>
      </c>
      <c r="D2017">
        <v>5</v>
      </c>
      <c r="E2017">
        <v>2023</v>
      </c>
      <c r="F2017" s="1">
        <f t="shared" si="157"/>
        <v>45051</v>
      </c>
      <c r="G2017" s="1" t="s">
        <v>592</v>
      </c>
      <c r="H2017" s="2">
        <v>46493</v>
      </c>
      <c r="I2017" t="s">
        <v>26</v>
      </c>
      <c r="J2017">
        <v>4</v>
      </c>
      <c r="K2017">
        <v>35023.19</v>
      </c>
      <c r="L2017" t="s">
        <v>217</v>
      </c>
      <c r="M2017">
        <v>31</v>
      </c>
      <c r="N2017" t="s">
        <v>21</v>
      </c>
      <c r="O2017" s="3" t="s">
        <v>22</v>
      </c>
      <c r="P2017" t="s">
        <v>114</v>
      </c>
      <c r="Q2017" t="s">
        <v>56</v>
      </c>
      <c r="R2017">
        <v>5</v>
      </c>
      <c r="S2017" t="s">
        <v>67</v>
      </c>
      <c r="T2017" s="4">
        <f t="shared" si="158"/>
        <v>140092.76</v>
      </c>
      <c r="U2017" s="4" t="str">
        <f t="shared" si="159"/>
        <v>Good</v>
      </c>
      <c r="V2017" s="4" t="str">
        <f t="shared" si="160"/>
        <v>Good</v>
      </c>
      <c r="W2017" s="4"/>
      <c r="X2017" s="4"/>
      <c r="AJ2017" s="4"/>
    </row>
    <row r="2018" spans="1:36">
      <c r="A2018" t="str">
        <f t="shared" si="156"/>
        <v>Vive372017</v>
      </c>
      <c r="B2018">
        <v>2017</v>
      </c>
      <c r="C2018">
        <v>5</v>
      </c>
      <c r="D2018">
        <v>5</v>
      </c>
      <c r="E2018">
        <v>2023</v>
      </c>
      <c r="F2018" s="1">
        <f t="shared" si="157"/>
        <v>45051</v>
      </c>
      <c r="G2018" s="1" t="s">
        <v>592</v>
      </c>
      <c r="H2018" s="2">
        <v>46494</v>
      </c>
      <c r="I2018" t="s">
        <v>38</v>
      </c>
      <c r="J2018">
        <v>6</v>
      </c>
      <c r="K2018">
        <v>49827.9</v>
      </c>
      <c r="L2018" t="s">
        <v>629</v>
      </c>
      <c r="M2018">
        <v>37</v>
      </c>
      <c r="N2018" t="s">
        <v>21</v>
      </c>
      <c r="O2018" s="3" t="s">
        <v>22</v>
      </c>
      <c r="P2018" t="s">
        <v>29</v>
      </c>
      <c r="Q2018" t="s">
        <v>30</v>
      </c>
      <c r="R2018">
        <v>4</v>
      </c>
      <c r="S2018" t="s">
        <v>42</v>
      </c>
      <c r="T2018" s="4">
        <f t="shared" si="158"/>
        <v>298967.40000000002</v>
      </c>
      <c r="U2018" s="4" t="str">
        <f t="shared" si="159"/>
        <v>Good</v>
      </c>
      <c r="V2018" s="4" t="str">
        <f t="shared" si="160"/>
        <v>Excellent</v>
      </c>
      <c r="W2018" s="4"/>
      <c r="X2018" s="4"/>
      <c r="AJ2018" s="4"/>
    </row>
    <row r="2019" spans="1:36">
      <c r="A2019" t="str">
        <f t="shared" si="156"/>
        <v>Shru362018</v>
      </c>
      <c r="B2019">
        <v>2018</v>
      </c>
      <c r="C2019">
        <v>5</v>
      </c>
      <c r="D2019">
        <v>5</v>
      </c>
      <c r="E2019">
        <v>2023</v>
      </c>
      <c r="F2019" s="1">
        <f t="shared" si="157"/>
        <v>45051</v>
      </c>
      <c r="G2019" s="1" t="s">
        <v>592</v>
      </c>
      <c r="H2019" s="2">
        <v>46495</v>
      </c>
      <c r="I2019" t="s">
        <v>38</v>
      </c>
      <c r="J2019">
        <v>7</v>
      </c>
      <c r="K2019">
        <v>39389.68</v>
      </c>
      <c r="L2019" t="s">
        <v>225</v>
      </c>
      <c r="M2019">
        <v>36</v>
      </c>
      <c r="N2019" t="s">
        <v>21</v>
      </c>
      <c r="O2019" s="3" t="s">
        <v>55</v>
      </c>
      <c r="P2019" t="s">
        <v>29</v>
      </c>
      <c r="Q2019" t="s">
        <v>24</v>
      </c>
      <c r="R2019">
        <v>1</v>
      </c>
      <c r="S2019" t="s">
        <v>42</v>
      </c>
      <c r="T2019" s="4">
        <f t="shared" si="158"/>
        <v>275727.76</v>
      </c>
      <c r="U2019" s="4" t="str">
        <f t="shared" si="159"/>
        <v>Average</v>
      </c>
      <c r="V2019" s="4" t="str">
        <f t="shared" si="160"/>
        <v>Excellent</v>
      </c>
      <c r="W2019" s="4"/>
      <c r="X2019" s="4"/>
      <c r="AJ2019" s="4"/>
    </row>
    <row r="2020" spans="1:36">
      <c r="A2020" t="str">
        <f t="shared" si="156"/>
        <v>Meen502019</v>
      </c>
      <c r="B2020">
        <v>2019</v>
      </c>
      <c r="C2020">
        <v>6</v>
      </c>
      <c r="D2020">
        <v>5</v>
      </c>
      <c r="E2020">
        <v>2023</v>
      </c>
      <c r="F2020" s="1">
        <f t="shared" si="157"/>
        <v>45052</v>
      </c>
      <c r="G2020" s="1" t="s">
        <v>592</v>
      </c>
      <c r="H2020" s="2">
        <v>46496</v>
      </c>
      <c r="I2020" t="s">
        <v>19</v>
      </c>
      <c r="J2020">
        <v>4</v>
      </c>
      <c r="K2020">
        <v>41045.949999999997</v>
      </c>
      <c r="L2020" t="s">
        <v>670</v>
      </c>
      <c r="M2020">
        <v>50</v>
      </c>
      <c r="N2020" t="s">
        <v>61</v>
      </c>
      <c r="O2020" s="3" t="s">
        <v>55</v>
      </c>
      <c r="P2020" t="s">
        <v>70</v>
      </c>
      <c r="Q2020" t="s">
        <v>30</v>
      </c>
      <c r="R2020">
        <v>2</v>
      </c>
      <c r="S2020" t="s">
        <v>84</v>
      </c>
      <c r="T2020" s="4">
        <f t="shared" si="158"/>
        <v>164183.79999999999</v>
      </c>
      <c r="U2020" s="4" t="str">
        <f t="shared" si="159"/>
        <v>Average</v>
      </c>
      <c r="V2020" s="4" t="str">
        <f t="shared" si="160"/>
        <v>Good</v>
      </c>
      <c r="W2020" s="4"/>
      <c r="X2020" s="4"/>
      <c r="AJ2020" s="4"/>
    </row>
    <row r="2021" spans="1:36">
      <c r="A2021" t="str">
        <f t="shared" si="156"/>
        <v>Amit532020</v>
      </c>
      <c r="B2021">
        <v>2020</v>
      </c>
      <c r="C2021">
        <v>6</v>
      </c>
      <c r="D2021">
        <v>5</v>
      </c>
      <c r="E2021">
        <v>2023</v>
      </c>
      <c r="F2021" s="1">
        <f t="shared" si="157"/>
        <v>45052</v>
      </c>
      <c r="G2021" s="1" t="s">
        <v>592</v>
      </c>
      <c r="H2021" s="2">
        <v>46497</v>
      </c>
      <c r="I2021" t="s">
        <v>49</v>
      </c>
      <c r="J2021">
        <v>8</v>
      </c>
      <c r="K2021">
        <v>35941.360000000001</v>
      </c>
      <c r="L2021" t="s">
        <v>411</v>
      </c>
      <c r="M2021">
        <v>53</v>
      </c>
      <c r="N2021" t="s">
        <v>61</v>
      </c>
      <c r="O2021" s="3" t="s">
        <v>55</v>
      </c>
      <c r="P2021" t="s">
        <v>90</v>
      </c>
      <c r="Q2021" t="s">
        <v>30</v>
      </c>
      <c r="R2021">
        <v>2</v>
      </c>
      <c r="S2021" t="s">
        <v>52</v>
      </c>
      <c r="T2021" s="4">
        <f t="shared" si="158"/>
        <v>287530.88</v>
      </c>
      <c r="U2021" s="4" t="str">
        <f t="shared" si="159"/>
        <v>Average</v>
      </c>
      <c r="V2021" s="4" t="str">
        <f t="shared" si="160"/>
        <v>Excellent</v>
      </c>
      <c r="W2021" s="4"/>
      <c r="X2021" s="4"/>
      <c r="AJ2021" s="4"/>
    </row>
    <row r="2022" spans="1:36">
      <c r="A2022" t="str">
        <f t="shared" si="156"/>
        <v>Anja412021</v>
      </c>
      <c r="B2022">
        <v>2021</v>
      </c>
      <c r="C2022">
        <v>6</v>
      </c>
      <c r="D2022">
        <v>5</v>
      </c>
      <c r="E2022">
        <v>2023</v>
      </c>
      <c r="F2022" s="1">
        <f t="shared" si="157"/>
        <v>45052</v>
      </c>
      <c r="G2022" s="1" t="s">
        <v>592</v>
      </c>
      <c r="H2022" s="2">
        <v>46498</v>
      </c>
      <c r="I2022" t="s">
        <v>38</v>
      </c>
      <c r="J2022">
        <v>9</v>
      </c>
      <c r="K2022">
        <v>69501.97</v>
      </c>
      <c r="L2022" t="s">
        <v>958</v>
      </c>
      <c r="M2022">
        <v>41</v>
      </c>
      <c r="N2022" t="s">
        <v>21</v>
      </c>
      <c r="O2022" s="3" t="s">
        <v>55</v>
      </c>
      <c r="P2022" t="s">
        <v>110</v>
      </c>
      <c r="Q2022" t="s">
        <v>30</v>
      </c>
      <c r="R2022">
        <v>2</v>
      </c>
      <c r="S2022" t="s">
        <v>99</v>
      </c>
      <c r="T2022" s="4">
        <f t="shared" si="158"/>
        <v>625517.73</v>
      </c>
      <c r="U2022" s="4" t="str">
        <f t="shared" si="159"/>
        <v>Average</v>
      </c>
      <c r="V2022" s="4" t="str">
        <f t="shared" si="160"/>
        <v>Excellent</v>
      </c>
      <c r="W2022" s="4"/>
      <c r="X2022" s="4"/>
      <c r="AJ2022" s="4"/>
    </row>
    <row r="2023" spans="1:36">
      <c r="A2023" t="str">
        <f t="shared" si="156"/>
        <v>Pooj272022</v>
      </c>
      <c r="B2023">
        <v>2022</v>
      </c>
      <c r="C2023">
        <v>7</v>
      </c>
      <c r="D2023">
        <v>5</v>
      </c>
      <c r="E2023">
        <v>2023</v>
      </c>
      <c r="F2023" s="1">
        <f t="shared" si="157"/>
        <v>45053</v>
      </c>
      <c r="G2023" s="1" t="s">
        <v>592</v>
      </c>
      <c r="H2023" s="2">
        <v>46499</v>
      </c>
      <c r="I2023" t="s">
        <v>19</v>
      </c>
      <c r="J2023">
        <v>1</v>
      </c>
      <c r="K2023">
        <v>65653.679999999993</v>
      </c>
      <c r="L2023" t="s">
        <v>816</v>
      </c>
      <c r="M2023">
        <v>27</v>
      </c>
      <c r="N2023" t="s">
        <v>36</v>
      </c>
      <c r="O2023" s="3" t="s">
        <v>22</v>
      </c>
      <c r="P2023" t="s">
        <v>51</v>
      </c>
      <c r="Q2023" t="s">
        <v>56</v>
      </c>
      <c r="R2023">
        <v>4</v>
      </c>
      <c r="S2023" t="s">
        <v>37</v>
      </c>
      <c r="T2023" s="4">
        <f t="shared" si="158"/>
        <v>65653.679999999993</v>
      </c>
      <c r="U2023" s="4" t="str">
        <f t="shared" si="159"/>
        <v>Good</v>
      </c>
      <c r="V2023" s="4" t="str">
        <f t="shared" si="160"/>
        <v>Average</v>
      </c>
      <c r="W2023" s="4"/>
      <c r="X2023" s="4"/>
      <c r="AJ2023" s="4"/>
    </row>
    <row r="2024" spans="1:36">
      <c r="A2024" t="str">
        <f t="shared" si="156"/>
        <v>Adit512023</v>
      </c>
      <c r="B2024">
        <v>2023</v>
      </c>
      <c r="C2024">
        <v>7</v>
      </c>
      <c r="D2024">
        <v>5</v>
      </c>
      <c r="E2024">
        <v>2023</v>
      </c>
      <c r="F2024" s="1">
        <f t="shared" si="157"/>
        <v>45053</v>
      </c>
      <c r="G2024" s="1" t="s">
        <v>592</v>
      </c>
      <c r="H2024" s="2">
        <v>46500</v>
      </c>
      <c r="I2024" t="s">
        <v>43</v>
      </c>
      <c r="J2024">
        <v>7</v>
      </c>
      <c r="K2024">
        <v>28463.45</v>
      </c>
      <c r="L2024" t="s">
        <v>589</v>
      </c>
      <c r="M2024">
        <v>51</v>
      </c>
      <c r="N2024" t="s">
        <v>61</v>
      </c>
      <c r="O2024" s="3" t="s">
        <v>55</v>
      </c>
      <c r="P2024" t="s">
        <v>66</v>
      </c>
      <c r="Q2024" t="s">
        <v>30</v>
      </c>
      <c r="R2024">
        <v>1</v>
      </c>
      <c r="S2024" t="s">
        <v>46</v>
      </c>
      <c r="T2024" s="4">
        <f t="shared" si="158"/>
        <v>199244.15</v>
      </c>
      <c r="U2024" s="4" t="str">
        <f t="shared" si="159"/>
        <v>Average</v>
      </c>
      <c r="V2024" s="4" t="str">
        <f t="shared" si="160"/>
        <v>Good</v>
      </c>
      <c r="W2024" s="4"/>
      <c r="X2024" s="4"/>
      <c r="AJ2024" s="4"/>
    </row>
    <row r="2025" spans="1:36">
      <c r="A2025" t="str">
        <f t="shared" si="156"/>
        <v>Isha532024</v>
      </c>
      <c r="B2025">
        <v>2024</v>
      </c>
      <c r="C2025">
        <v>7</v>
      </c>
      <c r="D2025">
        <v>5</v>
      </c>
      <c r="E2025">
        <v>2023</v>
      </c>
      <c r="F2025" s="1">
        <f t="shared" si="157"/>
        <v>45053</v>
      </c>
      <c r="G2025" s="1" t="s">
        <v>592</v>
      </c>
      <c r="H2025" s="2">
        <v>46501</v>
      </c>
      <c r="I2025" t="s">
        <v>49</v>
      </c>
      <c r="J2025">
        <v>9</v>
      </c>
      <c r="K2025">
        <v>16695.64</v>
      </c>
      <c r="L2025" t="s">
        <v>82</v>
      </c>
      <c r="M2025">
        <v>53</v>
      </c>
      <c r="N2025" t="s">
        <v>61</v>
      </c>
      <c r="O2025" s="3" t="s">
        <v>22</v>
      </c>
      <c r="P2025" t="s">
        <v>33</v>
      </c>
      <c r="Q2025" t="s">
        <v>56</v>
      </c>
      <c r="R2025">
        <v>5</v>
      </c>
      <c r="S2025" t="s">
        <v>88</v>
      </c>
      <c r="T2025" s="4">
        <f t="shared" si="158"/>
        <v>150260.76</v>
      </c>
      <c r="U2025" s="4" t="str">
        <f t="shared" si="159"/>
        <v>Good</v>
      </c>
      <c r="V2025" s="4" t="str">
        <f t="shared" si="160"/>
        <v>Good</v>
      </c>
      <c r="W2025" s="4"/>
      <c r="X2025" s="4"/>
      <c r="AJ2025" s="4"/>
    </row>
    <row r="2026" spans="1:36">
      <c r="A2026" t="str">
        <f t="shared" si="156"/>
        <v>Shru532025</v>
      </c>
      <c r="B2026">
        <v>2025</v>
      </c>
      <c r="C2026">
        <v>7</v>
      </c>
      <c r="D2026">
        <v>5</v>
      </c>
      <c r="E2026">
        <v>2023</v>
      </c>
      <c r="F2026" s="1">
        <f t="shared" si="157"/>
        <v>45053</v>
      </c>
      <c r="G2026" s="1" t="s">
        <v>592</v>
      </c>
      <c r="H2026" s="2">
        <v>46502</v>
      </c>
      <c r="I2026" t="s">
        <v>26</v>
      </c>
      <c r="J2026">
        <v>5</v>
      </c>
      <c r="K2026">
        <v>60385.88</v>
      </c>
      <c r="L2026" t="s">
        <v>959</v>
      </c>
      <c r="M2026">
        <v>53</v>
      </c>
      <c r="N2026" t="s">
        <v>61</v>
      </c>
      <c r="O2026" s="3" t="s">
        <v>22</v>
      </c>
      <c r="P2026" t="s">
        <v>90</v>
      </c>
      <c r="Q2026" t="s">
        <v>41</v>
      </c>
      <c r="R2026">
        <v>4</v>
      </c>
      <c r="S2026" t="s">
        <v>67</v>
      </c>
      <c r="T2026" s="4">
        <f t="shared" si="158"/>
        <v>301929.39999999997</v>
      </c>
      <c r="U2026" s="4" t="str">
        <f t="shared" si="159"/>
        <v>Good</v>
      </c>
      <c r="V2026" s="4" t="str">
        <f t="shared" si="160"/>
        <v>Excellent</v>
      </c>
      <c r="W2026" s="4"/>
      <c r="X2026" s="4"/>
      <c r="AJ2026" s="4"/>
    </row>
    <row r="2027" spans="1:36">
      <c r="A2027" t="str">
        <f t="shared" si="156"/>
        <v>Kris332026</v>
      </c>
      <c r="B2027">
        <v>2026</v>
      </c>
      <c r="C2027">
        <v>8</v>
      </c>
      <c r="D2027">
        <v>5</v>
      </c>
      <c r="E2027">
        <v>2023</v>
      </c>
      <c r="F2027" s="1">
        <f t="shared" si="157"/>
        <v>45054</v>
      </c>
      <c r="G2027" s="1" t="s">
        <v>592</v>
      </c>
      <c r="H2027" s="2">
        <v>46503</v>
      </c>
      <c r="I2027" t="s">
        <v>38</v>
      </c>
      <c r="J2027">
        <v>2</v>
      </c>
      <c r="K2027">
        <v>69830.22</v>
      </c>
      <c r="L2027" t="s">
        <v>644</v>
      </c>
      <c r="M2027">
        <v>33</v>
      </c>
      <c r="N2027" t="s">
        <v>21</v>
      </c>
      <c r="O2027" s="3" t="s">
        <v>22</v>
      </c>
      <c r="P2027" t="s">
        <v>40</v>
      </c>
      <c r="Q2027" t="s">
        <v>41</v>
      </c>
      <c r="R2027">
        <v>4</v>
      </c>
      <c r="S2027" t="s">
        <v>99</v>
      </c>
      <c r="T2027" s="4">
        <f t="shared" si="158"/>
        <v>139660.44</v>
      </c>
      <c r="U2027" s="4" t="str">
        <f t="shared" si="159"/>
        <v>Good</v>
      </c>
      <c r="V2027" s="4" t="str">
        <f t="shared" si="160"/>
        <v>Good</v>
      </c>
      <c r="W2027" s="4"/>
      <c r="X2027" s="4"/>
      <c r="AJ2027" s="4"/>
    </row>
    <row r="2028" spans="1:36">
      <c r="A2028" t="str">
        <f t="shared" si="156"/>
        <v>Lali322027</v>
      </c>
      <c r="B2028">
        <v>2027</v>
      </c>
      <c r="C2028">
        <v>8</v>
      </c>
      <c r="D2028">
        <v>5</v>
      </c>
      <c r="E2028">
        <v>2023</v>
      </c>
      <c r="F2028" s="1">
        <f t="shared" si="157"/>
        <v>45054</v>
      </c>
      <c r="G2028" s="1" t="s">
        <v>592</v>
      </c>
      <c r="H2028" s="2">
        <v>46504</v>
      </c>
      <c r="I2028" t="s">
        <v>19</v>
      </c>
      <c r="J2028">
        <v>6</v>
      </c>
      <c r="K2028">
        <v>27556.53</v>
      </c>
      <c r="L2028" t="s">
        <v>807</v>
      </c>
      <c r="M2028">
        <v>32</v>
      </c>
      <c r="N2028" t="s">
        <v>21</v>
      </c>
      <c r="O2028" s="3" t="s">
        <v>22</v>
      </c>
      <c r="P2028" t="s">
        <v>66</v>
      </c>
      <c r="Q2028" t="s">
        <v>24</v>
      </c>
      <c r="R2028">
        <v>4</v>
      </c>
      <c r="S2028" t="s">
        <v>37</v>
      </c>
      <c r="T2028" s="4">
        <f t="shared" si="158"/>
        <v>165339.18</v>
      </c>
      <c r="U2028" s="4" t="str">
        <f t="shared" si="159"/>
        <v>Good</v>
      </c>
      <c r="V2028" s="4" t="str">
        <f t="shared" si="160"/>
        <v>Good</v>
      </c>
      <c r="W2028" s="4"/>
      <c r="X2028" s="4"/>
      <c r="AJ2028" s="4"/>
    </row>
    <row r="2029" spans="1:36">
      <c r="A2029" t="str">
        <f t="shared" si="156"/>
        <v>Mano352028</v>
      </c>
      <c r="B2029">
        <v>2028</v>
      </c>
      <c r="C2029">
        <v>8</v>
      </c>
      <c r="D2029">
        <v>5</v>
      </c>
      <c r="E2029">
        <v>2023</v>
      </c>
      <c r="F2029" s="1">
        <f t="shared" si="157"/>
        <v>45054</v>
      </c>
      <c r="G2029" s="1" t="s">
        <v>592</v>
      </c>
      <c r="H2029" s="2">
        <v>46505</v>
      </c>
      <c r="I2029" t="s">
        <v>43</v>
      </c>
      <c r="J2029">
        <v>7</v>
      </c>
      <c r="K2029">
        <v>31467.1</v>
      </c>
      <c r="L2029" t="s">
        <v>105</v>
      </c>
      <c r="M2029">
        <v>35</v>
      </c>
      <c r="N2029" t="s">
        <v>21</v>
      </c>
      <c r="O2029" s="3" t="s">
        <v>22</v>
      </c>
      <c r="P2029" t="s">
        <v>33</v>
      </c>
      <c r="Q2029" t="s">
        <v>24</v>
      </c>
      <c r="R2029">
        <v>4</v>
      </c>
      <c r="S2029" t="s">
        <v>57</v>
      </c>
      <c r="T2029" s="4">
        <f t="shared" si="158"/>
        <v>220269.69999999998</v>
      </c>
      <c r="U2029" s="4" t="str">
        <f t="shared" si="159"/>
        <v>Good</v>
      </c>
      <c r="V2029" s="4" t="str">
        <f t="shared" si="160"/>
        <v>Excellent</v>
      </c>
      <c r="W2029" s="4"/>
      <c r="X2029" s="4"/>
      <c r="AJ2029" s="4"/>
    </row>
    <row r="2030" spans="1:36">
      <c r="A2030" t="str">
        <f t="shared" si="156"/>
        <v>Pooj242029</v>
      </c>
      <c r="B2030">
        <v>2029</v>
      </c>
      <c r="C2030">
        <v>9</v>
      </c>
      <c r="D2030">
        <v>5</v>
      </c>
      <c r="E2030">
        <v>2023</v>
      </c>
      <c r="F2030" s="1">
        <f t="shared" si="157"/>
        <v>45055</v>
      </c>
      <c r="G2030" s="1" t="s">
        <v>592</v>
      </c>
      <c r="H2030" s="2">
        <v>46506</v>
      </c>
      <c r="I2030" t="s">
        <v>26</v>
      </c>
      <c r="J2030">
        <v>2</v>
      </c>
      <c r="K2030">
        <v>66497.990000000005</v>
      </c>
      <c r="L2030" t="s">
        <v>960</v>
      </c>
      <c r="M2030">
        <v>24</v>
      </c>
      <c r="N2030" t="s">
        <v>36</v>
      </c>
      <c r="O2030" s="3" t="s">
        <v>22</v>
      </c>
      <c r="P2030" t="s">
        <v>29</v>
      </c>
      <c r="Q2030" t="s">
        <v>56</v>
      </c>
      <c r="R2030">
        <v>4</v>
      </c>
      <c r="S2030" t="s">
        <v>34</v>
      </c>
      <c r="T2030" s="4">
        <f t="shared" si="158"/>
        <v>132995.98000000001</v>
      </c>
      <c r="U2030" s="4" t="str">
        <f t="shared" si="159"/>
        <v>Good</v>
      </c>
      <c r="V2030" s="4" t="str">
        <f t="shared" si="160"/>
        <v>Good</v>
      </c>
      <c r="W2030" s="4"/>
      <c r="X2030" s="4"/>
      <c r="AJ2030" s="4"/>
    </row>
    <row r="2031" spans="1:36">
      <c r="A2031" t="str">
        <f t="shared" si="156"/>
        <v>Sumi392030</v>
      </c>
      <c r="B2031">
        <v>2030</v>
      </c>
      <c r="C2031">
        <v>9</v>
      </c>
      <c r="D2031">
        <v>5</v>
      </c>
      <c r="E2031">
        <v>2023</v>
      </c>
      <c r="F2031" s="1">
        <f t="shared" si="157"/>
        <v>45055</v>
      </c>
      <c r="G2031" s="1" t="s">
        <v>592</v>
      </c>
      <c r="H2031" s="2">
        <v>46507</v>
      </c>
      <c r="I2031" t="s">
        <v>19</v>
      </c>
      <c r="J2031">
        <v>2</v>
      </c>
      <c r="K2031">
        <v>52667.77</v>
      </c>
      <c r="L2031" t="s">
        <v>630</v>
      </c>
      <c r="M2031">
        <v>39</v>
      </c>
      <c r="N2031" t="s">
        <v>21</v>
      </c>
      <c r="O2031" s="3" t="s">
        <v>55</v>
      </c>
      <c r="P2031" t="s">
        <v>117</v>
      </c>
      <c r="Q2031" t="s">
        <v>30</v>
      </c>
      <c r="R2031">
        <v>2</v>
      </c>
      <c r="S2031" t="s">
        <v>84</v>
      </c>
      <c r="T2031" s="4">
        <f t="shared" si="158"/>
        <v>105335.54</v>
      </c>
      <c r="U2031" s="4" t="str">
        <f t="shared" si="159"/>
        <v>Average</v>
      </c>
      <c r="V2031" s="4" t="str">
        <f t="shared" si="160"/>
        <v>Good</v>
      </c>
      <c r="W2031" s="4"/>
      <c r="X2031" s="4"/>
      <c r="AJ2031" s="4"/>
    </row>
    <row r="2032" spans="1:36">
      <c r="A2032" t="str">
        <f t="shared" si="156"/>
        <v>Pras492031</v>
      </c>
      <c r="B2032">
        <v>2031</v>
      </c>
      <c r="C2032">
        <v>9</v>
      </c>
      <c r="D2032">
        <v>5</v>
      </c>
      <c r="E2032">
        <v>2023</v>
      </c>
      <c r="F2032" s="1">
        <f t="shared" si="157"/>
        <v>45055</v>
      </c>
      <c r="G2032" s="1" t="s">
        <v>592</v>
      </c>
      <c r="H2032" s="2">
        <v>46508</v>
      </c>
      <c r="I2032" t="s">
        <v>19</v>
      </c>
      <c r="J2032">
        <v>1</v>
      </c>
      <c r="K2032">
        <v>27738.3</v>
      </c>
      <c r="L2032" t="s">
        <v>777</v>
      </c>
      <c r="M2032">
        <v>49</v>
      </c>
      <c r="N2032" t="s">
        <v>61</v>
      </c>
      <c r="O2032" s="3" t="s">
        <v>22</v>
      </c>
      <c r="P2032" t="s">
        <v>29</v>
      </c>
      <c r="Q2032" t="s">
        <v>30</v>
      </c>
      <c r="R2032">
        <v>4</v>
      </c>
      <c r="S2032" t="s">
        <v>37</v>
      </c>
      <c r="T2032" s="4">
        <f t="shared" si="158"/>
        <v>27738.3</v>
      </c>
      <c r="U2032" s="4" t="str">
        <f t="shared" si="159"/>
        <v>Good</v>
      </c>
      <c r="V2032" s="4" t="str">
        <f t="shared" si="160"/>
        <v>Low</v>
      </c>
      <c r="W2032" s="4"/>
      <c r="X2032" s="4"/>
      <c r="AJ2032" s="4"/>
    </row>
    <row r="2033" spans="1:36">
      <c r="A2033" t="str">
        <f t="shared" si="156"/>
        <v>Gita362032</v>
      </c>
      <c r="B2033">
        <v>2032</v>
      </c>
      <c r="C2033">
        <v>9</v>
      </c>
      <c r="D2033">
        <v>5</v>
      </c>
      <c r="E2033">
        <v>2023</v>
      </c>
      <c r="F2033" s="1">
        <f t="shared" si="157"/>
        <v>45055</v>
      </c>
      <c r="G2033" s="1" t="s">
        <v>592</v>
      </c>
      <c r="H2033" s="2">
        <v>46509</v>
      </c>
      <c r="I2033" t="s">
        <v>26</v>
      </c>
      <c r="J2033">
        <v>4</v>
      </c>
      <c r="K2033">
        <v>44862.79</v>
      </c>
      <c r="L2033" t="s">
        <v>397</v>
      </c>
      <c r="M2033">
        <v>36</v>
      </c>
      <c r="N2033" t="s">
        <v>21</v>
      </c>
      <c r="O2033" s="3" t="s">
        <v>22</v>
      </c>
      <c r="P2033" t="s">
        <v>66</v>
      </c>
      <c r="Q2033" t="s">
        <v>41</v>
      </c>
      <c r="R2033">
        <v>5</v>
      </c>
      <c r="S2033" t="s">
        <v>34</v>
      </c>
      <c r="T2033" s="4">
        <f t="shared" si="158"/>
        <v>179451.16</v>
      </c>
      <c r="U2033" s="4" t="str">
        <f t="shared" si="159"/>
        <v>Good</v>
      </c>
      <c r="V2033" s="4" t="str">
        <f t="shared" si="160"/>
        <v>Good</v>
      </c>
      <c r="W2033" s="4"/>
      <c r="X2033" s="4"/>
      <c r="AJ2033" s="4"/>
    </row>
    <row r="2034" spans="1:36">
      <c r="A2034" t="str">
        <f t="shared" si="156"/>
        <v>Arun572033</v>
      </c>
      <c r="B2034">
        <v>2033</v>
      </c>
      <c r="C2034">
        <v>10</v>
      </c>
      <c r="D2034">
        <v>5</v>
      </c>
      <c r="E2034">
        <v>2023</v>
      </c>
      <c r="F2034" s="1">
        <f t="shared" si="157"/>
        <v>45056</v>
      </c>
      <c r="G2034" s="1" t="s">
        <v>592</v>
      </c>
      <c r="H2034" s="2">
        <v>46510</v>
      </c>
      <c r="I2034" t="s">
        <v>43</v>
      </c>
      <c r="J2034">
        <v>7</v>
      </c>
      <c r="K2034">
        <v>66653.77</v>
      </c>
      <c r="L2034" t="s">
        <v>728</v>
      </c>
      <c r="M2034">
        <v>57</v>
      </c>
      <c r="N2034" t="s">
        <v>61</v>
      </c>
      <c r="O2034" s="3" t="s">
        <v>55</v>
      </c>
      <c r="P2034" t="s">
        <v>70</v>
      </c>
      <c r="Q2034" t="s">
        <v>56</v>
      </c>
      <c r="R2034">
        <v>1</v>
      </c>
      <c r="S2034" t="s">
        <v>46</v>
      </c>
      <c r="T2034" s="4">
        <f t="shared" si="158"/>
        <v>466576.39</v>
      </c>
      <c r="U2034" s="4" t="str">
        <f t="shared" si="159"/>
        <v>Average</v>
      </c>
      <c r="V2034" s="4" t="str">
        <f t="shared" si="160"/>
        <v>Excellent</v>
      </c>
      <c r="W2034" s="4"/>
      <c r="X2034" s="4"/>
      <c r="AJ2034" s="4"/>
    </row>
    <row r="2035" spans="1:36">
      <c r="A2035" t="str">
        <f t="shared" si="156"/>
        <v>Mano182034</v>
      </c>
      <c r="B2035">
        <v>2034</v>
      </c>
      <c r="C2035">
        <v>10</v>
      </c>
      <c r="D2035">
        <v>5</v>
      </c>
      <c r="E2035">
        <v>2023</v>
      </c>
      <c r="F2035" s="1">
        <f t="shared" si="157"/>
        <v>45056</v>
      </c>
      <c r="G2035" s="1" t="s">
        <v>592</v>
      </c>
      <c r="H2035" s="2">
        <v>46511</v>
      </c>
      <c r="I2035" t="s">
        <v>43</v>
      </c>
      <c r="J2035">
        <v>9</v>
      </c>
      <c r="K2035">
        <v>58708.79</v>
      </c>
      <c r="L2035" t="s">
        <v>961</v>
      </c>
      <c r="M2035">
        <v>18</v>
      </c>
      <c r="N2035" t="s">
        <v>36</v>
      </c>
      <c r="O2035" s="3" t="s">
        <v>22</v>
      </c>
      <c r="P2035" t="s">
        <v>70</v>
      </c>
      <c r="Q2035" t="s">
        <v>30</v>
      </c>
      <c r="R2035">
        <v>5</v>
      </c>
      <c r="S2035" t="s">
        <v>95</v>
      </c>
      <c r="T2035" s="4">
        <f t="shared" si="158"/>
        <v>528379.11</v>
      </c>
      <c r="U2035" s="4" t="str">
        <f t="shared" si="159"/>
        <v>Good</v>
      </c>
      <c r="V2035" s="4" t="str">
        <f t="shared" si="160"/>
        <v>Excellent</v>
      </c>
      <c r="W2035" s="4"/>
      <c r="X2035" s="4"/>
      <c r="AJ2035" s="4"/>
    </row>
    <row r="2036" spans="1:36">
      <c r="A2036" t="str">
        <f t="shared" si="156"/>
        <v>Roha522035</v>
      </c>
      <c r="B2036">
        <v>2035</v>
      </c>
      <c r="C2036">
        <v>10</v>
      </c>
      <c r="D2036">
        <v>5</v>
      </c>
      <c r="E2036">
        <v>2023</v>
      </c>
      <c r="F2036" s="1">
        <f t="shared" si="157"/>
        <v>45056</v>
      </c>
      <c r="G2036" s="1" t="s">
        <v>592</v>
      </c>
      <c r="H2036" s="2">
        <v>46512</v>
      </c>
      <c r="I2036" t="s">
        <v>49</v>
      </c>
      <c r="J2036">
        <v>3</v>
      </c>
      <c r="K2036">
        <v>54509.96</v>
      </c>
      <c r="L2036" t="s">
        <v>295</v>
      </c>
      <c r="M2036">
        <v>52</v>
      </c>
      <c r="N2036" t="s">
        <v>61</v>
      </c>
      <c r="O2036" s="3" t="s">
        <v>22</v>
      </c>
      <c r="P2036" t="s">
        <v>137</v>
      </c>
      <c r="Q2036" t="s">
        <v>30</v>
      </c>
      <c r="R2036">
        <v>4</v>
      </c>
      <c r="S2036" t="s">
        <v>102</v>
      </c>
      <c r="T2036" s="4">
        <f t="shared" si="158"/>
        <v>163529.88</v>
      </c>
      <c r="U2036" s="4" t="str">
        <f t="shared" si="159"/>
        <v>Good</v>
      </c>
      <c r="V2036" s="4" t="str">
        <f t="shared" si="160"/>
        <v>Good</v>
      </c>
      <c r="W2036" s="4"/>
      <c r="X2036" s="4"/>
      <c r="AJ2036" s="4"/>
    </row>
    <row r="2037" spans="1:36">
      <c r="A2037" t="str">
        <f t="shared" si="156"/>
        <v>Kira222036</v>
      </c>
      <c r="B2037">
        <v>2036</v>
      </c>
      <c r="C2037">
        <v>10</v>
      </c>
      <c r="D2037">
        <v>5</v>
      </c>
      <c r="E2037">
        <v>2023</v>
      </c>
      <c r="F2037" s="1">
        <f t="shared" si="157"/>
        <v>45056</v>
      </c>
      <c r="G2037" s="1" t="s">
        <v>592</v>
      </c>
      <c r="H2037" s="2">
        <v>46513</v>
      </c>
      <c r="I2037" t="s">
        <v>38</v>
      </c>
      <c r="J2037">
        <v>7</v>
      </c>
      <c r="K2037">
        <v>54219.78</v>
      </c>
      <c r="L2037" t="s">
        <v>839</v>
      </c>
      <c r="M2037">
        <v>22</v>
      </c>
      <c r="N2037" t="s">
        <v>36</v>
      </c>
      <c r="O2037" s="3" t="s">
        <v>55</v>
      </c>
      <c r="P2037" t="s">
        <v>33</v>
      </c>
      <c r="Q2037" t="s">
        <v>56</v>
      </c>
      <c r="R2037">
        <v>2</v>
      </c>
      <c r="S2037" t="s">
        <v>42</v>
      </c>
      <c r="T2037" s="4">
        <f t="shared" si="158"/>
        <v>379538.45999999996</v>
      </c>
      <c r="U2037" s="4" t="str">
        <f t="shared" si="159"/>
        <v>Average</v>
      </c>
      <c r="V2037" s="4" t="str">
        <f t="shared" si="160"/>
        <v>Excellent</v>
      </c>
      <c r="W2037" s="4"/>
      <c r="X2037" s="4"/>
      <c r="AJ2037" s="4"/>
    </row>
    <row r="2038" spans="1:36">
      <c r="A2038" t="str">
        <f t="shared" si="156"/>
        <v>Kavi292037</v>
      </c>
      <c r="B2038">
        <v>2037</v>
      </c>
      <c r="C2038">
        <v>11</v>
      </c>
      <c r="D2038">
        <v>5</v>
      </c>
      <c r="E2038">
        <v>2023</v>
      </c>
      <c r="F2038" s="1">
        <f t="shared" si="157"/>
        <v>45057</v>
      </c>
      <c r="G2038" s="1" t="s">
        <v>592</v>
      </c>
      <c r="H2038" s="2">
        <v>46514</v>
      </c>
      <c r="I2038" t="s">
        <v>26</v>
      </c>
      <c r="J2038">
        <v>7</v>
      </c>
      <c r="K2038">
        <v>20681.22</v>
      </c>
      <c r="L2038" t="s">
        <v>519</v>
      </c>
      <c r="M2038">
        <v>29</v>
      </c>
      <c r="N2038" t="s">
        <v>36</v>
      </c>
      <c r="O2038" s="3" t="s">
        <v>55</v>
      </c>
      <c r="P2038" t="s">
        <v>33</v>
      </c>
      <c r="Q2038" t="s">
        <v>24</v>
      </c>
      <c r="R2038">
        <v>1</v>
      </c>
      <c r="S2038" t="s">
        <v>31</v>
      </c>
      <c r="T2038" s="4">
        <f t="shared" si="158"/>
        <v>144768.54</v>
      </c>
      <c r="U2038" s="4" t="str">
        <f t="shared" si="159"/>
        <v>Average</v>
      </c>
      <c r="V2038" s="4" t="str">
        <f t="shared" si="160"/>
        <v>Good</v>
      </c>
      <c r="W2038" s="4"/>
      <c r="X2038" s="4"/>
      <c r="AJ2038" s="4"/>
    </row>
    <row r="2039" spans="1:36">
      <c r="A2039" t="str">
        <f t="shared" si="156"/>
        <v>Deep292038</v>
      </c>
      <c r="B2039">
        <v>2038</v>
      </c>
      <c r="C2039">
        <v>11</v>
      </c>
      <c r="D2039">
        <v>5</v>
      </c>
      <c r="E2039">
        <v>2023</v>
      </c>
      <c r="F2039" s="1">
        <f t="shared" si="157"/>
        <v>45057</v>
      </c>
      <c r="G2039" s="1" t="s">
        <v>592</v>
      </c>
      <c r="H2039" s="2">
        <v>46515</v>
      </c>
      <c r="I2039" t="s">
        <v>26</v>
      </c>
      <c r="J2039">
        <v>7</v>
      </c>
      <c r="K2039">
        <v>59480.87</v>
      </c>
      <c r="L2039" t="s">
        <v>941</v>
      </c>
      <c r="M2039">
        <v>29</v>
      </c>
      <c r="N2039" t="s">
        <v>36</v>
      </c>
      <c r="O2039" s="3" t="s">
        <v>22</v>
      </c>
      <c r="P2039" t="s">
        <v>51</v>
      </c>
      <c r="Q2039" t="s">
        <v>56</v>
      </c>
      <c r="R2039">
        <v>5</v>
      </c>
      <c r="S2039" t="s">
        <v>67</v>
      </c>
      <c r="T2039" s="4">
        <f t="shared" si="158"/>
        <v>416366.09</v>
      </c>
      <c r="U2039" s="4" t="str">
        <f t="shared" si="159"/>
        <v>Good</v>
      </c>
      <c r="V2039" s="4" t="str">
        <f t="shared" si="160"/>
        <v>Excellent</v>
      </c>
      <c r="W2039" s="4"/>
      <c r="X2039" s="4"/>
      <c r="AJ2039" s="4"/>
    </row>
    <row r="2040" spans="1:36">
      <c r="A2040" t="str">
        <f t="shared" si="156"/>
        <v>Radh382039</v>
      </c>
      <c r="B2040">
        <v>2039</v>
      </c>
      <c r="C2040">
        <v>11</v>
      </c>
      <c r="D2040">
        <v>5</v>
      </c>
      <c r="E2040">
        <v>2023</v>
      </c>
      <c r="F2040" s="1">
        <f t="shared" si="157"/>
        <v>45057</v>
      </c>
      <c r="G2040" s="1" t="s">
        <v>592</v>
      </c>
      <c r="H2040" s="2">
        <v>46516</v>
      </c>
      <c r="I2040" t="s">
        <v>26</v>
      </c>
      <c r="J2040">
        <v>2</v>
      </c>
      <c r="K2040">
        <v>26567.119999999999</v>
      </c>
      <c r="L2040" t="s">
        <v>669</v>
      </c>
      <c r="M2040">
        <v>38</v>
      </c>
      <c r="N2040" t="s">
        <v>21</v>
      </c>
      <c r="O2040" s="3" t="s">
        <v>55</v>
      </c>
      <c r="P2040" t="s">
        <v>29</v>
      </c>
      <c r="Q2040" t="s">
        <v>56</v>
      </c>
      <c r="R2040">
        <v>1</v>
      </c>
      <c r="S2040" t="s">
        <v>31</v>
      </c>
      <c r="T2040" s="4">
        <f t="shared" si="158"/>
        <v>53134.239999999998</v>
      </c>
      <c r="U2040" s="4" t="str">
        <f t="shared" si="159"/>
        <v>Average</v>
      </c>
      <c r="V2040" s="4" t="str">
        <f t="shared" si="160"/>
        <v>Average</v>
      </c>
      <c r="W2040" s="4"/>
      <c r="X2040" s="4"/>
      <c r="AJ2040" s="4"/>
    </row>
    <row r="2041" spans="1:36">
      <c r="A2041" t="str">
        <f t="shared" si="156"/>
        <v>Meen362040</v>
      </c>
      <c r="B2041">
        <v>2040</v>
      </c>
      <c r="C2041">
        <v>11</v>
      </c>
      <c r="D2041">
        <v>5</v>
      </c>
      <c r="E2041">
        <v>2023</v>
      </c>
      <c r="F2041" s="1">
        <f t="shared" si="157"/>
        <v>45057</v>
      </c>
      <c r="G2041" s="1" t="s">
        <v>592</v>
      </c>
      <c r="H2041" s="2">
        <v>46517</v>
      </c>
      <c r="I2041" t="s">
        <v>43</v>
      </c>
      <c r="J2041">
        <v>6</v>
      </c>
      <c r="K2041">
        <v>65822</v>
      </c>
      <c r="L2041" t="s">
        <v>87</v>
      </c>
      <c r="M2041">
        <v>36</v>
      </c>
      <c r="N2041" t="s">
        <v>21</v>
      </c>
      <c r="O2041" s="3" t="s">
        <v>55</v>
      </c>
      <c r="P2041" t="s">
        <v>137</v>
      </c>
      <c r="Q2041" t="s">
        <v>30</v>
      </c>
      <c r="R2041">
        <v>1</v>
      </c>
      <c r="S2041" t="s">
        <v>46</v>
      </c>
      <c r="T2041" s="4">
        <f t="shared" si="158"/>
        <v>394932</v>
      </c>
      <c r="U2041" s="4" t="str">
        <f t="shared" si="159"/>
        <v>Average</v>
      </c>
      <c r="V2041" s="4" t="str">
        <f t="shared" si="160"/>
        <v>Excellent</v>
      </c>
      <c r="W2041" s="4"/>
      <c r="X2041" s="4"/>
      <c r="AJ2041" s="4"/>
    </row>
    <row r="2042" spans="1:36">
      <c r="A2042" t="str">
        <f t="shared" si="156"/>
        <v>Roha262041</v>
      </c>
      <c r="B2042">
        <v>2041</v>
      </c>
      <c r="C2042">
        <v>12</v>
      </c>
      <c r="D2042">
        <v>5</v>
      </c>
      <c r="E2042">
        <v>2023</v>
      </c>
      <c r="F2042" s="1">
        <f t="shared" si="157"/>
        <v>45058</v>
      </c>
      <c r="G2042" s="1" t="s">
        <v>592</v>
      </c>
      <c r="H2042" s="2">
        <v>46518</v>
      </c>
      <c r="I2042" t="s">
        <v>38</v>
      </c>
      <c r="J2042">
        <v>2</v>
      </c>
      <c r="K2042">
        <v>31878.400000000001</v>
      </c>
      <c r="L2042" t="s">
        <v>489</v>
      </c>
      <c r="M2042">
        <v>26</v>
      </c>
      <c r="N2042" t="s">
        <v>36</v>
      </c>
      <c r="O2042" s="3" t="s">
        <v>55</v>
      </c>
      <c r="P2042" t="s">
        <v>33</v>
      </c>
      <c r="Q2042" t="s">
        <v>41</v>
      </c>
      <c r="R2042">
        <v>1</v>
      </c>
      <c r="S2042" t="s">
        <v>99</v>
      </c>
      <c r="T2042" s="4">
        <f t="shared" si="158"/>
        <v>63756.800000000003</v>
      </c>
      <c r="U2042" s="4" t="str">
        <f t="shared" si="159"/>
        <v>Average</v>
      </c>
      <c r="V2042" s="4" t="str">
        <f t="shared" si="160"/>
        <v>Average</v>
      </c>
      <c r="W2042" s="4"/>
      <c r="X2042" s="4"/>
      <c r="AJ2042" s="4"/>
    </row>
    <row r="2043" spans="1:36">
      <c r="A2043" t="str">
        <f t="shared" si="156"/>
        <v>Sneh532042</v>
      </c>
      <c r="B2043">
        <v>2042</v>
      </c>
      <c r="C2043">
        <v>12</v>
      </c>
      <c r="D2043">
        <v>5</v>
      </c>
      <c r="E2043">
        <v>2023</v>
      </c>
      <c r="F2043" s="1">
        <f t="shared" si="157"/>
        <v>45058</v>
      </c>
      <c r="G2043" s="1" t="s">
        <v>592</v>
      </c>
      <c r="H2043" s="2">
        <v>46519</v>
      </c>
      <c r="I2043" t="s">
        <v>49</v>
      </c>
      <c r="J2043">
        <v>6</v>
      </c>
      <c r="K2043">
        <v>61459.62</v>
      </c>
      <c r="L2043" t="s">
        <v>675</v>
      </c>
      <c r="M2043">
        <v>53</v>
      </c>
      <c r="N2043" t="s">
        <v>61</v>
      </c>
      <c r="O2043" s="3" t="s">
        <v>22</v>
      </c>
      <c r="P2043" t="s">
        <v>40</v>
      </c>
      <c r="Q2043" t="s">
        <v>30</v>
      </c>
      <c r="R2043">
        <v>4</v>
      </c>
      <c r="S2043" t="s">
        <v>102</v>
      </c>
      <c r="T2043" s="4">
        <f t="shared" si="158"/>
        <v>368757.72000000003</v>
      </c>
      <c r="U2043" s="4" t="str">
        <f t="shared" si="159"/>
        <v>Good</v>
      </c>
      <c r="V2043" s="4" t="str">
        <f t="shared" si="160"/>
        <v>Excellent</v>
      </c>
      <c r="W2043" s="4"/>
      <c r="X2043" s="4"/>
      <c r="AJ2043" s="4"/>
    </row>
    <row r="2044" spans="1:36">
      <c r="A2044" t="str">
        <f t="shared" si="156"/>
        <v>Mano592043</v>
      </c>
      <c r="B2044">
        <v>2043</v>
      </c>
      <c r="C2044">
        <v>12</v>
      </c>
      <c r="D2044">
        <v>5</v>
      </c>
      <c r="E2044">
        <v>2023</v>
      </c>
      <c r="F2044" s="1">
        <f t="shared" si="157"/>
        <v>45058</v>
      </c>
      <c r="G2044" s="1" t="s">
        <v>592</v>
      </c>
      <c r="H2044" s="2">
        <v>46520</v>
      </c>
      <c r="I2044" t="s">
        <v>19</v>
      </c>
      <c r="J2044">
        <v>3</v>
      </c>
      <c r="K2044">
        <v>25974.01</v>
      </c>
      <c r="L2044" t="s">
        <v>309</v>
      </c>
      <c r="M2044">
        <v>59</v>
      </c>
      <c r="N2044" t="s">
        <v>61</v>
      </c>
      <c r="O2044" s="3" t="s">
        <v>22</v>
      </c>
      <c r="P2044" t="s">
        <v>29</v>
      </c>
      <c r="Q2044" t="s">
        <v>30</v>
      </c>
      <c r="R2044">
        <v>4</v>
      </c>
      <c r="S2044" t="s">
        <v>84</v>
      </c>
      <c r="T2044" s="4">
        <f t="shared" si="158"/>
        <v>77922.03</v>
      </c>
      <c r="U2044" s="4" t="str">
        <f t="shared" si="159"/>
        <v>Good</v>
      </c>
      <c r="V2044" s="4" t="str">
        <f t="shared" si="160"/>
        <v>Average</v>
      </c>
      <c r="W2044" s="4"/>
      <c r="X2044" s="4"/>
      <c r="AJ2044" s="4"/>
    </row>
    <row r="2045" spans="1:36">
      <c r="A2045" t="str">
        <f t="shared" si="156"/>
        <v>Priy492044</v>
      </c>
      <c r="B2045">
        <v>2044</v>
      </c>
      <c r="C2045">
        <v>12</v>
      </c>
      <c r="D2045">
        <v>5</v>
      </c>
      <c r="E2045">
        <v>2023</v>
      </c>
      <c r="F2045" s="1">
        <f t="shared" si="157"/>
        <v>45058</v>
      </c>
      <c r="G2045" s="1" t="s">
        <v>592</v>
      </c>
      <c r="H2045" s="2">
        <v>46521</v>
      </c>
      <c r="I2045" t="s">
        <v>19</v>
      </c>
      <c r="J2045">
        <v>2</v>
      </c>
      <c r="K2045">
        <v>40871.620000000003</v>
      </c>
      <c r="L2045" t="s">
        <v>962</v>
      </c>
      <c r="M2045">
        <v>49</v>
      </c>
      <c r="N2045" t="s">
        <v>61</v>
      </c>
      <c r="O2045" s="3" t="s">
        <v>22</v>
      </c>
      <c r="P2045" t="s">
        <v>137</v>
      </c>
      <c r="Q2045" t="s">
        <v>30</v>
      </c>
      <c r="R2045">
        <v>4</v>
      </c>
      <c r="S2045" t="s">
        <v>37</v>
      </c>
      <c r="T2045" s="4">
        <f t="shared" si="158"/>
        <v>81743.240000000005</v>
      </c>
      <c r="U2045" s="4" t="str">
        <f t="shared" si="159"/>
        <v>Good</v>
      </c>
      <c r="V2045" s="4" t="str">
        <f t="shared" si="160"/>
        <v>Average</v>
      </c>
      <c r="W2045" s="4"/>
      <c r="X2045" s="4"/>
      <c r="AJ2045" s="4"/>
    </row>
    <row r="2046" spans="1:36">
      <c r="A2046" t="str">
        <f t="shared" si="156"/>
        <v>Kira522045</v>
      </c>
      <c r="B2046">
        <v>2045</v>
      </c>
      <c r="C2046">
        <v>13</v>
      </c>
      <c r="D2046">
        <v>5</v>
      </c>
      <c r="E2046">
        <v>2023</v>
      </c>
      <c r="F2046" s="1">
        <f t="shared" si="157"/>
        <v>45059</v>
      </c>
      <c r="G2046" s="1" t="s">
        <v>592</v>
      </c>
      <c r="H2046" s="2">
        <v>46522</v>
      </c>
      <c r="I2046" t="s">
        <v>26</v>
      </c>
      <c r="J2046">
        <v>6</v>
      </c>
      <c r="K2046">
        <v>16413.12</v>
      </c>
      <c r="L2046" t="s">
        <v>823</v>
      </c>
      <c r="M2046">
        <v>52</v>
      </c>
      <c r="N2046" t="s">
        <v>61</v>
      </c>
      <c r="O2046" s="3" t="s">
        <v>55</v>
      </c>
      <c r="P2046" t="s">
        <v>29</v>
      </c>
      <c r="Q2046" t="s">
        <v>56</v>
      </c>
      <c r="R2046">
        <v>2</v>
      </c>
      <c r="S2046" t="s">
        <v>31</v>
      </c>
      <c r="T2046" s="4">
        <f t="shared" si="158"/>
        <v>98478.720000000001</v>
      </c>
      <c r="U2046" s="4" t="str">
        <f t="shared" si="159"/>
        <v>Average</v>
      </c>
      <c r="V2046" s="4" t="str">
        <f t="shared" si="160"/>
        <v>Average</v>
      </c>
      <c r="W2046" s="4"/>
      <c r="X2046" s="4"/>
      <c r="AJ2046" s="4"/>
    </row>
    <row r="2047" spans="1:36">
      <c r="A2047" t="str">
        <f t="shared" si="156"/>
        <v>Roha482046</v>
      </c>
      <c r="B2047">
        <v>2046</v>
      </c>
      <c r="C2047">
        <v>13</v>
      </c>
      <c r="D2047">
        <v>5</v>
      </c>
      <c r="E2047">
        <v>2023</v>
      </c>
      <c r="F2047" s="1">
        <f t="shared" si="157"/>
        <v>45059</v>
      </c>
      <c r="G2047" s="1" t="s">
        <v>592</v>
      </c>
      <c r="H2047" s="2">
        <v>46523</v>
      </c>
      <c r="I2047" t="s">
        <v>38</v>
      </c>
      <c r="J2047">
        <v>2</v>
      </c>
      <c r="K2047">
        <v>49607.13</v>
      </c>
      <c r="L2047" t="s">
        <v>963</v>
      </c>
      <c r="M2047">
        <v>48</v>
      </c>
      <c r="N2047" t="s">
        <v>61</v>
      </c>
      <c r="O2047" s="3" t="s">
        <v>22</v>
      </c>
      <c r="P2047" t="s">
        <v>70</v>
      </c>
      <c r="Q2047" t="s">
        <v>56</v>
      </c>
      <c r="R2047">
        <v>5</v>
      </c>
      <c r="S2047" t="s">
        <v>48</v>
      </c>
      <c r="T2047" s="4">
        <f t="shared" si="158"/>
        <v>99214.26</v>
      </c>
      <c r="U2047" s="4" t="str">
        <f t="shared" si="159"/>
        <v>Good</v>
      </c>
      <c r="V2047" s="4" t="str">
        <f t="shared" si="160"/>
        <v>Average</v>
      </c>
      <c r="W2047" s="4"/>
      <c r="X2047" s="4"/>
      <c r="AJ2047" s="4"/>
    </row>
    <row r="2048" spans="1:36">
      <c r="A2048" t="str">
        <f t="shared" si="156"/>
        <v>Bina492047</v>
      </c>
      <c r="B2048">
        <v>2047</v>
      </c>
      <c r="C2048">
        <v>13</v>
      </c>
      <c r="D2048">
        <v>5</v>
      </c>
      <c r="E2048">
        <v>2023</v>
      </c>
      <c r="F2048" s="1">
        <f t="shared" si="157"/>
        <v>45059</v>
      </c>
      <c r="G2048" s="1" t="s">
        <v>592</v>
      </c>
      <c r="H2048" s="2">
        <v>46524</v>
      </c>
      <c r="I2048" t="s">
        <v>43</v>
      </c>
      <c r="J2048">
        <v>5</v>
      </c>
      <c r="K2048">
        <v>60164.76</v>
      </c>
      <c r="L2048" t="s">
        <v>902</v>
      </c>
      <c r="M2048">
        <v>49</v>
      </c>
      <c r="N2048" t="s">
        <v>61</v>
      </c>
      <c r="O2048" s="3" t="s">
        <v>55</v>
      </c>
      <c r="P2048" t="s">
        <v>29</v>
      </c>
      <c r="Q2048" t="s">
        <v>30</v>
      </c>
      <c r="R2048">
        <v>2</v>
      </c>
      <c r="S2048" t="s">
        <v>57</v>
      </c>
      <c r="T2048" s="4">
        <f t="shared" si="158"/>
        <v>300823.8</v>
      </c>
      <c r="U2048" s="4" t="str">
        <f t="shared" si="159"/>
        <v>Average</v>
      </c>
      <c r="V2048" s="4" t="str">
        <f t="shared" si="160"/>
        <v>Excellent</v>
      </c>
      <c r="W2048" s="4"/>
      <c r="X2048" s="4"/>
      <c r="AJ2048" s="4"/>
    </row>
    <row r="2049" spans="1:36">
      <c r="A2049" t="str">
        <f t="shared" si="156"/>
        <v>Yoge542048</v>
      </c>
      <c r="B2049">
        <v>2048</v>
      </c>
      <c r="C2049">
        <v>14</v>
      </c>
      <c r="D2049">
        <v>5</v>
      </c>
      <c r="E2049">
        <v>2023</v>
      </c>
      <c r="F2049" s="1">
        <f t="shared" si="157"/>
        <v>45060</v>
      </c>
      <c r="G2049" s="1" t="s">
        <v>592</v>
      </c>
      <c r="H2049" s="2">
        <v>46525</v>
      </c>
      <c r="I2049" t="s">
        <v>38</v>
      </c>
      <c r="J2049">
        <v>2</v>
      </c>
      <c r="K2049">
        <v>53106.84</v>
      </c>
      <c r="L2049" t="s">
        <v>182</v>
      </c>
      <c r="M2049">
        <v>54</v>
      </c>
      <c r="N2049" t="s">
        <v>61</v>
      </c>
      <c r="O2049" s="3" t="s">
        <v>22</v>
      </c>
      <c r="P2049" t="s">
        <v>29</v>
      </c>
      <c r="Q2049" t="s">
        <v>30</v>
      </c>
      <c r="R2049">
        <v>5</v>
      </c>
      <c r="S2049" t="s">
        <v>48</v>
      </c>
      <c r="T2049" s="4">
        <f t="shared" si="158"/>
        <v>106213.68</v>
      </c>
      <c r="U2049" s="4" t="str">
        <f t="shared" si="159"/>
        <v>Good</v>
      </c>
      <c r="V2049" s="4" t="str">
        <f t="shared" si="160"/>
        <v>Good</v>
      </c>
      <c r="W2049" s="4"/>
      <c r="X2049" s="4"/>
      <c r="AJ2049" s="4"/>
    </row>
    <row r="2050" spans="1:36">
      <c r="A2050" t="str">
        <f t="shared" ref="A2050:A2113" si="161">LEFT(L2050,4)&amp;M2050&amp;B2050</f>
        <v>Mala492049</v>
      </c>
      <c r="B2050">
        <v>2049</v>
      </c>
      <c r="C2050">
        <v>14</v>
      </c>
      <c r="D2050">
        <v>5</v>
      </c>
      <c r="E2050">
        <v>2023</v>
      </c>
      <c r="F2050" s="1">
        <f t="shared" si="157"/>
        <v>45060</v>
      </c>
      <c r="G2050" s="1" t="s">
        <v>592</v>
      </c>
      <c r="H2050" s="2">
        <v>46526</v>
      </c>
      <c r="I2050" t="s">
        <v>38</v>
      </c>
      <c r="J2050">
        <v>3</v>
      </c>
      <c r="K2050">
        <v>41395.51</v>
      </c>
      <c r="L2050" t="s">
        <v>514</v>
      </c>
      <c r="M2050">
        <v>49</v>
      </c>
      <c r="N2050" t="s">
        <v>61</v>
      </c>
      <c r="O2050" s="3" t="s">
        <v>55</v>
      </c>
      <c r="P2050" t="s">
        <v>59</v>
      </c>
      <c r="Q2050" t="s">
        <v>41</v>
      </c>
      <c r="R2050">
        <v>1</v>
      </c>
      <c r="S2050" t="s">
        <v>48</v>
      </c>
      <c r="T2050" s="4">
        <f t="shared" si="158"/>
        <v>124186.53</v>
      </c>
      <c r="U2050" s="4" t="str">
        <f t="shared" si="159"/>
        <v>Average</v>
      </c>
      <c r="V2050" s="4" t="str">
        <f t="shared" si="160"/>
        <v>Good</v>
      </c>
      <c r="W2050" s="4"/>
      <c r="X2050" s="4"/>
      <c r="AJ2050" s="4"/>
    </row>
    <row r="2051" spans="1:36">
      <c r="A2051" t="str">
        <f t="shared" si="161"/>
        <v>Sach542050</v>
      </c>
      <c r="B2051">
        <v>2050</v>
      </c>
      <c r="C2051">
        <v>14</v>
      </c>
      <c r="D2051">
        <v>5</v>
      </c>
      <c r="E2051">
        <v>2023</v>
      </c>
      <c r="F2051" s="1">
        <f t="shared" ref="F2051:F2114" si="162">DATE(E2051,D2051,C2051)</f>
        <v>45060</v>
      </c>
      <c r="G2051" s="1" t="s">
        <v>592</v>
      </c>
      <c r="H2051" s="2">
        <v>46527</v>
      </c>
      <c r="I2051" t="s">
        <v>43</v>
      </c>
      <c r="J2051">
        <v>3</v>
      </c>
      <c r="K2051">
        <v>12706.95</v>
      </c>
      <c r="L2051" t="s">
        <v>631</v>
      </c>
      <c r="M2051">
        <v>54</v>
      </c>
      <c r="N2051" t="s">
        <v>61</v>
      </c>
      <c r="O2051" s="3" t="s">
        <v>22</v>
      </c>
      <c r="P2051" t="s">
        <v>33</v>
      </c>
      <c r="Q2051" t="s">
        <v>24</v>
      </c>
      <c r="R2051">
        <v>5</v>
      </c>
      <c r="S2051" t="s">
        <v>57</v>
      </c>
      <c r="T2051" s="4">
        <f t="shared" ref="T2051:T2114" si="163">J2051*K2051</f>
        <v>38120.850000000006</v>
      </c>
      <c r="U2051" s="4" t="str">
        <f t="shared" ref="U2051:U2114" si="164">IF(R2051&gt;=4,"Good","Average")</f>
        <v>Good</v>
      </c>
      <c r="V2051" s="4" t="str">
        <f t="shared" ref="V2051:V2114" si="165">IF(T2051&gt;200000,"Excellent",IF(T2051&gt;100000,"Good",IF(T2051&gt;50000,"Average","Low")))</f>
        <v>Low</v>
      </c>
      <c r="W2051" s="4"/>
      <c r="X2051" s="4"/>
      <c r="AJ2051" s="4"/>
    </row>
    <row r="2052" spans="1:36">
      <c r="A2052" t="str">
        <f t="shared" si="161"/>
        <v>Adit562051</v>
      </c>
      <c r="B2052">
        <v>2051</v>
      </c>
      <c r="C2052">
        <v>14</v>
      </c>
      <c r="D2052">
        <v>5</v>
      </c>
      <c r="E2052">
        <v>2023</v>
      </c>
      <c r="F2052" s="1">
        <f t="shared" si="162"/>
        <v>45060</v>
      </c>
      <c r="G2052" s="1" t="s">
        <v>592</v>
      </c>
      <c r="H2052" s="2">
        <v>46528</v>
      </c>
      <c r="I2052" t="s">
        <v>26</v>
      </c>
      <c r="J2052">
        <v>6</v>
      </c>
      <c r="K2052">
        <v>66006.460000000006</v>
      </c>
      <c r="L2052" t="s">
        <v>641</v>
      </c>
      <c r="M2052">
        <v>56</v>
      </c>
      <c r="N2052" t="s">
        <v>61</v>
      </c>
      <c r="O2052" s="3" t="s">
        <v>22</v>
      </c>
      <c r="P2052" t="s">
        <v>29</v>
      </c>
      <c r="Q2052" t="s">
        <v>30</v>
      </c>
      <c r="R2052">
        <v>5</v>
      </c>
      <c r="S2052" t="s">
        <v>34</v>
      </c>
      <c r="T2052" s="4">
        <f t="shared" si="163"/>
        <v>396038.76</v>
      </c>
      <c r="U2052" s="4" t="str">
        <f t="shared" si="164"/>
        <v>Good</v>
      </c>
      <c r="V2052" s="4" t="str">
        <f t="shared" si="165"/>
        <v>Excellent</v>
      </c>
      <c r="W2052" s="4"/>
      <c r="X2052" s="4"/>
      <c r="AJ2052" s="4"/>
    </row>
    <row r="2053" spans="1:36">
      <c r="A2053" t="str">
        <f t="shared" si="161"/>
        <v>Neet552052</v>
      </c>
      <c r="B2053">
        <v>2052</v>
      </c>
      <c r="C2053">
        <v>15</v>
      </c>
      <c r="D2053">
        <v>5</v>
      </c>
      <c r="E2053">
        <v>2023</v>
      </c>
      <c r="F2053" s="1">
        <f t="shared" si="162"/>
        <v>45061</v>
      </c>
      <c r="G2053" s="1" t="s">
        <v>592</v>
      </c>
      <c r="H2053" s="2">
        <v>46529</v>
      </c>
      <c r="I2053" t="s">
        <v>38</v>
      </c>
      <c r="J2053">
        <v>6</v>
      </c>
      <c r="K2053">
        <v>52329.37</v>
      </c>
      <c r="L2053" t="s">
        <v>155</v>
      </c>
      <c r="M2053">
        <v>55</v>
      </c>
      <c r="N2053" t="s">
        <v>61</v>
      </c>
      <c r="O2053" s="3" t="s">
        <v>55</v>
      </c>
      <c r="P2053" t="s">
        <v>77</v>
      </c>
      <c r="Q2053" t="s">
        <v>56</v>
      </c>
      <c r="R2053">
        <v>1</v>
      </c>
      <c r="S2053" t="s">
        <v>48</v>
      </c>
      <c r="T2053" s="4">
        <f t="shared" si="163"/>
        <v>313976.22000000003</v>
      </c>
      <c r="U2053" s="4" t="str">
        <f t="shared" si="164"/>
        <v>Average</v>
      </c>
      <c r="V2053" s="4" t="str">
        <f t="shared" si="165"/>
        <v>Excellent</v>
      </c>
      <c r="W2053" s="4"/>
      <c r="X2053" s="4"/>
      <c r="AJ2053" s="4"/>
    </row>
    <row r="2054" spans="1:36">
      <c r="A2054" t="str">
        <f t="shared" si="161"/>
        <v>Rame472053</v>
      </c>
      <c r="B2054">
        <v>2053</v>
      </c>
      <c r="C2054">
        <v>15</v>
      </c>
      <c r="D2054">
        <v>5</v>
      </c>
      <c r="E2054">
        <v>2023</v>
      </c>
      <c r="F2054" s="1">
        <f t="shared" si="162"/>
        <v>45061</v>
      </c>
      <c r="G2054" s="1" t="s">
        <v>592</v>
      </c>
      <c r="H2054" s="2">
        <v>46530</v>
      </c>
      <c r="I2054" t="s">
        <v>19</v>
      </c>
      <c r="J2054">
        <v>3</v>
      </c>
      <c r="K2054">
        <v>54751.85</v>
      </c>
      <c r="L2054" t="s">
        <v>130</v>
      </c>
      <c r="M2054">
        <v>47</v>
      </c>
      <c r="N2054" t="s">
        <v>61</v>
      </c>
      <c r="O2054" s="3" t="s">
        <v>55</v>
      </c>
      <c r="P2054" t="s">
        <v>150</v>
      </c>
      <c r="Q2054" t="s">
        <v>24</v>
      </c>
      <c r="R2054">
        <v>2</v>
      </c>
      <c r="S2054" t="s">
        <v>84</v>
      </c>
      <c r="T2054" s="4">
        <f t="shared" si="163"/>
        <v>164255.54999999999</v>
      </c>
      <c r="U2054" s="4" t="str">
        <f t="shared" si="164"/>
        <v>Average</v>
      </c>
      <c r="V2054" s="4" t="str">
        <f t="shared" si="165"/>
        <v>Good</v>
      </c>
      <c r="W2054" s="4"/>
      <c r="X2054" s="4"/>
      <c r="AJ2054" s="4"/>
    </row>
    <row r="2055" spans="1:36">
      <c r="A2055" t="str">
        <f t="shared" si="161"/>
        <v>Shru492054</v>
      </c>
      <c r="B2055">
        <v>2054</v>
      </c>
      <c r="C2055">
        <v>15</v>
      </c>
      <c r="D2055">
        <v>5</v>
      </c>
      <c r="E2055">
        <v>2023</v>
      </c>
      <c r="F2055" s="1">
        <f t="shared" si="162"/>
        <v>45061</v>
      </c>
      <c r="G2055" s="1" t="s">
        <v>592</v>
      </c>
      <c r="H2055" s="2">
        <v>46531</v>
      </c>
      <c r="I2055" t="s">
        <v>43</v>
      </c>
      <c r="J2055">
        <v>3</v>
      </c>
      <c r="K2055">
        <v>57680.83</v>
      </c>
      <c r="L2055" t="s">
        <v>964</v>
      </c>
      <c r="M2055">
        <v>49</v>
      </c>
      <c r="N2055" t="s">
        <v>61</v>
      </c>
      <c r="O2055" s="3" t="s">
        <v>22</v>
      </c>
      <c r="P2055" t="s">
        <v>33</v>
      </c>
      <c r="Q2055" t="s">
        <v>24</v>
      </c>
      <c r="R2055">
        <v>5</v>
      </c>
      <c r="S2055" t="s">
        <v>57</v>
      </c>
      <c r="T2055" s="4">
        <f t="shared" si="163"/>
        <v>173042.49</v>
      </c>
      <c r="U2055" s="4" t="str">
        <f t="shared" si="164"/>
        <v>Good</v>
      </c>
      <c r="V2055" s="4" t="str">
        <f t="shared" si="165"/>
        <v>Good</v>
      </c>
      <c r="W2055" s="4"/>
      <c r="X2055" s="4"/>
      <c r="AJ2055" s="4"/>
    </row>
    <row r="2056" spans="1:36">
      <c r="A2056" t="str">
        <f t="shared" si="161"/>
        <v>Neet192055</v>
      </c>
      <c r="B2056">
        <v>2055</v>
      </c>
      <c r="C2056">
        <v>15</v>
      </c>
      <c r="D2056">
        <v>5</v>
      </c>
      <c r="E2056">
        <v>2023</v>
      </c>
      <c r="F2056" s="1">
        <f t="shared" si="162"/>
        <v>45061</v>
      </c>
      <c r="G2056" s="1" t="s">
        <v>592</v>
      </c>
      <c r="H2056" s="2">
        <v>46532</v>
      </c>
      <c r="I2056" t="s">
        <v>49</v>
      </c>
      <c r="J2056">
        <v>1</v>
      </c>
      <c r="K2056">
        <v>54864.61</v>
      </c>
      <c r="L2056" t="s">
        <v>858</v>
      </c>
      <c r="M2056">
        <v>19</v>
      </c>
      <c r="N2056" t="s">
        <v>36</v>
      </c>
      <c r="O2056" s="3" t="s">
        <v>55</v>
      </c>
      <c r="P2056" t="s">
        <v>33</v>
      </c>
      <c r="Q2056" t="s">
        <v>41</v>
      </c>
      <c r="R2056">
        <v>2</v>
      </c>
      <c r="S2056" t="s">
        <v>88</v>
      </c>
      <c r="T2056" s="4">
        <f t="shared" si="163"/>
        <v>54864.61</v>
      </c>
      <c r="U2056" s="4" t="str">
        <f t="shared" si="164"/>
        <v>Average</v>
      </c>
      <c r="V2056" s="4" t="str">
        <f t="shared" si="165"/>
        <v>Average</v>
      </c>
      <c r="W2056" s="4"/>
      <c r="X2056" s="4"/>
      <c r="AJ2056" s="4"/>
    </row>
    <row r="2057" spans="1:36">
      <c r="A2057" t="str">
        <f t="shared" si="161"/>
        <v>Yoge282056</v>
      </c>
      <c r="B2057">
        <v>2056</v>
      </c>
      <c r="C2057">
        <v>16</v>
      </c>
      <c r="D2057">
        <v>5</v>
      </c>
      <c r="E2057">
        <v>2023</v>
      </c>
      <c r="F2057" s="1">
        <f t="shared" si="162"/>
        <v>45062</v>
      </c>
      <c r="G2057" s="1" t="s">
        <v>592</v>
      </c>
      <c r="H2057" s="2">
        <v>46533</v>
      </c>
      <c r="I2057" t="s">
        <v>26</v>
      </c>
      <c r="J2057">
        <v>7</v>
      </c>
      <c r="K2057">
        <v>36466.97</v>
      </c>
      <c r="L2057" t="s">
        <v>182</v>
      </c>
      <c r="M2057">
        <v>28</v>
      </c>
      <c r="N2057" t="s">
        <v>36</v>
      </c>
      <c r="O2057" s="3" t="s">
        <v>55</v>
      </c>
      <c r="P2057" t="s">
        <v>137</v>
      </c>
      <c r="Q2057" t="s">
        <v>24</v>
      </c>
      <c r="R2057">
        <v>2</v>
      </c>
      <c r="S2057" t="s">
        <v>34</v>
      </c>
      <c r="T2057" s="4">
        <f t="shared" si="163"/>
        <v>255268.79</v>
      </c>
      <c r="U2057" s="4" t="str">
        <f t="shared" si="164"/>
        <v>Average</v>
      </c>
      <c r="V2057" s="4" t="str">
        <f t="shared" si="165"/>
        <v>Excellent</v>
      </c>
      <c r="W2057" s="4"/>
      <c r="X2057" s="4"/>
      <c r="AJ2057" s="4"/>
    </row>
    <row r="2058" spans="1:36">
      <c r="A2058" t="str">
        <f t="shared" si="161"/>
        <v>Adit372057</v>
      </c>
      <c r="B2058">
        <v>2057</v>
      </c>
      <c r="C2058">
        <v>16</v>
      </c>
      <c r="D2058">
        <v>5</v>
      </c>
      <c r="E2058">
        <v>2023</v>
      </c>
      <c r="F2058" s="1">
        <f t="shared" si="162"/>
        <v>45062</v>
      </c>
      <c r="G2058" s="1" t="s">
        <v>592</v>
      </c>
      <c r="H2058" s="2">
        <v>46534</v>
      </c>
      <c r="I2058" t="s">
        <v>43</v>
      </c>
      <c r="J2058">
        <v>8</v>
      </c>
      <c r="K2058">
        <v>54017.31</v>
      </c>
      <c r="L2058" t="s">
        <v>474</v>
      </c>
      <c r="M2058">
        <v>37</v>
      </c>
      <c r="N2058" t="s">
        <v>21</v>
      </c>
      <c r="O2058" s="3" t="s">
        <v>22</v>
      </c>
      <c r="P2058" t="s">
        <v>90</v>
      </c>
      <c r="Q2058" t="s">
        <v>30</v>
      </c>
      <c r="R2058">
        <v>4</v>
      </c>
      <c r="S2058" t="s">
        <v>95</v>
      </c>
      <c r="T2058" s="4">
        <f t="shared" si="163"/>
        <v>432138.48</v>
      </c>
      <c r="U2058" s="4" t="str">
        <f t="shared" si="164"/>
        <v>Good</v>
      </c>
      <c r="V2058" s="4" t="str">
        <f t="shared" si="165"/>
        <v>Excellent</v>
      </c>
      <c r="W2058" s="4"/>
      <c r="X2058" s="4"/>
      <c r="AJ2058" s="4"/>
    </row>
    <row r="2059" spans="1:36">
      <c r="A2059" t="str">
        <f t="shared" si="161"/>
        <v>Meen542058</v>
      </c>
      <c r="B2059">
        <v>2058</v>
      </c>
      <c r="C2059">
        <v>16</v>
      </c>
      <c r="D2059">
        <v>5</v>
      </c>
      <c r="E2059">
        <v>2023</v>
      </c>
      <c r="F2059" s="1">
        <f t="shared" si="162"/>
        <v>45062</v>
      </c>
      <c r="G2059" s="1" t="s">
        <v>592</v>
      </c>
      <c r="H2059" s="2">
        <v>46535</v>
      </c>
      <c r="I2059" t="s">
        <v>49</v>
      </c>
      <c r="J2059">
        <v>2</v>
      </c>
      <c r="K2059">
        <v>47501.61</v>
      </c>
      <c r="L2059" t="s">
        <v>134</v>
      </c>
      <c r="M2059">
        <v>54</v>
      </c>
      <c r="N2059" t="s">
        <v>61</v>
      </c>
      <c r="O2059" s="3" t="s">
        <v>55</v>
      </c>
      <c r="P2059" t="s">
        <v>33</v>
      </c>
      <c r="Q2059" t="s">
        <v>30</v>
      </c>
      <c r="R2059">
        <v>1</v>
      </c>
      <c r="S2059" t="s">
        <v>102</v>
      </c>
      <c r="T2059" s="4">
        <f t="shared" si="163"/>
        <v>95003.22</v>
      </c>
      <c r="U2059" s="4" t="str">
        <f t="shared" si="164"/>
        <v>Average</v>
      </c>
      <c r="V2059" s="4" t="str">
        <f t="shared" si="165"/>
        <v>Average</v>
      </c>
      <c r="W2059" s="4"/>
      <c r="X2059" s="4"/>
      <c r="AJ2059" s="4"/>
    </row>
    <row r="2060" spans="1:36">
      <c r="A2060" t="str">
        <f t="shared" si="161"/>
        <v>Tapa262059</v>
      </c>
      <c r="B2060">
        <v>2059</v>
      </c>
      <c r="C2060">
        <v>16</v>
      </c>
      <c r="D2060">
        <v>5</v>
      </c>
      <c r="E2060">
        <v>2023</v>
      </c>
      <c r="F2060" s="1">
        <f t="shared" si="162"/>
        <v>45062</v>
      </c>
      <c r="G2060" s="1" t="s">
        <v>592</v>
      </c>
      <c r="H2060" s="2">
        <v>46536</v>
      </c>
      <c r="I2060" t="s">
        <v>49</v>
      </c>
      <c r="J2060">
        <v>4</v>
      </c>
      <c r="K2060">
        <v>61240.98</v>
      </c>
      <c r="L2060" t="s">
        <v>446</v>
      </c>
      <c r="M2060">
        <v>26</v>
      </c>
      <c r="N2060" t="s">
        <v>36</v>
      </c>
      <c r="O2060" s="3" t="s">
        <v>55</v>
      </c>
      <c r="P2060" t="s">
        <v>110</v>
      </c>
      <c r="Q2060" t="s">
        <v>56</v>
      </c>
      <c r="R2060">
        <v>1</v>
      </c>
      <c r="S2060" t="s">
        <v>102</v>
      </c>
      <c r="T2060" s="4">
        <f t="shared" si="163"/>
        <v>244963.92</v>
      </c>
      <c r="U2060" s="4" t="str">
        <f t="shared" si="164"/>
        <v>Average</v>
      </c>
      <c r="V2060" s="4" t="str">
        <f t="shared" si="165"/>
        <v>Excellent</v>
      </c>
      <c r="W2060" s="4"/>
      <c r="X2060" s="4"/>
      <c r="AJ2060" s="4"/>
    </row>
    <row r="2061" spans="1:36">
      <c r="A2061" t="str">
        <f t="shared" si="161"/>
        <v>Jyot552060</v>
      </c>
      <c r="B2061">
        <v>2060</v>
      </c>
      <c r="C2061">
        <v>17</v>
      </c>
      <c r="D2061">
        <v>5</v>
      </c>
      <c r="E2061">
        <v>2023</v>
      </c>
      <c r="F2061" s="1">
        <f t="shared" si="162"/>
        <v>45063</v>
      </c>
      <c r="G2061" s="1" t="s">
        <v>592</v>
      </c>
      <c r="H2061" s="2">
        <v>46537</v>
      </c>
      <c r="I2061" t="s">
        <v>38</v>
      </c>
      <c r="J2061">
        <v>7</v>
      </c>
      <c r="K2061">
        <v>58147.59</v>
      </c>
      <c r="L2061" t="s">
        <v>965</v>
      </c>
      <c r="M2061">
        <v>55</v>
      </c>
      <c r="N2061" t="s">
        <v>61</v>
      </c>
      <c r="O2061" s="3" t="s">
        <v>22</v>
      </c>
      <c r="P2061" t="s">
        <v>29</v>
      </c>
      <c r="Q2061" t="s">
        <v>30</v>
      </c>
      <c r="R2061">
        <v>4</v>
      </c>
      <c r="S2061" t="s">
        <v>48</v>
      </c>
      <c r="T2061" s="4">
        <f t="shared" si="163"/>
        <v>407033.13</v>
      </c>
      <c r="U2061" s="4" t="str">
        <f t="shared" si="164"/>
        <v>Good</v>
      </c>
      <c r="V2061" s="4" t="str">
        <f t="shared" si="165"/>
        <v>Excellent</v>
      </c>
      <c r="W2061" s="4"/>
      <c r="X2061" s="4"/>
      <c r="AJ2061" s="4"/>
    </row>
    <row r="2062" spans="1:36">
      <c r="A2062" t="str">
        <f t="shared" si="161"/>
        <v>Anja362061</v>
      </c>
      <c r="B2062">
        <v>2061</v>
      </c>
      <c r="C2062">
        <v>17</v>
      </c>
      <c r="D2062">
        <v>5</v>
      </c>
      <c r="E2062">
        <v>2023</v>
      </c>
      <c r="F2062" s="1">
        <f t="shared" si="162"/>
        <v>45063</v>
      </c>
      <c r="G2062" s="1" t="s">
        <v>592</v>
      </c>
      <c r="H2062" s="2">
        <v>46538</v>
      </c>
      <c r="I2062" t="s">
        <v>38</v>
      </c>
      <c r="J2062">
        <v>8</v>
      </c>
      <c r="K2062">
        <v>12482.46</v>
      </c>
      <c r="L2062" t="s">
        <v>754</v>
      </c>
      <c r="M2062">
        <v>36</v>
      </c>
      <c r="N2062" t="s">
        <v>21</v>
      </c>
      <c r="O2062" s="3" t="s">
        <v>55</v>
      </c>
      <c r="P2062" t="s">
        <v>110</v>
      </c>
      <c r="Q2062" t="s">
        <v>30</v>
      </c>
      <c r="R2062">
        <v>2</v>
      </c>
      <c r="S2062" t="s">
        <v>48</v>
      </c>
      <c r="T2062" s="4">
        <f t="shared" si="163"/>
        <v>99859.68</v>
      </c>
      <c r="U2062" s="4" t="str">
        <f t="shared" si="164"/>
        <v>Average</v>
      </c>
      <c r="V2062" s="4" t="str">
        <f t="shared" si="165"/>
        <v>Average</v>
      </c>
      <c r="W2062" s="4"/>
      <c r="X2062" s="4"/>
      <c r="AJ2062" s="4"/>
    </row>
    <row r="2063" spans="1:36">
      <c r="A2063" t="str">
        <f t="shared" si="161"/>
        <v>Nami572062</v>
      </c>
      <c r="B2063">
        <v>2062</v>
      </c>
      <c r="C2063">
        <v>17</v>
      </c>
      <c r="D2063">
        <v>5</v>
      </c>
      <c r="E2063">
        <v>2023</v>
      </c>
      <c r="F2063" s="1">
        <f t="shared" si="162"/>
        <v>45063</v>
      </c>
      <c r="G2063" s="1" t="s">
        <v>592</v>
      </c>
      <c r="H2063" s="2">
        <v>46539</v>
      </c>
      <c r="I2063" t="s">
        <v>38</v>
      </c>
      <c r="J2063">
        <v>1</v>
      </c>
      <c r="K2063">
        <v>32733.23</v>
      </c>
      <c r="L2063" t="s">
        <v>694</v>
      </c>
      <c r="M2063">
        <v>57</v>
      </c>
      <c r="N2063" t="s">
        <v>61</v>
      </c>
      <c r="O2063" s="3" t="s">
        <v>22</v>
      </c>
      <c r="P2063" t="s">
        <v>77</v>
      </c>
      <c r="Q2063" t="s">
        <v>41</v>
      </c>
      <c r="R2063">
        <v>4</v>
      </c>
      <c r="S2063" t="s">
        <v>42</v>
      </c>
      <c r="T2063" s="4">
        <f t="shared" si="163"/>
        <v>32733.23</v>
      </c>
      <c r="U2063" s="4" t="str">
        <f t="shared" si="164"/>
        <v>Good</v>
      </c>
      <c r="V2063" s="4" t="str">
        <f t="shared" si="165"/>
        <v>Low</v>
      </c>
      <c r="W2063" s="4"/>
      <c r="X2063" s="4"/>
      <c r="AJ2063" s="4"/>
    </row>
    <row r="2064" spans="1:36">
      <c r="A2064" t="str">
        <f t="shared" si="161"/>
        <v>Kris242063</v>
      </c>
      <c r="B2064">
        <v>2063</v>
      </c>
      <c r="C2064">
        <v>18</v>
      </c>
      <c r="D2064">
        <v>5</v>
      </c>
      <c r="E2064">
        <v>2023</v>
      </c>
      <c r="F2064" s="1">
        <f t="shared" si="162"/>
        <v>45064</v>
      </c>
      <c r="G2064" s="1" t="s">
        <v>592</v>
      </c>
      <c r="H2064" s="2">
        <v>46540</v>
      </c>
      <c r="I2064" t="s">
        <v>43</v>
      </c>
      <c r="J2064">
        <v>4</v>
      </c>
      <c r="K2064">
        <v>12082.97</v>
      </c>
      <c r="L2064" t="s">
        <v>606</v>
      </c>
      <c r="M2064">
        <v>24</v>
      </c>
      <c r="N2064" t="s">
        <v>36</v>
      </c>
      <c r="O2064" s="3" t="s">
        <v>55</v>
      </c>
      <c r="P2064" t="s">
        <v>29</v>
      </c>
      <c r="Q2064" t="s">
        <v>24</v>
      </c>
      <c r="R2064">
        <v>1</v>
      </c>
      <c r="S2064" t="s">
        <v>57</v>
      </c>
      <c r="T2064" s="4">
        <f t="shared" si="163"/>
        <v>48331.88</v>
      </c>
      <c r="U2064" s="4" t="str">
        <f t="shared" si="164"/>
        <v>Average</v>
      </c>
      <c r="V2064" s="4" t="str">
        <f t="shared" si="165"/>
        <v>Low</v>
      </c>
      <c r="W2064" s="4"/>
      <c r="X2064" s="4"/>
      <c r="AJ2064" s="4"/>
    </row>
    <row r="2065" spans="1:36">
      <c r="A2065" t="str">
        <f t="shared" si="161"/>
        <v>Shru222064</v>
      </c>
      <c r="B2065">
        <v>2064</v>
      </c>
      <c r="C2065">
        <v>18</v>
      </c>
      <c r="D2065">
        <v>5</v>
      </c>
      <c r="E2065">
        <v>2023</v>
      </c>
      <c r="F2065" s="1">
        <f t="shared" si="162"/>
        <v>45064</v>
      </c>
      <c r="G2065" s="1" t="s">
        <v>592</v>
      </c>
      <c r="H2065" s="2">
        <v>46541</v>
      </c>
      <c r="I2065" t="s">
        <v>43</v>
      </c>
      <c r="J2065">
        <v>6</v>
      </c>
      <c r="K2065">
        <v>16124.5</v>
      </c>
      <c r="L2065" t="s">
        <v>959</v>
      </c>
      <c r="M2065">
        <v>22</v>
      </c>
      <c r="N2065" t="s">
        <v>36</v>
      </c>
      <c r="O2065" s="3" t="s">
        <v>55</v>
      </c>
      <c r="P2065" t="s">
        <v>132</v>
      </c>
      <c r="Q2065" t="s">
        <v>41</v>
      </c>
      <c r="R2065">
        <v>1</v>
      </c>
      <c r="S2065" t="s">
        <v>95</v>
      </c>
      <c r="T2065" s="4">
        <f t="shared" si="163"/>
        <v>96747</v>
      </c>
      <c r="U2065" s="4" t="str">
        <f t="shared" si="164"/>
        <v>Average</v>
      </c>
      <c r="V2065" s="4" t="str">
        <f t="shared" si="165"/>
        <v>Average</v>
      </c>
      <c r="W2065" s="4"/>
      <c r="X2065" s="4"/>
      <c r="AJ2065" s="4"/>
    </row>
    <row r="2066" spans="1:36">
      <c r="A2066" t="str">
        <f t="shared" si="161"/>
        <v>Kris592065</v>
      </c>
      <c r="B2066">
        <v>2065</v>
      </c>
      <c r="C2066">
        <v>18</v>
      </c>
      <c r="D2066">
        <v>5</v>
      </c>
      <c r="E2066">
        <v>2023</v>
      </c>
      <c r="F2066" s="1">
        <f t="shared" si="162"/>
        <v>45064</v>
      </c>
      <c r="G2066" s="1" t="s">
        <v>592</v>
      </c>
      <c r="H2066" s="2">
        <v>46542</v>
      </c>
      <c r="I2066" t="s">
        <v>26</v>
      </c>
      <c r="J2066">
        <v>3</v>
      </c>
      <c r="K2066">
        <v>46084.639999999999</v>
      </c>
      <c r="L2066" t="s">
        <v>717</v>
      </c>
      <c r="M2066">
        <v>59</v>
      </c>
      <c r="N2066" t="s">
        <v>61</v>
      </c>
      <c r="O2066" s="3" t="s">
        <v>22</v>
      </c>
      <c r="P2066" t="s">
        <v>110</v>
      </c>
      <c r="Q2066" t="s">
        <v>24</v>
      </c>
      <c r="R2066">
        <v>4</v>
      </c>
      <c r="S2066" t="s">
        <v>31</v>
      </c>
      <c r="T2066" s="4">
        <f t="shared" si="163"/>
        <v>138253.91999999998</v>
      </c>
      <c r="U2066" s="4" t="str">
        <f t="shared" si="164"/>
        <v>Good</v>
      </c>
      <c r="V2066" s="4" t="str">
        <f t="shared" si="165"/>
        <v>Good</v>
      </c>
      <c r="W2066" s="4"/>
      <c r="X2066" s="4"/>
      <c r="AJ2066" s="4"/>
    </row>
    <row r="2067" spans="1:36">
      <c r="A2067" t="str">
        <f t="shared" si="161"/>
        <v>Anja412066</v>
      </c>
      <c r="B2067">
        <v>2066</v>
      </c>
      <c r="C2067">
        <v>18</v>
      </c>
      <c r="D2067">
        <v>5</v>
      </c>
      <c r="E2067">
        <v>2023</v>
      </c>
      <c r="F2067" s="1">
        <f t="shared" si="162"/>
        <v>45064</v>
      </c>
      <c r="G2067" s="1" t="s">
        <v>592</v>
      </c>
      <c r="H2067" s="2">
        <v>46543</v>
      </c>
      <c r="I2067" t="s">
        <v>38</v>
      </c>
      <c r="J2067">
        <v>5</v>
      </c>
      <c r="K2067">
        <v>62429.31</v>
      </c>
      <c r="L2067" t="s">
        <v>436</v>
      </c>
      <c r="M2067">
        <v>41</v>
      </c>
      <c r="N2067" t="s">
        <v>21</v>
      </c>
      <c r="O2067" s="3" t="s">
        <v>55</v>
      </c>
      <c r="P2067" t="s">
        <v>150</v>
      </c>
      <c r="Q2067" t="s">
        <v>41</v>
      </c>
      <c r="R2067">
        <v>1</v>
      </c>
      <c r="S2067" t="s">
        <v>99</v>
      </c>
      <c r="T2067" s="4">
        <f t="shared" si="163"/>
        <v>312146.55</v>
      </c>
      <c r="U2067" s="4" t="str">
        <f t="shared" si="164"/>
        <v>Average</v>
      </c>
      <c r="V2067" s="4" t="str">
        <f t="shared" si="165"/>
        <v>Excellent</v>
      </c>
      <c r="W2067" s="4"/>
      <c r="X2067" s="4"/>
      <c r="AJ2067" s="4"/>
    </row>
    <row r="2068" spans="1:36">
      <c r="A2068" t="str">
        <f t="shared" si="161"/>
        <v>Meen582067</v>
      </c>
      <c r="B2068">
        <v>2067</v>
      </c>
      <c r="C2068">
        <v>19</v>
      </c>
      <c r="D2068">
        <v>5</v>
      </c>
      <c r="E2068">
        <v>2023</v>
      </c>
      <c r="F2068" s="1">
        <f t="shared" si="162"/>
        <v>45065</v>
      </c>
      <c r="G2068" s="1" t="s">
        <v>592</v>
      </c>
      <c r="H2068" s="2">
        <v>46544</v>
      </c>
      <c r="I2068" t="s">
        <v>49</v>
      </c>
      <c r="J2068">
        <v>9</v>
      </c>
      <c r="K2068">
        <v>17189.490000000002</v>
      </c>
      <c r="L2068" t="s">
        <v>953</v>
      </c>
      <c r="M2068">
        <v>58</v>
      </c>
      <c r="N2068" t="s">
        <v>61</v>
      </c>
      <c r="O2068" s="3" t="s">
        <v>55</v>
      </c>
      <c r="P2068" t="s">
        <v>137</v>
      </c>
      <c r="Q2068" t="s">
        <v>56</v>
      </c>
      <c r="R2068">
        <v>1</v>
      </c>
      <c r="S2068" t="s">
        <v>88</v>
      </c>
      <c r="T2068" s="4">
        <f t="shared" si="163"/>
        <v>154705.41</v>
      </c>
      <c r="U2068" s="4" t="str">
        <f t="shared" si="164"/>
        <v>Average</v>
      </c>
      <c r="V2068" s="4" t="str">
        <f t="shared" si="165"/>
        <v>Good</v>
      </c>
      <c r="W2068" s="4"/>
      <c r="X2068" s="4"/>
      <c r="AJ2068" s="4"/>
    </row>
    <row r="2069" spans="1:36">
      <c r="A2069" t="str">
        <f t="shared" si="161"/>
        <v>Sach242068</v>
      </c>
      <c r="B2069">
        <v>2068</v>
      </c>
      <c r="C2069">
        <v>19</v>
      </c>
      <c r="D2069">
        <v>5</v>
      </c>
      <c r="E2069">
        <v>2023</v>
      </c>
      <c r="F2069" s="1">
        <f t="shared" si="162"/>
        <v>45065</v>
      </c>
      <c r="G2069" s="1" t="s">
        <v>592</v>
      </c>
      <c r="H2069" s="2">
        <v>46545</v>
      </c>
      <c r="I2069" t="s">
        <v>19</v>
      </c>
      <c r="J2069">
        <v>3</v>
      </c>
      <c r="K2069">
        <v>37065.360000000001</v>
      </c>
      <c r="L2069" t="s">
        <v>104</v>
      </c>
      <c r="M2069">
        <v>24</v>
      </c>
      <c r="N2069" t="s">
        <v>36</v>
      </c>
      <c r="O2069" s="3" t="s">
        <v>22</v>
      </c>
      <c r="P2069" t="s">
        <v>64</v>
      </c>
      <c r="Q2069" t="s">
        <v>41</v>
      </c>
      <c r="R2069">
        <v>4</v>
      </c>
      <c r="S2069" t="s">
        <v>25</v>
      </c>
      <c r="T2069" s="4">
        <f t="shared" si="163"/>
        <v>111196.08</v>
      </c>
      <c r="U2069" s="4" t="str">
        <f t="shared" si="164"/>
        <v>Good</v>
      </c>
      <c r="V2069" s="4" t="str">
        <f t="shared" si="165"/>
        <v>Good</v>
      </c>
      <c r="W2069" s="4"/>
      <c r="X2069" s="4"/>
      <c r="AJ2069" s="4"/>
    </row>
    <row r="2070" spans="1:36">
      <c r="A2070" t="str">
        <f t="shared" si="161"/>
        <v>Meen282069</v>
      </c>
      <c r="B2070">
        <v>2069</v>
      </c>
      <c r="C2070">
        <v>19</v>
      </c>
      <c r="D2070">
        <v>5</v>
      </c>
      <c r="E2070">
        <v>2023</v>
      </c>
      <c r="F2070" s="1">
        <f t="shared" si="162"/>
        <v>45065</v>
      </c>
      <c r="G2070" s="1" t="s">
        <v>592</v>
      </c>
      <c r="H2070" s="2">
        <v>46546</v>
      </c>
      <c r="I2070" t="s">
        <v>26</v>
      </c>
      <c r="J2070">
        <v>5</v>
      </c>
      <c r="K2070">
        <v>64652.73</v>
      </c>
      <c r="L2070" t="s">
        <v>887</v>
      </c>
      <c r="M2070">
        <v>28</v>
      </c>
      <c r="N2070" t="s">
        <v>36</v>
      </c>
      <c r="O2070" s="3" t="s">
        <v>22</v>
      </c>
      <c r="P2070" t="s">
        <v>137</v>
      </c>
      <c r="Q2070" t="s">
        <v>41</v>
      </c>
      <c r="R2070">
        <v>5</v>
      </c>
      <c r="S2070" t="s">
        <v>67</v>
      </c>
      <c r="T2070" s="4">
        <f t="shared" si="163"/>
        <v>323263.65000000002</v>
      </c>
      <c r="U2070" s="4" t="str">
        <f t="shared" si="164"/>
        <v>Good</v>
      </c>
      <c r="V2070" s="4" t="str">
        <f t="shared" si="165"/>
        <v>Excellent</v>
      </c>
      <c r="W2070" s="4"/>
      <c r="X2070" s="4"/>
      <c r="AJ2070" s="4"/>
    </row>
    <row r="2071" spans="1:36">
      <c r="A2071" t="str">
        <f t="shared" si="161"/>
        <v>Radh262070</v>
      </c>
      <c r="B2071">
        <v>2070</v>
      </c>
      <c r="C2071">
        <v>20</v>
      </c>
      <c r="D2071">
        <v>5</v>
      </c>
      <c r="E2071">
        <v>2023</v>
      </c>
      <c r="F2071" s="1">
        <f t="shared" si="162"/>
        <v>45066</v>
      </c>
      <c r="G2071" s="1" t="s">
        <v>592</v>
      </c>
      <c r="H2071" s="2">
        <v>46547</v>
      </c>
      <c r="I2071" t="s">
        <v>43</v>
      </c>
      <c r="J2071">
        <v>8</v>
      </c>
      <c r="K2071">
        <v>58858.06</v>
      </c>
      <c r="L2071" t="s">
        <v>845</v>
      </c>
      <c r="M2071">
        <v>26</v>
      </c>
      <c r="N2071" t="s">
        <v>36</v>
      </c>
      <c r="O2071" s="3" t="s">
        <v>22</v>
      </c>
      <c r="P2071" t="s">
        <v>29</v>
      </c>
      <c r="Q2071" t="s">
        <v>56</v>
      </c>
      <c r="R2071">
        <v>4</v>
      </c>
      <c r="S2071" t="s">
        <v>46</v>
      </c>
      <c r="T2071" s="4">
        <f t="shared" si="163"/>
        <v>470864.48</v>
      </c>
      <c r="U2071" s="4" t="str">
        <f t="shared" si="164"/>
        <v>Good</v>
      </c>
      <c r="V2071" s="4" t="str">
        <f t="shared" si="165"/>
        <v>Excellent</v>
      </c>
      <c r="W2071" s="4"/>
      <c r="X2071" s="4"/>
      <c r="AJ2071" s="4"/>
    </row>
    <row r="2072" spans="1:36">
      <c r="A2072" t="str">
        <f t="shared" si="161"/>
        <v>Kira472071</v>
      </c>
      <c r="B2072">
        <v>2071</v>
      </c>
      <c r="C2072">
        <v>20</v>
      </c>
      <c r="D2072">
        <v>5</v>
      </c>
      <c r="E2072">
        <v>2023</v>
      </c>
      <c r="F2072" s="1">
        <f t="shared" si="162"/>
        <v>45066</v>
      </c>
      <c r="G2072" s="1" t="s">
        <v>592</v>
      </c>
      <c r="H2072" s="2">
        <v>46548</v>
      </c>
      <c r="I2072" t="s">
        <v>26</v>
      </c>
      <c r="J2072">
        <v>6</v>
      </c>
      <c r="K2072">
        <v>41180.07</v>
      </c>
      <c r="L2072" t="s">
        <v>839</v>
      </c>
      <c r="M2072">
        <v>47</v>
      </c>
      <c r="N2072" t="s">
        <v>61</v>
      </c>
      <c r="O2072" s="3" t="s">
        <v>22</v>
      </c>
      <c r="P2072" t="s">
        <v>150</v>
      </c>
      <c r="Q2072" t="s">
        <v>30</v>
      </c>
      <c r="R2072">
        <v>5</v>
      </c>
      <c r="S2072" t="s">
        <v>31</v>
      </c>
      <c r="T2072" s="4">
        <f t="shared" si="163"/>
        <v>247080.41999999998</v>
      </c>
      <c r="U2072" s="4" t="str">
        <f t="shared" si="164"/>
        <v>Good</v>
      </c>
      <c r="V2072" s="4" t="str">
        <f t="shared" si="165"/>
        <v>Excellent</v>
      </c>
      <c r="W2072" s="4"/>
      <c r="X2072" s="4"/>
      <c r="AJ2072" s="4"/>
    </row>
    <row r="2073" spans="1:36">
      <c r="A2073" t="str">
        <f t="shared" si="161"/>
        <v>Anit582072</v>
      </c>
      <c r="B2073">
        <v>2072</v>
      </c>
      <c r="C2073">
        <v>20</v>
      </c>
      <c r="D2073">
        <v>5</v>
      </c>
      <c r="E2073">
        <v>2023</v>
      </c>
      <c r="F2073" s="1">
        <f t="shared" si="162"/>
        <v>45066</v>
      </c>
      <c r="G2073" s="1" t="s">
        <v>592</v>
      </c>
      <c r="H2073" s="2">
        <v>46549</v>
      </c>
      <c r="I2073" t="s">
        <v>26</v>
      </c>
      <c r="J2073">
        <v>4</v>
      </c>
      <c r="K2073">
        <v>56294.29</v>
      </c>
      <c r="L2073" t="s">
        <v>310</v>
      </c>
      <c r="M2073">
        <v>58</v>
      </c>
      <c r="N2073" t="s">
        <v>61</v>
      </c>
      <c r="O2073" s="3" t="s">
        <v>22</v>
      </c>
      <c r="P2073" t="s">
        <v>132</v>
      </c>
      <c r="Q2073" t="s">
        <v>30</v>
      </c>
      <c r="R2073">
        <v>4</v>
      </c>
      <c r="S2073" t="s">
        <v>67</v>
      </c>
      <c r="T2073" s="4">
        <f t="shared" si="163"/>
        <v>225177.16</v>
      </c>
      <c r="U2073" s="4" t="str">
        <f t="shared" si="164"/>
        <v>Good</v>
      </c>
      <c r="V2073" s="4" t="str">
        <f t="shared" si="165"/>
        <v>Excellent</v>
      </c>
      <c r="W2073" s="4"/>
      <c r="X2073" s="4"/>
      <c r="AJ2073" s="4"/>
    </row>
    <row r="2074" spans="1:36">
      <c r="A2074" t="str">
        <f t="shared" si="161"/>
        <v>Kavi202073</v>
      </c>
      <c r="B2074">
        <v>2073</v>
      </c>
      <c r="C2074">
        <v>20</v>
      </c>
      <c r="D2074">
        <v>5</v>
      </c>
      <c r="E2074">
        <v>2023</v>
      </c>
      <c r="F2074" s="1">
        <f t="shared" si="162"/>
        <v>45066</v>
      </c>
      <c r="G2074" s="1" t="s">
        <v>592</v>
      </c>
      <c r="H2074" s="2">
        <v>46550</v>
      </c>
      <c r="I2074" t="s">
        <v>26</v>
      </c>
      <c r="J2074">
        <v>8</v>
      </c>
      <c r="K2074">
        <v>41361.629999999997</v>
      </c>
      <c r="L2074" t="s">
        <v>211</v>
      </c>
      <c r="M2074">
        <v>20</v>
      </c>
      <c r="N2074" t="s">
        <v>36</v>
      </c>
      <c r="O2074" s="3" t="s">
        <v>22</v>
      </c>
      <c r="P2074" t="s">
        <v>33</v>
      </c>
      <c r="Q2074" t="s">
        <v>56</v>
      </c>
      <c r="R2074">
        <v>4</v>
      </c>
      <c r="S2074" t="s">
        <v>67</v>
      </c>
      <c r="T2074" s="4">
        <f t="shared" si="163"/>
        <v>330893.03999999998</v>
      </c>
      <c r="U2074" s="4" t="str">
        <f t="shared" si="164"/>
        <v>Good</v>
      </c>
      <c r="V2074" s="4" t="str">
        <f t="shared" si="165"/>
        <v>Excellent</v>
      </c>
      <c r="W2074" s="4"/>
      <c r="X2074" s="4"/>
      <c r="AJ2074" s="4"/>
    </row>
    <row r="2075" spans="1:36">
      <c r="A2075" t="str">
        <f t="shared" si="161"/>
        <v>Nikh392074</v>
      </c>
      <c r="B2075">
        <v>2074</v>
      </c>
      <c r="C2075">
        <v>21</v>
      </c>
      <c r="D2075">
        <v>5</v>
      </c>
      <c r="E2075">
        <v>2023</v>
      </c>
      <c r="F2075" s="1">
        <f t="shared" si="162"/>
        <v>45067</v>
      </c>
      <c r="G2075" s="1" t="s">
        <v>592</v>
      </c>
      <c r="H2075" s="2">
        <v>46551</v>
      </c>
      <c r="I2075" t="s">
        <v>26</v>
      </c>
      <c r="J2075">
        <v>3</v>
      </c>
      <c r="K2075">
        <v>19485.54</v>
      </c>
      <c r="L2075" t="s">
        <v>169</v>
      </c>
      <c r="M2075">
        <v>39</v>
      </c>
      <c r="N2075" t="s">
        <v>21</v>
      </c>
      <c r="O2075" s="3" t="s">
        <v>55</v>
      </c>
      <c r="P2075" t="s">
        <v>29</v>
      </c>
      <c r="Q2075" t="s">
        <v>56</v>
      </c>
      <c r="R2075">
        <v>2</v>
      </c>
      <c r="S2075" t="s">
        <v>31</v>
      </c>
      <c r="T2075" s="4">
        <f t="shared" si="163"/>
        <v>58456.62</v>
      </c>
      <c r="U2075" s="4" t="str">
        <f t="shared" si="164"/>
        <v>Average</v>
      </c>
      <c r="V2075" s="4" t="str">
        <f t="shared" si="165"/>
        <v>Average</v>
      </c>
      <c r="W2075" s="4"/>
      <c r="X2075" s="4"/>
      <c r="AJ2075" s="4"/>
    </row>
    <row r="2076" spans="1:36">
      <c r="A2076" t="str">
        <f t="shared" si="161"/>
        <v>Amit572075</v>
      </c>
      <c r="B2076">
        <v>2075</v>
      </c>
      <c r="C2076">
        <v>21</v>
      </c>
      <c r="D2076">
        <v>5</v>
      </c>
      <c r="E2076">
        <v>2023</v>
      </c>
      <c r="F2076" s="1">
        <f t="shared" si="162"/>
        <v>45067</v>
      </c>
      <c r="G2076" s="1" t="s">
        <v>592</v>
      </c>
      <c r="H2076" s="2">
        <v>46552</v>
      </c>
      <c r="I2076" t="s">
        <v>19</v>
      </c>
      <c r="J2076">
        <v>3</v>
      </c>
      <c r="K2076">
        <v>17484.169999999998</v>
      </c>
      <c r="L2076" t="s">
        <v>411</v>
      </c>
      <c r="M2076">
        <v>57</v>
      </c>
      <c r="N2076" t="s">
        <v>61</v>
      </c>
      <c r="O2076" s="3" t="s">
        <v>22</v>
      </c>
      <c r="P2076" t="s">
        <v>29</v>
      </c>
      <c r="Q2076" t="s">
        <v>41</v>
      </c>
      <c r="R2076">
        <v>4</v>
      </c>
      <c r="S2076" t="s">
        <v>25</v>
      </c>
      <c r="T2076" s="4">
        <f t="shared" si="163"/>
        <v>52452.509999999995</v>
      </c>
      <c r="U2076" s="4" t="str">
        <f t="shared" si="164"/>
        <v>Good</v>
      </c>
      <c r="V2076" s="4" t="str">
        <f t="shared" si="165"/>
        <v>Average</v>
      </c>
      <c r="W2076" s="4"/>
      <c r="X2076" s="4"/>
      <c r="AJ2076" s="4"/>
    </row>
    <row r="2077" spans="1:36">
      <c r="A2077" t="str">
        <f t="shared" si="161"/>
        <v>Anit372076</v>
      </c>
      <c r="B2077">
        <v>2076</v>
      </c>
      <c r="C2077">
        <v>21</v>
      </c>
      <c r="D2077">
        <v>5</v>
      </c>
      <c r="E2077">
        <v>2023</v>
      </c>
      <c r="F2077" s="1">
        <f t="shared" si="162"/>
        <v>45067</v>
      </c>
      <c r="G2077" s="1" t="s">
        <v>592</v>
      </c>
      <c r="H2077" s="2">
        <v>46553</v>
      </c>
      <c r="I2077" t="s">
        <v>38</v>
      </c>
      <c r="J2077">
        <v>4</v>
      </c>
      <c r="K2077">
        <v>21302.09</v>
      </c>
      <c r="L2077" t="s">
        <v>829</v>
      </c>
      <c r="M2077">
        <v>37</v>
      </c>
      <c r="N2077" t="s">
        <v>21</v>
      </c>
      <c r="O2077" s="3" t="s">
        <v>22</v>
      </c>
      <c r="P2077" t="s">
        <v>29</v>
      </c>
      <c r="Q2077" t="s">
        <v>56</v>
      </c>
      <c r="R2077">
        <v>4</v>
      </c>
      <c r="S2077" t="s">
        <v>99</v>
      </c>
      <c r="T2077" s="4">
        <f t="shared" si="163"/>
        <v>85208.36</v>
      </c>
      <c r="U2077" s="4" t="str">
        <f t="shared" si="164"/>
        <v>Good</v>
      </c>
      <c r="V2077" s="4" t="str">
        <f t="shared" si="165"/>
        <v>Average</v>
      </c>
      <c r="W2077" s="4"/>
      <c r="X2077" s="4"/>
      <c r="AJ2077" s="4"/>
    </row>
    <row r="2078" spans="1:36">
      <c r="A2078" t="str">
        <f t="shared" si="161"/>
        <v>Umes492077</v>
      </c>
      <c r="B2078">
        <v>2077</v>
      </c>
      <c r="C2078">
        <v>22</v>
      </c>
      <c r="D2078">
        <v>5</v>
      </c>
      <c r="E2078">
        <v>2023</v>
      </c>
      <c r="F2078" s="1">
        <f t="shared" si="162"/>
        <v>45068</v>
      </c>
      <c r="G2078" s="1" t="s">
        <v>592</v>
      </c>
      <c r="H2078" s="2">
        <v>46554</v>
      </c>
      <c r="I2078" t="s">
        <v>49</v>
      </c>
      <c r="J2078">
        <v>9</v>
      </c>
      <c r="K2078">
        <v>31055.33</v>
      </c>
      <c r="L2078" t="s">
        <v>966</v>
      </c>
      <c r="M2078">
        <v>49</v>
      </c>
      <c r="N2078" t="s">
        <v>61</v>
      </c>
      <c r="O2078" s="3" t="s">
        <v>55</v>
      </c>
      <c r="P2078" t="s">
        <v>117</v>
      </c>
      <c r="Q2078" t="s">
        <v>56</v>
      </c>
      <c r="R2078">
        <v>2</v>
      </c>
      <c r="S2078" t="s">
        <v>52</v>
      </c>
      <c r="T2078" s="4">
        <f t="shared" si="163"/>
        <v>279497.97000000003</v>
      </c>
      <c r="U2078" s="4" t="str">
        <f t="shared" si="164"/>
        <v>Average</v>
      </c>
      <c r="V2078" s="4" t="str">
        <f t="shared" si="165"/>
        <v>Excellent</v>
      </c>
      <c r="W2078" s="4"/>
      <c r="X2078" s="4"/>
      <c r="AJ2078" s="4"/>
    </row>
    <row r="2079" spans="1:36">
      <c r="A2079" t="str">
        <f t="shared" si="161"/>
        <v>Mano242078</v>
      </c>
      <c r="B2079">
        <v>2078</v>
      </c>
      <c r="C2079">
        <v>22</v>
      </c>
      <c r="D2079">
        <v>5</v>
      </c>
      <c r="E2079">
        <v>2023</v>
      </c>
      <c r="F2079" s="1">
        <f t="shared" si="162"/>
        <v>45068</v>
      </c>
      <c r="G2079" s="1" t="s">
        <v>592</v>
      </c>
      <c r="H2079" s="2">
        <v>46555</v>
      </c>
      <c r="I2079" t="s">
        <v>26</v>
      </c>
      <c r="J2079">
        <v>5</v>
      </c>
      <c r="K2079">
        <v>65831.759999999995</v>
      </c>
      <c r="L2079" t="s">
        <v>875</v>
      </c>
      <c r="M2079">
        <v>24</v>
      </c>
      <c r="N2079" t="s">
        <v>36</v>
      </c>
      <c r="O2079" s="3" t="s">
        <v>22</v>
      </c>
      <c r="P2079" t="s">
        <v>23</v>
      </c>
      <c r="Q2079" t="s">
        <v>24</v>
      </c>
      <c r="R2079">
        <v>4</v>
      </c>
      <c r="S2079" t="s">
        <v>34</v>
      </c>
      <c r="T2079" s="4">
        <f t="shared" si="163"/>
        <v>329158.8</v>
      </c>
      <c r="U2079" s="4" t="str">
        <f t="shared" si="164"/>
        <v>Good</v>
      </c>
      <c r="V2079" s="4" t="str">
        <f t="shared" si="165"/>
        <v>Excellent</v>
      </c>
      <c r="W2079" s="4"/>
      <c r="X2079" s="4"/>
      <c r="AJ2079" s="4"/>
    </row>
    <row r="2080" spans="1:36">
      <c r="A2080" t="str">
        <f t="shared" si="161"/>
        <v>Neet242079</v>
      </c>
      <c r="B2080">
        <v>2079</v>
      </c>
      <c r="C2080">
        <v>22</v>
      </c>
      <c r="D2080">
        <v>5</v>
      </c>
      <c r="E2080">
        <v>2023</v>
      </c>
      <c r="F2080" s="1">
        <f t="shared" si="162"/>
        <v>45068</v>
      </c>
      <c r="G2080" s="1" t="s">
        <v>592</v>
      </c>
      <c r="H2080" s="2">
        <v>46556</v>
      </c>
      <c r="I2080" t="s">
        <v>26</v>
      </c>
      <c r="J2080">
        <v>8</v>
      </c>
      <c r="K2080">
        <v>57980.7</v>
      </c>
      <c r="L2080" t="s">
        <v>485</v>
      </c>
      <c r="M2080">
        <v>24</v>
      </c>
      <c r="N2080" t="s">
        <v>36</v>
      </c>
      <c r="O2080" s="3" t="s">
        <v>22</v>
      </c>
      <c r="P2080" t="s">
        <v>64</v>
      </c>
      <c r="Q2080" t="s">
        <v>24</v>
      </c>
      <c r="R2080">
        <v>4</v>
      </c>
      <c r="S2080" t="s">
        <v>31</v>
      </c>
      <c r="T2080" s="4">
        <f t="shared" si="163"/>
        <v>463845.6</v>
      </c>
      <c r="U2080" s="4" t="str">
        <f t="shared" si="164"/>
        <v>Good</v>
      </c>
      <c r="V2080" s="4" t="str">
        <f t="shared" si="165"/>
        <v>Excellent</v>
      </c>
      <c r="W2080" s="4"/>
      <c r="X2080" s="4"/>
      <c r="AJ2080" s="4"/>
    </row>
    <row r="2081" spans="1:36">
      <c r="A2081" t="str">
        <f t="shared" si="161"/>
        <v>Mala372080</v>
      </c>
      <c r="B2081">
        <v>2080</v>
      </c>
      <c r="C2081">
        <v>23</v>
      </c>
      <c r="D2081">
        <v>5</v>
      </c>
      <c r="E2081">
        <v>2023</v>
      </c>
      <c r="F2081" s="1">
        <f t="shared" si="162"/>
        <v>45069</v>
      </c>
      <c r="G2081" s="1" t="s">
        <v>592</v>
      </c>
      <c r="H2081" s="2">
        <v>46557</v>
      </c>
      <c r="I2081" t="s">
        <v>26</v>
      </c>
      <c r="J2081">
        <v>6</v>
      </c>
      <c r="K2081">
        <v>35968.089999999997</v>
      </c>
      <c r="L2081" t="s">
        <v>78</v>
      </c>
      <c r="M2081">
        <v>37</v>
      </c>
      <c r="N2081" t="s">
        <v>21</v>
      </c>
      <c r="O2081" s="3" t="s">
        <v>55</v>
      </c>
      <c r="P2081" t="s">
        <v>70</v>
      </c>
      <c r="Q2081" t="s">
        <v>30</v>
      </c>
      <c r="R2081">
        <v>2</v>
      </c>
      <c r="S2081" t="s">
        <v>67</v>
      </c>
      <c r="T2081" s="4">
        <f t="shared" si="163"/>
        <v>215808.53999999998</v>
      </c>
      <c r="U2081" s="4" t="str">
        <f t="shared" si="164"/>
        <v>Average</v>
      </c>
      <c r="V2081" s="4" t="str">
        <f t="shared" si="165"/>
        <v>Excellent</v>
      </c>
      <c r="W2081" s="4"/>
      <c r="X2081" s="4"/>
      <c r="AJ2081" s="4"/>
    </row>
    <row r="2082" spans="1:36">
      <c r="A2082" t="str">
        <f t="shared" si="161"/>
        <v>Anja422081</v>
      </c>
      <c r="B2082">
        <v>2081</v>
      </c>
      <c r="C2082">
        <v>23</v>
      </c>
      <c r="D2082">
        <v>5</v>
      </c>
      <c r="E2082">
        <v>2023</v>
      </c>
      <c r="F2082" s="1">
        <f t="shared" si="162"/>
        <v>45069</v>
      </c>
      <c r="G2082" s="1" t="s">
        <v>592</v>
      </c>
      <c r="H2082" s="2">
        <v>46558</v>
      </c>
      <c r="I2082" t="s">
        <v>38</v>
      </c>
      <c r="J2082">
        <v>3</v>
      </c>
      <c r="K2082">
        <v>39584.6</v>
      </c>
      <c r="L2082" t="s">
        <v>967</v>
      </c>
      <c r="M2082">
        <v>42</v>
      </c>
      <c r="N2082" t="s">
        <v>21</v>
      </c>
      <c r="O2082" s="3" t="s">
        <v>22</v>
      </c>
      <c r="P2082" t="s">
        <v>93</v>
      </c>
      <c r="Q2082" t="s">
        <v>56</v>
      </c>
      <c r="R2082">
        <v>5</v>
      </c>
      <c r="S2082" t="s">
        <v>99</v>
      </c>
      <c r="T2082" s="4">
        <f t="shared" si="163"/>
        <v>118753.79999999999</v>
      </c>
      <c r="U2082" s="4" t="str">
        <f t="shared" si="164"/>
        <v>Good</v>
      </c>
      <c r="V2082" s="4" t="str">
        <f t="shared" si="165"/>
        <v>Good</v>
      </c>
      <c r="W2082" s="4"/>
      <c r="X2082" s="4"/>
      <c r="AJ2082" s="4"/>
    </row>
    <row r="2083" spans="1:36">
      <c r="A2083" t="str">
        <f t="shared" si="161"/>
        <v>Reen522082</v>
      </c>
      <c r="B2083">
        <v>2082</v>
      </c>
      <c r="C2083">
        <v>23</v>
      </c>
      <c r="D2083">
        <v>5</v>
      </c>
      <c r="E2083">
        <v>2023</v>
      </c>
      <c r="F2083" s="1">
        <f t="shared" si="162"/>
        <v>45069</v>
      </c>
      <c r="G2083" s="1" t="s">
        <v>592</v>
      </c>
      <c r="H2083" s="2">
        <v>46559</v>
      </c>
      <c r="I2083" t="s">
        <v>43</v>
      </c>
      <c r="J2083">
        <v>8</v>
      </c>
      <c r="K2083">
        <v>25936.57</v>
      </c>
      <c r="L2083" t="s">
        <v>968</v>
      </c>
      <c r="M2083">
        <v>52</v>
      </c>
      <c r="N2083" t="s">
        <v>61</v>
      </c>
      <c r="O2083" s="3" t="s">
        <v>22</v>
      </c>
      <c r="P2083" t="s">
        <v>23</v>
      </c>
      <c r="Q2083" t="s">
        <v>41</v>
      </c>
      <c r="R2083">
        <v>4</v>
      </c>
      <c r="S2083" t="s">
        <v>95</v>
      </c>
      <c r="T2083" s="4">
        <f t="shared" si="163"/>
        <v>207492.56</v>
      </c>
      <c r="U2083" s="4" t="str">
        <f t="shared" si="164"/>
        <v>Good</v>
      </c>
      <c r="V2083" s="4" t="str">
        <f t="shared" si="165"/>
        <v>Excellent</v>
      </c>
      <c r="W2083" s="4"/>
      <c r="X2083" s="4"/>
      <c r="AJ2083" s="4"/>
    </row>
    <row r="2084" spans="1:36">
      <c r="A2084" t="str">
        <f t="shared" si="161"/>
        <v>Pras412083</v>
      </c>
      <c r="B2084">
        <v>2083</v>
      </c>
      <c r="C2084">
        <v>23</v>
      </c>
      <c r="D2084">
        <v>5</v>
      </c>
      <c r="E2084">
        <v>2023</v>
      </c>
      <c r="F2084" s="1">
        <f t="shared" si="162"/>
        <v>45069</v>
      </c>
      <c r="G2084" s="1" t="s">
        <v>592</v>
      </c>
      <c r="H2084" s="2">
        <v>46560</v>
      </c>
      <c r="I2084" t="s">
        <v>43</v>
      </c>
      <c r="J2084">
        <v>9</v>
      </c>
      <c r="K2084">
        <v>52261.18</v>
      </c>
      <c r="L2084" t="s">
        <v>911</v>
      </c>
      <c r="M2084">
        <v>41</v>
      </c>
      <c r="N2084" t="s">
        <v>21</v>
      </c>
      <c r="O2084" s="3" t="s">
        <v>55</v>
      </c>
      <c r="P2084" t="s">
        <v>29</v>
      </c>
      <c r="Q2084" t="s">
        <v>30</v>
      </c>
      <c r="R2084">
        <v>1</v>
      </c>
      <c r="S2084" t="s">
        <v>57</v>
      </c>
      <c r="T2084" s="4">
        <f t="shared" si="163"/>
        <v>470350.62</v>
      </c>
      <c r="U2084" s="4" t="str">
        <f t="shared" si="164"/>
        <v>Average</v>
      </c>
      <c r="V2084" s="4" t="str">
        <f t="shared" si="165"/>
        <v>Excellent</v>
      </c>
      <c r="W2084" s="4"/>
      <c r="X2084" s="4"/>
      <c r="AJ2084" s="4"/>
    </row>
    <row r="2085" spans="1:36">
      <c r="A2085" t="str">
        <f t="shared" si="161"/>
        <v>Tapa572084</v>
      </c>
      <c r="B2085">
        <v>2084</v>
      </c>
      <c r="C2085">
        <v>24</v>
      </c>
      <c r="D2085">
        <v>5</v>
      </c>
      <c r="E2085">
        <v>2023</v>
      </c>
      <c r="F2085" s="1">
        <f t="shared" si="162"/>
        <v>45070</v>
      </c>
      <c r="G2085" s="1" t="s">
        <v>592</v>
      </c>
      <c r="H2085" s="2">
        <v>46561</v>
      </c>
      <c r="I2085" t="s">
        <v>19</v>
      </c>
      <c r="J2085">
        <v>8</v>
      </c>
      <c r="K2085">
        <v>58165.94</v>
      </c>
      <c r="L2085" t="s">
        <v>969</v>
      </c>
      <c r="M2085">
        <v>57</v>
      </c>
      <c r="N2085" t="s">
        <v>61</v>
      </c>
      <c r="O2085" s="3" t="s">
        <v>55</v>
      </c>
      <c r="P2085" t="s">
        <v>117</v>
      </c>
      <c r="Q2085" t="s">
        <v>30</v>
      </c>
      <c r="R2085">
        <v>2</v>
      </c>
      <c r="S2085" t="s">
        <v>84</v>
      </c>
      <c r="T2085" s="4">
        <f t="shared" si="163"/>
        <v>465327.52</v>
      </c>
      <c r="U2085" s="4" t="str">
        <f t="shared" si="164"/>
        <v>Average</v>
      </c>
      <c r="V2085" s="4" t="str">
        <f t="shared" si="165"/>
        <v>Excellent</v>
      </c>
      <c r="W2085" s="4"/>
      <c r="X2085" s="4"/>
      <c r="AJ2085" s="4"/>
    </row>
    <row r="2086" spans="1:36">
      <c r="A2086" t="str">
        <f t="shared" si="161"/>
        <v>Vino302085</v>
      </c>
      <c r="B2086">
        <v>2085</v>
      </c>
      <c r="C2086">
        <v>24</v>
      </c>
      <c r="D2086">
        <v>5</v>
      </c>
      <c r="E2086">
        <v>2023</v>
      </c>
      <c r="F2086" s="1">
        <f t="shared" si="162"/>
        <v>45070</v>
      </c>
      <c r="G2086" s="1" t="s">
        <v>592</v>
      </c>
      <c r="H2086" s="2">
        <v>46562</v>
      </c>
      <c r="I2086" t="s">
        <v>43</v>
      </c>
      <c r="J2086">
        <v>4</v>
      </c>
      <c r="K2086">
        <v>24334.28</v>
      </c>
      <c r="L2086" t="s">
        <v>113</v>
      </c>
      <c r="M2086">
        <v>30</v>
      </c>
      <c r="N2086" t="s">
        <v>36</v>
      </c>
      <c r="O2086" s="3" t="s">
        <v>55</v>
      </c>
      <c r="P2086" t="s">
        <v>23</v>
      </c>
      <c r="Q2086" t="s">
        <v>30</v>
      </c>
      <c r="R2086">
        <v>1</v>
      </c>
      <c r="S2086" t="s">
        <v>57</v>
      </c>
      <c r="T2086" s="4">
        <f t="shared" si="163"/>
        <v>97337.12</v>
      </c>
      <c r="U2086" s="4" t="str">
        <f t="shared" si="164"/>
        <v>Average</v>
      </c>
      <c r="V2086" s="4" t="str">
        <f t="shared" si="165"/>
        <v>Average</v>
      </c>
      <c r="W2086" s="4"/>
      <c r="X2086" s="4"/>
      <c r="AJ2086" s="4"/>
    </row>
    <row r="2087" spans="1:36">
      <c r="A2087" t="str">
        <f t="shared" si="161"/>
        <v>Meen562086</v>
      </c>
      <c r="B2087">
        <v>2086</v>
      </c>
      <c r="C2087">
        <v>24</v>
      </c>
      <c r="D2087">
        <v>5</v>
      </c>
      <c r="E2087">
        <v>2023</v>
      </c>
      <c r="F2087" s="1">
        <f t="shared" si="162"/>
        <v>45070</v>
      </c>
      <c r="G2087" s="1" t="s">
        <v>592</v>
      </c>
      <c r="H2087" s="2">
        <v>46563</v>
      </c>
      <c r="I2087" t="s">
        <v>26</v>
      </c>
      <c r="J2087">
        <v>6</v>
      </c>
      <c r="K2087">
        <v>12509.3</v>
      </c>
      <c r="L2087" t="s">
        <v>666</v>
      </c>
      <c r="M2087">
        <v>56</v>
      </c>
      <c r="N2087" t="s">
        <v>61</v>
      </c>
      <c r="O2087" s="3" t="s">
        <v>55</v>
      </c>
      <c r="P2087" t="s">
        <v>132</v>
      </c>
      <c r="Q2087" t="s">
        <v>56</v>
      </c>
      <c r="R2087">
        <v>2</v>
      </c>
      <c r="S2087" t="s">
        <v>31</v>
      </c>
      <c r="T2087" s="4">
        <f t="shared" si="163"/>
        <v>75055.799999999988</v>
      </c>
      <c r="U2087" s="4" t="str">
        <f t="shared" si="164"/>
        <v>Average</v>
      </c>
      <c r="V2087" s="4" t="str">
        <f t="shared" si="165"/>
        <v>Average</v>
      </c>
      <c r="W2087" s="4"/>
      <c r="X2087" s="4"/>
      <c r="AJ2087" s="4"/>
    </row>
    <row r="2088" spans="1:36">
      <c r="A2088" t="str">
        <f t="shared" si="161"/>
        <v>Deve212087</v>
      </c>
      <c r="B2088">
        <v>2087</v>
      </c>
      <c r="C2088">
        <v>25</v>
      </c>
      <c r="D2088">
        <v>5</v>
      </c>
      <c r="E2088">
        <v>2023</v>
      </c>
      <c r="F2088" s="1">
        <f t="shared" si="162"/>
        <v>45071</v>
      </c>
      <c r="G2088" s="1" t="s">
        <v>592</v>
      </c>
      <c r="H2088" s="2">
        <v>46564</v>
      </c>
      <c r="I2088" t="s">
        <v>26</v>
      </c>
      <c r="J2088">
        <v>1</v>
      </c>
      <c r="K2088">
        <v>47433.34</v>
      </c>
      <c r="L2088" t="s">
        <v>351</v>
      </c>
      <c r="M2088">
        <v>21</v>
      </c>
      <c r="N2088" t="s">
        <v>36</v>
      </c>
      <c r="O2088" s="3" t="s">
        <v>22</v>
      </c>
      <c r="P2088" t="s">
        <v>66</v>
      </c>
      <c r="Q2088" t="s">
        <v>56</v>
      </c>
      <c r="R2088">
        <v>5</v>
      </c>
      <c r="S2088" t="s">
        <v>34</v>
      </c>
      <c r="T2088" s="4">
        <f t="shared" si="163"/>
        <v>47433.34</v>
      </c>
      <c r="U2088" s="4" t="str">
        <f t="shared" si="164"/>
        <v>Good</v>
      </c>
      <c r="V2088" s="4" t="str">
        <f t="shared" si="165"/>
        <v>Low</v>
      </c>
      <c r="W2088" s="4"/>
      <c r="X2088" s="4"/>
      <c r="AJ2088" s="4"/>
    </row>
    <row r="2089" spans="1:36">
      <c r="A2089" t="str">
        <f t="shared" si="161"/>
        <v>Sach292088</v>
      </c>
      <c r="B2089">
        <v>2088</v>
      </c>
      <c r="C2089">
        <v>25</v>
      </c>
      <c r="D2089">
        <v>5</v>
      </c>
      <c r="E2089">
        <v>2023</v>
      </c>
      <c r="F2089" s="1">
        <f t="shared" si="162"/>
        <v>45071</v>
      </c>
      <c r="G2089" s="1" t="s">
        <v>592</v>
      </c>
      <c r="H2089" s="2">
        <v>46565</v>
      </c>
      <c r="I2089" t="s">
        <v>26</v>
      </c>
      <c r="J2089">
        <v>4</v>
      </c>
      <c r="K2089">
        <v>43750.73</v>
      </c>
      <c r="L2089" t="s">
        <v>866</v>
      </c>
      <c r="M2089">
        <v>29</v>
      </c>
      <c r="N2089" t="s">
        <v>36</v>
      </c>
      <c r="O2089" s="3" t="s">
        <v>55</v>
      </c>
      <c r="P2089" t="s">
        <v>59</v>
      </c>
      <c r="Q2089" t="s">
        <v>41</v>
      </c>
      <c r="R2089">
        <v>2</v>
      </c>
      <c r="S2089" t="s">
        <v>31</v>
      </c>
      <c r="T2089" s="4">
        <f t="shared" si="163"/>
        <v>175002.92</v>
      </c>
      <c r="U2089" s="4" t="str">
        <f t="shared" si="164"/>
        <v>Average</v>
      </c>
      <c r="V2089" s="4" t="str">
        <f t="shared" si="165"/>
        <v>Good</v>
      </c>
      <c r="W2089" s="4"/>
      <c r="X2089" s="4"/>
      <c r="AJ2089" s="4"/>
    </row>
    <row r="2090" spans="1:36">
      <c r="A2090" t="str">
        <f t="shared" si="161"/>
        <v>Adit342089</v>
      </c>
      <c r="B2090">
        <v>2089</v>
      </c>
      <c r="C2090">
        <v>25</v>
      </c>
      <c r="D2090">
        <v>5</v>
      </c>
      <c r="E2090">
        <v>2023</v>
      </c>
      <c r="F2090" s="1">
        <f t="shared" si="162"/>
        <v>45071</v>
      </c>
      <c r="G2090" s="1" t="s">
        <v>592</v>
      </c>
      <c r="H2090" s="2">
        <v>46566</v>
      </c>
      <c r="I2090" t="s">
        <v>19</v>
      </c>
      <c r="J2090">
        <v>8</v>
      </c>
      <c r="K2090">
        <v>34127.870000000003</v>
      </c>
      <c r="L2090" t="s">
        <v>772</v>
      </c>
      <c r="M2090">
        <v>34</v>
      </c>
      <c r="N2090" t="s">
        <v>21</v>
      </c>
      <c r="O2090" s="3" t="s">
        <v>22</v>
      </c>
      <c r="P2090" t="s">
        <v>33</v>
      </c>
      <c r="Q2090" t="s">
        <v>41</v>
      </c>
      <c r="R2090">
        <v>4</v>
      </c>
      <c r="S2090" t="s">
        <v>84</v>
      </c>
      <c r="T2090" s="4">
        <f t="shared" si="163"/>
        <v>273022.96000000002</v>
      </c>
      <c r="U2090" s="4" t="str">
        <f t="shared" si="164"/>
        <v>Good</v>
      </c>
      <c r="V2090" s="4" t="str">
        <f t="shared" si="165"/>
        <v>Excellent</v>
      </c>
      <c r="W2090" s="4"/>
      <c r="X2090" s="4"/>
      <c r="AJ2090" s="4"/>
    </row>
    <row r="2091" spans="1:36">
      <c r="A2091" t="str">
        <f t="shared" si="161"/>
        <v>Tapa182090</v>
      </c>
      <c r="B2091">
        <v>2090</v>
      </c>
      <c r="C2091">
        <v>25</v>
      </c>
      <c r="D2091">
        <v>5</v>
      </c>
      <c r="E2091">
        <v>2023</v>
      </c>
      <c r="F2091" s="1">
        <f t="shared" si="162"/>
        <v>45071</v>
      </c>
      <c r="G2091" s="1" t="s">
        <v>592</v>
      </c>
      <c r="H2091" s="2">
        <v>46567</v>
      </c>
      <c r="I2091" t="s">
        <v>26</v>
      </c>
      <c r="J2091">
        <v>1</v>
      </c>
      <c r="K2091">
        <v>48633.64</v>
      </c>
      <c r="L2091" t="s">
        <v>745</v>
      </c>
      <c r="M2091">
        <v>18</v>
      </c>
      <c r="N2091" t="s">
        <v>36</v>
      </c>
      <c r="O2091" s="3" t="s">
        <v>55</v>
      </c>
      <c r="P2091" t="s">
        <v>45</v>
      </c>
      <c r="Q2091" t="s">
        <v>30</v>
      </c>
      <c r="R2091">
        <v>1</v>
      </c>
      <c r="S2091" t="s">
        <v>31</v>
      </c>
      <c r="T2091" s="4">
        <f t="shared" si="163"/>
        <v>48633.64</v>
      </c>
      <c r="U2091" s="4" t="str">
        <f t="shared" si="164"/>
        <v>Average</v>
      </c>
      <c r="V2091" s="4" t="str">
        <f t="shared" si="165"/>
        <v>Low</v>
      </c>
      <c r="W2091" s="4"/>
      <c r="X2091" s="4"/>
      <c r="AJ2091" s="4"/>
    </row>
    <row r="2092" spans="1:36">
      <c r="A2092" t="str">
        <f t="shared" si="161"/>
        <v>Suni342091</v>
      </c>
      <c r="B2092">
        <v>2091</v>
      </c>
      <c r="C2092">
        <v>26</v>
      </c>
      <c r="D2092">
        <v>5</v>
      </c>
      <c r="E2092">
        <v>2023</v>
      </c>
      <c r="F2092" s="1">
        <f t="shared" si="162"/>
        <v>45072</v>
      </c>
      <c r="G2092" s="1" t="s">
        <v>592</v>
      </c>
      <c r="H2092" s="2">
        <v>46568</v>
      </c>
      <c r="I2092" t="s">
        <v>43</v>
      </c>
      <c r="J2092">
        <v>3</v>
      </c>
      <c r="K2092">
        <v>43036.800000000003</v>
      </c>
      <c r="L2092" t="s">
        <v>141</v>
      </c>
      <c r="M2092">
        <v>34</v>
      </c>
      <c r="N2092" t="s">
        <v>21</v>
      </c>
      <c r="O2092" s="3" t="s">
        <v>55</v>
      </c>
      <c r="P2092" t="s">
        <v>29</v>
      </c>
      <c r="Q2092" t="s">
        <v>56</v>
      </c>
      <c r="R2092">
        <v>1</v>
      </c>
      <c r="S2092" t="s">
        <v>57</v>
      </c>
      <c r="T2092" s="4">
        <f t="shared" si="163"/>
        <v>129110.40000000001</v>
      </c>
      <c r="U2092" s="4" t="str">
        <f t="shared" si="164"/>
        <v>Average</v>
      </c>
      <c r="V2092" s="4" t="str">
        <f t="shared" si="165"/>
        <v>Good</v>
      </c>
      <c r="W2092" s="4"/>
      <c r="X2092" s="4"/>
      <c r="AJ2092" s="4"/>
    </row>
    <row r="2093" spans="1:36">
      <c r="A2093" t="str">
        <f t="shared" si="161"/>
        <v>Lata192092</v>
      </c>
      <c r="B2093">
        <v>2092</v>
      </c>
      <c r="C2093">
        <v>26</v>
      </c>
      <c r="D2093">
        <v>5</v>
      </c>
      <c r="E2093">
        <v>2023</v>
      </c>
      <c r="F2093" s="1">
        <f t="shared" si="162"/>
        <v>45072</v>
      </c>
      <c r="G2093" s="1" t="s">
        <v>592</v>
      </c>
      <c r="H2093" s="2">
        <v>46569</v>
      </c>
      <c r="I2093" t="s">
        <v>38</v>
      </c>
      <c r="J2093">
        <v>1</v>
      </c>
      <c r="K2093">
        <v>25034.89</v>
      </c>
      <c r="L2093" t="s">
        <v>764</v>
      </c>
      <c r="M2093">
        <v>19</v>
      </c>
      <c r="N2093" t="s">
        <v>36</v>
      </c>
      <c r="O2093" s="3" t="s">
        <v>55</v>
      </c>
      <c r="P2093" t="s">
        <v>29</v>
      </c>
      <c r="Q2093" t="s">
        <v>41</v>
      </c>
      <c r="R2093">
        <v>2</v>
      </c>
      <c r="S2093" t="s">
        <v>42</v>
      </c>
      <c r="T2093" s="4">
        <f t="shared" si="163"/>
        <v>25034.89</v>
      </c>
      <c r="U2093" s="4" t="str">
        <f t="shared" si="164"/>
        <v>Average</v>
      </c>
      <c r="V2093" s="4" t="str">
        <f t="shared" si="165"/>
        <v>Low</v>
      </c>
      <c r="W2093" s="4"/>
      <c r="X2093" s="4"/>
      <c r="AJ2093" s="4"/>
    </row>
    <row r="2094" spans="1:36">
      <c r="A2094" t="str">
        <f t="shared" si="161"/>
        <v>Adit232093</v>
      </c>
      <c r="B2094">
        <v>2093</v>
      </c>
      <c r="C2094">
        <v>26</v>
      </c>
      <c r="D2094">
        <v>5</v>
      </c>
      <c r="E2094">
        <v>2023</v>
      </c>
      <c r="F2094" s="1">
        <f t="shared" si="162"/>
        <v>45072</v>
      </c>
      <c r="G2094" s="1" t="s">
        <v>592</v>
      </c>
      <c r="H2094" s="2">
        <v>46570</v>
      </c>
      <c r="I2094" t="s">
        <v>38</v>
      </c>
      <c r="J2094">
        <v>9</v>
      </c>
      <c r="K2094">
        <v>33863.74</v>
      </c>
      <c r="L2094" t="s">
        <v>366</v>
      </c>
      <c r="M2094">
        <v>23</v>
      </c>
      <c r="N2094" t="s">
        <v>36</v>
      </c>
      <c r="O2094" s="3" t="s">
        <v>22</v>
      </c>
      <c r="P2094" t="s">
        <v>66</v>
      </c>
      <c r="Q2094" t="s">
        <v>24</v>
      </c>
      <c r="R2094">
        <v>4</v>
      </c>
      <c r="S2094" t="s">
        <v>42</v>
      </c>
      <c r="T2094" s="4">
        <f t="shared" si="163"/>
        <v>304773.65999999997</v>
      </c>
      <c r="U2094" s="4" t="str">
        <f t="shared" si="164"/>
        <v>Good</v>
      </c>
      <c r="V2094" s="4" t="str">
        <f t="shared" si="165"/>
        <v>Excellent</v>
      </c>
      <c r="W2094" s="4"/>
      <c r="X2094" s="4"/>
      <c r="AJ2094" s="4"/>
    </row>
    <row r="2095" spans="1:36">
      <c r="A2095" t="str">
        <f t="shared" si="161"/>
        <v>Isha282094</v>
      </c>
      <c r="B2095">
        <v>2094</v>
      </c>
      <c r="C2095">
        <v>26</v>
      </c>
      <c r="D2095">
        <v>5</v>
      </c>
      <c r="E2095">
        <v>2023</v>
      </c>
      <c r="F2095" s="1">
        <f t="shared" si="162"/>
        <v>45072</v>
      </c>
      <c r="G2095" s="1" t="s">
        <v>592</v>
      </c>
      <c r="H2095" s="2">
        <v>46571</v>
      </c>
      <c r="I2095" t="s">
        <v>49</v>
      </c>
      <c r="J2095">
        <v>2</v>
      </c>
      <c r="K2095">
        <v>35686.81</v>
      </c>
      <c r="L2095" t="s">
        <v>277</v>
      </c>
      <c r="M2095">
        <v>28</v>
      </c>
      <c r="N2095" t="s">
        <v>36</v>
      </c>
      <c r="O2095" s="3" t="s">
        <v>22</v>
      </c>
      <c r="P2095" t="s">
        <v>33</v>
      </c>
      <c r="Q2095" t="s">
        <v>24</v>
      </c>
      <c r="R2095">
        <v>4</v>
      </c>
      <c r="S2095" t="s">
        <v>102</v>
      </c>
      <c r="T2095" s="4">
        <f t="shared" si="163"/>
        <v>71373.62</v>
      </c>
      <c r="U2095" s="4" t="str">
        <f t="shared" si="164"/>
        <v>Good</v>
      </c>
      <c r="V2095" s="4" t="str">
        <f t="shared" si="165"/>
        <v>Average</v>
      </c>
      <c r="W2095" s="4"/>
      <c r="X2095" s="4"/>
      <c r="AJ2095" s="4"/>
    </row>
    <row r="2096" spans="1:36">
      <c r="A2096" t="str">
        <f t="shared" si="161"/>
        <v>Mano352095</v>
      </c>
      <c r="B2096">
        <v>2095</v>
      </c>
      <c r="C2096">
        <v>27</v>
      </c>
      <c r="D2096">
        <v>5</v>
      </c>
      <c r="E2096">
        <v>2023</v>
      </c>
      <c r="F2096" s="1">
        <f t="shared" si="162"/>
        <v>45073</v>
      </c>
      <c r="G2096" s="1" t="s">
        <v>592</v>
      </c>
      <c r="H2096" s="2">
        <v>46572</v>
      </c>
      <c r="I2096" t="s">
        <v>43</v>
      </c>
      <c r="J2096">
        <v>9</v>
      </c>
      <c r="K2096">
        <v>62814.879999999997</v>
      </c>
      <c r="L2096" t="s">
        <v>450</v>
      </c>
      <c r="M2096">
        <v>35</v>
      </c>
      <c r="N2096" t="s">
        <v>21</v>
      </c>
      <c r="O2096" s="3" t="s">
        <v>55</v>
      </c>
      <c r="P2096" t="s">
        <v>23</v>
      </c>
      <c r="Q2096" t="s">
        <v>30</v>
      </c>
      <c r="R2096">
        <v>2</v>
      </c>
      <c r="S2096" t="s">
        <v>57</v>
      </c>
      <c r="T2096" s="4">
        <f t="shared" si="163"/>
        <v>565333.91999999993</v>
      </c>
      <c r="U2096" s="4" t="str">
        <f t="shared" si="164"/>
        <v>Average</v>
      </c>
      <c r="V2096" s="4" t="str">
        <f t="shared" si="165"/>
        <v>Excellent</v>
      </c>
      <c r="W2096" s="4"/>
      <c r="X2096" s="4"/>
      <c r="AJ2096" s="4"/>
    </row>
    <row r="2097" spans="1:36">
      <c r="A2097" t="str">
        <f t="shared" si="161"/>
        <v>Pooj572096</v>
      </c>
      <c r="B2097">
        <v>2096</v>
      </c>
      <c r="C2097">
        <v>27</v>
      </c>
      <c r="D2097">
        <v>5</v>
      </c>
      <c r="E2097">
        <v>2023</v>
      </c>
      <c r="F2097" s="1">
        <f t="shared" si="162"/>
        <v>45073</v>
      </c>
      <c r="G2097" s="1" t="s">
        <v>592</v>
      </c>
      <c r="H2097" s="2">
        <v>46573</v>
      </c>
      <c r="I2097" t="s">
        <v>26</v>
      </c>
      <c r="J2097">
        <v>4</v>
      </c>
      <c r="K2097">
        <v>67654.25</v>
      </c>
      <c r="L2097" t="s">
        <v>680</v>
      </c>
      <c r="M2097">
        <v>57</v>
      </c>
      <c r="N2097" t="s">
        <v>61</v>
      </c>
      <c r="O2097" s="3" t="s">
        <v>22</v>
      </c>
      <c r="P2097" t="s">
        <v>29</v>
      </c>
      <c r="Q2097" t="s">
        <v>24</v>
      </c>
      <c r="R2097">
        <v>4</v>
      </c>
      <c r="S2097" t="s">
        <v>34</v>
      </c>
      <c r="T2097" s="4">
        <f t="shared" si="163"/>
        <v>270617</v>
      </c>
      <c r="U2097" s="4" t="str">
        <f t="shared" si="164"/>
        <v>Good</v>
      </c>
      <c r="V2097" s="4" t="str">
        <f t="shared" si="165"/>
        <v>Excellent</v>
      </c>
      <c r="W2097" s="4"/>
      <c r="X2097" s="4"/>
      <c r="AJ2097" s="4"/>
    </row>
    <row r="2098" spans="1:36">
      <c r="A2098" t="str">
        <f t="shared" si="161"/>
        <v>Tanu422097</v>
      </c>
      <c r="B2098">
        <v>2097</v>
      </c>
      <c r="C2098">
        <v>27</v>
      </c>
      <c r="D2098">
        <v>5</v>
      </c>
      <c r="E2098">
        <v>2023</v>
      </c>
      <c r="F2098" s="1">
        <f t="shared" si="162"/>
        <v>45073</v>
      </c>
      <c r="G2098" s="1" t="s">
        <v>592</v>
      </c>
      <c r="H2098" s="2">
        <v>46574</v>
      </c>
      <c r="I2098" t="s">
        <v>38</v>
      </c>
      <c r="J2098">
        <v>2</v>
      </c>
      <c r="K2098">
        <v>63580.08</v>
      </c>
      <c r="L2098" t="s">
        <v>970</v>
      </c>
      <c r="M2098">
        <v>42</v>
      </c>
      <c r="N2098" t="s">
        <v>21</v>
      </c>
      <c r="O2098" s="3" t="s">
        <v>22</v>
      </c>
      <c r="P2098" t="s">
        <v>29</v>
      </c>
      <c r="Q2098" t="s">
        <v>30</v>
      </c>
      <c r="R2098">
        <v>5</v>
      </c>
      <c r="S2098" t="s">
        <v>42</v>
      </c>
      <c r="T2098" s="4">
        <f t="shared" si="163"/>
        <v>127160.16</v>
      </c>
      <c r="U2098" s="4" t="str">
        <f t="shared" si="164"/>
        <v>Good</v>
      </c>
      <c r="V2098" s="4" t="str">
        <f t="shared" si="165"/>
        <v>Good</v>
      </c>
      <c r="W2098" s="4"/>
      <c r="X2098" s="4"/>
      <c r="AJ2098" s="4"/>
    </row>
    <row r="2099" spans="1:36">
      <c r="A2099" t="str">
        <f t="shared" si="161"/>
        <v>Lata562098</v>
      </c>
      <c r="B2099">
        <v>2098</v>
      </c>
      <c r="C2099">
        <v>27</v>
      </c>
      <c r="D2099">
        <v>5</v>
      </c>
      <c r="E2099">
        <v>2023</v>
      </c>
      <c r="F2099" s="1">
        <f t="shared" si="162"/>
        <v>45073</v>
      </c>
      <c r="G2099" s="1" t="s">
        <v>592</v>
      </c>
      <c r="H2099" s="2">
        <v>46575</v>
      </c>
      <c r="I2099" t="s">
        <v>43</v>
      </c>
      <c r="J2099">
        <v>4</v>
      </c>
      <c r="K2099">
        <v>53150.68</v>
      </c>
      <c r="L2099" t="s">
        <v>522</v>
      </c>
      <c r="M2099">
        <v>56</v>
      </c>
      <c r="N2099" t="s">
        <v>61</v>
      </c>
      <c r="O2099" s="3" t="s">
        <v>55</v>
      </c>
      <c r="P2099" t="s">
        <v>93</v>
      </c>
      <c r="Q2099" t="s">
        <v>56</v>
      </c>
      <c r="R2099">
        <v>2</v>
      </c>
      <c r="S2099" t="s">
        <v>57</v>
      </c>
      <c r="T2099" s="4">
        <f t="shared" si="163"/>
        <v>212602.72</v>
      </c>
      <c r="U2099" s="4" t="str">
        <f t="shared" si="164"/>
        <v>Average</v>
      </c>
      <c r="V2099" s="4" t="str">
        <f t="shared" si="165"/>
        <v>Excellent</v>
      </c>
      <c r="W2099" s="4"/>
      <c r="X2099" s="4"/>
      <c r="AJ2099" s="4"/>
    </row>
    <row r="2100" spans="1:36">
      <c r="A2100" t="str">
        <f t="shared" si="161"/>
        <v>Mala452099</v>
      </c>
      <c r="B2100">
        <v>2099</v>
      </c>
      <c r="C2100">
        <v>28</v>
      </c>
      <c r="D2100">
        <v>5</v>
      </c>
      <c r="E2100">
        <v>2023</v>
      </c>
      <c r="F2100" s="1">
        <f t="shared" si="162"/>
        <v>45074</v>
      </c>
      <c r="G2100" s="1" t="s">
        <v>592</v>
      </c>
      <c r="H2100" s="2">
        <v>46576</v>
      </c>
      <c r="I2100" t="s">
        <v>38</v>
      </c>
      <c r="J2100">
        <v>6</v>
      </c>
      <c r="K2100">
        <v>45099.56</v>
      </c>
      <c r="L2100" t="s">
        <v>118</v>
      </c>
      <c r="M2100">
        <v>45</v>
      </c>
      <c r="N2100" t="s">
        <v>21</v>
      </c>
      <c r="O2100" s="3" t="s">
        <v>22</v>
      </c>
      <c r="P2100" t="s">
        <v>29</v>
      </c>
      <c r="Q2100" t="s">
        <v>30</v>
      </c>
      <c r="R2100">
        <v>4</v>
      </c>
      <c r="S2100" t="s">
        <v>48</v>
      </c>
      <c r="T2100" s="4">
        <f t="shared" si="163"/>
        <v>270597.36</v>
      </c>
      <c r="U2100" s="4" t="str">
        <f t="shared" si="164"/>
        <v>Good</v>
      </c>
      <c r="V2100" s="4" t="str">
        <f t="shared" si="165"/>
        <v>Excellent</v>
      </c>
      <c r="W2100" s="4"/>
      <c r="X2100" s="4"/>
      <c r="AJ2100" s="4"/>
    </row>
    <row r="2101" spans="1:36">
      <c r="A2101" t="str">
        <f t="shared" si="161"/>
        <v>Priy332100</v>
      </c>
      <c r="B2101">
        <v>2100</v>
      </c>
      <c r="C2101">
        <v>28</v>
      </c>
      <c r="D2101">
        <v>5</v>
      </c>
      <c r="E2101">
        <v>2023</v>
      </c>
      <c r="F2101" s="1">
        <f t="shared" si="162"/>
        <v>45074</v>
      </c>
      <c r="G2101" s="1" t="s">
        <v>592</v>
      </c>
      <c r="H2101" s="2">
        <v>46577</v>
      </c>
      <c r="I2101" t="s">
        <v>26</v>
      </c>
      <c r="J2101">
        <v>7</v>
      </c>
      <c r="K2101">
        <v>51355.7</v>
      </c>
      <c r="L2101" t="s">
        <v>671</v>
      </c>
      <c r="M2101">
        <v>33</v>
      </c>
      <c r="N2101" t="s">
        <v>21</v>
      </c>
      <c r="O2101" s="3" t="s">
        <v>22</v>
      </c>
      <c r="P2101" t="s">
        <v>77</v>
      </c>
      <c r="Q2101" t="s">
        <v>30</v>
      </c>
      <c r="R2101">
        <v>5</v>
      </c>
      <c r="S2101" t="s">
        <v>31</v>
      </c>
      <c r="T2101" s="4">
        <f t="shared" si="163"/>
        <v>359489.89999999997</v>
      </c>
      <c r="U2101" s="4" t="str">
        <f t="shared" si="164"/>
        <v>Good</v>
      </c>
      <c r="V2101" s="4" t="str">
        <f t="shared" si="165"/>
        <v>Excellent</v>
      </c>
      <c r="W2101" s="4"/>
      <c r="X2101" s="4"/>
      <c r="AJ2101" s="4"/>
    </row>
    <row r="2102" spans="1:36">
      <c r="A2102" t="str">
        <f t="shared" si="161"/>
        <v>Sneh292101</v>
      </c>
      <c r="B2102">
        <v>2101</v>
      </c>
      <c r="C2102">
        <v>28</v>
      </c>
      <c r="D2102">
        <v>5</v>
      </c>
      <c r="E2102">
        <v>2023</v>
      </c>
      <c r="F2102" s="1">
        <f t="shared" si="162"/>
        <v>45074</v>
      </c>
      <c r="G2102" s="1" t="s">
        <v>592</v>
      </c>
      <c r="H2102" s="2">
        <v>46578</v>
      </c>
      <c r="I2102" t="s">
        <v>38</v>
      </c>
      <c r="J2102">
        <v>3</v>
      </c>
      <c r="K2102">
        <v>66346.55</v>
      </c>
      <c r="L2102" t="s">
        <v>861</v>
      </c>
      <c r="M2102">
        <v>29</v>
      </c>
      <c r="N2102" t="s">
        <v>36</v>
      </c>
      <c r="O2102" s="3" t="s">
        <v>55</v>
      </c>
      <c r="P2102" t="s">
        <v>51</v>
      </c>
      <c r="Q2102" t="s">
        <v>56</v>
      </c>
      <c r="R2102">
        <v>2</v>
      </c>
      <c r="S2102" t="s">
        <v>42</v>
      </c>
      <c r="T2102" s="4">
        <f t="shared" si="163"/>
        <v>199039.65000000002</v>
      </c>
      <c r="U2102" s="4" t="str">
        <f t="shared" si="164"/>
        <v>Average</v>
      </c>
      <c r="V2102" s="4" t="str">
        <f t="shared" si="165"/>
        <v>Good</v>
      </c>
      <c r="W2102" s="4"/>
      <c r="X2102" s="4"/>
      <c r="AJ2102" s="4"/>
    </row>
    <row r="2103" spans="1:36">
      <c r="A2103" t="str">
        <f t="shared" si="161"/>
        <v>Raje582102</v>
      </c>
      <c r="B2103">
        <v>2102</v>
      </c>
      <c r="C2103">
        <v>29</v>
      </c>
      <c r="D2103">
        <v>5</v>
      </c>
      <c r="E2103">
        <v>2023</v>
      </c>
      <c r="F2103" s="1">
        <f t="shared" si="162"/>
        <v>45075</v>
      </c>
      <c r="G2103" s="1" t="s">
        <v>592</v>
      </c>
      <c r="H2103" s="2">
        <v>46579</v>
      </c>
      <c r="I2103" t="s">
        <v>49</v>
      </c>
      <c r="J2103">
        <v>3</v>
      </c>
      <c r="K2103">
        <v>24999.919999999998</v>
      </c>
      <c r="L2103" t="s">
        <v>285</v>
      </c>
      <c r="M2103">
        <v>58</v>
      </c>
      <c r="N2103" t="s">
        <v>61</v>
      </c>
      <c r="O2103" s="3" t="s">
        <v>22</v>
      </c>
      <c r="P2103" t="s">
        <v>29</v>
      </c>
      <c r="Q2103" t="s">
        <v>41</v>
      </c>
      <c r="R2103">
        <v>5</v>
      </c>
      <c r="S2103" t="s">
        <v>88</v>
      </c>
      <c r="T2103" s="4">
        <f t="shared" si="163"/>
        <v>74999.759999999995</v>
      </c>
      <c r="U2103" s="4" t="str">
        <f t="shared" si="164"/>
        <v>Good</v>
      </c>
      <c r="V2103" s="4" t="str">
        <f t="shared" si="165"/>
        <v>Average</v>
      </c>
      <c r="W2103" s="4"/>
      <c r="X2103" s="4"/>
      <c r="AJ2103" s="4"/>
    </row>
    <row r="2104" spans="1:36">
      <c r="A2104" t="str">
        <f t="shared" si="161"/>
        <v>Navi462103</v>
      </c>
      <c r="B2104">
        <v>2103</v>
      </c>
      <c r="C2104">
        <v>29</v>
      </c>
      <c r="D2104">
        <v>5</v>
      </c>
      <c r="E2104">
        <v>2023</v>
      </c>
      <c r="F2104" s="1">
        <f t="shared" si="162"/>
        <v>45075</v>
      </c>
      <c r="G2104" s="1" t="s">
        <v>592</v>
      </c>
      <c r="H2104" s="2">
        <v>46580</v>
      </c>
      <c r="I2104" t="s">
        <v>49</v>
      </c>
      <c r="J2104">
        <v>8</v>
      </c>
      <c r="K2104">
        <v>42107.23</v>
      </c>
      <c r="L2104" t="s">
        <v>971</v>
      </c>
      <c r="M2104">
        <v>46</v>
      </c>
      <c r="N2104" t="s">
        <v>61</v>
      </c>
      <c r="O2104" s="3" t="s">
        <v>22</v>
      </c>
      <c r="P2104" t="s">
        <v>29</v>
      </c>
      <c r="Q2104" t="s">
        <v>41</v>
      </c>
      <c r="R2104">
        <v>4</v>
      </c>
      <c r="S2104" t="s">
        <v>88</v>
      </c>
      <c r="T2104" s="4">
        <f t="shared" si="163"/>
        <v>336857.84</v>
      </c>
      <c r="U2104" s="4" t="str">
        <f t="shared" si="164"/>
        <v>Good</v>
      </c>
      <c r="V2104" s="4" t="str">
        <f t="shared" si="165"/>
        <v>Excellent</v>
      </c>
      <c r="W2104" s="4"/>
      <c r="X2104" s="4"/>
      <c r="AJ2104" s="4"/>
    </row>
    <row r="2105" spans="1:36">
      <c r="A2105" t="str">
        <f t="shared" si="161"/>
        <v>Shru402104</v>
      </c>
      <c r="B2105">
        <v>2104</v>
      </c>
      <c r="C2105">
        <v>29</v>
      </c>
      <c r="D2105">
        <v>5</v>
      </c>
      <c r="E2105">
        <v>2023</v>
      </c>
      <c r="F2105" s="1">
        <f t="shared" si="162"/>
        <v>45075</v>
      </c>
      <c r="G2105" s="1" t="s">
        <v>592</v>
      </c>
      <c r="H2105" s="2">
        <v>46581</v>
      </c>
      <c r="I2105" t="s">
        <v>38</v>
      </c>
      <c r="J2105">
        <v>5</v>
      </c>
      <c r="K2105">
        <v>51376.480000000003</v>
      </c>
      <c r="L2105" t="s">
        <v>872</v>
      </c>
      <c r="M2105">
        <v>40</v>
      </c>
      <c r="N2105" t="s">
        <v>21</v>
      </c>
      <c r="O2105" s="3" t="s">
        <v>22</v>
      </c>
      <c r="P2105" t="s">
        <v>150</v>
      </c>
      <c r="Q2105" t="s">
        <v>41</v>
      </c>
      <c r="R2105">
        <v>4</v>
      </c>
      <c r="S2105" t="s">
        <v>99</v>
      </c>
      <c r="T2105" s="4">
        <f t="shared" si="163"/>
        <v>256882.40000000002</v>
      </c>
      <c r="U2105" s="4" t="str">
        <f t="shared" si="164"/>
        <v>Good</v>
      </c>
      <c r="V2105" s="4" t="str">
        <f t="shared" si="165"/>
        <v>Excellent</v>
      </c>
      <c r="W2105" s="4"/>
      <c r="X2105" s="4"/>
      <c r="AJ2105" s="4"/>
    </row>
    <row r="2106" spans="1:36">
      <c r="A2106" t="str">
        <f t="shared" si="161"/>
        <v>Sach382105</v>
      </c>
      <c r="B2106">
        <v>2105</v>
      </c>
      <c r="C2106">
        <v>30</v>
      </c>
      <c r="D2106">
        <v>5</v>
      </c>
      <c r="E2106">
        <v>2023</v>
      </c>
      <c r="F2106" s="1">
        <f t="shared" si="162"/>
        <v>45076</v>
      </c>
      <c r="G2106" s="1" t="s">
        <v>592</v>
      </c>
      <c r="H2106" s="2">
        <v>46582</v>
      </c>
      <c r="I2106" t="s">
        <v>43</v>
      </c>
      <c r="J2106">
        <v>4</v>
      </c>
      <c r="K2106">
        <v>50754.82</v>
      </c>
      <c r="L2106" t="s">
        <v>563</v>
      </c>
      <c r="M2106">
        <v>38</v>
      </c>
      <c r="N2106" t="s">
        <v>21</v>
      </c>
      <c r="O2106" s="3" t="s">
        <v>22</v>
      </c>
      <c r="P2106" t="s">
        <v>114</v>
      </c>
      <c r="Q2106" t="s">
        <v>41</v>
      </c>
      <c r="R2106">
        <v>4</v>
      </c>
      <c r="S2106" t="s">
        <v>46</v>
      </c>
      <c r="T2106" s="4">
        <f t="shared" si="163"/>
        <v>203019.28</v>
      </c>
      <c r="U2106" s="4" t="str">
        <f t="shared" si="164"/>
        <v>Good</v>
      </c>
      <c r="V2106" s="4" t="str">
        <f t="shared" si="165"/>
        <v>Excellent</v>
      </c>
      <c r="W2106" s="4"/>
      <c r="X2106" s="4"/>
      <c r="AJ2106" s="4"/>
    </row>
    <row r="2107" spans="1:36">
      <c r="A2107" t="str">
        <f t="shared" si="161"/>
        <v>Lata332106</v>
      </c>
      <c r="B2107">
        <v>2106</v>
      </c>
      <c r="C2107">
        <v>30</v>
      </c>
      <c r="D2107">
        <v>5</v>
      </c>
      <c r="E2107">
        <v>2023</v>
      </c>
      <c r="F2107" s="1">
        <f t="shared" si="162"/>
        <v>45076</v>
      </c>
      <c r="G2107" s="1" t="s">
        <v>592</v>
      </c>
      <c r="H2107" s="2">
        <v>46583</v>
      </c>
      <c r="I2107" t="s">
        <v>43</v>
      </c>
      <c r="J2107">
        <v>7</v>
      </c>
      <c r="K2107">
        <v>25136.74</v>
      </c>
      <c r="L2107" t="s">
        <v>715</v>
      </c>
      <c r="M2107">
        <v>33</v>
      </c>
      <c r="N2107" t="s">
        <v>21</v>
      </c>
      <c r="O2107" s="3" t="s">
        <v>22</v>
      </c>
      <c r="P2107" t="s">
        <v>45</v>
      </c>
      <c r="Q2107" t="s">
        <v>30</v>
      </c>
      <c r="R2107">
        <v>4</v>
      </c>
      <c r="S2107" t="s">
        <v>46</v>
      </c>
      <c r="T2107" s="4">
        <f t="shared" si="163"/>
        <v>175957.18000000002</v>
      </c>
      <c r="U2107" s="4" t="str">
        <f t="shared" si="164"/>
        <v>Good</v>
      </c>
      <c r="V2107" s="4" t="str">
        <f t="shared" si="165"/>
        <v>Good</v>
      </c>
      <c r="W2107" s="4"/>
      <c r="X2107" s="4"/>
      <c r="AJ2107" s="4"/>
    </row>
    <row r="2108" spans="1:36">
      <c r="A2108" t="str">
        <f t="shared" si="161"/>
        <v>Nami582107</v>
      </c>
      <c r="B2108">
        <v>2107</v>
      </c>
      <c r="C2108">
        <v>30</v>
      </c>
      <c r="D2108">
        <v>5</v>
      </c>
      <c r="E2108">
        <v>2023</v>
      </c>
      <c r="F2108" s="1">
        <f t="shared" si="162"/>
        <v>45076</v>
      </c>
      <c r="G2108" s="1" t="s">
        <v>592</v>
      </c>
      <c r="H2108" s="2">
        <v>46584</v>
      </c>
      <c r="I2108" t="s">
        <v>43</v>
      </c>
      <c r="J2108">
        <v>7</v>
      </c>
      <c r="K2108">
        <v>45203.89</v>
      </c>
      <c r="L2108" t="s">
        <v>60</v>
      </c>
      <c r="M2108">
        <v>58</v>
      </c>
      <c r="N2108" t="s">
        <v>61</v>
      </c>
      <c r="O2108" s="3" t="s">
        <v>22</v>
      </c>
      <c r="P2108" t="s">
        <v>114</v>
      </c>
      <c r="Q2108" t="s">
        <v>41</v>
      </c>
      <c r="R2108">
        <v>4</v>
      </c>
      <c r="S2108" t="s">
        <v>46</v>
      </c>
      <c r="T2108" s="4">
        <f t="shared" si="163"/>
        <v>316427.23</v>
      </c>
      <c r="U2108" s="4" t="str">
        <f t="shared" si="164"/>
        <v>Good</v>
      </c>
      <c r="V2108" s="4" t="str">
        <f t="shared" si="165"/>
        <v>Excellent</v>
      </c>
      <c r="W2108" s="4"/>
      <c r="X2108" s="4"/>
      <c r="AJ2108" s="4"/>
    </row>
    <row r="2109" spans="1:36">
      <c r="A2109" t="str">
        <f t="shared" si="161"/>
        <v>Vino432108</v>
      </c>
      <c r="B2109">
        <v>2108</v>
      </c>
      <c r="C2109">
        <v>30</v>
      </c>
      <c r="D2109">
        <v>5</v>
      </c>
      <c r="E2109">
        <v>2023</v>
      </c>
      <c r="F2109" s="1">
        <f t="shared" si="162"/>
        <v>45076</v>
      </c>
      <c r="G2109" s="1" t="s">
        <v>592</v>
      </c>
      <c r="H2109" s="2">
        <v>46585</v>
      </c>
      <c r="I2109" t="s">
        <v>38</v>
      </c>
      <c r="J2109">
        <v>9</v>
      </c>
      <c r="K2109">
        <v>57754.79</v>
      </c>
      <c r="L2109" t="s">
        <v>398</v>
      </c>
      <c r="M2109">
        <v>43</v>
      </c>
      <c r="N2109" t="s">
        <v>21</v>
      </c>
      <c r="O2109" s="3" t="s">
        <v>22</v>
      </c>
      <c r="P2109" t="s">
        <v>29</v>
      </c>
      <c r="Q2109" t="s">
        <v>24</v>
      </c>
      <c r="R2109">
        <v>4</v>
      </c>
      <c r="S2109" t="s">
        <v>48</v>
      </c>
      <c r="T2109" s="4">
        <f t="shared" si="163"/>
        <v>519793.11</v>
      </c>
      <c r="U2109" s="4" t="str">
        <f t="shared" si="164"/>
        <v>Good</v>
      </c>
      <c r="V2109" s="4" t="str">
        <f t="shared" si="165"/>
        <v>Excellent</v>
      </c>
      <c r="W2109" s="4"/>
      <c r="X2109" s="4"/>
      <c r="AJ2109" s="4"/>
    </row>
    <row r="2110" spans="1:36">
      <c r="A2110" t="str">
        <f t="shared" si="161"/>
        <v>Shru542109</v>
      </c>
      <c r="B2110">
        <v>2109</v>
      </c>
      <c r="C2110">
        <v>31</v>
      </c>
      <c r="D2110">
        <v>5</v>
      </c>
      <c r="E2110">
        <v>2023</v>
      </c>
      <c r="F2110" s="1">
        <f t="shared" si="162"/>
        <v>45077</v>
      </c>
      <c r="G2110" s="1" t="s">
        <v>592</v>
      </c>
      <c r="H2110" s="2">
        <v>46586</v>
      </c>
      <c r="I2110" t="s">
        <v>43</v>
      </c>
      <c r="J2110">
        <v>9</v>
      </c>
      <c r="K2110">
        <v>38504.74</v>
      </c>
      <c r="L2110" t="s">
        <v>964</v>
      </c>
      <c r="M2110">
        <v>54</v>
      </c>
      <c r="N2110" t="s">
        <v>61</v>
      </c>
      <c r="O2110" s="3" t="s">
        <v>55</v>
      </c>
      <c r="P2110" t="s">
        <v>33</v>
      </c>
      <c r="Q2110" t="s">
        <v>24</v>
      </c>
      <c r="R2110">
        <v>2</v>
      </c>
      <c r="S2110" t="s">
        <v>57</v>
      </c>
      <c r="T2110" s="4">
        <f t="shared" si="163"/>
        <v>346542.66</v>
      </c>
      <c r="U2110" s="4" t="str">
        <f t="shared" si="164"/>
        <v>Average</v>
      </c>
      <c r="V2110" s="4" t="str">
        <f t="shared" si="165"/>
        <v>Excellent</v>
      </c>
      <c r="W2110" s="4"/>
      <c r="X2110" s="4"/>
      <c r="AJ2110" s="4"/>
    </row>
    <row r="2111" spans="1:36">
      <c r="A2111" t="str">
        <f t="shared" si="161"/>
        <v>Neet392110</v>
      </c>
      <c r="B2111">
        <v>2110</v>
      </c>
      <c r="C2111">
        <v>31</v>
      </c>
      <c r="D2111">
        <v>5</v>
      </c>
      <c r="E2111">
        <v>2023</v>
      </c>
      <c r="F2111" s="1">
        <f t="shared" si="162"/>
        <v>45077</v>
      </c>
      <c r="G2111" s="1" t="s">
        <v>592</v>
      </c>
      <c r="H2111" s="2">
        <v>46587</v>
      </c>
      <c r="I2111" t="s">
        <v>26</v>
      </c>
      <c r="J2111">
        <v>5</v>
      </c>
      <c r="K2111">
        <v>57597.88</v>
      </c>
      <c r="L2111" t="s">
        <v>485</v>
      </c>
      <c r="M2111">
        <v>39</v>
      </c>
      <c r="N2111" t="s">
        <v>21</v>
      </c>
      <c r="O2111" s="3" t="s">
        <v>55</v>
      </c>
      <c r="P2111" t="s">
        <v>33</v>
      </c>
      <c r="Q2111" t="s">
        <v>41</v>
      </c>
      <c r="R2111">
        <v>2</v>
      </c>
      <c r="S2111" t="s">
        <v>34</v>
      </c>
      <c r="T2111" s="4">
        <f t="shared" si="163"/>
        <v>287989.39999999997</v>
      </c>
      <c r="U2111" s="4" t="str">
        <f t="shared" si="164"/>
        <v>Average</v>
      </c>
      <c r="V2111" s="4" t="str">
        <f t="shared" si="165"/>
        <v>Excellent</v>
      </c>
      <c r="W2111" s="4"/>
      <c r="X2111" s="4"/>
      <c r="AJ2111" s="4"/>
    </row>
    <row r="2112" spans="1:36">
      <c r="A2112" t="str">
        <f t="shared" si="161"/>
        <v>Bhav272111</v>
      </c>
      <c r="B2112">
        <v>2111</v>
      </c>
      <c r="C2112">
        <v>31</v>
      </c>
      <c r="D2112">
        <v>5</v>
      </c>
      <c r="E2112">
        <v>2023</v>
      </c>
      <c r="F2112" s="1">
        <f t="shared" si="162"/>
        <v>45077</v>
      </c>
      <c r="G2112" s="1" t="s">
        <v>592</v>
      </c>
      <c r="H2112" s="2">
        <v>46588</v>
      </c>
      <c r="I2112" t="s">
        <v>49</v>
      </c>
      <c r="J2112">
        <v>8</v>
      </c>
      <c r="K2112">
        <v>31592.959999999999</v>
      </c>
      <c r="L2112" t="s">
        <v>862</v>
      </c>
      <c r="M2112">
        <v>27</v>
      </c>
      <c r="N2112" t="s">
        <v>36</v>
      </c>
      <c r="O2112" s="3" t="s">
        <v>22</v>
      </c>
      <c r="P2112" t="s">
        <v>40</v>
      </c>
      <c r="Q2112" t="s">
        <v>24</v>
      </c>
      <c r="R2112">
        <v>5</v>
      </c>
      <c r="S2112" t="s">
        <v>102</v>
      </c>
      <c r="T2112" s="4">
        <f t="shared" si="163"/>
        <v>252743.67999999999</v>
      </c>
      <c r="U2112" s="4" t="str">
        <f t="shared" si="164"/>
        <v>Good</v>
      </c>
      <c r="V2112" s="4" t="str">
        <f t="shared" si="165"/>
        <v>Excellent</v>
      </c>
      <c r="W2112" s="4"/>
      <c r="X2112" s="4"/>
      <c r="AJ2112" s="4"/>
    </row>
    <row r="2113" spans="1:36">
      <c r="A2113" t="str">
        <f t="shared" si="161"/>
        <v>Suni242112</v>
      </c>
      <c r="B2113">
        <v>2112</v>
      </c>
      <c r="C2113">
        <v>31</v>
      </c>
      <c r="D2113">
        <v>5</v>
      </c>
      <c r="E2113">
        <v>2023</v>
      </c>
      <c r="F2113" s="1">
        <f t="shared" si="162"/>
        <v>45077</v>
      </c>
      <c r="G2113" s="1" t="s">
        <v>592</v>
      </c>
      <c r="H2113" s="2">
        <v>46589</v>
      </c>
      <c r="I2113" t="s">
        <v>26</v>
      </c>
      <c r="J2113">
        <v>1</v>
      </c>
      <c r="K2113">
        <v>66325.61</v>
      </c>
      <c r="L2113" t="s">
        <v>244</v>
      </c>
      <c r="M2113">
        <v>24</v>
      </c>
      <c r="N2113" t="s">
        <v>36</v>
      </c>
      <c r="O2113" s="3" t="s">
        <v>55</v>
      </c>
      <c r="P2113" t="s">
        <v>29</v>
      </c>
      <c r="Q2113" t="s">
        <v>24</v>
      </c>
      <c r="R2113">
        <v>2</v>
      </c>
      <c r="S2113" t="s">
        <v>34</v>
      </c>
      <c r="T2113" s="4">
        <f t="shared" si="163"/>
        <v>66325.61</v>
      </c>
      <c r="U2113" s="4" t="str">
        <f t="shared" si="164"/>
        <v>Average</v>
      </c>
      <c r="V2113" s="4" t="str">
        <f t="shared" si="165"/>
        <v>Average</v>
      </c>
      <c r="W2113" s="4"/>
      <c r="X2113" s="4"/>
      <c r="AJ2113" s="4"/>
    </row>
    <row r="2114" spans="1:36">
      <c r="A2114" t="str">
        <f t="shared" ref="A2114:A2177" si="166">LEFT(L2114,4)&amp;M2114&amp;B2114</f>
        <v>Adit262113</v>
      </c>
      <c r="B2114">
        <v>2113</v>
      </c>
      <c r="C2114">
        <v>1</v>
      </c>
      <c r="D2114">
        <v>6</v>
      </c>
      <c r="E2114">
        <v>2023</v>
      </c>
      <c r="F2114" s="1">
        <f t="shared" si="162"/>
        <v>45078</v>
      </c>
      <c r="G2114" s="1" t="s">
        <v>643</v>
      </c>
      <c r="H2114" s="2">
        <v>46590</v>
      </c>
      <c r="I2114" t="s">
        <v>43</v>
      </c>
      <c r="J2114">
        <v>9</v>
      </c>
      <c r="K2114">
        <v>42035.71</v>
      </c>
      <c r="L2114" t="s">
        <v>589</v>
      </c>
      <c r="M2114">
        <v>26</v>
      </c>
      <c r="N2114" t="s">
        <v>36</v>
      </c>
      <c r="O2114" s="3" t="s">
        <v>55</v>
      </c>
      <c r="P2114" t="s">
        <v>64</v>
      </c>
      <c r="Q2114" t="s">
        <v>56</v>
      </c>
      <c r="R2114">
        <v>2</v>
      </c>
      <c r="S2114" t="s">
        <v>95</v>
      </c>
      <c r="T2114" s="4">
        <f t="shared" si="163"/>
        <v>378321.39</v>
      </c>
      <c r="U2114" s="4" t="str">
        <f t="shared" si="164"/>
        <v>Average</v>
      </c>
      <c r="V2114" s="4" t="str">
        <f t="shared" si="165"/>
        <v>Excellent</v>
      </c>
      <c r="W2114" s="4"/>
      <c r="X2114" s="4"/>
      <c r="AJ2114" s="4"/>
    </row>
    <row r="2115" spans="1:36">
      <c r="A2115" t="str">
        <f t="shared" si="166"/>
        <v>Pooj422114</v>
      </c>
      <c r="B2115">
        <v>2114</v>
      </c>
      <c r="C2115">
        <v>1</v>
      </c>
      <c r="D2115">
        <v>6</v>
      </c>
      <c r="E2115">
        <v>2023</v>
      </c>
      <c r="F2115" s="1">
        <f t="shared" ref="F2115:F2178" si="167">DATE(E2115,D2115,C2115)</f>
        <v>45078</v>
      </c>
      <c r="G2115" s="1" t="s">
        <v>643</v>
      </c>
      <c r="H2115" s="2">
        <v>46591</v>
      </c>
      <c r="I2115" t="s">
        <v>26</v>
      </c>
      <c r="J2115">
        <v>8</v>
      </c>
      <c r="K2115">
        <v>45756.88</v>
      </c>
      <c r="L2115" t="s">
        <v>101</v>
      </c>
      <c r="M2115">
        <v>42</v>
      </c>
      <c r="N2115" t="s">
        <v>21</v>
      </c>
      <c r="O2115" s="3" t="s">
        <v>22</v>
      </c>
      <c r="P2115" t="s">
        <v>29</v>
      </c>
      <c r="Q2115" t="s">
        <v>56</v>
      </c>
      <c r="R2115">
        <v>5</v>
      </c>
      <c r="S2115" t="s">
        <v>67</v>
      </c>
      <c r="T2115" s="4">
        <f t="shared" ref="T2115:T2178" si="168">J2115*K2115</f>
        <v>366055.04</v>
      </c>
      <c r="U2115" s="4" t="str">
        <f t="shared" ref="U2115:U2178" si="169">IF(R2115&gt;=4,"Good","Average")</f>
        <v>Good</v>
      </c>
      <c r="V2115" s="4" t="str">
        <f t="shared" ref="V2115:V2178" si="170">IF(T2115&gt;200000,"Excellent",IF(T2115&gt;100000,"Good",IF(T2115&gt;50000,"Average","Low")))</f>
        <v>Excellent</v>
      </c>
      <c r="W2115" s="4"/>
      <c r="X2115" s="4"/>
      <c r="AJ2115" s="4"/>
    </row>
    <row r="2116" spans="1:36">
      <c r="A2116" t="str">
        <f t="shared" si="166"/>
        <v>Neet322115</v>
      </c>
      <c r="B2116">
        <v>2115</v>
      </c>
      <c r="C2116">
        <v>1</v>
      </c>
      <c r="D2116">
        <v>6</v>
      </c>
      <c r="E2116">
        <v>2023</v>
      </c>
      <c r="F2116" s="1">
        <f t="shared" si="167"/>
        <v>45078</v>
      </c>
      <c r="G2116" s="1" t="s">
        <v>643</v>
      </c>
      <c r="H2116" s="2">
        <v>46592</v>
      </c>
      <c r="I2116" t="s">
        <v>43</v>
      </c>
      <c r="J2116">
        <v>6</v>
      </c>
      <c r="K2116">
        <v>11881.69</v>
      </c>
      <c r="L2116" t="s">
        <v>834</v>
      </c>
      <c r="M2116">
        <v>32</v>
      </c>
      <c r="N2116" t="s">
        <v>21</v>
      </c>
      <c r="O2116" s="3" t="s">
        <v>55</v>
      </c>
      <c r="P2116" t="s">
        <v>110</v>
      </c>
      <c r="Q2116" t="s">
        <v>41</v>
      </c>
      <c r="R2116">
        <v>1</v>
      </c>
      <c r="S2116" t="s">
        <v>57</v>
      </c>
      <c r="T2116" s="4">
        <f t="shared" si="168"/>
        <v>71290.14</v>
      </c>
      <c r="U2116" s="4" t="str">
        <f t="shared" si="169"/>
        <v>Average</v>
      </c>
      <c r="V2116" s="4" t="str">
        <f t="shared" si="170"/>
        <v>Average</v>
      </c>
      <c r="W2116" s="4"/>
      <c r="X2116" s="4"/>
      <c r="AJ2116" s="4"/>
    </row>
    <row r="2117" spans="1:36">
      <c r="A2117" t="str">
        <f t="shared" si="166"/>
        <v>Deep302116</v>
      </c>
      <c r="B2117">
        <v>2116</v>
      </c>
      <c r="C2117">
        <v>2</v>
      </c>
      <c r="D2117">
        <v>6</v>
      </c>
      <c r="E2117">
        <v>2023</v>
      </c>
      <c r="F2117" s="1">
        <f t="shared" si="167"/>
        <v>45079</v>
      </c>
      <c r="G2117" s="1" t="s">
        <v>643</v>
      </c>
      <c r="H2117" s="2">
        <v>46593</v>
      </c>
      <c r="I2117" t="s">
        <v>38</v>
      </c>
      <c r="J2117">
        <v>3</v>
      </c>
      <c r="K2117">
        <v>20216.150000000001</v>
      </c>
      <c r="L2117" t="s">
        <v>142</v>
      </c>
      <c r="M2117">
        <v>30</v>
      </c>
      <c r="N2117" t="s">
        <v>36</v>
      </c>
      <c r="O2117" s="3" t="s">
        <v>22</v>
      </c>
      <c r="P2117" t="s">
        <v>66</v>
      </c>
      <c r="Q2117" t="s">
        <v>30</v>
      </c>
      <c r="R2117">
        <v>4</v>
      </c>
      <c r="S2117" t="s">
        <v>99</v>
      </c>
      <c r="T2117" s="4">
        <f t="shared" si="168"/>
        <v>60648.450000000004</v>
      </c>
      <c r="U2117" s="4" t="str">
        <f t="shared" si="169"/>
        <v>Good</v>
      </c>
      <c r="V2117" s="4" t="str">
        <f t="shared" si="170"/>
        <v>Average</v>
      </c>
      <c r="W2117" s="4"/>
      <c r="X2117" s="4"/>
      <c r="AJ2117" s="4"/>
    </row>
    <row r="2118" spans="1:36">
      <c r="A2118" t="str">
        <f t="shared" si="166"/>
        <v>Tanu592117</v>
      </c>
      <c r="B2118">
        <v>2117</v>
      </c>
      <c r="C2118">
        <v>2</v>
      </c>
      <c r="D2118">
        <v>6</v>
      </c>
      <c r="E2118">
        <v>2023</v>
      </c>
      <c r="F2118" s="1">
        <f t="shared" si="167"/>
        <v>45079</v>
      </c>
      <c r="G2118" s="1" t="s">
        <v>643</v>
      </c>
      <c r="H2118" s="2">
        <v>46594</v>
      </c>
      <c r="I2118" t="s">
        <v>26</v>
      </c>
      <c r="J2118">
        <v>3</v>
      </c>
      <c r="K2118">
        <v>47976.03</v>
      </c>
      <c r="L2118" t="s">
        <v>195</v>
      </c>
      <c r="M2118">
        <v>59</v>
      </c>
      <c r="N2118" t="s">
        <v>61</v>
      </c>
      <c r="O2118" s="3" t="s">
        <v>55</v>
      </c>
      <c r="P2118" t="s">
        <v>117</v>
      </c>
      <c r="Q2118" t="s">
        <v>30</v>
      </c>
      <c r="R2118">
        <v>2</v>
      </c>
      <c r="S2118" t="s">
        <v>67</v>
      </c>
      <c r="T2118" s="4">
        <f t="shared" si="168"/>
        <v>143928.09</v>
      </c>
      <c r="U2118" s="4" t="str">
        <f t="shared" si="169"/>
        <v>Average</v>
      </c>
      <c r="V2118" s="4" t="str">
        <f t="shared" si="170"/>
        <v>Good</v>
      </c>
      <c r="W2118" s="4"/>
      <c r="X2118" s="4"/>
      <c r="AJ2118" s="4"/>
    </row>
    <row r="2119" spans="1:36">
      <c r="A2119" t="str">
        <f t="shared" si="166"/>
        <v>Tanu432118</v>
      </c>
      <c r="B2119">
        <v>2118</v>
      </c>
      <c r="C2119">
        <v>2</v>
      </c>
      <c r="D2119">
        <v>6</v>
      </c>
      <c r="E2119">
        <v>2023</v>
      </c>
      <c r="F2119" s="1">
        <f t="shared" si="167"/>
        <v>45079</v>
      </c>
      <c r="G2119" s="1" t="s">
        <v>643</v>
      </c>
      <c r="H2119" s="2">
        <v>46595</v>
      </c>
      <c r="I2119" t="s">
        <v>38</v>
      </c>
      <c r="J2119">
        <v>8</v>
      </c>
      <c r="K2119">
        <v>35192.22</v>
      </c>
      <c r="L2119" t="s">
        <v>195</v>
      </c>
      <c r="M2119">
        <v>43</v>
      </c>
      <c r="N2119" t="s">
        <v>21</v>
      </c>
      <c r="O2119" s="3" t="s">
        <v>22</v>
      </c>
      <c r="P2119" t="s">
        <v>90</v>
      </c>
      <c r="Q2119" t="s">
        <v>56</v>
      </c>
      <c r="R2119">
        <v>5</v>
      </c>
      <c r="S2119" t="s">
        <v>48</v>
      </c>
      <c r="T2119" s="4">
        <f t="shared" si="168"/>
        <v>281537.76</v>
      </c>
      <c r="U2119" s="4" t="str">
        <f t="shared" si="169"/>
        <v>Good</v>
      </c>
      <c r="V2119" s="4" t="str">
        <f t="shared" si="170"/>
        <v>Excellent</v>
      </c>
      <c r="W2119" s="4"/>
      <c r="X2119" s="4"/>
      <c r="AJ2119" s="4"/>
    </row>
    <row r="2120" spans="1:36">
      <c r="A2120" t="str">
        <f t="shared" si="166"/>
        <v>Lata382119</v>
      </c>
      <c r="B2120">
        <v>2119</v>
      </c>
      <c r="C2120">
        <v>2</v>
      </c>
      <c r="D2120">
        <v>6</v>
      </c>
      <c r="E2120">
        <v>2023</v>
      </c>
      <c r="F2120" s="1">
        <f t="shared" si="167"/>
        <v>45079</v>
      </c>
      <c r="G2120" s="1" t="s">
        <v>643</v>
      </c>
      <c r="H2120" s="2">
        <v>46596</v>
      </c>
      <c r="I2120" t="s">
        <v>38</v>
      </c>
      <c r="J2120">
        <v>5</v>
      </c>
      <c r="K2120">
        <v>40489.83</v>
      </c>
      <c r="L2120" t="s">
        <v>735</v>
      </c>
      <c r="M2120">
        <v>38</v>
      </c>
      <c r="N2120" t="s">
        <v>21</v>
      </c>
      <c r="O2120" s="3" t="s">
        <v>22</v>
      </c>
      <c r="P2120" t="s">
        <v>40</v>
      </c>
      <c r="Q2120" t="s">
        <v>56</v>
      </c>
      <c r="R2120">
        <v>4</v>
      </c>
      <c r="S2120" t="s">
        <v>42</v>
      </c>
      <c r="T2120" s="4">
        <f t="shared" si="168"/>
        <v>202449.15000000002</v>
      </c>
      <c r="U2120" s="4" t="str">
        <f t="shared" si="169"/>
        <v>Good</v>
      </c>
      <c r="V2120" s="4" t="str">
        <f t="shared" si="170"/>
        <v>Excellent</v>
      </c>
      <c r="W2120" s="4"/>
      <c r="X2120" s="4"/>
      <c r="AJ2120" s="4"/>
    </row>
    <row r="2121" spans="1:36">
      <c r="A2121" t="str">
        <f t="shared" si="166"/>
        <v>Nikh402120</v>
      </c>
      <c r="B2121">
        <v>2120</v>
      </c>
      <c r="C2121">
        <v>3</v>
      </c>
      <c r="D2121">
        <v>6</v>
      </c>
      <c r="E2121">
        <v>2023</v>
      </c>
      <c r="F2121" s="1">
        <f t="shared" si="167"/>
        <v>45080</v>
      </c>
      <c r="G2121" s="1" t="s">
        <v>643</v>
      </c>
      <c r="H2121" s="2">
        <v>46597</v>
      </c>
      <c r="I2121" t="s">
        <v>19</v>
      </c>
      <c r="J2121">
        <v>7</v>
      </c>
      <c r="K2121">
        <v>13778.28</v>
      </c>
      <c r="L2121" t="s">
        <v>237</v>
      </c>
      <c r="M2121">
        <v>40</v>
      </c>
      <c r="N2121" t="s">
        <v>21</v>
      </c>
      <c r="O2121" s="3" t="s">
        <v>22</v>
      </c>
      <c r="P2121" t="s">
        <v>59</v>
      </c>
      <c r="Q2121" t="s">
        <v>30</v>
      </c>
      <c r="R2121">
        <v>4</v>
      </c>
      <c r="S2121" t="s">
        <v>25</v>
      </c>
      <c r="T2121" s="4">
        <f t="shared" si="168"/>
        <v>96447.96</v>
      </c>
      <c r="U2121" s="4" t="str">
        <f t="shared" si="169"/>
        <v>Good</v>
      </c>
      <c r="V2121" s="4" t="str">
        <f t="shared" si="170"/>
        <v>Average</v>
      </c>
      <c r="W2121" s="4"/>
      <c r="X2121" s="4"/>
      <c r="AJ2121" s="4"/>
    </row>
    <row r="2122" spans="1:36">
      <c r="A2122" t="str">
        <f t="shared" si="166"/>
        <v>Priy452121</v>
      </c>
      <c r="B2122">
        <v>2121</v>
      </c>
      <c r="C2122">
        <v>3</v>
      </c>
      <c r="D2122">
        <v>6</v>
      </c>
      <c r="E2122">
        <v>2023</v>
      </c>
      <c r="F2122" s="1">
        <f t="shared" si="167"/>
        <v>45080</v>
      </c>
      <c r="G2122" s="1" t="s">
        <v>643</v>
      </c>
      <c r="H2122" s="2">
        <v>46598</v>
      </c>
      <c r="I2122" t="s">
        <v>43</v>
      </c>
      <c r="J2122">
        <v>5</v>
      </c>
      <c r="K2122">
        <v>60048.11</v>
      </c>
      <c r="L2122" t="s">
        <v>558</v>
      </c>
      <c r="M2122">
        <v>45</v>
      </c>
      <c r="N2122" t="s">
        <v>21</v>
      </c>
      <c r="O2122" s="3" t="s">
        <v>55</v>
      </c>
      <c r="P2122" t="s">
        <v>64</v>
      </c>
      <c r="Q2122" t="s">
        <v>41</v>
      </c>
      <c r="R2122">
        <v>2</v>
      </c>
      <c r="S2122" t="s">
        <v>95</v>
      </c>
      <c r="T2122" s="4">
        <f t="shared" si="168"/>
        <v>300240.55</v>
      </c>
      <c r="U2122" s="4" t="str">
        <f t="shared" si="169"/>
        <v>Average</v>
      </c>
      <c r="V2122" s="4" t="str">
        <f t="shared" si="170"/>
        <v>Excellent</v>
      </c>
      <c r="W2122" s="4"/>
      <c r="X2122" s="4"/>
      <c r="AJ2122" s="4"/>
    </row>
    <row r="2123" spans="1:36">
      <c r="A2123" t="str">
        <f t="shared" si="166"/>
        <v>Anit552122</v>
      </c>
      <c r="B2123">
        <v>2122</v>
      </c>
      <c r="C2123">
        <v>3</v>
      </c>
      <c r="D2123">
        <v>6</v>
      </c>
      <c r="E2123">
        <v>2023</v>
      </c>
      <c r="F2123" s="1">
        <f t="shared" si="167"/>
        <v>45080</v>
      </c>
      <c r="G2123" s="1" t="s">
        <v>643</v>
      </c>
      <c r="H2123" s="2">
        <v>46599</v>
      </c>
      <c r="I2123" t="s">
        <v>49</v>
      </c>
      <c r="J2123">
        <v>8</v>
      </c>
      <c r="K2123">
        <v>57070.34</v>
      </c>
      <c r="L2123" t="s">
        <v>837</v>
      </c>
      <c r="M2123">
        <v>55</v>
      </c>
      <c r="N2123" t="s">
        <v>61</v>
      </c>
      <c r="O2123" s="3" t="s">
        <v>22</v>
      </c>
      <c r="P2123" t="s">
        <v>33</v>
      </c>
      <c r="Q2123" t="s">
        <v>30</v>
      </c>
      <c r="R2123">
        <v>4</v>
      </c>
      <c r="S2123" t="s">
        <v>52</v>
      </c>
      <c r="T2123" s="4">
        <f t="shared" si="168"/>
        <v>456562.72</v>
      </c>
      <c r="U2123" s="4" t="str">
        <f t="shared" si="169"/>
        <v>Good</v>
      </c>
      <c r="V2123" s="4" t="str">
        <f t="shared" si="170"/>
        <v>Excellent</v>
      </c>
      <c r="W2123" s="4"/>
      <c r="X2123" s="4"/>
      <c r="AJ2123" s="4"/>
    </row>
    <row r="2124" spans="1:36">
      <c r="A2124" t="str">
        <f t="shared" si="166"/>
        <v>Navi292123</v>
      </c>
      <c r="B2124">
        <v>2123</v>
      </c>
      <c r="C2124">
        <v>3</v>
      </c>
      <c r="D2124">
        <v>6</v>
      </c>
      <c r="E2124">
        <v>2023</v>
      </c>
      <c r="F2124" s="1">
        <f t="shared" si="167"/>
        <v>45080</v>
      </c>
      <c r="G2124" s="1" t="s">
        <v>643</v>
      </c>
      <c r="H2124" s="2">
        <v>46600</v>
      </c>
      <c r="I2124" t="s">
        <v>43</v>
      </c>
      <c r="J2124">
        <v>4</v>
      </c>
      <c r="K2124">
        <v>21121.24</v>
      </c>
      <c r="L2124" t="s">
        <v>635</v>
      </c>
      <c r="M2124">
        <v>29</v>
      </c>
      <c r="N2124" t="s">
        <v>36</v>
      </c>
      <c r="O2124" s="3" t="s">
        <v>22</v>
      </c>
      <c r="P2124" t="s">
        <v>33</v>
      </c>
      <c r="Q2124" t="s">
        <v>30</v>
      </c>
      <c r="R2124">
        <v>5</v>
      </c>
      <c r="S2124" t="s">
        <v>57</v>
      </c>
      <c r="T2124" s="4">
        <f t="shared" si="168"/>
        <v>84484.96</v>
      </c>
      <c r="U2124" s="4" t="str">
        <f t="shared" si="169"/>
        <v>Good</v>
      </c>
      <c r="V2124" s="4" t="str">
        <f t="shared" si="170"/>
        <v>Average</v>
      </c>
      <c r="W2124" s="4"/>
      <c r="X2124" s="4"/>
      <c r="AJ2124" s="4"/>
    </row>
    <row r="2125" spans="1:36">
      <c r="A2125" t="str">
        <f t="shared" si="166"/>
        <v>Tapa412124</v>
      </c>
      <c r="B2125">
        <v>2124</v>
      </c>
      <c r="C2125">
        <v>4</v>
      </c>
      <c r="D2125">
        <v>6</v>
      </c>
      <c r="E2125">
        <v>2023</v>
      </c>
      <c r="F2125" s="1">
        <f t="shared" si="167"/>
        <v>45081</v>
      </c>
      <c r="G2125" s="1" t="s">
        <v>643</v>
      </c>
      <c r="H2125" s="2">
        <v>46601</v>
      </c>
      <c r="I2125" t="s">
        <v>49</v>
      </c>
      <c r="J2125">
        <v>2</v>
      </c>
      <c r="K2125">
        <v>48059.76</v>
      </c>
      <c r="L2125" t="s">
        <v>733</v>
      </c>
      <c r="M2125">
        <v>41</v>
      </c>
      <c r="N2125" t="s">
        <v>21</v>
      </c>
      <c r="O2125" s="3" t="s">
        <v>22</v>
      </c>
      <c r="P2125" t="s">
        <v>23</v>
      </c>
      <c r="Q2125" t="s">
        <v>24</v>
      </c>
      <c r="R2125">
        <v>5</v>
      </c>
      <c r="S2125" t="s">
        <v>52</v>
      </c>
      <c r="T2125" s="4">
        <f t="shared" si="168"/>
        <v>96119.52</v>
      </c>
      <c r="U2125" s="4" t="str">
        <f t="shared" si="169"/>
        <v>Good</v>
      </c>
      <c r="V2125" s="4" t="str">
        <f t="shared" si="170"/>
        <v>Average</v>
      </c>
      <c r="W2125" s="4"/>
      <c r="X2125" s="4"/>
      <c r="AJ2125" s="4"/>
    </row>
    <row r="2126" spans="1:36">
      <c r="A2126" t="str">
        <f t="shared" si="166"/>
        <v>Sach302125</v>
      </c>
      <c r="B2126">
        <v>2125</v>
      </c>
      <c r="C2126">
        <v>4</v>
      </c>
      <c r="D2126">
        <v>6</v>
      </c>
      <c r="E2126">
        <v>2023</v>
      </c>
      <c r="F2126" s="1">
        <f t="shared" si="167"/>
        <v>45081</v>
      </c>
      <c r="G2126" s="1" t="s">
        <v>643</v>
      </c>
      <c r="H2126" s="2">
        <v>46602</v>
      </c>
      <c r="I2126" t="s">
        <v>43</v>
      </c>
      <c r="J2126">
        <v>3</v>
      </c>
      <c r="K2126">
        <v>59098.91</v>
      </c>
      <c r="L2126" t="s">
        <v>242</v>
      </c>
      <c r="M2126">
        <v>30</v>
      </c>
      <c r="N2126" t="s">
        <v>36</v>
      </c>
      <c r="O2126" s="3" t="s">
        <v>22</v>
      </c>
      <c r="P2126" t="s">
        <v>29</v>
      </c>
      <c r="Q2126" t="s">
        <v>30</v>
      </c>
      <c r="R2126">
        <v>5</v>
      </c>
      <c r="S2126" t="s">
        <v>57</v>
      </c>
      <c r="T2126" s="4">
        <f t="shared" si="168"/>
        <v>177296.73</v>
      </c>
      <c r="U2126" s="4" t="str">
        <f t="shared" si="169"/>
        <v>Good</v>
      </c>
      <c r="V2126" s="4" t="str">
        <f t="shared" si="170"/>
        <v>Good</v>
      </c>
      <c r="W2126" s="4"/>
      <c r="X2126" s="4"/>
      <c r="AJ2126" s="4"/>
    </row>
    <row r="2127" spans="1:36">
      <c r="A2127" t="str">
        <f t="shared" si="166"/>
        <v>Gita572126</v>
      </c>
      <c r="B2127">
        <v>2126</v>
      </c>
      <c r="C2127">
        <v>4</v>
      </c>
      <c r="D2127">
        <v>6</v>
      </c>
      <c r="E2127">
        <v>2023</v>
      </c>
      <c r="F2127" s="1">
        <f t="shared" si="167"/>
        <v>45081</v>
      </c>
      <c r="G2127" s="1" t="s">
        <v>643</v>
      </c>
      <c r="H2127" s="2">
        <v>46603</v>
      </c>
      <c r="I2127" t="s">
        <v>38</v>
      </c>
      <c r="J2127">
        <v>8</v>
      </c>
      <c r="K2127">
        <v>48451.25</v>
      </c>
      <c r="L2127" t="s">
        <v>410</v>
      </c>
      <c r="M2127">
        <v>57</v>
      </c>
      <c r="N2127" t="s">
        <v>61</v>
      </c>
      <c r="O2127" s="3" t="s">
        <v>22</v>
      </c>
      <c r="P2127" t="s">
        <v>29</v>
      </c>
      <c r="Q2127" t="s">
        <v>56</v>
      </c>
      <c r="R2127">
        <v>5</v>
      </c>
      <c r="S2127" t="s">
        <v>42</v>
      </c>
      <c r="T2127" s="4">
        <f t="shared" si="168"/>
        <v>387610</v>
      </c>
      <c r="U2127" s="4" t="str">
        <f t="shared" si="169"/>
        <v>Good</v>
      </c>
      <c r="V2127" s="4" t="str">
        <f t="shared" si="170"/>
        <v>Excellent</v>
      </c>
      <c r="W2127" s="4"/>
      <c r="X2127" s="4"/>
      <c r="AJ2127" s="4"/>
    </row>
    <row r="2128" spans="1:36">
      <c r="A2128" t="str">
        <f t="shared" si="166"/>
        <v>Anja192127</v>
      </c>
      <c r="B2128">
        <v>2127</v>
      </c>
      <c r="C2128">
        <v>4</v>
      </c>
      <c r="D2128">
        <v>6</v>
      </c>
      <c r="E2128">
        <v>2023</v>
      </c>
      <c r="F2128" s="1">
        <f t="shared" si="167"/>
        <v>45081</v>
      </c>
      <c r="G2128" s="1" t="s">
        <v>643</v>
      </c>
      <c r="H2128" s="2">
        <v>46604</v>
      </c>
      <c r="I2128" t="s">
        <v>26</v>
      </c>
      <c r="J2128">
        <v>7</v>
      </c>
      <c r="K2128">
        <v>28623.89</v>
      </c>
      <c r="L2128" t="s">
        <v>159</v>
      </c>
      <c r="M2128">
        <v>19</v>
      </c>
      <c r="N2128" t="s">
        <v>36</v>
      </c>
      <c r="O2128" s="3" t="s">
        <v>22</v>
      </c>
      <c r="P2128" t="s">
        <v>29</v>
      </c>
      <c r="Q2128" t="s">
        <v>41</v>
      </c>
      <c r="R2128">
        <v>5</v>
      </c>
      <c r="S2128" t="s">
        <v>67</v>
      </c>
      <c r="T2128" s="4">
        <f t="shared" si="168"/>
        <v>200367.22999999998</v>
      </c>
      <c r="U2128" s="4" t="str">
        <f t="shared" si="169"/>
        <v>Good</v>
      </c>
      <c r="V2128" s="4" t="str">
        <f t="shared" si="170"/>
        <v>Excellent</v>
      </c>
      <c r="W2128" s="4"/>
      <c r="X2128" s="4"/>
      <c r="AJ2128" s="4"/>
    </row>
    <row r="2129" spans="1:36">
      <c r="A2129" t="str">
        <f t="shared" si="166"/>
        <v>Deve562128</v>
      </c>
      <c r="B2129">
        <v>2128</v>
      </c>
      <c r="C2129">
        <v>5</v>
      </c>
      <c r="D2129">
        <v>6</v>
      </c>
      <c r="E2129">
        <v>2023</v>
      </c>
      <c r="F2129" s="1">
        <f t="shared" si="167"/>
        <v>45082</v>
      </c>
      <c r="G2129" s="1" t="s">
        <v>643</v>
      </c>
      <c r="H2129" s="2">
        <v>46605</v>
      </c>
      <c r="I2129" t="s">
        <v>26</v>
      </c>
      <c r="J2129">
        <v>2</v>
      </c>
      <c r="K2129">
        <v>49366.67</v>
      </c>
      <c r="L2129" t="s">
        <v>308</v>
      </c>
      <c r="M2129">
        <v>56</v>
      </c>
      <c r="N2129" t="s">
        <v>61</v>
      </c>
      <c r="O2129" s="3" t="s">
        <v>22</v>
      </c>
      <c r="P2129" t="s">
        <v>77</v>
      </c>
      <c r="Q2129" t="s">
        <v>30</v>
      </c>
      <c r="R2129">
        <v>4</v>
      </c>
      <c r="S2129" t="s">
        <v>67</v>
      </c>
      <c r="T2129" s="4">
        <f t="shared" si="168"/>
        <v>98733.34</v>
      </c>
      <c r="U2129" s="4" t="str">
        <f t="shared" si="169"/>
        <v>Good</v>
      </c>
      <c r="V2129" s="4" t="str">
        <f t="shared" si="170"/>
        <v>Average</v>
      </c>
      <c r="W2129" s="4"/>
      <c r="X2129" s="4"/>
      <c r="AJ2129" s="4"/>
    </row>
    <row r="2130" spans="1:36">
      <c r="A2130" t="str">
        <f t="shared" si="166"/>
        <v>Anan292129</v>
      </c>
      <c r="B2130">
        <v>2129</v>
      </c>
      <c r="C2130">
        <v>5</v>
      </c>
      <c r="D2130">
        <v>6</v>
      </c>
      <c r="E2130">
        <v>2023</v>
      </c>
      <c r="F2130" s="1">
        <f t="shared" si="167"/>
        <v>45082</v>
      </c>
      <c r="G2130" s="1" t="s">
        <v>643</v>
      </c>
      <c r="H2130" s="2">
        <v>46606</v>
      </c>
      <c r="I2130" t="s">
        <v>19</v>
      </c>
      <c r="J2130">
        <v>6</v>
      </c>
      <c r="K2130">
        <v>22627.7</v>
      </c>
      <c r="L2130" t="s">
        <v>418</v>
      </c>
      <c r="M2130">
        <v>29</v>
      </c>
      <c r="N2130" t="s">
        <v>36</v>
      </c>
      <c r="O2130" s="3" t="s">
        <v>22</v>
      </c>
      <c r="P2130" t="s">
        <v>40</v>
      </c>
      <c r="Q2130" t="s">
        <v>24</v>
      </c>
      <c r="R2130">
        <v>5</v>
      </c>
      <c r="S2130" t="s">
        <v>84</v>
      </c>
      <c r="T2130" s="4">
        <f t="shared" si="168"/>
        <v>135766.20000000001</v>
      </c>
      <c r="U2130" s="4" t="str">
        <f t="shared" si="169"/>
        <v>Good</v>
      </c>
      <c r="V2130" s="4" t="str">
        <f t="shared" si="170"/>
        <v>Good</v>
      </c>
      <c r="W2130" s="4"/>
      <c r="X2130" s="4"/>
      <c r="AJ2130" s="4"/>
    </row>
    <row r="2131" spans="1:36">
      <c r="A2131" t="str">
        <f t="shared" si="166"/>
        <v>Pank562130</v>
      </c>
      <c r="B2131">
        <v>2130</v>
      </c>
      <c r="C2131">
        <v>5</v>
      </c>
      <c r="D2131">
        <v>6</v>
      </c>
      <c r="E2131">
        <v>2023</v>
      </c>
      <c r="F2131" s="1">
        <f t="shared" si="167"/>
        <v>45082</v>
      </c>
      <c r="G2131" s="1" t="s">
        <v>643</v>
      </c>
      <c r="H2131" s="2">
        <v>46607</v>
      </c>
      <c r="I2131" t="s">
        <v>49</v>
      </c>
      <c r="J2131">
        <v>9</v>
      </c>
      <c r="K2131">
        <v>29095.3</v>
      </c>
      <c r="L2131" t="s">
        <v>972</v>
      </c>
      <c r="M2131">
        <v>56</v>
      </c>
      <c r="N2131" t="s">
        <v>61</v>
      </c>
      <c r="O2131" s="3" t="s">
        <v>22</v>
      </c>
      <c r="P2131" t="s">
        <v>117</v>
      </c>
      <c r="Q2131" t="s">
        <v>56</v>
      </c>
      <c r="R2131">
        <v>4</v>
      </c>
      <c r="S2131" t="s">
        <v>52</v>
      </c>
      <c r="T2131" s="4">
        <f t="shared" si="168"/>
        <v>261857.69999999998</v>
      </c>
      <c r="U2131" s="4" t="str">
        <f t="shared" si="169"/>
        <v>Good</v>
      </c>
      <c r="V2131" s="4" t="str">
        <f t="shared" si="170"/>
        <v>Excellent</v>
      </c>
      <c r="W2131" s="4"/>
      <c r="X2131" s="4"/>
      <c r="AJ2131" s="4"/>
    </row>
    <row r="2132" spans="1:36">
      <c r="A2132" t="str">
        <f t="shared" si="166"/>
        <v>Moni312131</v>
      </c>
      <c r="B2132">
        <v>2131</v>
      </c>
      <c r="C2132">
        <v>6</v>
      </c>
      <c r="D2132">
        <v>6</v>
      </c>
      <c r="E2132">
        <v>2023</v>
      </c>
      <c r="F2132" s="1">
        <f t="shared" si="167"/>
        <v>45083</v>
      </c>
      <c r="G2132" s="1" t="s">
        <v>643</v>
      </c>
      <c r="H2132" s="2">
        <v>46608</v>
      </c>
      <c r="I2132" t="s">
        <v>49</v>
      </c>
      <c r="J2132">
        <v>4</v>
      </c>
      <c r="K2132">
        <v>24404.18</v>
      </c>
      <c r="L2132" t="s">
        <v>111</v>
      </c>
      <c r="M2132">
        <v>31</v>
      </c>
      <c r="N2132" t="s">
        <v>21</v>
      </c>
      <c r="O2132" s="3" t="s">
        <v>22</v>
      </c>
      <c r="P2132" t="s">
        <v>23</v>
      </c>
      <c r="Q2132" t="s">
        <v>56</v>
      </c>
      <c r="R2132">
        <v>4</v>
      </c>
      <c r="S2132" t="s">
        <v>52</v>
      </c>
      <c r="T2132" s="4">
        <f t="shared" si="168"/>
        <v>97616.72</v>
      </c>
      <c r="U2132" s="4" t="str">
        <f t="shared" si="169"/>
        <v>Good</v>
      </c>
      <c r="V2132" s="4" t="str">
        <f t="shared" si="170"/>
        <v>Average</v>
      </c>
      <c r="W2132" s="4"/>
      <c r="X2132" s="4"/>
      <c r="AJ2132" s="4"/>
    </row>
    <row r="2133" spans="1:36">
      <c r="A2133" t="str">
        <f t="shared" si="166"/>
        <v>Bina472132</v>
      </c>
      <c r="B2133">
        <v>2132</v>
      </c>
      <c r="C2133">
        <v>6</v>
      </c>
      <c r="D2133">
        <v>6</v>
      </c>
      <c r="E2133">
        <v>2023</v>
      </c>
      <c r="F2133" s="1">
        <f t="shared" si="167"/>
        <v>45083</v>
      </c>
      <c r="G2133" s="1" t="s">
        <v>643</v>
      </c>
      <c r="H2133" s="2">
        <v>46609</v>
      </c>
      <c r="I2133" t="s">
        <v>49</v>
      </c>
      <c r="J2133">
        <v>9</v>
      </c>
      <c r="K2133">
        <v>43415.51</v>
      </c>
      <c r="L2133" t="s">
        <v>227</v>
      </c>
      <c r="M2133">
        <v>47</v>
      </c>
      <c r="N2133" t="s">
        <v>61</v>
      </c>
      <c r="O2133" s="3" t="s">
        <v>22</v>
      </c>
      <c r="P2133" t="s">
        <v>110</v>
      </c>
      <c r="Q2133" t="s">
        <v>24</v>
      </c>
      <c r="R2133">
        <v>4</v>
      </c>
      <c r="S2133" t="s">
        <v>102</v>
      </c>
      <c r="T2133" s="4">
        <f t="shared" si="168"/>
        <v>390739.59</v>
      </c>
      <c r="U2133" s="4" t="str">
        <f t="shared" si="169"/>
        <v>Good</v>
      </c>
      <c r="V2133" s="4" t="str">
        <f t="shared" si="170"/>
        <v>Excellent</v>
      </c>
      <c r="W2133" s="4"/>
      <c r="X2133" s="4"/>
      <c r="AJ2133" s="4"/>
    </row>
    <row r="2134" spans="1:36">
      <c r="A2134" t="str">
        <f t="shared" si="166"/>
        <v>Vive582133</v>
      </c>
      <c r="B2134">
        <v>2133</v>
      </c>
      <c r="C2134">
        <v>6</v>
      </c>
      <c r="D2134">
        <v>6</v>
      </c>
      <c r="E2134">
        <v>2023</v>
      </c>
      <c r="F2134" s="1">
        <f t="shared" si="167"/>
        <v>45083</v>
      </c>
      <c r="G2134" s="1" t="s">
        <v>643</v>
      </c>
      <c r="H2134" s="2">
        <v>46610</v>
      </c>
      <c r="I2134" t="s">
        <v>38</v>
      </c>
      <c r="J2134">
        <v>2</v>
      </c>
      <c r="K2134">
        <v>16493.599999999999</v>
      </c>
      <c r="L2134" t="s">
        <v>621</v>
      </c>
      <c r="M2134">
        <v>58</v>
      </c>
      <c r="N2134" t="s">
        <v>61</v>
      </c>
      <c r="O2134" s="3" t="s">
        <v>22</v>
      </c>
      <c r="P2134" t="s">
        <v>33</v>
      </c>
      <c r="Q2134" t="s">
        <v>56</v>
      </c>
      <c r="R2134">
        <v>4</v>
      </c>
      <c r="S2134" t="s">
        <v>42</v>
      </c>
      <c r="T2134" s="4">
        <f t="shared" si="168"/>
        <v>32987.199999999997</v>
      </c>
      <c r="U2134" s="4" t="str">
        <f t="shared" si="169"/>
        <v>Good</v>
      </c>
      <c r="V2134" s="4" t="str">
        <f t="shared" si="170"/>
        <v>Low</v>
      </c>
      <c r="W2134" s="4"/>
      <c r="X2134" s="4"/>
      <c r="AJ2134" s="4"/>
    </row>
    <row r="2135" spans="1:36">
      <c r="A2135" t="str">
        <f t="shared" si="166"/>
        <v>Priy362134</v>
      </c>
      <c r="B2135">
        <v>2134</v>
      </c>
      <c r="C2135">
        <v>7</v>
      </c>
      <c r="D2135">
        <v>6</v>
      </c>
      <c r="E2135">
        <v>2023</v>
      </c>
      <c r="F2135" s="1">
        <f t="shared" si="167"/>
        <v>45084</v>
      </c>
      <c r="G2135" s="1" t="s">
        <v>643</v>
      </c>
      <c r="H2135" s="2">
        <v>46611</v>
      </c>
      <c r="I2135" t="s">
        <v>49</v>
      </c>
      <c r="J2135">
        <v>2</v>
      </c>
      <c r="K2135">
        <v>65998.62</v>
      </c>
      <c r="L2135" t="s">
        <v>467</v>
      </c>
      <c r="M2135">
        <v>36</v>
      </c>
      <c r="N2135" t="s">
        <v>21</v>
      </c>
      <c r="O2135" s="3" t="s">
        <v>55</v>
      </c>
      <c r="P2135" t="s">
        <v>150</v>
      </c>
      <c r="Q2135" t="s">
        <v>24</v>
      </c>
      <c r="R2135">
        <v>1</v>
      </c>
      <c r="S2135" t="s">
        <v>102</v>
      </c>
      <c r="T2135" s="4">
        <f t="shared" si="168"/>
        <v>131997.24</v>
      </c>
      <c r="U2135" s="4" t="str">
        <f t="shared" si="169"/>
        <v>Average</v>
      </c>
      <c r="V2135" s="4" t="str">
        <f t="shared" si="170"/>
        <v>Good</v>
      </c>
      <c r="W2135" s="4"/>
      <c r="X2135" s="4"/>
      <c r="AJ2135" s="4"/>
    </row>
    <row r="2136" spans="1:36">
      <c r="A2136" t="str">
        <f t="shared" si="166"/>
        <v>Nami482135</v>
      </c>
      <c r="B2136">
        <v>2135</v>
      </c>
      <c r="C2136">
        <v>7</v>
      </c>
      <c r="D2136">
        <v>6</v>
      </c>
      <c r="E2136">
        <v>2023</v>
      </c>
      <c r="F2136" s="1">
        <f t="shared" si="167"/>
        <v>45084</v>
      </c>
      <c r="G2136" s="1" t="s">
        <v>643</v>
      </c>
      <c r="H2136" s="2">
        <v>46612</v>
      </c>
      <c r="I2136" t="s">
        <v>26</v>
      </c>
      <c r="J2136">
        <v>9</v>
      </c>
      <c r="K2136">
        <v>30010.74</v>
      </c>
      <c r="L2136" t="s">
        <v>614</v>
      </c>
      <c r="M2136">
        <v>48</v>
      </c>
      <c r="N2136" t="s">
        <v>61</v>
      </c>
      <c r="O2136" s="3" t="s">
        <v>55</v>
      </c>
      <c r="P2136" t="s">
        <v>117</v>
      </c>
      <c r="Q2136" t="s">
        <v>56</v>
      </c>
      <c r="R2136">
        <v>2</v>
      </c>
      <c r="S2136" t="s">
        <v>34</v>
      </c>
      <c r="T2136" s="4">
        <f t="shared" si="168"/>
        <v>270096.66000000003</v>
      </c>
      <c r="U2136" s="4" t="str">
        <f t="shared" si="169"/>
        <v>Average</v>
      </c>
      <c r="V2136" s="4" t="str">
        <f t="shared" si="170"/>
        <v>Excellent</v>
      </c>
      <c r="W2136" s="4"/>
      <c r="X2136" s="4"/>
      <c r="AJ2136" s="4"/>
    </row>
    <row r="2137" spans="1:36">
      <c r="A2137" t="str">
        <f t="shared" si="166"/>
        <v>Kira422136</v>
      </c>
      <c r="B2137">
        <v>2136</v>
      </c>
      <c r="C2137">
        <v>7</v>
      </c>
      <c r="D2137">
        <v>6</v>
      </c>
      <c r="E2137">
        <v>2023</v>
      </c>
      <c r="F2137" s="1">
        <f t="shared" si="167"/>
        <v>45084</v>
      </c>
      <c r="G2137" s="1" t="s">
        <v>643</v>
      </c>
      <c r="H2137" s="2">
        <v>46613</v>
      </c>
      <c r="I2137" t="s">
        <v>38</v>
      </c>
      <c r="J2137">
        <v>7</v>
      </c>
      <c r="K2137">
        <v>23138.21</v>
      </c>
      <c r="L2137" t="s">
        <v>973</v>
      </c>
      <c r="M2137">
        <v>42</v>
      </c>
      <c r="N2137" t="s">
        <v>21</v>
      </c>
      <c r="O2137" s="3" t="s">
        <v>22</v>
      </c>
      <c r="P2137" t="s">
        <v>70</v>
      </c>
      <c r="Q2137" t="s">
        <v>56</v>
      </c>
      <c r="R2137">
        <v>4</v>
      </c>
      <c r="S2137" t="s">
        <v>42</v>
      </c>
      <c r="T2137" s="4">
        <f t="shared" si="168"/>
        <v>161967.47</v>
      </c>
      <c r="U2137" s="4" t="str">
        <f t="shared" si="169"/>
        <v>Good</v>
      </c>
      <c r="V2137" s="4" t="str">
        <f t="shared" si="170"/>
        <v>Good</v>
      </c>
      <c r="W2137" s="4"/>
      <c r="X2137" s="4"/>
      <c r="AJ2137" s="4"/>
    </row>
    <row r="2138" spans="1:36">
      <c r="A2138" t="str">
        <f t="shared" si="166"/>
        <v>Suni212137</v>
      </c>
      <c r="B2138">
        <v>2137</v>
      </c>
      <c r="C2138">
        <v>8</v>
      </c>
      <c r="D2138">
        <v>6</v>
      </c>
      <c r="E2138">
        <v>2023</v>
      </c>
      <c r="F2138" s="1">
        <f t="shared" si="167"/>
        <v>45085</v>
      </c>
      <c r="G2138" s="1" t="s">
        <v>643</v>
      </c>
      <c r="H2138" s="2">
        <v>46614</v>
      </c>
      <c r="I2138" t="s">
        <v>43</v>
      </c>
      <c r="J2138">
        <v>7</v>
      </c>
      <c r="K2138">
        <v>39792.99</v>
      </c>
      <c r="L2138" t="s">
        <v>884</v>
      </c>
      <c r="M2138">
        <v>21</v>
      </c>
      <c r="N2138" t="s">
        <v>36</v>
      </c>
      <c r="O2138" s="3" t="s">
        <v>55</v>
      </c>
      <c r="P2138" t="s">
        <v>64</v>
      </c>
      <c r="Q2138" t="s">
        <v>56</v>
      </c>
      <c r="R2138">
        <v>1</v>
      </c>
      <c r="S2138" t="s">
        <v>95</v>
      </c>
      <c r="T2138" s="4">
        <f t="shared" si="168"/>
        <v>278550.93</v>
      </c>
      <c r="U2138" s="4" t="str">
        <f t="shared" si="169"/>
        <v>Average</v>
      </c>
      <c r="V2138" s="4" t="str">
        <f t="shared" si="170"/>
        <v>Excellent</v>
      </c>
      <c r="W2138" s="4"/>
      <c r="X2138" s="4"/>
      <c r="AJ2138" s="4"/>
    </row>
    <row r="2139" spans="1:36">
      <c r="A2139" t="str">
        <f t="shared" si="166"/>
        <v>Anit302138</v>
      </c>
      <c r="B2139">
        <v>2138</v>
      </c>
      <c r="C2139">
        <v>8</v>
      </c>
      <c r="D2139">
        <v>6</v>
      </c>
      <c r="E2139">
        <v>2023</v>
      </c>
      <c r="F2139" s="1">
        <f t="shared" si="167"/>
        <v>45085</v>
      </c>
      <c r="G2139" s="1" t="s">
        <v>643</v>
      </c>
      <c r="H2139" s="2">
        <v>46615</v>
      </c>
      <c r="I2139" t="s">
        <v>49</v>
      </c>
      <c r="J2139">
        <v>1</v>
      </c>
      <c r="K2139">
        <v>26619.87</v>
      </c>
      <c r="L2139" t="s">
        <v>291</v>
      </c>
      <c r="M2139">
        <v>30</v>
      </c>
      <c r="N2139" t="s">
        <v>36</v>
      </c>
      <c r="O2139" s="3" t="s">
        <v>22</v>
      </c>
      <c r="P2139" t="s">
        <v>40</v>
      </c>
      <c r="Q2139" t="s">
        <v>56</v>
      </c>
      <c r="R2139">
        <v>4</v>
      </c>
      <c r="S2139" t="s">
        <v>102</v>
      </c>
      <c r="T2139" s="4">
        <f t="shared" si="168"/>
        <v>26619.87</v>
      </c>
      <c r="U2139" s="4" t="str">
        <f t="shared" si="169"/>
        <v>Good</v>
      </c>
      <c r="V2139" s="4" t="str">
        <f t="shared" si="170"/>
        <v>Low</v>
      </c>
      <c r="W2139" s="4"/>
      <c r="X2139" s="4"/>
      <c r="AJ2139" s="4"/>
    </row>
    <row r="2140" spans="1:36">
      <c r="A2140" t="str">
        <f t="shared" si="166"/>
        <v>Isha532139</v>
      </c>
      <c r="B2140">
        <v>2139</v>
      </c>
      <c r="C2140">
        <v>8</v>
      </c>
      <c r="D2140">
        <v>6</v>
      </c>
      <c r="E2140">
        <v>2023</v>
      </c>
      <c r="F2140" s="1">
        <f t="shared" si="167"/>
        <v>45085</v>
      </c>
      <c r="G2140" s="1" t="s">
        <v>643</v>
      </c>
      <c r="H2140" s="2">
        <v>46616</v>
      </c>
      <c r="I2140" t="s">
        <v>49</v>
      </c>
      <c r="J2140">
        <v>6</v>
      </c>
      <c r="K2140">
        <v>42094.25</v>
      </c>
      <c r="L2140" t="s">
        <v>708</v>
      </c>
      <c r="M2140">
        <v>53</v>
      </c>
      <c r="N2140" t="s">
        <v>61</v>
      </c>
      <c r="O2140" s="3" t="s">
        <v>22</v>
      </c>
      <c r="P2140" t="s">
        <v>23</v>
      </c>
      <c r="Q2140" t="s">
        <v>24</v>
      </c>
      <c r="R2140">
        <v>4</v>
      </c>
      <c r="S2140" t="s">
        <v>102</v>
      </c>
      <c r="T2140" s="4">
        <f t="shared" si="168"/>
        <v>252565.5</v>
      </c>
      <c r="U2140" s="4" t="str">
        <f t="shared" si="169"/>
        <v>Good</v>
      </c>
      <c r="V2140" s="4" t="str">
        <f t="shared" si="170"/>
        <v>Excellent</v>
      </c>
      <c r="W2140" s="4"/>
      <c r="X2140" s="4"/>
      <c r="AJ2140" s="4"/>
    </row>
    <row r="2141" spans="1:36">
      <c r="A2141" t="str">
        <f t="shared" si="166"/>
        <v>Hari592140</v>
      </c>
      <c r="B2141">
        <v>2140</v>
      </c>
      <c r="C2141">
        <v>8</v>
      </c>
      <c r="D2141">
        <v>6</v>
      </c>
      <c r="E2141">
        <v>2023</v>
      </c>
      <c r="F2141" s="1">
        <f t="shared" si="167"/>
        <v>45085</v>
      </c>
      <c r="G2141" s="1" t="s">
        <v>643</v>
      </c>
      <c r="H2141" s="2">
        <v>46617</v>
      </c>
      <c r="I2141" t="s">
        <v>43</v>
      </c>
      <c r="J2141">
        <v>7</v>
      </c>
      <c r="K2141">
        <v>30910.55</v>
      </c>
      <c r="L2141" t="s">
        <v>974</v>
      </c>
      <c r="M2141">
        <v>59</v>
      </c>
      <c r="N2141" t="s">
        <v>61</v>
      </c>
      <c r="O2141" s="3" t="s">
        <v>22</v>
      </c>
      <c r="P2141" t="s">
        <v>132</v>
      </c>
      <c r="Q2141" t="s">
        <v>30</v>
      </c>
      <c r="R2141">
        <v>4</v>
      </c>
      <c r="S2141" t="s">
        <v>95</v>
      </c>
      <c r="T2141" s="4">
        <f t="shared" si="168"/>
        <v>216373.85</v>
      </c>
      <c r="U2141" s="4" t="str">
        <f t="shared" si="169"/>
        <v>Good</v>
      </c>
      <c r="V2141" s="4" t="str">
        <f t="shared" si="170"/>
        <v>Excellent</v>
      </c>
      <c r="W2141" s="4"/>
      <c r="X2141" s="4"/>
      <c r="AJ2141" s="4"/>
    </row>
    <row r="2142" spans="1:36">
      <c r="A2142" t="str">
        <f t="shared" si="166"/>
        <v>Arun542141</v>
      </c>
      <c r="B2142">
        <v>2141</v>
      </c>
      <c r="C2142">
        <v>9</v>
      </c>
      <c r="D2142">
        <v>6</v>
      </c>
      <c r="E2142">
        <v>2023</v>
      </c>
      <c r="F2142" s="1">
        <f t="shared" si="167"/>
        <v>45086</v>
      </c>
      <c r="G2142" s="1" t="s">
        <v>643</v>
      </c>
      <c r="H2142" s="2">
        <v>46618</v>
      </c>
      <c r="I2142" t="s">
        <v>49</v>
      </c>
      <c r="J2142">
        <v>6</v>
      </c>
      <c r="K2142">
        <v>17924.009999999998</v>
      </c>
      <c r="L2142" t="s">
        <v>917</v>
      </c>
      <c r="M2142">
        <v>54</v>
      </c>
      <c r="N2142" t="s">
        <v>61</v>
      </c>
      <c r="O2142" s="3" t="s">
        <v>22</v>
      </c>
      <c r="P2142" t="s">
        <v>33</v>
      </c>
      <c r="Q2142" t="s">
        <v>56</v>
      </c>
      <c r="R2142">
        <v>5</v>
      </c>
      <c r="S2142" t="s">
        <v>88</v>
      </c>
      <c r="T2142" s="4">
        <f t="shared" si="168"/>
        <v>107544.06</v>
      </c>
      <c r="U2142" s="4" t="str">
        <f t="shared" si="169"/>
        <v>Good</v>
      </c>
      <c r="V2142" s="4" t="str">
        <f t="shared" si="170"/>
        <v>Good</v>
      </c>
      <c r="W2142" s="4"/>
      <c r="X2142" s="4"/>
      <c r="AJ2142" s="4"/>
    </row>
    <row r="2143" spans="1:36">
      <c r="A2143" t="str">
        <f t="shared" si="166"/>
        <v>Priy202142</v>
      </c>
      <c r="B2143">
        <v>2142</v>
      </c>
      <c r="C2143">
        <v>9</v>
      </c>
      <c r="D2143">
        <v>6</v>
      </c>
      <c r="E2143">
        <v>2023</v>
      </c>
      <c r="F2143" s="1">
        <f t="shared" si="167"/>
        <v>45086</v>
      </c>
      <c r="G2143" s="1" t="s">
        <v>643</v>
      </c>
      <c r="H2143" s="2">
        <v>46619</v>
      </c>
      <c r="I2143" t="s">
        <v>43</v>
      </c>
      <c r="J2143">
        <v>6</v>
      </c>
      <c r="K2143">
        <v>25953.71</v>
      </c>
      <c r="L2143" t="s">
        <v>354</v>
      </c>
      <c r="M2143">
        <v>20</v>
      </c>
      <c r="N2143" t="s">
        <v>36</v>
      </c>
      <c r="O2143" s="3" t="s">
        <v>22</v>
      </c>
      <c r="P2143" t="s">
        <v>66</v>
      </c>
      <c r="Q2143" t="s">
        <v>24</v>
      </c>
      <c r="R2143">
        <v>4</v>
      </c>
      <c r="S2143" t="s">
        <v>46</v>
      </c>
      <c r="T2143" s="4">
        <f t="shared" si="168"/>
        <v>155722.26</v>
      </c>
      <c r="U2143" s="4" t="str">
        <f t="shared" si="169"/>
        <v>Good</v>
      </c>
      <c r="V2143" s="4" t="str">
        <f t="shared" si="170"/>
        <v>Good</v>
      </c>
      <c r="W2143" s="4"/>
      <c r="X2143" s="4"/>
      <c r="AJ2143" s="4"/>
    </row>
    <row r="2144" spans="1:36">
      <c r="A2144" t="str">
        <f t="shared" si="166"/>
        <v>Raje332143</v>
      </c>
      <c r="B2144">
        <v>2143</v>
      </c>
      <c r="C2144">
        <v>9</v>
      </c>
      <c r="D2144">
        <v>6</v>
      </c>
      <c r="E2144">
        <v>2023</v>
      </c>
      <c r="F2144" s="1">
        <f t="shared" si="167"/>
        <v>45086</v>
      </c>
      <c r="G2144" s="1" t="s">
        <v>643</v>
      </c>
      <c r="H2144" s="2">
        <v>46620</v>
      </c>
      <c r="I2144" t="s">
        <v>38</v>
      </c>
      <c r="J2144">
        <v>2</v>
      </c>
      <c r="K2144">
        <v>36306.39</v>
      </c>
      <c r="L2144" t="s">
        <v>100</v>
      </c>
      <c r="M2144">
        <v>33</v>
      </c>
      <c r="N2144" t="s">
        <v>21</v>
      </c>
      <c r="O2144" s="3" t="s">
        <v>22</v>
      </c>
      <c r="P2144" t="s">
        <v>33</v>
      </c>
      <c r="Q2144" t="s">
        <v>24</v>
      </c>
      <c r="R2144">
        <v>4</v>
      </c>
      <c r="S2144" t="s">
        <v>42</v>
      </c>
      <c r="T2144" s="4">
        <f t="shared" si="168"/>
        <v>72612.78</v>
      </c>
      <c r="U2144" s="4" t="str">
        <f t="shared" si="169"/>
        <v>Good</v>
      </c>
      <c r="V2144" s="4" t="str">
        <f t="shared" si="170"/>
        <v>Average</v>
      </c>
      <c r="W2144" s="4"/>
      <c r="X2144" s="4"/>
      <c r="AJ2144" s="4"/>
    </row>
    <row r="2145" spans="1:36">
      <c r="A2145" t="str">
        <f t="shared" si="166"/>
        <v>Sach432144</v>
      </c>
      <c r="B2145">
        <v>2144</v>
      </c>
      <c r="C2145">
        <v>9</v>
      </c>
      <c r="D2145">
        <v>6</v>
      </c>
      <c r="E2145">
        <v>2023</v>
      </c>
      <c r="F2145" s="1">
        <f t="shared" si="167"/>
        <v>45086</v>
      </c>
      <c r="G2145" s="1" t="s">
        <v>643</v>
      </c>
      <c r="H2145" s="2">
        <v>46621</v>
      </c>
      <c r="I2145" t="s">
        <v>26</v>
      </c>
      <c r="J2145">
        <v>6</v>
      </c>
      <c r="K2145">
        <v>11817.59</v>
      </c>
      <c r="L2145" t="s">
        <v>242</v>
      </c>
      <c r="M2145">
        <v>43</v>
      </c>
      <c r="N2145" t="s">
        <v>21</v>
      </c>
      <c r="O2145" s="3" t="s">
        <v>55</v>
      </c>
      <c r="P2145" t="s">
        <v>117</v>
      </c>
      <c r="Q2145" t="s">
        <v>24</v>
      </c>
      <c r="R2145">
        <v>2</v>
      </c>
      <c r="S2145" t="s">
        <v>31</v>
      </c>
      <c r="T2145" s="4">
        <f t="shared" si="168"/>
        <v>70905.540000000008</v>
      </c>
      <c r="U2145" s="4" t="str">
        <f t="shared" si="169"/>
        <v>Average</v>
      </c>
      <c r="V2145" s="4" t="str">
        <f t="shared" si="170"/>
        <v>Average</v>
      </c>
      <c r="W2145" s="4"/>
      <c r="X2145" s="4"/>
      <c r="AJ2145" s="4"/>
    </row>
    <row r="2146" spans="1:36">
      <c r="A2146" t="str">
        <f t="shared" si="166"/>
        <v>Moni572145</v>
      </c>
      <c r="B2146">
        <v>2145</v>
      </c>
      <c r="C2146">
        <v>10</v>
      </c>
      <c r="D2146">
        <v>6</v>
      </c>
      <c r="E2146">
        <v>2023</v>
      </c>
      <c r="F2146" s="1">
        <f t="shared" si="167"/>
        <v>45087</v>
      </c>
      <c r="G2146" s="1" t="s">
        <v>643</v>
      </c>
      <c r="H2146" s="2">
        <v>46622</v>
      </c>
      <c r="I2146" t="s">
        <v>43</v>
      </c>
      <c r="J2146">
        <v>4</v>
      </c>
      <c r="K2146">
        <v>56238.55</v>
      </c>
      <c r="L2146" t="s">
        <v>688</v>
      </c>
      <c r="M2146">
        <v>57</v>
      </c>
      <c r="N2146" t="s">
        <v>61</v>
      </c>
      <c r="O2146" s="3" t="s">
        <v>22</v>
      </c>
      <c r="P2146" t="s">
        <v>33</v>
      </c>
      <c r="Q2146" t="s">
        <v>30</v>
      </c>
      <c r="R2146">
        <v>4</v>
      </c>
      <c r="S2146" t="s">
        <v>57</v>
      </c>
      <c r="T2146" s="4">
        <f t="shared" si="168"/>
        <v>224954.2</v>
      </c>
      <c r="U2146" s="4" t="str">
        <f t="shared" si="169"/>
        <v>Good</v>
      </c>
      <c r="V2146" s="4" t="str">
        <f t="shared" si="170"/>
        <v>Excellent</v>
      </c>
      <c r="W2146" s="4"/>
      <c r="X2146" s="4"/>
      <c r="AJ2146" s="4"/>
    </row>
    <row r="2147" spans="1:36">
      <c r="A2147" t="str">
        <f t="shared" si="166"/>
        <v>Raje562146</v>
      </c>
      <c r="B2147">
        <v>2146</v>
      </c>
      <c r="C2147">
        <v>10</v>
      </c>
      <c r="D2147">
        <v>6</v>
      </c>
      <c r="E2147">
        <v>2023</v>
      </c>
      <c r="F2147" s="1">
        <f t="shared" si="167"/>
        <v>45087</v>
      </c>
      <c r="G2147" s="1" t="s">
        <v>643</v>
      </c>
      <c r="H2147" s="2">
        <v>46623</v>
      </c>
      <c r="I2147" t="s">
        <v>19</v>
      </c>
      <c r="J2147">
        <v>9</v>
      </c>
      <c r="K2147">
        <v>47309.47</v>
      </c>
      <c r="L2147" t="s">
        <v>160</v>
      </c>
      <c r="M2147">
        <v>56</v>
      </c>
      <c r="N2147" t="s">
        <v>61</v>
      </c>
      <c r="O2147" s="3" t="s">
        <v>55</v>
      </c>
      <c r="P2147" t="s">
        <v>29</v>
      </c>
      <c r="Q2147" t="s">
        <v>41</v>
      </c>
      <c r="R2147">
        <v>1</v>
      </c>
      <c r="S2147" t="s">
        <v>37</v>
      </c>
      <c r="T2147" s="4">
        <f t="shared" si="168"/>
        <v>425785.23</v>
      </c>
      <c r="U2147" s="4" t="str">
        <f t="shared" si="169"/>
        <v>Average</v>
      </c>
      <c r="V2147" s="4" t="str">
        <f t="shared" si="170"/>
        <v>Excellent</v>
      </c>
      <c r="W2147" s="4"/>
      <c r="X2147" s="4"/>
      <c r="AJ2147" s="4"/>
    </row>
    <row r="2148" spans="1:36">
      <c r="A2148" t="str">
        <f t="shared" si="166"/>
        <v>Mala362147</v>
      </c>
      <c r="B2148">
        <v>2147</v>
      </c>
      <c r="C2148">
        <v>10</v>
      </c>
      <c r="D2148">
        <v>6</v>
      </c>
      <c r="E2148">
        <v>2023</v>
      </c>
      <c r="F2148" s="1">
        <f t="shared" si="167"/>
        <v>45087</v>
      </c>
      <c r="G2148" s="1" t="s">
        <v>643</v>
      </c>
      <c r="H2148" s="2">
        <v>46624</v>
      </c>
      <c r="I2148" t="s">
        <v>43</v>
      </c>
      <c r="J2148">
        <v>1</v>
      </c>
      <c r="K2148">
        <v>46081.58</v>
      </c>
      <c r="L2148" t="s">
        <v>794</v>
      </c>
      <c r="M2148">
        <v>36</v>
      </c>
      <c r="N2148" t="s">
        <v>21</v>
      </c>
      <c r="O2148" s="3" t="s">
        <v>22</v>
      </c>
      <c r="P2148" t="s">
        <v>70</v>
      </c>
      <c r="Q2148" t="s">
        <v>24</v>
      </c>
      <c r="R2148">
        <v>4</v>
      </c>
      <c r="S2148" t="s">
        <v>95</v>
      </c>
      <c r="T2148" s="4">
        <f t="shared" si="168"/>
        <v>46081.58</v>
      </c>
      <c r="U2148" s="4" t="str">
        <f t="shared" si="169"/>
        <v>Good</v>
      </c>
      <c r="V2148" s="4" t="str">
        <f t="shared" si="170"/>
        <v>Low</v>
      </c>
      <c r="W2148" s="4"/>
      <c r="X2148" s="4"/>
      <c r="AJ2148" s="4"/>
    </row>
    <row r="2149" spans="1:36">
      <c r="A2149" t="str">
        <f t="shared" si="166"/>
        <v>Roha322148</v>
      </c>
      <c r="B2149">
        <v>2148</v>
      </c>
      <c r="C2149">
        <v>10</v>
      </c>
      <c r="D2149">
        <v>6</v>
      </c>
      <c r="E2149">
        <v>2023</v>
      </c>
      <c r="F2149" s="1">
        <f t="shared" si="167"/>
        <v>45087</v>
      </c>
      <c r="G2149" s="1" t="s">
        <v>643</v>
      </c>
      <c r="H2149" s="2">
        <v>46625</v>
      </c>
      <c r="I2149" t="s">
        <v>49</v>
      </c>
      <c r="J2149">
        <v>8</v>
      </c>
      <c r="K2149">
        <v>42763</v>
      </c>
      <c r="L2149" t="s">
        <v>516</v>
      </c>
      <c r="M2149">
        <v>32</v>
      </c>
      <c r="N2149" t="s">
        <v>21</v>
      </c>
      <c r="O2149" s="3" t="s">
        <v>55</v>
      </c>
      <c r="P2149" t="s">
        <v>29</v>
      </c>
      <c r="Q2149" t="s">
        <v>24</v>
      </c>
      <c r="R2149">
        <v>1</v>
      </c>
      <c r="S2149" t="s">
        <v>102</v>
      </c>
      <c r="T2149" s="4">
        <f t="shared" si="168"/>
        <v>342104</v>
      </c>
      <c r="U2149" s="4" t="str">
        <f t="shared" si="169"/>
        <v>Average</v>
      </c>
      <c r="V2149" s="4" t="str">
        <f t="shared" si="170"/>
        <v>Excellent</v>
      </c>
      <c r="W2149" s="4"/>
      <c r="X2149" s="4"/>
      <c r="AJ2149" s="4"/>
    </row>
    <row r="2150" spans="1:36">
      <c r="A2150" t="str">
        <f t="shared" si="166"/>
        <v>Tapa492149</v>
      </c>
      <c r="B2150">
        <v>2149</v>
      </c>
      <c r="C2150">
        <v>11</v>
      </c>
      <c r="D2150">
        <v>6</v>
      </c>
      <c r="E2150">
        <v>2023</v>
      </c>
      <c r="F2150" s="1">
        <f t="shared" si="167"/>
        <v>45088</v>
      </c>
      <c r="G2150" s="1" t="s">
        <v>643</v>
      </c>
      <c r="H2150" s="2">
        <v>46626</v>
      </c>
      <c r="I2150" t="s">
        <v>38</v>
      </c>
      <c r="J2150">
        <v>5</v>
      </c>
      <c r="K2150">
        <v>45418.79</v>
      </c>
      <c r="L2150" t="s">
        <v>745</v>
      </c>
      <c r="M2150">
        <v>49</v>
      </c>
      <c r="N2150" t="s">
        <v>61</v>
      </c>
      <c r="O2150" s="3" t="s">
        <v>22</v>
      </c>
      <c r="P2150" t="s">
        <v>64</v>
      </c>
      <c r="Q2150" t="s">
        <v>24</v>
      </c>
      <c r="R2150">
        <v>5</v>
      </c>
      <c r="S2150" t="s">
        <v>48</v>
      </c>
      <c r="T2150" s="4">
        <f t="shared" si="168"/>
        <v>227093.95</v>
      </c>
      <c r="U2150" s="4" t="str">
        <f t="shared" si="169"/>
        <v>Good</v>
      </c>
      <c r="V2150" s="4" t="str">
        <f t="shared" si="170"/>
        <v>Excellent</v>
      </c>
      <c r="W2150" s="4"/>
      <c r="X2150" s="4"/>
      <c r="AJ2150" s="4"/>
    </row>
    <row r="2151" spans="1:36">
      <c r="A2151" t="str">
        <f t="shared" si="166"/>
        <v>Vive382150</v>
      </c>
      <c r="B2151">
        <v>2150</v>
      </c>
      <c r="C2151">
        <v>11</v>
      </c>
      <c r="D2151">
        <v>6</v>
      </c>
      <c r="E2151">
        <v>2023</v>
      </c>
      <c r="F2151" s="1">
        <f t="shared" si="167"/>
        <v>45088</v>
      </c>
      <c r="G2151" s="1" t="s">
        <v>643</v>
      </c>
      <c r="H2151" s="2">
        <v>46627</v>
      </c>
      <c r="I2151" t="s">
        <v>38</v>
      </c>
      <c r="J2151">
        <v>1</v>
      </c>
      <c r="K2151">
        <v>66079.12</v>
      </c>
      <c r="L2151" t="s">
        <v>365</v>
      </c>
      <c r="M2151">
        <v>38</v>
      </c>
      <c r="N2151" t="s">
        <v>21</v>
      </c>
      <c r="O2151" s="3" t="s">
        <v>22</v>
      </c>
      <c r="P2151" t="s">
        <v>29</v>
      </c>
      <c r="Q2151" t="s">
        <v>30</v>
      </c>
      <c r="R2151">
        <v>5</v>
      </c>
      <c r="S2151" t="s">
        <v>42</v>
      </c>
      <c r="T2151" s="4">
        <f t="shared" si="168"/>
        <v>66079.12</v>
      </c>
      <c r="U2151" s="4" t="str">
        <f t="shared" si="169"/>
        <v>Good</v>
      </c>
      <c r="V2151" s="4" t="str">
        <f t="shared" si="170"/>
        <v>Average</v>
      </c>
      <c r="W2151" s="4"/>
      <c r="X2151" s="4"/>
      <c r="AJ2151" s="4"/>
    </row>
    <row r="2152" spans="1:36">
      <c r="A2152" t="str">
        <f t="shared" si="166"/>
        <v>Pank182151</v>
      </c>
      <c r="B2152">
        <v>2151</v>
      </c>
      <c r="C2152">
        <v>11</v>
      </c>
      <c r="D2152">
        <v>6</v>
      </c>
      <c r="E2152">
        <v>2023</v>
      </c>
      <c r="F2152" s="1">
        <f t="shared" si="167"/>
        <v>45088</v>
      </c>
      <c r="G2152" s="1" t="s">
        <v>643</v>
      </c>
      <c r="H2152" s="2">
        <v>46628</v>
      </c>
      <c r="I2152" t="s">
        <v>43</v>
      </c>
      <c r="J2152">
        <v>4</v>
      </c>
      <c r="K2152">
        <v>10514.15</v>
      </c>
      <c r="L2152" t="s">
        <v>512</v>
      </c>
      <c r="M2152">
        <v>18</v>
      </c>
      <c r="N2152" t="s">
        <v>36</v>
      </c>
      <c r="O2152" s="3" t="s">
        <v>55</v>
      </c>
      <c r="P2152" t="s">
        <v>70</v>
      </c>
      <c r="Q2152" t="s">
        <v>56</v>
      </c>
      <c r="R2152">
        <v>2</v>
      </c>
      <c r="S2152" t="s">
        <v>95</v>
      </c>
      <c r="T2152" s="4">
        <f t="shared" si="168"/>
        <v>42056.6</v>
      </c>
      <c r="U2152" s="4" t="str">
        <f t="shared" si="169"/>
        <v>Average</v>
      </c>
      <c r="V2152" s="4" t="str">
        <f t="shared" si="170"/>
        <v>Low</v>
      </c>
      <c r="W2152" s="4"/>
      <c r="X2152" s="4"/>
      <c r="AJ2152" s="4"/>
    </row>
    <row r="2153" spans="1:36">
      <c r="A2153" t="str">
        <f t="shared" si="166"/>
        <v>Adit232152</v>
      </c>
      <c r="B2153">
        <v>2152</v>
      </c>
      <c r="C2153">
        <v>12</v>
      </c>
      <c r="D2153">
        <v>6</v>
      </c>
      <c r="E2153">
        <v>2023</v>
      </c>
      <c r="F2153" s="1">
        <f t="shared" si="167"/>
        <v>45089</v>
      </c>
      <c r="G2153" s="1" t="s">
        <v>643</v>
      </c>
      <c r="H2153" s="2">
        <v>46629</v>
      </c>
      <c r="I2153" t="s">
        <v>26</v>
      </c>
      <c r="J2153">
        <v>1</v>
      </c>
      <c r="K2153">
        <v>12867.98</v>
      </c>
      <c r="L2153" t="s">
        <v>602</v>
      </c>
      <c r="M2153">
        <v>23</v>
      </c>
      <c r="N2153" t="s">
        <v>36</v>
      </c>
      <c r="O2153" s="3" t="s">
        <v>22</v>
      </c>
      <c r="P2153" t="s">
        <v>77</v>
      </c>
      <c r="Q2153" t="s">
        <v>30</v>
      </c>
      <c r="R2153">
        <v>4</v>
      </c>
      <c r="S2153" t="s">
        <v>67</v>
      </c>
      <c r="T2153" s="4">
        <f t="shared" si="168"/>
        <v>12867.98</v>
      </c>
      <c r="U2153" s="4" t="str">
        <f t="shared" si="169"/>
        <v>Good</v>
      </c>
      <c r="V2153" s="4" t="str">
        <f t="shared" si="170"/>
        <v>Low</v>
      </c>
      <c r="W2153" s="4"/>
      <c r="X2153" s="4"/>
      <c r="AJ2153" s="4"/>
    </row>
    <row r="2154" spans="1:36">
      <c r="A2154" t="str">
        <f t="shared" si="166"/>
        <v>Anit442153</v>
      </c>
      <c r="B2154">
        <v>2153</v>
      </c>
      <c r="C2154">
        <v>12</v>
      </c>
      <c r="D2154">
        <v>6</v>
      </c>
      <c r="E2154">
        <v>2023</v>
      </c>
      <c r="F2154" s="1">
        <f t="shared" si="167"/>
        <v>45089</v>
      </c>
      <c r="G2154" s="1" t="s">
        <v>643</v>
      </c>
      <c r="H2154" s="2">
        <v>46630</v>
      </c>
      <c r="I2154" t="s">
        <v>19</v>
      </c>
      <c r="J2154">
        <v>6</v>
      </c>
      <c r="K2154">
        <v>21489.599999999999</v>
      </c>
      <c r="L2154" t="s">
        <v>168</v>
      </c>
      <c r="M2154">
        <v>44</v>
      </c>
      <c r="N2154" t="s">
        <v>21</v>
      </c>
      <c r="O2154" s="3" t="s">
        <v>55</v>
      </c>
      <c r="P2154" t="s">
        <v>29</v>
      </c>
      <c r="Q2154" t="s">
        <v>24</v>
      </c>
      <c r="R2154">
        <v>2</v>
      </c>
      <c r="S2154" t="s">
        <v>25</v>
      </c>
      <c r="T2154" s="4">
        <f t="shared" si="168"/>
        <v>128937.59999999999</v>
      </c>
      <c r="U2154" s="4" t="str">
        <f t="shared" si="169"/>
        <v>Average</v>
      </c>
      <c r="V2154" s="4" t="str">
        <f t="shared" si="170"/>
        <v>Good</v>
      </c>
      <c r="W2154" s="4"/>
      <c r="X2154" s="4"/>
      <c r="AJ2154" s="4"/>
    </row>
    <row r="2155" spans="1:36">
      <c r="A2155" t="str">
        <f t="shared" si="166"/>
        <v>Anan402154</v>
      </c>
      <c r="B2155">
        <v>2154</v>
      </c>
      <c r="C2155">
        <v>12</v>
      </c>
      <c r="D2155">
        <v>6</v>
      </c>
      <c r="E2155">
        <v>2023</v>
      </c>
      <c r="F2155" s="1">
        <f t="shared" si="167"/>
        <v>45089</v>
      </c>
      <c r="G2155" s="1" t="s">
        <v>643</v>
      </c>
      <c r="H2155" s="2">
        <v>46631</v>
      </c>
      <c r="I2155" t="s">
        <v>38</v>
      </c>
      <c r="J2155">
        <v>2</v>
      </c>
      <c r="K2155">
        <v>20038.080000000002</v>
      </c>
      <c r="L2155" t="s">
        <v>418</v>
      </c>
      <c r="M2155">
        <v>40</v>
      </c>
      <c r="N2155" t="s">
        <v>21</v>
      </c>
      <c r="O2155" s="3" t="s">
        <v>55</v>
      </c>
      <c r="P2155" t="s">
        <v>29</v>
      </c>
      <c r="Q2155" t="s">
        <v>41</v>
      </c>
      <c r="R2155">
        <v>1</v>
      </c>
      <c r="S2155" t="s">
        <v>48</v>
      </c>
      <c r="T2155" s="4">
        <f t="shared" si="168"/>
        <v>40076.160000000003</v>
      </c>
      <c r="U2155" s="4" t="str">
        <f t="shared" si="169"/>
        <v>Average</v>
      </c>
      <c r="V2155" s="4" t="str">
        <f t="shared" si="170"/>
        <v>Low</v>
      </c>
      <c r="W2155" s="4"/>
      <c r="X2155" s="4"/>
      <c r="AJ2155" s="4"/>
    </row>
    <row r="2156" spans="1:36">
      <c r="A2156" t="str">
        <f t="shared" si="166"/>
        <v>Raje482155</v>
      </c>
      <c r="B2156">
        <v>2155</v>
      </c>
      <c r="C2156">
        <v>12</v>
      </c>
      <c r="D2156">
        <v>6</v>
      </c>
      <c r="E2156">
        <v>2023</v>
      </c>
      <c r="F2156" s="1">
        <f t="shared" si="167"/>
        <v>45089</v>
      </c>
      <c r="G2156" s="1" t="s">
        <v>643</v>
      </c>
      <c r="H2156" s="2">
        <v>46632</v>
      </c>
      <c r="I2156" t="s">
        <v>49</v>
      </c>
      <c r="J2156">
        <v>5</v>
      </c>
      <c r="K2156">
        <v>20871.669999999998</v>
      </c>
      <c r="L2156" t="s">
        <v>564</v>
      </c>
      <c r="M2156">
        <v>48</v>
      </c>
      <c r="N2156" t="s">
        <v>61</v>
      </c>
      <c r="O2156" s="3" t="s">
        <v>55</v>
      </c>
      <c r="P2156" t="s">
        <v>64</v>
      </c>
      <c r="Q2156" t="s">
        <v>24</v>
      </c>
      <c r="R2156">
        <v>2</v>
      </c>
      <c r="S2156" t="s">
        <v>52</v>
      </c>
      <c r="T2156" s="4">
        <f t="shared" si="168"/>
        <v>104358.34999999999</v>
      </c>
      <c r="U2156" s="4" t="str">
        <f t="shared" si="169"/>
        <v>Average</v>
      </c>
      <c r="V2156" s="4" t="str">
        <f t="shared" si="170"/>
        <v>Good</v>
      </c>
      <c r="W2156" s="4"/>
      <c r="X2156" s="4"/>
      <c r="AJ2156" s="4"/>
    </row>
    <row r="2157" spans="1:36">
      <c r="A2157" t="str">
        <f t="shared" si="166"/>
        <v>Rame292156</v>
      </c>
      <c r="B2157">
        <v>2156</v>
      </c>
      <c r="C2157">
        <v>13</v>
      </c>
      <c r="D2157">
        <v>6</v>
      </c>
      <c r="E2157">
        <v>2023</v>
      </c>
      <c r="F2157" s="1">
        <f t="shared" si="167"/>
        <v>45090</v>
      </c>
      <c r="G2157" s="1" t="s">
        <v>643</v>
      </c>
      <c r="H2157" s="2">
        <v>46633</v>
      </c>
      <c r="I2157" t="s">
        <v>49</v>
      </c>
      <c r="J2157">
        <v>7</v>
      </c>
      <c r="K2157">
        <v>50316.63</v>
      </c>
      <c r="L2157" t="s">
        <v>975</v>
      </c>
      <c r="M2157">
        <v>29</v>
      </c>
      <c r="N2157" t="s">
        <v>36</v>
      </c>
      <c r="O2157" s="3" t="s">
        <v>55</v>
      </c>
      <c r="P2157" t="s">
        <v>51</v>
      </c>
      <c r="Q2157" t="s">
        <v>56</v>
      </c>
      <c r="R2157">
        <v>1</v>
      </c>
      <c r="S2157" t="s">
        <v>88</v>
      </c>
      <c r="T2157" s="4">
        <f t="shared" si="168"/>
        <v>352216.41</v>
      </c>
      <c r="U2157" s="4" t="str">
        <f t="shared" si="169"/>
        <v>Average</v>
      </c>
      <c r="V2157" s="4" t="str">
        <f t="shared" si="170"/>
        <v>Excellent</v>
      </c>
      <c r="W2157" s="4"/>
      <c r="X2157" s="4"/>
      <c r="AJ2157" s="4"/>
    </row>
    <row r="2158" spans="1:36">
      <c r="A2158" t="str">
        <f t="shared" si="166"/>
        <v>Bina382157</v>
      </c>
      <c r="B2158">
        <v>2157</v>
      </c>
      <c r="C2158">
        <v>13</v>
      </c>
      <c r="D2158">
        <v>6</v>
      </c>
      <c r="E2158">
        <v>2023</v>
      </c>
      <c r="F2158" s="1">
        <f t="shared" si="167"/>
        <v>45090</v>
      </c>
      <c r="G2158" s="1" t="s">
        <v>643</v>
      </c>
      <c r="H2158" s="2">
        <v>46634</v>
      </c>
      <c r="I2158" t="s">
        <v>26</v>
      </c>
      <c r="J2158">
        <v>2</v>
      </c>
      <c r="K2158">
        <v>37569</v>
      </c>
      <c r="L2158" t="s">
        <v>976</v>
      </c>
      <c r="M2158">
        <v>38</v>
      </c>
      <c r="N2158" t="s">
        <v>21</v>
      </c>
      <c r="O2158" s="3" t="s">
        <v>55</v>
      </c>
      <c r="P2158" t="s">
        <v>29</v>
      </c>
      <c r="Q2158" t="s">
        <v>41</v>
      </c>
      <c r="R2158">
        <v>2</v>
      </c>
      <c r="S2158" t="s">
        <v>34</v>
      </c>
      <c r="T2158" s="4">
        <f t="shared" si="168"/>
        <v>75138</v>
      </c>
      <c r="U2158" s="4" t="str">
        <f t="shared" si="169"/>
        <v>Average</v>
      </c>
      <c r="V2158" s="4" t="str">
        <f t="shared" si="170"/>
        <v>Average</v>
      </c>
      <c r="W2158" s="4"/>
      <c r="X2158" s="4"/>
      <c r="AJ2158" s="4"/>
    </row>
    <row r="2159" spans="1:36">
      <c r="A2159" t="str">
        <f t="shared" si="166"/>
        <v>Arun192158</v>
      </c>
      <c r="B2159">
        <v>2158</v>
      </c>
      <c r="C2159">
        <v>13</v>
      </c>
      <c r="D2159">
        <v>6</v>
      </c>
      <c r="E2159">
        <v>2023</v>
      </c>
      <c r="F2159" s="1">
        <f t="shared" si="167"/>
        <v>45090</v>
      </c>
      <c r="G2159" s="1" t="s">
        <v>643</v>
      </c>
      <c r="H2159" s="2">
        <v>46635</v>
      </c>
      <c r="I2159" t="s">
        <v>38</v>
      </c>
      <c r="J2159">
        <v>6</v>
      </c>
      <c r="K2159">
        <v>69506.73</v>
      </c>
      <c r="L2159" t="s">
        <v>63</v>
      </c>
      <c r="M2159">
        <v>19</v>
      </c>
      <c r="N2159" t="s">
        <v>36</v>
      </c>
      <c r="O2159" s="3" t="s">
        <v>22</v>
      </c>
      <c r="P2159" t="s">
        <v>29</v>
      </c>
      <c r="Q2159" t="s">
        <v>41</v>
      </c>
      <c r="R2159">
        <v>5</v>
      </c>
      <c r="S2159" t="s">
        <v>99</v>
      </c>
      <c r="T2159" s="4">
        <f t="shared" si="168"/>
        <v>417040.38</v>
      </c>
      <c r="U2159" s="4" t="str">
        <f t="shared" si="169"/>
        <v>Good</v>
      </c>
      <c r="V2159" s="4" t="str">
        <f t="shared" si="170"/>
        <v>Excellent</v>
      </c>
      <c r="W2159" s="4"/>
      <c r="X2159" s="4"/>
      <c r="AJ2159" s="4"/>
    </row>
    <row r="2160" spans="1:36">
      <c r="A2160" t="str">
        <f t="shared" si="166"/>
        <v>Adit222159</v>
      </c>
      <c r="B2160">
        <v>2159</v>
      </c>
      <c r="C2160">
        <v>13</v>
      </c>
      <c r="D2160">
        <v>6</v>
      </c>
      <c r="E2160">
        <v>2023</v>
      </c>
      <c r="F2160" s="1">
        <f t="shared" si="167"/>
        <v>45090</v>
      </c>
      <c r="G2160" s="1" t="s">
        <v>643</v>
      </c>
      <c r="H2160" s="2">
        <v>46636</v>
      </c>
      <c r="I2160" t="s">
        <v>43</v>
      </c>
      <c r="J2160">
        <v>6</v>
      </c>
      <c r="K2160">
        <v>23613.15</v>
      </c>
      <c r="L2160" t="s">
        <v>642</v>
      </c>
      <c r="M2160">
        <v>22</v>
      </c>
      <c r="N2160" t="s">
        <v>36</v>
      </c>
      <c r="O2160" s="3" t="s">
        <v>22</v>
      </c>
      <c r="P2160" t="s">
        <v>114</v>
      </c>
      <c r="Q2160" t="s">
        <v>30</v>
      </c>
      <c r="R2160">
        <v>4</v>
      </c>
      <c r="S2160" t="s">
        <v>46</v>
      </c>
      <c r="T2160" s="4">
        <f t="shared" si="168"/>
        <v>141678.90000000002</v>
      </c>
      <c r="U2160" s="4" t="str">
        <f t="shared" si="169"/>
        <v>Good</v>
      </c>
      <c r="V2160" s="4" t="str">
        <f t="shared" si="170"/>
        <v>Good</v>
      </c>
      <c r="W2160" s="4"/>
      <c r="X2160" s="4"/>
      <c r="AJ2160" s="4"/>
    </row>
    <row r="2161" spans="1:36">
      <c r="A2161" t="str">
        <f t="shared" si="166"/>
        <v>Deep262160</v>
      </c>
      <c r="B2161">
        <v>2160</v>
      </c>
      <c r="C2161">
        <v>14</v>
      </c>
      <c r="D2161">
        <v>6</v>
      </c>
      <c r="E2161">
        <v>2023</v>
      </c>
      <c r="F2161" s="1">
        <f t="shared" si="167"/>
        <v>45091</v>
      </c>
      <c r="G2161" s="1" t="s">
        <v>643</v>
      </c>
      <c r="H2161" s="2">
        <v>46637</v>
      </c>
      <c r="I2161" t="s">
        <v>49</v>
      </c>
      <c r="J2161">
        <v>5</v>
      </c>
      <c r="K2161">
        <v>28649.81</v>
      </c>
      <c r="L2161" t="s">
        <v>830</v>
      </c>
      <c r="M2161">
        <v>26</v>
      </c>
      <c r="N2161" t="s">
        <v>36</v>
      </c>
      <c r="O2161" s="3" t="s">
        <v>55</v>
      </c>
      <c r="P2161" t="s">
        <v>33</v>
      </c>
      <c r="Q2161" t="s">
        <v>30</v>
      </c>
      <c r="R2161">
        <v>2</v>
      </c>
      <c r="S2161" t="s">
        <v>52</v>
      </c>
      <c r="T2161" s="4">
        <f t="shared" si="168"/>
        <v>143249.05000000002</v>
      </c>
      <c r="U2161" s="4" t="str">
        <f t="shared" si="169"/>
        <v>Average</v>
      </c>
      <c r="V2161" s="4" t="str">
        <f t="shared" si="170"/>
        <v>Good</v>
      </c>
      <c r="W2161" s="4"/>
      <c r="X2161" s="4"/>
      <c r="AJ2161" s="4"/>
    </row>
    <row r="2162" spans="1:36">
      <c r="A2162" t="str">
        <f t="shared" si="166"/>
        <v>Priy372161</v>
      </c>
      <c r="B2162">
        <v>2161</v>
      </c>
      <c r="C2162">
        <v>14</v>
      </c>
      <c r="D2162">
        <v>6</v>
      </c>
      <c r="E2162">
        <v>2023</v>
      </c>
      <c r="F2162" s="1">
        <f t="shared" si="167"/>
        <v>45091</v>
      </c>
      <c r="G2162" s="1" t="s">
        <v>643</v>
      </c>
      <c r="H2162" s="2">
        <v>46638</v>
      </c>
      <c r="I2162" t="s">
        <v>26</v>
      </c>
      <c r="J2162">
        <v>5</v>
      </c>
      <c r="K2162">
        <v>69054.44</v>
      </c>
      <c r="L2162" t="s">
        <v>261</v>
      </c>
      <c r="M2162">
        <v>37</v>
      </c>
      <c r="N2162" t="s">
        <v>21</v>
      </c>
      <c r="O2162" s="3" t="s">
        <v>55</v>
      </c>
      <c r="P2162" t="s">
        <v>93</v>
      </c>
      <c r="Q2162" t="s">
        <v>56</v>
      </c>
      <c r="R2162">
        <v>1</v>
      </c>
      <c r="S2162" t="s">
        <v>67</v>
      </c>
      <c r="T2162" s="4">
        <f t="shared" si="168"/>
        <v>345272.2</v>
      </c>
      <c r="U2162" s="4" t="str">
        <f t="shared" si="169"/>
        <v>Average</v>
      </c>
      <c r="V2162" s="4" t="str">
        <f t="shared" si="170"/>
        <v>Excellent</v>
      </c>
      <c r="W2162" s="4"/>
      <c r="X2162" s="4"/>
      <c r="AJ2162" s="4"/>
    </row>
    <row r="2163" spans="1:36">
      <c r="A2163" t="str">
        <f t="shared" si="166"/>
        <v>Ravi352162</v>
      </c>
      <c r="B2163">
        <v>2162</v>
      </c>
      <c r="C2163">
        <v>14</v>
      </c>
      <c r="D2163">
        <v>6</v>
      </c>
      <c r="E2163">
        <v>2023</v>
      </c>
      <c r="F2163" s="1">
        <f t="shared" si="167"/>
        <v>45091</v>
      </c>
      <c r="G2163" s="1" t="s">
        <v>643</v>
      </c>
      <c r="H2163" s="2">
        <v>46639</v>
      </c>
      <c r="I2163" t="s">
        <v>38</v>
      </c>
      <c r="J2163">
        <v>3</v>
      </c>
      <c r="K2163">
        <v>59905.49</v>
      </c>
      <c r="L2163" t="s">
        <v>977</v>
      </c>
      <c r="M2163">
        <v>35</v>
      </c>
      <c r="N2163" t="s">
        <v>21</v>
      </c>
      <c r="O2163" s="3" t="s">
        <v>22</v>
      </c>
      <c r="P2163" t="s">
        <v>33</v>
      </c>
      <c r="Q2163" t="s">
        <v>30</v>
      </c>
      <c r="R2163">
        <v>4</v>
      </c>
      <c r="S2163" t="s">
        <v>48</v>
      </c>
      <c r="T2163" s="4">
        <f t="shared" si="168"/>
        <v>179716.47</v>
      </c>
      <c r="U2163" s="4" t="str">
        <f t="shared" si="169"/>
        <v>Good</v>
      </c>
      <c r="V2163" s="4" t="str">
        <f t="shared" si="170"/>
        <v>Good</v>
      </c>
      <c r="W2163" s="4"/>
      <c r="X2163" s="4"/>
      <c r="AJ2163" s="4"/>
    </row>
    <row r="2164" spans="1:36">
      <c r="A2164" t="str">
        <f t="shared" si="166"/>
        <v>Amit392163</v>
      </c>
      <c r="B2164">
        <v>2163</v>
      </c>
      <c r="C2164">
        <v>14</v>
      </c>
      <c r="D2164">
        <v>6</v>
      </c>
      <c r="E2164">
        <v>2023</v>
      </c>
      <c r="F2164" s="1">
        <f t="shared" si="167"/>
        <v>45091</v>
      </c>
      <c r="G2164" s="1" t="s">
        <v>643</v>
      </c>
      <c r="H2164" s="2">
        <v>46640</v>
      </c>
      <c r="I2164" t="s">
        <v>38</v>
      </c>
      <c r="J2164">
        <v>2</v>
      </c>
      <c r="K2164">
        <v>38187.949999999997</v>
      </c>
      <c r="L2164" t="s">
        <v>296</v>
      </c>
      <c r="M2164">
        <v>39</v>
      </c>
      <c r="N2164" t="s">
        <v>21</v>
      </c>
      <c r="O2164" s="3" t="s">
        <v>22</v>
      </c>
      <c r="P2164" t="s">
        <v>137</v>
      </c>
      <c r="Q2164" t="s">
        <v>56</v>
      </c>
      <c r="R2164">
        <v>5</v>
      </c>
      <c r="S2164" t="s">
        <v>99</v>
      </c>
      <c r="T2164" s="4">
        <f t="shared" si="168"/>
        <v>76375.899999999994</v>
      </c>
      <c r="U2164" s="4" t="str">
        <f t="shared" si="169"/>
        <v>Good</v>
      </c>
      <c r="V2164" s="4" t="str">
        <f t="shared" si="170"/>
        <v>Average</v>
      </c>
      <c r="W2164" s="4"/>
      <c r="X2164" s="4"/>
      <c r="AJ2164" s="4"/>
    </row>
    <row r="2165" spans="1:36">
      <c r="A2165" t="str">
        <f t="shared" si="166"/>
        <v>Vija252164</v>
      </c>
      <c r="B2165">
        <v>2164</v>
      </c>
      <c r="C2165">
        <v>15</v>
      </c>
      <c r="D2165">
        <v>6</v>
      </c>
      <c r="E2165">
        <v>2023</v>
      </c>
      <c r="F2165" s="1">
        <f t="shared" si="167"/>
        <v>45092</v>
      </c>
      <c r="G2165" s="1" t="s">
        <v>643</v>
      </c>
      <c r="H2165" s="2">
        <v>46641</v>
      </c>
      <c r="I2165" t="s">
        <v>38</v>
      </c>
      <c r="J2165">
        <v>7</v>
      </c>
      <c r="K2165">
        <v>43275.81</v>
      </c>
      <c r="L2165" t="s">
        <v>507</v>
      </c>
      <c r="M2165">
        <v>25</v>
      </c>
      <c r="N2165" t="s">
        <v>36</v>
      </c>
      <c r="O2165" s="3" t="s">
        <v>22</v>
      </c>
      <c r="P2165" t="s">
        <v>29</v>
      </c>
      <c r="Q2165" t="s">
        <v>41</v>
      </c>
      <c r="R2165">
        <v>5</v>
      </c>
      <c r="S2165" t="s">
        <v>42</v>
      </c>
      <c r="T2165" s="4">
        <f t="shared" si="168"/>
        <v>302930.67</v>
      </c>
      <c r="U2165" s="4" t="str">
        <f t="shared" si="169"/>
        <v>Good</v>
      </c>
      <c r="V2165" s="4" t="str">
        <f t="shared" si="170"/>
        <v>Excellent</v>
      </c>
      <c r="W2165" s="4"/>
      <c r="X2165" s="4"/>
      <c r="AJ2165" s="4"/>
    </row>
    <row r="2166" spans="1:36">
      <c r="A2166" t="str">
        <f t="shared" si="166"/>
        <v>Pank512165</v>
      </c>
      <c r="B2166">
        <v>2165</v>
      </c>
      <c r="C2166">
        <v>15</v>
      </c>
      <c r="D2166">
        <v>6</v>
      </c>
      <c r="E2166">
        <v>2023</v>
      </c>
      <c r="F2166" s="1">
        <f t="shared" si="167"/>
        <v>45092</v>
      </c>
      <c r="G2166" s="1" t="s">
        <v>643</v>
      </c>
      <c r="H2166" s="2">
        <v>46642</v>
      </c>
      <c r="I2166" t="s">
        <v>38</v>
      </c>
      <c r="J2166">
        <v>1</v>
      </c>
      <c r="K2166">
        <v>60590.68</v>
      </c>
      <c r="L2166" t="s">
        <v>186</v>
      </c>
      <c r="M2166">
        <v>51</v>
      </c>
      <c r="N2166" t="s">
        <v>61</v>
      </c>
      <c r="O2166" s="3" t="s">
        <v>22</v>
      </c>
      <c r="P2166" t="s">
        <v>64</v>
      </c>
      <c r="Q2166" t="s">
        <v>41</v>
      </c>
      <c r="R2166">
        <v>4</v>
      </c>
      <c r="S2166" t="s">
        <v>42</v>
      </c>
      <c r="T2166" s="4">
        <f t="shared" si="168"/>
        <v>60590.68</v>
      </c>
      <c r="U2166" s="4" t="str">
        <f t="shared" si="169"/>
        <v>Good</v>
      </c>
      <c r="V2166" s="4" t="str">
        <f t="shared" si="170"/>
        <v>Average</v>
      </c>
      <c r="W2166" s="4"/>
      <c r="X2166" s="4"/>
      <c r="AJ2166" s="4"/>
    </row>
    <row r="2167" spans="1:36">
      <c r="A2167" t="str">
        <f t="shared" si="166"/>
        <v>Isha262166</v>
      </c>
      <c r="B2167">
        <v>2166</v>
      </c>
      <c r="C2167">
        <v>15</v>
      </c>
      <c r="D2167">
        <v>6</v>
      </c>
      <c r="E2167">
        <v>2023</v>
      </c>
      <c r="F2167" s="1">
        <f t="shared" si="167"/>
        <v>45092</v>
      </c>
      <c r="G2167" s="1" t="s">
        <v>643</v>
      </c>
      <c r="H2167" s="2">
        <v>46643</v>
      </c>
      <c r="I2167" t="s">
        <v>38</v>
      </c>
      <c r="J2167">
        <v>6</v>
      </c>
      <c r="K2167">
        <v>38858.81</v>
      </c>
      <c r="L2167" t="s">
        <v>277</v>
      </c>
      <c r="M2167">
        <v>26</v>
      </c>
      <c r="N2167" t="s">
        <v>36</v>
      </c>
      <c r="O2167" s="3" t="s">
        <v>22</v>
      </c>
      <c r="P2167" t="s">
        <v>29</v>
      </c>
      <c r="Q2167" t="s">
        <v>41</v>
      </c>
      <c r="R2167">
        <v>4</v>
      </c>
      <c r="S2167" t="s">
        <v>48</v>
      </c>
      <c r="T2167" s="4">
        <f t="shared" si="168"/>
        <v>233152.86</v>
      </c>
      <c r="U2167" s="4" t="str">
        <f t="shared" si="169"/>
        <v>Good</v>
      </c>
      <c r="V2167" s="4" t="str">
        <f t="shared" si="170"/>
        <v>Excellent</v>
      </c>
      <c r="W2167" s="4"/>
      <c r="X2167" s="4"/>
      <c r="AJ2167" s="4"/>
    </row>
    <row r="2168" spans="1:36">
      <c r="A2168" t="str">
        <f t="shared" si="166"/>
        <v>Tapa242167</v>
      </c>
      <c r="B2168">
        <v>2167</v>
      </c>
      <c r="C2168">
        <v>15</v>
      </c>
      <c r="D2168">
        <v>6</v>
      </c>
      <c r="E2168">
        <v>2023</v>
      </c>
      <c r="F2168" s="1">
        <f t="shared" si="167"/>
        <v>45092</v>
      </c>
      <c r="G2168" s="1" t="s">
        <v>643</v>
      </c>
      <c r="H2168" s="2">
        <v>46644</v>
      </c>
      <c r="I2168" t="s">
        <v>49</v>
      </c>
      <c r="J2168">
        <v>6</v>
      </c>
      <c r="K2168">
        <v>22361.42</v>
      </c>
      <c r="L2168" t="s">
        <v>918</v>
      </c>
      <c r="M2168">
        <v>24</v>
      </c>
      <c r="N2168" t="s">
        <v>36</v>
      </c>
      <c r="O2168" s="3" t="s">
        <v>55</v>
      </c>
      <c r="P2168" t="s">
        <v>33</v>
      </c>
      <c r="Q2168" t="s">
        <v>56</v>
      </c>
      <c r="R2168">
        <v>2</v>
      </c>
      <c r="S2168" t="s">
        <v>102</v>
      </c>
      <c r="T2168" s="4">
        <f t="shared" si="168"/>
        <v>134168.51999999999</v>
      </c>
      <c r="U2168" s="4" t="str">
        <f t="shared" si="169"/>
        <v>Average</v>
      </c>
      <c r="V2168" s="4" t="str">
        <f t="shared" si="170"/>
        <v>Good</v>
      </c>
      <c r="W2168" s="4"/>
      <c r="X2168" s="4"/>
      <c r="AJ2168" s="4"/>
    </row>
    <row r="2169" spans="1:36">
      <c r="A2169" t="str">
        <f t="shared" si="166"/>
        <v>Tapa472168</v>
      </c>
      <c r="B2169">
        <v>2168</v>
      </c>
      <c r="C2169">
        <v>16</v>
      </c>
      <c r="D2169">
        <v>6</v>
      </c>
      <c r="E2169">
        <v>2023</v>
      </c>
      <c r="F2169" s="1">
        <f t="shared" si="167"/>
        <v>45093</v>
      </c>
      <c r="G2169" s="1" t="s">
        <v>643</v>
      </c>
      <c r="H2169" s="2">
        <v>46645</v>
      </c>
      <c r="I2169" t="s">
        <v>26</v>
      </c>
      <c r="J2169">
        <v>3</v>
      </c>
      <c r="K2169">
        <v>59706.67</v>
      </c>
      <c r="L2169" t="s">
        <v>733</v>
      </c>
      <c r="M2169">
        <v>47</v>
      </c>
      <c r="N2169" t="s">
        <v>61</v>
      </c>
      <c r="O2169" s="3" t="s">
        <v>22</v>
      </c>
      <c r="P2169" t="s">
        <v>93</v>
      </c>
      <c r="Q2169" t="s">
        <v>30</v>
      </c>
      <c r="R2169">
        <v>5</v>
      </c>
      <c r="S2169" t="s">
        <v>67</v>
      </c>
      <c r="T2169" s="4">
        <f t="shared" si="168"/>
        <v>179120.01</v>
      </c>
      <c r="U2169" s="4" t="str">
        <f t="shared" si="169"/>
        <v>Good</v>
      </c>
      <c r="V2169" s="4" t="str">
        <f t="shared" si="170"/>
        <v>Good</v>
      </c>
      <c r="W2169" s="4"/>
      <c r="X2169" s="4"/>
      <c r="AJ2169" s="4"/>
    </row>
    <row r="2170" spans="1:36">
      <c r="A2170" t="str">
        <f t="shared" si="166"/>
        <v>Vija352169</v>
      </c>
      <c r="B2170">
        <v>2169</v>
      </c>
      <c r="C2170">
        <v>16</v>
      </c>
      <c r="D2170">
        <v>6</v>
      </c>
      <c r="E2170">
        <v>2023</v>
      </c>
      <c r="F2170" s="1">
        <f t="shared" si="167"/>
        <v>45093</v>
      </c>
      <c r="G2170" s="1" t="s">
        <v>643</v>
      </c>
      <c r="H2170" s="2">
        <v>46646</v>
      </c>
      <c r="I2170" t="s">
        <v>38</v>
      </c>
      <c r="J2170">
        <v>2</v>
      </c>
      <c r="K2170">
        <v>42266.35</v>
      </c>
      <c r="L2170" t="s">
        <v>290</v>
      </c>
      <c r="M2170">
        <v>35</v>
      </c>
      <c r="N2170" t="s">
        <v>21</v>
      </c>
      <c r="O2170" s="3" t="s">
        <v>55</v>
      </c>
      <c r="P2170" t="s">
        <v>132</v>
      </c>
      <c r="Q2170" t="s">
        <v>30</v>
      </c>
      <c r="R2170">
        <v>2</v>
      </c>
      <c r="S2170" t="s">
        <v>42</v>
      </c>
      <c r="T2170" s="4">
        <f t="shared" si="168"/>
        <v>84532.7</v>
      </c>
      <c r="U2170" s="4" t="str">
        <f t="shared" si="169"/>
        <v>Average</v>
      </c>
      <c r="V2170" s="4" t="str">
        <f t="shared" si="170"/>
        <v>Average</v>
      </c>
      <c r="W2170" s="4"/>
      <c r="X2170" s="4"/>
      <c r="AJ2170" s="4"/>
    </row>
    <row r="2171" spans="1:36">
      <c r="A2171" t="str">
        <f t="shared" si="166"/>
        <v>Raje442170</v>
      </c>
      <c r="B2171">
        <v>2170</v>
      </c>
      <c r="C2171">
        <v>16</v>
      </c>
      <c r="D2171">
        <v>6</v>
      </c>
      <c r="E2171">
        <v>2023</v>
      </c>
      <c r="F2171" s="1">
        <f t="shared" si="167"/>
        <v>45093</v>
      </c>
      <c r="G2171" s="1" t="s">
        <v>643</v>
      </c>
      <c r="H2171" s="2">
        <v>46647</v>
      </c>
      <c r="I2171" t="s">
        <v>19</v>
      </c>
      <c r="J2171">
        <v>2</v>
      </c>
      <c r="K2171">
        <v>19182.560000000001</v>
      </c>
      <c r="L2171" t="s">
        <v>76</v>
      </c>
      <c r="M2171">
        <v>44</v>
      </c>
      <c r="N2171" t="s">
        <v>21</v>
      </c>
      <c r="O2171" s="3" t="s">
        <v>55</v>
      </c>
      <c r="P2171" t="s">
        <v>117</v>
      </c>
      <c r="Q2171" t="s">
        <v>30</v>
      </c>
      <c r="R2171">
        <v>2</v>
      </c>
      <c r="S2171" t="s">
        <v>25</v>
      </c>
      <c r="T2171" s="4">
        <f t="shared" si="168"/>
        <v>38365.120000000003</v>
      </c>
      <c r="U2171" s="4" t="str">
        <f t="shared" si="169"/>
        <v>Average</v>
      </c>
      <c r="V2171" s="4" t="str">
        <f t="shared" si="170"/>
        <v>Low</v>
      </c>
      <c r="W2171" s="4"/>
      <c r="X2171" s="4"/>
      <c r="AJ2171" s="4"/>
    </row>
    <row r="2172" spans="1:36">
      <c r="A2172" t="str">
        <f t="shared" si="166"/>
        <v>Arun332171</v>
      </c>
      <c r="B2172">
        <v>2171</v>
      </c>
      <c r="C2172">
        <v>17</v>
      </c>
      <c r="D2172">
        <v>6</v>
      </c>
      <c r="E2172">
        <v>2023</v>
      </c>
      <c r="F2172" s="1">
        <f t="shared" si="167"/>
        <v>45094</v>
      </c>
      <c r="G2172" s="1" t="s">
        <v>643</v>
      </c>
      <c r="H2172" s="2">
        <v>46648</v>
      </c>
      <c r="I2172" t="s">
        <v>19</v>
      </c>
      <c r="J2172">
        <v>9</v>
      </c>
      <c r="K2172">
        <v>40335.15</v>
      </c>
      <c r="L2172" t="s">
        <v>181</v>
      </c>
      <c r="M2172">
        <v>33</v>
      </c>
      <c r="N2172" t="s">
        <v>21</v>
      </c>
      <c r="O2172" s="3" t="s">
        <v>55</v>
      </c>
      <c r="P2172" t="s">
        <v>66</v>
      </c>
      <c r="Q2172" t="s">
        <v>24</v>
      </c>
      <c r="R2172">
        <v>1</v>
      </c>
      <c r="S2172" t="s">
        <v>25</v>
      </c>
      <c r="T2172" s="4">
        <f t="shared" si="168"/>
        <v>363016.35000000003</v>
      </c>
      <c r="U2172" s="4" t="str">
        <f t="shared" si="169"/>
        <v>Average</v>
      </c>
      <c r="V2172" s="4" t="str">
        <f t="shared" si="170"/>
        <v>Excellent</v>
      </c>
      <c r="W2172" s="4"/>
      <c r="X2172" s="4"/>
      <c r="AJ2172" s="4"/>
    </row>
    <row r="2173" spans="1:36">
      <c r="A2173" t="str">
        <f t="shared" si="166"/>
        <v>Kris382172</v>
      </c>
      <c r="B2173">
        <v>2172</v>
      </c>
      <c r="C2173">
        <v>17</v>
      </c>
      <c r="D2173">
        <v>6</v>
      </c>
      <c r="E2173">
        <v>2023</v>
      </c>
      <c r="F2173" s="1">
        <f t="shared" si="167"/>
        <v>45094</v>
      </c>
      <c r="G2173" s="1" t="s">
        <v>643</v>
      </c>
      <c r="H2173" s="2">
        <v>46649</v>
      </c>
      <c r="I2173" t="s">
        <v>26</v>
      </c>
      <c r="J2173">
        <v>5</v>
      </c>
      <c r="K2173">
        <v>34792.199999999997</v>
      </c>
      <c r="L2173" t="s">
        <v>405</v>
      </c>
      <c r="M2173">
        <v>38</v>
      </c>
      <c r="N2173" t="s">
        <v>21</v>
      </c>
      <c r="O2173" s="3" t="s">
        <v>55</v>
      </c>
      <c r="P2173" t="s">
        <v>33</v>
      </c>
      <c r="Q2173" t="s">
        <v>41</v>
      </c>
      <c r="R2173">
        <v>2</v>
      </c>
      <c r="S2173" t="s">
        <v>67</v>
      </c>
      <c r="T2173" s="4">
        <f t="shared" si="168"/>
        <v>173961</v>
      </c>
      <c r="U2173" s="4" t="str">
        <f t="shared" si="169"/>
        <v>Average</v>
      </c>
      <c r="V2173" s="4" t="str">
        <f t="shared" si="170"/>
        <v>Good</v>
      </c>
      <c r="W2173" s="4"/>
      <c r="X2173" s="4"/>
      <c r="AJ2173" s="4"/>
    </row>
    <row r="2174" spans="1:36">
      <c r="A2174" t="str">
        <f t="shared" si="166"/>
        <v>Deve222173</v>
      </c>
      <c r="B2174">
        <v>2173</v>
      </c>
      <c r="C2174">
        <v>17</v>
      </c>
      <c r="D2174">
        <v>6</v>
      </c>
      <c r="E2174">
        <v>2023</v>
      </c>
      <c r="F2174" s="1">
        <f t="shared" si="167"/>
        <v>45094</v>
      </c>
      <c r="G2174" s="1" t="s">
        <v>643</v>
      </c>
      <c r="H2174" s="2">
        <v>46650</v>
      </c>
      <c r="I2174" t="s">
        <v>43</v>
      </c>
      <c r="J2174">
        <v>7</v>
      </c>
      <c r="K2174">
        <v>62610.55</v>
      </c>
      <c r="L2174" t="s">
        <v>933</v>
      </c>
      <c r="M2174">
        <v>22</v>
      </c>
      <c r="N2174" t="s">
        <v>36</v>
      </c>
      <c r="O2174" s="3" t="s">
        <v>22</v>
      </c>
      <c r="P2174" t="s">
        <v>33</v>
      </c>
      <c r="Q2174" t="s">
        <v>41</v>
      </c>
      <c r="R2174">
        <v>4</v>
      </c>
      <c r="S2174" t="s">
        <v>95</v>
      </c>
      <c r="T2174" s="4">
        <f t="shared" si="168"/>
        <v>438273.85000000003</v>
      </c>
      <c r="U2174" s="4" t="str">
        <f t="shared" si="169"/>
        <v>Good</v>
      </c>
      <c r="V2174" s="4" t="str">
        <f t="shared" si="170"/>
        <v>Excellent</v>
      </c>
      <c r="W2174" s="4"/>
      <c r="X2174" s="4"/>
      <c r="AJ2174" s="4"/>
    </row>
    <row r="2175" spans="1:36">
      <c r="A2175" t="str">
        <f t="shared" si="166"/>
        <v>Priy462174</v>
      </c>
      <c r="B2175">
        <v>2174</v>
      </c>
      <c r="C2175">
        <v>18</v>
      </c>
      <c r="D2175">
        <v>6</v>
      </c>
      <c r="E2175">
        <v>2023</v>
      </c>
      <c r="F2175" s="1">
        <f t="shared" si="167"/>
        <v>45095</v>
      </c>
      <c r="G2175" s="1" t="s">
        <v>643</v>
      </c>
      <c r="H2175" s="2">
        <v>46651</v>
      </c>
      <c r="I2175" t="s">
        <v>43</v>
      </c>
      <c r="J2175">
        <v>5</v>
      </c>
      <c r="K2175">
        <v>17563.330000000002</v>
      </c>
      <c r="L2175" t="s">
        <v>261</v>
      </c>
      <c r="M2175">
        <v>46</v>
      </c>
      <c r="N2175" t="s">
        <v>61</v>
      </c>
      <c r="O2175" s="3" t="s">
        <v>22</v>
      </c>
      <c r="P2175" t="s">
        <v>110</v>
      </c>
      <c r="Q2175" t="s">
        <v>24</v>
      </c>
      <c r="R2175">
        <v>4</v>
      </c>
      <c r="S2175" t="s">
        <v>46</v>
      </c>
      <c r="T2175" s="4">
        <f t="shared" si="168"/>
        <v>87816.650000000009</v>
      </c>
      <c r="U2175" s="4" t="str">
        <f t="shared" si="169"/>
        <v>Good</v>
      </c>
      <c r="V2175" s="4" t="str">
        <f t="shared" si="170"/>
        <v>Average</v>
      </c>
      <c r="W2175" s="4"/>
      <c r="X2175" s="4"/>
      <c r="AJ2175" s="4"/>
    </row>
    <row r="2176" spans="1:36">
      <c r="A2176" t="str">
        <f t="shared" si="166"/>
        <v>Bina542175</v>
      </c>
      <c r="B2176">
        <v>2175</v>
      </c>
      <c r="C2176">
        <v>18</v>
      </c>
      <c r="D2176">
        <v>6</v>
      </c>
      <c r="E2176">
        <v>2023</v>
      </c>
      <c r="F2176" s="1">
        <f t="shared" si="167"/>
        <v>45095</v>
      </c>
      <c r="G2176" s="1" t="s">
        <v>643</v>
      </c>
      <c r="H2176" s="2">
        <v>46652</v>
      </c>
      <c r="I2176" t="s">
        <v>43</v>
      </c>
      <c r="J2176">
        <v>7</v>
      </c>
      <c r="K2176">
        <v>62512.59</v>
      </c>
      <c r="L2176" t="s">
        <v>931</v>
      </c>
      <c r="M2176">
        <v>54</v>
      </c>
      <c r="N2176" t="s">
        <v>61</v>
      </c>
      <c r="O2176" s="3" t="s">
        <v>22</v>
      </c>
      <c r="P2176" t="s">
        <v>110</v>
      </c>
      <c r="Q2176" t="s">
        <v>41</v>
      </c>
      <c r="R2176">
        <v>4</v>
      </c>
      <c r="S2176" t="s">
        <v>57</v>
      </c>
      <c r="T2176" s="4">
        <f t="shared" si="168"/>
        <v>437588.13</v>
      </c>
      <c r="U2176" s="4" t="str">
        <f t="shared" si="169"/>
        <v>Good</v>
      </c>
      <c r="V2176" s="4" t="str">
        <f t="shared" si="170"/>
        <v>Excellent</v>
      </c>
      <c r="W2176" s="4"/>
      <c r="X2176" s="4"/>
      <c r="AJ2176" s="4"/>
    </row>
    <row r="2177" spans="1:36">
      <c r="A2177" t="str">
        <f t="shared" si="166"/>
        <v>Kris392176</v>
      </c>
      <c r="B2177">
        <v>2176</v>
      </c>
      <c r="C2177">
        <v>18</v>
      </c>
      <c r="D2177">
        <v>6</v>
      </c>
      <c r="E2177">
        <v>2023</v>
      </c>
      <c r="F2177" s="1">
        <f t="shared" si="167"/>
        <v>45095</v>
      </c>
      <c r="G2177" s="1" t="s">
        <v>643</v>
      </c>
      <c r="H2177" s="2">
        <v>46653</v>
      </c>
      <c r="I2177" t="s">
        <v>19</v>
      </c>
      <c r="J2177">
        <v>4</v>
      </c>
      <c r="K2177">
        <v>40732.660000000003</v>
      </c>
      <c r="L2177" t="s">
        <v>781</v>
      </c>
      <c r="M2177">
        <v>39</v>
      </c>
      <c r="N2177" t="s">
        <v>21</v>
      </c>
      <c r="O2177" s="3" t="s">
        <v>55</v>
      </c>
      <c r="P2177" t="s">
        <v>45</v>
      </c>
      <c r="Q2177" t="s">
        <v>41</v>
      </c>
      <c r="R2177">
        <v>1</v>
      </c>
      <c r="S2177" t="s">
        <v>84</v>
      </c>
      <c r="T2177" s="4">
        <f t="shared" si="168"/>
        <v>162930.64000000001</v>
      </c>
      <c r="U2177" s="4" t="str">
        <f t="shared" si="169"/>
        <v>Average</v>
      </c>
      <c r="V2177" s="4" t="str">
        <f t="shared" si="170"/>
        <v>Good</v>
      </c>
      <c r="W2177" s="4"/>
      <c r="X2177" s="4"/>
      <c r="AJ2177" s="4"/>
    </row>
    <row r="2178" spans="1:36">
      <c r="A2178" t="str">
        <f t="shared" ref="A2178:A2241" si="171">LEFT(L2178,4)&amp;M2178&amp;B2178</f>
        <v>Deep312177</v>
      </c>
      <c r="B2178">
        <v>2177</v>
      </c>
      <c r="C2178">
        <v>18</v>
      </c>
      <c r="D2178">
        <v>6</v>
      </c>
      <c r="E2178">
        <v>2023</v>
      </c>
      <c r="F2178" s="1">
        <f t="shared" si="167"/>
        <v>45095</v>
      </c>
      <c r="G2178" s="1" t="s">
        <v>643</v>
      </c>
      <c r="H2178" s="2">
        <v>46654</v>
      </c>
      <c r="I2178" t="s">
        <v>43</v>
      </c>
      <c r="J2178">
        <v>8</v>
      </c>
      <c r="K2178">
        <v>34261.870000000003</v>
      </c>
      <c r="L2178" t="s">
        <v>830</v>
      </c>
      <c r="M2178">
        <v>31</v>
      </c>
      <c r="N2178" t="s">
        <v>21</v>
      </c>
      <c r="O2178" s="3" t="s">
        <v>22</v>
      </c>
      <c r="P2178" t="s">
        <v>33</v>
      </c>
      <c r="Q2178" t="s">
        <v>24</v>
      </c>
      <c r="R2178">
        <v>4</v>
      </c>
      <c r="S2178" t="s">
        <v>57</v>
      </c>
      <c r="T2178" s="4">
        <f t="shared" si="168"/>
        <v>274094.96000000002</v>
      </c>
      <c r="U2178" s="4" t="str">
        <f t="shared" si="169"/>
        <v>Good</v>
      </c>
      <c r="V2178" s="4" t="str">
        <f t="shared" si="170"/>
        <v>Excellent</v>
      </c>
      <c r="W2178" s="4"/>
      <c r="X2178" s="4"/>
      <c r="AJ2178" s="4"/>
    </row>
    <row r="2179" spans="1:36">
      <c r="A2179" t="str">
        <f t="shared" si="171"/>
        <v>Deep362178</v>
      </c>
      <c r="B2179">
        <v>2178</v>
      </c>
      <c r="C2179">
        <v>19</v>
      </c>
      <c r="D2179">
        <v>6</v>
      </c>
      <c r="E2179">
        <v>2023</v>
      </c>
      <c r="F2179" s="1">
        <f t="shared" ref="F2179:F2242" si="172">DATE(E2179,D2179,C2179)</f>
        <v>45096</v>
      </c>
      <c r="G2179" s="1" t="s">
        <v>643</v>
      </c>
      <c r="H2179" s="2">
        <v>46655</v>
      </c>
      <c r="I2179" t="s">
        <v>49</v>
      </c>
      <c r="J2179">
        <v>7</v>
      </c>
      <c r="K2179">
        <v>19718.03</v>
      </c>
      <c r="L2179" t="s">
        <v>765</v>
      </c>
      <c r="M2179">
        <v>36</v>
      </c>
      <c r="N2179" t="s">
        <v>21</v>
      </c>
      <c r="O2179" s="3" t="s">
        <v>22</v>
      </c>
      <c r="P2179" t="s">
        <v>29</v>
      </c>
      <c r="Q2179" t="s">
        <v>41</v>
      </c>
      <c r="R2179">
        <v>4</v>
      </c>
      <c r="S2179" t="s">
        <v>52</v>
      </c>
      <c r="T2179" s="4">
        <f t="shared" ref="T2179:T2242" si="173">J2179*K2179</f>
        <v>138026.21</v>
      </c>
      <c r="U2179" s="4" t="str">
        <f t="shared" ref="U2179:U2242" si="174">IF(R2179&gt;=4,"Good","Average")</f>
        <v>Good</v>
      </c>
      <c r="V2179" s="4" t="str">
        <f t="shared" ref="V2179:V2242" si="175">IF(T2179&gt;200000,"Excellent",IF(T2179&gt;100000,"Good",IF(T2179&gt;50000,"Average","Low")))</f>
        <v>Good</v>
      </c>
      <c r="W2179" s="4"/>
      <c r="X2179" s="4"/>
      <c r="AJ2179" s="4"/>
    </row>
    <row r="2180" spans="1:36">
      <c r="A2180" t="str">
        <f t="shared" si="171"/>
        <v>Meen522179</v>
      </c>
      <c r="B2180">
        <v>2179</v>
      </c>
      <c r="C2180">
        <v>19</v>
      </c>
      <c r="D2180">
        <v>6</v>
      </c>
      <c r="E2180">
        <v>2023</v>
      </c>
      <c r="F2180" s="1">
        <f t="shared" si="172"/>
        <v>45096</v>
      </c>
      <c r="G2180" s="1" t="s">
        <v>643</v>
      </c>
      <c r="H2180" s="2">
        <v>46656</v>
      </c>
      <c r="I2180" t="s">
        <v>38</v>
      </c>
      <c r="J2180">
        <v>5</v>
      </c>
      <c r="K2180">
        <v>52049.08</v>
      </c>
      <c r="L2180" t="s">
        <v>575</v>
      </c>
      <c r="M2180">
        <v>52</v>
      </c>
      <c r="N2180" t="s">
        <v>61</v>
      </c>
      <c r="O2180" s="3" t="s">
        <v>22</v>
      </c>
      <c r="P2180" t="s">
        <v>29</v>
      </c>
      <c r="Q2180" t="s">
        <v>30</v>
      </c>
      <c r="R2180">
        <v>4</v>
      </c>
      <c r="S2180" t="s">
        <v>48</v>
      </c>
      <c r="T2180" s="4">
        <f t="shared" si="173"/>
        <v>260245.40000000002</v>
      </c>
      <c r="U2180" s="4" t="str">
        <f t="shared" si="174"/>
        <v>Good</v>
      </c>
      <c r="V2180" s="4" t="str">
        <f t="shared" si="175"/>
        <v>Excellent</v>
      </c>
      <c r="W2180" s="4"/>
      <c r="X2180" s="4"/>
      <c r="AJ2180" s="4"/>
    </row>
    <row r="2181" spans="1:36">
      <c r="A2181" t="str">
        <f t="shared" si="171"/>
        <v>Vino412180</v>
      </c>
      <c r="B2181">
        <v>2180</v>
      </c>
      <c r="C2181">
        <v>19</v>
      </c>
      <c r="D2181">
        <v>6</v>
      </c>
      <c r="E2181">
        <v>2023</v>
      </c>
      <c r="F2181" s="1">
        <f t="shared" si="172"/>
        <v>45096</v>
      </c>
      <c r="G2181" s="1" t="s">
        <v>643</v>
      </c>
      <c r="H2181" s="2">
        <v>46657</v>
      </c>
      <c r="I2181" t="s">
        <v>19</v>
      </c>
      <c r="J2181">
        <v>6</v>
      </c>
      <c r="K2181">
        <v>65608.399999999994</v>
      </c>
      <c r="L2181" t="s">
        <v>448</v>
      </c>
      <c r="M2181">
        <v>41</v>
      </c>
      <c r="N2181" t="s">
        <v>21</v>
      </c>
      <c r="O2181" s="3" t="s">
        <v>22</v>
      </c>
      <c r="P2181" t="s">
        <v>70</v>
      </c>
      <c r="Q2181" t="s">
        <v>24</v>
      </c>
      <c r="R2181">
        <v>4</v>
      </c>
      <c r="S2181" t="s">
        <v>37</v>
      </c>
      <c r="T2181" s="4">
        <f t="shared" si="173"/>
        <v>393650.39999999997</v>
      </c>
      <c r="U2181" s="4" t="str">
        <f t="shared" si="174"/>
        <v>Good</v>
      </c>
      <c r="V2181" s="4" t="str">
        <f t="shared" si="175"/>
        <v>Excellent</v>
      </c>
      <c r="W2181" s="4"/>
      <c r="X2181" s="4"/>
      <c r="AJ2181" s="4"/>
    </row>
    <row r="2182" spans="1:36">
      <c r="A2182" t="str">
        <f t="shared" si="171"/>
        <v>Pooj592181</v>
      </c>
      <c r="B2182">
        <v>2181</v>
      </c>
      <c r="C2182">
        <v>20</v>
      </c>
      <c r="D2182">
        <v>6</v>
      </c>
      <c r="E2182">
        <v>2023</v>
      </c>
      <c r="F2182" s="1">
        <f t="shared" si="172"/>
        <v>45097</v>
      </c>
      <c r="G2182" s="1" t="s">
        <v>643</v>
      </c>
      <c r="H2182" s="2">
        <v>46658</v>
      </c>
      <c r="I2182" t="s">
        <v>26</v>
      </c>
      <c r="J2182">
        <v>5</v>
      </c>
      <c r="K2182">
        <v>32522.639999999999</v>
      </c>
      <c r="L2182" t="s">
        <v>340</v>
      </c>
      <c r="M2182">
        <v>59</v>
      </c>
      <c r="N2182" t="s">
        <v>61</v>
      </c>
      <c r="O2182" s="3" t="s">
        <v>22</v>
      </c>
      <c r="P2182" t="s">
        <v>45</v>
      </c>
      <c r="Q2182" t="s">
        <v>41</v>
      </c>
      <c r="R2182">
        <v>5</v>
      </c>
      <c r="S2182" t="s">
        <v>67</v>
      </c>
      <c r="T2182" s="4">
        <f t="shared" si="173"/>
        <v>162613.20000000001</v>
      </c>
      <c r="U2182" s="4" t="str">
        <f t="shared" si="174"/>
        <v>Good</v>
      </c>
      <c r="V2182" s="4" t="str">
        <f t="shared" si="175"/>
        <v>Good</v>
      </c>
      <c r="W2182" s="4"/>
      <c r="X2182" s="4"/>
      <c r="AJ2182" s="4"/>
    </row>
    <row r="2183" spans="1:36">
      <c r="A2183" t="str">
        <f t="shared" si="171"/>
        <v>Pooj232182</v>
      </c>
      <c r="B2183">
        <v>2182</v>
      </c>
      <c r="C2183">
        <v>20</v>
      </c>
      <c r="D2183">
        <v>6</v>
      </c>
      <c r="E2183">
        <v>2023</v>
      </c>
      <c r="F2183" s="1">
        <f t="shared" si="172"/>
        <v>45097</v>
      </c>
      <c r="G2183" s="1" t="s">
        <v>643</v>
      </c>
      <c r="H2183" s="2">
        <v>46659</v>
      </c>
      <c r="I2183" t="s">
        <v>26</v>
      </c>
      <c r="J2183">
        <v>7</v>
      </c>
      <c r="K2183">
        <v>24495.1</v>
      </c>
      <c r="L2183" t="s">
        <v>220</v>
      </c>
      <c r="M2183">
        <v>23</v>
      </c>
      <c r="N2183" t="s">
        <v>36</v>
      </c>
      <c r="O2183" s="3" t="s">
        <v>55</v>
      </c>
      <c r="P2183" t="s">
        <v>29</v>
      </c>
      <c r="Q2183" t="s">
        <v>30</v>
      </c>
      <c r="R2183">
        <v>2</v>
      </c>
      <c r="S2183" t="s">
        <v>31</v>
      </c>
      <c r="T2183" s="4">
        <f t="shared" si="173"/>
        <v>171465.69999999998</v>
      </c>
      <c r="U2183" s="4" t="str">
        <f t="shared" si="174"/>
        <v>Average</v>
      </c>
      <c r="V2183" s="4" t="str">
        <f t="shared" si="175"/>
        <v>Good</v>
      </c>
      <c r="W2183" s="4"/>
      <c r="X2183" s="4"/>
      <c r="AJ2183" s="4"/>
    </row>
    <row r="2184" spans="1:36">
      <c r="A2184" t="str">
        <f t="shared" si="171"/>
        <v>Yoge202183</v>
      </c>
      <c r="B2184">
        <v>2183</v>
      </c>
      <c r="C2184">
        <v>20</v>
      </c>
      <c r="D2184">
        <v>6</v>
      </c>
      <c r="E2184">
        <v>2023</v>
      </c>
      <c r="F2184" s="1">
        <f t="shared" si="172"/>
        <v>45097</v>
      </c>
      <c r="G2184" s="1" t="s">
        <v>643</v>
      </c>
      <c r="H2184" s="2">
        <v>46660</v>
      </c>
      <c r="I2184" t="s">
        <v>38</v>
      </c>
      <c r="J2184">
        <v>2</v>
      </c>
      <c r="K2184">
        <v>43292.02</v>
      </c>
      <c r="L2184" t="s">
        <v>978</v>
      </c>
      <c r="M2184">
        <v>20</v>
      </c>
      <c r="N2184" t="s">
        <v>36</v>
      </c>
      <c r="O2184" s="3" t="s">
        <v>55</v>
      </c>
      <c r="P2184" t="s">
        <v>51</v>
      </c>
      <c r="Q2184" t="s">
        <v>56</v>
      </c>
      <c r="R2184">
        <v>2</v>
      </c>
      <c r="S2184" t="s">
        <v>42</v>
      </c>
      <c r="T2184" s="4">
        <f t="shared" si="173"/>
        <v>86584.04</v>
      </c>
      <c r="U2184" s="4" t="str">
        <f t="shared" si="174"/>
        <v>Average</v>
      </c>
      <c r="V2184" s="4" t="str">
        <f t="shared" si="175"/>
        <v>Average</v>
      </c>
      <c r="W2184" s="4"/>
      <c r="X2184" s="4"/>
      <c r="AJ2184" s="4"/>
    </row>
    <row r="2185" spans="1:36">
      <c r="A2185" t="str">
        <f t="shared" si="171"/>
        <v>Amit512184</v>
      </c>
      <c r="B2185">
        <v>2184</v>
      </c>
      <c r="C2185">
        <v>21</v>
      </c>
      <c r="D2185">
        <v>6</v>
      </c>
      <c r="E2185">
        <v>2023</v>
      </c>
      <c r="F2185" s="1">
        <f t="shared" si="172"/>
        <v>45098</v>
      </c>
      <c r="G2185" s="1" t="s">
        <v>643</v>
      </c>
      <c r="H2185" s="2">
        <v>46661</v>
      </c>
      <c r="I2185" t="s">
        <v>19</v>
      </c>
      <c r="J2185">
        <v>5</v>
      </c>
      <c r="K2185">
        <v>57771.16</v>
      </c>
      <c r="L2185" t="s">
        <v>871</v>
      </c>
      <c r="M2185">
        <v>51</v>
      </c>
      <c r="N2185" t="s">
        <v>61</v>
      </c>
      <c r="O2185" s="3" t="s">
        <v>22</v>
      </c>
      <c r="P2185" t="s">
        <v>137</v>
      </c>
      <c r="Q2185" t="s">
        <v>41</v>
      </c>
      <c r="R2185">
        <v>4</v>
      </c>
      <c r="S2185" t="s">
        <v>25</v>
      </c>
      <c r="T2185" s="4">
        <f t="shared" si="173"/>
        <v>288855.80000000005</v>
      </c>
      <c r="U2185" s="4" t="str">
        <f t="shared" si="174"/>
        <v>Good</v>
      </c>
      <c r="V2185" s="4" t="str">
        <f t="shared" si="175"/>
        <v>Excellent</v>
      </c>
      <c r="W2185" s="4"/>
      <c r="X2185" s="4"/>
      <c r="AJ2185" s="4"/>
    </row>
    <row r="2186" spans="1:36">
      <c r="A2186" t="str">
        <f t="shared" si="171"/>
        <v>Raje192185</v>
      </c>
      <c r="B2186">
        <v>2185</v>
      </c>
      <c r="C2186">
        <v>21</v>
      </c>
      <c r="D2186">
        <v>6</v>
      </c>
      <c r="E2186">
        <v>2023</v>
      </c>
      <c r="F2186" s="1">
        <f t="shared" si="172"/>
        <v>45098</v>
      </c>
      <c r="G2186" s="1" t="s">
        <v>643</v>
      </c>
      <c r="H2186" s="2">
        <v>46662</v>
      </c>
      <c r="I2186" t="s">
        <v>43</v>
      </c>
      <c r="J2186">
        <v>3</v>
      </c>
      <c r="K2186">
        <v>10226.06</v>
      </c>
      <c r="L2186" t="s">
        <v>889</v>
      </c>
      <c r="M2186">
        <v>19</v>
      </c>
      <c r="N2186" t="s">
        <v>36</v>
      </c>
      <c r="O2186" s="3" t="s">
        <v>22</v>
      </c>
      <c r="P2186" t="s">
        <v>150</v>
      </c>
      <c r="Q2186" t="s">
        <v>24</v>
      </c>
      <c r="R2186">
        <v>4</v>
      </c>
      <c r="S2186" t="s">
        <v>57</v>
      </c>
      <c r="T2186" s="4">
        <f t="shared" si="173"/>
        <v>30678.18</v>
      </c>
      <c r="U2186" s="4" t="str">
        <f t="shared" si="174"/>
        <v>Good</v>
      </c>
      <c r="V2186" s="4" t="str">
        <f t="shared" si="175"/>
        <v>Low</v>
      </c>
      <c r="W2186" s="4"/>
      <c r="X2186" s="4"/>
      <c r="AJ2186" s="4"/>
    </row>
    <row r="2187" spans="1:36">
      <c r="A2187" t="str">
        <f t="shared" si="171"/>
        <v>Bhav322186</v>
      </c>
      <c r="B2187">
        <v>2186</v>
      </c>
      <c r="C2187">
        <v>21</v>
      </c>
      <c r="D2187">
        <v>6</v>
      </c>
      <c r="E2187">
        <v>2023</v>
      </c>
      <c r="F2187" s="1">
        <f t="shared" si="172"/>
        <v>45098</v>
      </c>
      <c r="G2187" s="1" t="s">
        <v>643</v>
      </c>
      <c r="H2187" s="2">
        <v>46663</v>
      </c>
      <c r="I2187" t="s">
        <v>43</v>
      </c>
      <c r="J2187">
        <v>9</v>
      </c>
      <c r="K2187">
        <v>47882.65</v>
      </c>
      <c r="L2187" t="s">
        <v>355</v>
      </c>
      <c r="M2187">
        <v>32</v>
      </c>
      <c r="N2187" t="s">
        <v>21</v>
      </c>
      <c r="O2187" s="3" t="s">
        <v>22</v>
      </c>
      <c r="P2187" t="s">
        <v>29</v>
      </c>
      <c r="Q2187" t="s">
        <v>30</v>
      </c>
      <c r="R2187">
        <v>4</v>
      </c>
      <c r="S2187" t="s">
        <v>46</v>
      </c>
      <c r="T2187" s="4">
        <f t="shared" si="173"/>
        <v>430943.85000000003</v>
      </c>
      <c r="U2187" s="4" t="str">
        <f t="shared" si="174"/>
        <v>Good</v>
      </c>
      <c r="V2187" s="4" t="str">
        <f t="shared" si="175"/>
        <v>Excellent</v>
      </c>
      <c r="W2187" s="4"/>
      <c r="X2187" s="4"/>
      <c r="AJ2187" s="4"/>
    </row>
    <row r="2188" spans="1:36">
      <c r="A2188" t="str">
        <f t="shared" si="171"/>
        <v>Anit542187</v>
      </c>
      <c r="B2188">
        <v>2187</v>
      </c>
      <c r="C2188">
        <v>21</v>
      </c>
      <c r="D2188">
        <v>6</v>
      </c>
      <c r="E2188">
        <v>2023</v>
      </c>
      <c r="F2188" s="1">
        <f t="shared" si="172"/>
        <v>45098</v>
      </c>
      <c r="G2188" s="1" t="s">
        <v>643</v>
      </c>
      <c r="H2188" s="2">
        <v>46664</v>
      </c>
      <c r="I2188" t="s">
        <v>49</v>
      </c>
      <c r="J2188">
        <v>6</v>
      </c>
      <c r="K2188">
        <v>45790.96</v>
      </c>
      <c r="L2188" t="s">
        <v>837</v>
      </c>
      <c r="M2188">
        <v>54</v>
      </c>
      <c r="N2188" t="s">
        <v>61</v>
      </c>
      <c r="O2188" s="3" t="s">
        <v>55</v>
      </c>
      <c r="P2188" t="s">
        <v>77</v>
      </c>
      <c r="Q2188" t="s">
        <v>56</v>
      </c>
      <c r="R2188">
        <v>1</v>
      </c>
      <c r="S2188" t="s">
        <v>88</v>
      </c>
      <c r="T2188" s="4">
        <f t="shared" si="173"/>
        <v>274745.76</v>
      </c>
      <c r="U2188" s="4" t="str">
        <f t="shared" si="174"/>
        <v>Average</v>
      </c>
      <c r="V2188" s="4" t="str">
        <f t="shared" si="175"/>
        <v>Excellent</v>
      </c>
      <c r="W2188" s="4"/>
      <c r="X2188" s="4"/>
      <c r="AJ2188" s="4"/>
    </row>
    <row r="2189" spans="1:36">
      <c r="A2189" t="str">
        <f t="shared" si="171"/>
        <v>Pras322188</v>
      </c>
      <c r="B2189">
        <v>2188</v>
      </c>
      <c r="C2189">
        <v>22</v>
      </c>
      <c r="D2189">
        <v>6</v>
      </c>
      <c r="E2189">
        <v>2023</v>
      </c>
      <c r="F2189" s="1">
        <f t="shared" si="172"/>
        <v>45099</v>
      </c>
      <c r="G2189" s="1" t="s">
        <v>643</v>
      </c>
      <c r="H2189" s="2">
        <v>46665</v>
      </c>
      <c r="I2189" t="s">
        <v>49</v>
      </c>
      <c r="J2189">
        <v>3</v>
      </c>
      <c r="K2189">
        <v>29089.13</v>
      </c>
      <c r="L2189" t="s">
        <v>147</v>
      </c>
      <c r="M2189">
        <v>32</v>
      </c>
      <c r="N2189" t="s">
        <v>21</v>
      </c>
      <c r="O2189" s="3" t="s">
        <v>22</v>
      </c>
      <c r="P2189" t="s">
        <v>59</v>
      </c>
      <c r="Q2189" t="s">
        <v>56</v>
      </c>
      <c r="R2189">
        <v>4</v>
      </c>
      <c r="S2189" t="s">
        <v>52</v>
      </c>
      <c r="T2189" s="4">
        <f t="shared" si="173"/>
        <v>87267.39</v>
      </c>
      <c r="U2189" s="4" t="str">
        <f t="shared" si="174"/>
        <v>Good</v>
      </c>
      <c r="V2189" s="4" t="str">
        <f t="shared" si="175"/>
        <v>Average</v>
      </c>
      <c r="W2189" s="4"/>
      <c r="X2189" s="4"/>
      <c r="AJ2189" s="4"/>
    </row>
    <row r="2190" spans="1:36">
      <c r="A2190" t="str">
        <f t="shared" si="171"/>
        <v>Vive492189</v>
      </c>
      <c r="B2190">
        <v>2189</v>
      </c>
      <c r="C2190">
        <v>22</v>
      </c>
      <c r="D2190">
        <v>6</v>
      </c>
      <c r="E2190">
        <v>2023</v>
      </c>
      <c r="F2190" s="1">
        <f t="shared" si="172"/>
        <v>45099</v>
      </c>
      <c r="G2190" s="1" t="s">
        <v>643</v>
      </c>
      <c r="H2190" s="2">
        <v>46666</v>
      </c>
      <c r="I2190" t="s">
        <v>43</v>
      </c>
      <c r="J2190">
        <v>7</v>
      </c>
      <c r="K2190">
        <v>37085.379999999997</v>
      </c>
      <c r="L2190" t="s">
        <v>942</v>
      </c>
      <c r="M2190">
        <v>49</v>
      </c>
      <c r="N2190" t="s">
        <v>61</v>
      </c>
      <c r="O2190" s="3" t="s">
        <v>22</v>
      </c>
      <c r="P2190" t="s">
        <v>29</v>
      </c>
      <c r="Q2190" t="s">
        <v>41</v>
      </c>
      <c r="R2190">
        <v>4</v>
      </c>
      <c r="S2190" t="s">
        <v>46</v>
      </c>
      <c r="T2190" s="4">
        <f t="shared" si="173"/>
        <v>259597.65999999997</v>
      </c>
      <c r="U2190" s="4" t="str">
        <f t="shared" si="174"/>
        <v>Good</v>
      </c>
      <c r="V2190" s="4" t="str">
        <f t="shared" si="175"/>
        <v>Excellent</v>
      </c>
      <c r="W2190" s="4"/>
      <c r="X2190" s="4"/>
      <c r="AJ2190" s="4"/>
    </row>
    <row r="2191" spans="1:36">
      <c r="A2191" t="str">
        <f t="shared" si="171"/>
        <v>Kira382190</v>
      </c>
      <c r="B2191">
        <v>2190</v>
      </c>
      <c r="C2191">
        <v>22</v>
      </c>
      <c r="D2191">
        <v>6</v>
      </c>
      <c r="E2191">
        <v>2023</v>
      </c>
      <c r="F2191" s="1">
        <f t="shared" si="172"/>
        <v>45099</v>
      </c>
      <c r="G2191" s="1" t="s">
        <v>643</v>
      </c>
      <c r="H2191" s="2">
        <v>46667</v>
      </c>
      <c r="I2191" t="s">
        <v>26</v>
      </c>
      <c r="J2191">
        <v>4</v>
      </c>
      <c r="K2191">
        <v>24817.79</v>
      </c>
      <c r="L2191" t="s">
        <v>979</v>
      </c>
      <c r="M2191">
        <v>38</v>
      </c>
      <c r="N2191" t="s">
        <v>21</v>
      </c>
      <c r="O2191" s="3" t="s">
        <v>22</v>
      </c>
      <c r="P2191" t="s">
        <v>23</v>
      </c>
      <c r="Q2191" t="s">
        <v>56</v>
      </c>
      <c r="R2191">
        <v>4</v>
      </c>
      <c r="S2191" t="s">
        <v>31</v>
      </c>
      <c r="T2191" s="4">
        <f t="shared" si="173"/>
        <v>99271.16</v>
      </c>
      <c r="U2191" s="4" t="str">
        <f t="shared" si="174"/>
        <v>Good</v>
      </c>
      <c r="V2191" s="4" t="str">
        <f t="shared" si="175"/>
        <v>Average</v>
      </c>
      <c r="W2191" s="4"/>
      <c r="X2191" s="4"/>
      <c r="AJ2191" s="4"/>
    </row>
    <row r="2192" spans="1:36">
      <c r="A2192" t="str">
        <f t="shared" si="171"/>
        <v>Sumi342191</v>
      </c>
      <c r="B2192">
        <v>2191</v>
      </c>
      <c r="C2192">
        <v>22</v>
      </c>
      <c r="D2192">
        <v>6</v>
      </c>
      <c r="E2192">
        <v>2023</v>
      </c>
      <c r="F2192" s="1">
        <f t="shared" si="172"/>
        <v>45099</v>
      </c>
      <c r="G2192" s="1" t="s">
        <v>643</v>
      </c>
      <c r="H2192" s="2">
        <v>46668</v>
      </c>
      <c r="I2192" t="s">
        <v>26</v>
      </c>
      <c r="J2192">
        <v>3</v>
      </c>
      <c r="K2192">
        <v>57393.14</v>
      </c>
      <c r="L2192" t="s">
        <v>695</v>
      </c>
      <c r="M2192">
        <v>34</v>
      </c>
      <c r="N2192" t="s">
        <v>21</v>
      </c>
      <c r="O2192" s="3" t="s">
        <v>22</v>
      </c>
      <c r="P2192" t="s">
        <v>33</v>
      </c>
      <c r="Q2192" t="s">
        <v>24</v>
      </c>
      <c r="R2192">
        <v>4</v>
      </c>
      <c r="S2192" t="s">
        <v>67</v>
      </c>
      <c r="T2192" s="4">
        <f t="shared" si="173"/>
        <v>172179.41999999998</v>
      </c>
      <c r="U2192" s="4" t="str">
        <f t="shared" si="174"/>
        <v>Good</v>
      </c>
      <c r="V2192" s="4" t="str">
        <f t="shared" si="175"/>
        <v>Good</v>
      </c>
      <c r="W2192" s="4"/>
      <c r="X2192" s="4"/>
      <c r="AJ2192" s="4"/>
    </row>
    <row r="2193" spans="1:36">
      <c r="A2193" t="str">
        <f t="shared" si="171"/>
        <v>Pooj512192</v>
      </c>
      <c r="B2193">
        <v>2192</v>
      </c>
      <c r="C2193">
        <v>23</v>
      </c>
      <c r="D2193">
        <v>6</v>
      </c>
      <c r="E2193">
        <v>2023</v>
      </c>
      <c r="F2193" s="1">
        <f t="shared" si="172"/>
        <v>45100</v>
      </c>
      <c r="G2193" s="1" t="s">
        <v>643</v>
      </c>
      <c r="H2193" s="2">
        <v>46669</v>
      </c>
      <c r="I2193" t="s">
        <v>49</v>
      </c>
      <c r="J2193">
        <v>8</v>
      </c>
      <c r="K2193">
        <v>48072.1</v>
      </c>
      <c r="L2193" t="s">
        <v>108</v>
      </c>
      <c r="M2193">
        <v>51</v>
      </c>
      <c r="N2193" t="s">
        <v>61</v>
      </c>
      <c r="O2193" s="3" t="s">
        <v>22</v>
      </c>
      <c r="P2193" t="s">
        <v>29</v>
      </c>
      <c r="Q2193" t="s">
        <v>56</v>
      </c>
      <c r="R2193">
        <v>5</v>
      </c>
      <c r="S2193" t="s">
        <v>88</v>
      </c>
      <c r="T2193" s="4">
        <f t="shared" si="173"/>
        <v>384576.8</v>
      </c>
      <c r="U2193" s="4" t="str">
        <f t="shared" si="174"/>
        <v>Good</v>
      </c>
      <c r="V2193" s="4" t="str">
        <f t="shared" si="175"/>
        <v>Excellent</v>
      </c>
      <c r="W2193" s="4"/>
      <c r="X2193" s="4"/>
      <c r="AJ2193" s="4"/>
    </row>
    <row r="2194" spans="1:36">
      <c r="A2194" t="str">
        <f t="shared" si="171"/>
        <v>Arun492193</v>
      </c>
      <c r="B2194">
        <v>2193</v>
      </c>
      <c r="C2194">
        <v>23</v>
      </c>
      <c r="D2194">
        <v>6</v>
      </c>
      <c r="E2194">
        <v>2023</v>
      </c>
      <c r="F2194" s="1">
        <f t="shared" si="172"/>
        <v>45100</v>
      </c>
      <c r="G2194" s="1" t="s">
        <v>643</v>
      </c>
      <c r="H2194" s="2">
        <v>46670</v>
      </c>
      <c r="I2194" t="s">
        <v>38</v>
      </c>
      <c r="J2194">
        <v>4</v>
      </c>
      <c r="K2194">
        <v>41962.7</v>
      </c>
      <c r="L2194" t="s">
        <v>492</v>
      </c>
      <c r="M2194">
        <v>49</v>
      </c>
      <c r="N2194" t="s">
        <v>61</v>
      </c>
      <c r="O2194" s="3" t="s">
        <v>22</v>
      </c>
      <c r="P2194" t="s">
        <v>132</v>
      </c>
      <c r="Q2194" t="s">
        <v>41</v>
      </c>
      <c r="R2194">
        <v>4</v>
      </c>
      <c r="S2194" t="s">
        <v>42</v>
      </c>
      <c r="T2194" s="4">
        <f t="shared" si="173"/>
        <v>167850.8</v>
      </c>
      <c r="U2194" s="4" t="str">
        <f t="shared" si="174"/>
        <v>Good</v>
      </c>
      <c r="V2194" s="4" t="str">
        <f t="shared" si="175"/>
        <v>Good</v>
      </c>
      <c r="W2194" s="4"/>
      <c r="X2194" s="4"/>
      <c r="AJ2194" s="4"/>
    </row>
    <row r="2195" spans="1:36">
      <c r="A2195" t="str">
        <f t="shared" si="171"/>
        <v>Deep402194</v>
      </c>
      <c r="B2195">
        <v>2194</v>
      </c>
      <c r="C2195">
        <v>23</v>
      </c>
      <c r="D2195">
        <v>6</v>
      </c>
      <c r="E2195">
        <v>2023</v>
      </c>
      <c r="F2195" s="1">
        <f t="shared" si="172"/>
        <v>45100</v>
      </c>
      <c r="G2195" s="1" t="s">
        <v>643</v>
      </c>
      <c r="H2195" s="2">
        <v>46671</v>
      </c>
      <c r="I2195" t="s">
        <v>43</v>
      </c>
      <c r="J2195">
        <v>1</v>
      </c>
      <c r="K2195">
        <v>33551.57</v>
      </c>
      <c r="L2195" t="s">
        <v>830</v>
      </c>
      <c r="M2195">
        <v>40</v>
      </c>
      <c r="N2195" t="s">
        <v>21</v>
      </c>
      <c r="O2195" s="3" t="s">
        <v>22</v>
      </c>
      <c r="P2195" t="s">
        <v>137</v>
      </c>
      <c r="Q2195" t="s">
        <v>56</v>
      </c>
      <c r="R2195">
        <v>5</v>
      </c>
      <c r="S2195" t="s">
        <v>46</v>
      </c>
      <c r="T2195" s="4">
        <f t="shared" si="173"/>
        <v>33551.57</v>
      </c>
      <c r="U2195" s="4" t="str">
        <f t="shared" si="174"/>
        <v>Good</v>
      </c>
      <c r="V2195" s="4" t="str">
        <f t="shared" si="175"/>
        <v>Low</v>
      </c>
      <c r="W2195" s="4"/>
      <c r="X2195" s="4"/>
      <c r="AJ2195" s="4"/>
    </row>
    <row r="2196" spans="1:36">
      <c r="A2196" t="str">
        <f t="shared" si="171"/>
        <v>Deve522195</v>
      </c>
      <c r="B2196">
        <v>2195</v>
      </c>
      <c r="C2196">
        <v>24</v>
      </c>
      <c r="D2196">
        <v>6</v>
      </c>
      <c r="E2196">
        <v>2023</v>
      </c>
      <c r="F2196" s="1">
        <f t="shared" si="172"/>
        <v>45101</v>
      </c>
      <c r="G2196" s="1" t="s">
        <v>643</v>
      </c>
      <c r="H2196" s="2">
        <v>46672</v>
      </c>
      <c r="I2196" t="s">
        <v>49</v>
      </c>
      <c r="J2196">
        <v>6</v>
      </c>
      <c r="K2196">
        <v>27483.06</v>
      </c>
      <c r="L2196" t="s">
        <v>702</v>
      </c>
      <c r="M2196">
        <v>52</v>
      </c>
      <c r="N2196" t="s">
        <v>61</v>
      </c>
      <c r="O2196" s="3" t="s">
        <v>22</v>
      </c>
      <c r="P2196" t="s">
        <v>33</v>
      </c>
      <c r="Q2196" t="s">
        <v>41</v>
      </c>
      <c r="R2196">
        <v>4</v>
      </c>
      <c r="S2196" t="s">
        <v>102</v>
      </c>
      <c r="T2196" s="4">
        <f t="shared" si="173"/>
        <v>164898.36000000002</v>
      </c>
      <c r="U2196" s="4" t="str">
        <f t="shared" si="174"/>
        <v>Good</v>
      </c>
      <c r="V2196" s="4" t="str">
        <f t="shared" si="175"/>
        <v>Good</v>
      </c>
      <c r="W2196" s="4"/>
      <c r="X2196" s="4"/>
      <c r="AJ2196" s="4"/>
    </row>
    <row r="2197" spans="1:36">
      <c r="A2197" t="str">
        <f t="shared" si="171"/>
        <v>Pank542196</v>
      </c>
      <c r="B2197">
        <v>2196</v>
      </c>
      <c r="C2197">
        <v>24</v>
      </c>
      <c r="D2197">
        <v>6</v>
      </c>
      <c r="E2197">
        <v>2023</v>
      </c>
      <c r="F2197" s="1">
        <f t="shared" si="172"/>
        <v>45101</v>
      </c>
      <c r="G2197" s="1" t="s">
        <v>643</v>
      </c>
      <c r="H2197" s="2">
        <v>46673</v>
      </c>
      <c r="I2197" t="s">
        <v>49</v>
      </c>
      <c r="J2197">
        <v>1</v>
      </c>
      <c r="K2197">
        <v>59364.19</v>
      </c>
      <c r="L2197" t="s">
        <v>94</v>
      </c>
      <c r="M2197">
        <v>54</v>
      </c>
      <c r="N2197" t="s">
        <v>61</v>
      </c>
      <c r="O2197" s="3" t="s">
        <v>55</v>
      </c>
      <c r="P2197" t="s">
        <v>137</v>
      </c>
      <c r="Q2197" t="s">
        <v>56</v>
      </c>
      <c r="R2197">
        <v>1</v>
      </c>
      <c r="S2197" t="s">
        <v>102</v>
      </c>
      <c r="T2197" s="4">
        <f t="shared" si="173"/>
        <v>59364.19</v>
      </c>
      <c r="U2197" s="4" t="str">
        <f t="shared" si="174"/>
        <v>Average</v>
      </c>
      <c r="V2197" s="4" t="str">
        <f t="shared" si="175"/>
        <v>Average</v>
      </c>
      <c r="W2197" s="4"/>
      <c r="X2197" s="4"/>
      <c r="AJ2197" s="4"/>
    </row>
    <row r="2198" spans="1:36">
      <c r="A2198" t="str">
        <f t="shared" si="171"/>
        <v>Mala582197</v>
      </c>
      <c r="B2198">
        <v>2197</v>
      </c>
      <c r="C2198">
        <v>24</v>
      </c>
      <c r="D2198">
        <v>6</v>
      </c>
      <c r="E2198">
        <v>2023</v>
      </c>
      <c r="F2198" s="1">
        <f t="shared" si="172"/>
        <v>45101</v>
      </c>
      <c r="G2198" s="1" t="s">
        <v>643</v>
      </c>
      <c r="H2198" s="2">
        <v>46674</v>
      </c>
      <c r="I2198" t="s">
        <v>43</v>
      </c>
      <c r="J2198">
        <v>5</v>
      </c>
      <c r="K2198">
        <v>37084.46</v>
      </c>
      <c r="L2198" t="s">
        <v>514</v>
      </c>
      <c r="M2198">
        <v>58</v>
      </c>
      <c r="N2198" t="s">
        <v>61</v>
      </c>
      <c r="O2198" s="3" t="s">
        <v>55</v>
      </c>
      <c r="P2198" t="s">
        <v>29</v>
      </c>
      <c r="Q2198" t="s">
        <v>30</v>
      </c>
      <c r="R2198">
        <v>2</v>
      </c>
      <c r="S2198" t="s">
        <v>95</v>
      </c>
      <c r="T2198" s="4">
        <f t="shared" si="173"/>
        <v>185422.3</v>
      </c>
      <c r="U2198" s="4" t="str">
        <f t="shared" si="174"/>
        <v>Average</v>
      </c>
      <c r="V2198" s="4" t="str">
        <f t="shared" si="175"/>
        <v>Good</v>
      </c>
      <c r="W2198" s="4"/>
      <c r="X2198" s="4"/>
      <c r="AJ2198" s="4"/>
    </row>
    <row r="2199" spans="1:36">
      <c r="A2199" t="str">
        <f t="shared" si="171"/>
        <v>Mano542198</v>
      </c>
      <c r="B2199">
        <v>2198</v>
      </c>
      <c r="C2199">
        <v>24</v>
      </c>
      <c r="D2199">
        <v>6</v>
      </c>
      <c r="E2199">
        <v>2023</v>
      </c>
      <c r="F2199" s="1">
        <f t="shared" si="172"/>
        <v>45101</v>
      </c>
      <c r="G2199" s="1" t="s">
        <v>643</v>
      </c>
      <c r="H2199" s="2">
        <v>46675</v>
      </c>
      <c r="I2199" t="s">
        <v>43</v>
      </c>
      <c r="J2199">
        <v>7</v>
      </c>
      <c r="K2199">
        <v>40086.85</v>
      </c>
      <c r="L2199" t="s">
        <v>74</v>
      </c>
      <c r="M2199">
        <v>54</v>
      </c>
      <c r="N2199" t="s">
        <v>61</v>
      </c>
      <c r="O2199" s="3" t="s">
        <v>55</v>
      </c>
      <c r="P2199" t="s">
        <v>117</v>
      </c>
      <c r="Q2199" t="s">
        <v>41</v>
      </c>
      <c r="R2199">
        <v>2</v>
      </c>
      <c r="S2199" t="s">
        <v>46</v>
      </c>
      <c r="T2199" s="4">
        <f t="shared" si="173"/>
        <v>280607.95</v>
      </c>
      <c r="U2199" s="4" t="str">
        <f t="shared" si="174"/>
        <v>Average</v>
      </c>
      <c r="V2199" s="4" t="str">
        <f t="shared" si="175"/>
        <v>Excellent</v>
      </c>
      <c r="W2199" s="4"/>
      <c r="X2199" s="4"/>
      <c r="AJ2199" s="4"/>
    </row>
    <row r="2200" spans="1:36">
      <c r="A2200" t="str">
        <f t="shared" si="171"/>
        <v>Pooj502199</v>
      </c>
      <c r="B2200">
        <v>2199</v>
      </c>
      <c r="C2200">
        <v>25</v>
      </c>
      <c r="D2200">
        <v>6</v>
      </c>
      <c r="E2200">
        <v>2023</v>
      </c>
      <c r="F2200" s="1">
        <f t="shared" si="172"/>
        <v>45102</v>
      </c>
      <c r="G2200" s="1" t="s">
        <v>643</v>
      </c>
      <c r="H2200" s="2">
        <v>46676</v>
      </c>
      <c r="I2200" t="s">
        <v>26</v>
      </c>
      <c r="J2200">
        <v>6</v>
      </c>
      <c r="K2200">
        <v>41249.72</v>
      </c>
      <c r="L2200" t="s">
        <v>816</v>
      </c>
      <c r="M2200">
        <v>50</v>
      </c>
      <c r="N2200" t="s">
        <v>61</v>
      </c>
      <c r="O2200" s="3" t="s">
        <v>55</v>
      </c>
      <c r="P2200" t="s">
        <v>110</v>
      </c>
      <c r="Q2200" t="s">
        <v>24</v>
      </c>
      <c r="R2200">
        <v>2</v>
      </c>
      <c r="S2200" t="s">
        <v>31</v>
      </c>
      <c r="T2200" s="4">
        <f t="shared" si="173"/>
        <v>247498.32</v>
      </c>
      <c r="U2200" s="4" t="str">
        <f t="shared" si="174"/>
        <v>Average</v>
      </c>
      <c r="V2200" s="4" t="str">
        <f t="shared" si="175"/>
        <v>Excellent</v>
      </c>
      <c r="W2200" s="4"/>
      <c r="X2200" s="4"/>
      <c r="AJ2200" s="4"/>
    </row>
    <row r="2201" spans="1:36">
      <c r="A2201" t="str">
        <f t="shared" si="171"/>
        <v>Ravi422200</v>
      </c>
      <c r="B2201">
        <v>2200</v>
      </c>
      <c r="C2201">
        <v>25</v>
      </c>
      <c r="D2201">
        <v>6</v>
      </c>
      <c r="E2201">
        <v>2023</v>
      </c>
      <c r="F2201" s="1">
        <f t="shared" si="172"/>
        <v>45102</v>
      </c>
      <c r="G2201" s="1" t="s">
        <v>643</v>
      </c>
      <c r="H2201" s="2">
        <v>46677</v>
      </c>
      <c r="I2201" t="s">
        <v>38</v>
      </c>
      <c r="J2201">
        <v>2</v>
      </c>
      <c r="K2201">
        <v>36902.019999999997</v>
      </c>
      <c r="L2201" t="s">
        <v>980</v>
      </c>
      <c r="M2201">
        <v>42</v>
      </c>
      <c r="N2201" t="s">
        <v>21</v>
      </c>
      <c r="O2201" s="3" t="s">
        <v>55</v>
      </c>
      <c r="P2201" t="s">
        <v>29</v>
      </c>
      <c r="Q2201" t="s">
        <v>24</v>
      </c>
      <c r="R2201">
        <v>2</v>
      </c>
      <c r="S2201" t="s">
        <v>48</v>
      </c>
      <c r="T2201" s="4">
        <f t="shared" si="173"/>
        <v>73804.039999999994</v>
      </c>
      <c r="U2201" s="4" t="str">
        <f t="shared" si="174"/>
        <v>Average</v>
      </c>
      <c r="V2201" s="4" t="str">
        <f t="shared" si="175"/>
        <v>Average</v>
      </c>
      <c r="W2201" s="4"/>
      <c r="X2201" s="4"/>
      <c r="AJ2201" s="4"/>
    </row>
    <row r="2202" spans="1:36">
      <c r="A2202" t="str">
        <f t="shared" si="171"/>
        <v>Raje542201</v>
      </c>
      <c r="B2202">
        <v>2201</v>
      </c>
      <c r="C2202">
        <v>25</v>
      </c>
      <c r="D2202">
        <v>6</v>
      </c>
      <c r="E2202">
        <v>2023</v>
      </c>
      <c r="F2202" s="1">
        <f t="shared" si="172"/>
        <v>45102</v>
      </c>
      <c r="G2202" s="1" t="s">
        <v>643</v>
      </c>
      <c r="H2202" s="2">
        <v>46678</v>
      </c>
      <c r="I2202" t="s">
        <v>38</v>
      </c>
      <c r="J2202">
        <v>4</v>
      </c>
      <c r="K2202">
        <v>25365.31</v>
      </c>
      <c r="L2202" t="s">
        <v>981</v>
      </c>
      <c r="M2202">
        <v>54</v>
      </c>
      <c r="N2202" t="s">
        <v>61</v>
      </c>
      <c r="O2202" s="3" t="s">
        <v>22</v>
      </c>
      <c r="P2202" t="s">
        <v>114</v>
      </c>
      <c r="Q2202" t="s">
        <v>56</v>
      </c>
      <c r="R2202">
        <v>4</v>
      </c>
      <c r="S2202" t="s">
        <v>48</v>
      </c>
      <c r="T2202" s="4">
        <f t="shared" si="173"/>
        <v>101461.24</v>
      </c>
      <c r="U2202" s="4" t="str">
        <f t="shared" si="174"/>
        <v>Good</v>
      </c>
      <c r="V2202" s="4" t="str">
        <f t="shared" si="175"/>
        <v>Good</v>
      </c>
      <c r="W2202" s="4"/>
      <c r="X2202" s="4"/>
      <c r="AJ2202" s="4"/>
    </row>
    <row r="2203" spans="1:36">
      <c r="A2203" t="str">
        <f t="shared" si="171"/>
        <v>Amit572202</v>
      </c>
      <c r="B2203">
        <v>2202</v>
      </c>
      <c r="C2203">
        <v>26</v>
      </c>
      <c r="D2203">
        <v>6</v>
      </c>
      <c r="E2203">
        <v>2023</v>
      </c>
      <c r="F2203" s="1">
        <f t="shared" si="172"/>
        <v>45103</v>
      </c>
      <c r="G2203" s="1" t="s">
        <v>643</v>
      </c>
      <c r="H2203" s="2">
        <v>46679</v>
      </c>
      <c r="I2203" t="s">
        <v>43</v>
      </c>
      <c r="J2203">
        <v>2</v>
      </c>
      <c r="K2203">
        <v>17220.43</v>
      </c>
      <c r="L2203" t="s">
        <v>751</v>
      </c>
      <c r="M2203">
        <v>57</v>
      </c>
      <c r="N2203" t="s">
        <v>61</v>
      </c>
      <c r="O2203" s="3" t="s">
        <v>55</v>
      </c>
      <c r="P2203" t="s">
        <v>33</v>
      </c>
      <c r="Q2203" t="s">
        <v>30</v>
      </c>
      <c r="R2203">
        <v>2</v>
      </c>
      <c r="S2203" t="s">
        <v>46</v>
      </c>
      <c r="T2203" s="4">
        <f t="shared" si="173"/>
        <v>34440.86</v>
      </c>
      <c r="U2203" s="4" t="str">
        <f t="shared" si="174"/>
        <v>Average</v>
      </c>
      <c r="V2203" s="4" t="str">
        <f t="shared" si="175"/>
        <v>Low</v>
      </c>
      <c r="W2203" s="4"/>
      <c r="X2203" s="4"/>
      <c r="AJ2203" s="4"/>
    </row>
    <row r="2204" spans="1:36">
      <c r="A2204" t="str">
        <f t="shared" si="171"/>
        <v>Anan382203</v>
      </c>
      <c r="B2204">
        <v>2203</v>
      </c>
      <c r="C2204">
        <v>26</v>
      </c>
      <c r="D2204">
        <v>6</v>
      </c>
      <c r="E2204">
        <v>2023</v>
      </c>
      <c r="F2204" s="1">
        <f t="shared" si="172"/>
        <v>45103</v>
      </c>
      <c r="G2204" s="1" t="s">
        <v>643</v>
      </c>
      <c r="H2204" s="2">
        <v>46680</v>
      </c>
      <c r="I2204" t="s">
        <v>19</v>
      </c>
      <c r="J2204">
        <v>1</v>
      </c>
      <c r="K2204">
        <v>15912.24</v>
      </c>
      <c r="L2204" t="s">
        <v>403</v>
      </c>
      <c r="M2204">
        <v>38</v>
      </c>
      <c r="N2204" t="s">
        <v>21</v>
      </c>
      <c r="O2204" s="3" t="s">
        <v>22</v>
      </c>
      <c r="P2204" t="s">
        <v>33</v>
      </c>
      <c r="Q2204" t="s">
        <v>56</v>
      </c>
      <c r="R2204">
        <v>4</v>
      </c>
      <c r="S2204" t="s">
        <v>84</v>
      </c>
      <c r="T2204" s="4">
        <f t="shared" si="173"/>
        <v>15912.24</v>
      </c>
      <c r="U2204" s="4" t="str">
        <f t="shared" si="174"/>
        <v>Good</v>
      </c>
      <c r="V2204" s="4" t="str">
        <f t="shared" si="175"/>
        <v>Low</v>
      </c>
      <c r="W2204" s="4"/>
      <c r="X2204" s="4"/>
      <c r="AJ2204" s="4"/>
    </row>
    <row r="2205" spans="1:36">
      <c r="A2205" t="str">
        <f t="shared" si="171"/>
        <v>Bina552204</v>
      </c>
      <c r="B2205">
        <v>2204</v>
      </c>
      <c r="C2205">
        <v>26</v>
      </c>
      <c r="D2205">
        <v>6</v>
      </c>
      <c r="E2205">
        <v>2023</v>
      </c>
      <c r="F2205" s="1">
        <f t="shared" si="172"/>
        <v>45103</v>
      </c>
      <c r="G2205" s="1" t="s">
        <v>643</v>
      </c>
      <c r="H2205" s="2">
        <v>46681</v>
      </c>
      <c r="I2205" t="s">
        <v>49</v>
      </c>
      <c r="J2205">
        <v>3</v>
      </c>
      <c r="K2205">
        <v>55447.75</v>
      </c>
      <c r="L2205" t="s">
        <v>463</v>
      </c>
      <c r="M2205">
        <v>55</v>
      </c>
      <c r="N2205" t="s">
        <v>61</v>
      </c>
      <c r="O2205" s="3" t="s">
        <v>55</v>
      </c>
      <c r="P2205" t="s">
        <v>137</v>
      </c>
      <c r="Q2205" t="s">
        <v>56</v>
      </c>
      <c r="R2205">
        <v>1</v>
      </c>
      <c r="S2205" t="s">
        <v>52</v>
      </c>
      <c r="T2205" s="4">
        <f t="shared" si="173"/>
        <v>166343.25</v>
      </c>
      <c r="U2205" s="4" t="str">
        <f t="shared" si="174"/>
        <v>Average</v>
      </c>
      <c r="V2205" s="4" t="str">
        <f t="shared" si="175"/>
        <v>Good</v>
      </c>
      <c r="W2205" s="4"/>
      <c r="X2205" s="4"/>
      <c r="AJ2205" s="4"/>
    </row>
    <row r="2206" spans="1:36">
      <c r="A2206" t="str">
        <f t="shared" si="171"/>
        <v>Kavi572205</v>
      </c>
      <c r="B2206">
        <v>2205</v>
      </c>
      <c r="C2206">
        <v>26</v>
      </c>
      <c r="D2206">
        <v>6</v>
      </c>
      <c r="E2206">
        <v>2023</v>
      </c>
      <c r="F2206" s="1">
        <f t="shared" si="172"/>
        <v>45103</v>
      </c>
      <c r="G2206" s="1" t="s">
        <v>643</v>
      </c>
      <c r="H2206" s="2">
        <v>46682</v>
      </c>
      <c r="I2206" t="s">
        <v>49</v>
      </c>
      <c r="J2206">
        <v>3</v>
      </c>
      <c r="K2206">
        <v>23411.67</v>
      </c>
      <c r="L2206" t="s">
        <v>736</v>
      </c>
      <c r="M2206">
        <v>57</v>
      </c>
      <c r="N2206" t="s">
        <v>61</v>
      </c>
      <c r="O2206" s="3" t="s">
        <v>22</v>
      </c>
      <c r="P2206" t="s">
        <v>51</v>
      </c>
      <c r="Q2206" t="s">
        <v>30</v>
      </c>
      <c r="R2206">
        <v>4</v>
      </c>
      <c r="S2206" t="s">
        <v>88</v>
      </c>
      <c r="T2206" s="4">
        <f t="shared" si="173"/>
        <v>70235.009999999995</v>
      </c>
      <c r="U2206" s="4" t="str">
        <f t="shared" si="174"/>
        <v>Good</v>
      </c>
      <c r="V2206" s="4" t="str">
        <f t="shared" si="175"/>
        <v>Average</v>
      </c>
      <c r="W2206" s="4"/>
      <c r="X2206" s="4"/>
      <c r="AJ2206" s="4"/>
    </row>
    <row r="2207" spans="1:36">
      <c r="A2207" t="str">
        <f t="shared" si="171"/>
        <v>Isha512206</v>
      </c>
      <c r="B2207">
        <v>2206</v>
      </c>
      <c r="C2207">
        <v>27</v>
      </c>
      <c r="D2207">
        <v>6</v>
      </c>
      <c r="E2207">
        <v>2023</v>
      </c>
      <c r="F2207" s="1">
        <f t="shared" si="172"/>
        <v>45104</v>
      </c>
      <c r="G2207" s="1" t="s">
        <v>643</v>
      </c>
      <c r="H2207" s="2">
        <v>46683</v>
      </c>
      <c r="I2207" t="s">
        <v>43</v>
      </c>
      <c r="J2207">
        <v>7</v>
      </c>
      <c r="K2207">
        <v>13340.37</v>
      </c>
      <c r="L2207" t="s">
        <v>82</v>
      </c>
      <c r="M2207">
        <v>51</v>
      </c>
      <c r="N2207" t="s">
        <v>61</v>
      </c>
      <c r="O2207" s="3" t="s">
        <v>22</v>
      </c>
      <c r="P2207" t="s">
        <v>90</v>
      </c>
      <c r="Q2207" t="s">
        <v>41</v>
      </c>
      <c r="R2207">
        <v>4</v>
      </c>
      <c r="S2207" t="s">
        <v>57</v>
      </c>
      <c r="T2207" s="4">
        <f t="shared" si="173"/>
        <v>93382.590000000011</v>
      </c>
      <c r="U2207" s="4" t="str">
        <f t="shared" si="174"/>
        <v>Good</v>
      </c>
      <c r="V2207" s="4" t="str">
        <f t="shared" si="175"/>
        <v>Average</v>
      </c>
      <c r="W2207" s="4"/>
      <c r="X2207" s="4"/>
      <c r="AJ2207" s="4"/>
    </row>
    <row r="2208" spans="1:36">
      <c r="A2208" t="str">
        <f t="shared" si="171"/>
        <v>Anja362207</v>
      </c>
      <c r="B2208">
        <v>2207</v>
      </c>
      <c r="C2208">
        <v>27</v>
      </c>
      <c r="D2208">
        <v>6</v>
      </c>
      <c r="E2208">
        <v>2023</v>
      </c>
      <c r="F2208" s="1">
        <f t="shared" si="172"/>
        <v>45104</v>
      </c>
      <c r="G2208" s="1" t="s">
        <v>643</v>
      </c>
      <c r="H2208" s="2">
        <v>46684</v>
      </c>
      <c r="I2208" t="s">
        <v>19</v>
      </c>
      <c r="J2208">
        <v>1</v>
      </c>
      <c r="K2208">
        <v>57851.040000000001</v>
      </c>
      <c r="L2208" t="s">
        <v>927</v>
      </c>
      <c r="M2208">
        <v>36</v>
      </c>
      <c r="N2208" t="s">
        <v>21</v>
      </c>
      <c r="O2208" s="3" t="s">
        <v>22</v>
      </c>
      <c r="P2208" t="s">
        <v>33</v>
      </c>
      <c r="Q2208" t="s">
        <v>24</v>
      </c>
      <c r="R2208">
        <v>4</v>
      </c>
      <c r="S2208" t="s">
        <v>84</v>
      </c>
      <c r="T2208" s="4">
        <f t="shared" si="173"/>
        <v>57851.040000000001</v>
      </c>
      <c r="U2208" s="4" t="str">
        <f t="shared" si="174"/>
        <v>Good</v>
      </c>
      <c r="V2208" s="4" t="str">
        <f t="shared" si="175"/>
        <v>Average</v>
      </c>
      <c r="W2208" s="4"/>
      <c r="X2208" s="4"/>
      <c r="AJ2208" s="4"/>
    </row>
    <row r="2209" spans="1:36">
      <c r="A2209" t="str">
        <f t="shared" si="171"/>
        <v>Vive442208</v>
      </c>
      <c r="B2209">
        <v>2208</v>
      </c>
      <c r="C2209">
        <v>27</v>
      </c>
      <c r="D2209">
        <v>6</v>
      </c>
      <c r="E2209">
        <v>2023</v>
      </c>
      <c r="F2209" s="1">
        <f t="shared" si="172"/>
        <v>45104</v>
      </c>
      <c r="G2209" s="1" t="s">
        <v>643</v>
      </c>
      <c r="H2209" s="2">
        <v>46685</v>
      </c>
      <c r="I2209" t="s">
        <v>26</v>
      </c>
      <c r="J2209">
        <v>9</v>
      </c>
      <c r="K2209">
        <v>19243.7</v>
      </c>
      <c r="L2209" t="s">
        <v>490</v>
      </c>
      <c r="M2209">
        <v>44</v>
      </c>
      <c r="N2209" t="s">
        <v>21</v>
      </c>
      <c r="O2209" s="3" t="s">
        <v>22</v>
      </c>
      <c r="P2209" t="s">
        <v>33</v>
      </c>
      <c r="Q2209" t="s">
        <v>30</v>
      </c>
      <c r="R2209">
        <v>4</v>
      </c>
      <c r="S2209" t="s">
        <v>34</v>
      </c>
      <c r="T2209" s="4">
        <f t="shared" si="173"/>
        <v>173193.30000000002</v>
      </c>
      <c r="U2209" s="4" t="str">
        <f t="shared" si="174"/>
        <v>Good</v>
      </c>
      <c r="V2209" s="4" t="str">
        <f t="shared" si="175"/>
        <v>Good</v>
      </c>
      <c r="W2209" s="4"/>
      <c r="X2209" s="4"/>
      <c r="AJ2209" s="4"/>
    </row>
    <row r="2210" spans="1:36">
      <c r="A2210" t="str">
        <f t="shared" si="171"/>
        <v>Mala262209</v>
      </c>
      <c r="B2210">
        <v>2209</v>
      </c>
      <c r="C2210">
        <v>28</v>
      </c>
      <c r="D2210">
        <v>6</v>
      </c>
      <c r="E2210">
        <v>2023</v>
      </c>
      <c r="F2210" s="1">
        <f t="shared" si="172"/>
        <v>45105</v>
      </c>
      <c r="G2210" s="1" t="s">
        <v>643</v>
      </c>
      <c r="H2210" s="2">
        <v>46686</v>
      </c>
      <c r="I2210" t="s">
        <v>43</v>
      </c>
      <c r="J2210">
        <v>6</v>
      </c>
      <c r="K2210">
        <v>47508.77</v>
      </c>
      <c r="L2210" t="s">
        <v>510</v>
      </c>
      <c r="M2210">
        <v>26</v>
      </c>
      <c r="N2210" t="s">
        <v>36</v>
      </c>
      <c r="O2210" s="3" t="s">
        <v>22</v>
      </c>
      <c r="P2210" t="s">
        <v>33</v>
      </c>
      <c r="Q2210" t="s">
        <v>56</v>
      </c>
      <c r="R2210">
        <v>4</v>
      </c>
      <c r="S2210" t="s">
        <v>95</v>
      </c>
      <c r="T2210" s="4">
        <f t="shared" si="173"/>
        <v>285052.62</v>
      </c>
      <c r="U2210" s="4" t="str">
        <f t="shared" si="174"/>
        <v>Good</v>
      </c>
      <c r="V2210" s="4" t="str">
        <f t="shared" si="175"/>
        <v>Excellent</v>
      </c>
      <c r="W2210" s="4"/>
      <c r="X2210" s="4"/>
      <c r="AJ2210" s="4"/>
    </row>
    <row r="2211" spans="1:36">
      <c r="A2211" t="str">
        <f t="shared" si="171"/>
        <v>Priy222210</v>
      </c>
      <c r="B2211">
        <v>2210</v>
      </c>
      <c r="C2211">
        <v>28</v>
      </c>
      <c r="D2211">
        <v>6</v>
      </c>
      <c r="E2211">
        <v>2023</v>
      </c>
      <c r="F2211" s="1">
        <f t="shared" si="172"/>
        <v>45105</v>
      </c>
      <c r="G2211" s="1" t="s">
        <v>643</v>
      </c>
      <c r="H2211" s="2">
        <v>46687</v>
      </c>
      <c r="I2211" t="s">
        <v>43</v>
      </c>
      <c r="J2211">
        <v>4</v>
      </c>
      <c r="K2211">
        <v>30318.6</v>
      </c>
      <c r="L2211" t="s">
        <v>107</v>
      </c>
      <c r="M2211">
        <v>22</v>
      </c>
      <c r="N2211" t="s">
        <v>36</v>
      </c>
      <c r="O2211" s="3" t="s">
        <v>22</v>
      </c>
      <c r="P2211" t="s">
        <v>29</v>
      </c>
      <c r="Q2211" t="s">
        <v>41</v>
      </c>
      <c r="R2211">
        <v>4</v>
      </c>
      <c r="S2211" t="s">
        <v>57</v>
      </c>
      <c r="T2211" s="4">
        <f t="shared" si="173"/>
        <v>121274.4</v>
      </c>
      <c r="U2211" s="4" t="str">
        <f t="shared" si="174"/>
        <v>Good</v>
      </c>
      <c r="V2211" s="4" t="str">
        <f t="shared" si="175"/>
        <v>Good</v>
      </c>
      <c r="W2211" s="4"/>
      <c r="X2211" s="4"/>
      <c r="AJ2211" s="4"/>
    </row>
    <row r="2212" spans="1:36">
      <c r="A2212" t="str">
        <f t="shared" si="171"/>
        <v>Mala222211</v>
      </c>
      <c r="B2212">
        <v>2211</v>
      </c>
      <c r="C2212">
        <v>28</v>
      </c>
      <c r="D2212">
        <v>6</v>
      </c>
      <c r="E2212">
        <v>2023</v>
      </c>
      <c r="F2212" s="1">
        <f t="shared" si="172"/>
        <v>45105</v>
      </c>
      <c r="G2212" s="1" t="s">
        <v>643</v>
      </c>
      <c r="H2212" s="2">
        <v>46688</v>
      </c>
      <c r="I2212" t="s">
        <v>49</v>
      </c>
      <c r="J2212">
        <v>3</v>
      </c>
      <c r="K2212">
        <v>17588.82</v>
      </c>
      <c r="L2212" t="s">
        <v>672</v>
      </c>
      <c r="M2212">
        <v>22</v>
      </c>
      <c r="N2212" t="s">
        <v>36</v>
      </c>
      <c r="O2212" s="3" t="s">
        <v>55</v>
      </c>
      <c r="P2212" t="s">
        <v>29</v>
      </c>
      <c r="Q2212" t="s">
        <v>56</v>
      </c>
      <c r="R2212">
        <v>1</v>
      </c>
      <c r="S2212" t="s">
        <v>102</v>
      </c>
      <c r="T2212" s="4">
        <f t="shared" si="173"/>
        <v>52766.46</v>
      </c>
      <c r="U2212" s="4" t="str">
        <f t="shared" si="174"/>
        <v>Average</v>
      </c>
      <c r="V2212" s="4" t="str">
        <f t="shared" si="175"/>
        <v>Average</v>
      </c>
      <c r="W2212" s="4"/>
      <c r="X2212" s="4"/>
      <c r="AJ2212" s="4"/>
    </row>
    <row r="2213" spans="1:36">
      <c r="A2213" t="str">
        <f t="shared" si="171"/>
        <v>Bhav422212</v>
      </c>
      <c r="B2213">
        <v>2212</v>
      </c>
      <c r="C2213">
        <v>28</v>
      </c>
      <c r="D2213">
        <v>6</v>
      </c>
      <c r="E2213">
        <v>2023</v>
      </c>
      <c r="F2213" s="1">
        <f t="shared" si="172"/>
        <v>45105</v>
      </c>
      <c r="G2213" s="1" t="s">
        <v>643</v>
      </c>
      <c r="H2213" s="2">
        <v>46689</v>
      </c>
      <c r="I2213" t="s">
        <v>43</v>
      </c>
      <c r="J2213">
        <v>3</v>
      </c>
      <c r="K2213">
        <v>34868.86</v>
      </c>
      <c r="L2213" t="s">
        <v>326</v>
      </c>
      <c r="M2213">
        <v>42</v>
      </c>
      <c r="N2213" t="s">
        <v>21</v>
      </c>
      <c r="O2213" s="3" t="s">
        <v>22</v>
      </c>
      <c r="P2213" t="s">
        <v>23</v>
      </c>
      <c r="Q2213" t="s">
        <v>41</v>
      </c>
      <c r="R2213">
        <v>5</v>
      </c>
      <c r="S2213" t="s">
        <v>57</v>
      </c>
      <c r="T2213" s="4">
        <f t="shared" si="173"/>
        <v>104606.58</v>
      </c>
      <c r="U2213" s="4" t="str">
        <f t="shared" si="174"/>
        <v>Good</v>
      </c>
      <c r="V2213" s="4" t="str">
        <f t="shared" si="175"/>
        <v>Good</v>
      </c>
      <c r="W2213" s="4"/>
      <c r="X2213" s="4"/>
      <c r="AJ2213" s="4"/>
    </row>
    <row r="2214" spans="1:36">
      <c r="A2214" t="str">
        <f t="shared" si="171"/>
        <v>Suni432213</v>
      </c>
      <c r="B2214">
        <v>2213</v>
      </c>
      <c r="C2214">
        <v>29</v>
      </c>
      <c r="D2214">
        <v>6</v>
      </c>
      <c r="E2214">
        <v>2023</v>
      </c>
      <c r="F2214" s="1">
        <f t="shared" si="172"/>
        <v>45106</v>
      </c>
      <c r="G2214" s="1" t="s">
        <v>643</v>
      </c>
      <c r="H2214" s="2">
        <v>46690</v>
      </c>
      <c r="I2214" t="s">
        <v>43</v>
      </c>
      <c r="J2214">
        <v>2</v>
      </c>
      <c r="K2214">
        <v>10888.53</v>
      </c>
      <c r="L2214" t="s">
        <v>615</v>
      </c>
      <c r="M2214">
        <v>43</v>
      </c>
      <c r="N2214" t="s">
        <v>21</v>
      </c>
      <c r="O2214" s="3" t="s">
        <v>22</v>
      </c>
      <c r="P2214" t="s">
        <v>117</v>
      </c>
      <c r="Q2214" t="s">
        <v>24</v>
      </c>
      <c r="R2214">
        <v>4</v>
      </c>
      <c r="S2214" t="s">
        <v>57</v>
      </c>
      <c r="T2214" s="4">
        <f t="shared" si="173"/>
        <v>21777.06</v>
      </c>
      <c r="U2214" s="4" t="str">
        <f t="shared" si="174"/>
        <v>Good</v>
      </c>
      <c r="V2214" s="4" t="str">
        <f t="shared" si="175"/>
        <v>Low</v>
      </c>
      <c r="W2214" s="4"/>
      <c r="X2214" s="4"/>
      <c r="AJ2214" s="4"/>
    </row>
    <row r="2215" spans="1:36">
      <c r="A2215" t="str">
        <f t="shared" si="171"/>
        <v>Anja362214</v>
      </c>
      <c r="B2215">
        <v>2214</v>
      </c>
      <c r="C2215">
        <v>29</v>
      </c>
      <c r="D2215">
        <v>6</v>
      </c>
      <c r="E2215">
        <v>2023</v>
      </c>
      <c r="F2215" s="1">
        <f t="shared" si="172"/>
        <v>45106</v>
      </c>
      <c r="G2215" s="1" t="s">
        <v>643</v>
      </c>
      <c r="H2215" s="2">
        <v>46691</v>
      </c>
      <c r="I2215" t="s">
        <v>43</v>
      </c>
      <c r="J2215">
        <v>2</v>
      </c>
      <c r="K2215">
        <v>60462.7</v>
      </c>
      <c r="L2215" t="s">
        <v>982</v>
      </c>
      <c r="M2215">
        <v>36</v>
      </c>
      <c r="N2215" t="s">
        <v>21</v>
      </c>
      <c r="O2215" s="3" t="s">
        <v>22</v>
      </c>
      <c r="P2215" t="s">
        <v>137</v>
      </c>
      <c r="Q2215" t="s">
        <v>24</v>
      </c>
      <c r="R2215">
        <v>4</v>
      </c>
      <c r="S2215" t="s">
        <v>46</v>
      </c>
      <c r="T2215" s="4">
        <f t="shared" si="173"/>
        <v>120925.4</v>
      </c>
      <c r="U2215" s="4" t="str">
        <f t="shared" si="174"/>
        <v>Good</v>
      </c>
      <c r="V2215" s="4" t="str">
        <f t="shared" si="175"/>
        <v>Good</v>
      </c>
      <c r="W2215" s="4"/>
      <c r="X2215" s="4"/>
      <c r="AJ2215" s="4"/>
    </row>
    <row r="2216" spans="1:36">
      <c r="A2216" t="str">
        <f t="shared" si="171"/>
        <v>Sumi472215</v>
      </c>
      <c r="B2216">
        <v>2215</v>
      </c>
      <c r="C2216">
        <v>29</v>
      </c>
      <c r="D2216">
        <v>6</v>
      </c>
      <c r="E2216">
        <v>2023</v>
      </c>
      <c r="F2216" s="1">
        <f t="shared" si="172"/>
        <v>45106</v>
      </c>
      <c r="G2216" s="1" t="s">
        <v>643</v>
      </c>
      <c r="H2216" s="2">
        <v>46692</v>
      </c>
      <c r="I2216" t="s">
        <v>49</v>
      </c>
      <c r="J2216">
        <v>5</v>
      </c>
      <c r="K2216">
        <v>40809.879999999997</v>
      </c>
      <c r="L2216" t="s">
        <v>645</v>
      </c>
      <c r="M2216">
        <v>47</v>
      </c>
      <c r="N2216" t="s">
        <v>61</v>
      </c>
      <c r="O2216" s="3" t="s">
        <v>22</v>
      </c>
      <c r="P2216" t="s">
        <v>29</v>
      </c>
      <c r="Q2216" t="s">
        <v>41</v>
      </c>
      <c r="R2216">
        <v>4</v>
      </c>
      <c r="S2216" t="s">
        <v>52</v>
      </c>
      <c r="T2216" s="4">
        <f t="shared" si="173"/>
        <v>204049.4</v>
      </c>
      <c r="U2216" s="4" t="str">
        <f t="shared" si="174"/>
        <v>Good</v>
      </c>
      <c r="V2216" s="4" t="str">
        <f t="shared" si="175"/>
        <v>Excellent</v>
      </c>
      <c r="W2216" s="4"/>
      <c r="X2216" s="4"/>
      <c r="AJ2216" s="4"/>
    </row>
    <row r="2217" spans="1:36">
      <c r="A2217" t="str">
        <f t="shared" si="171"/>
        <v>Shru532216</v>
      </c>
      <c r="B2217">
        <v>2216</v>
      </c>
      <c r="C2217">
        <v>30</v>
      </c>
      <c r="D2217">
        <v>6</v>
      </c>
      <c r="E2217">
        <v>2023</v>
      </c>
      <c r="F2217" s="1">
        <f t="shared" si="172"/>
        <v>45107</v>
      </c>
      <c r="G2217" s="1" t="s">
        <v>643</v>
      </c>
      <c r="H2217" s="2">
        <v>46693</v>
      </c>
      <c r="I2217" t="s">
        <v>26</v>
      </c>
      <c r="J2217">
        <v>9</v>
      </c>
      <c r="K2217">
        <v>18349.599999999999</v>
      </c>
      <c r="L2217" t="s">
        <v>872</v>
      </c>
      <c r="M2217">
        <v>53</v>
      </c>
      <c r="N2217" t="s">
        <v>61</v>
      </c>
      <c r="O2217" s="3" t="s">
        <v>55</v>
      </c>
      <c r="P2217" t="s">
        <v>23</v>
      </c>
      <c r="Q2217" t="s">
        <v>24</v>
      </c>
      <c r="R2217">
        <v>2</v>
      </c>
      <c r="S2217" t="s">
        <v>31</v>
      </c>
      <c r="T2217" s="4">
        <f t="shared" si="173"/>
        <v>165146.4</v>
      </c>
      <c r="U2217" s="4" t="str">
        <f t="shared" si="174"/>
        <v>Average</v>
      </c>
      <c r="V2217" s="4" t="str">
        <f t="shared" si="175"/>
        <v>Good</v>
      </c>
      <c r="W2217" s="4"/>
      <c r="X2217" s="4"/>
      <c r="AJ2217" s="4"/>
    </row>
    <row r="2218" spans="1:36">
      <c r="A2218" t="str">
        <f t="shared" si="171"/>
        <v>Sach332217</v>
      </c>
      <c r="B2218">
        <v>2217</v>
      </c>
      <c r="C2218">
        <v>30</v>
      </c>
      <c r="D2218">
        <v>6</v>
      </c>
      <c r="E2218">
        <v>2023</v>
      </c>
      <c r="F2218" s="1">
        <f t="shared" si="172"/>
        <v>45107</v>
      </c>
      <c r="G2218" s="1" t="s">
        <v>643</v>
      </c>
      <c r="H2218" s="2">
        <v>46694</v>
      </c>
      <c r="I2218" t="s">
        <v>26</v>
      </c>
      <c r="J2218">
        <v>2</v>
      </c>
      <c r="K2218">
        <v>24218.82</v>
      </c>
      <c r="L2218" t="s">
        <v>531</v>
      </c>
      <c r="M2218">
        <v>33</v>
      </c>
      <c r="N2218" t="s">
        <v>21</v>
      </c>
      <c r="O2218" s="3" t="s">
        <v>55</v>
      </c>
      <c r="P2218" t="s">
        <v>64</v>
      </c>
      <c r="Q2218" t="s">
        <v>56</v>
      </c>
      <c r="R2218">
        <v>2</v>
      </c>
      <c r="S2218" t="s">
        <v>31</v>
      </c>
      <c r="T2218" s="4">
        <f t="shared" si="173"/>
        <v>48437.64</v>
      </c>
      <c r="U2218" s="4" t="str">
        <f t="shared" si="174"/>
        <v>Average</v>
      </c>
      <c r="V2218" s="4" t="str">
        <f t="shared" si="175"/>
        <v>Low</v>
      </c>
      <c r="W2218" s="4"/>
      <c r="X2218" s="4"/>
      <c r="AJ2218" s="4"/>
    </row>
    <row r="2219" spans="1:36">
      <c r="A2219" t="str">
        <f t="shared" si="171"/>
        <v>Pooj242218</v>
      </c>
      <c r="B2219">
        <v>2218</v>
      </c>
      <c r="C2219">
        <v>30</v>
      </c>
      <c r="D2219">
        <v>6</v>
      </c>
      <c r="E2219">
        <v>2023</v>
      </c>
      <c r="F2219" s="1">
        <f t="shared" si="172"/>
        <v>45107</v>
      </c>
      <c r="G2219" s="1" t="s">
        <v>643</v>
      </c>
      <c r="H2219" s="2">
        <v>46695</v>
      </c>
      <c r="I2219" t="s">
        <v>43</v>
      </c>
      <c r="J2219">
        <v>2</v>
      </c>
      <c r="K2219">
        <v>36878.51</v>
      </c>
      <c r="L2219" t="s">
        <v>222</v>
      </c>
      <c r="M2219">
        <v>24</v>
      </c>
      <c r="N2219" t="s">
        <v>36</v>
      </c>
      <c r="O2219" s="3" t="s">
        <v>55</v>
      </c>
      <c r="P2219" t="s">
        <v>29</v>
      </c>
      <c r="Q2219" t="s">
        <v>41</v>
      </c>
      <c r="R2219">
        <v>1</v>
      </c>
      <c r="S2219" t="s">
        <v>46</v>
      </c>
      <c r="T2219" s="4">
        <f t="shared" si="173"/>
        <v>73757.02</v>
      </c>
      <c r="U2219" s="4" t="str">
        <f t="shared" si="174"/>
        <v>Average</v>
      </c>
      <c r="V2219" s="4" t="str">
        <f t="shared" si="175"/>
        <v>Average</v>
      </c>
      <c r="W2219" s="4"/>
      <c r="X2219" s="4"/>
      <c r="AJ2219" s="4"/>
    </row>
    <row r="2220" spans="1:36">
      <c r="A2220" t="str">
        <f t="shared" si="171"/>
        <v>Ravi352219</v>
      </c>
      <c r="B2220">
        <v>2219</v>
      </c>
      <c r="C2220">
        <v>1</v>
      </c>
      <c r="D2220">
        <v>7</v>
      </c>
      <c r="E2220">
        <v>2023</v>
      </c>
      <c r="F2220" s="1">
        <f t="shared" si="172"/>
        <v>45108</v>
      </c>
      <c r="G2220" s="1" t="s">
        <v>683</v>
      </c>
      <c r="H2220" s="2">
        <v>46696</v>
      </c>
      <c r="I2220" t="s">
        <v>49</v>
      </c>
      <c r="J2220">
        <v>6</v>
      </c>
      <c r="K2220">
        <v>21332.16</v>
      </c>
      <c r="L2220" t="s">
        <v>622</v>
      </c>
      <c r="M2220">
        <v>35</v>
      </c>
      <c r="N2220" t="s">
        <v>21</v>
      </c>
      <c r="O2220" s="3" t="s">
        <v>55</v>
      </c>
      <c r="P2220" t="s">
        <v>23</v>
      </c>
      <c r="Q2220" t="s">
        <v>56</v>
      </c>
      <c r="R2220">
        <v>2</v>
      </c>
      <c r="S2220" t="s">
        <v>102</v>
      </c>
      <c r="T2220" s="4">
        <f t="shared" si="173"/>
        <v>127992.95999999999</v>
      </c>
      <c r="U2220" s="4" t="str">
        <f t="shared" si="174"/>
        <v>Average</v>
      </c>
      <c r="V2220" s="4" t="str">
        <f t="shared" si="175"/>
        <v>Good</v>
      </c>
      <c r="W2220" s="4"/>
      <c r="X2220" s="4"/>
      <c r="AJ2220" s="4"/>
    </row>
    <row r="2221" spans="1:36">
      <c r="A2221" t="str">
        <f t="shared" si="171"/>
        <v>Sumi382220</v>
      </c>
      <c r="B2221">
        <v>2220</v>
      </c>
      <c r="C2221">
        <v>1</v>
      </c>
      <c r="D2221">
        <v>7</v>
      </c>
      <c r="E2221">
        <v>2023</v>
      </c>
      <c r="F2221" s="1">
        <f t="shared" si="172"/>
        <v>45108</v>
      </c>
      <c r="G2221" s="1" t="s">
        <v>683</v>
      </c>
      <c r="H2221" s="2">
        <v>46697</v>
      </c>
      <c r="I2221" t="s">
        <v>26</v>
      </c>
      <c r="J2221">
        <v>2</v>
      </c>
      <c r="K2221">
        <v>26115.95</v>
      </c>
      <c r="L2221" t="s">
        <v>256</v>
      </c>
      <c r="M2221">
        <v>38</v>
      </c>
      <c r="N2221" t="s">
        <v>21</v>
      </c>
      <c r="O2221" s="3" t="s">
        <v>22</v>
      </c>
      <c r="P2221" t="s">
        <v>64</v>
      </c>
      <c r="Q2221" t="s">
        <v>41</v>
      </c>
      <c r="R2221">
        <v>5</v>
      </c>
      <c r="S2221" t="s">
        <v>34</v>
      </c>
      <c r="T2221" s="4">
        <f t="shared" si="173"/>
        <v>52231.9</v>
      </c>
      <c r="U2221" s="4" t="str">
        <f t="shared" si="174"/>
        <v>Good</v>
      </c>
      <c r="V2221" s="4" t="str">
        <f t="shared" si="175"/>
        <v>Average</v>
      </c>
      <c r="W2221" s="4"/>
      <c r="X2221" s="4"/>
      <c r="AJ2221" s="4"/>
    </row>
    <row r="2222" spans="1:36">
      <c r="A2222" t="str">
        <f t="shared" si="171"/>
        <v>Priy482221</v>
      </c>
      <c r="B2222">
        <v>2221</v>
      </c>
      <c r="C2222">
        <v>1</v>
      </c>
      <c r="D2222">
        <v>7</v>
      </c>
      <c r="E2222">
        <v>2023</v>
      </c>
      <c r="F2222" s="1">
        <f t="shared" si="172"/>
        <v>45108</v>
      </c>
      <c r="G2222" s="1" t="s">
        <v>683</v>
      </c>
      <c r="H2222" s="2">
        <v>46698</v>
      </c>
      <c r="I2222" t="s">
        <v>26</v>
      </c>
      <c r="J2222">
        <v>4</v>
      </c>
      <c r="K2222">
        <v>42063.13</v>
      </c>
      <c r="L2222" t="s">
        <v>719</v>
      </c>
      <c r="M2222">
        <v>48</v>
      </c>
      <c r="N2222" t="s">
        <v>61</v>
      </c>
      <c r="O2222" s="3" t="s">
        <v>22</v>
      </c>
      <c r="P2222" t="s">
        <v>29</v>
      </c>
      <c r="Q2222" t="s">
        <v>56</v>
      </c>
      <c r="R2222">
        <v>4</v>
      </c>
      <c r="S2222" t="s">
        <v>34</v>
      </c>
      <c r="T2222" s="4">
        <f t="shared" si="173"/>
        <v>168252.52</v>
      </c>
      <c r="U2222" s="4" t="str">
        <f t="shared" si="174"/>
        <v>Good</v>
      </c>
      <c r="V2222" s="4" t="str">
        <f t="shared" si="175"/>
        <v>Good</v>
      </c>
      <c r="W2222" s="4"/>
      <c r="X2222" s="4"/>
      <c r="AJ2222" s="4"/>
    </row>
    <row r="2223" spans="1:36">
      <c r="A2223" t="str">
        <f t="shared" si="171"/>
        <v>Amit182222</v>
      </c>
      <c r="B2223">
        <v>2222</v>
      </c>
      <c r="C2223">
        <v>2</v>
      </c>
      <c r="D2223">
        <v>7</v>
      </c>
      <c r="E2223">
        <v>2023</v>
      </c>
      <c r="F2223" s="1">
        <f t="shared" si="172"/>
        <v>45109</v>
      </c>
      <c r="G2223" s="1" t="s">
        <v>683</v>
      </c>
      <c r="H2223" s="2">
        <v>46699</v>
      </c>
      <c r="I2223" t="s">
        <v>26</v>
      </c>
      <c r="J2223">
        <v>6</v>
      </c>
      <c r="K2223">
        <v>59956.54</v>
      </c>
      <c r="L2223" t="s">
        <v>523</v>
      </c>
      <c r="M2223">
        <v>18</v>
      </c>
      <c r="N2223" t="s">
        <v>36</v>
      </c>
      <c r="O2223" s="3" t="s">
        <v>55</v>
      </c>
      <c r="P2223" t="s">
        <v>29</v>
      </c>
      <c r="Q2223" t="s">
        <v>24</v>
      </c>
      <c r="R2223">
        <v>1</v>
      </c>
      <c r="S2223" t="s">
        <v>34</v>
      </c>
      <c r="T2223" s="4">
        <f t="shared" si="173"/>
        <v>359739.24</v>
      </c>
      <c r="U2223" s="4" t="str">
        <f t="shared" si="174"/>
        <v>Average</v>
      </c>
      <c r="V2223" s="4" t="str">
        <f t="shared" si="175"/>
        <v>Excellent</v>
      </c>
      <c r="W2223" s="4"/>
      <c r="X2223" s="4"/>
      <c r="AJ2223" s="4"/>
    </row>
    <row r="2224" spans="1:36">
      <c r="A2224" t="str">
        <f t="shared" si="171"/>
        <v>Anit202223</v>
      </c>
      <c r="B2224">
        <v>2223</v>
      </c>
      <c r="C2224">
        <v>2</v>
      </c>
      <c r="D2224">
        <v>7</v>
      </c>
      <c r="E2224">
        <v>2023</v>
      </c>
      <c r="F2224" s="1">
        <f t="shared" si="172"/>
        <v>45109</v>
      </c>
      <c r="G2224" s="1" t="s">
        <v>683</v>
      </c>
      <c r="H2224" s="2">
        <v>46700</v>
      </c>
      <c r="I2224" t="s">
        <v>49</v>
      </c>
      <c r="J2224">
        <v>5</v>
      </c>
      <c r="K2224">
        <v>34110.379999999997</v>
      </c>
      <c r="L2224" t="s">
        <v>869</v>
      </c>
      <c r="M2224">
        <v>20</v>
      </c>
      <c r="N2224" t="s">
        <v>36</v>
      </c>
      <c r="O2224" s="3" t="s">
        <v>55</v>
      </c>
      <c r="P2224" t="s">
        <v>51</v>
      </c>
      <c r="Q2224" t="s">
        <v>30</v>
      </c>
      <c r="R2224">
        <v>2</v>
      </c>
      <c r="S2224" t="s">
        <v>88</v>
      </c>
      <c r="T2224" s="4">
        <f t="shared" si="173"/>
        <v>170551.9</v>
      </c>
      <c r="U2224" s="4" t="str">
        <f t="shared" si="174"/>
        <v>Average</v>
      </c>
      <c r="V2224" s="4" t="str">
        <f t="shared" si="175"/>
        <v>Good</v>
      </c>
      <c r="W2224" s="4"/>
      <c r="X2224" s="4"/>
      <c r="AJ2224" s="4"/>
    </row>
    <row r="2225" spans="1:36">
      <c r="A2225" t="str">
        <f t="shared" si="171"/>
        <v>Isha482224</v>
      </c>
      <c r="B2225">
        <v>2224</v>
      </c>
      <c r="C2225">
        <v>2</v>
      </c>
      <c r="D2225">
        <v>7</v>
      </c>
      <c r="E2225">
        <v>2023</v>
      </c>
      <c r="F2225" s="1">
        <f t="shared" si="172"/>
        <v>45109</v>
      </c>
      <c r="G2225" s="1" t="s">
        <v>683</v>
      </c>
      <c r="H2225" s="2">
        <v>46701</v>
      </c>
      <c r="I2225" t="s">
        <v>49</v>
      </c>
      <c r="J2225">
        <v>1</v>
      </c>
      <c r="K2225">
        <v>53018.52</v>
      </c>
      <c r="L2225" t="s">
        <v>274</v>
      </c>
      <c r="M2225">
        <v>48</v>
      </c>
      <c r="N2225" t="s">
        <v>61</v>
      </c>
      <c r="O2225" s="3" t="s">
        <v>55</v>
      </c>
      <c r="P2225" t="s">
        <v>110</v>
      </c>
      <c r="Q2225" t="s">
        <v>56</v>
      </c>
      <c r="R2225">
        <v>2</v>
      </c>
      <c r="S2225" t="s">
        <v>52</v>
      </c>
      <c r="T2225" s="4">
        <f t="shared" si="173"/>
        <v>53018.52</v>
      </c>
      <c r="U2225" s="4" t="str">
        <f t="shared" si="174"/>
        <v>Average</v>
      </c>
      <c r="V2225" s="4" t="str">
        <f t="shared" si="175"/>
        <v>Average</v>
      </c>
      <c r="W2225" s="4"/>
      <c r="X2225" s="4"/>
      <c r="AJ2225" s="4"/>
    </row>
    <row r="2226" spans="1:36">
      <c r="A2226" t="str">
        <f t="shared" si="171"/>
        <v>Neet422225</v>
      </c>
      <c r="B2226">
        <v>2225</v>
      </c>
      <c r="C2226">
        <v>2</v>
      </c>
      <c r="D2226">
        <v>7</v>
      </c>
      <c r="E2226">
        <v>2023</v>
      </c>
      <c r="F2226" s="1">
        <f t="shared" si="172"/>
        <v>45109</v>
      </c>
      <c r="G2226" s="1" t="s">
        <v>683</v>
      </c>
      <c r="H2226" s="2">
        <v>46702</v>
      </c>
      <c r="I2226" t="s">
        <v>43</v>
      </c>
      <c r="J2226">
        <v>6</v>
      </c>
      <c r="K2226">
        <v>62601.05</v>
      </c>
      <c r="L2226" t="s">
        <v>858</v>
      </c>
      <c r="M2226">
        <v>42</v>
      </c>
      <c r="N2226" t="s">
        <v>21</v>
      </c>
      <c r="O2226" s="3" t="s">
        <v>22</v>
      </c>
      <c r="P2226" t="s">
        <v>150</v>
      </c>
      <c r="Q2226" t="s">
        <v>41</v>
      </c>
      <c r="R2226">
        <v>4</v>
      </c>
      <c r="S2226" t="s">
        <v>57</v>
      </c>
      <c r="T2226" s="4">
        <f t="shared" si="173"/>
        <v>375606.30000000005</v>
      </c>
      <c r="U2226" s="4" t="str">
        <f t="shared" si="174"/>
        <v>Good</v>
      </c>
      <c r="V2226" s="4" t="str">
        <f t="shared" si="175"/>
        <v>Excellent</v>
      </c>
      <c r="W2226" s="4"/>
      <c r="X2226" s="4"/>
      <c r="AJ2226" s="4"/>
    </row>
    <row r="2227" spans="1:36">
      <c r="A2227" t="str">
        <f t="shared" si="171"/>
        <v>Lata252226</v>
      </c>
      <c r="B2227">
        <v>2226</v>
      </c>
      <c r="C2227">
        <v>3</v>
      </c>
      <c r="D2227">
        <v>7</v>
      </c>
      <c r="E2227">
        <v>2023</v>
      </c>
      <c r="F2227" s="1">
        <f t="shared" si="172"/>
        <v>45110</v>
      </c>
      <c r="G2227" s="1" t="s">
        <v>683</v>
      </c>
      <c r="H2227" s="2">
        <v>46703</v>
      </c>
      <c r="I2227" t="s">
        <v>38</v>
      </c>
      <c r="J2227">
        <v>1</v>
      </c>
      <c r="K2227">
        <v>22978.06</v>
      </c>
      <c r="L2227" t="s">
        <v>787</v>
      </c>
      <c r="M2227">
        <v>25</v>
      </c>
      <c r="N2227" t="s">
        <v>36</v>
      </c>
      <c r="O2227" s="3" t="s">
        <v>55</v>
      </c>
      <c r="P2227" t="s">
        <v>64</v>
      </c>
      <c r="Q2227" t="s">
        <v>24</v>
      </c>
      <c r="R2227">
        <v>1</v>
      </c>
      <c r="S2227" t="s">
        <v>48</v>
      </c>
      <c r="T2227" s="4">
        <f t="shared" si="173"/>
        <v>22978.06</v>
      </c>
      <c r="U2227" s="4" t="str">
        <f t="shared" si="174"/>
        <v>Average</v>
      </c>
      <c r="V2227" s="4" t="str">
        <f t="shared" si="175"/>
        <v>Low</v>
      </c>
      <c r="W2227" s="4"/>
      <c r="X2227" s="4"/>
      <c r="AJ2227" s="4"/>
    </row>
    <row r="2228" spans="1:36">
      <c r="A2228" t="str">
        <f t="shared" si="171"/>
        <v>Raje182227</v>
      </c>
      <c r="B2228">
        <v>2227</v>
      </c>
      <c r="C2228">
        <v>3</v>
      </c>
      <c r="D2228">
        <v>7</v>
      </c>
      <c r="E2228">
        <v>2023</v>
      </c>
      <c r="F2228" s="1">
        <f t="shared" si="172"/>
        <v>45110</v>
      </c>
      <c r="G2228" s="1" t="s">
        <v>683</v>
      </c>
      <c r="H2228" s="2">
        <v>46704</v>
      </c>
      <c r="I2228" t="s">
        <v>26</v>
      </c>
      <c r="J2228">
        <v>3</v>
      </c>
      <c r="K2228">
        <v>58431.519999999997</v>
      </c>
      <c r="L2228" t="s">
        <v>491</v>
      </c>
      <c r="M2228">
        <v>18</v>
      </c>
      <c r="N2228" t="s">
        <v>36</v>
      </c>
      <c r="O2228" s="3" t="s">
        <v>22</v>
      </c>
      <c r="P2228" t="s">
        <v>93</v>
      </c>
      <c r="Q2228" t="s">
        <v>41</v>
      </c>
      <c r="R2228">
        <v>4</v>
      </c>
      <c r="S2228" t="s">
        <v>67</v>
      </c>
      <c r="T2228" s="4">
        <f t="shared" si="173"/>
        <v>175294.56</v>
      </c>
      <c r="U2228" s="4" t="str">
        <f t="shared" si="174"/>
        <v>Good</v>
      </c>
      <c r="V2228" s="4" t="str">
        <f t="shared" si="175"/>
        <v>Good</v>
      </c>
      <c r="W2228" s="4"/>
      <c r="X2228" s="4"/>
      <c r="AJ2228" s="4"/>
    </row>
    <row r="2229" spans="1:36">
      <c r="A2229" t="str">
        <f t="shared" si="171"/>
        <v>Kira242228</v>
      </c>
      <c r="B2229">
        <v>2228</v>
      </c>
      <c r="C2229">
        <v>3</v>
      </c>
      <c r="D2229">
        <v>7</v>
      </c>
      <c r="E2229">
        <v>2023</v>
      </c>
      <c r="F2229" s="1">
        <f t="shared" si="172"/>
        <v>45110</v>
      </c>
      <c r="G2229" s="1" t="s">
        <v>683</v>
      </c>
      <c r="H2229" s="2">
        <v>46705</v>
      </c>
      <c r="I2229" t="s">
        <v>38</v>
      </c>
      <c r="J2229">
        <v>5</v>
      </c>
      <c r="K2229">
        <v>55444.13</v>
      </c>
      <c r="L2229" t="s">
        <v>786</v>
      </c>
      <c r="M2229">
        <v>24</v>
      </c>
      <c r="N2229" t="s">
        <v>36</v>
      </c>
      <c r="O2229" s="3" t="s">
        <v>55</v>
      </c>
      <c r="P2229" t="s">
        <v>77</v>
      </c>
      <c r="Q2229" t="s">
        <v>56</v>
      </c>
      <c r="R2229">
        <v>1</v>
      </c>
      <c r="S2229" t="s">
        <v>99</v>
      </c>
      <c r="T2229" s="4">
        <f t="shared" si="173"/>
        <v>277220.64999999997</v>
      </c>
      <c r="U2229" s="4" t="str">
        <f t="shared" si="174"/>
        <v>Average</v>
      </c>
      <c r="V2229" s="4" t="str">
        <f t="shared" si="175"/>
        <v>Excellent</v>
      </c>
      <c r="W2229" s="4"/>
      <c r="X2229" s="4"/>
      <c r="AJ2229" s="4"/>
    </row>
    <row r="2230" spans="1:36">
      <c r="A2230" t="str">
        <f t="shared" si="171"/>
        <v>Vija242229</v>
      </c>
      <c r="B2230">
        <v>2229</v>
      </c>
      <c r="C2230">
        <v>4</v>
      </c>
      <c r="D2230">
        <v>7</v>
      </c>
      <c r="E2230">
        <v>2023</v>
      </c>
      <c r="F2230" s="1">
        <f t="shared" si="172"/>
        <v>45111</v>
      </c>
      <c r="G2230" s="1" t="s">
        <v>683</v>
      </c>
      <c r="H2230" s="2">
        <v>46706</v>
      </c>
      <c r="I2230" t="s">
        <v>49</v>
      </c>
      <c r="J2230">
        <v>5</v>
      </c>
      <c r="K2230">
        <v>31416.240000000002</v>
      </c>
      <c r="L2230" t="s">
        <v>679</v>
      </c>
      <c r="M2230">
        <v>24</v>
      </c>
      <c r="N2230" t="s">
        <v>36</v>
      </c>
      <c r="O2230" s="3" t="s">
        <v>55</v>
      </c>
      <c r="P2230" t="s">
        <v>45</v>
      </c>
      <c r="Q2230" t="s">
        <v>41</v>
      </c>
      <c r="R2230">
        <v>2</v>
      </c>
      <c r="S2230" t="s">
        <v>88</v>
      </c>
      <c r="T2230" s="4">
        <f t="shared" si="173"/>
        <v>157081.20000000001</v>
      </c>
      <c r="U2230" s="4" t="str">
        <f t="shared" si="174"/>
        <v>Average</v>
      </c>
      <c r="V2230" s="4" t="str">
        <f t="shared" si="175"/>
        <v>Good</v>
      </c>
      <c r="W2230" s="4"/>
      <c r="X2230" s="4"/>
      <c r="AJ2230" s="4"/>
    </row>
    <row r="2231" spans="1:36">
      <c r="A2231" t="str">
        <f t="shared" si="171"/>
        <v>Reen252230</v>
      </c>
      <c r="B2231">
        <v>2230</v>
      </c>
      <c r="C2231">
        <v>4</v>
      </c>
      <c r="D2231">
        <v>7</v>
      </c>
      <c r="E2231">
        <v>2023</v>
      </c>
      <c r="F2231" s="1">
        <f t="shared" si="172"/>
        <v>45111</v>
      </c>
      <c r="G2231" s="1" t="s">
        <v>683</v>
      </c>
      <c r="H2231" s="2">
        <v>46707</v>
      </c>
      <c r="I2231" t="s">
        <v>49</v>
      </c>
      <c r="J2231">
        <v>6</v>
      </c>
      <c r="K2231">
        <v>69371.199999999997</v>
      </c>
      <c r="L2231" t="s">
        <v>228</v>
      </c>
      <c r="M2231">
        <v>25</v>
      </c>
      <c r="N2231" t="s">
        <v>36</v>
      </c>
      <c r="O2231" s="3" t="s">
        <v>22</v>
      </c>
      <c r="P2231" t="s">
        <v>29</v>
      </c>
      <c r="Q2231" t="s">
        <v>41</v>
      </c>
      <c r="R2231">
        <v>4</v>
      </c>
      <c r="S2231" t="s">
        <v>88</v>
      </c>
      <c r="T2231" s="4">
        <f t="shared" si="173"/>
        <v>416227.19999999995</v>
      </c>
      <c r="U2231" s="4" t="str">
        <f t="shared" si="174"/>
        <v>Good</v>
      </c>
      <c r="V2231" s="4" t="str">
        <f t="shared" si="175"/>
        <v>Excellent</v>
      </c>
      <c r="W2231" s="4"/>
      <c r="X2231" s="4"/>
      <c r="AJ2231" s="4"/>
    </row>
    <row r="2232" spans="1:36">
      <c r="A2232" t="str">
        <f t="shared" si="171"/>
        <v>Pooj362231</v>
      </c>
      <c r="B2232">
        <v>2231</v>
      </c>
      <c r="C2232">
        <v>4</v>
      </c>
      <c r="D2232">
        <v>7</v>
      </c>
      <c r="E2232">
        <v>2023</v>
      </c>
      <c r="F2232" s="1">
        <f t="shared" si="172"/>
        <v>45111</v>
      </c>
      <c r="G2232" s="1" t="s">
        <v>683</v>
      </c>
      <c r="H2232" s="2">
        <v>46708</v>
      </c>
      <c r="I2232" t="s">
        <v>49</v>
      </c>
      <c r="J2232">
        <v>8</v>
      </c>
      <c r="K2232">
        <v>25754.34</v>
      </c>
      <c r="L2232" t="s">
        <v>960</v>
      </c>
      <c r="M2232">
        <v>36</v>
      </c>
      <c r="N2232" t="s">
        <v>21</v>
      </c>
      <c r="O2232" s="3" t="s">
        <v>22</v>
      </c>
      <c r="P2232" t="s">
        <v>117</v>
      </c>
      <c r="Q2232" t="s">
        <v>56</v>
      </c>
      <c r="R2232">
        <v>4</v>
      </c>
      <c r="S2232" t="s">
        <v>102</v>
      </c>
      <c r="T2232" s="4">
        <f t="shared" si="173"/>
        <v>206034.72</v>
      </c>
      <c r="U2232" s="4" t="str">
        <f t="shared" si="174"/>
        <v>Good</v>
      </c>
      <c r="V2232" s="4" t="str">
        <f t="shared" si="175"/>
        <v>Excellent</v>
      </c>
      <c r="W2232" s="4"/>
      <c r="X2232" s="4"/>
      <c r="AJ2232" s="4"/>
    </row>
    <row r="2233" spans="1:36">
      <c r="A2233" t="str">
        <f t="shared" si="171"/>
        <v>Neet342232</v>
      </c>
      <c r="B2233">
        <v>2232</v>
      </c>
      <c r="C2233">
        <v>5</v>
      </c>
      <c r="D2233">
        <v>7</v>
      </c>
      <c r="E2233">
        <v>2023</v>
      </c>
      <c r="F2233" s="1">
        <f t="shared" si="172"/>
        <v>45112</v>
      </c>
      <c r="G2233" s="1" t="s">
        <v>683</v>
      </c>
      <c r="H2233" s="2">
        <v>46709</v>
      </c>
      <c r="I2233" t="s">
        <v>38</v>
      </c>
      <c r="J2233">
        <v>5</v>
      </c>
      <c r="K2233">
        <v>25288.2</v>
      </c>
      <c r="L2233" t="s">
        <v>834</v>
      </c>
      <c r="M2233">
        <v>34</v>
      </c>
      <c r="N2233" t="s">
        <v>21</v>
      </c>
      <c r="O2233" s="3" t="s">
        <v>22</v>
      </c>
      <c r="P2233" t="s">
        <v>117</v>
      </c>
      <c r="Q2233" t="s">
        <v>24</v>
      </c>
      <c r="R2233">
        <v>5</v>
      </c>
      <c r="S2233" t="s">
        <v>48</v>
      </c>
      <c r="T2233" s="4">
        <f t="shared" si="173"/>
        <v>126441</v>
      </c>
      <c r="U2233" s="4" t="str">
        <f t="shared" si="174"/>
        <v>Good</v>
      </c>
      <c r="V2233" s="4" t="str">
        <f t="shared" si="175"/>
        <v>Good</v>
      </c>
      <c r="W2233" s="4"/>
      <c r="X2233" s="4"/>
      <c r="AJ2233" s="4"/>
    </row>
    <row r="2234" spans="1:36">
      <c r="A2234" t="str">
        <f t="shared" si="171"/>
        <v>Roha282233</v>
      </c>
      <c r="B2234">
        <v>2233</v>
      </c>
      <c r="C2234">
        <v>5</v>
      </c>
      <c r="D2234">
        <v>7</v>
      </c>
      <c r="E2234">
        <v>2023</v>
      </c>
      <c r="F2234" s="1">
        <f t="shared" si="172"/>
        <v>45112</v>
      </c>
      <c r="G2234" s="1" t="s">
        <v>683</v>
      </c>
      <c r="H2234" s="2">
        <v>46710</v>
      </c>
      <c r="I2234" t="s">
        <v>49</v>
      </c>
      <c r="J2234">
        <v>1</v>
      </c>
      <c r="K2234">
        <v>56335.55</v>
      </c>
      <c r="L2234" t="s">
        <v>502</v>
      </c>
      <c r="M2234">
        <v>28</v>
      </c>
      <c r="N2234" t="s">
        <v>36</v>
      </c>
      <c r="O2234" s="3" t="s">
        <v>22</v>
      </c>
      <c r="P2234" t="s">
        <v>33</v>
      </c>
      <c r="Q2234" t="s">
        <v>24</v>
      </c>
      <c r="R2234">
        <v>4</v>
      </c>
      <c r="S2234" t="s">
        <v>102</v>
      </c>
      <c r="T2234" s="4">
        <f t="shared" si="173"/>
        <v>56335.55</v>
      </c>
      <c r="U2234" s="4" t="str">
        <f t="shared" si="174"/>
        <v>Good</v>
      </c>
      <c r="V2234" s="4" t="str">
        <f t="shared" si="175"/>
        <v>Average</v>
      </c>
      <c r="W2234" s="4"/>
      <c r="X2234" s="4"/>
      <c r="AJ2234" s="4"/>
    </row>
    <row r="2235" spans="1:36">
      <c r="A2235" t="str">
        <f t="shared" si="171"/>
        <v>Deep582234</v>
      </c>
      <c r="B2235">
        <v>2234</v>
      </c>
      <c r="C2235">
        <v>5</v>
      </c>
      <c r="D2235">
        <v>7</v>
      </c>
      <c r="E2235">
        <v>2023</v>
      </c>
      <c r="F2235" s="1">
        <f t="shared" si="172"/>
        <v>45112</v>
      </c>
      <c r="G2235" s="1" t="s">
        <v>683</v>
      </c>
      <c r="H2235" s="2">
        <v>46711</v>
      </c>
      <c r="I2235" t="s">
        <v>43</v>
      </c>
      <c r="J2235">
        <v>5</v>
      </c>
      <c r="K2235">
        <v>36079.440000000002</v>
      </c>
      <c r="L2235" t="s">
        <v>500</v>
      </c>
      <c r="M2235">
        <v>58</v>
      </c>
      <c r="N2235" t="s">
        <v>61</v>
      </c>
      <c r="O2235" s="3" t="s">
        <v>55</v>
      </c>
      <c r="P2235" t="s">
        <v>45</v>
      </c>
      <c r="Q2235" t="s">
        <v>56</v>
      </c>
      <c r="R2235">
        <v>1</v>
      </c>
      <c r="S2235" t="s">
        <v>46</v>
      </c>
      <c r="T2235" s="4">
        <f t="shared" si="173"/>
        <v>180397.2</v>
      </c>
      <c r="U2235" s="4" t="str">
        <f t="shared" si="174"/>
        <v>Average</v>
      </c>
      <c r="V2235" s="4" t="str">
        <f t="shared" si="175"/>
        <v>Good</v>
      </c>
      <c r="W2235" s="4"/>
      <c r="X2235" s="4"/>
      <c r="AJ2235" s="4"/>
    </row>
    <row r="2236" spans="1:36">
      <c r="A2236" t="str">
        <f t="shared" si="171"/>
        <v>Sanj282235</v>
      </c>
      <c r="B2236">
        <v>2235</v>
      </c>
      <c r="C2236">
        <v>5</v>
      </c>
      <c r="D2236">
        <v>7</v>
      </c>
      <c r="E2236">
        <v>2023</v>
      </c>
      <c r="F2236" s="1">
        <f t="shared" si="172"/>
        <v>45112</v>
      </c>
      <c r="G2236" s="1" t="s">
        <v>683</v>
      </c>
      <c r="H2236" s="2">
        <v>46712</v>
      </c>
      <c r="I2236" t="s">
        <v>49</v>
      </c>
      <c r="J2236">
        <v>3</v>
      </c>
      <c r="K2236">
        <v>29847.7</v>
      </c>
      <c r="L2236" t="s">
        <v>247</v>
      </c>
      <c r="M2236">
        <v>28</v>
      </c>
      <c r="N2236" t="s">
        <v>36</v>
      </c>
      <c r="O2236" s="3" t="s">
        <v>22</v>
      </c>
      <c r="P2236" t="s">
        <v>29</v>
      </c>
      <c r="Q2236" t="s">
        <v>24</v>
      </c>
      <c r="R2236">
        <v>5</v>
      </c>
      <c r="S2236" t="s">
        <v>102</v>
      </c>
      <c r="T2236" s="4">
        <f t="shared" si="173"/>
        <v>89543.1</v>
      </c>
      <c r="U2236" s="4" t="str">
        <f t="shared" si="174"/>
        <v>Good</v>
      </c>
      <c r="V2236" s="4" t="str">
        <f t="shared" si="175"/>
        <v>Average</v>
      </c>
      <c r="W2236" s="4"/>
      <c r="X2236" s="4"/>
      <c r="AJ2236" s="4"/>
    </row>
    <row r="2237" spans="1:36">
      <c r="A2237" t="str">
        <f t="shared" si="171"/>
        <v>Mano552236</v>
      </c>
      <c r="B2237">
        <v>2236</v>
      </c>
      <c r="C2237">
        <v>6</v>
      </c>
      <c r="D2237">
        <v>7</v>
      </c>
      <c r="E2237">
        <v>2023</v>
      </c>
      <c r="F2237" s="1">
        <f t="shared" si="172"/>
        <v>45113</v>
      </c>
      <c r="G2237" s="1" t="s">
        <v>683</v>
      </c>
      <c r="H2237" s="2">
        <v>46713</v>
      </c>
      <c r="I2237" t="s">
        <v>19</v>
      </c>
      <c r="J2237">
        <v>4</v>
      </c>
      <c r="K2237">
        <v>20719.77</v>
      </c>
      <c r="L2237" t="s">
        <v>65</v>
      </c>
      <c r="M2237">
        <v>55</v>
      </c>
      <c r="N2237" t="s">
        <v>61</v>
      </c>
      <c r="O2237" s="3" t="s">
        <v>22</v>
      </c>
      <c r="P2237" t="s">
        <v>64</v>
      </c>
      <c r="Q2237" t="s">
        <v>30</v>
      </c>
      <c r="R2237">
        <v>4</v>
      </c>
      <c r="S2237" t="s">
        <v>84</v>
      </c>
      <c r="T2237" s="4">
        <f t="shared" si="173"/>
        <v>82879.08</v>
      </c>
      <c r="U2237" s="4" t="str">
        <f t="shared" si="174"/>
        <v>Good</v>
      </c>
      <c r="V2237" s="4" t="str">
        <f t="shared" si="175"/>
        <v>Average</v>
      </c>
      <c r="W2237" s="4"/>
      <c r="X2237" s="4"/>
      <c r="AJ2237" s="4"/>
    </row>
    <row r="2238" spans="1:36">
      <c r="A2238" t="str">
        <f t="shared" si="171"/>
        <v>Pooj582237</v>
      </c>
      <c r="B2238">
        <v>2237</v>
      </c>
      <c r="C2238">
        <v>6</v>
      </c>
      <c r="D2238">
        <v>7</v>
      </c>
      <c r="E2238">
        <v>2023</v>
      </c>
      <c r="F2238" s="1">
        <f t="shared" si="172"/>
        <v>45113</v>
      </c>
      <c r="G2238" s="1" t="s">
        <v>683</v>
      </c>
      <c r="H2238" s="2">
        <v>46714</v>
      </c>
      <c r="I2238" t="s">
        <v>38</v>
      </c>
      <c r="J2238">
        <v>8</v>
      </c>
      <c r="K2238">
        <v>55919.95</v>
      </c>
      <c r="L2238" t="s">
        <v>470</v>
      </c>
      <c r="M2238">
        <v>58</v>
      </c>
      <c r="N2238" t="s">
        <v>61</v>
      </c>
      <c r="O2238" s="3" t="s">
        <v>22</v>
      </c>
      <c r="P2238" t="s">
        <v>90</v>
      </c>
      <c r="Q2238" t="s">
        <v>41</v>
      </c>
      <c r="R2238">
        <v>4</v>
      </c>
      <c r="S2238" t="s">
        <v>99</v>
      </c>
      <c r="T2238" s="4">
        <f t="shared" si="173"/>
        <v>447359.6</v>
      </c>
      <c r="U2238" s="4" t="str">
        <f t="shared" si="174"/>
        <v>Good</v>
      </c>
      <c r="V2238" s="4" t="str">
        <f t="shared" si="175"/>
        <v>Excellent</v>
      </c>
      <c r="W2238" s="4"/>
      <c r="X2238" s="4"/>
      <c r="AJ2238" s="4"/>
    </row>
    <row r="2239" spans="1:36">
      <c r="A2239" t="str">
        <f t="shared" si="171"/>
        <v>Nami192238</v>
      </c>
      <c r="B2239">
        <v>2238</v>
      </c>
      <c r="C2239">
        <v>6</v>
      </c>
      <c r="D2239">
        <v>7</v>
      </c>
      <c r="E2239">
        <v>2023</v>
      </c>
      <c r="F2239" s="1">
        <f t="shared" si="172"/>
        <v>45113</v>
      </c>
      <c r="G2239" s="1" t="s">
        <v>683</v>
      </c>
      <c r="H2239" s="2">
        <v>46715</v>
      </c>
      <c r="I2239" t="s">
        <v>19</v>
      </c>
      <c r="J2239">
        <v>7</v>
      </c>
      <c r="K2239">
        <v>57179.31</v>
      </c>
      <c r="L2239" t="s">
        <v>852</v>
      </c>
      <c r="M2239">
        <v>19</v>
      </c>
      <c r="N2239" t="s">
        <v>36</v>
      </c>
      <c r="O2239" s="3" t="s">
        <v>22</v>
      </c>
      <c r="P2239" t="s">
        <v>29</v>
      </c>
      <c r="Q2239" t="s">
        <v>56</v>
      </c>
      <c r="R2239">
        <v>5</v>
      </c>
      <c r="S2239" t="s">
        <v>84</v>
      </c>
      <c r="T2239" s="4">
        <f t="shared" si="173"/>
        <v>400255.17</v>
      </c>
      <c r="U2239" s="4" t="str">
        <f t="shared" si="174"/>
        <v>Good</v>
      </c>
      <c r="V2239" s="4" t="str">
        <f t="shared" si="175"/>
        <v>Excellent</v>
      </c>
      <c r="W2239" s="4"/>
      <c r="X2239" s="4"/>
      <c r="AJ2239" s="4"/>
    </row>
    <row r="2240" spans="1:36">
      <c r="A2240" t="str">
        <f t="shared" si="171"/>
        <v>Pank212239</v>
      </c>
      <c r="B2240">
        <v>2239</v>
      </c>
      <c r="C2240">
        <v>6</v>
      </c>
      <c r="D2240">
        <v>7</v>
      </c>
      <c r="E2240">
        <v>2023</v>
      </c>
      <c r="F2240" s="1">
        <f t="shared" si="172"/>
        <v>45113</v>
      </c>
      <c r="G2240" s="1" t="s">
        <v>683</v>
      </c>
      <c r="H2240" s="2">
        <v>46716</v>
      </c>
      <c r="I2240" t="s">
        <v>49</v>
      </c>
      <c r="J2240">
        <v>5</v>
      </c>
      <c r="K2240">
        <v>43993.84</v>
      </c>
      <c r="L2240" t="s">
        <v>473</v>
      </c>
      <c r="M2240">
        <v>21</v>
      </c>
      <c r="N2240" t="s">
        <v>36</v>
      </c>
      <c r="O2240" s="3" t="s">
        <v>55</v>
      </c>
      <c r="P2240" t="s">
        <v>150</v>
      </c>
      <c r="Q2240" t="s">
        <v>30</v>
      </c>
      <c r="R2240">
        <v>2</v>
      </c>
      <c r="S2240" t="s">
        <v>52</v>
      </c>
      <c r="T2240" s="4">
        <f t="shared" si="173"/>
        <v>219969.19999999998</v>
      </c>
      <c r="U2240" s="4" t="str">
        <f t="shared" si="174"/>
        <v>Average</v>
      </c>
      <c r="V2240" s="4" t="str">
        <f t="shared" si="175"/>
        <v>Excellent</v>
      </c>
      <c r="W2240" s="4"/>
      <c r="X2240" s="4"/>
      <c r="AJ2240" s="4"/>
    </row>
    <row r="2241" spans="1:36">
      <c r="A2241" t="str">
        <f t="shared" si="171"/>
        <v>Pras452240</v>
      </c>
      <c r="B2241">
        <v>2240</v>
      </c>
      <c r="C2241">
        <v>7</v>
      </c>
      <c r="D2241">
        <v>7</v>
      </c>
      <c r="E2241">
        <v>2023</v>
      </c>
      <c r="F2241" s="1">
        <f t="shared" si="172"/>
        <v>45114</v>
      </c>
      <c r="G2241" s="1" t="s">
        <v>683</v>
      </c>
      <c r="H2241" s="2">
        <v>46717</v>
      </c>
      <c r="I2241" t="s">
        <v>43</v>
      </c>
      <c r="J2241">
        <v>2</v>
      </c>
      <c r="K2241">
        <v>67438.820000000007</v>
      </c>
      <c r="L2241" t="s">
        <v>878</v>
      </c>
      <c r="M2241">
        <v>45</v>
      </c>
      <c r="N2241" t="s">
        <v>21</v>
      </c>
      <c r="O2241" s="3" t="s">
        <v>22</v>
      </c>
      <c r="P2241" t="s">
        <v>33</v>
      </c>
      <c r="Q2241" t="s">
        <v>41</v>
      </c>
      <c r="R2241">
        <v>4</v>
      </c>
      <c r="S2241" t="s">
        <v>46</v>
      </c>
      <c r="T2241" s="4">
        <f t="shared" si="173"/>
        <v>134877.64000000001</v>
      </c>
      <c r="U2241" s="4" t="str">
        <f t="shared" si="174"/>
        <v>Good</v>
      </c>
      <c r="V2241" s="4" t="str">
        <f t="shared" si="175"/>
        <v>Good</v>
      </c>
      <c r="W2241" s="4"/>
      <c r="X2241" s="4"/>
      <c r="AJ2241" s="4"/>
    </row>
    <row r="2242" spans="1:36">
      <c r="A2242" t="str">
        <f t="shared" ref="A2242:A2305" si="176">LEFT(L2242,4)&amp;M2242&amp;B2242</f>
        <v>Radh502241</v>
      </c>
      <c r="B2242">
        <v>2241</v>
      </c>
      <c r="C2242">
        <v>7</v>
      </c>
      <c r="D2242">
        <v>7</v>
      </c>
      <c r="E2242">
        <v>2023</v>
      </c>
      <c r="F2242" s="1">
        <f t="shared" si="172"/>
        <v>45114</v>
      </c>
      <c r="G2242" s="1" t="s">
        <v>683</v>
      </c>
      <c r="H2242" s="2">
        <v>46718</v>
      </c>
      <c r="I2242" t="s">
        <v>26</v>
      </c>
      <c r="J2242">
        <v>6</v>
      </c>
      <c r="K2242">
        <v>29089.8</v>
      </c>
      <c r="L2242" t="s">
        <v>391</v>
      </c>
      <c r="M2242">
        <v>50</v>
      </c>
      <c r="N2242" t="s">
        <v>61</v>
      </c>
      <c r="O2242" s="3" t="s">
        <v>22</v>
      </c>
      <c r="P2242" t="s">
        <v>59</v>
      </c>
      <c r="Q2242" t="s">
        <v>56</v>
      </c>
      <c r="R2242">
        <v>4</v>
      </c>
      <c r="S2242" t="s">
        <v>34</v>
      </c>
      <c r="T2242" s="4">
        <f t="shared" si="173"/>
        <v>174538.8</v>
      </c>
      <c r="U2242" s="4" t="str">
        <f t="shared" si="174"/>
        <v>Good</v>
      </c>
      <c r="V2242" s="4" t="str">
        <f t="shared" si="175"/>
        <v>Good</v>
      </c>
      <c r="W2242" s="4"/>
      <c r="X2242" s="4"/>
      <c r="AJ2242" s="4"/>
    </row>
    <row r="2243" spans="1:36">
      <c r="A2243" t="str">
        <f t="shared" si="176"/>
        <v>Suni282242</v>
      </c>
      <c r="B2243">
        <v>2242</v>
      </c>
      <c r="C2243">
        <v>7</v>
      </c>
      <c r="D2243">
        <v>7</v>
      </c>
      <c r="E2243">
        <v>2023</v>
      </c>
      <c r="F2243" s="1">
        <f t="shared" ref="F2243:F2306" si="177">DATE(E2243,D2243,C2243)</f>
        <v>45114</v>
      </c>
      <c r="G2243" s="1" t="s">
        <v>683</v>
      </c>
      <c r="H2243" s="2">
        <v>46719</v>
      </c>
      <c r="I2243" t="s">
        <v>49</v>
      </c>
      <c r="J2243">
        <v>6</v>
      </c>
      <c r="K2243">
        <v>23177.14</v>
      </c>
      <c r="L2243" t="s">
        <v>983</v>
      </c>
      <c r="M2243">
        <v>28</v>
      </c>
      <c r="N2243" t="s">
        <v>36</v>
      </c>
      <c r="O2243" s="3" t="s">
        <v>55</v>
      </c>
      <c r="P2243" t="s">
        <v>66</v>
      </c>
      <c r="Q2243" t="s">
        <v>24</v>
      </c>
      <c r="R2243">
        <v>2</v>
      </c>
      <c r="S2243" t="s">
        <v>102</v>
      </c>
      <c r="T2243" s="4">
        <f t="shared" ref="T2243:T2306" si="178">J2243*K2243</f>
        <v>139062.84</v>
      </c>
      <c r="U2243" s="4" t="str">
        <f t="shared" ref="U2243:U2306" si="179">IF(R2243&gt;=4,"Good","Average")</f>
        <v>Average</v>
      </c>
      <c r="V2243" s="4" t="str">
        <f t="shared" ref="V2243:V2303" si="180">IF(T2243&gt;200000,"Excellent",IF(T2243&gt;100000,"Good",IF(T2243&gt;50000,"Average","Low")))</f>
        <v>Good</v>
      </c>
      <c r="W2243" s="4"/>
      <c r="X2243" s="4"/>
      <c r="AJ2243" s="4"/>
    </row>
    <row r="2244" spans="1:36">
      <c r="A2244" t="str">
        <f t="shared" si="176"/>
        <v>Umes202243</v>
      </c>
      <c r="B2244">
        <v>2243</v>
      </c>
      <c r="C2244">
        <v>8</v>
      </c>
      <c r="D2244">
        <v>7</v>
      </c>
      <c r="E2244">
        <v>2023</v>
      </c>
      <c r="F2244" s="1">
        <f t="shared" si="177"/>
        <v>45115</v>
      </c>
      <c r="G2244" s="1" t="s">
        <v>683</v>
      </c>
      <c r="H2244" s="2">
        <v>46720</v>
      </c>
      <c r="I2244" t="s">
        <v>43</v>
      </c>
      <c r="J2244">
        <v>6</v>
      </c>
      <c r="K2244">
        <v>50648.01</v>
      </c>
      <c r="L2244" t="s">
        <v>721</v>
      </c>
      <c r="M2244">
        <v>20</v>
      </c>
      <c r="N2244" t="s">
        <v>36</v>
      </c>
      <c r="O2244" s="3" t="s">
        <v>22</v>
      </c>
      <c r="P2244" t="s">
        <v>70</v>
      </c>
      <c r="Q2244" t="s">
        <v>56</v>
      </c>
      <c r="R2244">
        <v>4</v>
      </c>
      <c r="S2244" t="s">
        <v>57</v>
      </c>
      <c r="T2244" s="4">
        <f t="shared" si="178"/>
        <v>303888.06</v>
      </c>
      <c r="U2244" s="4" t="str">
        <f t="shared" si="179"/>
        <v>Good</v>
      </c>
      <c r="V2244" s="4" t="str">
        <f t="shared" si="180"/>
        <v>Excellent</v>
      </c>
      <c r="W2244" s="4"/>
      <c r="X2244" s="4"/>
      <c r="AJ2244" s="4"/>
    </row>
    <row r="2245" spans="1:36">
      <c r="A2245" t="str">
        <f t="shared" si="176"/>
        <v>Suni572244</v>
      </c>
      <c r="B2245">
        <v>2244</v>
      </c>
      <c r="C2245">
        <v>8</v>
      </c>
      <c r="D2245">
        <v>7</v>
      </c>
      <c r="E2245">
        <v>2023</v>
      </c>
      <c r="F2245" s="1">
        <f t="shared" si="177"/>
        <v>45115</v>
      </c>
      <c r="G2245" s="1" t="s">
        <v>683</v>
      </c>
      <c r="H2245" s="2">
        <v>46721</v>
      </c>
      <c r="I2245" t="s">
        <v>38</v>
      </c>
      <c r="J2245">
        <v>9</v>
      </c>
      <c r="K2245">
        <v>55504.52</v>
      </c>
      <c r="L2245" t="s">
        <v>464</v>
      </c>
      <c r="M2245">
        <v>57</v>
      </c>
      <c r="N2245" t="s">
        <v>61</v>
      </c>
      <c r="O2245" s="3" t="s">
        <v>55</v>
      </c>
      <c r="P2245" t="s">
        <v>70</v>
      </c>
      <c r="Q2245" t="s">
        <v>56</v>
      </c>
      <c r="R2245">
        <v>2</v>
      </c>
      <c r="S2245" t="s">
        <v>48</v>
      </c>
      <c r="T2245" s="4">
        <f t="shared" si="178"/>
        <v>499540.68</v>
      </c>
      <c r="U2245" s="4" t="str">
        <f t="shared" si="179"/>
        <v>Average</v>
      </c>
      <c r="V2245" s="4" t="str">
        <f t="shared" si="180"/>
        <v>Excellent</v>
      </c>
      <c r="W2245" s="4"/>
      <c r="X2245" s="4"/>
      <c r="AJ2245" s="4"/>
    </row>
    <row r="2246" spans="1:36">
      <c r="A2246" t="str">
        <f t="shared" si="176"/>
        <v>Pooj222245</v>
      </c>
      <c r="B2246">
        <v>2245</v>
      </c>
      <c r="C2246">
        <v>8</v>
      </c>
      <c r="D2246">
        <v>7</v>
      </c>
      <c r="E2246">
        <v>2023</v>
      </c>
      <c r="F2246" s="1">
        <f t="shared" si="177"/>
        <v>45115</v>
      </c>
      <c r="G2246" s="1" t="s">
        <v>683</v>
      </c>
      <c r="H2246" s="2">
        <v>46722</v>
      </c>
      <c r="I2246" t="s">
        <v>19</v>
      </c>
      <c r="J2246">
        <v>8</v>
      </c>
      <c r="K2246">
        <v>23494.36</v>
      </c>
      <c r="L2246" t="s">
        <v>222</v>
      </c>
      <c r="M2246">
        <v>22</v>
      </c>
      <c r="N2246" t="s">
        <v>36</v>
      </c>
      <c r="O2246" s="3" t="s">
        <v>55</v>
      </c>
      <c r="P2246" t="s">
        <v>33</v>
      </c>
      <c r="Q2246" t="s">
        <v>41</v>
      </c>
      <c r="R2246">
        <v>2</v>
      </c>
      <c r="S2246" t="s">
        <v>25</v>
      </c>
      <c r="T2246" s="4">
        <f t="shared" si="178"/>
        <v>187954.88</v>
      </c>
      <c r="U2246" s="4" t="str">
        <f t="shared" si="179"/>
        <v>Average</v>
      </c>
      <c r="V2246" s="4" t="str">
        <f t="shared" si="180"/>
        <v>Good</v>
      </c>
      <c r="W2246" s="4"/>
      <c r="X2246" s="4"/>
      <c r="AJ2246" s="4"/>
    </row>
    <row r="2247" spans="1:36">
      <c r="A2247" t="str">
        <f t="shared" si="176"/>
        <v>Amit382246</v>
      </c>
      <c r="B2247">
        <v>2246</v>
      </c>
      <c r="C2247">
        <v>9</v>
      </c>
      <c r="D2247">
        <v>7</v>
      </c>
      <c r="E2247">
        <v>2023</v>
      </c>
      <c r="F2247" s="1">
        <f t="shared" si="177"/>
        <v>45116</v>
      </c>
      <c r="G2247" s="1" t="s">
        <v>683</v>
      </c>
      <c r="H2247" s="2">
        <v>46723</v>
      </c>
      <c r="I2247" t="s">
        <v>19</v>
      </c>
      <c r="J2247">
        <v>8</v>
      </c>
      <c r="K2247">
        <v>14596.65</v>
      </c>
      <c r="L2247" t="s">
        <v>636</v>
      </c>
      <c r="M2247">
        <v>38</v>
      </c>
      <c r="N2247" t="s">
        <v>21</v>
      </c>
      <c r="O2247" s="3" t="s">
        <v>55</v>
      </c>
      <c r="P2247" t="s">
        <v>33</v>
      </c>
      <c r="Q2247" t="s">
        <v>41</v>
      </c>
      <c r="R2247">
        <v>2</v>
      </c>
      <c r="S2247" t="s">
        <v>37</v>
      </c>
      <c r="T2247" s="4">
        <f t="shared" si="178"/>
        <v>116773.2</v>
      </c>
      <c r="U2247" s="4" t="str">
        <f t="shared" si="179"/>
        <v>Average</v>
      </c>
      <c r="V2247" s="4" t="str">
        <f t="shared" si="180"/>
        <v>Good</v>
      </c>
      <c r="W2247" s="4"/>
      <c r="X2247" s="4"/>
      <c r="AJ2247" s="4"/>
    </row>
    <row r="2248" spans="1:36">
      <c r="A2248" t="str">
        <f t="shared" si="176"/>
        <v>Sneh392247</v>
      </c>
      <c r="B2248">
        <v>2247</v>
      </c>
      <c r="C2248">
        <v>9</v>
      </c>
      <c r="D2248">
        <v>7</v>
      </c>
      <c r="E2248">
        <v>2023</v>
      </c>
      <c r="F2248" s="1">
        <f t="shared" si="177"/>
        <v>45116</v>
      </c>
      <c r="G2248" s="1" t="s">
        <v>683</v>
      </c>
      <c r="H2248" s="2">
        <v>46724</v>
      </c>
      <c r="I2248" t="s">
        <v>19</v>
      </c>
      <c r="J2248">
        <v>1</v>
      </c>
      <c r="K2248">
        <v>58630.99</v>
      </c>
      <c r="L2248" t="s">
        <v>842</v>
      </c>
      <c r="M2248">
        <v>39</v>
      </c>
      <c r="N2248" t="s">
        <v>21</v>
      </c>
      <c r="O2248" s="3" t="s">
        <v>22</v>
      </c>
      <c r="P2248" t="s">
        <v>110</v>
      </c>
      <c r="Q2248" t="s">
        <v>41</v>
      </c>
      <c r="R2248">
        <v>5</v>
      </c>
      <c r="S2248" t="s">
        <v>84</v>
      </c>
      <c r="T2248" s="4">
        <f t="shared" si="178"/>
        <v>58630.99</v>
      </c>
      <c r="U2248" s="4" t="str">
        <f t="shared" si="179"/>
        <v>Good</v>
      </c>
      <c r="V2248" s="4" t="str">
        <f t="shared" si="180"/>
        <v>Average</v>
      </c>
      <c r="W2248" s="4"/>
      <c r="X2248" s="4"/>
      <c r="AJ2248" s="4"/>
    </row>
    <row r="2249" spans="1:36">
      <c r="A2249" t="str">
        <f t="shared" si="176"/>
        <v>Ravi542248</v>
      </c>
      <c r="B2249">
        <v>2248</v>
      </c>
      <c r="C2249">
        <v>9</v>
      </c>
      <c r="D2249">
        <v>7</v>
      </c>
      <c r="E2249">
        <v>2023</v>
      </c>
      <c r="F2249" s="1">
        <f t="shared" si="177"/>
        <v>45116</v>
      </c>
      <c r="G2249" s="1" t="s">
        <v>683</v>
      </c>
      <c r="H2249" s="2">
        <v>46725</v>
      </c>
      <c r="I2249" t="s">
        <v>38</v>
      </c>
      <c r="J2249">
        <v>5</v>
      </c>
      <c r="K2249">
        <v>68590.12</v>
      </c>
      <c r="L2249" t="s">
        <v>849</v>
      </c>
      <c r="M2249">
        <v>54</v>
      </c>
      <c r="N2249" t="s">
        <v>61</v>
      </c>
      <c r="O2249" s="3" t="s">
        <v>22</v>
      </c>
      <c r="P2249" t="s">
        <v>90</v>
      </c>
      <c r="Q2249" t="s">
        <v>30</v>
      </c>
      <c r="R2249">
        <v>4</v>
      </c>
      <c r="S2249" t="s">
        <v>42</v>
      </c>
      <c r="T2249" s="4">
        <f t="shared" si="178"/>
        <v>342950.6</v>
      </c>
      <c r="U2249" s="4" t="str">
        <f t="shared" si="179"/>
        <v>Good</v>
      </c>
      <c r="V2249" s="4" t="str">
        <f t="shared" si="180"/>
        <v>Excellent</v>
      </c>
      <c r="W2249" s="4"/>
      <c r="X2249" s="4"/>
      <c r="AJ2249" s="4"/>
    </row>
    <row r="2250" spans="1:36">
      <c r="A2250" t="str">
        <f t="shared" si="176"/>
        <v>Amit282249</v>
      </c>
      <c r="B2250">
        <v>2249</v>
      </c>
      <c r="C2250">
        <v>9</v>
      </c>
      <c r="D2250">
        <v>7</v>
      </c>
      <c r="E2250">
        <v>2023</v>
      </c>
      <c r="F2250" s="1">
        <f t="shared" si="177"/>
        <v>45116</v>
      </c>
      <c r="G2250" s="1" t="s">
        <v>683</v>
      </c>
      <c r="H2250" s="2">
        <v>46726</v>
      </c>
      <c r="I2250" t="s">
        <v>43</v>
      </c>
      <c r="J2250">
        <v>7</v>
      </c>
      <c r="K2250">
        <v>48680.34</v>
      </c>
      <c r="L2250" t="s">
        <v>296</v>
      </c>
      <c r="M2250">
        <v>28</v>
      </c>
      <c r="N2250" t="s">
        <v>36</v>
      </c>
      <c r="O2250" s="3" t="s">
        <v>55</v>
      </c>
      <c r="P2250" t="s">
        <v>64</v>
      </c>
      <c r="Q2250" t="s">
        <v>24</v>
      </c>
      <c r="R2250">
        <v>2</v>
      </c>
      <c r="S2250" t="s">
        <v>57</v>
      </c>
      <c r="T2250" s="4">
        <f t="shared" si="178"/>
        <v>340762.38</v>
      </c>
      <c r="U2250" s="4" t="str">
        <f t="shared" si="179"/>
        <v>Average</v>
      </c>
      <c r="V2250" s="4" t="str">
        <f t="shared" si="180"/>
        <v>Excellent</v>
      </c>
      <c r="W2250" s="4"/>
      <c r="X2250" s="4"/>
      <c r="AJ2250" s="4"/>
    </row>
    <row r="2251" spans="1:36">
      <c r="A2251" t="str">
        <f t="shared" si="176"/>
        <v>Bhav392250</v>
      </c>
      <c r="B2251">
        <v>2250</v>
      </c>
      <c r="C2251">
        <v>10</v>
      </c>
      <c r="D2251">
        <v>7</v>
      </c>
      <c r="E2251">
        <v>2023</v>
      </c>
      <c r="F2251" s="1">
        <f t="shared" si="177"/>
        <v>45117</v>
      </c>
      <c r="G2251" s="1" t="s">
        <v>683</v>
      </c>
      <c r="H2251" s="2">
        <v>46727</v>
      </c>
      <c r="I2251" t="s">
        <v>38</v>
      </c>
      <c r="J2251">
        <v>6</v>
      </c>
      <c r="K2251">
        <v>26672.01</v>
      </c>
      <c r="L2251" t="s">
        <v>337</v>
      </c>
      <c r="M2251">
        <v>39</v>
      </c>
      <c r="N2251" t="s">
        <v>21</v>
      </c>
      <c r="O2251" s="3" t="s">
        <v>22</v>
      </c>
      <c r="P2251" t="s">
        <v>132</v>
      </c>
      <c r="Q2251" t="s">
        <v>56</v>
      </c>
      <c r="R2251">
        <v>4</v>
      </c>
      <c r="S2251" t="s">
        <v>48</v>
      </c>
      <c r="T2251" s="4">
        <f t="shared" si="178"/>
        <v>160032.06</v>
      </c>
      <c r="U2251" s="4" t="str">
        <f t="shared" si="179"/>
        <v>Good</v>
      </c>
      <c r="V2251" s="4" t="str">
        <f t="shared" si="180"/>
        <v>Good</v>
      </c>
      <c r="W2251" s="4"/>
      <c r="X2251" s="4"/>
      <c r="AJ2251" s="4"/>
    </row>
    <row r="2252" spans="1:36">
      <c r="A2252" t="str">
        <f t="shared" si="176"/>
        <v>Hari582251</v>
      </c>
      <c r="B2252">
        <v>2251</v>
      </c>
      <c r="C2252">
        <v>10</v>
      </c>
      <c r="D2252">
        <v>7</v>
      </c>
      <c r="E2252">
        <v>2023</v>
      </c>
      <c r="F2252" s="1">
        <f t="shared" si="177"/>
        <v>45117</v>
      </c>
      <c r="G2252" s="1" t="s">
        <v>683</v>
      </c>
      <c r="H2252" s="2">
        <v>46728</v>
      </c>
      <c r="I2252" t="s">
        <v>19</v>
      </c>
      <c r="J2252">
        <v>5</v>
      </c>
      <c r="K2252">
        <v>69800.36</v>
      </c>
      <c r="L2252" t="s">
        <v>429</v>
      </c>
      <c r="M2252">
        <v>58</v>
      </c>
      <c r="N2252" t="s">
        <v>61</v>
      </c>
      <c r="O2252" s="3" t="s">
        <v>55</v>
      </c>
      <c r="P2252" t="s">
        <v>66</v>
      </c>
      <c r="Q2252" t="s">
        <v>56</v>
      </c>
      <c r="R2252">
        <v>2</v>
      </c>
      <c r="S2252" t="s">
        <v>25</v>
      </c>
      <c r="T2252" s="4">
        <f t="shared" si="178"/>
        <v>349001.8</v>
      </c>
      <c r="U2252" s="4" t="str">
        <f t="shared" si="179"/>
        <v>Average</v>
      </c>
      <c r="V2252" s="4" t="str">
        <f t="shared" si="180"/>
        <v>Excellent</v>
      </c>
      <c r="W2252" s="4"/>
      <c r="X2252" s="4"/>
      <c r="AJ2252" s="4"/>
    </row>
    <row r="2253" spans="1:36">
      <c r="A2253" t="str">
        <f t="shared" si="176"/>
        <v>Umes302252</v>
      </c>
      <c r="B2253">
        <v>2252</v>
      </c>
      <c r="C2253">
        <v>10</v>
      </c>
      <c r="D2253">
        <v>7</v>
      </c>
      <c r="E2253">
        <v>2023</v>
      </c>
      <c r="F2253" s="1">
        <f t="shared" si="177"/>
        <v>45117</v>
      </c>
      <c r="G2253" s="1" t="s">
        <v>683</v>
      </c>
      <c r="H2253" s="2">
        <v>46729</v>
      </c>
      <c r="I2253" t="s">
        <v>49</v>
      </c>
      <c r="J2253">
        <v>8</v>
      </c>
      <c r="K2253">
        <v>63596</v>
      </c>
      <c r="L2253" t="s">
        <v>363</v>
      </c>
      <c r="M2253">
        <v>30</v>
      </c>
      <c r="N2253" t="s">
        <v>36</v>
      </c>
      <c r="O2253" s="3" t="s">
        <v>55</v>
      </c>
      <c r="P2253" t="s">
        <v>90</v>
      </c>
      <c r="Q2253" t="s">
        <v>24</v>
      </c>
      <c r="R2253">
        <v>2</v>
      </c>
      <c r="S2253" t="s">
        <v>102</v>
      </c>
      <c r="T2253" s="4">
        <f t="shared" si="178"/>
        <v>508768</v>
      </c>
      <c r="U2253" s="4" t="str">
        <f t="shared" si="179"/>
        <v>Average</v>
      </c>
      <c r="V2253" s="4" t="str">
        <f t="shared" si="180"/>
        <v>Excellent</v>
      </c>
      <c r="W2253" s="4"/>
      <c r="X2253" s="4"/>
      <c r="AJ2253" s="4"/>
    </row>
    <row r="2254" spans="1:36">
      <c r="A2254" t="str">
        <f t="shared" si="176"/>
        <v>Mala202253</v>
      </c>
      <c r="B2254">
        <v>2253</v>
      </c>
      <c r="C2254">
        <v>10</v>
      </c>
      <c r="D2254">
        <v>7</v>
      </c>
      <c r="E2254">
        <v>2023</v>
      </c>
      <c r="F2254" s="1">
        <f t="shared" si="177"/>
        <v>45117</v>
      </c>
      <c r="G2254" s="1" t="s">
        <v>683</v>
      </c>
      <c r="H2254" s="2">
        <v>46730</v>
      </c>
      <c r="I2254" t="s">
        <v>26</v>
      </c>
      <c r="J2254">
        <v>3</v>
      </c>
      <c r="K2254">
        <v>40802.839999999997</v>
      </c>
      <c r="L2254" t="s">
        <v>672</v>
      </c>
      <c r="M2254">
        <v>20</v>
      </c>
      <c r="N2254" t="s">
        <v>36</v>
      </c>
      <c r="O2254" s="3" t="s">
        <v>55</v>
      </c>
      <c r="P2254" t="s">
        <v>117</v>
      </c>
      <c r="Q2254" t="s">
        <v>56</v>
      </c>
      <c r="R2254">
        <v>2</v>
      </c>
      <c r="S2254" t="s">
        <v>67</v>
      </c>
      <c r="T2254" s="4">
        <f t="shared" si="178"/>
        <v>122408.51999999999</v>
      </c>
      <c r="U2254" s="4" t="str">
        <f t="shared" si="179"/>
        <v>Average</v>
      </c>
      <c r="V2254" s="4" t="str">
        <f t="shared" si="180"/>
        <v>Good</v>
      </c>
      <c r="W2254" s="4"/>
      <c r="X2254" s="4"/>
      <c r="AJ2254" s="4"/>
    </row>
    <row r="2255" spans="1:36">
      <c r="A2255" t="str">
        <f t="shared" si="176"/>
        <v>Anja302254</v>
      </c>
      <c r="B2255">
        <v>2254</v>
      </c>
      <c r="C2255">
        <v>11</v>
      </c>
      <c r="D2255">
        <v>7</v>
      </c>
      <c r="E2255">
        <v>2023</v>
      </c>
      <c r="F2255" s="1">
        <f t="shared" si="177"/>
        <v>45118</v>
      </c>
      <c r="G2255" s="1" t="s">
        <v>683</v>
      </c>
      <c r="H2255" s="2">
        <v>46731</v>
      </c>
      <c r="I2255" t="s">
        <v>38</v>
      </c>
      <c r="J2255">
        <v>6</v>
      </c>
      <c r="K2255">
        <v>59519.28</v>
      </c>
      <c r="L2255" t="s">
        <v>754</v>
      </c>
      <c r="M2255">
        <v>30</v>
      </c>
      <c r="N2255" t="s">
        <v>36</v>
      </c>
      <c r="O2255" s="3" t="s">
        <v>22</v>
      </c>
      <c r="P2255" t="s">
        <v>29</v>
      </c>
      <c r="Q2255" t="s">
        <v>41</v>
      </c>
      <c r="R2255">
        <v>5</v>
      </c>
      <c r="S2255" t="s">
        <v>99</v>
      </c>
      <c r="T2255" s="4">
        <f t="shared" si="178"/>
        <v>357115.68</v>
      </c>
      <c r="U2255" s="4" t="str">
        <f t="shared" si="179"/>
        <v>Good</v>
      </c>
      <c r="V2255" s="4" t="str">
        <f t="shared" si="180"/>
        <v>Excellent</v>
      </c>
      <c r="W2255" s="4"/>
      <c r="X2255" s="4"/>
      <c r="AJ2255" s="4"/>
    </row>
    <row r="2256" spans="1:36">
      <c r="A2256" t="str">
        <f t="shared" si="176"/>
        <v>Navi452255</v>
      </c>
      <c r="B2256">
        <v>2255</v>
      </c>
      <c r="C2256">
        <v>11</v>
      </c>
      <c r="D2256">
        <v>7</v>
      </c>
      <c r="E2256">
        <v>2023</v>
      </c>
      <c r="F2256" s="1">
        <f t="shared" si="177"/>
        <v>45118</v>
      </c>
      <c r="G2256" s="1" t="s">
        <v>683</v>
      </c>
      <c r="H2256" s="2">
        <v>46732</v>
      </c>
      <c r="I2256" t="s">
        <v>38</v>
      </c>
      <c r="J2256">
        <v>5</v>
      </c>
      <c r="K2256">
        <v>58949.23</v>
      </c>
      <c r="L2256" t="s">
        <v>250</v>
      </c>
      <c r="M2256">
        <v>45</v>
      </c>
      <c r="N2256" t="s">
        <v>21</v>
      </c>
      <c r="O2256" s="3" t="s">
        <v>55</v>
      </c>
      <c r="P2256" t="s">
        <v>29</v>
      </c>
      <c r="Q2256" t="s">
        <v>56</v>
      </c>
      <c r="R2256">
        <v>2</v>
      </c>
      <c r="S2256" t="s">
        <v>48</v>
      </c>
      <c r="T2256" s="4">
        <f t="shared" si="178"/>
        <v>294746.15000000002</v>
      </c>
      <c r="U2256" s="4" t="str">
        <f t="shared" si="179"/>
        <v>Average</v>
      </c>
      <c r="V2256" s="4" t="str">
        <f t="shared" si="180"/>
        <v>Excellent</v>
      </c>
      <c r="W2256" s="4"/>
      <c r="X2256" s="4"/>
      <c r="AJ2256" s="4"/>
    </row>
    <row r="2257" spans="1:36">
      <c r="A2257" t="str">
        <f t="shared" si="176"/>
        <v>Amit282256</v>
      </c>
      <c r="B2257">
        <v>2256</v>
      </c>
      <c r="C2257">
        <v>11</v>
      </c>
      <c r="D2257">
        <v>7</v>
      </c>
      <c r="E2257">
        <v>2023</v>
      </c>
      <c r="F2257" s="1">
        <f t="shared" si="177"/>
        <v>45118</v>
      </c>
      <c r="G2257" s="1" t="s">
        <v>683</v>
      </c>
      <c r="H2257" s="2">
        <v>46733</v>
      </c>
      <c r="I2257" t="s">
        <v>43</v>
      </c>
      <c r="J2257">
        <v>8</v>
      </c>
      <c r="K2257">
        <v>66087.94</v>
      </c>
      <c r="L2257" t="s">
        <v>411</v>
      </c>
      <c r="M2257">
        <v>28</v>
      </c>
      <c r="N2257" t="s">
        <v>36</v>
      </c>
      <c r="O2257" s="3" t="s">
        <v>55</v>
      </c>
      <c r="P2257" t="s">
        <v>33</v>
      </c>
      <c r="Q2257" t="s">
        <v>24</v>
      </c>
      <c r="R2257">
        <v>2</v>
      </c>
      <c r="S2257" t="s">
        <v>57</v>
      </c>
      <c r="T2257" s="4">
        <f t="shared" si="178"/>
        <v>528703.52</v>
      </c>
      <c r="U2257" s="4" t="str">
        <f t="shared" si="179"/>
        <v>Average</v>
      </c>
      <c r="V2257" s="4" t="str">
        <f t="shared" si="180"/>
        <v>Excellent</v>
      </c>
      <c r="W2257" s="4"/>
      <c r="X2257" s="4"/>
      <c r="AJ2257" s="4"/>
    </row>
    <row r="2258" spans="1:36">
      <c r="A2258" t="str">
        <f t="shared" si="176"/>
        <v>Neet282257</v>
      </c>
      <c r="B2258">
        <v>2257</v>
      </c>
      <c r="C2258">
        <v>11</v>
      </c>
      <c r="D2258">
        <v>7</v>
      </c>
      <c r="E2258">
        <v>2023</v>
      </c>
      <c r="F2258" s="1">
        <f t="shared" si="177"/>
        <v>45118</v>
      </c>
      <c r="G2258" s="1" t="s">
        <v>683</v>
      </c>
      <c r="H2258" s="2">
        <v>46734</v>
      </c>
      <c r="I2258" t="s">
        <v>43</v>
      </c>
      <c r="J2258">
        <v>4</v>
      </c>
      <c r="K2258">
        <v>60455.43</v>
      </c>
      <c r="L2258" t="s">
        <v>155</v>
      </c>
      <c r="M2258">
        <v>28</v>
      </c>
      <c r="N2258" t="s">
        <v>36</v>
      </c>
      <c r="O2258" s="3" t="s">
        <v>55</v>
      </c>
      <c r="P2258" t="s">
        <v>64</v>
      </c>
      <c r="Q2258" t="s">
        <v>30</v>
      </c>
      <c r="R2258">
        <v>2</v>
      </c>
      <c r="S2258" t="s">
        <v>95</v>
      </c>
      <c r="T2258" s="4">
        <f t="shared" si="178"/>
        <v>241821.72</v>
      </c>
      <c r="U2258" s="4" t="str">
        <f t="shared" si="179"/>
        <v>Average</v>
      </c>
      <c r="V2258" s="4" t="str">
        <f t="shared" si="180"/>
        <v>Excellent</v>
      </c>
      <c r="W2258" s="4"/>
      <c r="X2258" s="4"/>
      <c r="AJ2258" s="4"/>
    </row>
    <row r="2259" spans="1:36">
      <c r="A2259" t="str">
        <f t="shared" si="176"/>
        <v>Pank382258</v>
      </c>
      <c r="B2259">
        <v>2258</v>
      </c>
      <c r="C2259">
        <v>12</v>
      </c>
      <c r="D2259">
        <v>7</v>
      </c>
      <c r="E2259">
        <v>2023</v>
      </c>
      <c r="F2259" s="1">
        <f t="shared" si="177"/>
        <v>45119</v>
      </c>
      <c r="G2259" s="1" t="s">
        <v>683</v>
      </c>
      <c r="H2259" s="2">
        <v>46735</v>
      </c>
      <c r="I2259" t="s">
        <v>38</v>
      </c>
      <c r="J2259">
        <v>8</v>
      </c>
      <c r="K2259">
        <v>48620.75</v>
      </c>
      <c r="L2259" t="s">
        <v>657</v>
      </c>
      <c r="M2259">
        <v>38</v>
      </c>
      <c r="N2259" t="s">
        <v>21</v>
      </c>
      <c r="O2259" s="3" t="s">
        <v>55</v>
      </c>
      <c r="P2259" t="s">
        <v>150</v>
      </c>
      <c r="Q2259" t="s">
        <v>30</v>
      </c>
      <c r="R2259">
        <v>2</v>
      </c>
      <c r="S2259" t="s">
        <v>42</v>
      </c>
      <c r="T2259" s="4">
        <f t="shared" si="178"/>
        <v>388966</v>
      </c>
      <c r="U2259" s="4" t="str">
        <f t="shared" si="179"/>
        <v>Average</v>
      </c>
      <c r="V2259" s="4" t="str">
        <f t="shared" si="180"/>
        <v>Excellent</v>
      </c>
      <c r="W2259" s="4"/>
      <c r="X2259" s="4"/>
      <c r="AJ2259" s="4"/>
    </row>
    <row r="2260" spans="1:36">
      <c r="A2260" t="str">
        <f t="shared" si="176"/>
        <v>Kira382259</v>
      </c>
      <c r="B2260">
        <v>2259</v>
      </c>
      <c r="C2260">
        <v>12</v>
      </c>
      <c r="D2260">
        <v>7</v>
      </c>
      <c r="E2260">
        <v>2023</v>
      </c>
      <c r="F2260" s="1">
        <f t="shared" si="177"/>
        <v>45119</v>
      </c>
      <c r="G2260" s="1" t="s">
        <v>683</v>
      </c>
      <c r="H2260" s="2">
        <v>46736</v>
      </c>
      <c r="I2260" t="s">
        <v>19</v>
      </c>
      <c r="J2260">
        <v>2</v>
      </c>
      <c r="K2260">
        <v>46558.22</v>
      </c>
      <c r="L2260" t="s">
        <v>984</v>
      </c>
      <c r="M2260">
        <v>38</v>
      </c>
      <c r="N2260" t="s">
        <v>21</v>
      </c>
      <c r="O2260" s="3" t="s">
        <v>55</v>
      </c>
      <c r="P2260" t="s">
        <v>33</v>
      </c>
      <c r="Q2260" t="s">
        <v>24</v>
      </c>
      <c r="R2260">
        <v>2</v>
      </c>
      <c r="S2260" t="s">
        <v>25</v>
      </c>
      <c r="T2260" s="4">
        <f t="shared" si="178"/>
        <v>93116.44</v>
      </c>
      <c r="U2260" s="4" t="str">
        <f t="shared" si="179"/>
        <v>Average</v>
      </c>
      <c r="V2260" s="4" t="str">
        <f t="shared" si="180"/>
        <v>Average</v>
      </c>
      <c r="W2260" s="4"/>
      <c r="X2260" s="4"/>
      <c r="AJ2260" s="4"/>
    </row>
    <row r="2261" spans="1:36">
      <c r="A2261" t="str">
        <f t="shared" si="176"/>
        <v>Kavi242260</v>
      </c>
      <c r="B2261">
        <v>2260</v>
      </c>
      <c r="C2261">
        <v>12</v>
      </c>
      <c r="D2261">
        <v>7</v>
      </c>
      <c r="E2261">
        <v>2023</v>
      </c>
      <c r="F2261" s="1">
        <f t="shared" si="177"/>
        <v>45119</v>
      </c>
      <c r="G2261" s="1" t="s">
        <v>683</v>
      </c>
      <c r="H2261" s="2">
        <v>46737</v>
      </c>
      <c r="I2261" t="s">
        <v>26</v>
      </c>
      <c r="J2261">
        <v>9</v>
      </c>
      <c r="K2261">
        <v>38041.440000000002</v>
      </c>
      <c r="L2261" t="s">
        <v>445</v>
      </c>
      <c r="M2261">
        <v>24</v>
      </c>
      <c r="N2261" t="s">
        <v>36</v>
      </c>
      <c r="O2261" s="3" t="s">
        <v>55</v>
      </c>
      <c r="P2261" t="s">
        <v>33</v>
      </c>
      <c r="Q2261" t="s">
        <v>56</v>
      </c>
      <c r="R2261">
        <v>2</v>
      </c>
      <c r="S2261" t="s">
        <v>34</v>
      </c>
      <c r="T2261" s="4">
        <f t="shared" si="178"/>
        <v>342372.96</v>
      </c>
      <c r="U2261" s="4" t="str">
        <f t="shared" si="179"/>
        <v>Average</v>
      </c>
      <c r="V2261" s="4" t="str">
        <f t="shared" si="180"/>
        <v>Excellent</v>
      </c>
      <c r="W2261" s="4"/>
      <c r="X2261" s="4"/>
      <c r="AJ2261" s="4"/>
    </row>
    <row r="2262" spans="1:36">
      <c r="A2262" t="str">
        <f t="shared" si="176"/>
        <v>Jyot342261</v>
      </c>
      <c r="B2262">
        <v>2261</v>
      </c>
      <c r="C2262">
        <v>12</v>
      </c>
      <c r="D2262">
        <v>7</v>
      </c>
      <c r="E2262">
        <v>2023</v>
      </c>
      <c r="F2262" s="1">
        <f t="shared" si="177"/>
        <v>45119</v>
      </c>
      <c r="G2262" s="1" t="s">
        <v>683</v>
      </c>
      <c r="H2262" s="2">
        <v>46738</v>
      </c>
      <c r="I2262" t="s">
        <v>43</v>
      </c>
      <c r="J2262">
        <v>9</v>
      </c>
      <c r="K2262">
        <v>47589.14</v>
      </c>
      <c r="L2262" t="s">
        <v>521</v>
      </c>
      <c r="M2262">
        <v>34</v>
      </c>
      <c r="N2262" t="s">
        <v>21</v>
      </c>
      <c r="O2262" s="3" t="s">
        <v>22</v>
      </c>
      <c r="P2262" t="s">
        <v>110</v>
      </c>
      <c r="Q2262" t="s">
        <v>56</v>
      </c>
      <c r="R2262">
        <v>4</v>
      </c>
      <c r="S2262" t="s">
        <v>46</v>
      </c>
      <c r="T2262" s="4">
        <f t="shared" si="178"/>
        <v>428302.26</v>
      </c>
      <c r="U2262" s="4" t="str">
        <f t="shared" si="179"/>
        <v>Good</v>
      </c>
      <c r="V2262" s="4" t="str">
        <f t="shared" si="180"/>
        <v>Excellent</v>
      </c>
      <c r="W2262" s="4"/>
      <c r="X2262" s="4"/>
      <c r="AJ2262" s="4"/>
    </row>
    <row r="2263" spans="1:36">
      <c r="A2263" t="str">
        <f t="shared" si="176"/>
        <v>Sumi312262</v>
      </c>
      <c r="B2263">
        <v>2262</v>
      </c>
      <c r="C2263">
        <v>13</v>
      </c>
      <c r="D2263">
        <v>7</v>
      </c>
      <c r="E2263">
        <v>2023</v>
      </c>
      <c r="F2263" s="1">
        <f t="shared" si="177"/>
        <v>45120</v>
      </c>
      <c r="G2263" s="1" t="s">
        <v>683</v>
      </c>
      <c r="H2263" s="2">
        <v>46739</v>
      </c>
      <c r="I2263" t="s">
        <v>19</v>
      </c>
      <c r="J2263">
        <v>6</v>
      </c>
      <c r="K2263">
        <v>57713</v>
      </c>
      <c r="L2263" t="s">
        <v>630</v>
      </c>
      <c r="M2263">
        <v>31</v>
      </c>
      <c r="N2263" t="s">
        <v>21</v>
      </c>
      <c r="O2263" s="3" t="s">
        <v>55</v>
      </c>
      <c r="P2263" t="s">
        <v>114</v>
      </c>
      <c r="Q2263" t="s">
        <v>30</v>
      </c>
      <c r="R2263">
        <v>2</v>
      </c>
      <c r="S2263" t="s">
        <v>25</v>
      </c>
      <c r="T2263" s="4">
        <f t="shared" si="178"/>
        <v>346278</v>
      </c>
      <c r="U2263" s="4" t="str">
        <f t="shared" si="179"/>
        <v>Average</v>
      </c>
      <c r="V2263" s="4" t="str">
        <f t="shared" si="180"/>
        <v>Excellent</v>
      </c>
      <c r="W2263" s="4"/>
      <c r="X2263" s="4"/>
      <c r="AJ2263" s="4"/>
    </row>
    <row r="2264" spans="1:36">
      <c r="A2264" t="str">
        <f t="shared" si="176"/>
        <v>Kira502263</v>
      </c>
      <c r="B2264">
        <v>2263</v>
      </c>
      <c r="C2264">
        <v>13</v>
      </c>
      <c r="D2264">
        <v>7</v>
      </c>
      <c r="E2264">
        <v>2023</v>
      </c>
      <c r="F2264" s="1">
        <f t="shared" si="177"/>
        <v>45120</v>
      </c>
      <c r="G2264" s="1" t="s">
        <v>683</v>
      </c>
      <c r="H2264" s="2">
        <v>46740</v>
      </c>
      <c r="I2264" t="s">
        <v>49</v>
      </c>
      <c r="J2264">
        <v>4</v>
      </c>
      <c r="K2264">
        <v>68142.259999999995</v>
      </c>
      <c r="L2264" t="s">
        <v>501</v>
      </c>
      <c r="M2264">
        <v>50</v>
      </c>
      <c r="N2264" t="s">
        <v>61</v>
      </c>
      <c r="O2264" s="3" t="s">
        <v>55</v>
      </c>
      <c r="P2264" t="s">
        <v>33</v>
      </c>
      <c r="Q2264" t="s">
        <v>56</v>
      </c>
      <c r="R2264">
        <v>2</v>
      </c>
      <c r="S2264" t="s">
        <v>102</v>
      </c>
      <c r="T2264" s="4">
        <f t="shared" si="178"/>
        <v>272569.03999999998</v>
      </c>
      <c r="U2264" s="4" t="str">
        <f t="shared" si="179"/>
        <v>Average</v>
      </c>
      <c r="V2264" s="4" t="str">
        <f t="shared" si="180"/>
        <v>Excellent</v>
      </c>
      <c r="W2264" s="4"/>
      <c r="X2264" s="4"/>
      <c r="AJ2264" s="4"/>
    </row>
    <row r="2265" spans="1:36">
      <c r="A2265" t="str">
        <f t="shared" si="176"/>
        <v>Bhav282264</v>
      </c>
      <c r="B2265">
        <v>2264</v>
      </c>
      <c r="C2265">
        <v>13</v>
      </c>
      <c r="D2265">
        <v>7</v>
      </c>
      <c r="E2265">
        <v>2023</v>
      </c>
      <c r="F2265" s="1">
        <f t="shared" si="177"/>
        <v>45120</v>
      </c>
      <c r="G2265" s="1" t="s">
        <v>683</v>
      </c>
      <c r="H2265" s="2">
        <v>46741</v>
      </c>
      <c r="I2265" t="s">
        <v>43</v>
      </c>
      <c r="J2265">
        <v>4</v>
      </c>
      <c r="K2265">
        <v>38037.24</v>
      </c>
      <c r="L2265" t="s">
        <v>562</v>
      </c>
      <c r="M2265">
        <v>28</v>
      </c>
      <c r="N2265" t="s">
        <v>36</v>
      </c>
      <c r="O2265" s="3" t="s">
        <v>22</v>
      </c>
      <c r="P2265" t="s">
        <v>59</v>
      </c>
      <c r="Q2265" t="s">
        <v>30</v>
      </c>
      <c r="R2265">
        <v>5</v>
      </c>
      <c r="S2265" t="s">
        <v>95</v>
      </c>
      <c r="T2265" s="4">
        <f t="shared" si="178"/>
        <v>152148.96</v>
      </c>
      <c r="U2265" s="4" t="str">
        <f t="shared" si="179"/>
        <v>Good</v>
      </c>
      <c r="V2265" s="4" t="str">
        <f t="shared" si="180"/>
        <v>Good</v>
      </c>
      <c r="W2265" s="4"/>
      <c r="X2265" s="4"/>
      <c r="AJ2265" s="4"/>
    </row>
    <row r="2266" spans="1:36">
      <c r="A2266" t="str">
        <f t="shared" si="176"/>
        <v>Meen302265</v>
      </c>
      <c r="B2266">
        <v>2265</v>
      </c>
      <c r="C2266">
        <v>13</v>
      </c>
      <c r="D2266">
        <v>7</v>
      </c>
      <c r="E2266">
        <v>2023</v>
      </c>
      <c r="F2266" s="1">
        <f t="shared" si="177"/>
        <v>45120</v>
      </c>
      <c r="G2266" s="1" t="s">
        <v>683</v>
      </c>
      <c r="H2266" s="2">
        <v>46742</v>
      </c>
      <c r="I2266" t="s">
        <v>19</v>
      </c>
      <c r="J2266">
        <v>6</v>
      </c>
      <c r="K2266">
        <v>44419.19</v>
      </c>
      <c r="L2266" t="s">
        <v>732</v>
      </c>
      <c r="M2266">
        <v>30</v>
      </c>
      <c r="N2266" t="s">
        <v>36</v>
      </c>
      <c r="O2266" s="3" t="s">
        <v>55</v>
      </c>
      <c r="P2266" t="s">
        <v>66</v>
      </c>
      <c r="Q2266" t="s">
        <v>24</v>
      </c>
      <c r="R2266">
        <v>2</v>
      </c>
      <c r="S2266" t="s">
        <v>25</v>
      </c>
      <c r="T2266" s="4">
        <f t="shared" si="178"/>
        <v>266515.14</v>
      </c>
      <c r="U2266" s="4" t="str">
        <f t="shared" si="179"/>
        <v>Average</v>
      </c>
      <c r="V2266" s="4" t="str">
        <f t="shared" si="180"/>
        <v>Excellent</v>
      </c>
      <c r="W2266" s="4"/>
      <c r="X2266" s="4"/>
      <c r="AJ2266" s="4"/>
    </row>
    <row r="2267" spans="1:36">
      <c r="A2267" t="str">
        <f t="shared" si="176"/>
        <v>Adit182266</v>
      </c>
      <c r="B2267">
        <v>2266</v>
      </c>
      <c r="C2267">
        <v>14</v>
      </c>
      <c r="D2267">
        <v>7</v>
      </c>
      <c r="E2267">
        <v>2023</v>
      </c>
      <c r="F2267" s="1">
        <f t="shared" si="177"/>
        <v>45121</v>
      </c>
      <c r="G2267" s="1" t="s">
        <v>683</v>
      </c>
      <c r="H2267" s="2">
        <v>46743</v>
      </c>
      <c r="I2267" t="s">
        <v>19</v>
      </c>
      <c r="J2267">
        <v>5</v>
      </c>
      <c r="K2267">
        <v>36688.33</v>
      </c>
      <c r="L2267" t="s">
        <v>641</v>
      </c>
      <c r="M2267">
        <v>18</v>
      </c>
      <c r="N2267" t="s">
        <v>36</v>
      </c>
      <c r="O2267" s="3" t="s">
        <v>22</v>
      </c>
      <c r="P2267" t="s">
        <v>132</v>
      </c>
      <c r="Q2267" t="s">
        <v>24</v>
      </c>
      <c r="R2267">
        <v>5</v>
      </c>
      <c r="S2267" t="s">
        <v>25</v>
      </c>
      <c r="T2267" s="4">
        <f t="shared" si="178"/>
        <v>183441.65000000002</v>
      </c>
      <c r="U2267" s="4" t="str">
        <f t="shared" si="179"/>
        <v>Good</v>
      </c>
      <c r="V2267" s="4" t="str">
        <f t="shared" si="180"/>
        <v>Good</v>
      </c>
      <c r="W2267" s="4"/>
      <c r="X2267" s="4"/>
      <c r="AJ2267" s="4"/>
    </row>
    <row r="2268" spans="1:36">
      <c r="A2268" t="str">
        <f t="shared" si="176"/>
        <v>Nikh512267</v>
      </c>
      <c r="B2268">
        <v>2267</v>
      </c>
      <c r="C2268">
        <v>14</v>
      </c>
      <c r="D2268">
        <v>7</v>
      </c>
      <c r="E2268">
        <v>2023</v>
      </c>
      <c r="F2268" s="1">
        <f t="shared" si="177"/>
        <v>45121</v>
      </c>
      <c r="G2268" s="1" t="s">
        <v>683</v>
      </c>
      <c r="H2268" s="2">
        <v>46744</v>
      </c>
      <c r="I2268" t="s">
        <v>26</v>
      </c>
      <c r="J2268">
        <v>6</v>
      </c>
      <c r="K2268">
        <v>50109.32</v>
      </c>
      <c r="L2268" t="s">
        <v>749</v>
      </c>
      <c r="M2268">
        <v>51</v>
      </c>
      <c r="N2268" t="s">
        <v>61</v>
      </c>
      <c r="O2268" s="3" t="s">
        <v>28</v>
      </c>
      <c r="P2268" t="s">
        <v>29</v>
      </c>
      <c r="Q2268" t="s">
        <v>56</v>
      </c>
      <c r="R2268">
        <v>3</v>
      </c>
      <c r="S2268" t="s">
        <v>67</v>
      </c>
      <c r="T2268" s="4">
        <f t="shared" si="178"/>
        <v>300655.92</v>
      </c>
      <c r="U2268" s="4" t="str">
        <f t="shared" si="179"/>
        <v>Average</v>
      </c>
      <c r="V2268" s="4" t="str">
        <f t="shared" si="180"/>
        <v>Excellent</v>
      </c>
      <c r="W2268" s="4"/>
      <c r="X2268" s="4"/>
      <c r="AJ2268" s="4"/>
    </row>
    <row r="2269" spans="1:36">
      <c r="A2269" t="str">
        <f t="shared" si="176"/>
        <v>Moni262268</v>
      </c>
      <c r="B2269">
        <v>2268</v>
      </c>
      <c r="C2269">
        <v>14</v>
      </c>
      <c r="D2269">
        <v>7</v>
      </c>
      <c r="E2269">
        <v>2023</v>
      </c>
      <c r="F2269" s="1">
        <f t="shared" si="177"/>
        <v>45121</v>
      </c>
      <c r="G2269" s="1" t="s">
        <v>683</v>
      </c>
      <c r="H2269" s="2">
        <v>46745</v>
      </c>
      <c r="I2269" t="s">
        <v>26</v>
      </c>
      <c r="J2269">
        <v>7</v>
      </c>
      <c r="K2269">
        <v>47795.23</v>
      </c>
      <c r="L2269" t="s">
        <v>985</v>
      </c>
      <c r="M2269">
        <v>26</v>
      </c>
      <c r="N2269" t="s">
        <v>36</v>
      </c>
      <c r="O2269" s="3" t="s">
        <v>22</v>
      </c>
      <c r="P2269" t="s">
        <v>33</v>
      </c>
      <c r="Q2269" t="s">
        <v>41</v>
      </c>
      <c r="R2269">
        <v>5</v>
      </c>
      <c r="S2269" t="s">
        <v>34</v>
      </c>
      <c r="T2269" s="4">
        <f t="shared" si="178"/>
        <v>334566.61000000004</v>
      </c>
      <c r="U2269" s="4" t="str">
        <f t="shared" si="179"/>
        <v>Good</v>
      </c>
      <c r="V2269" s="4" t="str">
        <f t="shared" si="180"/>
        <v>Excellent</v>
      </c>
      <c r="W2269" s="4"/>
      <c r="X2269" s="4"/>
      <c r="AJ2269" s="4"/>
    </row>
    <row r="2270" spans="1:36">
      <c r="A2270" t="str">
        <f t="shared" si="176"/>
        <v>Isha302269</v>
      </c>
      <c r="B2270">
        <v>2269</v>
      </c>
      <c r="C2270">
        <v>15</v>
      </c>
      <c r="D2270">
        <v>7</v>
      </c>
      <c r="E2270">
        <v>2023</v>
      </c>
      <c r="F2270" s="1">
        <f t="shared" si="177"/>
        <v>45122</v>
      </c>
      <c r="G2270" s="1" t="s">
        <v>683</v>
      </c>
      <c r="H2270" s="2">
        <v>46746</v>
      </c>
      <c r="I2270" t="s">
        <v>49</v>
      </c>
      <c r="J2270">
        <v>7</v>
      </c>
      <c r="K2270">
        <v>11070.03</v>
      </c>
      <c r="L2270" t="s">
        <v>584</v>
      </c>
      <c r="M2270">
        <v>30</v>
      </c>
      <c r="N2270" t="s">
        <v>36</v>
      </c>
      <c r="O2270" s="3" t="s">
        <v>28</v>
      </c>
      <c r="P2270" t="s">
        <v>51</v>
      </c>
      <c r="Q2270" t="s">
        <v>41</v>
      </c>
      <c r="R2270">
        <v>3</v>
      </c>
      <c r="S2270" t="s">
        <v>88</v>
      </c>
      <c r="T2270" s="4">
        <f t="shared" si="178"/>
        <v>77490.210000000006</v>
      </c>
      <c r="U2270" s="4" t="str">
        <f t="shared" si="179"/>
        <v>Average</v>
      </c>
      <c r="V2270" s="4" t="str">
        <f t="shared" si="180"/>
        <v>Average</v>
      </c>
      <c r="W2270" s="4"/>
      <c r="X2270" s="4"/>
      <c r="AJ2270" s="4"/>
    </row>
    <row r="2271" spans="1:36">
      <c r="A2271" t="str">
        <f t="shared" si="176"/>
        <v>Priy542270</v>
      </c>
      <c r="B2271">
        <v>2270</v>
      </c>
      <c r="C2271">
        <v>15</v>
      </c>
      <c r="D2271">
        <v>7</v>
      </c>
      <c r="E2271">
        <v>2023</v>
      </c>
      <c r="F2271" s="1">
        <f t="shared" si="177"/>
        <v>45122</v>
      </c>
      <c r="G2271" s="1" t="s">
        <v>683</v>
      </c>
      <c r="H2271" s="2">
        <v>46747</v>
      </c>
      <c r="I2271" t="s">
        <v>19</v>
      </c>
      <c r="J2271">
        <v>9</v>
      </c>
      <c r="K2271">
        <v>42469.69</v>
      </c>
      <c r="L2271" t="s">
        <v>354</v>
      </c>
      <c r="M2271">
        <v>54</v>
      </c>
      <c r="N2271" t="s">
        <v>61</v>
      </c>
      <c r="O2271" s="3" t="s">
        <v>28</v>
      </c>
      <c r="P2271" t="s">
        <v>29</v>
      </c>
      <c r="Q2271" t="s">
        <v>30</v>
      </c>
      <c r="R2271">
        <v>3</v>
      </c>
      <c r="S2271" t="s">
        <v>25</v>
      </c>
      <c r="T2271" s="4">
        <f t="shared" si="178"/>
        <v>382227.21</v>
      </c>
      <c r="U2271" s="4" t="str">
        <f t="shared" si="179"/>
        <v>Average</v>
      </c>
      <c r="V2271" s="4" t="str">
        <f t="shared" si="180"/>
        <v>Excellent</v>
      </c>
      <c r="W2271" s="4"/>
      <c r="X2271" s="4"/>
      <c r="AJ2271" s="4"/>
    </row>
    <row r="2272" spans="1:36">
      <c r="A2272" t="str">
        <f t="shared" si="176"/>
        <v>Suni472271</v>
      </c>
      <c r="B2272">
        <v>2271</v>
      </c>
      <c r="C2272">
        <v>15</v>
      </c>
      <c r="D2272">
        <v>7</v>
      </c>
      <c r="E2272">
        <v>2023</v>
      </c>
      <c r="F2272" s="1">
        <f t="shared" si="177"/>
        <v>45122</v>
      </c>
      <c r="G2272" s="1" t="s">
        <v>683</v>
      </c>
      <c r="H2272" s="2">
        <v>46748</v>
      </c>
      <c r="I2272" t="s">
        <v>19</v>
      </c>
      <c r="J2272">
        <v>8</v>
      </c>
      <c r="K2272">
        <v>15309.21</v>
      </c>
      <c r="L2272" t="s">
        <v>172</v>
      </c>
      <c r="M2272">
        <v>47</v>
      </c>
      <c r="N2272" t="s">
        <v>61</v>
      </c>
      <c r="O2272" s="3" t="s">
        <v>22</v>
      </c>
      <c r="P2272" t="s">
        <v>29</v>
      </c>
      <c r="Q2272" t="s">
        <v>24</v>
      </c>
      <c r="R2272">
        <v>5</v>
      </c>
      <c r="S2272" t="s">
        <v>84</v>
      </c>
      <c r="T2272" s="4">
        <f t="shared" si="178"/>
        <v>122473.68</v>
      </c>
      <c r="U2272" s="4" t="str">
        <f t="shared" si="179"/>
        <v>Good</v>
      </c>
      <c r="V2272" s="4" t="str">
        <f t="shared" si="180"/>
        <v>Good</v>
      </c>
      <c r="W2272" s="4"/>
      <c r="X2272" s="4"/>
      <c r="AJ2272" s="4"/>
    </row>
    <row r="2273" spans="1:36">
      <c r="A2273" t="str">
        <f t="shared" si="176"/>
        <v>Arun582272</v>
      </c>
      <c r="B2273">
        <v>2272</v>
      </c>
      <c r="C2273">
        <v>15</v>
      </c>
      <c r="D2273">
        <v>7</v>
      </c>
      <c r="E2273">
        <v>2023</v>
      </c>
      <c r="F2273" s="1">
        <f t="shared" si="177"/>
        <v>45122</v>
      </c>
      <c r="G2273" s="1" t="s">
        <v>683</v>
      </c>
      <c r="H2273" s="2">
        <v>46749</v>
      </c>
      <c r="I2273" t="s">
        <v>26</v>
      </c>
      <c r="J2273">
        <v>6</v>
      </c>
      <c r="K2273">
        <v>11583.02</v>
      </c>
      <c r="L2273" t="s">
        <v>63</v>
      </c>
      <c r="M2273">
        <v>58</v>
      </c>
      <c r="N2273" t="s">
        <v>61</v>
      </c>
      <c r="O2273" s="3" t="s">
        <v>22</v>
      </c>
      <c r="P2273" t="s">
        <v>29</v>
      </c>
      <c r="Q2273" t="s">
        <v>30</v>
      </c>
      <c r="R2273">
        <v>4</v>
      </c>
      <c r="S2273" t="s">
        <v>34</v>
      </c>
      <c r="T2273" s="4">
        <f t="shared" si="178"/>
        <v>69498.12</v>
      </c>
      <c r="U2273" s="4" t="str">
        <f t="shared" si="179"/>
        <v>Good</v>
      </c>
      <c r="V2273" s="4" t="str">
        <f t="shared" si="180"/>
        <v>Average</v>
      </c>
      <c r="W2273" s="4"/>
      <c r="X2273" s="4"/>
      <c r="AJ2273" s="4"/>
    </row>
    <row r="2274" spans="1:36">
      <c r="A2274" t="str">
        <f t="shared" si="176"/>
        <v>Mano542273</v>
      </c>
      <c r="B2274">
        <v>2273</v>
      </c>
      <c r="C2274">
        <v>16</v>
      </c>
      <c r="D2274">
        <v>7</v>
      </c>
      <c r="E2274">
        <v>2023</v>
      </c>
      <c r="F2274" s="1">
        <f t="shared" si="177"/>
        <v>45123</v>
      </c>
      <c r="G2274" s="1" t="s">
        <v>683</v>
      </c>
      <c r="H2274" s="2">
        <v>46750</v>
      </c>
      <c r="I2274" t="s">
        <v>43</v>
      </c>
      <c r="J2274">
        <v>6</v>
      </c>
      <c r="K2274">
        <v>57471.83</v>
      </c>
      <c r="L2274" t="s">
        <v>875</v>
      </c>
      <c r="M2274">
        <v>54</v>
      </c>
      <c r="N2274" t="s">
        <v>61</v>
      </c>
      <c r="O2274" s="3" t="s">
        <v>22</v>
      </c>
      <c r="P2274" t="s">
        <v>23</v>
      </c>
      <c r="Q2274" t="s">
        <v>24</v>
      </c>
      <c r="R2274">
        <v>5</v>
      </c>
      <c r="S2274" t="s">
        <v>57</v>
      </c>
      <c r="T2274" s="4">
        <f t="shared" si="178"/>
        <v>344830.98</v>
      </c>
      <c r="U2274" s="4" t="str">
        <f t="shared" si="179"/>
        <v>Good</v>
      </c>
      <c r="V2274" s="4" t="str">
        <f t="shared" si="180"/>
        <v>Excellent</v>
      </c>
      <c r="W2274" s="4"/>
      <c r="X2274" s="4"/>
      <c r="AJ2274" s="4"/>
    </row>
    <row r="2275" spans="1:36">
      <c r="A2275" t="str">
        <f t="shared" si="176"/>
        <v>Anit242274</v>
      </c>
      <c r="B2275">
        <v>2274</v>
      </c>
      <c r="C2275">
        <v>16</v>
      </c>
      <c r="D2275">
        <v>7</v>
      </c>
      <c r="E2275">
        <v>2023</v>
      </c>
      <c r="F2275" s="1">
        <f t="shared" si="177"/>
        <v>45123</v>
      </c>
      <c r="G2275" s="1" t="s">
        <v>683</v>
      </c>
      <c r="H2275" s="2">
        <v>46751</v>
      </c>
      <c r="I2275" t="s">
        <v>43</v>
      </c>
      <c r="J2275">
        <v>5</v>
      </c>
      <c r="K2275">
        <v>25518.99</v>
      </c>
      <c r="L2275" t="s">
        <v>561</v>
      </c>
      <c r="M2275">
        <v>24</v>
      </c>
      <c r="N2275" t="s">
        <v>36</v>
      </c>
      <c r="O2275" s="3" t="s">
        <v>55</v>
      </c>
      <c r="P2275" t="s">
        <v>33</v>
      </c>
      <c r="Q2275" t="s">
        <v>30</v>
      </c>
      <c r="R2275">
        <v>2</v>
      </c>
      <c r="S2275" t="s">
        <v>57</v>
      </c>
      <c r="T2275" s="4">
        <f t="shared" si="178"/>
        <v>127594.95000000001</v>
      </c>
      <c r="U2275" s="4" t="str">
        <f t="shared" si="179"/>
        <v>Average</v>
      </c>
      <c r="V2275" s="4" t="str">
        <f t="shared" si="180"/>
        <v>Good</v>
      </c>
      <c r="W2275" s="4"/>
      <c r="X2275" s="4"/>
      <c r="AJ2275" s="4"/>
    </row>
    <row r="2276" spans="1:36">
      <c r="A2276" t="str">
        <f t="shared" si="176"/>
        <v>Arun312275</v>
      </c>
      <c r="B2276">
        <v>2275</v>
      </c>
      <c r="C2276">
        <v>16</v>
      </c>
      <c r="D2276">
        <v>7</v>
      </c>
      <c r="E2276">
        <v>2023</v>
      </c>
      <c r="F2276" s="1">
        <f t="shared" si="177"/>
        <v>45123</v>
      </c>
      <c r="G2276" s="1" t="s">
        <v>683</v>
      </c>
      <c r="H2276" s="2">
        <v>46752</v>
      </c>
      <c r="I2276" t="s">
        <v>38</v>
      </c>
      <c r="J2276">
        <v>1</v>
      </c>
      <c r="K2276">
        <v>30439.3</v>
      </c>
      <c r="L2276" t="s">
        <v>716</v>
      </c>
      <c r="M2276">
        <v>31</v>
      </c>
      <c r="N2276" t="s">
        <v>21</v>
      </c>
      <c r="O2276" s="3" t="s">
        <v>22</v>
      </c>
      <c r="P2276" t="s">
        <v>114</v>
      </c>
      <c r="Q2276" t="s">
        <v>30</v>
      </c>
      <c r="R2276">
        <v>5</v>
      </c>
      <c r="S2276" t="s">
        <v>99</v>
      </c>
      <c r="T2276" s="4">
        <f t="shared" si="178"/>
        <v>30439.3</v>
      </c>
      <c r="U2276" s="4" t="str">
        <f t="shared" si="179"/>
        <v>Good</v>
      </c>
      <c r="V2276" s="4" t="str">
        <f t="shared" si="180"/>
        <v>Low</v>
      </c>
      <c r="W2276" s="4"/>
      <c r="X2276" s="4"/>
      <c r="AJ2276" s="4"/>
    </row>
    <row r="2277" spans="1:36">
      <c r="A2277" t="str">
        <f t="shared" si="176"/>
        <v>Arun232276</v>
      </c>
      <c r="B2277">
        <v>2276</v>
      </c>
      <c r="C2277">
        <v>17</v>
      </c>
      <c r="D2277">
        <v>7</v>
      </c>
      <c r="E2277">
        <v>2023</v>
      </c>
      <c r="F2277" s="1">
        <f t="shared" si="177"/>
        <v>45124</v>
      </c>
      <c r="G2277" s="1" t="s">
        <v>683</v>
      </c>
      <c r="H2277" s="2">
        <v>46753</v>
      </c>
      <c r="I2277" t="s">
        <v>26</v>
      </c>
      <c r="J2277">
        <v>9</v>
      </c>
      <c r="K2277">
        <v>13845.08</v>
      </c>
      <c r="L2277" t="s">
        <v>632</v>
      </c>
      <c r="M2277">
        <v>23</v>
      </c>
      <c r="N2277" t="s">
        <v>36</v>
      </c>
      <c r="O2277" s="3" t="s">
        <v>22</v>
      </c>
      <c r="P2277" t="s">
        <v>114</v>
      </c>
      <c r="Q2277" t="s">
        <v>30</v>
      </c>
      <c r="R2277">
        <v>4</v>
      </c>
      <c r="S2277" t="s">
        <v>31</v>
      </c>
      <c r="T2277" s="4">
        <f t="shared" si="178"/>
        <v>124605.72</v>
      </c>
      <c r="U2277" s="4" t="str">
        <f t="shared" si="179"/>
        <v>Good</v>
      </c>
      <c r="V2277" s="4" t="str">
        <f t="shared" si="180"/>
        <v>Good</v>
      </c>
      <c r="W2277" s="4"/>
      <c r="X2277" s="4"/>
      <c r="AJ2277" s="4"/>
    </row>
    <row r="2278" spans="1:36">
      <c r="A2278" t="str">
        <f t="shared" si="176"/>
        <v>Pras512277</v>
      </c>
      <c r="B2278">
        <v>2277</v>
      </c>
      <c r="C2278">
        <v>17</v>
      </c>
      <c r="D2278">
        <v>7</v>
      </c>
      <c r="E2278">
        <v>2023</v>
      </c>
      <c r="F2278" s="1">
        <f t="shared" si="177"/>
        <v>45124</v>
      </c>
      <c r="G2278" s="1" t="s">
        <v>683</v>
      </c>
      <c r="H2278" s="2">
        <v>46754</v>
      </c>
      <c r="I2278" t="s">
        <v>38</v>
      </c>
      <c r="J2278">
        <v>9</v>
      </c>
      <c r="K2278">
        <v>20770.02</v>
      </c>
      <c r="L2278" t="s">
        <v>713</v>
      </c>
      <c r="M2278">
        <v>51</v>
      </c>
      <c r="N2278" t="s">
        <v>61</v>
      </c>
      <c r="O2278" s="3" t="s">
        <v>22</v>
      </c>
      <c r="P2278" t="s">
        <v>150</v>
      </c>
      <c r="Q2278" t="s">
        <v>56</v>
      </c>
      <c r="R2278">
        <v>5</v>
      </c>
      <c r="S2278" t="s">
        <v>48</v>
      </c>
      <c r="T2278" s="4">
        <f t="shared" si="178"/>
        <v>186930.18</v>
      </c>
      <c r="U2278" s="4" t="str">
        <f t="shared" si="179"/>
        <v>Good</v>
      </c>
      <c r="V2278" s="4" t="str">
        <f t="shared" si="180"/>
        <v>Good</v>
      </c>
      <c r="W2278" s="4"/>
      <c r="X2278" s="4"/>
      <c r="AJ2278" s="4"/>
    </row>
    <row r="2279" spans="1:36">
      <c r="A2279" t="str">
        <f t="shared" si="176"/>
        <v>Sanj332278</v>
      </c>
      <c r="B2279">
        <v>2278</v>
      </c>
      <c r="C2279">
        <v>17</v>
      </c>
      <c r="D2279">
        <v>7</v>
      </c>
      <c r="E2279">
        <v>2023</v>
      </c>
      <c r="F2279" s="1">
        <f t="shared" si="177"/>
        <v>45124</v>
      </c>
      <c r="G2279" s="1" t="s">
        <v>683</v>
      </c>
      <c r="H2279" s="2">
        <v>46755</v>
      </c>
      <c r="I2279" t="s">
        <v>26</v>
      </c>
      <c r="J2279">
        <v>9</v>
      </c>
      <c r="K2279">
        <v>55936.29</v>
      </c>
      <c r="L2279" t="s">
        <v>247</v>
      </c>
      <c r="M2279">
        <v>33</v>
      </c>
      <c r="N2279" t="s">
        <v>21</v>
      </c>
      <c r="O2279" s="3" t="s">
        <v>22</v>
      </c>
      <c r="P2279" t="s">
        <v>29</v>
      </c>
      <c r="Q2279" t="s">
        <v>41</v>
      </c>
      <c r="R2279">
        <v>4</v>
      </c>
      <c r="S2279" t="s">
        <v>31</v>
      </c>
      <c r="T2279" s="4">
        <f t="shared" si="178"/>
        <v>503426.61</v>
      </c>
      <c r="U2279" s="4" t="str">
        <f t="shared" si="179"/>
        <v>Good</v>
      </c>
      <c r="V2279" s="4" t="str">
        <f t="shared" si="180"/>
        <v>Excellent</v>
      </c>
      <c r="W2279" s="4"/>
      <c r="X2279" s="4"/>
      <c r="AJ2279" s="4"/>
    </row>
    <row r="2280" spans="1:36">
      <c r="A2280" t="str">
        <f t="shared" si="176"/>
        <v>Pank542279</v>
      </c>
      <c r="B2280">
        <v>2279</v>
      </c>
      <c r="C2280">
        <v>18</v>
      </c>
      <c r="D2280">
        <v>7</v>
      </c>
      <c r="E2280">
        <v>2023</v>
      </c>
      <c r="F2280" s="1">
        <f t="shared" si="177"/>
        <v>45125</v>
      </c>
      <c r="G2280" s="1" t="s">
        <v>683</v>
      </c>
      <c r="H2280" s="2">
        <v>46756</v>
      </c>
      <c r="I2280" t="s">
        <v>49</v>
      </c>
      <c r="J2280">
        <v>8</v>
      </c>
      <c r="K2280">
        <v>39611.85</v>
      </c>
      <c r="L2280" t="s">
        <v>824</v>
      </c>
      <c r="M2280">
        <v>54</v>
      </c>
      <c r="N2280" t="s">
        <v>61</v>
      </c>
      <c r="O2280" s="3" t="s">
        <v>55</v>
      </c>
      <c r="P2280" t="s">
        <v>33</v>
      </c>
      <c r="Q2280" t="s">
        <v>24</v>
      </c>
      <c r="R2280">
        <v>2</v>
      </c>
      <c r="S2280" t="s">
        <v>52</v>
      </c>
      <c r="T2280" s="4">
        <f t="shared" si="178"/>
        <v>316894.8</v>
      </c>
      <c r="U2280" s="4" t="str">
        <f t="shared" si="179"/>
        <v>Average</v>
      </c>
      <c r="V2280" s="4" t="str">
        <f t="shared" si="180"/>
        <v>Excellent</v>
      </c>
      <c r="W2280" s="4"/>
      <c r="X2280" s="4"/>
      <c r="AJ2280" s="4"/>
    </row>
    <row r="2281" spans="1:36">
      <c r="A2281" t="str">
        <f t="shared" si="176"/>
        <v>Jyot532280</v>
      </c>
      <c r="B2281">
        <v>2280</v>
      </c>
      <c r="C2281">
        <v>18</v>
      </c>
      <c r="D2281">
        <v>7</v>
      </c>
      <c r="E2281">
        <v>2023</v>
      </c>
      <c r="F2281" s="1">
        <f t="shared" si="177"/>
        <v>45125</v>
      </c>
      <c r="G2281" s="1" t="s">
        <v>683</v>
      </c>
      <c r="H2281" s="2">
        <v>46757</v>
      </c>
      <c r="I2281" t="s">
        <v>19</v>
      </c>
      <c r="J2281">
        <v>3</v>
      </c>
      <c r="K2281">
        <v>62840.11</v>
      </c>
      <c r="L2281" t="s">
        <v>611</v>
      </c>
      <c r="M2281">
        <v>53</v>
      </c>
      <c r="N2281" t="s">
        <v>61</v>
      </c>
      <c r="O2281" s="3" t="s">
        <v>55</v>
      </c>
      <c r="P2281" t="s">
        <v>29</v>
      </c>
      <c r="Q2281" t="s">
        <v>30</v>
      </c>
      <c r="R2281">
        <v>2</v>
      </c>
      <c r="S2281" t="s">
        <v>37</v>
      </c>
      <c r="T2281" s="4">
        <f t="shared" si="178"/>
        <v>188520.33000000002</v>
      </c>
      <c r="U2281" s="4" t="str">
        <f t="shared" si="179"/>
        <v>Average</v>
      </c>
      <c r="V2281" s="4" t="str">
        <f t="shared" si="180"/>
        <v>Good</v>
      </c>
      <c r="W2281" s="4"/>
      <c r="X2281" s="4"/>
      <c r="AJ2281" s="4"/>
    </row>
    <row r="2282" spans="1:36">
      <c r="A2282" t="str">
        <f t="shared" si="176"/>
        <v>Moni232281</v>
      </c>
      <c r="B2282">
        <v>2281</v>
      </c>
      <c r="C2282">
        <v>18</v>
      </c>
      <c r="D2282">
        <v>7</v>
      </c>
      <c r="E2282">
        <v>2023</v>
      </c>
      <c r="F2282" s="1">
        <f t="shared" si="177"/>
        <v>45125</v>
      </c>
      <c r="G2282" s="1" t="s">
        <v>683</v>
      </c>
      <c r="H2282" s="2">
        <v>46758</v>
      </c>
      <c r="I2282" t="s">
        <v>49</v>
      </c>
      <c r="J2282">
        <v>1</v>
      </c>
      <c r="K2282">
        <v>33834.53</v>
      </c>
      <c r="L2282" t="s">
        <v>744</v>
      </c>
      <c r="M2282">
        <v>23</v>
      </c>
      <c r="N2282" t="s">
        <v>36</v>
      </c>
      <c r="O2282" s="3" t="s">
        <v>22</v>
      </c>
      <c r="P2282" t="s">
        <v>33</v>
      </c>
      <c r="Q2282" t="s">
        <v>41</v>
      </c>
      <c r="R2282">
        <v>4</v>
      </c>
      <c r="S2282" t="s">
        <v>52</v>
      </c>
      <c r="T2282" s="4">
        <f t="shared" si="178"/>
        <v>33834.53</v>
      </c>
      <c r="U2282" s="4" t="str">
        <f t="shared" si="179"/>
        <v>Good</v>
      </c>
      <c r="V2282" s="4" t="str">
        <f t="shared" si="180"/>
        <v>Low</v>
      </c>
      <c r="W2282" s="4"/>
      <c r="X2282" s="4"/>
      <c r="AJ2282" s="4"/>
    </row>
    <row r="2283" spans="1:36">
      <c r="A2283" t="str">
        <f t="shared" si="176"/>
        <v>Tanu252282</v>
      </c>
      <c r="B2283">
        <v>2282</v>
      </c>
      <c r="C2283">
        <v>19</v>
      </c>
      <c r="D2283">
        <v>7</v>
      </c>
      <c r="E2283">
        <v>2023</v>
      </c>
      <c r="F2283" s="1">
        <f t="shared" si="177"/>
        <v>45126</v>
      </c>
      <c r="G2283" s="1" t="s">
        <v>683</v>
      </c>
      <c r="H2283" s="2">
        <v>46759</v>
      </c>
      <c r="I2283" t="s">
        <v>26</v>
      </c>
      <c r="J2283">
        <v>8</v>
      </c>
      <c r="K2283">
        <v>26122.04</v>
      </c>
      <c r="L2283" t="s">
        <v>329</v>
      </c>
      <c r="M2283">
        <v>25</v>
      </c>
      <c r="N2283" t="s">
        <v>36</v>
      </c>
      <c r="O2283" s="3" t="s">
        <v>22</v>
      </c>
      <c r="P2283" t="s">
        <v>29</v>
      </c>
      <c r="Q2283" t="s">
        <v>30</v>
      </c>
      <c r="R2283">
        <v>4</v>
      </c>
      <c r="S2283" t="s">
        <v>31</v>
      </c>
      <c r="T2283" s="4">
        <f t="shared" si="178"/>
        <v>208976.32</v>
      </c>
      <c r="U2283" s="4" t="str">
        <f t="shared" si="179"/>
        <v>Good</v>
      </c>
      <c r="V2283" s="4" t="str">
        <f t="shared" si="180"/>
        <v>Excellent</v>
      </c>
      <c r="W2283" s="4"/>
      <c r="X2283" s="4"/>
      <c r="AJ2283" s="4"/>
    </row>
    <row r="2284" spans="1:36">
      <c r="A2284" t="str">
        <f t="shared" si="176"/>
        <v>Kuna412283</v>
      </c>
      <c r="B2284">
        <v>2283</v>
      </c>
      <c r="C2284">
        <v>19</v>
      </c>
      <c r="D2284">
        <v>7</v>
      </c>
      <c r="E2284">
        <v>2023</v>
      </c>
      <c r="F2284" s="1">
        <f t="shared" si="177"/>
        <v>45126</v>
      </c>
      <c r="G2284" s="1" t="s">
        <v>683</v>
      </c>
      <c r="H2284" s="2">
        <v>46760</v>
      </c>
      <c r="I2284" t="s">
        <v>19</v>
      </c>
      <c r="J2284">
        <v>7</v>
      </c>
      <c r="K2284">
        <v>30855.99</v>
      </c>
      <c r="L2284" t="s">
        <v>275</v>
      </c>
      <c r="M2284">
        <v>41</v>
      </c>
      <c r="N2284" t="s">
        <v>21</v>
      </c>
      <c r="O2284" s="3" t="s">
        <v>22</v>
      </c>
      <c r="P2284" t="s">
        <v>29</v>
      </c>
      <c r="Q2284" t="s">
        <v>30</v>
      </c>
      <c r="R2284">
        <v>4</v>
      </c>
      <c r="S2284" t="s">
        <v>37</v>
      </c>
      <c r="T2284" s="4">
        <f t="shared" si="178"/>
        <v>215991.93000000002</v>
      </c>
      <c r="U2284" s="4" t="str">
        <f t="shared" si="179"/>
        <v>Good</v>
      </c>
      <c r="V2284" s="4" t="str">
        <f t="shared" si="180"/>
        <v>Excellent</v>
      </c>
      <c r="W2284" s="4"/>
      <c r="X2284" s="4"/>
      <c r="AJ2284" s="4"/>
    </row>
    <row r="2285" spans="1:36">
      <c r="A2285" t="str">
        <f t="shared" si="176"/>
        <v>Roha202284</v>
      </c>
      <c r="B2285">
        <v>2284</v>
      </c>
      <c r="C2285">
        <v>19</v>
      </c>
      <c r="D2285">
        <v>7</v>
      </c>
      <c r="E2285">
        <v>2023</v>
      </c>
      <c r="F2285" s="1">
        <f t="shared" si="177"/>
        <v>45126</v>
      </c>
      <c r="G2285" s="1" t="s">
        <v>683</v>
      </c>
      <c r="H2285" s="2">
        <v>46761</v>
      </c>
      <c r="I2285" t="s">
        <v>43</v>
      </c>
      <c r="J2285">
        <v>5</v>
      </c>
      <c r="K2285">
        <v>52766.31</v>
      </c>
      <c r="L2285" t="s">
        <v>773</v>
      </c>
      <c r="M2285">
        <v>20</v>
      </c>
      <c r="N2285" t="s">
        <v>36</v>
      </c>
      <c r="O2285" s="3" t="s">
        <v>55</v>
      </c>
      <c r="P2285" t="s">
        <v>40</v>
      </c>
      <c r="Q2285" t="s">
        <v>24</v>
      </c>
      <c r="R2285">
        <v>2</v>
      </c>
      <c r="S2285" t="s">
        <v>95</v>
      </c>
      <c r="T2285" s="4">
        <f t="shared" si="178"/>
        <v>263831.55</v>
      </c>
      <c r="U2285" s="4" t="str">
        <f t="shared" si="179"/>
        <v>Average</v>
      </c>
      <c r="V2285" s="4" t="str">
        <f t="shared" si="180"/>
        <v>Excellent</v>
      </c>
      <c r="W2285" s="4"/>
      <c r="X2285" s="4"/>
      <c r="AJ2285" s="4"/>
    </row>
    <row r="2286" spans="1:36">
      <c r="A2286" t="str">
        <f t="shared" si="176"/>
        <v>Mala212285</v>
      </c>
      <c r="B2286">
        <v>2285</v>
      </c>
      <c r="C2286">
        <v>19</v>
      </c>
      <c r="D2286">
        <v>7</v>
      </c>
      <c r="E2286">
        <v>2023</v>
      </c>
      <c r="F2286" s="1">
        <f t="shared" si="177"/>
        <v>45126</v>
      </c>
      <c r="G2286" s="1" t="s">
        <v>683</v>
      </c>
      <c r="H2286" s="2">
        <v>46762</v>
      </c>
      <c r="I2286" t="s">
        <v>43</v>
      </c>
      <c r="J2286">
        <v>7</v>
      </c>
      <c r="K2286">
        <v>43300.34</v>
      </c>
      <c r="L2286" t="s">
        <v>372</v>
      </c>
      <c r="M2286">
        <v>21</v>
      </c>
      <c r="N2286" t="s">
        <v>36</v>
      </c>
      <c r="O2286" s="3" t="s">
        <v>28</v>
      </c>
      <c r="P2286" t="s">
        <v>70</v>
      </c>
      <c r="Q2286" t="s">
        <v>56</v>
      </c>
      <c r="R2286">
        <v>3</v>
      </c>
      <c r="S2286" t="s">
        <v>95</v>
      </c>
      <c r="T2286" s="4">
        <f t="shared" si="178"/>
        <v>303102.38</v>
      </c>
      <c r="U2286" s="4" t="str">
        <f t="shared" si="179"/>
        <v>Average</v>
      </c>
      <c r="V2286" s="4" t="str">
        <f t="shared" si="180"/>
        <v>Excellent</v>
      </c>
      <c r="W2286" s="4"/>
      <c r="X2286" s="4"/>
      <c r="AJ2286" s="4"/>
    </row>
    <row r="2287" spans="1:36">
      <c r="A2287" t="str">
        <f t="shared" si="176"/>
        <v>Pras492286</v>
      </c>
      <c r="B2287">
        <v>2286</v>
      </c>
      <c r="C2287">
        <v>20</v>
      </c>
      <c r="D2287">
        <v>7</v>
      </c>
      <c r="E2287">
        <v>2023</v>
      </c>
      <c r="F2287" s="1">
        <f t="shared" si="177"/>
        <v>45127</v>
      </c>
      <c r="G2287" s="1" t="s">
        <v>683</v>
      </c>
      <c r="H2287" s="2">
        <v>46763</v>
      </c>
      <c r="I2287" t="s">
        <v>38</v>
      </c>
      <c r="J2287">
        <v>4</v>
      </c>
      <c r="K2287">
        <v>64251.47</v>
      </c>
      <c r="L2287" t="s">
        <v>911</v>
      </c>
      <c r="M2287">
        <v>49</v>
      </c>
      <c r="N2287" t="s">
        <v>61</v>
      </c>
      <c r="O2287" s="3" t="s">
        <v>22</v>
      </c>
      <c r="P2287" t="s">
        <v>93</v>
      </c>
      <c r="Q2287" t="s">
        <v>30</v>
      </c>
      <c r="R2287">
        <v>4</v>
      </c>
      <c r="S2287" t="s">
        <v>48</v>
      </c>
      <c r="T2287" s="4">
        <f t="shared" si="178"/>
        <v>257005.88</v>
      </c>
      <c r="U2287" s="4" t="str">
        <f t="shared" si="179"/>
        <v>Good</v>
      </c>
      <c r="V2287" s="4" t="str">
        <f t="shared" si="180"/>
        <v>Excellent</v>
      </c>
      <c r="W2287" s="4"/>
      <c r="X2287" s="4"/>
      <c r="AJ2287" s="4"/>
    </row>
    <row r="2288" spans="1:36">
      <c r="A2288" t="str">
        <f t="shared" si="176"/>
        <v>Pank182287</v>
      </c>
      <c r="B2288">
        <v>2287</v>
      </c>
      <c r="C2288">
        <v>20</v>
      </c>
      <c r="D2288">
        <v>7</v>
      </c>
      <c r="E2288">
        <v>2023</v>
      </c>
      <c r="F2288" s="1">
        <f t="shared" si="177"/>
        <v>45127</v>
      </c>
      <c r="G2288" s="1" t="s">
        <v>683</v>
      </c>
      <c r="H2288" s="2">
        <v>46764</v>
      </c>
      <c r="I2288" t="s">
        <v>26</v>
      </c>
      <c r="J2288">
        <v>9</v>
      </c>
      <c r="K2288">
        <v>46130.13</v>
      </c>
      <c r="L2288" t="s">
        <v>512</v>
      </c>
      <c r="M2288">
        <v>18</v>
      </c>
      <c r="N2288" t="s">
        <v>36</v>
      </c>
      <c r="O2288" s="3" t="s">
        <v>55</v>
      </c>
      <c r="P2288" t="s">
        <v>70</v>
      </c>
      <c r="Q2288" t="s">
        <v>24</v>
      </c>
      <c r="R2288">
        <v>2</v>
      </c>
      <c r="S2288" t="s">
        <v>31</v>
      </c>
      <c r="T2288" s="4">
        <f t="shared" si="178"/>
        <v>415171.17</v>
      </c>
      <c r="U2288" s="4" t="str">
        <f t="shared" si="179"/>
        <v>Average</v>
      </c>
      <c r="V2288" s="4" t="str">
        <f t="shared" si="180"/>
        <v>Excellent</v>
      </c>
      <c r="W2288" s="4"/>
      <c r="X2288" s="4"/>
      <c r="AJ2288" s="4"/>
    </row>
    <row r="2289" spans="1:36">
      <c r="A2289" t="str">
        <f t="shared" si="176"/>
        <v>Isha512288</v>
      </c>
      <c r="B2289">
        <v>2288</v>
      </c>
      <c r="C2289">
        <v>20</v>
      </c>
      <c r="D2289">
        <v>7</v>
      </c>
      <c r="E2289">
        <v>2023</v>
      </c>
      <c r="F2289" s="1">
        <f t="shared" si="177"/>
        <v>45127</v>
      </c>
      <c r="G2289" s="1" t="s">
        <v>683</v>
      </c>
      <c r="H2289" s="2">
        <v>46765</v>
      </c>
      <c r="I2289" t="s">
        <v>26</v>
      </c>
      <c r="J2289">
        <v>2</v>
      </c>
      <c r="K2289">
        <v>39581.089999999997</v>
      </c>
      <c r="L2289" t="s">
        <v>782</v>
      </c>
      <c r="M2289">
        <v>51</v>
      </c>
      <c r="N2289" t="s">
        <v>61</v>
      </c>
      <c r="O2289" s="3" t="s">
        <v>55</v>
      </c>
      <c r="P2289" t="s">
        <v>29</v>
      </c>
      <c r="Q2289" t="s">
        <v>56</v>
      </c>
      <c r="R2289">
        <v>2</v>
      </c>
      <c r="S2289" t="s">
        <v>67</v>
      </c>
      <c r="T2289" s="4">
        <f t="shared" si="178"/>
        <v>79162.179999999993</v>
      </c>
      <c r="U2289" s="4" t="str">
        <f t="shared" si="179"/>
        <v>Average</v>
      </c>
      <c r="V2289" s="4" t="str">
        <f t="shared" si="180"/>
        <v>Average</v>
      </c>
      <c r="W2289" s="4"/>
      <c r="X2289" s="4"/>
      <c r="AJ2289" s="4"/>
    </row>
    <row r="2290" spans="1:36">
      <c r="A2290" t="str">
        <f t="shared" si="176"/>
        <v>Pooj262289</v>
      </c>
      <c r="B2290">
        <v>2289</v>
      </c>
      <c r="C2290">
        <v>21</v>
      </c>
      <c r="D2290">
        <v>7</v>
      </c>
      <c r="E2290">
        <v>2023</v>
      </c>
      <c r="F2290" s="1">
        <f t="shared" si="177"/>
        <v>45128</v>
      </c>
      <c r="G2290" s="1" t="s">
        <v>683</v>
      </c>
      <c r="H2290" s="2">
        <v>46766</v>
      </c>
      <c r="I2290" t="s">
        <v>43</v>
      </c>
      <c r="J2290">
        <v>9</v>
      </c>
      <c r="K2290">
        <v>57145.16</v>
      </c>
      <c r="L2290" t="s">
        <v>986</v>
      </c>
      <c r="M2290">
        <v>26</v>
      </c>
      <c r="N2290" t="s">
        <v>36</v>
      </c>
      <c r="O2290" s="3" t="s">
        <v>22</v>
      </c>
      <c r="P2290" t="s">
        <v>137</v>
      </c>
      <c r="Q2290" t="s">
        <v>56</v>
      </c>
      <c r="R2290">
        <v>4</v>
      </c>
      <c r="S2290" t="s">
        <v>57</v>
      </c>
      <c r="T2290" s="4">
        <f t="shared" si="178"/>
        <v>514306.44000000006</v>
      </c>
      <c r="U2290" s="4" t="str">
        <f t="shared" si="179"/>
        <v>Good</v>
      </c>
      <c r="V2290" s="4" t="str">
        <f t="shared" si="180"/>
        <v>Excellent</v>
      </c>
      <c r="W2290" s="4"/>
      <c r="X2290" s="4"/>
      <c r="AJ2290" s="4"/>
    </row>
    <row r="2291" spans="1:36">
      <c r="A2291" t="str">
        <f t="shared" si="176"/>
        <v>Nami292290</v>
      </c>
      <c r="B2291">
        <v>2290</v>
      </c>
      <c r="C2291">
        <v>21</v>
      </c>
      <c r="D2291">
        <v>7</v>
      </c>
      <c r="E2291">
        <v>2023</v>
      </c>
      <c r="F2291" s="1">
        <f t="shared" si="177"/>
        <v>45128</v>
      </c>
      <c r="G2291" s="1" t="s">
        <v>683</v>
      </c>
      <c r="H2291" s="2">
        <v>46767</v>
      </c>
      <c r="I2291" t="s">
        <v>49</v>
      </c>
      <c r="J2291">
        <v>9</v>
      </c>
      <c r="K2291">
        <v>66852.03</v>
      </c>
      <c r="L2291" t="s">
        <v>545</v>
      </c>
      <c r="M2291">
        <v>29</v>
      </c>
      <c r="N2291" t="s">
        <v>36</v>
      </c>
      <c r="O2291" s="3" t="s">
        <v>28</v>
      </c>
      <c r="P2291" t="s">
        <v>66</v>
      </c>
      <c r="Q2291" t="s">
        <v>41</v>
      </c>
      <c r="R2291">
        <v>3</v>
      </c>
      <c r="S2291" t="s">
        <v>52</v>
      </c>
      <c r="T2291" s="4">
        <f t="shared" si="178"/>
        <v>601668.27</v>
      </c>
      <c r="U2291" s="4" t="str">
        <f t="shared" si="179"/>
        <v>Average</v>
      </c>
      <c r="V2291" s="4" t="str">
        <f t="shared" si="180"/>
        <v>Excellent</v>
      </c>
      <c r="W2291" s="4"/>
      <c r="X2291" s="4"/>
      <c r="AJ2291" s="4"/>
    </row>
    <row r="2292" spans="1:36">
      <c r="A2292" t="str">
        <f t="shared" si="176"/>
        <v>Deep272291</v>
      </c>
      <c r="B2292">
        <v>2291</v>
      </c>
      <c r="C2292">
        <v>21</v>
      </c>
      <c r="D2292">
        <v>7</v>
      </c>
      <c r="E2292">
        <v>2023</v>
      </c>
      <c r="F2292" s="1">
        <f t="shared" si="177"/>
        <v>45128</v>
      </c>
      <c r="G2292" s="1" t="s">
        <v>683</v>
      </c>
      <c r="H2292" s="2">
        <v>46768</v>
      </c>
      <c r="I2292" t="s">
        <v>19</v>
      </c>
      <c r="J2292">
        <v>5</v>
      </c>
      <c r="K2292">
        <v>31350.75</v>
      </c>
      <c r="L2292" t="s">
        <v>769</v>
      </c>
      <c r="M2292">
        <v>27</v>
      </c>
      <c r="N2292" t="s">
        <v>36</v>
      </c>
      <c r="O2292" s="3" t="s">
        <v>55</v>
      </c>
      <c r="P2292" t="s">
        <v>33</v>
      </c>
      <c r="Q2292" t="s">
        <v>41</v>
      </c>
      <c r="R2292">
        <v>2</v>
      </c>
      <c r="S2292" t="s">
        <v>84</v>
      </c>
      <c r="T2292" s="4">
        <f t="shared" si="178"/>
        <v>156753.75</v>
      </c>
      <c r="U2292" s="4" t="str">
        <f t="shared" si="179"/>
        <v>Average</v>
      </c>
      <c r="V2292" s="4" t="str">
        <f t="shared" si="180"/>
        <v>Good</v>
      </c>
      <c r="W2292" s="4"/>
      <c r="X2292" s="4"/>
      <c r="AJ2292" s="4"/>
    </row>
    <row r="2293" spans="1:36">
      <c r="A2293" t="str">
        <f t="shared" si="176"/>
        <v>Sneh272292</v>
      </c>
      <c r="B2293">
        <v>2292</v>
      </c>
      <c r="C2293">
        <v>22</v>
      </c>
      <c r="D2293">
        <v>7</v>
      </c>
      <c r="E2293">
        <v>2023</v>
      </c>
      <c r="F2293" s="1">
        <f t="shared" si="177"/>
        <v>45129</v>
      </c>
      <c r="G2293" s="1" t="s">
        <v>683</v>
      </c>
      <c r="H2293" s="2">
        <v>46769</v>
      </c>
      <c r="I2293" t="s">
        <v>49</v>
      </c>
      <c r="J2293">
        <v>1</v>
      </c>
      <c r="K2293">
        <v>24992.57</v>
      </c>
      <c r="L2293" t="s">
        <v>400</v>
      </c>
      <c r="M2293">
        <v>27</v>
      </c>
      <c r="N2293" t="s">
        <v>36</v>
      </c>
      <c r="O2293" s="3" t="s">
        <v>55</v>
      </c>
      <c r="P2293" t="s">
        <v>59</v>
      </c>
      <c r="Q2293" t="s">
        <v>30</v>
      </c>
      <c r="R2293">
        <v>2</v>
      </c>
      <c r="S2293" t="s">
        <v>88</v>
      </c>
      <c r="T2293" s="4">
        <f t="shared" si="178"/>
        <v>24992.57</v>
      </c>
      <c r="U2293" s="4" t="str">
        <f t="shared" si="179"/>
        <v>Average</v>
      </c>
      <c r="V2293" s="4" t="str">
        <f t="shared" si="180"/>
        <v>Low</v>
      </c>
      <c r="W2293" s="4"/>
      <c r="X2293" s="4"/>
      <c r="AJ2293" s="4"/>
    </row>
    <row r="2294" spans="1:36">
      <c r="A2294" t="str">
        <f t="shared" si="176"/>
        <v>Vive402293</v>
      </c>
      <c r="B2294">
        <v>2293</v>
      </c>
      <c r="C2294">
        <v>22</v>
      </c>
      <c r="D2294">
        <v>7</v>
      </c>
      <c r="E2294">
        <v>2023</v>
      </c>
      <c r="F2294" s="1">
        <f t="shared" si="177"/>
        <v>45129</v>
      </c>
      <c r="G2294" s="1" t="s">
        <v>683</v>
      </c>
      <c r="H2294" s="2">
        <v>46770</v>
      </c>
      <c r="I2294" t="s">
        <v>49</v>
      </c>
      <c r="J2294">
        <v>7</v>
      </c>
      <c r="K2294">
        <v>46973.04</v>
      </c>
      <c r="L2294" t="s">
        <v>401</v>
      </c>
      <c r="M2294">
        <v>40</v>
      </c>
      <c r="N2294" t="s">
        <v>21</v>
      </c>
      <c r="O2294" s="3" t="s">
        <v>28</v>
      </c>
      <c r="P2294" t="s">
        <v>51</v>
      </c>
      <c r="Q2294" t="s">
        <v>41</v>
      </c>
      <c r="R2294">
        <v>3</v>
      </c>
      <c r="S2294" t="s">
        <v>52</v>
      </c>
      <c r="T2294" s="4">
        <f t="shared" si="178"/>
        <v>328811.28000000003</v>
      </c>
      <c r="U2294" s="4" t="str">
        <f t="shared" si="179"/>
        <v>Average</v>
      </c>
      <c r="V2294" s="4" t="str">
        <f t="shared" si="180"/>
        <v>Excellent</v>
      </c>
      <c r="W2294" s="4"/>
      <c r="X2294" s="4"/>
      <c r="AJ2294" s="4"/>
    </row>
    <row r="2295" spans="1:36">
      <c r="A2295" t="str">
        <f t="shared" si="176"/>
        <v>Kira232294</v>
      </c>
      <c r="B2295">
        <v>2294</v>
      </c>
      <c r="C2295">
        <v>22</v>
      </c>
      <c r="D2295">
        <v>7</v>
      </c>
      <c r="E2295">
        <v>2023</v>
      </c>
      <c r="F2295" s="1">
        <f t="shared" si="177"/>
        <v>45129</v>
      </c>
      <c r="G2295" s="1" t="s">
        <v>683</v>
      </c>
      <c r="H2295" s="2">
        <v>46771</v>
      </c>
      <c r="I2295" t="s">
        <v>43</v>
      </c>
      <c r="J2295">
        <v>4</v>
      </c>
      <c r="K2295">
        <v>39932.370000000003</v>
      </c>
      <c r="L2295" t="s">
        <v>425</v>
      </c>
      <c r="M2295">
        <v>23</v>
      </c>
      <c r="N2295" t="s">
        <v>36</v>
      </c>
      <c r="O2295" s="3" t="s">
        <v>55</v>
      </c>
      <c r="P2295" t="s">
        <v>150</v>
      </c>
      <c r="Q2295" t="s">
        <v>24</v>
      </c>
      <c r="R2295">
        <v>2</v>
      </c>
      <c r="S2295" t="s">
        <v>95</v>
      </c>
      <c r="T2295" s="4">
        <f t="shared" si="178"/>
        <v>159729.48000000001</v>
      </c>
      <c r="U2295" s="4" t="str">
        <f t="shared" si="179"/>
        <v>Average</v>
      </c>
      <c r="V2295" s="4" t="str">
        <f t="shared" si="180"/>
        <v>Good</v>
      </c>
      <c r="W2295" s="4"/>
      <c r="X2295" s="4"/>
      <c r="AJ2295" s="4"/>
    </row>
    <row r="2296" spans="1:36">
      <c r="A2296" t="str">
        <f t="shared" si="176"/>
        <v>Anit412295</v>
      </c>
      <c r="B2296">
        <v>2295</v>
      </c>
      <c r="C2296">
        <v>22</v>
      </c>
      <c r="D2296">
        <v>7</v>
      </c>
      <c r="E2296">
        <v>2023</v>
      </c>
      <c r="F2296" s="1">
        <f t="shared" si="177"/>
        <v>45129</v>
      </c>
      <c r="G2296" s="1" t="s">
        <v>683</v>
      </c>
      <c r="H2296" s="2">
        <v>46772</v>
      </c>
      <c r="I2296" t="s">
        <v>43</v>
      </c>
      <c r="J2296">
        <v>9</v>
      </c>
      <c r="K2296">
        <v>69351.13</v>
      </c>
      <c r="L2296" t="s">
        <v>838</v>
      </c>
      <c r="M2296">
        <v>41</v>
      </c>
      <c r="N2296" t="s">
        <v>21</v>
      </c>
      <c r="O2296" s="3" t="s">
        <v>28</v>
      </c>
      <c r="P2296" t="s">
        <v>114</v>
      </c>
      <c r="Q2296" t="s">
        <v>24</v>
      </c>
      <c r="R2296">
        <v>3</v>
      </c>
      <c r="S2296" t="s">
        <v>46</v>
      </c>
      <c r="T2296" s="4">
        <f t="shared" si="178"/>
        <v>624160.17000000004</v>
      </c>
      <c r="U2296" s="4" t="str">
        <f t="shared" si="179"/>
        <v>Average</v>
      </c>
      <c r="V2296" s="4" t="str">
        <f t="shared" si="180"/>
        <v>Excellent</v>
      </c>
      <c r="W2296" s="4"/>
      <c r="X2296" s="4"/>
      <c r="AJ2296" s="4"/>
    </row>
    <row r="2297" spans="1:36">
      <c r="A2297" t="str">
        <f t="shared" si="176"/>
        <v>Kris412296</v>
      </c>
      <c r="B2297">
        <v>2296</v>
      </c>
      <c r="C2297">
        <v>23</v>
      </c>
      <c r="D2297">
        <v>7</v>
      </c>
      <c r="E2297">
        <v>2023</v>
      </c>
      <c r="F2297" s="1">
        <f t="shared" si="177"/>
        <v>45130</v>
      </c>
      <c r="G2297" s="1" t="s">
        <v>683</v>
      </c>
      <c r="H2297" s="2">
        <v>46773</v>
      </c>
      <c r="I2297" t="s">
        <v>43</v>
      </c>
      <c r="J2297">
        <v>6</v>
      </c>
      <c r="K2297">
        <v>37741.71</v>
      </c>
      <c r="L2297" t="s">
        <v>266</v>
      </c>
      <c r="M2297">
        <v>41</v>
      </c>
      <c r="N2297" t="s">
        <v>21</v>
      </c>
      <c r="O2297" s="3" t="s">
        <v>22</v>
      </c>
      <c r="P2297" t="s">
        <v>29</v>
      </c>
      <c r="Q2297" t="s">
        <v>41</v>
      </c>
      <c r="R2297">
        <v>5</v>
      </c>
      <c r="S2297" t="s">
        <v>46</v>
      </c>
      <c r="T2297" s="4">
        <f t="shared" si="178"/>
        <v>226450.26</v>
      </c>
      <c r="U2297" s="4" t="str">
        <f t="shared" si="179"/>
        <v>Good</v>
      </c>
      <c r="V2297" s="4" t="str">
        <f t="shared" si="180"/>
        <v>Excellent</v>
      </c>
      <c r="W2297" s="4"/>
      <c r="X2297" s="4"/>
      <c r="AJ2297" s="4"/>
    </row>
    <row r="2298" spans="1:36">
      <c r="A2298" t="str">
        <f t="shared" si="176"/>
        <v>Mano382297</v>
      </c>
      <c r="B2298">
        <v>2297</v>
      </c>
      <c r="C2298">
        <v>23</v>
      </c>
      <c r="D2298">
        <v>7</v>
      </c>
      <c r="E2298">
        <v>2023</v>
      </c>
      <c r="F2298" s="1">
        <f t="shared" si="177"/>
        <v>45130</v>
      </c>
      <c r="G2298" s="1" t="s">
        <v>683</v>
      </c>
      <c r="H2298" s="2">
        <v>46774</v>
      </c>
      <c r="I2298" t="s">
        <v>38</v>
      </c>
      <c r="J2298">
        <v>3</v>
      </c>
      <c r="K2298">
        <v>14459.89</v>
      </c>
      <c r="L2298" t="s">
        <v>792</v>
      </c>
      <c r="M2298">
        <v>38</v>
      </c>
      <c r="N2298" t="s">
        <v>21</v>
      </c>
      <c r="O2298" s="3" t="s">
        <v>22</v>
      </c>
      <c r="P2298" t="s">
        <v>33</v>
      </c>
      <c r="Q2298" t="s">
        <v>24</v>
      </c>
      <c r="R2298">
        <v>5</v>
      </c>
      <c r="S2298" t="s">
        <v>48</v>
      </c>
      <c r="T2298" s="4">
        <f t="shared" si="178"/>
        <v>43379.67</v>
      </c>
      <c r="U2298" s="4" t="str">
        <f t="shared" si="179"/>
        <v>Good</v>
      </c>
      <c r="V2298" s="4" t="str">
        <f t="shared" si="180"/>
        <v>Low</v>
      </c>
      <c r="W2298" s="4"/>
      <c r="X2298" s="4"/>
      <c r="AJ2298" s="4"/>
    </row>
    <row r="2299" spans="1:36">
      <c r="A2299" t="str">
        <f t="shared" si="176"/>
        <v>Shru592298</v>
      </c>
      <c r="B2299">
        <v>2298</v>
      </c>
      <c r="C2299">
        <v>23</v>
      </c>
      <c r="D2299">
        <v>7</v>
      </c>
      <c r="E2299">
        <v>2023</v>
      </c>
      <c r="F2299" s="1">
        <f t="shared" si="177"/>
        <v>45130</v>
      </c>
      <c r="G2299" s="1" t="s">
        <v>683</v>
      </c>
      <c r="H2299" s="2">
        <v>46775</v>
      </c>
      <c r="I2299" t="s">
        <v>49</v>
      </c>
      <c r="J2299">
        <v>6</v>
      </c>
      <c r="K2299">
        <v>68642.14</v>
      </c>
      <c r="L2299" t="s">
        <v>311</v>
      </c>
      <c r="M2299">
        <v>59</v>
      </c>
      <c r="N2299" t="s">
        <v>61</v>
      </c>
      <c r="O2299" s="3" t="s">
        <v>22</v>
      </c>
      <c r="P2299" t="s">
        <v>29</v>
      </c>
      <c r="Q2299" t="s">
        <v>24</v>
      </c>
      <c r="R2299">
        <v>5</v>
      </c>
      <c r="S2299" t="s">
        <v>52</v>
      </c>
      <c r="T2299" s="4">
        <f t="shared" si="178"/>
        <v>411852.83999999997</v>
      </c>
      <c r="U2299" s="4" t="str">
        <f t="shared" si="179"/>
        <v>Good</v>
      </c>
      <c r="V2299" s="4" t="str">
        <f t="shared" si="180"/>
        <v>Excellent</v>
      </c>
      <c r="W2299" s="4"/>
      <c r="X2299" s="4"/>
      <c r="AJ2299" s="4"/>
    </row>
    <row r="2300" spans="1:36">
      <c r="A2300" t="str">
        <f t="shared" si="176"/>
        <v>Kris482299</v>
      </c>
      <c r="B2300">
        <v>2299</v>
      </c>
      <c r="C2300">
        <v>24</v>
      </c>
      <c r="D2300">
        <v>7</v>
      </c>
      <c r="E2300">
        <v>2023</v>
      </c>
      <c r="F2300" s="1">
        <f t="shared" si="177"/>
        <v>45131</v>
      </c>
      <c r="G2300" s="1" t="s">
        <v>683</v>
      </c>
      <c r="H2300" s="2">
        <v>46776</v>
      </c>
      <c r="I2300" t="s">
        <v>26</v>
      </c>
      <c r="J2300">
        <v>6</v>
      </c>
      <c r="K2300">
        <v>60615.22</v>
      </c>
      <c r="L2300" t="s">
        <v>987</v>
      </c>
      <c r="M2300">
        <v>48</v>
      </c>
      <c r="N2300" t="s">
        <v>61</v>
      </c>
      <c r="O2300" s="3" t="s">
        <v>55</v>
      </c>
      <c r="P2300" t="s">
        <v>29</v>
      </c>
      <c r="Q2300" t="s">
        <v>30</v>
      </c>
      <c r="R2300">
        <v>2</v>
      </c>
      <c r="S2300" t="s">
        <v>31</v>
      </c>
      <c r="T2300" s="4">
        <f t="shared" si="178"/>
        <v>363691.32</v>
      </c>
      <c r="U2300" s="4" t="str">
        <f t="shared" si="179"/>
        <v>Average</v>
      </c>
      <c r="V2300" s="4" t="str">
        <f t="shared" si="180"/>
        <v>Excellent</v>
      </c>
      <c r="W2300" s="4"/>
      <c r="X2300" s="4"/>
      <c r="AJ2300" s="4"/>
    </row>
    <row r="2301" spans="1:36">
      <c r="A2301" t="str">
        <f t="shared" si="176"/>
        <v>Anja582300</v>
      </c>
      <c r="B2301">
        <v>2300</v>
      </c>
      <c r="C2301">
        <v>24</v>
      </c>
      <c r="D2301">
        <v>7</v>
      </c>
      <c r="E2301">
        <v>2023</v>
      </c>
      <c r="F2301" s="1">
        <f t="shared" si="177"/>
        <v>45131</v>
      </c>
      <c r="G2301" s="1" t="s">
        <v>683</v>
      </c>
      <c r="H2301" s="2">
        <v>46777</v>
      </c>
      <c r="I2301" t="s">
        <v>19</v>
      </c>
      <c r="J2301">
        <v>5</v>
      </c>
      <c r="K2301">
        <v>20695.009999999998</v>
      </c>
      <c r="L2301" t="s">
        <v>958</v>
      </c>
      <c r="M2301">
        <v>58</v>
      </c>
      <c r="N2301" t="s">
        <v>61</v>
      </c>
      <c r="O2301" s="3" t="s">
        <v>22</v>
      </c>
      <c r="P2301" t="s">
        <v>29</v>
      </c>
      <c r="Q2301" t="s">
        <v>30</v>
      </c>
      <c r="R2301">
        <v>5</v>
      </c>
      <c r="S2301" t="s">
        <v>84</v>
      </c>
      <c r="T2301" s="4">
        <f t="shared" si="178"/>
        <v>103475.04999999999</v>
      </c>
      <c r="U2301" s="4" t="str">
        <f t="shared" si="179"/>
        <v>Good</v>
      </c>
      <c r="V2301" s="4" t="str">
        <f t="shared" si="180"/>
        <v>Good</v>
      </c>
      <c r="W2301" s="4"/>
      <c r="X2301" s="4"/>
      <c r="AJ2301" s="4"/>
    </row>
    <row r="2302" spans="1:36">
      <c r="A2302" t="str">
        <f t="shared" si="176"/>
        <v>Lata472301</v>
      </c>
      <c r="B2302">
        <v>2301</v>
      </c>
      <c r="C2302">
        <v>24</v>
      </c>
      <c r="D2302">
        <v>7</v>
      </c>
      <c r="E2302">
        <v>2023</v>
      </c>
      <c r="F2302" s="1">
        <f t="shared" si="177"/>
        <v>45131</v>
      </c>
      <c r="G2302" s="1" t="s">
        <v>683</v>
      </c>
      <c r="H2302" s="2">
        <v>46778</v>
      </c>
      <c r="I2302" t="s">
        <v>38</v>
      </c>
      <c r="J2302">
        <v>2</v>
      </c>
      <c r="K2302">
        <v>64276.32</v>
      </c>
      <c r="L2302" t="s">
        <v>988</v>
      </c>
      <c r="M2302">
        <v>47</v>
      </c>
      <c r="N2302" t="s">
        <v>61</v>
      </c>
      <c r="O2302" s="3" t="s">
        <v>55</v>
      </c>
      <c r="P2302" t="s">
        <v>33</v>
      </c>
      <c r="Q2302" t="s">
        <v>24</v>
      </c>
      <c r="R2302">
        <v>2</v>
      </c>
      <c r="S2302" t="s">
        <v>99</v>
      </c>
      <c r="T2302" s="4">
        <f t="shared" si="178"/>
        <v>128552.64</v>
      </c>
      <c r="U2302" s="4" t="str">
        <f t="shared" si="179"/>
        <v>Average</v>
      </c>
      <c r="V2302" s="4" t="str">
        <f t="shared" si="180"/>
        <v>Good</v>
      </c>
      <c r="W2302" s="4"/>
      <c r="X2302" s="4"/>
      <c r="AJ2302" s="4"/>
    </row>
    <row r="2303" spans="1:36">
      <c r="A2303" t="str">
        <f t="shared" si="176"/>
        <v>Kavi512302</v>
      </c>
      <c r="B2303">
        <v>2302</v>
      </c>
      <c r="C2303">
        <v>25</v>
      </c>
      <c r="D2303">
        <v>7</v>
      </c>
      <c r="E2303">
        <v>2023</v>
      </c>
      <c r="F2303" s="1">
        <f t="shared" si="177"/>
        <v>45132</v>
      </c>
      <c r="G2303" s="1" t="s">
        <v>683</v>
      </c>
      <c r="H2303" s="2">
        <v>46779</v>
      </c>
      <c r="I2303" t="s">
        <v>26</v>
      </c>
      <c r="J2303">
        <v>2</v>
      </c>
      <c r="K2303">
        <v>30440.01</v>
      </c>
      <c r="L2303" t="s">
        <v>292</v>
      </c>
      <c r="M2303">
        <v>51</v>
      </c>
      <c r="N2303" t="s">
        <v>61</v>
      </c>
      <c r="O2303" s="3" t="s">
        <v>55</v>
      </c>
      <c r="P2303" t="s">
        <v>93</v>
      </c>
      <c r="Q2303" t="s">
        <v>41</v>
      </c>
      <c r="R2303">
        <v>2</v>
      </c>
      <c r="S2303" t="s">
        <v>34</v>
      </c>
      <c r="T2303" s="4">
        <f t="shared" si="178"/>
        <v>60880.02</v>
      </c>
      <c r="U2303" s="4" t="str">
        <f t="shared" si="179"/>
        <v>Average</v>
      </c>
      <c r="V2303" s="4" t="str">
        <f t="shared" si="180"/>
        <v>Average</v>
      </c>
      <c r="W2303" s="4"/>
      <c r="X2303" s="4"/>
      <c r="AJ2303" s="4"/>
    </row>
    <row r="2304" spans="1:36">
      <c r="A2304" t="str">
        <f t="shared" si="176"/>
        <v>Kira352303</v>
      </c>
      <c r="B2304">
        <v>2303</v>
      </c>
      <c r="C2304">
        <v>25</v>
      </c>
      <c r="D2304">
        <v>7</v>
      </c>
      <c r="E2304">
        <v>2023</v>
      </c>
      <c r="F2304" s="1">
        <f t="shared" si="177"/>
        <v>45132</v>
      </c>
      <c r="G2304" s="1" t="s">
        <v>683</v>
      </c>
      <c r="H2304" s="2">
        <v>46780</v>
      </c>
      <c r="I2304" t="s">
        <v>49</v>
      </c>
      <c r="J2304">
        <v>7</v>
      </c>
      <c r="K2304">
        <v>32626.720000000001</v>
      </c>
      <c r="L2304" t="s">
        <v>187</v>
      </c>
      <c r="M2304">
        <v>35</v>
      </c>
      <c r="N2304" t="s">
        <v>21</v>
      </c>
      <c r="O2304" s="3" t="s">
        <v>22</v>
      </c>
      <c r="P2304" t="s">
        <v>150</v>
      </c>
      <c r="Q2304" t="s">
        <v>24</v>
      </c>
      <c r="R2304">
        <v>5</v>
      </c>
      <c r="S2304" t="s">
        <v>102</v>
      </c>
      <c r="T2304" s="4">
        <f t="shared" si="178"/>
        <v>228387.04</v>
      </c>
      <c r="U2304" s="4" t="str">
        <f t="shared" si="179"/>
        <v>Good</v>
      </c>
      <c r="V2304" s="4" t="str">
        <f>IF(T2304&gt;200000,"Excellent",IF(T2304&gt;100000,"Good",IF(T2304&gt;50000,"Average","Low")))</f>
        <v>Excellent</v>
      </c>
      <c r="W2304" s="4"/>
      <c r="X2304" s="4"/>
      <c r="AJ2304" s="4"/>
    </row>
    <row r="2305" spans="1:36">
      <c r="A2305" t="str">
        <f t="shared" si="176"/>
        <v>Isha292304</v>
      </c>
      <c r="B2305">
        <v>2304</v>
      </c>
      <c r="C2305">
        <v>25</v>
      </c>
      <c r="D2305">
        <v>7</v>
      </c>
      <c r="E2305">
        <v>2023</v>
      </c>
      <c r="F2305" s="1">
        <f t="shared" si="177"/>
        <v>45132</v>
      </c>
      <c r="G2305" s="1" t="s">
        <v>683</v>
      </c>
      <c r="H2305" s="2">
        <v>46781</v>
      </c>
      <c r="I2305" t="s">
        <v>43</v>
      </c>
      <c r="J2305">
        <v>2</v>
      </c>
      <c r="K2305">
        <v>64383.49</v>
      </c>
      <c r="L2305" t="s">
        <v>305</v>
      </c>
      <c r="M2305">
        <v>29</v>
      </c>
      <c r="N2305" t="s">
        <v>36</v>
      </c>
      <c r="O2305" s="3" t="s">
        <v>28</v>
      </c>
      <c r="P2305" t="s">
        <v>137</v>
      </c>
      <c r="Q2305" t="s">
        <v>56</v>
      </c>
      <c r="R2305">
        <v>3</v>
      </c>
      <c r="S2305" t="s">
        <v>95</v>
      </c>
      <c r="T2305" s="4">
        <f t="shared" si="178"/>
        <v>128766.98</v>
      </c>
      <c r="U2305" s="4" t="str">
        <f t="shared" si="179"/>
        <v>Average</v>
      </c>
      <c r="V2305" s="4" t="str">
        <f t="shared" ref="V2305:V2368" si="181">IF(T2305&gt;200000,"Excellent",IF(T2305&gt;100000,"Good",IF(T2305&gt;50000,"Average","Low")))</f>
        <v>Good</v>
      </c>
      <c r="W2305" s="4"/>
      <c r="X2305" s="4"/>
      <c r="AJ2305" s="4"/>
    </row>
    <row r="2306" spans="1:36">
      <c r="A2306" t="str">
        <f t="shared" ref="A2306:A2369" si="182">LEFT(L2306,4)&amp;M2306&amp;B2306</f>
        <v>Nikh522305</v>
      </c>
      <c r="B2306">
        <v>2305</v>
      </c>
      <c r="C2306">
        <v>25</v>
      </c>
      <c r="D2306">
        <v>7</v>
      </c>
      <c r="E2306">
        <v>2023</v>
      </c>
      <c r="F2306" s="1">
        <f t="shared" si="177"/>
        <v>45132</v>
      </c>
      <c r="G2306" s="1" t="s">
        <v>683</v>
      </c>
      <c r="H2306" s="2">
        <v>46782</v>
      </c>
      <c r="I2306" t="s">
        <v>49</v>
      </c>
      <c r="J2306">
        <v>6</v>
      </c>
      <c r="K2306">
        <v>41806.93</v>
      </c>
      <c r="L2306" t="s">
        <v>928</v>
      </c>
      <c r="M2306">
        <v>52</v>
      </c>
      <c r="N2306" t="s">
        <v>61</v>
      </c>
      <c r="O2306" s="3" t="s">
        <v>28</v>
      </c>
      <c r="P2306" t="s">
        <v>29</v>
      </c>
      <c r="Q2306" t="s">
        <v>56</v>
      </c>
      <c r="R2306">
        <v>3</v>
      </c>
      <c r="S2306" t="s">
        <v>88</v>
      </c>
      <c r="T2306" s="4">
        <f t="shared" si="178"/>
        <v>250841.58000000002</v>
      </c>
      <c r="U2306" s="4" t="str">
        <f t="shared" si="179"/>
        <v>Average</v>
      </c>
      <c r="V2306" s="4" t="str">
        <f t="shared" si="181"/>
        <v>Excellent</v>
      </c>
      <c r="W2306" s="4"/>
      <c r="X2306" s="4"/>
      <c r="AJ2306" s="4"/>
    </row>
    <row r="2307" spans="1:36">
      <c r="A2307" t="str">
        <f t="shared" si="182"/>
        <v>Lata242306</v>
      </c>
      <c r="B2307">
        <v>2306</v>
      </c>
      <c r="C2307">
        <v>26</v>
      </c>
      <c r="D2307">
        <v>7</v>
      </c>
      <c r="E2307">
        <v>2023</v>
      </c>
      <c r="F2307" s="1">
        <f t="shared" ref="F2307:F2370" si="183">DATE(E2307,D2307,C2307)</f>
        <v>45133</v>
      </c>
      <c r="G2307" s="1" t="s">
        <v>683</v>
      </c>
      <c r="H2307" s="2">
        <v>46783</v>
      </c>
      <c r="I2307" t="s">
        <v>19</v>
      </c>
      <c r="J2307">
        <v>5</v>
      </c>
      <c r="K2307">
        <v>18265.78</v>
      </c>
      <c r="L2307" t="s">
        <v>787</v>
      </c>
      <c r="M2307">
        <v>24</v>
      </c>
      <c r="N2307" t="s">
        <v>36</v>
      </c>
      <c r="O2307" s="3" t="s">
        <v>55</v>
      </c>
      <c r="P2307" t="s">
        <v>29</v>
      </c>
      <c r="Q2307" t="s">
        <v>56</v>
      </c>
      <c r="R2307">
        <v>2</v>
      </c>
      <c r="S2307" t="s">
        <v>84</v>
      </c>
      <c r="T2307" s="4">
        <f t="shared" ref="T2307:T2370" si="184">J2307*K2307</f>
        <v>91328.9</v>
      </c>
      <c r="U2307" s="4" t="str">
        <f t="shared" ref="U2307:U2370" si="185">IF(R2307&gt;=4,"Good","Average")</f>
        <v>Average</v>
      </c>
      <c r="V2307" s="4" t="str">
        <f t="shared" si="181"/>
        <v>Average</v>
      </c>
      <c r="W2307" s="4"/>
      <c r="X2307" s="4"/>
      <c r="AJ2307" s="4"/>
    </row>
    <row r="2308" spans="1:36">
      <c r="A2308" t="str">
        <f t="shared" si="182"/>
        <v>Kira582307</v>
      </c>
      <c r="B2308">
        <v>2307</v>
      </c>
      <c r="C2308">
        <v>26</v>
      </c>
      <c r="D2308">
        <v>7</v>
      </c>
      <c r="E2308">
        <v>2023</v>
      </c>
      <c r="F2308" s="1">
        <f t="shared" si="183"/>
        <v>45133</v>
      </c>
      <c r="G2308" s="1" t="s">
        <v>683</v>
      </c>
      <c r="H2308" s="2">
        <v>46784</v>
      </c>
      <c r="I2308" t="s">
        <v>38</v>
      </c>
      <c r="J2308">
        <v>4</v>
      </c>
      <c r="K2308">
        <v>32143.37</v>
      </c>
      <c r="L2308" t="s">
        <v>297</v>
      </c>
      <c r="M2308">
        <v>58</v>
      </c>
      <c r="N2308" t="s">
        <v>61</v>
      </c>
      <c r="O2308" s="3" t="s">
        <v>28</v>
      </c>
      <c r="P2308" t="s">
        <v>29</v>
      </c>
      <c r="Q2308" t="s">
        <v>30</v>
      </c>
      <c r="R2308">
        <v>3</v>
      </c>
      <c r="S2308" t="s">
        <v>99</v>
      </c>
      <c r="T2308" s="4">
        <f t="shared" si="184"/>
        <v>128573.48</v>
      </c>
      <c r="U2308" s="4" t="str">
        <f t="shared" si="185"/>
        <v>Average</v>
      </c>
      <c r="V2308" s="4" t="str">
        <f t="shared" si="181"/>
        <v>Good</v>
      </c>
      <c r="W2308" s="4"/>
      <c r="X2308" s="4"/>
      <c r="AJ2308" s="4"/>
    </row>
    <row r="2309" spans="1:36">
      <c r="A2309" t="str">
        <f t="shared" si="182"/>
        <v>Umes572308</v>
      </c>
      <c r="B2309">
        <v>2308</v>
      </c>
      <c r="C2309">
        <v>26</v>
      </c>
      <c r="D2309">
        <v>7</v>
      </c>
      <c r="E2309">
        <v>2023</v>
      </c>
      <c r="F2309" s="1">
        <f t="shared" si="183"/>
        <v>45133</v>
      </c>
      <c r="G2309" s="1" t="s">
        <v>683</v>
      </c>
      <c r="H2309" s="2">
        <v>46785</v>
      </c>
      <c r="I2309" t="s">
        <v>38</v>
      </c>
      <c r="J2309">
        <v>7</v>
      </c>
      <c r="K2309">
        <v>53325.85</v>
      </c>
      <c r="L2309" t="s">
        <v>989</v>
      </c>
      <c r="M2309">
        <v>57</v>
      </c>
      <c r="N2309" t="s">
        <v>61</v>
      </c>
      <c r="O2309" s="3" t="s">
        <v>22</v>
      </c>
      <c r="P2309" t="s">
        <v>29</v>
      </c>
      <c r="Q2309" t="s">
        <v>41</v>
      </c>
      <c r="R2309">
        <v>4</v>
      </c>
      <c r="S2309" t="s">
        <v>99</v>
      </c>
      <c r="T2309" s="4">
        <f t="shared" si="184"/>
        <v>373280.95</v>
      </c>
      <c r="U2309" s="4" t="str">
        <f t="shared" si="185"/>
        <v>Good</v>
      </c>
      <c r="V2309" s="4" t="str">
        <f t="shared" si="181"/>
        <v>Excellent</v>
      </c>
      <c r="W2309" s="4"/>
      <c r="X2309" s="4"/>
      <c r="AJ2309" s="4"/>
    </row>
    <row r="2310" spans="1:36">
      <c r="A2310" t="str">
        <f t="shared" si="182"/>
        <v>Arun422309</v>
      </c>
      <c r="B2310">
        <v>2309</v>
      </c>
      <c r="C2310">
        <v>27</v>
      </c>
      <c r="D2310">
        <v>7</v>
      </c>
      <c r="E2310">
        <v>2023</v>
      </c>
      <c r="F2310" s="1">
        <f t="shared" si="183"/>
        <v>45134</v>
      </c>
      <c r="G2310" s="1" t="s">
        <v>683</v>
      </c>
      <c r="H2310" s="2">
        <v>46786</v>
      </c>
      <c r="I2310" t="s">
        <v>19</v>
      </c>
      <c r="J2310">
        <v>8</v>
      </c>
      <c r="K2310">
        <v>20451.05</v>
      </c>
      <c r="L2310" t="s">
        <v>426</v>
      </c>
      <c r="M2310">
        <v>42</v>
      </c>
      <c r="N2310" t="s">
        <v>21</v>
      </c>
      <c r="O2310" s="3" t="s">
        <v>28</v>
      </c>
      <c r="P2310" t="s">
        <v>110</v>
      </c>
      <c r="Q2310" t="s">
        <v>24</v>
      </c>
      <c r="R2310">
        <v>3</v>
      </c>
      <c r="S2310" t="s">
        <v>37</v>
      </c>
      <c r="T2310" s="4">
        <f t="shared" si="184"/>
        <v>163608.4</v>
      </c>
      <c r="U2310" s="4" t="str">
        <f t="shared" si="185"/>
        <v>Average</v>
      </c>
      <c r="V2310" s="4" t="str">
        <f t="shared" si="181"/>
        <v>Good</v>
      </c>
      <c r="W2310" s="4"/>
      <c r="X2310" s="4"/>
      <c r="AJ2310" s="4"/>
    </row>
    <row r="2311" spans="1:36">
      <c r="A2311" t="str">
        <f t="shared" si="182"/>
        <v>Lali232310</v>
      </c>
      <c r="B2311">
        <v>2310</v>
      </c>
      <c r="C2311">
        <v>27</v>
      </c>
      <c r="D2311">
        <v>7</v>
      </c>
      <c r="E2311">
        <v>2023</v>
      </c>
      <c r="F2311" s="1">
        <f t="shared" si="183"/>
        <v>45134</v>
      </c>
      <c r="G2311" s="1" t="s">
        <v>683</v>
      </c>
      <c r="H2311" s="2">
        <v>46787</v>
      </c>
      <c r="I2311" t="s">
        <v>26</v>
      </c>
      <c r="J2311">
        <v>4</v>
      </c>
      <c r="K2311">
        <v>45413.87</v>
      </c>
      <c r="L2311" t="s">
        <v>724</v>
      </c>
      <c r="M2311">
        <v>23</v>
      </c>
      <c r="N2311" t="s">
        <v>36</v>
      </c>
      <c r="O2311" s="3" t="s">
        <v>55</v>
      </c>
      <c r="P2311" t="s">
        <v>33</v>
      </c>
      <c r="Q2311" t="s">
        <v>41</v>
      </c>
      <c r="R2311">
        <v>2</v>
      </c>
      <c r="S2311" t="s">
        <v>67</v>
      </c>
      <c r="T2311" s="4">
        <f t="shared" si="184"/>
        <v>181655.48</v>
      </c>
      <c r="U2311" s="4" t="str">
        <f t="shared" si="185"/>
        <v>Average</v>
      </c>
      <c r="V2311" s="4" t="str">
        <f t="shared" si="181"/>
        <v>Good</v>
      </c>
      <c r="W2311" s="4"/>
      <c r="X2311" s="4"/>
      <c r="AJ2311" s="4"/>
    </row>
    <row r="2312" spans="1:36">
      <c r="A2312" t="str">
        <f t="shared" si="182"/>
        <v>Shru182311</v>
      </c>
      <c r="B2312">
        <v>2311</v>
      </c>
      <c r="C2312">
        <v>27</v>
      </c>
      <c r="D2312">
        <v>7</v>
      </c>
      <c r="E2312">
        <v>2023</v>
      </c>
      <c r="F2312" s="1">
        <f t="shared" si="183"/>
        <v>45134</v>
      </c>
      <c r="G2312" s="1" t="s">
        <v>683</v>
      </c>
      <c r="H2312" s="2">
        <v>46788</v>
      </c>
      <c r="I2312" t="s">
        <v>26</v>
      </c>
      <c r="J2312">
        <v>1</v>
      </c>
      <c r="K2312">
        <v>51716.45</v>
      </c>
      <c r="L2312" t="s">
        <v>964</v>
      </c>
      <c r="M2312">
        <v>18</v>
      </c>
      <c r="N2312" t="s">
        <v>36</v>
      </c>
      <c r="O2312" s="3" t="s">
        <v>28</v>
      </c>
      <c r="P2312" t="s">
        <v>66</v>
      </c>
      <c r="Q2312" t="s">
        <v>41</v>
      </c>
      <c r="R2312">
        <v>3</v>
      </c>
      <c r="S2312" t="s">
        <v>31</v>
      </c>
      <c r="T2312" s="4">
        <f t="shared" si="184"/>
        <v>51716.45</v>
      </c>
      <c r="U2312" s="4" t="str">
        <f t="shared" si="185"/>
        <v>Average</v>
      </c>
      <c r="V2312" s="4" t="str">
        <f t="shared" si="181"/>
        <v>Average</v>
      </c>
      <c r="W2312" s="4"/>
      <c r="X2312" s="4"/>
      <c r="AJ2312" s="4"/>
    </row>
    <row r="2313" spans="1:36">
      <c r="A2313" t="str">
        <f t="shared" si="182"/>
        <v>Bhav332312</v>
      </c>
      <c r="B2313">
        <v>2312</v>
      </c>
      <c r="C2313">
        <v>28</v>
      </c>
      <c r="D2313">
        <v>7</v>
      </c>
      <c r="E2313">
        <v>2023</v>
      </c>
      <c r="F2313" s="1">
        <f t="shared" si="183"/>
        <v>45135</v>
      </c>
      <c r="G2313" s="1" t="s">
        <v>683</v>
      </c>
      <c r="H2313" s="2">
        <v>46789</v>
      </c>
      <c r="I2313" t="s">
        <v>38</v>
      </c>
      <c r="J2313">
        <v>1</v>
      </c>
      <c r="K2313">
        <v>30631.21</v>
      </c>
      <c r="L2313" t="s">
        <v>939</v>
      </c>
      <c r="M2313">
        <v>33</v>
      </c>
      <c r="N2313" t="s">
        <v>21</v>
      </c>
      <c r="O2313" s="3" t="s">
        <v>55</v>
      </c>
      <c r="P2313" t="s">
        <v>33</v>
      </c>
      <c r="Q2313" t="s">
        <v>41</v>
      </c>
      <c r="R2313">
        <v>2</v>
      </c>
      <c r="S2313" t="s">
        <v>99</v>
      </c>
      <c r="T2313" s="4">
        <f t="shared" si="184"/>
        <v>30631.21</v>
      </c>
      <c r="U2313" s="4" t="str">
        <f t="shared" si="185"/>
        <v>Average</v>
      </c>
      <c r="V2313" s="4" t="str">
        <f t="shared" si="181"/>
        <v>Low</v>
      </c>
      <c r="W2313" s="4"/>
      <c r="X2313" s="4"/>
      <c r="AJ2313" s="4"/>
    </row>
    <row r="2314" spans="1:36">
      <c r="A2314" t="str">
        <f t="shared" si="182"/>
        <v>Deep212313</v>
      </c>
      <c r="B2314">
        <v>2313</v>
      </c>
      <c r="C2314">
        <v>28</v>
      </c>
      <c r="D2314">
        <v>7</v>
      </c>
      <c r="E2314">
        <v>2023</v>
      </c>
      <c r="F2314" s="1">
        <f t="shared" si="183"/>
        <v>45135</v>
      </c>
      <c r="G2314" s="1" t="s">
        <v>683</v>
      </c>
      <c r="H2314" s="2">
        <v>46790</v>
      </c>
      <c r="I2314" t="s">
        <v>38</v>
      </c>
      <c r="J2314">
        <v>1</v>
      </c>
      <c r="K2314">
        <v>51632.84</v>
      </c>
      <c r="L2314" t="s">
        <v>941</v>
      </c>
      <c r="M2314">
        <v>21</v>
      </c>
      <c r="N2314" t="s">
        <v>36</v>
      </c>
      <c r="O2314" s="3" t="s">
        <v>28</v>
      </c>
      <c r="P2314" t="s">
        <v>66</v>
      </c>
      <c r="Q2314" t="s">
        <v>56</v>
      </c>
      <c r="R2314">
        <v>3</v>
      </c>
      <c r="S2314" t="s">
        <v>42</v>
      </c>
      <c r="T2314" s="4">
        <f t="shared" si="184"/>
        <v>51632.84</v>
      </c>
      <c r="U2314" s="4" t="str">
        <f t="shared" si="185"/>
        <v>Average</v>
      </c>
      <c r="V2314" s="4" t="str">
        <f t="shared" si="181"/>
        <v>Average</v>
      </c>
      <c r="W2314" s="4"/>
      <c r="X2314" s="4"/>
      <c r="AJ2314" s="4"/>
    </row>
    <row r="2315" spans="1:36">
      <c r="A2315" t="str">
        <f t="shared" si="182"/>
        <v>Vija462314</v>
      </c>
      <c r="B2315">
        <v>2314</v>
      </c>
      <c r="C2315">
        <v>28</v>
      </c>
      <c r="D2315">
        <v>7</v>
      </c>
      <c r="E2315">
        <v>2023</v>
      </c>
      <c r="F2315" s="1">
        <f t="shared" si="183"/>
        <v>45135</v>
      </c>
      <c r="G2315" s="1" t="s">
        <v>683</v>
      </c>
      <c r="H2315" s="2">
        <v>46791</v>
      </c>
      <c r="I2315" t="s">
        <v>43</v>
      </c>
      <c r="J2315">
        <v>1</v>
      </c>
      <c r="K2315">
        <v>63052.44</v>
      </c>
      <c r="L2315" t="s">
        <v>565</v>
      </c>
      <c r="M2315">
        <v>46</v>
      </c>
      <c r="N2315" t="s">
        <v>61</v>
      </c>
      <c r="O2315" s="3" t="s">
        <v>55</v>
      </c>
      <c r="P2315" t="s">
        <v>117</v>
      </c>
      <c r="Q2315" t="s">
        <v>24</v>
      </c>
      <c r="R2315">
        <v>2</v>
      </c>
      <c r="S2315" t="s">
        <v>46</v>
      </c>
      <c r="T2315" s="4">
        <f t="shared" si="184"/>
        <v>63052.44</v>
      </c>
      <c r="U2315" s="4" t="str">
        <f t="shared" si="185"/>
        <v>Average</v>
      </c>
      <c r="V2315" s="4" t="str">
        <f t="shared" si="181"/>
        <v>Average</v>
      </c>
      <c r="W2315" s="4"/>
      <c r="X2315" s="4"/>
      <c r="AJ2315" s="4"/>
    </row>
    <row r="2316" spans="1:36">
      <c r="A2316" t="str">
        <f t="shared" si="182"/>
        <v>Ravi552315</v>
      </c>
      <c r="B2316">
        <v>2315</v>
      </c>
      <c r="C2316">
        <v>29</v>
      </c>
      <c r="D2316">
        <v>7</v>
      </c>
      <c r="E2316">
        <v>2023</v>
      </c>
      <c r="F2316" s="1">
        <f t="shared" si="183"/>
        <v>45136</v>
      </c>
      <c r="G2316" s="1" t="s">
        <v>683</v>
      </c>
      <c r="H2316" s="2">
        <v>46792</v>
      </c>
      <c r="I2316" t="s">
        <v>26</v>
      </c>
      <c r="J2316">
        <v>5</v>
      </c>
      <c r="K2316">
        <v>38327</v>
      </c>
      <c r="L2316" t="s">
        <v>874</v>
      </c>
      <c r="M2316">
        <v>55</v>
      </c>
      <c r="N2316" t="s">
        <v>61</v>
      </c>
      <c r="O2316" s="3" t="s">
        <v>22</v>
      </c>
      <c r="P2316" t="s">
        <v>93</v>
      </c>
      <c r="Q2316" t="s">
        <v>30</v>
      </c>
      <c r="R2316">
        <v>4</v>
      </c>
      <c r="S2316" t="s">
        <v>67</v>
      </c>
      <c r="T2316" s="4">
        <f t="shared" si="184"/>
        <v>191635</v>
      </c>
      <c r="U2316" s="4" t="str">
        <f t="shared" si="185"/>
        <v>Good</v>
      </c>
      <c r="V2316" s="4" t="str">
        <f t="shared" si="181"/>
        <v>Good</v>
      </c>
      <c r="W2316" s="4"/>
      <c r="X2316" s="4"/>
      <c r="AJ2316" s="4"/>
    </row>
    <row r="2317" spans="1:36">
      <c r="A2317" t="str">
        <f t="shared" si="182"/>
        <v>Nami452316</v>
      </c>
      <c r="B2317">
        <v>2316</v>
      </c>
      <c r="C2317">
        <v>29</v>
      </c>
      <c r="D2317">
        <v>7</v>
      </c>
      <c r="E2317">
        <v>2023</v>
      </c>
      <c r="F2317" s="1">
        <f t="shared" si="183"/>
        <v>45136</v>
      </c>
      <c r="G2317" s="1" t="s">
        <v>683</v>
      </c>
      <c r="H2317" s="2">
        <v>46793</v>
      </c>
      <c r="I2317" t="s">
        <v>19</v>
      </c>
      <c r="J2317">
        <v>4</v>
      </c>
      <c r="K2317">
        <v>32974.559999999998</v>
      </c>
      <c r="L2317" t="s">
        <v>990</v>
      </c>
      <c r="M2317">
        <v>45</v>
      </c>
      <c r="N2317" t="s">
        <v>21</v>
      </c>
      <c r="O2317" s="3" t="s">
        <v>22</v>
      </c>
      <c r="P2317" t="s">
        <v>77</v>
      </c>
      <c r="Q2317" t="s">
        <v>41</v>
      </c>
      <c r="R2317">
        <v>5</v>
      </c>
      <c r="S2317" t="s">
        <v>25</v>
      </c>
      <c r="T2317" s="4">
        <f t="shared" si="184"/>
        <v>131898.23999999999</v>
      </c>
      <c r="U2317" s="4" t="str">
        <f t="shared" si="185"/>
        <v>Good</v>
      </c>
      <c r="V2317" s="4" t="str">
        <f t="shared" si="181"/>
        <v>Good</v>
      </c>
      <c r="W2317" s="4"/>
      <c r="X2317" s="4"/>
      <c r="AJ2317" s="4"/>
    </row>
    <row r="2318" spans="1:36">
      <c r="A2318" t="str">
        <f t="shared" si="182"/>
        <v>Ayes392317</v>
      </c>
      <c r="B2318">
        <v>2317</v>
      </c>
      <c r="C2318">
        <v>29</v>
      </c>
      <c r="D2318">
        <v>7</v>
      </c>
      <c r="E2318">
        <v>2023</v>
      </c>
      <c r="F2318" s="1">
        <f t="shared" si="183"/>
        <v>45136</v>
      </c>
      <c r="G2318" s="1" t="s">
        <v>683</v>
      </c>
      <c r="H2318" s="2">
        <v>46794</v>
      </c>
      <c r="I2318" t="s">
        <v>26</v>
      </c>
      <c r="J2318">
        <v>9</v>
      </c>
      <c r="K2318">
        <v>25069.5</v>
      </c>
      <c r="L2318" t="s">
        <v>412</v>
      </c>
      <c r="M2318">
        <v>39</v>
      </c>
      <c r="N2318" t="s">
        <v>21</v>
      </c>
      <c r="O2318" s="3" t="s">
        <v>22</v>
      </c>
      <c r="P2318" t="s">
        <v>59</v>
      </c>
      <c r="Q2318" t="s">
        <v>41</v>
      </c>
      <c r="R2318">
        <v>4</v>
      </c>
      <c r="S2318" t="s">
        <v>31</v>
      </c>
      <c r="T2318" s="4">
        <f t="shared" si="184"/>
        <v>225625.5</v>
      </c>
      <c r="U2318" s="4" t="str">
        <f t="shared" si="185"/>
        <v>Good</v>
      </c>
      <c r="V2318" s="4" t="str">
        <f t="shared" si="181"/>
        <v>Excellent</v>
      </c>
      <c r="W2318" s="4"/>
      <c r="X2318" s="4"/>
      <c r="AJ2318" s="4"/>
    </row>
    <row r="2319" spans="1:36">
      <c r="A2319" t="str">
        <f t="shared" si="182"/>
        <v>Umes252318</v>
      </c>
      <c r="B2319">
        <v>2318</v>
      </c>
      <c r="C2319">
        <v>29</v>
      </c>
      <c r="D2319">
        <v>7</v>
      </c>
      <c r="E2319">
        <v>2023</v>
      </c>
      <c r="F2319" s="1">
        <f t="shared" si="183"/>
        <v>45136</v>
      </c>
      <c r="G2319" s="1" t="s">
        <v>683</v>
      </c>
      <c r="H2319" s="2">
        <v>46795</v>
      </c>
      <c r="I2319" t="s">
        <v>43</v>
      </c>
      <c r="J2319">
        <v>3</v>
      </c>
      <c r="K2319">
        <v>46252.33</v>
      </c>
      <c r="L2319" t="s">
        <v>626</v>
      </c>
      <c r="M2319">
        <v>25</v>
      </c>
      <c r="N2319" t="s">
        <v>36</v>
      </c>
      <c r="O2319" s="3" t="s">
        <v>55</v>
      </c>
      <c r="P2319" t="s">
        <v>29</v>
      </c>
      <c r="Q2319" t="s">
        <v>56</v>
      </c>
      <c r="R2319">
        <v>2</v>
      </c>
      <c r="S2319" t="s">
        <v>95</v>
      </c>
      <c r="T2319" s="4">
        <f t="shared" si="184"/>
        <v>138756.99</v>
      </c>
      <c r="U2319" s="4" t="str">
        <f t="shared" si="185"/>
        <v>Average</v>
      </c>
      <c r="V2319" s="4" t="str">
        <f t="shared" si="181"/>
        <v>Good</v>
      </c>
      <c r="W2319" s="4"/>
      <c r="X2319" s="4"/>
      <c r="AJ2319" s="4"/>
    </row>
    <row r="2320" spans="1:36">
      <c r="A2320" t="str">
        <f t="shared" si="182"/>
        <v>Ravi492319</v>
      </c>
      <c r="B2320">
        <v>2319</v>
      </c>
      <c r="C2320">
        <v>30</v>
      </c>
      <c r="D2320">
        <v>7</v>
      </c>
      <c r="E2320">
        <v>2023</v>
      </c>
      <c r="F2320" s="1">
        <f t="shared" si="183"/>
        <v>45137</v>
      </c>
      <c r="G2320" s="1" t="s">
        <v>683</v>
      </c>
      <c r="H2320" s="2">
        <v>46796</v>
      </c>
      <c r="I2320" t="s">
        <v>38</v>
      </c>
      <c r="J2320">
        <v>7</v>
      </c>
      <c r="K2320">
        <v>62791.12</v>
      </c>
      <c r="L2320" t="s">
        <v>573</v>
      </c>
      <c r="M2320">
        <v>49</v>
      </c>
      <c r="N2320" t="s">
        <v>61</v>
      </c>
      <c r="O2320" s="3" t="s">
        <v>22</v>
      </c>
      <c r="P2320" t="s">
        <v>29</v>
      </c>
      <c r="Q2320" t="s">
        <v>56</v>
      </c>
      <c r="R2320">
        <v>4</v>
      </c>
      <c r="S2320" t="s">
        <v>99</v>
      </c>
      <c r="T2320" s="4">
        <f t="shared" si="184"/>
        <v>439537.84</v>
      </c>
      <c r="U2320" s="4" t="str">
        <f t="shared" si="185"/>
        <v>Good</v>
      </c>
      <c r="V2320" s="4" t="str">
        <f t="shared" si="181"/>
        <v>Excellent</v>
      </c>
      <c r="W2320" s="4"/>
      <c r="X2320" s="4"/>
      <c r="AJ2320" s="4"/>
    </row>
    <row r="2321" spans="1:36">
      <c r="A2321" t="str">
        <f t="shared" si="182"/>
        <v>Kris502320</v>
      </c>
      <c r="B2321">
        <v>2320</v>
      </c>
      <c r="C2321">
        <v>30</v>
      </c>
      <c r="D2321">
        <v>7</v>
      </c>
      <c r="E2321">
        <v>2023</v>
      </c>
      <c r="F2321" s="1">
        <f t="shared" si="183"/>
        <v>45137</v>
      </c>
      <c r="G2321" s="1" t="s">
        <v>683</v>
      </c>
      <c r="H2321" s="2">
        <v>46797</v>
      </c>
      <c r="I2321" t="s">
        <v>38</v>
      </c>
      <c r="J2321">
        <v>8</v>
      </c>
      <c r="K2321">
        <v>29479.68</v>
      </c>
      <c r="L2321" t="s">
        <v>392</v>
      </c>
      <c r="M2321">
        <v>50</v>
      </c>
      <c r="N2321" t="s">
        <v>61</v>
      </c>
      <c r="O2321" s="3" t="s">
        <v>22</v>
      </c>
      <c r="P2321" t="s">
        <v>132</v>
      </c>
      <c r="Q2321" t="s">
        <v>24</v>
      </c>
      <c r="R2321">
        <v>4</v>
      </c>
      <c r="S2321" t="s">
        <v>42</v>
      </c>
      <c r="T2321" s="4">
        <f t="shared" si="184"/>
        <v>235837.44</v>
      </c>
      <c r="U2321" s="4" t="str">
        <f t="shared" si="185"/>
        <v>Good</v>
      </c>
      <c r="V2321" s="4" t="str">
        <f t="shared" si="181"/>
        <v>Excellent</v>
      </c>
      <c r="W2321" s="4"/>
      <c r="X2321" s="4"/>
      <c r="AJ2321" s="4"/>
    </row>
    <row r="2322" spans="1:36">
      <c r="A2322" t="str">
        <f t="shared" si="182"/>
        <v>Moni302321</v>
      </c>
      <c r="B2322">
        <v>2321</v>
      </c>
      <c r="C2322">
        <v>30</v>
      </c>
      <c r="D2322">
        <v>7</v>
      </c>
      <c r="E2322">
        <v>2023</v>
      </c>
      <c r="F2322" s="1">
        <f t="shared" si="183"/>
        <v>45137</v>
      </c>
      <c r="G2322" s="1" t="s">
        <v>683</v>
      </c>
      <c r="H2322" s="2">
        <v>46798</v>
      </c>
      <c r="I2322" t="s">
        <v>43</v>
      </c>
      <c r="J2322">
        <v>6</v>
      </c>
      <c r="K2322">
        <v>33774.129999999997</v>
      </c>
      <c r="L2322" t="s">
        <v>722</v>
      </c>
      <c r="M2322">
        <v>30</v>
      </c>
      <c r="N2322" t="s">
        <v>36</v>
      </c>
      <c r="O2322" s="3" t="s">
        <v>55</v>
      </c>
      <c r="P2322" t="s">
        <v>29</v>
      </c>
      <c r="Q2322" t="s">
        <v>30</v>
      </c>
      <c r="R2322">
        <v>2</v>
      </c>
      <c r="S2322" t="s">
        <v>57</v>
      </c>
      <c r="T2322" s="4">
        <f t="shared" si="184"/>
        <v>202644.77999999997</v>
      </c>
      <c r="U2322" s="4" t="str">
        <f t="shared" si="185"/>
        <v>Average</v>
      </c>
      <c r="V2322" s="4" t="str">
        <f t="shared" si="181"/>
        <v>Excellent</v>
      </c>
      <c r="W2322" s="4"/>
      <c r="X2322" s="4"/>
      <c r="AJ2322" s="4"/>
    </row>
    <row r="2323" spans="1:36">
      <c r="A2323" t="str">
        <f t="shared" si="182"/>
        <v>Anan442322</v>
      </c>
      <c r="B2323">
        <v>2322</v>
      </c>
      <c r="C2323">
        <v>30</v>
      </c>
      <c r="D2323">
        <v>7</v>
      </c>
      <c r="E2323">
        <v>2023</v>
      </c>
      <c r="F2323" s="1">
        <f t="shared" si="183"/>
        <v>45137</v>
      </c>
      <c r="G2323" s="1" t="s">
        <v>683</v>
      </c>
      <c r="H2323" s="2">
        <v>46799</v>
      </c>
      <c r="I2323" t="s">
        <v>19</v>
      </c>
      <c r="J2323">
        <v>1</v>
      </c>
      <c r="K2323">
        <v>34397.53</v>
      </c>
      <c r="L2323" t="s">
        <v>196</v>
      </c>
      <c r="M2323">
        <v>44</v>
      </c>
      <c r="N2323" t="s">
        <v>21</v>
      </c>
      <c r="O2323" s="3" t="s">
        <v>55</v>
      </c>
      <c r="P2323" t="s">
        <v>33</v>
      </c>
      <c r="Q2323" t="s">
        <v>30</v>
      </c>
      <c r="R2323">
        <v>2</v>
      </c>
      <c r="S2323" t="s">
        <v>37</v>
      </c>
      <c r="T2323" s="4">
        <f t="shared" si="184"/>
        <v>34397.53</v>
      </c>
      <c r="U2323" s="4" t="str">
        <f t="shared" si="185"/>
        <v>Average</v>
      </c>
      <c r="V2323" s="4" t="str">
        <f t="shared" si="181"/>
        <v>Low</v>
      </c>
      <c r="W2323" s="4"/>
      <c r="X2323" s="4"/>
      <c r="AJ2323" s="4"/>
    </row>
    <row r="2324" spans="1:36">
      <c r="A2324" t="str">
        <f t="shared" si="182"/>
        <v>Anit352323</v>
      </c>
      <c r="B2324">
        <v>2323</v>
      </c>
      <c r="C2324">
        <v>31</v>
      </c>
      <c r="D2324">
        <v>7</v>
      </c>
      <c r="E2324">
        <v>2023</v>
      </c>
      <c r="F2324" s="1">
        <f t="shared" si="183"/>
        <v>45138</v>
      </c>
      <c r="G2324" s="1" t="s">
        <v>683</v>
      </c>
      <c r="H2324" s="2">
        <v>46800</v>
      </c>
      <c r="I2324" t="s">
        <v>38</v>
      </c>
      <c r="J2324">
        <v>8</v>
      </c>
      <c r="K2324">
        <v>43648.74</v>
      </c>
      <c r="L2324" t="s">
        <v>810</v>
      </c>
      <c r="M2324">
        <v>35</v>
      </c>
      <c r="N2324" t="s">
        <v>21</v>
      </c>
      <c r="O2324" s="3" t="s">
        <v>22</v>
      </c>
      <c r="P2324" t="s">
        <v>29</v>
      </c>
      <c r="Q2324" t="s">
        <v>56</v>
      </c>
      <c r="R2324">
        <v>5</v>
      </c>
      <c r="S2324" t="s">
        <v>48</v>
      </c>
      <c r="T2324" s="4">
        <f t="shared" si="184"/>
        <v>349189.92</v>
      </c>
      <c r="U2324" s="4" t="str">
        <f t="shared" si="185"/>
        <v>Good</v>
      </c>
      <c r="V2324" s="4" t="str">
        <f t="shared" si="181"/>
        <v>Excellent</v>
      </c>
      <c r="W2324" s="4"/>
      <c r="X2324" s="4"/>
      <c r="AJ2324" s="4"/>
    </row>
    <row r="2325" spans="1:36">
      <c r="A2325" t="str">
        <f t="shared" si="182"/>
        <v>Mala352324</v>
      </c>
      <c r="B2325">
        <v>2324</v>
      </c>
      <c r="C2325">
        <v>31</v>
      </c>
      <c r="D2325">
        <v>7</v>
      </c>
      <c r="E2325">
        <v>2023</v>
      </c>
      <c r="F2325" s="1">
        <f t="shared" si="183"/>
        <v>45138</v>
      </c>
      <c r="G2325" s="1" t="s">
        <v>683</v>
      </c>
      <c r="H2325" s="2">
        <v>46801</v>
      </c>
      <c r="I2325" t="s">
        <v>49</v>
      </c>
      <c r="J2325">
        <v>3</v>
      </c>
      <c r="K2325">
        <v>23704.54</v>
      </c>
      <c r="L2325" t="s">
        <v>607</v>
      </c>
      <c r="M2325">
        <v>35</v>
      </c>
      <c r="N2325" t="s">
        <v>21</v>
      </c>
      <c r="O2325" s="3" t="s">
        <v>22</v>
      </c>
      <c r="P2325" t="s">
        <v>59</v>
      </c>
      <c r="Q2325" t="s">
        <v>24</v>
      </c>
      <c r="R2325">
        <v>5</v>
      </c>
      <c r="S2325" t="s">
        <v>88</v>
      </c>
      <c r="T2325" s="4">
        <f t="shared" si="184"/>
        <v>71113.62</v>
      </c>
      <c r="U2325" s="4" t="str">
        <f t="shared" si="185"/>
        <v>Good</v>
      </c>
      <c r="V2325" s="4" t="str">
        <f t="shared" si="181"/>
        <v>Average</v>
      </c>
      <c r="W2325" s="4"/>
      <c r="X2325" s="4"/>
      <c r="AJ2325" s="4"/>
    </row>
    <row r="2326" spans="1:36">
      <c r="A2326" t="str">
        <f t="shared" si="182"/>
        <v>Raje302325</v>
      </c>
      <c r="B2326">
        <v>2325</v>
      </c>
      <c r="C2326">
        <v>31</v>
      </c>
      <c r="D2326">
        <v>7</v>
      </c>
      <c r="E2326">
        <v>2023</v>
      </c>
      <c r="F2326" s="1">
        <f t="shared" si="183"/>
        <v>45138</v>
      </c>
      <c r="G2326" s="1" t="s">
        <v>683</v>
      </c>
      <c r="H2326" s="2">
        <v>46802</v>
      </c>
      <c r="I2326" t="s">
        <v>38</v>
      </c>
      <c r="J2326">
        <v>8</v>
      </c>
      <c r="K2326">
        <v>59332.67</v>
      </c>
      <c r="L2326" t="s">
        <v>285</v>
      </c>
      <c r="M2326">
        <v>30</v>
      </c>
      <c r="N2326" t="s">
        <v>36</v>
      </c>
      <c r="O2326" s="3" t="s">
        <v>28</v>
      </c>
      <c r="P2326" t="s">
        <v>117</v>
      </c>
      <c r="Q2326" t="s">
        <v>41</v>
      </c>
      <c r="R2326">
        <v>3</v>
      </c>
      <c r="S2326" t="s">
        <v>48</v>
      </c>
      <c r="T2326" s="4">
        <f t="shared" si="184"/>
        <v>474661.36</v>
      </c>
      <c r="U2326" s="4" t="str">
        <f t="shared" si="185"/>
        <v>Average</v>
      </c>
      <c r="V2326" s="4" t="str">
        <f t="shared" si="181"/>
        <v>Excellent</v>
      </c>
      <c r="W2326" s="4"/>
      <c r="X2326" s="4"/>
      <c r="AJ2326" s="4"/>
    </row>
    <row r="2327" spans="1:36">
      <c r="A2327" t="str">
        <f t="shared" si="182"/>
        <v>Raje392326</v>
      </c>
      <c r="B2327">
        <v>2326</v>
      </c>
      <c r="C2327">
        <v>31</v>
      </c>
      <c r="D2327">
        <v>7</v>
      </c>
      <c r="E2327">
        <v>2023</v>
      </c>
      <c r="F2327" s="1">
        <f t="shared" si="183"/>
        <v>45138</v>
      </c>
      <c r="G2327" s="1" t="s">
        <v>683</v>
      </c>
      <c r="H2327" s="2">
        <v>46803</v>
      </c>
      <c r="I2327" t="s">
        <v>49</v>
      </c>
      <c r="J2327">
        <v>4</v>
      </c>
      <c r="K2327">
        <v>27736.14</v>
      </c>
      <c r="L2327" t="s">
        <v>491</v>
      </c>
      <c r="M2327">
        <v>39</v>
      </c>
      <c r="N2327" t="s">
        <v>21</v>
      </c>
      <c r="O2327" s="3" t="s">
        <v>55</v>
      </c>
      <c r="P2327" t="s">
        <v>45</v>
      </c>
      <c r="Q2327" t="s">
        <v>24</v>
      </c>
      <c r="R2327">
        <v>2</v>
      </c>
      <c r="S2327" t="s">
        <v>88</v>
      </c>
      <c r="T2327" s="4">
        <f t="shared" si="184"/>
        <v>110944.56</v>
      </c>
      <c r="U2327" s="4" t="str">
        <f t="shared" si="185"/>
        <v>Average</v>
      </c>
      <c r="V2327" s="4" t="str">
        <f t="shared" si="181"/>
        <v>Good</v>
      </c>
      <c r="W2327" s="4"/>
      <c r="X2327" s="4"/>
      <c r="AJ2327" s="4"/>
    </row>
    <row r="2328" spans="1:36">
      <c r="A2328" t="str">
        <f t="shared" si="182"/>
        <v>Kavi312327</v>
      </c>
      <c r="B2328">
        <v>2327</v>
      </c>
      <c r="C2328">
        <v>1</v>
      </c>
      <c r="D2328">
        <v>8</v>
      </c>
      <c r="E2328">
        <v>2023</v>
      </c>
      <c r="F2328" s="1">
        <f t="shared" si="183"/>
        <v>45139</v>
      </c>
      <c r="G2328" s="1" t="s">
        <v>729</v>
      </c>
      <c r="H2328" s="2">
        <v>46804</v>
      </c>
      <c r="I2328" t="s">
        <v>43</v>
      </c>
      <c r="J2328">
        <v>8</v>
      </c>
      <c r="K2328">
        <v>52321.760000000002</v>
      </c>
      <c r="L2328" t="s">
        <v>211</v>
      </c>
      <c r="M2328">
        <v>31</v>
      </c>
      <c r="N2328" t="s">
        <v>21</v>
      </c>
      <c r="O2328" s="3" t="s">
        <v>55</v>
      </c>
      <c r="P2328" t="s">
        <v>114</v>
      </c>
      <c r="Q2328" t="s">
        <v>30</v>
      </c>
      <c r="R2328">
        <v>2</v>
      </c>
      <c r="S2328" t="s">
        <v>46</v>
      </c>
      <c r="T2328" s="4">
        <f t="shared" si="184"/>
        <v>418574.08000000002</v>
      </c>
      <c r="U2328" s="4" t="str">
        <f t="shared" si="185"/>
        <v>Average</v>
      </c>
      <c r="V2328" s="4" t="str">
        <f t="shared" si="181"/>
        <v>Excellent</v>
      </c>
      <c r="W2328" s="4"/>
      <c r="X2328" s="4"/>
      <c r="AJ2328" s="4"/>
    </row>
    <row r="2329" spans="1:36">
      <c r="A2329" t="str">
        <f t="shared" si="182"/>
        <v>Priy282328</v>
      </c>
      <c r="B2329">
        <v>2328</v>
      </c>
      <c r="C2329">
        <v>1</v>
      </c>
      <c r="D2329">
        <v>8</v>
      </c>
      <c r="E2329">
        <v>2023</v>
      </c>
      <c r="F2329" s="1">
        <f t="shared" si="183"/>
        <v>45139</v>
      </c>
      <c r="G2329" s="1" t="s">
        <v>729</v>
      </c>
      <c r="H2329" s="2">
        <v>46805</v>
      </c>
      <c r="I2329" t="s">
        <v>43</v>
      </c>
      <c r="J2329">
        <v>1</v>
      </c>
      <c r="K2329">
        <v>40792.94</v>
      </c>
      <c r="L2329" t="s">
        <v>812</v>
      </c>
      <c r="M2329">
        <v>28</v>
      </c>
      <c r="N2329" t="s">
        <v>36</v>
      </c>
      <c r="O2329" s="3" t="s">
        <v>22</v>
      </c>
      <c r="P2329" t="s">
        <v>33</v>
      </c>
      <c r="Q2329" t="s">
        <v>56</v>
      </c>
      <c r="R2329">
        <v>4</v>
      </c>
      <c r="S2329" t="s">
        <v>95</v>
      </c>
      <c r="T2329" s="4">
        <f t="shared" si="184"/>
        <v>40792.94</v>
      </c>
      <c r="U2329" s="4" t="str">
        <f t="shared" si="185"/>
        <v>Good</v>
      </c>
      <c r="V2329" s="4" t="str">
        <f t="shared" si="181"/>
        <v>Low</v>
      </c>
      <c r="W2329" s="4"/>
      <c r="X2329" s="4"/>
      <c r="AJ2329" s="4"/>
    </row>
    <row r="2330" spans="1:36">
      <c r="A2330" t="str">
        <f t="shared" si="182"/>
        <v>Ravi562329</v>
      </c>
      <c r="B2330">
        <v>2329</v>
      </c>
      <c r="C2330">
        <v>1</v>
      </c>
      <c r="D2330">
        <v>8</v>
      </c>
      <c r="E2330">
        <v>2023</v>
      </c>
      <c r="F2330" s="1">
        <f t="shared" si="183"/>
        <v>45139</v>
      </c>
      <c r="G2330" s="1" t="s">
        <v>729</v>
      </c>
      <c r="H2330" s="2">
        <v>46806</v>
      </c>
      <c r="I2330" t="s">
        <v>38</v>
      </c>
      <c r="J2330">
        <v>3</v>
      </c>
      <c r="K2330">
        <v>45153.86</v>
      </c>
      <c r="L2330" t="s">
        <v>622</v>
      </c>
      <c r="M2330">
        <v>56</v>
      </c>
      <c r="N2330" t="s">
        <v>61</v>
      </c>
      <c r="O2330" s="3" t="s">
        <v>22</v>
      </c>
      <c r="P2330" t="s">
        <v>33</v>
      </c>
      <c r="Q2330" t="s">
        <v>41</v>
      </c>
      <c r="R2330">
        <v>4</v>
      </c>
      <c r="S2330" t="s">
        <v>99</v>
      </c>
      <c r="T2330" s="4">
        <f t="shared" si="184"/>
        <v>135461.58000000002</v>
      </c>
      <c r="U2330" s="4" t="str">
        <f t="shared" si="185"/>
        <v>Good</v>
      </c>
      <c r="V2330" s="4" t="str">
        <f t="shared" si="181"/>
        <v>Good</v>
      </c>
      <c r="W2330" s="4"/>
      <c r="X2330" s="4"/>
      <c r="AJ2330" s="4"/>
    </row>
    <row r="2331" spans="1:36">
      <c r="A2331" t="str">
        <f t="shared" si="182"/>
        <v>Suni392330</v>
      </c>
      <c r="B2331">
        <v>2330</v>
      </c>
      <c r="C2331">
        <v>2</v>
      </c>
      <c r="D2331">
        <v>8</v>
      </c>
      <c r="E2331">
        <v>2023</v>
      </c>
      <c r="F2331" s="1">
        <f t="shared" si="183"/>
        <v>45140</v>
      </c>
      <c r="G2331" s="1" t="s">
        <v>729</v>
      </c>
      <c r="H2331" s="2">
        <v>46807</v>
      </c>
      <c r="I2331" t="s">
        <v>26</v>
      </c>
      <c r="J2331">
        <v>6</v>
      </c>
      <c r="K2331">
        <v>20776.52</v>
      </c>
      <c r="L2331" t="s">
        <v>270</v>
      </c>
      <c r="M2331">
        <v>39</v>
      </c>
      <c r="N2331" t="s">
        <v>21</v>
      </c>
      <c r="O2331" s="3" t="s">
        <v>22</v>
      </c>
      <c r="P2331" t="s">
        <v>29</v>
      </c>
      <c r="Q2331" t="s">
        <v>41</v>
      </c>
      <c r="R2331">
        <v>5</v>
      </c>
      <c r="S2331" t="s">
        <v>31</v>
      </c>
      <c r="T2331" s="4">
        <f t="shared" si="184"/>
        <v>124659.12</v>
      </c>
      <c r="U2331" s="4" t="str">
        <f t="shared" si="185"/>
        <v>Good</v>
      </c>
      <c r="V2331" s="4" t="str">
        <f t="shared" si="181"/>
        <v>Good</v>
      </c>
      <c r="W2331" s="4"/>
      <c r="X2331" s="4"/>
      <c r="AJ2331" s="4"/>
    </row>
    <row r="2332" spans="1:36">
      <c r="A2332" t="str">
        <f t="shared" si="182"/>
        <v>Pras532331</v>
      </c>
      <c r="B2332">
        <v>2331</v>
      </c>
      <c r="C2332">
        <v>2</v>
      </c>
      <c r="D2332">
        <v>8</v>
      </c>
      <c r="E2332">
        <v>2023</v>
      </c>
      <c r="F2332" s="1">
        <f t="shared" si="183"/>
        <v>45140</v>
      </c>
      <c r="G2332" s="1" t="s">
        <v>729</v>
      </c>
      <c r="H2332" s="2">
        <v>46808</v>
      </c>
      <c r="I2332" t="s">
        <v>49</v>
      </c>
      <c r="J2332">
        <v>9</v>
      </c>
      <c r="K2332">
        <v>54101.39</v>
      </c>
      <c r="L2332" t="s">
        <v>803</v>
      </c>
      <c r="M2332">
        <v>53</v>
      </c>
      <c r="N2332" t="s">
        <v>61</v>
      </c>
      <c r="O2332" s="3" t="s">
        <v>55</v>
      </c>
      <c r="P2332" t="s">
        <v>114</v>
      </c>
      <c r="Q2332" t="s">
        <v>30</v>
      </c>
      <c r="R2332">
        <v>2</v>
      </c>
      <c r="S2332" t="s">
        <v>52</v>
      </c>
      <c r="T2332" s="4">
        <f t="shared" si="184"/>
        <v>486912.51</v>
      </c>
      <c r="U2332" s="4" t="str">
        <f t="shared" si="185"/>
        <v>Average</v>
      </c>
      <c r="V2332" s="4" t="str">
        <f t="shared" si="181"/>
        <v>Excellent</v>
      </c>
      <c r="W2332" s="4"/>
      <c r="X2332" s="4"/>
      <c r="AJ2332" s="4"/>
    </row>
    <row r="2333" spans="1:36">
      <c r="A2333" t="str">
        <f t="shared" si="182"/>
        <v>Nikh342332</v>
      </c>
      <c r="B2333">
        <v>2332</v>
      </c>
      <c r="C2333">
        <v>2</v>
      </c>
      <c r="D2333">
        <v>8</v>
      </c>
      <c r="E2333">
        <v>2023</v>
      </c>
      <c r="F2333" s="1">
        <f t="shared" si="183"/>
        <v>45140</v>
      </c>
      <c r="G2333" s="1" t="s">
        <v>729</v>
      </c>
      <c r="H2333" s="2">
        <v>46809</v>
      </c>
      <c r="I2333" t="s">
        <v>19</v>
      </c>
      <c r="J2333">
        <v>2</v>
      </c>
      <c r="K2333">
        <v>21317.23</v>
      </c>
      <c r="L2333" t="s">
        <v>667</v>
      </c>
      <c r="M2333">
        <v>34</v>
      </c>
      <c r="N2333" t="s">
        <v>21</v>
      </c>
      <c r="O2333" s="3" t="s">
        <v>55</v>
      </c>
      <c r="P2333" t="s">
        <v>114</v>
      </c>
      <c r="Q2333" t="s">
        <v>41</v>
      </c>
      <c r="R2333">
        <v>2</v>
      </c>
      <c r="S2333" t="s">
        <v>84</v>
      </c>
      <c r="T2333" s="4">
        <f t="shared" si="184"/>
        <v>42634.46</v>
      </c>
      <c r="U2333" s="4" t="str">
        <f t="shared" si="185"/>
        <v>Average</v>
      </c>
      <c r="V2333" s="4" t="str">
        <f t="shared" si="181"/>
        <v>Low</v>
      </c>
      <c r="W2333" s="4"/>
      <c r="X2333" s="4"/>
      <c r="AJ2333" s="4"/>
    </row>
    <row r="2334" spans="1:36">
      <c r="A2334" t="str">
        <f t="shared" si="182"/>
        <v>Priy492333</v>
      </c>
      <c r="B2334">
        <v>2333</v>
      </c>
      <c r="C2334">
        <v>3</v>
      </c>
      <c r="D2334">
        <v>8</v>
      </c>
      <c r="E2334">
        <v>2023</v>
      </c>
      <c r="F2334" s="1">
        <f t="shared" si="183"/>
        <v>45141</v>
      </c>
      <c r="G2334" s="1" t="s">
        <v>729</v>
      </c>
      <c r="H2334" s="2">
        <v>46810</v>
      </c>
      <c r="I2334" t="s">
        <v>38</v>
      </c>
      <c r="J2334">
        <v>1</v>
      </c>
      <c r="K2334">
        <v>16808.419999999998</v>
      </c>
      <c r="L2334" t="s">
        <v>991</v>
      </c>
      <c r="M2334">
        <v>49</v>
      </c>
      <c r="N2334" t="s">
        <v>61</v>
      </c>
      <c r="O2334" s="3" t="s">
        <v>22</v>
      </c>
      <c r="P2334" t="s">
        <v>132</v>
      </c>
      <c r="Q2334" t="s">
        <v>24</v>
      </c>
      <c r="R2334">
        <v>5</v>
      </c>
      <c r="S2334" t="s">
        <v>42</v>
      </c>
      <c r="T2334" s="4">
        <f t="shared" si="184"/>
        <v>16808.419999999998</v>
      </c>
      <c r="U2334" s="4" t="str">
        <f t="shared" si="185"/>
        <v>Good</v>
      </c>
      <c r="V2334" s="4" t="str">
        <f t="shared" si="181"/>
        <v>Low</v>
      </c>
      <c r="W2334" s="4"/>
      <c r="X2334" s="4"/>
      <c r="AJ2334" s="4"/>
    </row>
    <row r="2335" spans="1:36">
      <c r="A2335" t="str">
        <f t="shared" si="182"/>
        <v>Sach312334</v>
      </c>
      <c r="B2335">
        <v>2334</v>
      </c>
      <c r="C2335">
        <v>3</v>
      </c>
      <c r="D2335">
        <v>8</v>
      </c>
      <c r="E2335">
        <v>2023</v>
      </c>
      <c r="F2335" s="1">
        <f t="shared" si="183"/>
        <v>45141</v>
      </c>
      <c r="G2335" s="1" t="s">
        <v>729</v>
      </c>
      <c r="H2335" s="2">
        <v>46811</v>
      </c>
      <c r="I2335" t="s">
        <v>19</v>
      </c>
      <c r="J2335">
        <v>3</v>
      </c>
      <c r="K2335">
        <v>42800.77</v>
      </c>
      <c r="L2335" t="s">
        <v>183</v>
      </c>
      <c r="M2335">
        <v>31</v>
      </c>
      <c r="N2335" t="s">
        <v>21</v>
      </c>
      <c r="O2335" s="3" t="s">
        <v>55</v>
      </c>
      <c r="P2335" t="s">
        <v>29</v>
      </c>
      <c r="Q2335" t="s">
        <v>30</v>
      </c>
      <c r="R2335">
        <v>2</v>
      </c>
      <c r="S2335" t="s">
        <v>84</v>
      </c>
      <c r="T2335" s="4">
        <f t="shared" si="184"/>
        <v>128402.31</v>
      </c>
      <c r="U2335" s="4" t="str">
        <f t="shared" si="185"/>
        <v>Average</v>
      </c>
      <c r="V2335" s="4" t="str">
        <f t="shared" si="181"/>
        <v>Good</v>
      </c>
      <c r="W2335" s="4"/>
      <c r="X2335" s="4"/>
      <c r="AJ2335" s="4"/>
    </row>
    <row r="2336" spans="1:36">
      <c r="A2336" t="str">
        <f t="shared" si="182"/>
        <v>Priy592335</v>
      </c>
      <c r="B2336">
        <v>2335</v>
      </c>
      <c r="C2336">
        <v>3</v>
      </c>
      <c r="D2336">
        <v>8</v>
      </c>
      <c r="E2336">
        <v>2023</v>
      </c>
      <c r="F2336" s="1">
        <f t="shared" si="183"/>
        <v>45141</v>
      </c>
      <c r="G2336" s="1" t="s">
        <v>729</v>
      </c>
      <c r="H2336" s="2">
        <v>46812</v>
      </c>
      <c r="I2336" t="s">
        <v>38</v>
      </c>
      <c r="J2336">
        <v>4</v>
      </c>
      <c r="K2336">
        <v>52557.83</v>
      </c>
      <c r="L2336" t="s">
        <v>936</v>
      </c>
      <c r="M2336">
        <v>59</v>
      </c>
      <c r="N2336" t="s">
        <v>61</v>
      </c>
      <c r="O2336" s="3" t="s">
        <v>55</v>
      </c>
      <c r="P2336" t="s">
        <v>40</v>
      </c>
      <c r="Q2336" t="s">
        <v>30</v>
      </c>
      <c r="R2336">
        <v>2</v>
      </c>
      <c r="S2336" t="s">
        <v>99</v>
      </c>
      <c r="T2336" s="4">
        <f t="shared" si="184"/>
        <v>210231.32</v>
      </c>
      <c r="U2336" s="4" t="str">
        <f t="shared" si="185"/>
        <v>Average</v>
      </c>
      <c r="V2336" s="4" t="str">
        <f t="shared" si="181"/>
        <v>Excellent</v>
      </c>
      <c r="W2336" s="4"/>
      <c r="X2336" s="4"/>
      <c r="AJ2336" s="4"/>
    </row>
    <row r="2337" spans="1:36">
      <c r="A2337" t="str">
        <f t="shared" si="182"/>
        <v>Moni462336</v>
      </c>
      <c r="B2337">
        <v>2336</v>
      </c>
      <c r="C2337">
        <v>3</v>
      </c>
      <c r="D2337">
        <v>8</v>
      </c>
      <c r="E2337">
        <v>2023</v>
      </c>
      <c r="F2337" s="1">
        <f t="shared" si="183"/>
        <v>45141</v>
      </c>
      <c r="G2337" s="1" t="s">
        <v>729</v>
      </c>
      <c r="H2337" s="2">
        <v>46813</v>
      </c>
      <c r="I2337" t="s">
        <v>26</v>
      </c>
      <c r="J2337">
        <v>5</v>
      </c>
      <c r="K2337">
        <v>13002.15</v>
      </c>
      <c r="L2337" t="s">
        <v>744</v>
      </c>
      <c r="M2337">
        <v>46</v>
      </c>
      <c r="N2337" t="s">
        <v>61</v>
      </c>
      <c r="O2337" s="3" t="s">
        <v>22</v>
      </c>
      <c r="P2337" t="s">
        <v>114</v>
      </c>
      <c r="Q2337" t="s">
        <v>41</v>
      </c>
      <c r="R2337">
        <v>4</v>
      </c>
      <c r="S2337" t="s">
        <v>67</v>
      </c>
      <c r="T2337" s="4">
        <f t="shared" si="184"/>
        <v>65010.75</v>
      </c>
      <c r="U2337" s="4" t="str">
        <f t="shared" si="185"/>
        <v>Good</v>
      </c>
      <c r="V2337" s="4" t="str">
        <f t="shared" si="181"/>
        <v>Average</v>
      </c>
      <c r="W2337" s="4"/>
      <c r="X2337" s="4"/>
      <c r="AJ2337" s="4"/>
    </row>
    <row r="2338" spans="1:36">
      <c r="A2338" t="str">
        <f t="shared" si="182"/>
        <v>Ravi232337</v>
      </c>
      <c r="B2338">
        <v>2337</v>
      </c>
      <c r="C2338">
        <v>4</v>
      </c>
      <c r="D2338">
        <v>8</v>
      </c>
      <c r="E2338">
        <v>2023</v>
      </c>
      <c r="F2338" s="1">
        <f t="shared" si="183"/>
        <v>45142</v>
      </c>
      <c r="G2338" s="1" t="s">
        <v>729</v>
      </c>
      <c r="H2338" s="2">
        <v>46814</v>
      </c>
      <c r="I2338" t="s">
        <v>26</v>
      </c>
      <c r="J2338">
        <v>3</v>
      </c>
      <c r="K2338">
        <v>14163.72</v>
      </c>
      <c r="L2338" t="s">
        <v>937</v>
      </c>
      <c r="M2338">
        <v>23</v>
      </c>
      <c r="N2338" t="s">
        <v>36</v>
      </c>
      <c r="O2338" s="3" t="s">
        <v>22</v>
      </c>
      <c r="P2338" t="s">
        <v>117</v>
      </c>
      <c r="Q2338" t="s">
        <v>30</v>
      </c>
      <c r="R2338">
        <v>4</v>
      </c>
      <c r="S2338" t="s">
        <v>67</v>
      </c>
      <c r="T2338" s="4">
        <f t="shared" si="184"/>
        <v>42491.159999999996</v>
      </c>
      <c r="U2338" s="4" t="str">
        <f t="shared" si="185"/>
        <v>Good</v>
      </c>
      <c r="V2338" s="4" t="str">
        <f t="shared" si="181"/>
        <v>Low</v>
      </c>
      <c r="W2338" s="4"/>
      <c r="X2338" s="4"/>
      <c r="AJ2338" s="4"/>
    </row>
    <row r="2339" spans="1:36">
      <c r="A2339" t="str">
        <f t="shared" si="182"/>
        <v>Kris212338</v>
      </c>
      <c r="B2339">
        <v>2338</v>
      </c>
      <c r="C2339">
        <v>4</v>
      </c>
      <c r="D2339">
        <v>8</v>
      </c>
      <c r="E2339">
        <v>2023</v>
      </c>
      <c r="F2339" s="1">
        <f t="shared" si="183"/>
        <v>45142</v>
      </c>
      <c r="G2339" s="1" t="s">
        <v>729</v>
      </c>
      <c r="H2339" s="2">
        <v>46815</v>
      </c>
      <c r="I2339" t="s">
        <v>26</v>
      </c>
      <c r="J2339">
        <v>2</v>
      </c>
      <c r="K2339">
        <v>58160.75</v>
      </c>
      <c r="L2339" t="s">
        <v>987</v>
      </c>
      <c r="M2339">
        <v>21</v>
      </c>
      <c r="N2339" t="s">
        <v>36</v>
      </c>
      <c r="O2339" s="3" t="s">
        <v>22</v>
      </c>
      <c r="P2339" t="s">
        <v>29</v>
      </c>
      <c r="Q2339" t="s">
        <v>56</v>
      </c>
      <c r="R2339">
        <v>5</v>
      </c>
      <c r="S2339" t="s">
        <v>34</v>
      </c>
      <c r="T2339" s="4">
        <f t="shared" si="184"/>
        <v>116321.5</v>
      </c>
      <c r="U2339" s="4" t="str">
        <f t="shared" si="185"/>
        <v>Good</v>
      </c>
      <c r="V2339" s="4" t="str">
        <f t="shared" si="181"/>
        <v>Good</v>
      </c>
      <c r="W2339" s="4"/>
      <c r="X2339" s="4"/>
      <c r="AJ2339" s="4"/>
    </row>
    <row r="2340" spans="1:36">
      <c r="A2340" t="str">
        <f t="shared" si="182"/>
        <v>Rame282339</v>
      </c>
      <c r="B2340">
        <v>2339</v>
      </c>
      <c r="C2340">
        <v>4</v>
      </c>
      <c r="D2340">
        <v>8</v>
      </c>
      <c r="E2340">
        <v>2023</v>
      </c>
      <c r="F2340" s="1">
        <f t="shared" si="183"/>
        <v>45142</v>
      </c>
      <c r="G2340" s="1" t="s">
        <v>729</v>
      </c>
      <c r="H2340" s="2">
        <v>46816</v>
      </c>
      <c r="I2340" t="s">
        <v>26</v>
      </c>
      <c r="J2340">
        <v>2</v>
      </c>
      <c r="K2340">
        <v>58541.96</v>
      </c>
      <c r="L2340" t="s">
        <v>338</v>
      </c>
      <c r="M2340">
        <v>28</v>
      </c>
      <c r="N2340" t="s">
        <v>36</v>
      </c>
      <c r="O2340" s="3" t="s">
        <v>55</v>
      </c>
      <c r="P2340" t="s">
        <v>29</v>
      </c>
      <c r="Q2340" t="s">
        <v>24</v>
      </c>
      <c r="R2340">
        <v>2</v>
      </c>
      <c r="S2340" t="s">
        <v>67</v>
      </c>
      <c r="T2340" s="4">
        <f t="shared" si="184"/>
        <v>117083.92</v>
      </c>
      <c r="U2340" s="4" t="str">
        <f t="shared" si="185"/>
        <v>Average</v>
      </c>
      <c r="V2340" s="4" t="str">
        <f t="shared" si="181"/>
        <v>Good</v>
      </c>
      <c r="W2340" s="4"/>
      <c r="X2340" s="4"/>
      <c r="AJ2340" s="4"/>
    </row>
    <row r="2341" spans="1:36">
      <c r="A2341" t="str">
        <f t="shared" si="182"/>
        <v>Kira572340</v>
      </c>
      <c r="B2341">
        <v>2340</v>
      </c>
      <c r="C2341">
        <v>5</v>
      </c>
      <c r="D2341">
        <v>8</v>
      </c>
      <c r="E2341">
        <v>2023</v>
      </c>
      <c r="F2341" s="1">
        <f t="shared" si="183"/>
        <v>45143</v>
      </c>
      <c r="G2341" s="1" t="s">
        <v>729</v>
      </c>
      <c r="H2341" s="2">
        <v>46817</v>
      </c>
      <c r="I2341" t="s">
        <v>43</v>
      </c>
      <c r="J2341">
        <v>7</v>
      </c>
      <c r="K2341">
        <v>24718.28</v>
      </c>
      <c r="L2341" t="s">
        <v>610</v>
      </c>
      <c r="M2341">
        <v>57</v>
      </c>
      <c r="N2341" t="s">
        <v>61</v>
      </c>
      <c r="O2341" s="3" t="s">
        <v>22</v>
      </c>
      <c r="P2341" t="s">
        <v>29</v>
      </c>
      <c r="Q2341" t="s">
        <v>30</v>
      </c>
      <c r="R2341">
        <v>4</v>
      </c>
      <c r="S2341" t="s">
        <v>46</v>
      </c>
      <c r="T2341" s="4">
        <f t="shared" si="184"/>
        <v>173027.96</v>
      </c>
      <c r="U2341" s="4" t="str">
        <f t="shared" si="185"/>
        <v>Good</v>
      </c>
      <c r="V2341" s="4" t="str">
        <f t="shared" si="181"/>
        <v>Good</v>
      </c>
      <c r="W2341" s="4"/>
      <c r="X2341" s="4"/>
      <c r="AJ2341" s="4"/>
    </row>
    <row r="2342" spans="1:36">
      <c r="A2342" t="str">
        <f t="shared" si="182"/>
        <v>Tapa272341</v>
      </c>
      <c r="B2342">
        <v>2341</v>
      </c>
      <c r="C2342">
        <v>5</v>
      </c>
      <c r="D2342">
        <v>8</v>
      </c>
      <c r="E2342">
        <v>2023</v>
      </c>
      <c r="F2342" s="1">
        <f t="shared" si="183"/>
        <v>45143</v>
      </c>
      <c r="G2342" s="1" t="s">
        <v>729</v>
      </c>
      <c r="H2342" s="2">
        <v>46818</v>
      </c>
      <c r="I2342" t="s">
        <v>43</v>
      </c>
      <c r="J2342">
        <v>9</v>
      </c>
      <c r="K2342">
        <v>46913.69</v>
      </c>
      <c r="L2342" t="s">
        <v>282</v>
      </c>
      <c r="M2342">
        <v>27</v>
      </c>
      <c r="N2342" t="s">
        <v>36</v>
      </c>
      <c r="O2342" s="3" t="s">
        <v>55</v>
      </c>
      <c r="P2342" t="s">
        <v>64</v>
      </c>
      <c r="Q2342" t="s">
        <v>56</v>
      </c>
      <c r="R2342">
        <v>2</v>
      </c>
      <c r="S2342" t="s">
        <v>95</v>
      </c>
      <c r="T2342" s="4">
        <f t="shared" si="184"/>
        <v>422223.21</v>
      </c>
      <c r="U2342" s="4" t="str">
        <f t="shared" si="185"/>
        <v>Average</v>
      </c>
      <c r="V2342" s="4" t="str">
        <f t="shared" si="181"/>
        <v>Excellent</v>
      </c>
      <c r="W2342" s="4"/>
      <c r="X2342" s="4"/>
      <c r="AJ2342" s="4"/>
    </row>
    <row r="2343" spans="1:36">
      <c r="A2343" t="str">
        <f t="shared" si="182"/>
        <v>Amit452342</v>
      </c>
      <c r="B2343">
        <v>2342</v>
      </c>
      <c r="C2343">
        <v>5</v>
      </c>
      <c r="D2343">
        <v>8</v>
      </c>
      <c r="E2343">
        <v>2023</v>
      </c>
      <c r="F2343" s="1">
        <f t="shared" si="183"/>
        <v>45143</v>
      </c>
      <c r="G2343" s="1" t="s">
        <v>729</v>
      </c>
      <c r="H2343" s="2">
        <v>46819</v>
      </c>
      <c r="I2343" t="s">
        <v>49</v>
      </c>
      <c r="J2343">
        <v>2</v>
      </c>
      <c r="K2343">
        <v>36590.800000000003</v>
      </c>
      <c r="L2343" t="s">
        <v>636</v>
      </c>
      <c r="M2343">
        <v>45</v>
      </c>
      <c r="N2343" t="s">
        <v>21</v>
      </c>
      <c r="O2343" s="3" t="s">
        <v>22</v>
      </c>
      <c r="P2343" t="s">
        <v>150</v>
      </c>
      <c r="Q2343" t="s">
        <v>41</v>
      </c>
      <c r="R2343">
        <v>5</v>
      </c>
      <c r="S2343" t="s">
        <v>52</v>
      </c>
      <c r="T2343" s="4">
        <f t="shared" si="184"/>
        <v>73181.600000000006</v>
      </c>
      <c r="U2343" s="4" t="str">
        <f t="shared" si="185"/>
        <v>Good</v>
      </c>
      <c r="V2343" s="4" t="str">
        <f t="shared" si="181"/>
        <v>Average</v>
      </c>
      <c r="W2343" s="4"/>
      <c r="X2343" s="4"/>
      <c r="AJ2343" s="4"/>
    </row>
    <row r="2344" spans="1:36">
      <c r="A2344" t="str">
        <f t="shared" si="182"/>
        <v>Tapa282343</v>
      </c>
      <c r="B2344">
        <v>2343</v>
      </c>
      <c r="C2344">
        <v>6</v>
      </c>
      <c r="D2344">
        <v>8</v>
      </c>
      <c r="E2344">
        <v>2023</v>
      </c>
      <c r="F2344" s="1">
        <f t="shared" si="183"/>
        <v>45144</v>
      </c>
      <c r="G2344" s="1" t="s">
        <v>729</v>
      </c>
      <c r="H2344" s="2">
        <v>46820</v>
      </c>
      <c r="I2344" t="s">
        <v>19</v>
      </c>
      <c r="J2344">
        <v>7</v>
      </c>
      <c r="K2344">
        <v>47961.760000000002</v>
      </c>
      <c r="L2344" t="s">
        <v>371</v>
      </c>
      <c r="M2344">
        <v>28</v>
      </c>
      <c r="N2344" t="s">
        <v>36</v>
      </c>
      <c r="O2344" s="3" t="s">
        <v>28</v>
      </c>
      <c r="P2344" t="s">
        <v>132</v>
      </c>
      <c r="Q2344" t="s">
        <v>30</v>
      </c>
      <c r="R2344">
        <v>3</v>
      </c>
      <c r="S2344" t="s">
        <v>37</v>
      </c>
      <c r="T2344" s="4">
        <f t="shared" si="184"/>
        <v>335732.32</v>
      </c>
      <c r="U2344" s="4" t="str">
        <f t="shared" si="185"/>
        <v>Average</v>
      </c>
      <c r="V2344" s="4" t="str">
        <f t="shared" si="181"/>
        <v>Excellent</v>
      </c>
      <c r="W2344" s="4"/>
      <c r="X2344" s="4"/>
      <c r="AJ2344" s="4"/>
    </row>
    <row r="2345" spans="1:36">
      <c r="A2345" t="str">
        <f t="shared" si="182"/>
        <v>Reen522344</v>
      </c>
      <c r="B2345">
        <v>2344</v>
      </c>
      <c r="C2345">
        <v>6</v>
      </c>
      <c r="D2345">
        <v>8</v>
      </c>
      <c r="E2345">
        <v>2023</v>
      </c>
      <c r="F2345" s="1">
        <f t="shared" si="183"/>
        <v>45144</v>
      </c>
      <c r="G2345" s="1" t="s">
        <v>729</v>
      </c>
      <c r="H2345" s="2">
        <v>46821</v>
      </c>
      <c r="I2345" t="s">
        <v>38</v>
      </c>
      <c r="J2345">
        <v>7</v>
      </c>
      <c r="K2345">
        <v>61772.76</v>
      </c>
      <c r="L2345" t="s">
        <v>968</v>
      </c>
      <c r="M2345">
        <v>52</v>
      </c>
      <c r="N2345" t="s">
        <v>61</v>
      </c>
      <c r="O2345" s="3" t="s">
        <v>55</v>
      </c>
      <c r="P2345" t="s">
        <v>29</v>
      </c>
      <c r="Q2345" t="s">
        <v>56</v>
      </c>
      <c r="R2345">
        <v>2</v>
      </c>
      <c r="S2345" t="s">
        <v>48</v>
      </c>
      <c r="T2345" s="4">
        <f t="shared" si="184"/>
        <v>432409.32</v>
      </c>
      <c r="U2345" s="4" t="str">
        <f t="shared" si="185"/>
        <v>Average</v>
      </c>
      <c r="V2345" s="4" t="str">
        <f t="shared" si="181"/>
        <v>Excellent</v>
      </c>
      <c r="W2345" s="4"/>
      <c r="X2345" s="4"/>
      <c r="AJ2345" s="4"/>
    </row>
    <row r="2346" spans="1:36">
      <c r="A2346" t="str">
        <f t="shared" si="182"/>
        <v>Kuna322345</v>
      </c>
      <c r="B2346">
        <v>2345</v>
      </c>
      <c r="C2346">
        <v>6</v>
      </c>
      <c r="D2346">
        <v>8</v>
      </c>
      <c r="E2346">
        <v>2023</v>
      </c>
      <c r="F2346" s="1">
        <f t="shared" si="183"/>
        <v>45144</v>
      </c>
      <c r="G2346" s="1" t="s">
        <v>729</v>
      </c>
      <c r="H2346" s="2">
        <v>46822</v>
      </c>
      <c r="I2346" t="s">
        <v>38</v>
      </c>
      <c r="J2346">
        <v>7</v>
      </c>
      <c r="K2346">
        <v>14791.39</v>
      </c>
      <c r="L2346" t="s">
        <v>443</v>
      </c>
      <c r="M2346">
        <v>32</v>
      </c>
      <c r="N2346" t="s">
        <v>21</v>
      </c>
      <c r="O2346" s="3" t="s">
        <v>55</v>
      </c>
      <c r="P2346" t="s">
        <v>40</v>
      </c>
      <c r="Q2346" t="s">
        <v>41</v>
      </c>
      <c r="R2346">
        <v>2</v>
      </c>
      <c r="S2346" t="s">
        <v>42</v>
      </c>
      <c r="T2346" s="4">
        <f t="shared" si="184"/>
        <v>103539.73</v>
      </c>
      <c r="U2346" s="4" t="str">
        <f t="shared" si="185"/>
        <v>Average</v>
      </c>
      <c r="V2346" s="4" t="str">
        <f t="shared" si="181"/>
        <v>Good</v>
      </c>
      <c r="W2346" s="4"/>
      <c r="X2346" s="4"/>
      <c r="AJ2346" s="4"/>
    </row>
    <row r="2347" spans="1:36">
      <c r="A2347" t="str">
        <f t="shared" si="182"/>
        <v>Kris252346</v>
      </c>
      <c r="B2347">
        <v>2346</v>
      </c>
      <c r="C2347">
        <v>6</v>
      </c>
      <c r="D2347">
        <v>8</v>
      </c>
      <c r="E2347">
        <v>2023</v>
      </c>
      <c r="F2347" s="1">
        <f t="shared" si="183"/>
        <v>45144</v>
      </c>
      <c r="G2347" s="1" t="s">
        <v>729</v>
      </c>
      <c r="H2347" s="2">
        <v>46823</v>
      </c>
      <c r="I2347" t="s">
        <v>43</v>
      </c>
      <c r="J2347">
        <v>3</v>
      </c>
      <c r="K2347">
        <v>56679.07</v>
      </c>
      <c r="L2347" t="s">
        <v>644</v>
      </c>
      <c r="M2347">
        <v>25</v>
      </c>
      <c r="N2347" t="s">
        <v>36</v>
      </c>
      <c r="O2347" s="3" t="s">
        <v>22</v>
      </c>
      <c r="P2347" t="s">
        <v>45</v>
      </c>
      <c r="Q2347" t="s">
        <v>56</v>
      </c>
      <c r="R2347">
        <v>5</v>
      </c>
      <c r="S2347" t="s">
        <v>57</v>
      </c>
      <c r="T2347" s="4">
        <f t="shared" si="184"/>
        <v>170037.21</v>
      </c>
      <c r="U2347" s="4" t="str">
        <f t="shared" si="185"/>
        <v>Good</v>
      </c>
      <c r="V2347" s="4" t="str">
        <f t="shared" si="181"/>
        <v>Good</v>
      </c>
      <c r="W2347" s="4"/>
      <c r="X2347" s="4"/>
      <c r="AJ2347" s="4"/>
    </row>
    <row r="2348" spans="1:36">
      <c r="A2348" t="str">
        <f t="shared" si="182"/>
        <v>Anan372347</v>
      </c>
      <c r="B2348">
        <v>2347</v>
      </c>
      <c r="C2348">
        <v>7</v>
      </c>
      <c r="D2348">
        <v>8</v>
      </c>
      <c r="E2348">
        <v>2023</v>
      </c>
      <c r="F2348" s="1">
        <f t="shared" si="183"/>
        <v>45145</v>
      </c>
      <c r="G2348" s="1" t="s">
        <v>729</v>
      </c>
      <c r="H2348" s="2">
        <v>46824</v>
      </c>
      <c r="I2348" t="s">
        <v>38</v>
      </c>
      <c r="J2348">
        <v>7</v>
      </c>
      <c r="K2348">
        <v>39581.75</v>
      </c>
      <c r="L2348" t="s">
        <v>418</v>
      </c>
      <c r="M2348">
        <v>37</v>
      </c>
      <c r="N2348" t="s">
        <v>21</v>
      </c>
      <c r="O2348" s="3" t="s">
        <v>28</v>
      </c>
      <c r="P2348" t="s">
        <v>23</v>
      </c>
      <c r="Q2348" t="s">
        <v>41</v>
      </c>
      <c r="R2348">
        <v>3</v>
      </c>
      <c r="S2348" t="s">
        <v>42</v>
      </c>
      <c r="T2348" s="4">
        <f t="shared" si="184"/>
        <v>277072.25</v>
      </c>
      <c r="U2348" s="4" t="str">
        <f t="shared" si="185"/>
        <v>Average</v>
      </c>
      <c r="V2348" s="4" t="str">
        <f t="shared" si="181"/>
        <v>Excellent</v>
      </c>
      <c r="W2348" s="4"/>
      <c r="X2348" s="4"/>
      <c r="AJ2348" s="4"/>
    </row>
    <row r="2349" spans="1:36">
      <c r="A2349" t="str">
        <f t="shared" si="182"/>
        <v>Amit382348</v>
      </c>
      <c r="B2349">
        <v>2348</v>
      </c>
      <c r="C2349">
        <v>7</v>
      </c>
      <c r="D2349">
        <v>8</v>
      </c>
      <c r="E2349">
        <v>2023</v>
      </c>
      <c r="F2349" s="1">
        <f t="shared" si="183"/>
        <v>45145</v>
      </c>
      <c r="G2349" s="1" t="s">
        <v>729</v>
      </c>
      <c r="H2349" s="2">
        <v>46825</v>
      </c>
      <c r="I2349" t="s">
        <v>43</v>
      </c>
      <c r="J2349">
        <v>1</v>
      </c>
      <c r="K2349">
        <v>43847.62</v>
      </c>
      <c r="L2349" t="s">
        <v>296</v>
      </c>
      <c r="M2349">
        <v>38</v>
      </c>
      <c r="N2349" t="s">
        <v>21</v>
      </c>
      <c r="O2349" s="3" t="s">
        <v>22</v>
      </c>
      <c r="P2349" t="s">
        <v>114</v>
      </c>
      <c r="Q2349" t="s">
        <v>24</v>
      </c>
      <c r="R2349">
        <v>4</v>
      </c>
      <c r="S2349" t="s">
        <v>46</v>
      </c>
      <c r="T2349" s="4">
        <f t="shared" si="184"/>
        <v>43847.62</v>
      </c>
      <c r="U2349" s="4" t="str">
        <f t="shared" si="185"/>
        <v>Good</v>
      </c>
      <c r="V2349" s="4" t="str">
        <f t="shared" si="181"/>
        <v>Low</v>
      </c>
      <c r="W2349" s="4"/>
      <c r="X2349" s="4"/>
      <c r="AJ2349" s="4"/>
    </row>
    <row r="2350" spans="1:36">
      <c r="A2350" t="str">
        <f t="shared" si="182"/>
        <v>Bhav182349</v>
      </c>
      <c r="B2350">
        <v>2349</v>
      </c>
      <c r="C2350">
        <v>7</v>
      </c>
      <c r="D2350">
        <v>8</v>
      </c>
      <c r="E2350">
        <v>2023</v>
      </c>
      <c r="F2350" s="1">
        <f t="shared" si="183"/>
        <v>45145</v>
      </c>
      <c r="G2350" s="1" t="s">
        <v>729</v>
      </c>
      <c r="H2350" s="2">
        <v>46826</v>
      </c>
      <c r="I2350" t="s">
        <v>49</v>
      </c>
      <c r="J2350">
        <v>1</v>
      </c>
      <c r="K2350">
        <v>49235.88</v>
      </c>
      <c r="L2350" t="s">
        <v>504</v>
      </c>
      <c r="M2350">
        <v>18</v>
      </c>
      <c r="N2350" t="s">
        <v>36</v>
      </c>
      <c r="O2350" s="3" t="s">
        <v>55</v>
      </c>
      <c r="P2350" t="s">
        <v>29</v>
      </c>
      <c r="Q2350" t="s">
        <v>30</v>
      </c>
      <c r="R2350">
        <v>2</v>
      </c>
      <c r="S2350" t="s">
        <v>88</v>
      </c>
      <c r="T2350" s="4">
        <f t="shared" si="184"/>
        <v>49235.88</v>
      </c>
      <c r="U2350" s="4" t="str">
        <f t="shared" si="185"/>
        <v>Average</v>
      </c>
      <c r="V2350" s="4" t="str">
        <f t="shared" si="181"/>
        <v>Low</v>
      </c>
      <c r="W2350" s="4"/>
      <c r="X2350" s="4"/>
      <c r="AJ2350" s="4"/>
    </row>
    <row r="2351" spans="1:36">
      <c r="A2351" t="str">
        <f t="shared" si="182"/>
        <v>Kris462350</v>
      </c>
      <c r="B2351">
        <v>2350</v>
      </c>
      <c r="C2351">
        <v>7</v>
      </c>
      <c r="D2351">
        <v>8</v>
      </c>
      <c r="E2351">
        <v>2023</v>
      </c>
      <c r="F2351" s="1">
        <f t="shared" si="183"/>
        <v>45145</v>
      </c>
      <c r="G2351" s="1" t="s">
        <v>729</v>
      </c>
      <c r="H2351" s="2">
        <v>46827</v>
      </c>
      <c r="I2351" t="s">
        <v>19</v>
      </c>
      <c r="J2351">
        <v>5</v>
      </c>
      <c r="K2351">
        <v>65357.39</v>
      </c>
      <c r="L2351" t="s">
        <v>278</v>
      </c>
      <c r="M2351">
        <v>46</v>
      </c>
      <c r="N2351" t="s">
        <v>61</v>
      </c>
      <c r="O2351" s="3" t="s">
        <v>22</v>
      </c>
      <c r="P2351" t="s">
        <v>29</v>
      </c>
      <c r="Q2351" t="s">
        <v>24</v>
      </c>
      <c r="R2351">
        <v>5</v>
      </c>
      <c r="S2351" t="s">
        <v>25</v>
      </c>
      <c r="T2351" s="4">
        <f t="shared" si="184"/>
        <v>326786.95</v>
      </c>
      <c r="U2351" s="4" t="str">
        <f t="shared" si="185"/>
        <v>Good</v>
      </c>
      <c r="V2351" s="4" t="str">
        <f t="shared" si="181"/>
        <v>Excellent</v>
      </c>
      <c r="W2351" s="4"/>
      <c r="X2351" s="4"/>
      <c r="AJ2351" s="4"/>
    </row>
    <row r="2352" spans="1:36">
      <c r="A2352" t="str">
        <f t="shared" si="182"/>
        <v>Nikh412351</v>
      </c>
      <c r="B2352">
        <v>2351</v>
      </c>
      <c r="C2352">
        <v>8</v>
      </c>
      <c r="D2352">
        <v>8</v>
      </c>
      <c r="E2352">
        <v>2023</v>
      </c>
      <c r="F2352" s="1">
        <f t="shared" si="183"/>
        <v>45146</v>
      </c>
      <c r="G2352" s="1" t="s">
        <v>729</v>
      </c>
      <c r="H2352" s="2">
        <v>46828</v>
      </c>
      <c r="I2352" t="s">
        <v>49</v>
      </c>
      <c r="J2352">
        <v>2</v>
      </c>
      <c r="K2352">
        <v>13403.2</v>
      </c>
      <c r="L2352" t="s">
        <v>992</v>
      </c>
      <c r="M2352">
        <v>41</v>
      </c>
      <c r="N2352" t="s">
        <v>21</v>
      </c>
      <c r="O2352" s="3" t="s">
        <v>55</v>
      </c>
      <c r="P2352" t="s">
        <v>29</v>
      </c>
      <c r="Q2352" t="s">
        <v>24</v>
      </c>
      <c r="R2352">
        <v>2</v>
      </c>
      <c r="S2352" t="s">
        <v>88</v>
      </c>
      <c r="T2352" s="4">
        <f t="shared" si="184"/>
        <v>26806.400000000001</v>
      </c>
      <c r="U2352" s="4" t="str">
        <f t="shared" si="185"/>
        <v>Average</v>
      </c>
      <c r="V2352" s="4" t="str">
        <f t="shared" si="181"/>
        <v>Low</v>
      </c>
      <c r="W2352" s="4"/>
      <c r="X2352" s="4"/>
      <c r="AJ2352" s="4"/>
    </row>
    <row r="2353" spans="1:36">
      <c r="A2353" t="str">
        <f t="shared" si="182"/>
        <v>Ravi472352</v>
      </c>
      <c r="B2353">
        <v>2352</v>
      </c>
      <c r="C2353">
        <v>8</v>
      </c>
      <c r="D2353">
        <v>8</v>
      </c>
      <c r="E2353">
        <v>2023</v>
      </c>
      <c r="F2353" s="1">
        <f t="shared" si="183"/>
        <v>45146</v>
      </c>
      <c r="G2353" s="1" t="s">
        <v>729</v>
      </c>
      <c r="H2353" s="2">
        <v>46829</v>
      </c>
      <c r="I2353" t="s">
        <v>26</v>
      </c>
      <c r="J2353">
        <v>9</v>
      </c>
      <c r="K2353">
        <v>11768.58</v>
      </c>
      <c r="L2353" t="s">
        <v>874</v>
      </c>
      <c r="M2353">
        <v>47</v>
      </c>
      <c r="N2353" t="s">
        <v>61</v>
      </c>
      <c r="O2353" s="3" t="s">
        <v>28</v>
      </c>
      <c r="P2353" t="s">
        <v>70</v>
      </c>
      <c r="Q2353" t="s">
        <v>30</v>
      </c>
      <c r="R2353">
        <v>3</v>
      </c>
      <c r="S2353" t="s">
        <v>67</v>
      </c>
      <c r="T2353" s="4">
        <f t="shared" si="184"/>
        <v>105917.22</v>
      </c>
      <c r="U2353" s="4" t="str">
        <f t="shared" si="185"/>
        <v>Average</v>
      </c>
      <c r="V2353" s="4" t="str">
        <f t="shared" si="181"/>
        <v>Good</v>
      </c>
      <c r="W2353" s="4"/>
      <c r="X2353" s="4"/>
      <c r="AJ2353" s="4"/>
    </row>
    <row r="2354" spans="1:36">
      <c r="A2354" t="str">
        <f t="shared" si="182"/>
        <v>Anit572353</v>
      </c>
      <c r="B2354">
        <v>2353</v>
      </c>
      <c r="C2354">
        <v>8</v>
      </c>
      <c r="D2354">
        <v>8</v>
      </c>
      <c r="E2354">
        <v>2023</v>
      </c>
      <c r="F2354" s="1">
        <f t="shared" si="183"/>
        <v>45146</v>
      </c>
      <c r="G2354" s="1" t="s">
        <v>729</v>
      </c>
      <c r="H2354" s="2">
        <v>46830</v>
      </c>
      <c r="I2354" t="s">
        <v>26</v>
      </c>
      <c r="J2354">
        <v>7</v>
      </c>
      <c r="K2354">
        <v>20695.71</v>
      </c>
      <c r="L2354" t="s">
        <v>291</v>
      </c>
      <c r="M2354">
        <v>57</v>
      </c>
      <c r="N2354" t="s">
        <v>61</v>
      </c>
      <c r="O2354" s="3" t="s">
        <v>28</v>
      </c>
      <c r="P2354" t="s">
        <v>29</v>
      </c>
      <c r="Q2354" t="s">
        <v>24</v>
      </c>
      <c r="R2354">
        <v>3</v>
      </c>
      <c r="S2354" t="s">
        <v>31</v>
      </c>
      <c r="T2354" s="4">
        <f t="shared" si="184"/>
        <v>144869.97</v>
      </c>
      <c r="U2354" s="4" t="str">
        <f t="shared" si="185"/>
        <v>Average</v>
      </c>
      <c r="V2354" s="4" t="str">
        <f t="shared" si="181"/>
        <v>Good</v>
      </c>
      <c r="W2354" s="4"/>
      <c r="X2354" s="4"/>
      <c r="AJ2354" s="4"/>
    </row>
    <row r="2355" spans="1:36">
      <c r="A2355" t="str">
        <f t="shared" si="182"/>
        <v>Moni522354</v>
      </c>
      <c r="B2355">
        <v>2354</v>
      </c>
      <c r="C2355">
        <v>9</v>
      </c>
      <c r="D2355">
        <v>8</v>
      </c>
      <c r="E2355">
        <v>2023</v>
      </c>
      <c r="F2355" s="1">
        <f t="shared" si="183"/>
        <v>45147</v>
      </c>
      <c r="G2355" s="1" t="s">
        <v>729</v>
      </c>
      <c r="H2355" s="2">
        <v>46831</v>
      </c>
      <c r="I2355" t="s">
        <v>26</v>
      </c>
      <c r="J2355">
        <v>4</v>
      </c>
      <c r="K2355">
        <v>69186.86</v>
      </c>
      <c r="L2355" t="s">
        <v>301</v>
      </c>
      <c r="M2355">
        <v>52</v>
      </c>
      <c r="N2355" t="s">
        <v>61</v>
      </c>
      <c r="O2355" s="3" t="s">
        <v>55</v>
      </c>
      <c r="P2355" t="s">
        <v>90</v>
      </c>
      <c r="Q2355" t="s">
        <v>24</v>
      </c>
      <c r="R2355">
        <v>2</v>
      </c>
      <c r="S2355" t="s">
        <v>31</v>
      </c>
      <c r="T2355" s="4">
        <f t="shared" si="184"/>
        <v>276747.44</v>
      </c>
      <c r="U2355" s="4" t="str">
        <f t="shared" si="185"/>
        <v>Average</v>
      </c>
      <c r="V2355" s="4" t="str">
        <f t="shared" si="181"/>
        <v>Excellent</v>
      </c>
      <c r="W2355" s="4"/>
      <c r="X2355" s="4"/>
      <c r="AJ2355" s="4"/>
    </row>
    <row r="2356" spans="1:36">
      <c r="A2356" t="str">
        <f t="shared" si="182"/>
        <v>Moni502355</v>
      </c>
      <c r="B2356">
        <v>2355</v>
      </c>
      <c r="C2356">
        <v>9</v>
      </c>
      <c r="D2356">
        <v>8</v>
      </c>
      <c r="E2356">
        <v>2023</v>
      </c>
      <c r="F2356" s="1">
        <f t="shared" si="183"/>
        <v>45147</v>
      </c>
      <c r="G2356" s="1" t="s">
        <v>729</v>
      </c>
      <c r="H2356" s="2">
        <v>46832</v>
      </c>
      <c r="I2356" t="s">
        <v>49</v>
      </c>
      <c r="J2356">
        <v>4</v>
      </c>
      <c r="K2356">
        <v>52904.58</v>
      </c>
      <c r="L2356" t="s">
        <v>946</v>
      </c>
      <c r="M2356">
        <v>50</v>
      </c>
      <c r="N2356" t="s">
        <v>61</v>
      </c>
      <c r="O2356" s="3" t="s">
        <v>55</v>
      </c>
      <c r="P2356" t="s">
        <v>33</v>
      </c>
      <c r="Q2356" t="s">
        <v>56</v>
      </c>
      <c r="R2356">
        <v>2</v>
      </c>
      <c r="S2356" t="s">
        <v>52</v>
      </c>
      <c r="T2356" s="4">
        <f t="shared" si="184"/>
        <v>211618.32</v>
      </c>
      <c r="U2356" s="4" t="str">
        <f t="shared" si="185"/>
        <v>Average</v>
      </c>
      <c r="V2356" s="4" t="str">
        <f t="shared" si="181"/>
        <v>Excellent</v>
      </c>
      <c r="W2356" s="4"/>
      <c r="X2356" s="4"/>
      <c r="AJ2356" s="4"/>
    </row>
    <row r="2357" spans="1:36">
      <c r="A2357" t="str">
        <f t="shared" si="182"/>
        <v>Suni372356</v>
      </c>
      <c r="B2357">
        <v>2356</v>
      </c>
      <c r="C2357">
        <v>9</v>
      </c>
      <c r="D2357">
        <v>8</v>
      </c>
      <c r="E2357">
        <v>2023</v>
      </c>
      <c r="F2357" s="1">
        <f t="shared" si="183"/>
        <v>45147</v>
      </c>
      <c r="G2357" s="1" t="s">
        <v>729</v>
      </c>
      <c r="H2357" s="2">
        <v>46833</v>
      </c>
      <c r="I2357" t="s">
        <v>38</v>
      </c>
      <c r="J2357">
        <v>2</v>
      </c>
      <c r="K2357">
        <v>46878.47</v>
      </c>
      <c r="L2357" t="s">
        <v>567</v>
      </c>
      <c r="M2357">
        <v>37</v>
      </c>
      <c r="N2357" t="s">
        <v>21</v>
      </c>
      <c r="O2357" s="3" t="s">
        <v>55</v>
      </c>
      <c r="P2357" t="s">
        <v>137</v>
      </c>
      <c r="Q2357" t="s">
        <v>41</v>
      </c>
      <c r="R2357">
        <v>2</v>
      </c>
      <c r="S2357" t="s">
        <v>42</v>
      </c>
      <c r="T2357" s="4">
        <f t="shared" si="184"/>
        <v>93756.94</v>
      </c>
      <c r="U2357" s="4" t="str">
        <f t="shared" si="185"/>
        <v>Average</v>
      </c>
      <c r="V2357" s="4" t="str">
        <f t="shared" si="181"/>
        <v>Average</v>
      </c>
      <c r="W2357" s="4"/>
      <c r="X2357" s="4"/>
      <c r="AJ2357" s="4"/>
    </row>
    <row r="2358" spans="1:36">
      <c r="A2358" t="str">
        <f t="shared" si="182"/>
        <v>Anja332357</v>
      </c>
      <c r="B2358">
        <v>2357</v>
      </c>
      <c r="C2358">
        <v>10</v>
      </c>
      <c r="D2358">
        <v>8</v>
      </c>
      <c r="E2358">
        <v>2023</v>
      </c>
      <c r="F2358" s="1">
        <f t="shared" si="183"/>
        <v>45148</v>
      </c>
      <c r="G2358" s="1" t="s">
        <v>729</v>
      </c>
      <c r="H2358" s="2">
        <v>46834</v>
      </c>
      <c r="I2358" t="s">
        <v>19</v>
      </c>
      <c r="J2358">
        <v>5</v>
      </c>
      <c r="K2358">
        <v>12822.34</v>
      </c>
      <c r="L2358" t="s">
        <v>850</v>
      </c>
      <c r="M2358">
        <v>33</v>
      </c>
      <c r="N2358" t="s">
        <v>21</v>
      </c>
      <c r="O2358" s="3" t="s">
        <v>28</v>
      </c>
      <c r="P2358" t="s">
        <v>45</v>
      </c>
      <c r="Q2358" t="s">
        <v>24</v>
      </c>
      <c r="R2358">
        <v>3</v>
      </c>
      <c r="S2358" t="s">
        <v>84</v>
      </c>
      <c r="T2358" s="4">
        <f t="shared" si="184"/>
        <v>64111.7</v>
      </c>
      <c r="U2358" s="4" t="str">
        <f t="shared" si="185"/>
        <v>Average</v>
      </c>
      <c r="V2358" s="4" t="str">
        <f t="shared" si="181"/>
        <v>Average</v>
      </c>
      <c r="W2358" s="4"/>
      <c r="X2358" s="4"/>
      <c r="AJ2358" s="4"/>
    </row>
    <row r="2359" spans="1:36">
      <c r="A2359" t="str">
        <f t="shared" si="182"/>
        <v>Ayes262358</v>
      </c>
      <c r="B2359">
        <v>2358</v>
      </c>
      <c r="C2359">
        <v>10</v>
      </c>
      <c r="D2359">
        <v>8</v>
      </c>
      <c r="E2359">
        <v>2023</v>
      </c>
      <c r="F2359" s="1">
        <f t="shared" si="183"/>
        <v>45148</v>
      </c>
      <c r="G2359" s="1" t="s">
        <v>729</v>
      </c>
      <c r="H2359" s="2">
        <v>46835</v>
      </c>
      <c r="I2359" t="s">
        <v>26</v>
      </c>
      <c r="J2359">
        <v>4</v>
      </c>
      <c r="K2359">
        <v>62746.61</v>
      </c>
      <c r="L2359" t="s">
        <v>922</v>
      </c>
      <c r="M2359">
        <v>26</v>
      </c>
      <c r="N2359" t="s">
        <v>36</v>
      </c>
      <c r="O2359" s="3" t="s">
        <v>55</v>
      </c>
      <c r="P2359" t="s">
        <v>93</v>
      </c>
      <c r="Q2359" t="s">
        <v>30</v>
      </c>
      <c r="R2359">
        <v>2</v>
      </c>
      <c r="S2359" t="s">
        <v>67</v>
      </c>
      <c r="T2359" s="4">
        <f t="shared" si="184"/>
        <v>250986.44</v>
      </c>
      <c r="U2359" s="4" t="str">
        <f t="shared" si="185"/>
        <v>Average</v>
      </c>
      <c r="V2359" s="4" t="str">
        <f t="shared" si="181"/>
        <v>Excellent</v>
      </c>
      <c r="W2359" s="4"/>
      <c r="X2359" s="4"/>
      <c r="AJ2359" s="4"/>
    </row>
    <row r="2360" spans="1:36">
      <c r="A2360" t="str">
        <f t="shared" si="182"/>
        <v>Mano482359</v>
      </c>
      <c r="B2360">
        <v>2359</v>
      </c>
      <c r="C2360">
        <v>10</v>
      </c>
      <c r="D2360">
        <v>8</v>
      </c>
      <c r="E2360">
        <v>2023</v>
      </c>
      <c r="F2360" s="1">
        <f t="shared" si="183"/>
        <v>45148</v>
      </c>
      <c r="G2360" s="1" t="s">
        <v>729</v>
      </c>
      <c r="H2360" s="2">
        <v>46836</v>
      </c>
      <c r="I2360" t="s">
        <v>26</v>
      </c>
      <c r="J2360">
        <v>1</v>
      </c>
      <c r="K2360">
        <v>58765.41</v>
      </c>
      <c r="L2360" t="s">
        <v>279</v>
      </c>
      <c r="M2360">
        <v>48</v>
      </c>
      <c r="N2360" t="s">
        <v>61</v>
      </c>
      <c r="O2360" s="3" t="s">
        <v>22</v>
      </c>
      <c r="P2360" t="s">
        <v>150</v>
      </c>
      <c r="Q2360" t="s">
        <v>56</v>
      </c>
      <c r="R2360">
        <v>4</v>
      </c>
      <c r="S2360" t="s">
        <v>34</v>
      </c>
      <c r="T2360" s="4">
        <f t="shared" si="184"/>
        <v>58765.41</v>
      </c>
      <c r="U2360" s="4" t="str">
        <f t="shared" si="185"/>
        <v>Good</v>
      </c>
      <c r="V2360" s="4" t="str">
        <f t="shared" si="181"/>
        <v>Average</v>
      </c>
      <c r="W2360" s="4"/>
      <c r="X2360" s="4"/>
      <c r="AJ2360" s="4"/>
    </row>
    <row r="2361" spans="1:36">
      <c r="A2361" t="str">
        <f t="shared" si="182"/>
        <v>Moni342360</v>
      </c>
      <c r="B2361">
        <v>2360</v>
      </c>
      <c r="C2361">
        <v>11</v>
      </c>
      <c r="D2361">
        <v>8</v>
      </c>
      <c r="E2361">
        <v>2023</v>
      </c>
      <c r="F2361" s="1">
        <f t="shared" si="183"/>
        <v>45149</v>
      </c>
      <c r="G2361" s="1" t="s">
        <v>729</v>
      </c>
      <c r="H2361" s="2">
        <v>46837</v>
      </c>
      <c r="I2361" t="s">
        <v>26</v>
      </c>
      <c r="J2361">
        <v>8</v>
      </c>
      <c r="K2361">
        <v>49888</v>
      </c>
      <c r="L2361" t="s">
        <v>865</v>
      </c>
      <c r="M2361">
        <v>34</v>
      </c>
      <c r="N2361" t="s">
        <v>21</v>
      </c>
      <c r="O2361" s="3" t="s">
        <v>28</v>
      </c>
      <c r="P2361" t="s">
        <v>29</v>
      </c>
      <c r="Q2361" t="s">
        <v>41</v>
      </c>
      <c r="R2361">
        <v>3</v>
      </c>
      <c r="S2361" t="s">
        <v>67</v>
      </c>
      <c r="T2361" s="4">
        <f t="shared" si="184"/>
        <v>399104</v>
      </c>
      <c r="U2361" s="4" t="str">
        <f t="shared" si="185"/>
        <v>Average</v>
      </c>
      <c r="V2361" s="4" t="str">
        <f t="shared" si="181"/>
        <v>Excellent</v>
      </c>
      <c r="W2361" s="4"/>
      <c r="X2361" s="4"/>
      <c r="AJ2361" s="4"/>
    </row>
    <row r="2362" spans="1:36">
      <c r="A2362" t="str">
        <f t="shared" si="182"/>
        <v>Priy482361</v>
      </c>
      <c r="B2362">
        <v>2361</v>
      </c>
      <c r="C2362">
        <v>11</v>
      </c>
      <c r="D2362">
        <v>8</v>
      </c>
      <c r="E2362">
        <v>2023</v>
      </c>
      <c r="F2362" s="1">
        <f t="shared" si="183"/>
        <v>45149</v>
      </c>
      <c r="G2362" s="1" t="s">
        <v>729</v>
      </c>
      <c r="H2362" s="2">
        <v>46838</v>
      </c>
      <c r="I2362" t="s">
        <v>19</v>
      </c>
      <c r="J2362">
        <v>3</v>
      </c>
      <c r="K2362">
        <v>30347.85</v>
      </c>
      <c r="L2362" t="s">
        <v>558</v>
      </c>
      <c r="M2362">
        <v>48</v>
      </c>
      <c r="N2362" t="s">
        <v>61</v>
      </c>
      <c r="O2362" s="3" t="s">
        <v>55</v>
      </c>
      <c r="P2362" t="s">
        <v>33</v>
      </c>
      <c r="Q2362" t="s">
        <v>24</v>
      </c>
      <c r="R2362">
        <v>2</v>
      </c>
      <c r="S2362" t="s">
        <v>37</v>
      </c>
      <c r="T2362" s="4">
        <f t="shared" si="184"/>
        <v>91043.549999999988</v>
      </c>
      <c r="U2362" s="4" t="str">
        <f t="shared" si="185"/>
        <v>Average</v>
      </c>
      <c r="V2362" s="4" t="str">
        <f t="shared" si="181"/>
        <v>Average</v>
      </c>
      <c r="W2362" s="4"/>
      <c r="X2362" s="4"/>
      <c r="AJ2362" s="4"/>
    </row>
    <row r="2363" spans="1:36">
      <c r="A2363" t="str">
        <f t="shared" si="182"/>
        <v>Pank402362</v>
      </c>
      <c r="B2363">
        <v>2362</v>
      </c>
      <c r="C2363">
        <v>11</v>
      </c>
      <c r="D2363">
        <v>8</v>
      </c>
      <c r="E2363">
        <v>2023</v>
      </c>
      <c r="F2363" s="1">
        <f t="shared" si="183"/>
        <v>45149</v>
      </c>
      <c r="G2363" s="1" t="s">
        <v>729</v>
      </c>
      <c r="H2363" s="2">
        <v>46839</v>
      </c>
      <c r="I2363" t="s">
        <v>26</v>
      </c>
      <c r="J2363">
        <v>6</v>
      </c>
      <c r="K2363">
        <v>14230.3</v>
      </c>
      <c r="L2363" t="s">
        <v>178</v>
      </c>
      <c r="M2363">
        <v>40</v>
      </c>
      <c r="N2363" t="s">
        <v>21</v>
      </c>
      <c r="O2363" s="3" t="s">
        <v>55</v>
      </c>
      <c r="P2363" t="s">
        <v>51</v>
      </c>
      <c r="Q2363" t="s">
        <v>24</v>
      </c>
      <c r="R2363">
        <v>2</v>
      </c>
      <c r="S2363" t="s">
        <v>34</v>
      </c>
      <c r="T2363" s="4">
        <f t="shared" si="184"/>
        <v>85381.799999999988</v>
      </c>
      <c r="U2363" s="4" t="str">
        <f t="shared" si="185"/>
        <v>Average</v>
      </c>
      <c r="V2363" s="4" t="str">
        <f t="shared" si="181"/>
        <v>Average</v>
      </c>
      <c r="W2363" s="4"/>
      <c r="X2363" s="4"/>
      <c r="AJ2363" s="4"/>
    </row>
    <row r="2364" spans="1:36">
      <c r="A2364" t="str">
        <f t="shared" si="182"/>
        <v>Tanu232363</v>
      </c>
      <c r="B2364">
        <v>2363</v>
      </c>
      <c r="C2364">
        <v>11</v>
      </c>
      <c r="D2364">
        <v>8</v>
      </c>
      <c r="E2364">
        <v>2023</v>
      </c>
      <c r="F2364" s="1">
        <f t="shared" si="183"/>
        <v>45149</v>
      </c>
      <c r="G2364" s="1" t="s">
        <v>729</v>
      </c>
      <c r="H2364" s="2">
        <v>46840</v>
      </c>
      <c r="I2364" t="s">
        <v>19</v>
      </c>
      <c r="J2364">
        <v>4</v>
      </c>
      <c r="K2364">
        <v>44802.31</v>
      </c>
      <c r="L2364" t="s">
        <v>129</v>
      </c>
      <c r="M2364">
        <v>23</v>
      </c>
      <c r="N2364" t="s">
        <v>36</v>
      </c>
      <c r="O2364" s="3" t="s">
        <v>55</v>
      </c>
      <c r="P2364" t="s">
        <v>93</v>
      </c>
      <c r="Q2364" t="s">
        <v>30</v>
      </c>
      <c r="R2364">
        <v>2</v>
      </c>
      <c r="S2364" t="s">
        <v>84</v>
      </c>
      <c r="T2364" s="4">
        <f t="shared" si="184"/>
        <v>179209.24</v>
      </c>
      <c r="U2364" s="4" t="str">
        <f t="shared" si="185"/>
        <v>Average</v>
      </c>
      <c r="V2364" s="4" t="str">
        <f t="shared" si="181"/>
        <v>Good</v>
      </c>
      <c r="W2364" s="4"/>
      <c r="X2364" s="4"/>
      <c r="AJ2364" s="4"/>
    </row>
    <row r="2365" spans="1:36">
      <c r="A2365" t="str">
        <f t="shared" si="182"/>
        <v>Kira472364</v>
      </c>
      <c r="B2365">
        <v>2364</v>
      </c>
      <c r="C2365">
        <v>12</v>
      </c>
      <c r="D2365">
        <v>8</v>
      </c>
      <c r="E2365">
        <v>2023</v>
      </c>
      <c r="F2365" s="1">
        <f t="shared" si="183"/>
        <v>45150</v>
      </c>
      <c r="G2365" s="1" t="s">
        <v>729</v>
      </c>
      <c r="H2365" s="2">
        <v>46841</v>
      </c>
      <c r="I2365" t="s">
        <v>26</v>
      </c>
      <c r="J2365">
        <v>9</v>
      </c>
      <c r="K2365">
        <v>53181.67</v>
      </c>
      <c r="L2365" t="s">
        <v>714</v>
      </c>
      <c r="M2365">
        <v>47</v>
      </c>
      <c r="N2365" t="s">
        <v>61</v>
      </c>
      <c r="O2365" s="3" t="s">
        <v>55</v>
      </c>
      <c r="P2365" t="s">
        <v>45</v>
      </c>
      <c r="Q2365" t="s">
        <v>24</v>
      </c>
      <c r="R2365">
        <v>2</v>
      </c>
      <c r="S2365" t="s">
        <v>31</v>
      </c>
      <c r="T2365" s="4">
        <f t="shared" si="184"/>
        <v>478635.02999999997</v>
      </c>
      <c r="U2365" s="4" t="str">
        <f t="shared" si="185"/>
        <v>Average</v>
      </c>
      <c r="V2365" s="4" t="str">
        <f t="shared" si="181"/>
        <v>Excellent</v>
      </c>
      <c r="W2365" s="4"/>
      <c r="X2365" s="4"/>
      <c r="AJ2365" s="4"/>
    </row>
    <row r="2366" spans="1:36">
      <c r="A2366" t="str">
        <f t="shared" si="182"/>
        <v>Priy242365</v>
      </c>
      <c r="B2366">
        <v>2365</v>
      </c>
      <c r="C2366">
        <v>12</v>
      </c>
      <c r="D2366">
        <v>8</v>
      </c>
      <c r="E2366">
        <v>2023</v>
      </c>
      <c r="F2366" s="1">
        <f t="shared" si="183"/>
        <v>45150</v>
      </c>
      <c r="G2366" s="1" t="s">
        <v>729</v>
      </c>
      <c r="H2366" s="2">
        <v>46842</v>
      </c>
      <c r="I2366" t="s">
        <v>49</v>
      </c>
      <c r="J2366">
        <v>7</v>
      </c>
      <c r="K2366">
        <v>15654.42</v>
      </c>
      <c r="L2366" t="s">
        <v>261</v>
      </c>
      <c r="M2366">
        <v>24</v>
      </c>
      <c r="N2366" t="s">
        <v>36</v>
      </c>
      <c r="O2366" s="3" t="s">
        <v>28</v>
      </c>
      <c r="P2366" t="s">
        <v>77</v>
      </c>
      <c r="Q2366" t="s">
        <v>30</v>
      </c>
      <c r="R2366">
        <v>3</v>
      </c>
      <c r="S2366" t="s">
        <v>88</v>
      </c>
      <c r="T2366" s="4">
        <f t="shared" si="184"/>
        <v>109580.94</v>
      </c>
      <c r="U2366" s="4" t="str">
        <f t="shared" si="185"/>
        <v>Average</v>
      </c>
      <c r="V2366" s="4" t="str">
        <f t="shared" si="181"/>
        <v>Good</v>
      </c>
      <c r="W2366" s="4"/>
      <c r="X2366" s="4"/>
      <c r="AJ2366" s="4"/>
    </row>
    <row r="2367" spans="1:36">
      <c r="A2367" t="str">
        <f t="shared" si="182"/>
        <v>Arun572366</v>
      </c>
      <c r="B2367">
        <v>2366</v>
      </c>
      <c r="C2367">
        <v>12</v>
      </c>
      <c r="D2367">
        <v>8</v>
      </c>
      <c r="E2367">
        <v>2023</v>
      </c>
      <c r="F2367" s="1">
        <f t="shared" si="183"/>
        <v>45150</v>
      </c>
      <c r="G2367" s="1" t="s">
        <v>729</v>
      </c>
      <c r="H2367" s="2">
        <v>46843</v>
      </c>
      <c r="I2367" t="s">
        <v>49</v>
      </c>
      <c r="J2367">
        <v>9</v>
      </c>
      <c r="K2367">
        <v>48026.06</v>
      </c>
      <c r="L2367" t="s">
        <v>298</v>
      </c>
      <c r="M2367">
        <v>57</v>
      </c>
      <c r="N2367" t="s">
        <v>61</v>
      </c>
      <c r="O2367" s="3" t="s">
        <v>55</v>
      </c>
      <c r="P2367" t="s">
        <v>59</v>
      </c>
      <c r="Q2367" t="s">
        <v>24</v>
      </c>
      <c r="R2367">
        <v>2</v>
      </c>
      <c r="S2367" t="s">
        <v>102</v>
      </c>
      <c r="T2367" s="4">
        <f t="shared" si="184"/>
        <v>432234.54</v>
      </c>
      <c r="U2367" s="4" t="str">
        <f t="shared" si="185"/>
        <v>Average</v>
      </c>
      <c r="V2367" s="4" t="str">
        <f t="shared" si="181"/>
        <v>Excellent</v>
      </c>
      <c r="W2367" s="4"/>
      <c r="X2367" s="4"/>
      <c r="AJ2367" s="4"/>
    </row>
    <row r="2368" spans="1:36">
      <c r="A2368" t="str">
        <f t="shared" si="182"/>
        <v>Vino592367</v>
      </c>
      <c r="B2368">
        <v>2367</v>
      </c>
      <c r="C2368">
        <v>12</v>
      </c>
      <c r="D2368">
        <v>8</v>
      </c>
      <c r="E2368">
        <v>2023</v>
      </c>
      <c r="F2368" s="1">
        <f t="shared" si="183"/>
        <v>45150</v>
      </c>
      <c r="G2368" s="1" t="s">
        <v>729</v>
      </c>
      <c r="H2368" s="2">
        <v>46844</v>
      </c>
      <c r="I2368" t="s">
        <v>19</v>
      </c>
      <c r="J2368">
        <v>3</v>
      </c>
      <c r="K2368">
        <v>27181.96</v>
      </c>
      <c r="L2368" t="s">
        <v>192</v>
      </c>
      <c r="M2368">
        <v>59</v>
      </c>
      <c r="N2368" t="s">
        <v>61</v>
      </c>
      <c r="O2368" s="3" t="s">
        <v>28</v>
      </c>
      <c r="P2368" t="s">
        <v>33</v>
      </c>
      <c r="Q2368" t="s">
        <v>24</v>
      </c>
      <c r="R2368">
        <v>3</v>
      </c>
      <c r="S2368" t="s">
        <v>37</v>
      </c>
      <c r="T2368" s="4">
        <f t="shared" si="184"/>
        <v>81545.88</v>
      </c>
      <c r="U2368" s="4" t="str">
        <f t="shared" si="185"/>
        <v>Average</v>
      </c>
      <c r="V2368" s="4" t="str">
        <f t="shared" si="181"/>
        <v>Average</v>
      </c>
      <c r="W2368" s="4"/>
      <c r="X2368" s="4"/>
      <c r="AJ2368" s="4"/>
    </row>
    <row r="2369" spans="1:36">
      <c r="A2369" t="str">
        <f t="shared" si="182"/>
        <v>Vive282368</v>
      </c>
      <c r="B2369">
        <v>2368</v>
      </c>
      <c r="C2369">
        <v>13</v>
      </c>
      <c r="D2369">
        <v>8</v>
      </c>
      <c r="E2369">
        <v>2023</v>
      </c>
      <c r="F2369" s="1">
        <f t="shared" si="183"/>
        <v>45151</v>
      </c>
      <c r="G2369" s="1" t="s">
        <v>729</v>
      </c>
      <c r="H2369" s="2">
        <v>46845</v>
      </c>
      <c r="I2369" t="s">
        <v>49</v>
      </c>
      <c r="J2369">
        <v>1</v>
      </c>
      <c r="K2369">
        <v>55854.65</v>
      </c>
      <c r="L2369" t="s">
        <v>401</v>
      </c>
      <c r="M2369">
        <v>28</v>
      </c>
      <c r="N2369" t="s">
        <v>36</v>
      </c>
      <c r="O2369" s="3" t="s">
        <v>55</v>
      </c>
      <c r="P2369" t="s">
        <v>64</v>
      </c>
      <c r="Q2369" t="s">
        <v>30</v>
      </c>
      <c r="R2369">
        <v>2</v>
      </c>
      <c r="S2369" t="s">
        <v>102</v>
      </c>
      <c r="T2369" s="4">
        <f t="shared" si="184"/>
        <v>55854.65</v>
      </c>
      <c r="U2369" s="4" t="str">
        <f t="shared" si="185"/>
        <v>Average</v>
      </c>
      <c r="V2369" s="4" t="str">
        <f t="shared" ref="V2369:V2432" si="186">IF(T2369&gt;200000,"Excellent",IF(T2369&gt;100000,"Good",IF(T2369&gt;50000,"Average","Low")))</f>
        <v>Average</v>
      </c>
      <c r="W2369" s="4"/>
      <c r="X2369" s="4"/>
      <c r="AJ2369" s="4"/>
    </row>
    <row r="2370" spans="1:36">
      <c r="A2370" t="str">
        <f t="shared" ref="A2370:A2433" si="187">LEFT(L2370,4)&amp;M2370&amp;B2370</f>
        <v>Sanj512369</v>
      </c>
      <c r="B2370">
        <v>2369</v>
      </c>
      <c r="C2370">
        <v>13</v>
      </c>
      <c r="D2370">
        <v>8</v>
      </c>
      <c r="E2370">
        <v>2023</v>
      </c>
      <c r="F2370" s="1">
        <f t="shared" si="183"/>
        <v>45151</v>
      </c>
      <c r="G2370" s="1" t="s">
        <v>729</v>
      </c>
      <c r="H2370" s="2">
        <v>46846</v>
      </c>
      <c r="I2370" t="s">
        <v>19</v>
      </c>
      <c r="J2370">
        <v>5</v>
      </c>
      <c r="K2370">
        <v>42376.95</v>
      </c>
      <c r="L2370" t="s">
        <v>543</v>
      </c>
      <c r="M2370">
        <v>51</v>
      </c>
      <c r="N2370" t="s">
        <v>61</v>
      </c>
      <c r="O2370" s="3" t="s">
        <v>22</v>
      </c>
      <c r="P2370" t="s">
        <v>33</v>
      </c>
      <c r="Q2370" t="s">
        <v>41</v>
      </c>
      <c r="R2370">
        <v>4</v>
      </c>
      <c r="S2370" t="s">
        <v>25</v>
      </c>
      <c r="T2370" s="4">
        <f t="shared" si="184"/>
        <v>211884.75</v>
      </c>
      <c r="U2370" s="4" t="str">
        <f t="shared" si="185"/>
        <v>Good</v>
      </c>
      <c r="V2370" s="4" t="str">
        <f t="shared" si="186"/>
        <v>Excellent</v>
      </c>
      <c r="W2370" s="4"/>
      <c r="X2370" s="4"/>
      <c r="AJ2370" s="4"/>
    </row>
    <row r="2371" spans="1:36">
      <c r="A2371" t="str">
        <f t="shared" si="187"/>
        <v>Kira292370</v>
      </c>
      <c r="B2371">
        <v>2370</v>
      </c>
      <c r="C2371">
        <v>13</v>
      </c>
      <c r="D2371">
        <v>8</v>
      </c>
      <c r="E2371">
        <v>2023</v>
      </c>
      <c r="F2371" s="1">
        <f t="shared" ref="F2371:F2434" si="188">DATE(E2371,D2371,C2371)</f>
        <v>45151</v>
      </c>
      <c r="G2371" s="1" t="s">
        <v>729</v>
      </c>
      <c r="H2371" s="2">
        <v>46847</v>
      </c>
      <c r="I2371" t="s">
        <v>49</v>
      </c>
      <c r="J2371">
        <v>3</v>
      </c>
      <c r="K2371">
        <v>17742.21</v>
      </c>
      <c r="L2371" t="s">
        <v>839</v>
      </c>
      <c r="M2371">
        <v>29</v>
      </c>
      <c r="N2371" t="s">
        <v>36</v>
      </c>
      <c r="O2371" s="3" t="s">
        <v>22</v>
      </c>
      <c r="P2371" t="s">
        <v>45</v>
      </c>
      <c r="Q2371" t="s">
        <v>56</v>
      </c>
      <c r="R2371">
        <v>4</v>
      </c>
      <c r="S2371" t="s">
        <v>102</v>
      </c>
      <c r="T2371" s="4">
        <f t="shared" ref="T2371:T2434" si="189">J2371*K2371</f>
        <v>53226.63</v>
      </c>
      <c r="U2371" s="4" t="str">
        <f t="shared" ref="U2371:U2434" si="190">IF(R2371&gt;=4,"Good","Average")</f>
        <v>Good</v>
      </c>
      <c r="V2371" s="4" t="str">
        <f t="shared" si="186"/>
        <v>Average</v>
      </c>
      <c r="W2371" s="4"/>
      <c r="X2371" s="4"/>
      <c r="AJ2371" s="4"/>
    </row>
    <row r="2372" spans="1:36">
      <c r="A2372" t="str">
        <f t="shared" si="187"/>
        <v>Jyot442371</v>
      </c>
      <c r="B2372">
        <v>2371</v>
      </c>
      <c r="C2372">
        <v>13</v>
      </c>
      <c r="D2372">
        <v>8</v>
      </c>
      <c r="E2372">
        <v>2023</v>
      </c>
      <c r="F2372" s="1">
        <f t="shared" si="188"/>
        <v>45151</v>
      </c>
      <c r="G2372" s="1" t="s">
        <v>729</v>
      </c>
      <c r="H2372" s="2">
        <v>46848</v>
      </c>
      <c r="I2372" t="s">
        <v>49</v>
      </c>
      <c r="J2372">
        <v>6</v>
      </c>
      <c r="K2372">
        <v>41591.17</v>
      </c>
      <c r="L2372" t="s">
        <v>731</v>
      </c>
      <c r="M2372">
        <v>44</v>
      </c>
      <c r="N2372" t="s">
        <v>21</v>
      </c>
      <c r="O2372" s="3" t="s">
        <v>22</v>
      </c>
      <c r="P2372" t="s">
        <v>117</v>
      </c>
      <c r="Q2372" t="s">
        <v>30</v>
      </c>
      <c r="R2372">
        <v>4</v>
      </c>
      <c r="S2372" t="s">
        <v>88</v>
      </c>
      <c r="T2372" s="4">
        <f t="shared" si="189"/>
        <v>249547.02</v>
      </c>
      <c r="U2372" s="4" t="str">
        <f t="shared" si="190"/>
        <v>Good</v>
      </c>
      <c r="V2372" s="4" t="str">
        <f t="shared" si="186"/>
        <v>Excellent</v>
      </c>
      <c r="W2372" s="4"/>
      <c r="X2372" s="4"/>
      <c r="AJ2372" s="4"/>
    </row>
    <row r="2373" spans="1:36">
      <c r="A2373" t="str">
        <f t="shared" si="187"/>
        <v>Moni292372</v>
      </c>
      <c r="B2373">
        <v>2372</v>
      </c>
      <c r="C2373">
        <v>14</v>
      </c>
      <c r="D2373">
        <v>8</v>
      </c>
      <c r="E2373">
        <v>2023</v>
      </c>
      <c r="F2373" s="1">
        <f t="shared" si="188"/>
        <v>45152</v>
      </c>
      <c r="G2373" s="1" t="s">
        <v>729</v>
      </c>
      <c r="H2373" s="2">
        <v>46849</v>
      </c>
      <c r="I2373" t="s">
        <v>19</v>
      </c>
      <c r="J2373">
        <v>8</v>
      </c>
      <c r="K2373">
        <v>33744.21</v>
      </c>
      <c r="L2373" t="s">
        <v>722</v>
      </c>
      <c r="M2373">
        <v>29</v>
      </c>
      <c r="N2373" t="s">
        <v>36</v>
      </c>
      <c r="O2373" s="3" t="s">
        <v>55</v>
      </c>
      <c r="P2373" t="s">
        <v>114</v>
      </c>
      <c r="Q2373" t="s">
        <v>41</v>
      </c>
      <c r="R2373">
        <v>2</v>
      </c>
      <c r="S2373" t="s">
        <v>25</v>
      </c>
      <c r="T2373" s="4">
        <f t="shared" si="189"/>
        <v>269953.68</v>
      </c>
      <c r="U2373" s="4" t="str">
        <f t="shared" si="190"/>
        <v>Average</v>
      </c>
      <c r="V2373" s="4" t="str">
        <f t="shared" si="186"/>
        <v>Excellent</v>
      </c>
      <c r="W2373" s="4"/>
      <c r="X2373" s="4"/>
      <c r="AJ2373" s="4"/>
    </row>
    <row r="2374" spans="1:36">
      <c r="A2374" t="str">
        <f t="shared" si="187"/>
        <v>Bina302373</v>
      </c>
      <c r="B2374">
        <v>2373</v>
      </c>
      <c r="C2374">
        <v>14</v>
      </c>
      <c r="D2374">
        <v>8</v>
      </c>
      <c r="E2374">
        <v>2023</v>
      </c>
      <c r="F2374" s="1">
        <f t="shared" si="188"/>
        <v>45152</v>
      </c>
      <c r="G2374" s="1" t="s">
        <v>729</v>
      </c>
      <c r="H2374" s="2">
        <v>46850</v>
      </c>
      <c r="I2374" t="s">
        <v>38</v>
      </c>
      <c r="J2374">
        <v>4</v>
      </c>
      <c r="K2374">
        <v>20821.36</v>
      </c>
      <c r="L2374" t="s">
        <v>463</v>
      </c>
      <c r="M2374">
        <v>30</v>
      </c>
      <c r="N2374" t="s">
        <v>36</v>
      </c>
      <c r="O2374" s="3" t="s">
        <v>55</v>
      </c>
      <c r="P2374" t="s">
        <v>29</v>
      </c>
      <c r="Q2374" t="s">
        <v>41</v>
      </c>
      <c r="R2374">
        <v>2</v>
      </c>
      <c r="S2374" t="s">
        <v>99</v>
      </c>
      <c r="T2374" s="4">
        <f t="shared" si="189"/>
        <v>83285.440000000002</v>
      </c>
      <c r="U2374" s="4" t="str">
        <f t="shared" si="190"/>
        <v>Average</v>
      </c>
      <c r="V2374" s="4" t="str">
        <f t="shared" si="186"/>
        <v>Average</v>
      </c>
      <c r="W2374" s="4"/>
      <c r="X2374" s="4"/>
      <c r="AJ2374" s="4"/>
    </row>
    <row r="2375" spans="1:36">
      <c r="A2375" t="str">
        <f t="shared" si="187"/>
        <v>Lali252374</v>
      </c>
      <c r="B2375">
        <v>2374</v>
      </c>
      <c r="C2375">
        <v>14</v>
      </c>
      <c r="D2375">
        <v>8</v>
      </c>
      <c r="E2375">
        <v>2023</v>
      </c>
      <c r="F2375" s="1">
        <f t="shared" si="188"/>
        <v>45152</v>
      </c>
      <c r="G2375" s="1" t="s">
        <v>729</v>
      </c>
      <c r="H2375" s="2">
        <v>46851</v>
      </c>
      <c r="I2375" t="s">
        <v>49</v>
      </c>
      <c r="J2375">
        <v>5</v>
      </c>
      <c r="K2375">
        <v>60490.94</v>
      </c>
      <c r="L2375" t="s">
        <v>236</v>
      </c>
      <c r="M2375">
        <v>25</v>
      </c>
      <c r="N2375" t="s">
        <v>36</v>
      </c>
      <c r="O2375" s="3" t="s">
        <v>55</v>
      </c>
      <c r="P2375" t="s">
        <v>33</v>
      </c>
      <c r="Q2375" t="s">
        <v>30</v>
      </c>
      <c r="R2375">
        <v>2</v>
      </c>
      <c r="S2375" t="s">
        <v>102</v>
      </c>
      <c r="T2375" s="4">
        <f t="shared" si="189"/>
        <v>302454.7</v>
      </c>
      <c r="U2375" s="4" t="str">
        <f t="shared" si="190"/>
        <v>Average</v>
      </c>
      <c r="V2375" s="4" t="str">
        <f t="shared" si="186"/>
        <v>Excellent</v>
      </c>
      <c r="W2375" s="4"/>
      <c r="X2375" s="4"/>
      <c r="AJ2375" s="4"/>
    </row>
    <row r="2376" spans="1:36">
      <c r="A2376" t="str">
        <f t="shared" si="187"/>
        <v>Kris332375</v>
      </c>
      <c r="B2376">
        <v>2375</v>
      </c>
      <c r="C2376">
        <v>14</v>
      </c>
      <c r="D2376">
        <v>8</v>
      </c>
      <c r="E2376">
        <v>2023</v>
      </c>
      <c r="F2376" s="1">
        <f t="shared" si="188"/>
        <v>45152</v>
      </c>
      <c r="G2376" s="1" t="s">
        <v>729</v>
      </c>
      <c r="H2376" s="2">
        <v>46852</v>
      </c>
      <c r="I2376" t="s">
        <v>26</v>
      </c>
      <c r="J2376">
        <v>5</v>
      </c>
      <c r="K2376">
        <v>10661.71</v>
      </c>
      <c r="L2376" t="s">
        <v>392</v>
      </c>
      <c r="M2376">
        <v>33</v>
      </c>
      <c r="N2376" t="s">
        <v>21</v>
      </c>
      <c r="O2376" s="3" t="s">
        <v>28</v>
      </c>
      <c r="P2376" t="s">
        <v>45</v>
      </c>
      <c r="Q2376" t="s">
        <v>56</v>
      </c>
      <c r="R2376">
        <v>3</v>
      </c>
      <c r="S2376" t="s">
        <v>31</v>
      </c>
      <c r="T2376" s="4">
        <f t="shared" si="189"/>
        <v>53308.549999999996</v>
      </c>
      <c r="U2376" s="4" t="str">
        <f t="shared" si="190"/>
        <v>Average</v>
      </c>
      <c r="V2376" s="4" t="str">
        <f t="shared" si="186"/>
        <v>Average</v>
      </c>
      <c r="W2376" s="4"/>
      <c r="X2376" s="4"/>
      <c r="AJ2376" s="4"/>
    </row>
    <row r="2377" spans="1:36">
      <c r="A2377" t="str">
        <f t="shared" si="187"/>
        <v>Nikh462376</v>
      </c>
      <c r="B2377">
        <v>2376</v>
      </c>
      <c r="C2377">
        <v>15</v>
      </c>
      <c r="D2377">
        <v>8</v>
      </c>
      <c r="E2377">
        <v>2023</v>
      </c>
      <c r="F2377" s="1">
        <f t="shared" si="188"/>
        <v>45153</v>
      </c>
      <c r="G2377" s="1" t="s">
        <v>729</v>
      </c>
      <c r="H2377" s="2">
        <v>46853</v>
      </c>
      <c r="I2377" t="s">
        <v>38</v>
      </c>
      <c r="J2377">
        <v>4</v>
      </c>
      <c r="K2377">
        <v>28727.7</v>
      </c>
      <c r="L2377" t="s">
        <v>511</v>
      </c>
      <c r="M2377">
        <v>46</v>
      </c>
      <c r="N2377" t="s">
        <v>61</v>
      </c>
      <c r="O2377" s="3" t="s">
        <v>22</v>
      </c>
      <c r="P2377" t="s">
        <v>33</v>
      </c>
      <c r="Q2377" t="s">
        <v>30</v>
      </c>
      <c r="R2377">
        <v>4</v>
      </c>
      <c r="S2377" t="s">
        <v>48</v>
      </c>
      <c r="T2377" s="4">
        <f t="shared" si="189"/>
        <v>114910.8</v>
      </c>
      <c r="U2377" s="4" t="str">
        <f t="shared" si="190"/>
        <v>Good</v>
      </c>
      <c r="V2377" s="4" t="str">
        <f t="shared" si="186"/>
        <v>Good</v>
      </c>
      <c r="W2377" s="4"/>
      <c r="X2377" s="4"/>
      <c r="AJ2377" s="4"/>
    </row>
    <row r="2378" spans="1:36">
      <c r="A2378" t="str">
        <f t="shared" si="187"/>
        <v>Hari522377</v>
      </c>
      <c r="B2378">
        <v>2377</v>
      </c>
      <c r="C2378">
        <v>15</v>
      </c>
      <c r="D2378">
        <v>8</v>
      </c>
      <c r="E2378">
        <v>2023</v>
      </c>
      <c r="F2378" s="1">
        <f t="shared" si="188"/>
        <v>45153</v>
      </c>
      <c r="G2378" s="1" t="s">
        <v>729</v>
      </c>
      <c r="H2378" s="2">
        <v>46854</v>
      </c>
      <c r="I2378" t="s">
        <v>19</v>
      </c>
      <c r="J2378">
        <v>4</v>
      </c>
      <c r="K2378">
        <v>10755.7</v>
      </c>
      <c r="L2378" t="s">
        <v>73</v>
      </c>
      <c r="M2378">
        <v>52</v>
      </c>
      <c r="N2378" t="s">
        <v>61</v>
      </c>
      <c r="O2378" s="3" t="s">
        <v>28</v>
      </c>
      <c r="P2378" t="s">
        <v>93</v>
      </c>
      <c r="Q2378" t="s">
        <v>24</v>
      </c>
      <c r="R2378">
        <v>3</v>
      </c>
      <c r="S2378" t="s">
        <v>25</v>
      </c>
      <c r="T2378" s="4">
        <f t="shared" si="189"/>
        <v>43022.8</v>
      </c>
      <c r="U2378" s="4" t="str">
        <f t="shared" si="190"/>
        <v>Average</v>
      </c>
      <c r="V2378" s="4" t="str">
        <f t="shared" si="186"/>
        <v>Low</v>
      </c>
      <c r="W2378" s="4"/>
      <c r="X2378" s="4"/>
      <c r="AJ2378" s="4"/>
    </row>
    <row r="2379" spans="1:36">
      <c r="A2379" t="str">
        <f t="shared" si="187"/>
        <v>Meen462378</v>
      </c>
      <c r="B2379">
        <v>2378</v>
      </c>
      <c r="C2379">
        <v>15</v>
      </c>
      <c r="D2379">
        <v>8</v>
      </c>
      <c r="E2379">
        <v>2023</v>
      </c>
      <c r="F2379" s="1">
        <f t="shared" si="188"/>
        <v>45153</v>
      </c>
      <c r="G2379" s="1" t="s">
        <v>729</v>
      </c>
      <c r="H2379" s="2">
        <v>46855</v>
      </c>
      <c r="I2379" t="s">
        <v>38</v>
      </c>
      <c r="J2379">
        <v>4</v>
      </c>
      <c r="K2379">
        <v>15760.42</v>
      </c>
      <c r="L2379" t="s">
        <v>755</v>
      </c>
      <c r="M2379">
        <v>46</v>
      </c>
      <c r="N2379" t="s">
        <v>61</v>
      </c>
      <c r="O2379" s="3" t="s">
        <v>55</v>
      </c>
      <c r="P2379" t="s">
        <v>33</v>
      </c>
      <c r="Q2379" t="s">
        <v>24</v>
      </c>
      <c r="R2379">
        <v>2</v>
      </c>
      <c r="S2379" t="s">
        <v>42</v>
      </c>
      <c r="T2379" s="4">
        <f t="shared" si="189"/>
        <v>63041.68</v>
      </c>
      <c r="U2379" s="4" t="str">
        <f t="shared" si="190"/>
        <v>Average</v>
      </c>
      <c r="V2379" s="4" t="str">
        <f t="shared" si="186"/>
        <v>Average</v>
      </c>
      <c r="W2379" s="4"/>
      <c r="X2379" s="4"/>
      <c r="AJ2379" s="4"/>
    </row>
    <row r="2380" spans="1:36">
      <c r="A2380" t="str">
        <f t="shared" si="187"/>
        <v>Adit482379</v>
      </c>
      <c r="B2380">
        <v>2379</v>
      </c>
      <c r="C2380">
        <v>16</v>
      </c>
      <c r="D2380">
        <v>8</v>
      </c>
      <c r="E2380">
        <v>2023</v>
      </c>
      <c r="F2380" s="1">
        <f t="shared" si="188"/>
        <v>45154</v>
      </c>
      <c r="G2380" s="1" t="s">
        <v>729</v>
      </c>
      <c r="H2380" s="2">
        <v>46856</v>
      </c>
      <c r="I2380" t="s">
        <v>43</v>
      </c>
      <c r="J2380">
        <v>4</v>
      </c>
      <c r="K2380">
        <v>27825.77</v>
      </c>
      <c r="L2380" t="s">
        <v>993</v>
      </c>
      <c r="M2380">
        <v>48</v>
      </c>
      <c r="N2380" t="s">
        <v>61</v>
      </c>
      <c r="O2380" s="3" t="s">
        <v>22</v>
      </c>
      <c r="P2380" t="s">
        <v>33</v>
      </c>
      <c r="Q2380" t="s">
        <v>41</v>
      </c>
      <c r="R2380">
        <v>5</v>
      </c>
      <c r="S2380" t="s">
        <v>95</v>
      </c>
      <c r="T2380" s="4">
        <f t="shared" si="189"/>
        <v>111303.08</v>
      </c>
      <c r="U2380" s="4" t="str">
        <f t="shared" si="190"/>
        <v>Good</v>
      </c>
      <c r="V2380" s="4" t="str">
        <f t="shared" si="186"/>
        <v>Good</v>
      </c>
      <c r="W2380" s="4"/>
      <c r="X2380" s="4"/>
      <c r="AJ2380" s="4"/>
    </row>
    <row r="2381" spans="1:36">
      <c r="A2381" t="str">
        <f t="shared" si="187"/>
        <v>Pooj302380</v>
      </c>
      <c r="B2381">
        <v>2380</v>
      </c>
      <c r="C2381">
        <v>16</v>
      </c>
      <c r="D2381">
        <v>8</v>
      </c>
      <c r="E2381">
        <v>2023</v>
      </c>
      <c r="F2381" s="1">
        <f t="shared" si="188"/>
        <v>45154</v>
      </c>
      <c r="G2381" s="1" t="s">
        <v>729</v>
      </c>
      <c r="H2381" s="2">
        <v>46857</v>
      </c>
      <c r="I2381" t="s">
        <v>43</v>
      </c>
      <c r="J2381">
        <v>4</v>
      </c>
      <c r="K2381">
        <v>13256.27</v>
      </c>
      <c r="L2381" t="s">
        <v>951</v>
      </c>
      <c r="M2381">
        <v>30</v>
      </c>
      <c r="N2381" t="s">
        <v>36</v>
      </c>
      <c r="O2381" s="3" t="s">
        <v>22</v>
      </c>
      <c r="P2381" t="s">
        <v>132</v>
      </c>
      <c r="Q2381" t="s">
        <v>24</v>
      </c>
      <c r="R2381">
        <v>5</v>
      </c>
      <c r="S2381" t="s">
        <v>57</v>
      </c>
      <c r="T2381" s="4">
        <f t="shared" si="189"/>
        <v>53025.08</v>
      </c>
      <c r="U2381" s="4" t="str">
        <f t="shared" si="190"/>
        <v>Good</v>
      </c>
      <c r="V2381" s="4" t="str">
        <f t="shared" si="186"/>
        <v>Average</v>
      </c>
      <c r="W2381" s="4"/>
      <c r="X2381" s="4"/>
      <c r="AJ2381" s="4"/>
    </row>
    <row r="2382" spans="1:36">
      <c r="A2382" t="str">
        <f t="shared" si="187"/>
        <v>Amit292381</v>
      </c>
      <c r="B2382">
        <v>2381</v>
      </c>
      <c r="C2382">
        <v>16</v>
      </c>
      <c r="D2382">
        <v>8</v>
      </c>
      <c r="E2382">
        <v>2023</v>
      </c>
      <c r="F2382" s="1">
        <f t="shared" si="188"/>
        <v>45154</v>
      </c>
      <c r="G2382" s="1" t="s">
        <v>729</v>
      </c>
      <c r="H2382" s="2">
        <v>46858</v>
      </c>
      <c r="I2382" t="s">
        <v>49</v>
      </c>
      <c r="J2382">
        <v>5</v>
      </c>
      <c r="K2382">
        <v>45797.83</v>
      </c>
      <c r="L2382" t="s">
        <v>411</v>
      </c>
      <c r="M2382">
        <v>29</v>
      </c>
      <c r="N2382" t="s">
        <v>36</v>
      </c>
      <c r="O2382" s="3" t="s">
        <v>55</v>
      </c>
      <c r="P2382" t="s">
        <v>33</v>
      </c>
      <c r="Q2382" t="s">
        <v>56</v>
      </c>
      <c r="R2382">
        <v>2</v>
      </c>
      <c r="S2382" t="s">
        <v>102</v>
      </c>
      <c r="T2382" s="4">
        <f t="shared" si="189"/>
        <v>228989.15000000002</v>
      </c>
      <c r="U2382" s="4" t="str">
        <f t="shared" si="190"/>
        <v>Average</v>
      </c>
      <c r="V2382" s="4" t="str">
        <f t="shared" si="186"/>
        <v>Excellent</v>
      </c>
      <c r="W2382" s="4"/>
      <c r="X2382" s="4"/>
      <c r="AJ2382" s="4"/>
    </row>
    <row r="2383" spans="1:36">
      <c r="A2383" t="str">
        <f t="shared" si="187"/>
        <v>Meen192382</v>
      </c>
      <c r="B2383">
        <v>2382</v>
      </c>
      <c r="C2383">
        <v>16</v>
      </c>
      <c r="D2383">
        <v>8</v>
      </c>
      <c r="E2383">
        <v>2023</v>
      </c>
      <c r="F2383" s="1">
        <f t="shared" si="188"/>
        <v>45154</v>
      </c>
      <c r="G2383" s="1" t="s">
        <v>729</v>
      </c>
      <c r="H2383" s="2">
        <v>46859</v>
      </c>
      <c r="I2383" t="s">
        <v>49</v>
      </c>
      <c r="J2383">
        <v>2</v>
      </c>
      <c r="K2383">
        <v>15211.77</v>
      </c>
      <c r="L2383" t="s">
        <v>682</v>
      </c>
      <c r="M2383">
        <v>19</v>
      </c>
      <c r="N2383" t="s">
        <v>36</v>
      </c>
      <c r="O2383" s="3" t="s">
        <v>55</v>
      </c>
      <c r="P2383" t="s">
        <v>59</v>
      </c>
      <c r="Q2383" t="s">
        <v>30</v>
      </c>
      <c r="R2383">
        <v>2</v>
      </c>
      <c r="S2383" t="s">
        <v>52</v>
      </c>
      <c r="T2383" s="4">
        <f t="shared" si="189"/>
        <v>30423.54</v>
      </c>
      <c r="U2383" s="4" t="str">
        <f t="shared" si="190"/>
        <v>Average</v>
      </c>
      <c r="V2383" s="4" t="str">
        <f t="shared" si="186"/>
        <v>Low</v>
      </c>
      <c r="W2383" s="4"/>
      <c r="X2383" s="4"/>
      <c r="AJ2383" s="4"/>
    </row>
    <row r="2384" spans="1:36">
      <c r="A2384" t="str">
        <f t="shared" si="187"/>
        <v>Amit502383</v>
      </c>
      <c r="B2384">
        <v>2383</v>
      </c>
      <c r="C2384">
        <v>17</v>
      </c>
      <c r="D2384">
        <v>8</v>
      </c>
      <c r="E2384">
        <v>2023</v>
      </c>
      <c r="F2384" s="1">
        <f t="shared" si="188"/>
        <v>45155</v>
      </c>
      <c r="G2384" s="1" t="s">
        <v>729</v>
      </c>
      <c r="H2384" s="2">
        <v>46860</v>
      </c>
      <c r="I2384" t="s">
        <v>26</v>
      </c>
      <c r="J2384">
        <v>2</v>
      </c>
      <c r="K2384">
        <v>52102.82</v>
      </c>
      <c r="L2384" t="s">
        <v>527</v>
      </c>
      <c r="M2384">
        <v>50</v>
      </c>
      <c r="N2384" t="s">
        <v>61</v>
      </c>
      <c r="O2384" s="3" t="s">
        <v>28</v>
      </c>
      <c r="P2384" t="s">
        <v>23</v>
      </c>
      <c r="Q2384" t="s">
        <v>56</v>
      </c>
      <c r="R2384">
        <v>3</v>
      </c>
      <c r="S2384" t="s">
        <v>31</v>
      </c>
      <c r="T2384" s="4">
        <f t="shared" si="189"/>
        <v>104205.64</v>
      </c>
      <c r="U2384" s="4" t="str">
        <f t="shared" si="190"/>
        <v>Average</v>
      </c>
      <c r="V2384" s="4" t="str">
        <f t="shared" si="186"/>
        <v>Good</v>
      </c>
      <c r="W2384" s="4"/>
      <c r="X2384" s="4"/>
      <c r="AJ2384" s="4"/>
    </row>
    <row r="2385" spans="1:36">
      <c r="A2385" t="str">
        <f t="shared" si="187"/>
        <v>Deve252384</v>
      </c>
      <c r="B2385">
        <v>2384</v>
      </c>
      <c r="C2385">
        <v>17</v>
      </c>
      <c r="D2385">
        <v>8</v>
      </c>
      <c r="E2385">
        <v>2023</v>
      </c>
      <c r="F2385" s="1">
        <f t="shared" si="188"/>
        <v>45155</v>
      </c>
      <c r="G2385" s="1" t="s">
        <v>729</v>
      </c>
      <c r="H2385" s="2">
        <v>46861</v>
      </c>
      <c r="I2385" t="s">
        <v>38</v>
      </c>
      <c r="J2385">
        <v>9</v>
      </c>
      <c r="K2385">
        <v>13158.53</v>
      </c>
      <c r="L2385" t="s">
        <v>891</v>
      </c>
      <c r="M2385">
        <v>25</v>
      </c>
      <c r="N2385" t="s">
        <v>36</v>
      </c>
      <c r="O2385" s="3" t="s">
        <v>55</v>
      </c>
      <c r="P2385" t="s">
        <v>29</v>
      </c>
      <c r="Q2385" t="s">
        <v>41</v>
      </c>
      <c r="R2385">
        <v>2</v>
      </c>
      <c r="S2385" t="s">
        <v>48</v>
      </c>
      <c r="T2385" s="4">
        <f t="shared" si="189"/>
        <v>118426.77</v>
      </c>
      <c r="U2385" s="4" t="str">
        <f t="shared" si="190"/>
        <v>Average</v>
      </c>
      <c r="V2385" s="4" t="str">
        <f t="shared" si="186"/>
        <v>Good</v>
      </c>
      <c r="W2385" s="4"/>
      <c r="X2385" s="4"/>
      <c r="AJ2385" s="4"/>
    </row>
    <row r="2386" spans="1:36">
      <c r="A2386" t="str">
        <f t="shared" si="187"/>
        <v>Suni582385</v>
      </c>
      <c r="B2386">
        <v>2385</v>
      </c>
      <c r="C2386">
        <v>17</v>
      </c>
      <c r="D2386">
        <v>8</v>
      </c>
      <c r="E2386">
        <v>2023</v>
      </c>
      <c r="F2386" s="1">
        <f t="shared" si="188"/>
        <v>45155</v>
      </c>
      <c r="G2386" s="1" t="s">
        <v>729</v>
      </c>
      <c r="H2386" s="2">
        <v>46862</v>
      </c>
      <c r="I2386" t="s">
        <v>43</v>
      </c>
      <c r="J2386">
        <v>2</v>
      </c>
      <c r="K2386">
        <v>13558.53</v>
      </c>
      <c r="L2386" t="s">
        <v>119</v>
      </c>
      <c r="M2386">
        <v>58</v>
      </c>
      <c r="N2386" t="s">
        <v>61</v>
      </c>
      <c r="O2386" s="3" t="s">
        <v>55</v>
      </c>
      <c r="P2386" t="s">
        <v>33</v>
      </c>
      <c r="Q2386" t="s">
        <v>24</v>
      </c>
      <c r="R2386">
        <v>2</v>
      </c>
      <c r="S2386" t="s">
        <v>95</v>
      </c>
      <c r="T2386" s="4">
        <f t="shared" si="189"/>
        <v>27117.06</v>
      </c>
      <c r="U2386" s="4" t="str">
        <f t="shared" si="190"/>
        <v>Average</v>
      </c>
      <c r="V2386" s="4" t="str">
        <f t="shared" si="186"/>
        <v>Low</v>
      </c>
      <c r="W2386" s="4"/>
      <c r="X2386" s="4"/>
      <c r="AJ2386" s="4"/>
    </row>
    <row r="2387" spans="1:36">
      <c r="A2387" t="str">
        <f t="shared" si="187"/>
        <v>Sneh572386</v>
      </c>
      <c r="B2387">
        <v>2386</v>
      </c>
      <c r="C2387">
        <v>17</v>
      </c>
      <c r="D2387">
        <v>8</v>
      </c>
      <c r="E2387">
        <v>2023</v>
      </c>
      <c r="F2387" s="1">
        <f t="shared" si="188"/>
        <v>45155</v>
      </c>
      <c r="G2387" s="1" t="s">
        <v>729</v>
      </c>
      <c r="H2387" s="2">
        <v>46863</v>
      </c>
      <c r="I2387" t="s">
        <v>49</v>
      </c>
      <c r="J2387">
        <v>6</v>
      </c>
      <c r="K2387">
        <v>28319.55</v>
      </c>
      <c r="L2387" t="s">
        <v>243</v>
      </c>
      <c r="M2387">
        <v>57</v>
      </c>
      <c r="N2387" t="s">
        <v>61</v>
      </c>
      <c r="O2387" s="3" t="s">
        <v>22</v>
      </c>
      <c r="P2387" t="s">
        <v>33</v>
      </c>
      <c r="Q2387" t="s">
        <v>24</v>
      </c>
      <c r="R2387">
        <v>5</v>
      </c>
      <c r="S2387" t="s">
        <v>88</v>
      </c>
      <c r="T2387" s="4">
        <f t="shared" si="189"/>
        <v>169917.3</v>
      </c>
      <c r="U2387" s="4" t="str">
        <f t="shared" si="190"/>
        <v>Good</v>
      </c>
      <c r="V2387" s="4" t="str">
        <f t="shared" si="186"/>
        <v>Good</v>
      </c>
      <c r="W2387" s="4"/>
      <c r="X2387" s="4"/>
      <c r="AJ2387" s="4"/>
    </row>
    <row r="2388" spans="1:36">
      <c r="A2388" t="str">
        <f t="shared" si="187"/>
        <v>Rame582387</v>
      </c>
      <c r="B2388">
        <v>2387</v>
      </c>
      <c r="C2388">
        <v>18</v>
      </c>
      <c r="D2388">
        <v>8</v>
      </c>
      <c r="E2388">
        <v>2023</v>
      </c>
      <c r="F2388" s="1">
        <f t="shared" si="188"/>
        <v>45156</v>
      </c>
      <c r="G2388" s="1" t="s">
        <v>729</v>
      </c>
      <c r="H2388" s="2">
        <v>46864</v>
      </c>
      <c r="I2388" t="s">
        <v>38</v>
      </c>
      <c r="J2388">
        <v>2</v>
      </c>
      <c r="K2388">
        <v>63794.29</v>
      </c>
      <c r="L2388" t="s">
        <v>458</v>
      </c>
      <c r="M2388">
        <v>58</v>
      </c>
      <c r="N2388" t="s">
        <v>61</v>
      </c>
      <c r="O2388" s="3" t="s">
        <v>22</v>
      </c>
      <c r="P2388" t="s">
        <v>114</v>
      </c>
      <c r="Q2388" t="s">
        <v>30</v>
      </c>
      <c r="R2388">
        <v>4</v>
      </c>
      <c r="S2388" t="s">
        <v>42</v>
      </c>
      <c r="T2388" s="4">
        <f t="shared" si="189"/>
        <v>127588.58</v>
      </c>
      <c r="U2388" s="4" t="str">
        <f t="shared" si="190"/>
        <v>Good</v>
      </c>
      <c r="V2388" s="4" t="str">
        <f t="shared" si="186"/>
        <v>Good</v>
      </c>
      <c r="W2388" s="4"/>
      <c r="X2388" s="4"/>
      <c r="AJ2388" s="4"/>
    </row>
    <row r="2389" spans="1:36">
      <c r="A2389" t="str">
        <f t="shared" si="187"/>
        <v>Anja492388</v>
      </c>
      <c r="B2389">
        <v>2388</v>
      </c>
      <c r="C2389">
        <v>18</v>
      </c>
      <c r="D2389">
        <v>8</v>
      </c>
      <c r="E2389">
        <v>2023</v>
      </c>
      <c r="F2389" s="1">
        <f t="shared" si="188"/>
        <v>45156</v>
      </c>
      <c r="G2389" s="1" t="s">
        <v>729</v>
      </c>
      <c r="H2389" s="2">
        <v>46865</v>
      </c>
      <c r="I2389" t="s">
        <v>49</v>
      </c>
      <c r="J2389">
        <v>5</v>
      </c>
      <c r="K2389">
        <v>48483.59</v>
      </c>
      <c r="L2389" t="s">
        <v>850</v>
      </c>
      <c r="M2389">
        <v>49</v>
      </c>
      <c r="N2389" t="s">
        <v>61</v>
      </c>
      <c r="O2389" s="3" t="s">
        <v>22</v>
      </c>
      <c r="P2389" t="s">
        <v>77</v>
      </c>
      <c r="Q2389" t="s">
        <v>56</v>
      </c>
      <c r="R2389">
        <v>4</v>
      </c>
      <c r="S2389" t="s">
        <v>52</v>
      </c>
      <c r="T2389" s="4">
        <f t="shared" si="189"/>
        <v>242417.94999999998</v>
      </c>
      <c r="U2389" s="4" t="str">
        <f t="shared" si="190"/>
        <v>Good</v>
      </c>
      <c r="V2389" s="4" t="str">
        <f t="shared" si="186"/>
        <v>Excellent</v>
      </c>
      <c r="W2389" s="4"/>
      <c r="X2389" s="4"/>
      <c r="AJ2389" s="4"/>
    </row>
    <row r="2390" spans="1:36">
      <c r="A2390" t="str">
        <f t="shared" si="187"/>
        <v>Nami552389</v>
      </c>
      <c r="B2390">
        <v>2389</v>
      </c>
      <c r="C2390">
        <v>18</v>
      </c>
      <c r="D2390">
        <v>8</v>
      </c>
      <c r="E2390">
        <v>2023</v>
      </c>
      <c r="F2390" s="1">
        <f t="shared" si="188"/>
        <v>45156</v>
      </c>
      <c r="G2390" s="1" t="s">
        <v>729</v>
      </c>
      <c r="H2390" s="2">
        <v>46866</v>
      </c>
      <c r="I2390" t="s">
        <v>49</v>
      </c>
      <c r="J2390">
        <v>4</v>
      </c>
      <c r="K2390">
        <v>56207.88</v>
      </c>
      <c r="L2390" t="s">
        <v>727</v>
      </c>
      <c r="M2390">
        <v>55</v>
      </c>
      <c r="N2390" t="s">
        <v>61</v>
      </c>
      <c r="O2390" s="3" t="s">
        <v>55</v>
      </c>
      <c r="P2390" t="s">
        <v>29</v>
      </c>
      <c r="Q2390" t="s">
        <v>56</v>
      </c>
      <c r="R2390">
        <v>2</v>
      </c>
      <c r="S2390" t="s">
        <v>102</v>
      </c>
      <c r="T2390" s="4">
        <f t="shared" si="189"/>
        <v>224831.52</v>
      </c>
      <c r="U2390" s="4" t="str">
        <f t="shared" si="190"/>
        <v>Average</v>
      </c>
      <c r="V2390" s="4" t="str">
        <f t="shared" si="186"/>
        <v>Excellent</v>
      </c>
      <c r="W2390" s="4"/>
      <c r="X2390" s="4"/>
      <c r="AJ2390" s="4"/>
    </row>
    <row r="2391" spans="1:36">
      <c r="A2391" t="str">
        <f t="shared" si="187"/>
        <v>Ravi452390</v>
      </c>
      <c r="B2391">
        <v>2390</v>
      </c>
      <c r="C2391">
        <v>18</v>
      </c>
      <c r="D2391">
        <v>8</v>
      </c>
      <c r="E2391">
        <v>2023</v>
      </c>
      <c r="F2391" s="1">
        <f t="shared" si="188"/>
        <v>45156</v>
      </c>
      <c r="G2391" s="1" t="s">
        <v>729</v>
      </c>
      <c r="H2391" s="2">
        <v>46867</v>
      </c>
      <c r="I2391" t="s">
        <v>43</v>
      </c>
      <c r="J2391">
        <v>7</v>
      </c>
      <c r="K2391">
        <v>18493.13</v>
      </c>
      <c r="L2391" t="s">
        <v>573</v>
      </c>
      <c r="M2391">
        <v>45</v>
      </c>
      <c r="N2391" t="s">
        <v>21</v>
      </c>
      <c r="O2391" s="3" t="s">
        <v>55</v>
      </c>
      <c r="P2391" t="s">
        <v>110</v>
      </c>
      <c r="Q2391" t="s">
        <v>30</v>
      </c>
      <c r="R2391">
        <v>2</v>
      </c>
      <c r="S2391" t="s">
        <v>57</v>
      </c>
      <c r="T2391" s="4">
        <f t="shared" si="189"/>
        <v>129451.91</v>
      </c>
      <c r="U2391" s="4" t="str">
        <f t="shared" si="190"/>
        <v>Average</v>
      </c>
      <c r="V2391" s="4" t="str">
        <f t="shared" si="186"/>
        <v>Good</v>
      </c>
      <c r="W2391" s="4"/>
      <c r="X2391" s="4"/>
      <c r="AJ2391" s="4"/>
    </row>
    <row r="2392" spans="1:36">
      <c r="A2392" t="str">
        <f t="shared" si="187"/>
        <v>Kavi322391</v>
      </c>
      <c r="B2392">
        <v>2391</v>
      </c>
      <c r="C2392">
        <v>19</v>
      </c>
      <c r="D2392">
        <v>8</v>
      </c>
      <c r="E2392">
        <v>2023</v>
      </c>
      <c r="F2392" s="1">
        <f t="shared" si="188"/>
        <v>45157</v>
      </c>
      <c r="G2392" s="1" t="s">
        <v>729</v>
      </c>
      <c r="H2392" s="2">
        <v>46868</v>
      </c>
      <c r="I2392" t="s">
        <v>43</v>
      </c>
      <c r="J2392">
        <v>7</v>
      </c>
      <c r="K2392">
        <v>60047.53</v>
      </c>
      <c r="L2392" t="s">
        <v>725</v>
      </c>
      <c r="M2392">
        <v>32</v>
      </c>
      <c r="N2392" t="s">
        <v>21</v>
      </c>
      <c r="O2392" s="3" t="s">
        <v>55</v>
      </c>
      <c r="P2392" t="s">
        <v>90</v>
      </c>
      <c r="Q2392" t="s">
        <v>24</v>
      </c>
      <c r="R2392">
        <v>2</v>
      </c>
      <c r="S2392" t="s">
        <v>95</v>
      </c>
      <c r="T2392" s="4">
        <f t="shared" si="189"/>
        <v>420332.70999999996</v>
      </c>
      <c r="U2392" s="4" t="str">
        <f t="shared" si="190"/>
        <v>Average</v>
      </c>
      <c r="V2392" s="4" t="str">
        <f t="shared" si="186"/>
        <v>Excellent</v>
      </c>
      <c r="W2392" s="4"/>
      <c r="X2392" s="4"/>
      <c r="AJ2392" s="4"/>
    </row>
    <row r="2393" spans="1:36">
      <c r="A2393" t="str">
        <f t="shared" si="187"/>
        <v>Vino402392</v>
      </c>
      <c r="B2393">
        <v>2392</v>
      </c>
      <c r="C2393">
        <v>19</v>
      </c>
      <c r="D2393">
        <v>8</v>
      </c>
      <c r="E2393">
        <v>2023</v>
      </c>
      <c r="F2393" s="1">
        <f t="shared" si="188"/>
        <v>45157</v>
      </c>
      <c r="G2393" s="1" t="s">
        <v>729</v>
      </c>
      <c r="H2393" s="2">
        <v>46869</v>
      </c>
      <c r="I2393" t="s">
        <v>49</v>
      </c>
      <c r="J2393">
        <v>6</v>
      </c>
      <c r="K2393">
        <v>10488.77</v>
      </c>
      <c r="L2393" t="s">
        <v>91</v>
      </c>
      <c r="M2393">
        <v>40</v>
      </c>
      <c r="N2393" t="s">
        <v>21</v>
      </c>
      <c r="O2393" s="3" t="s">
        <v>22</v>
      </c>
      <c r="P2393" t="s">
        <v>29</v>
      </c>
      <c r="Q2393" t="s">
        <v>41</v>
      </c>
      <c r="R2393">
        <v>5</v>
      </c>
      <c r="S2393" t="s">
        <v>52</v>
      </c>
      <c r="T2393" s="4">
        <f t="shared" si="189"/>
        <v>62932.62</v>
      </c>
      <c r="U2393" s="4" t="str">
        <f t="shared" si="190"/>
        <v>Good</v>
      </c>
      <c r="V2393" s="4" t="str">
        <f t="shared" si="186"/>
        <v>Average</v>
      </c>
      <c r="W2393" s="4"/>
      <c r="X2393" s="4"/>
      <c r="AJ2393" s="4"/>
    </row>
    <row r="2394" spans="1:36">
      <c r="A2394" t="str">
        <f t="shared" si="187"/>
        <v>Nami412393</v>
      </c>
      <c r="B2394">
        <v>2393</v>
      </c>
      <c r="C2394">
        <v>19</v>
      </c>
      <c r="D2394">
        <v>8</v>
      </c>
      <c r="E2394">
        <v>2023</v>
      </c>
      <c r="F2394" s="1">
        <f t="shared" si="188"/>
        <v>45157</v>
      </c>
      <c r="G2394" s="1" t="s">
        <v>729</v>
      </c>
      <c r="H2394" s="2">
        <v>46870</v>
      </c>
      <c r="I2394" t="s">
        <v>19</v>
      </c>
      <c r="J2394">
        <v>5</v>
      </c>
      <c r="K2394">
        <v>22783.439999999999</v>
      </c>
      <c r="L2394" t="s">
        <v>697</v>
      </c>
      <c r="M2394">
        <v>41</v>
      </c>
      <c r="N2394" t="s">
        <v>21</v>
      </c>
      <c r="O2394" s="3" t="s">
        <v>55</v>
      </c>
      <c r="P2394" t="s">
        <v>29</v>
      </c>
      <c r="Q2394" t="s">
        <v>41</v>
      </c>
      <c r="R2394">
        <v>2</v>
      </c>
      <c r="S2394" t="s">
        <v>84</v>
      </c>
      <c r="T2394" s="4">
        <f t="shared" si="189"/>
        <v>113917.2</v>
      </c>
      <c r="U2394" s="4" t="str">
        <f t="shared" si="190"/>
        <v>Average</v>
      </c>
      <c r="V2394" s="4" t="str">
        <f t="shared" si="186"/>
        <v>Good</v>
      </c>
      <c r="W2394" s="4"/>
      <c r="X2394" s="4"/>
      <c r="AJ2394" s="4"/>
    </row>
    <row r="2395" spans="1:36">
      <c r="A2395" t="str">
        <f t="shared" si="187"/>
        <v>Kira302394</v>
      </c>
      <c r="B2395">
        <v>2394</v>
      </c>
      <c r="C2395">
        <v>19</v>
      </c>
      <c r="D2395">
        <v>8</v>
      </c>
      <c r="E2395">
        <v>2023</v>
      </c>
      <c r="F2395" s="1">
        <f t="shared" si="188"/>
        <v>45157</v>
      </c>
      <c r="G2395" s="1" t="s">
        <v>729</v>
      </c>
      <c r="H2395" s="2">
        <v>46871</v>
      </c>
      <c r="I2395" t="s">
        <v>49</v>
      </c>
      <c r="J2395">
        <v>1</v>
      </c>
      <c r="K2395">
        <v>46965.54</v>
      </c>
      <c r="L2395" t="s">
        <v>265</v>
      </c>
      <c r="M2395">
        <v>30</v>
      </c>
      <c r="N2395" t="s">
        <v>36</v>
      </c>
      <c r="O2395" s="3" t="s">
        <v>55</v>
      </c>
      <c r="P2395" t="s">
        <v>90</v>
      </c>
      <c r="Q2395" t="s">
        <v>30</v>
      </c>
      <c r="R2395">
        <v>2</v>
      </c>
      <c r="S2395" t="s">
        <v>102</v>
      </c>
      <c r="T2395" s="4">
        <f t="shared" si="189"/>
        <v>46965.54</v>
      </c>
      <c r="U2395" s="4" t="str">
        <f t="shared" si="190"/>
        <v>Average</v>
      </c>
      <c r="V2395" s="4" t="str">
        <f t="shared" si="186"/>
        <v>Low</v>
      </c>
      <c r="W2395" s="4"/>
      <c r="X2395" s="4"/>
      <c r="AJ2395" s="4"/>
    </row>
    <row r="2396" spans="1:36">
      <c r="A2396" t="str">
        <f t="shared" si="187"/>
        <v>Priy382395</v>
      </c>
      <c r="B2396">
        <v>2395</v>
      </c>
      <c r="C2396">
        <v>20</v>
      </c>
      <c r="D2396">
        <v>8</v>
      </c>
      <c r="E2396">
        <v>2023</v>
      </c>
      <c r="F2396" s="1">
        <f t="shared" si="188"/>
        <v>45158</v>
      </c>
      <c r="G2396" s="1" t="s">
        <v>729</v>
      </c>
      <c r="H2396" s="2">
        <v>46872</v>
      </c>
      <c r="I2396" t="s">
        <v>49</v>
      </c>
      <c r="J2396">
        <v>3</v>
      </c>
      <c r="K2396">
        <v>32514.78</v>
      </c>
      <c r="L2396" t="s">
        <v>962</v>
      </c>
      <c r="M2396">
        <v>38</v>
      </c>
      <c r="N2396" t="s">
        <v>21</v>
      </c>
      <c r="O2396" s="3" t="s">
        <v>22</v>
      </c>
      <c r="P2396" t="s">
        <v>70</v>
      </c>
      <c r="Q2396" t="s">
        <v>30</v>
      </c>
      <c r="R2396">
        <v>5</v>
      </c>
      <c r="S2396" t="s">
        <v>88</v>
      </c>
      <c r="T2396" s="4">
        <f t="shared" si="189"/>
        <v>97544.34</v>
      </c>
      <c r="U2396" s="4" t="str">
        <f t="shared" si="190"/>
        <v>Good</v>
      </c>
      <c r="V2396" s="4" t="str">
        <f t="shared" si="186"/>
        <v>Average</v>
      </c>
      <c r="W2396" s="4"/>
      <c r="X2396" s="4"/>
      <c r="AJ2396" s="4"/>
    </row>
    <row r="2397" spans="1:36">
      <c r="A2397" t="str">
        <f t="shared" si="187"/>
        <v>Suni292396</v>
      </c>
      <c r="B2397">
        <v>2396</v>
      </c>
      <c r="C2397">
        <v>20</v>
      </c>
      <c r="D2397">
        <v>8</v>
      </c>
      <c r="E2397">
        <v>2023</v>
      </c>
      <c r="F2397" s="1">
        <f t="shared" si="188"/>
        <v>45158</v>
      </c>
      <c r="G2397" s="1" t="s">
        <v>729</v>
      </c>
      <c r="H2397" s="2">
        <v>46873</v>
      </c>
      <c r="I2397" t="s">
        <v>26</v>
      </c>
      <c r="J2397">
        <v>9</v>
      </c>
      <c r="K2397">
        <v>69051.600000000006</v>
      </c>
      <c r="L2397" t="s">
        <v>844</v>
      </c>
      <c r="M2397">
        <v>29</v>
      </c>
      <c r="N2397" t="s">
        <v>36</v>
      </c>
      <c r="O2397" s="3" t="s">
        <v>28</v>
      </c>
      <c r="P2397" t="s">
        <v>114</v>
      </c>
      <c r="Q2397" t="s">
        <v>30</v>
      </c>
      <c r="R2397">
        <v>3</v>
      </c>
      <c r="S2397" t="s">
        <v>67</v>
      </c>
      <c r="T2397" s="4">
        <f t="shared" si="189"/>
        <v>621464.4</v>
      </c>
      <c r="U2397" s="4" t="str">
        <f t="shared" si="190"/>
        <v>Average</v>
      </c>
      <c r="V2397" s="4" t="str">
        <f t="shared" si="186"/>
        <v>Excellent</v>
      </c>
      <c r="W2397" s="4"/>
      <c r="X2397" s="4"/>
      <c r="AJ2397" s="4"/>
    </row>
    <row r="2398" spans="1:36">
      <c r="A2398" t="str">
        <f t="shared" si="187"/>
        <v>Neet302397</v>
      </c>
      <c r="B2398">
        <v>2397</v>
      </c>
      <c r="C2398">
        <v>20</v>
      </c>
      <c r="D2398">
        <v>8</v>
      </c>
      <c r="E2398">
        <v>2023</v>
      </c>
      <c r="F2398" s="1">
        <f t="shared" si="188"/>
        <v>45158</v>
      </c>
      <c r="G2398" s="1" t="s">
        <v>729</v>
      </c>
      <c r="H2398" s="2">
        <v>46874</v>
      </c>
      <c r="I2398" t="s">
        <v>26</v>
      </c>
      <c r="J2398">
        <v>1</v>
      </c>
      <c r="K2398">
        <v>11820.35</v>
      </c>
      <c r="L2398" t="s">
        <v>541</v>
      </c>
      <c r="M2398">
        <v>30</v>
      </c>
      <c r="N2398" t="s">
        <v>36</v>
      </c>
      <c r="O2398" s="3" t="s">
        <v>55</v>
      </c>
      <c r="P2398" t="s">
        <v>29</v>
      </c>
      <c r="Q2398" t="s">
        <v>56</v>
      </c>
      <c r="R2398">
        <v>2</v>
      </c>
      <c r="S2398" t="s">
        <v>34</v>
      </c>
      <c r="T2398" s="4">
        <f t="shared" si="189"/>
        <v>11820.35</v>
      </c>
      <c r="U2398" s="4" t="str">
        <f t="shared" si="190"/>
        <v>Average</v>
      </c>
      <c r="V2398" s="4" t="str">
        <f t="shared" si="186"/>
        <v>Low</v>
      </c>
      <c r="W2398" s="4"/>
      <c r="X2398" s="4"/>
      <c r="AJ2398" s="4"/>
    </row>
    <row r="2399" spans="1:36">
      <c r="A2399" t="str">
        <f t="shared" si="187"/>
        <v>Kris562398</v>
      </c>
      <c r="B2399">
        <v>2398</v>
      </c>
      <c r="C2399">
        <v>20</v>
      </c>
      <c r="D2399">
        <v>8</v>
      </c>
      <c r="E2399">
        <v>2023</v>
      </c>
      <c r="F2399" s="1">
        <f t="shared" si="188"/>
        <v>45158</v>
      </c>
      <c r="G2399" s="1" t="s">
        <v>729</v>
      </c>
      <c r="H2399" s="2">
        <v>46875</v>
      </c>
      <c r="I2399" t="s">
        <v>26</v>
      </c>
      <c r="J2399">
        <v>5</v>
      </c>
      <c r="K2399">
        <v>69915.89</v>
      </c>
      <c r="L2399" t="s">
        <v>644</v>
      </c>
      <c r="M2399">
        <v>56</v>
      </c>
      <c r="N2399" t="s">
        <v>61</v>
      </c>
      <c r="O2399" s="3" t="s">
        <v>28</v>
      </c>
      <c r="P2399" t="s">
        <v>29</v>
      </c>
      <c r="Q2399" t="s">
        <v>24</v>
      </c>
      <c r="R2399">
        <v>3</v>
      </c>
      <c r="S2399" t="s">
        <v>31</v>
      </c>
      <c r="T2399" s="4">
        <f t="shared" si="189"/>
        <v>349579.45</v>
      </c>
      <c r="U2399" s="4" t="str">
        <f t="shared" si="190"/>
        <v>Average</v>
      </c>
      <c r="V2399" s="4" t="str">
        <f t="shared" si="186"/>
        <v>Excellent</v>
      </c>
      <c r="W2399" s="4"/>
      <c r="X2399" s="4"/>
      <c r="AJ2399" s="4"/>
    </row>
    <row r="2400" spans="1:36">
      <c r="A2400" t="str">
        <f t="shared" si="187"/>
        <v>Anja402399</v>
      </c>
      <c r="B2400">
        <v>2399</v>
      </c>
      <c r="C2400">
        <v>21</v>
      </c>
      <c r="D2400">
        <v>8</v>
      </c>
      <c r="E2400">
        <v>2023</v>
      </c>
      <c r="F2400" s="1">
        <f t="shared" si="188"/>
        <v>45159</v>
      </c>
      <c r="G2400" s="1" t="s">
        <v>729</v>
      </c>
      <c r="H2400" s="2">
        <v>46876</v>
      </c>
      <c r="I2400" t="s">
        <v>19</v>
      </c>
      <c r="J2400">
        <v>2</v>
      </c>
      <c r="K2400">
        <v>47417.67</v>
      </c>
      <c r="L2400" t="s">
        <v>121</v>
      </c>
      <c r="M2400">
        <v>40</v>
      </c>
      <c r="N2400" t="s">
        <v>21</v>
      </c>
      <c r="O2400" s="3" t="s">
        <v>22</v>
      </c>
      <c r="P2400" t="s">
        <v>150</v>
      </c>
      <c r="Q2400" t="s">
        <v>24</v>
      </c>
      <c r="R2400">
        <v>4</v>
      </c>
      <c r="S2400" t="s">
        <v>37</v>
      </c>
      <c r="T2400" s="4">
        <f t="shared" si="189"/>
        <v>94835.34</v>
      </c>
      <c r="U2400" s="4" t="str">
        <f t="shared" si="190"/>
        <v>Good</v>
      </c>
      <c r="V2400" s="4" t="str">
        <f t="shared" si="186"/>
        <v>Average</v>
      </c>
      <c r="W2400" s="4"/>
      <c r="X2400" s="4"/>
      <c r="AJ2400" s="4"/>
    </row>
    <row r="2401" spans="1:36">
      <c r="A2401" t="str">
        <f t="shared" si="187"/>
        <v>Lata452400</v>
      </c>
      <c r="B2401">
        <v>2400</v>
      </c>
      <c r="C2401">
        <v>21</v>
      </c>
      <c r="D2401">
        <v>8</v>
      </c>
      <c r="E2401">
        <v>2023</v>
      </c>
      <c r="F2401" s="1">
        <f t="shared" si="188"/>
        <v>45159</v>
      </c>
      <c r="G2401" s="1" t="s">
        <v>729</v>
      </c>
      <c r="H2401" s="2">
        <v>46877</v>
      </c>
      <c r="I2401" t="s">
        <v>19</v>
      </c>
      <c r="J2401">
        <v>4</v>
      </c>
      <c r="K2401">
        <v>43522.42</v>
      </c>
      <c r="L2401" t="s">
        <v>800</v>
      </c>
      <c r="M2401">
        <v>45</v>
      </c>
      <c r="N2401" t="s">
        <v>21</v>
      </c>
      <c r="O2401" s="3" t="s">
        <v>22</v>
      </c>
      <c r="P2401" t="s">
        <v>29</v>
      </c>
      <c r="Q2401" t="s">
        <v>30</v>
      </c>
      <c r="R2401">
        <v>4</v>
      </c>
      <c r="S2401" t="s">
        <v>37</v>
      </c>
      <c r="T2401" s="4">
        <f t="shared" si="189"/>
        <v>174089.68</v>
      </c>
      <c r="U2401" s="4" t="str">
        <f t="shared" si="190"/>
        <v>Good</v>
      </c>
      <c r="V2401" s="4" t="str">
        <f t="shared" si="186"/>
        <v>Good</v>
      </c>
      <c r="W2401" s="4"/>
      <c r="X2401" s="4"/>
      <c r="AJ2401" s="4"/>
    </row>
    <row r="2402" spans="1:36">
      <c r="A2402" t="str">
        <f t="shared" si="187"/>
        <v>Lata312401</v>
      </c>
      <c r="B2402">
        <v>2401</v>
      </c>
      <c r="C2402">
        <v>21</v>
      </c>
      <c r="D2402">
        <v>8</v>
      </c>
      <c r="E2402">
        <v>2023</v>
      </c>
      <c r="F2402" s="1">
        <f t="shared" si="188"/>
        <v>45159</v>
      </c>
      <c r="G2402" s="1" t="s">
        <v>729</v>
      </c>
      <c r="H2402" s="2">
        <v>46878</v>
      </c>
      <c r="I2402" t="s">
        <v>49</v>
      </c>
      <c r="J2402">
        <v>1</v>
      </c>
      <c r="K2402">
        <v>13570.75</v>
      </c>
      <c r="L2402" t="s">
        <v>774</v>
      </c>
      <c r="M2402">
        <v>31</v>
      </c>
      <c r="N2402" t="s">
        <v>21</v>
      </c>
      <c r="O2402" s="3" t="s">
        <v>22</v>
      </c>
      <c r="P2402" t="s">
        <v>114</v>
      </c>
      <c r="Q2402" t="s">
        <v>41</v>
      </c>
      <c r="R2402">
        <v>5</v>
      </c>
      <c r="S2402" t="s">
        <v>102</v>
      </c>
      <c r="T2402" s="4">
        <f t="shared" si="189"/>
        <v>13570.75</v>
      </c>
      <c r="U2402" s="4" t="str">
        <f t="shared" si="190"/>
        <v>Good</v>
      </c>
      <c r="V2402" s="4" t="str">
        <f t="shared" si="186"/>
        <v>Low</v>
      </c>
      <c r="W2402" s="4"/>
      <c r="X2402" s="4"/>
      <c r="AJ2402" s="4"/>
    </row>
    <row r="2403" spans="1:36">
      <c r="A2403" t="str">
        <f t="shared" si="187"/>
        <v>Shru342402</v>
      </c>
      <c r="B2403">
        <v>2402</v>
      </c>
      <c r="C2403">
        <v>22</v>
      </c>
      <c r="D2403">
        <v>8</v>
      </c>
      <c r="E2403">
        <v>2023</v>
      </c>
      <c r="F2403" s="1">
        <f t="shared" si="188"/>
        <v>45160</v>
      </c>
      <c r="G2403" s="1" t="s">
        <v>729</v>
      </c>
      <c r="H2403" s="2">
        <v>46879</v>
      </c>
      <c r="I2403" t="s">
        <v>26</v>
      </c>
      <c r="J2403">
        <v>3</v>
      </c>
      <c r="K2403">
        <v>26399.73</v>
      </c>
      <c r="L2403" t="s">
        <v>623</v>
      </c>
      <c r="M2403">
        <v>34</v>
      </c>
      <c r="N2403" t="s">
        <v>21</v>
      </c>
      <c r="O2403" s="3" t="s">
        <v>55</v>
      </c>
      <c r="P2403" t="s">
        <v>29</v>
      </c>
      <c r="Q2403" t="s">
        <v>56</v>
      </c>
      <c r="R2403">
        <v>2</v>
      </c>
      <c r="S2403" t="s">
        <v>31</v>
      </c>
      <c r="T2403" s="4">
        <f t="shared" si="189"/>
        <v>79199.19</v>
      </c>
      <c r="U2403" s="4" t="str">
        <f t="shared" si="190"/>
        <v>Average</v>
      </c>
      <c r="V2403" s="4" t="str">
        <f t="shared" si="186"/>
        <v>Average</v>
      </c>
      <c r="W2403" s="4"/>
      <c r="X2403" s="4"/>
      <c r="AJ2403" s="4"/>
    </row>
    <row r="2404" spans="1:36">
      <c r="A2404" t="str">
        <f t="shared" si="187"/>
        <v>Kira412403</v>
      </c>
      <c r="B2404">
        <v>2403</v>
      </c>
      <c r="C2404">
        <v>22</v>
      </c>
      <c r="D2404">
        <v>8</v>
      </c>
      <c r="E2404">
        <v>2023</v>
      </c>
      <c r="F2404" s="1">
        <f t="shared" si="188"/>
        <v>45160</v>
      </c>
      <c r="G2404" s="1" t="s">
        <v>729</v>
      </c>
      <c r="H2404" s="2">
        <v>46880</v>
      </c>
      <c r="I2404" t="s">
        <v>19</v>
      </c>
      <c r="J2404">
        <v>7</v>
      </c>
      <c r="K2404">
        <v>65479.76</v>
      </c>
      <c r="L2404" t="s">
        <v>994</v>
      </c>
      <c r="M2404">
        <v>41</v>
      </c>
      <c r="N2404" t="s">
        <v>21</v>
      </c>
      <c r="O2404" s="3" t="s">
        <v>22</v>
      </c>
      <c r="P2404" t="s">
        <v>66</v>
      </c>
      <c r="Q2404" t="s">
        <v>30</v>
      </c>
      <c r="R2404">
        <v>5</v>
      </c>
      <c r="S2404" t="s">
        <v>37</v>
      </c>
      <c r="T2404" s="4">
        <f t="shared" si="189"/>
        <v>458358.32</v>
      </c>
      <c r="U2404" s="4" t="str">
        <f t="shared" si="190"/>
        <v>Good</v>
      </c>
      <c r="V2404" s="4" t="str">
        <f t="shared" si="186"/>
        <v>Excellent</v>
      </c>
      <c r="W2404" s="4"/>
      <c r="X2404" s="4"/>
      <c r="AJ2404" s="4"/>
    </row>
    <row r="2405" spans="1:36">
      <c r="A2405" t="str">
        <f t="shared" si="187"/>
        <v>Priy512404</v>
      </c>
      <c r="B2405">
        <v>2404</v>
      </c>
      <c r="C2405">
        <v>22</v>
      </c>
      <c r="D2405">
        <v>8</v>
      </c>
      <c r="E2405">
        <v>2023</v>
      </c>
      <c r="F2405" s="1">
        <f t="shared" si="188"/>
        <v>45160</v>
      </c>
      <c r="G2405" s="1" t="s">
        <v>729</v>
      </c>
      <c r="H2405" s="2">
        <v>46881</v>
      </c>
      <c r="I2405" t="s">
        <v>43</v>
      </c>
      <c r="J2405">
        <v>3</v>
      </c>
      <c r="K2405">
        <v>31254.76</v>
      </c>
      <c r="L2405" t="s">
        <v>991</v>
      </c>
      <c r="M2405">
        <v>51</v>
      </c>
      <c r="N2405" t="s">
        <v>61</v>
      </c>
      <c r="O2405" s="3" t="s">
        <v>55</v>
      </c>
      <c r="P2405" t="s">
        <v>40</v>
      </c>
      <c r="Q2405" t="s">
        <v>56</v>
      </c>
      <c r="R2405">
        <v>2</v>
      </c>
      <c r="S2405" t="s">
        <v>46</v>
      </c>
      <c r="T2405" s="4">
        <f t="shared" si="189"/>
        <v>93764.28</v>
      </c>
      <c r="U2405" s="4" t="str">
        <f t="shared" si="190"/>
        <v>Average</v>
      </c>
      <c r="V2405" s="4" t="str">
        <f t="shared" si="186"/>
        <v>Average</v>
      </c>
      <c r="W2405" s="4"/>
      <c r="X2405" s="4"/>
      <c r="AJ2405" s="4"/>
    </row>
    <row r="2406" spans="1:36">
      <c r="A2406" t="str">
        <f t="shared" si="187"/>
        <v>Bina392405</v>
      </c>
      <c r="B2406">
        <v>2405</v>
      </c>
      <c r="C2406">
        <v>23</v>
      </c>
      <c r="D2406">
        <v>8</v>
      </c>
      <c r="E2406">
        <v>2023</v>
      </c>
      <c r="F2406" s="1">
        <f t="shared" si="188"/>
        <v>45161</v>
      </c>
      <c r="G2406" s="1" t="s">
        <v>729</v>
      </c>
      <c r="H2406" s="2">
        <v>46882</v>
      </c>
      <c r="I2406" t="s">
        <v>49</v>
      </c>
      <c r="J2406">
        <v>4</v>
      </c>
      <c r="K2406">
        <v>49699.19</v>
      </c>
      <c r="L2406" t="s">
        <v>676</v>
      </c>
      <c r="M2406">
        <v>39</v>
      </c>
      <c r="N2406" t="s">
        <v>21</v>
      </c>
      <c r="O2406" s="3" t="s">
        <v>22</v>
      </c>
      <c r="P2406" t="s">
        <v>77</v>
      </c>
      <c r="Q2406" t="s">
        <v>30</v>
      </c>
      <c r="R2406">
        <v>4</v>
      </c>
      <c r="S2406" t="s">
        <v>52</v>
      </c>
      <c r="T2406" s="4">
        <f t="shared" si="189"/>
        <v>198796.76</v>
      </c>
      <c r="U2406" s="4" t="str">
        <f t="shared" si="190"/>
        <v>Good</v>
      </c>
      <c r="V2406" s="4" t="str">
        <f t="shared" si="186"/>
        <v>Good</v>
      </c>
      <c r="W2406" s="4"/>
      <c r="X2406" s="4"/>
      <c r="AJ2406" s="4"/>
    </row>
    <row r="2407" spans="1:36">
      <c r="A2407" t="str">
        <f t="shared" si="187"/>
        <v>Raje272406</v>
      </c>
      <c r="B2407">
        <v>2406</v>
      </c>
      <c r="C2407">
        <v>23</v>
      </c>
      <c r="D2407">
        <v>8</v>
      </c>
      <c r="E2407">
        <v>2023</v>
      </c>
      <c r="F2407" s="1">
        <f t="shared" si="188"/>
        <v>45161</v>
      </c>
      <c r="G2407" s="1" t="s">
        <v>729</v>
      </c>
      <c r="H2407" s="2">
        <v>46883</v>
      </c>
      <c r="I2407" t="s">
        <v>38</v>
      </c>
      <c r="J2407">
        <v>2</v>
      </c>
      <c r="K2407">
        <v>69969.78</v>
      </c>
      <c r="L2407" t="s">
        <v>981</v>
      </c>
      <c r="M2407">
        <v>27</v>
      </c>
      <c r="N2407" t="s">
        <v>36</v>
      </c>
      <c r="O2407" s="3" t="s">
        <v>22</v>
      </c>
      <c r="P2407" t="s">
        <v>59</v>
      </c>
      <c r="Q2407" t="s">
        <v>56</v>
      </c>
      <c r="R2407">
        <v>5</v>
      </c>
      <c r="S2407" t="s">
        <v>48</v>
      </c>
      <c r="T2407" s="4">
        <f t="shared" si="189"/>
        <v>139939.56</v>
      </c>
      <c r="U2407" s="4" t="str">
        <f t="shared" si="190"/>
        <v>Good</v>
      </c>
      <c r="V2407" s="4" t="str">
        <f t="shared" si="186"/>
        <v>Good</v>
      </c>
      <c r="W2407" s="4"/>
      <c r="X2407" s="4"/>
      <c r="AJ2407" s="4"/>
    </row>
    <row r="2408" spans="1:36">
      <c r="A2408" t="str">
        <f t="shared" si="187"/>
        <v>Nami252407</v>
      </c>
      <c r="B2408">
        <v>2407</v>
      </c>
      <c r="C2408">
        <v>23</v>
      </c>
      <c r="D2408">
        <v>8</v>
      </c>
      <c r="E2408">
        <v>2023</v>
      </c>
      <c r="F2408" s="1">
        <f t="shared" si="188"/>
        <v>45161</v>
      </c>
      <c r="G2408" s="1" t="s">
        <v>729</v>
      </c>
      <c r="H2408" s="2">
        <v>46884</v>
      </c>
      <c r="I2408" t="s">
        <v>49</v>
      </c>
      <c r="J2408">
        <v>3</v>
      </c>
      <c r="K2408">
        <v>25784.18</v>
      </c>
      <c r="L2408" t="s">
        <v>214</v>
      </c>
      <c r="M2408">
        <v>25</v>
      </c>
      <c r="N2408" t="s">
        <v>36</v>
      </c>
      <c r="O2408" s="3" t="s">
        <v>22</v>
      </c>
      <c r="P2408" t="s">
        <v>70</v>
      </c>
      <c r="Q2408" t="s">
        <v>41</v>
      </c>
      <c r="R2408">
        <v>5</v>
      </c>
      <c r="S2408" t="s">
        <v>102</v>
      </c>
      <c r="T2408" s="4">
        <f t="shared" si="189"/>
        <v>77352.540000000008</v>
      </c>
      <c r="U2408" s="4" t="str">
        <f t="shared" si="190"/>
        <v>Good</v>
      </c>
      <c r="V2408" s="4" t="str">
        <f t="shared" si="186"/>
        <v>Average</v>
      </c>
      <c r="W2408" s="4"/>
      <c r="X2408" s="4"/>
      <c r="AJ2408" s="4"/>
    </row>
    <row r="2409" spans="1:36">
      <c r="A2409" t="str">
        <f t="shared" si="187"/>
        <v>Sach382408</v>
      </c>
      <c r="B2409">
        <v>2408</v>
      </c>
      <c r="C2409">
        <v>23</v>
      </c>
      <c r="D2409">
        <v>8</v>
      </c>
      <c r="E2409">
        <v>2023</v>
      </c>
      <c r="F2409" s="1">
        <f t="shared" si="188"/>
        <v>45161</v>
      </c>
      <c r="G2409" s="1" t="s">
        <v>729</v>
      </c>
      <c r="H2409" s="2">
        <v>46885</v>
      </c>
      <c r="I2409" t="s">
        <v>38</v>
      </c>
      <c r="J2409">
        <v>9</v>
      </c>
      <c r="K2409">
        <v>44564.85</v>
      </c>
      <c r="L2409" t="s">
        <v>536</v>
      </c>
      <c r="M2409">
        <v>38</v>
      </c>
      <c r="N2409" t="s">
        <v>21</v>
      </c>
      <c r="O2409" s="3" t="s">
        <v>55</v>
      </c>
      <c r="P2409" t="s">
        <v>64</v>
      </c>
      <c r="Q2409" t="s">
        <v>41</v>
      </c>
      <c r="R2409">
        <v>2</v>
      </c>
      <c r="S2409" t="s">
        <v>48</v>
      </c>
      <c r="T2409" s="4">
        <f t="shared" si="189"/>
        <v>401083.64999999997</v>
      </c>
      <c r="U2409" s="4" t="str">
        <f t="shared" si="190"/>
        <v>Average</v>
      </c>
      <c r="V2409" s="4" t="str">
        <f t="shared" si="186"/>
        <v>Excellent</v>
      </c>
      <c r="W2409" s="4"/>
      <c r="X2409" s="4"/>
      <c r="AJ2409" s="4"/>
    </row>
    <row r="2410" spans="1:36">
      <c r="A2410" t="str">
        <f t="shared" si="187"/>
        <v>Deve542409</v>
      </c>
      <c r="B2410">
        <v>2409</v>
      </c>
      <c r="C2410">
        <v>24</v>
      </c>
      <c r="D2410">
        <v>8</v>
      </c>
      <c r="E2410">
        <v>2023</v>
      </c>
      <c r="F2410" s="1">
        <f t="shared" si="188"/>
        <v>45162</v>
      </c>
      <c r="G2410" s="1" t="s">
        <v>729</v>
      </c>
      <c r="H2410" s="2">
        <v>46886</v>
      </c>
      <c r="I2410" t="s">
        <v>26</v>
      </c>
      <c r="J2410">
        <v>3</v>
      </c>
      <c r="K2410">
        <v>51786.27</v>
      </c>
      <c r="L2410" t="s">
        <v>548</v>
      </c>
      <c r="M2410">
        <v>54</v>
      </c>
      <c r="N2410" t="s">
        <v>61</v>
      </c>
      <c r="O2410" s="3" t="s">
        <v>22</v>
      </c>
      <c r="P2410" t="s">
        <v>29</v>
      </c>
      <c r="Q2410" t="s">
        <v>41</v>
      </c>
      <c r="R2410">
        <v>4</v>
      </c>
      <c r="S2410" t="s">
        <v>34</v>
      </c>
      <c r="T2410" s="4">
        <f t="shared" si="189"/>
        <v>155358.81</v>
      </c>
      <c r="U2410" s="4" t="str">
        <f t="shared" si="190"/>
        <v>Good</v>
      </c>
      <c r="V2410" s="4" t="str">
        <f t="shared" si="186"/>
        <v>Good</v>
      </c>
      <c r="W2410" s="4"/>
      <c r="X2410" s="4"/>
      <c r="AJ2410" s="4"/>
    </row>
    <row r="2411" spans="1:36">
      <c r="A2411" t="str">
        <f t="shared" si="187"/>
        <v>Deep242410</v>
      </c>
      <c r="B2411">
        <v>2410</v>
      </c>
      <c r="C2411">
        <v>24</v>
      </c>
      <c r="D2411">
        <v>8</v>
      </c>
      <c r="E2411">
        <v>2023</v>
      </c>
      <c r="F2411" s="1">
        <f t="shared" si="188"/>
        <v>45162</v>
      </c>
      <c r="G2411" s="1" t="s">
        <v>729</v>
      </c>
      <c r="H2411" s="2">
        <v>46887</v>
      </c>
      <c r="I2411" t="s">
        <v>38</v>
      </c>
      <c r="J2411">
        <v>5</v>
      </c>
      <c r="K2411">
        <v>19877.63</v>
      </c>
      <c r="L2411" t="s">
        <v>793</v>
      </c>
      <c r="M2411">
        <v>24</v>
      </c>
      <c r="N2411" t="s">
        <v>36</v>
      </c>
      <c r="O2411" s="3" t="s">
        <v>22</v>
      </c>
      <c r="P2411" t="s">
        <v>29</v>
      </c>
      <c r="Q2411" t="s">
        <v>41</v>
      </c>
      <c r="R2411">
        <v>4</v>
      </c>
      <c r="S2411" t="s">
        <v>42</v>
      </c>
      <c r="T2411" s="4">
        <f t="shared" si="189"/>
        <v>99388.150000000009</v>
      </c>
      <c r="U2411" s="4" t="str">
        <f t="shared" si="190"/>
        <v>Good</v>
      </c>
      <c r="V2411" s="4" t="str">
        <f t="shared" si="186"/>
        <v>Average</v>
      </c>
      <c r="W2411" s="4"/>
      <c r="X2411" s="4"/>
      <c r="AJ2411" s="4"/>
    </row>
    <row r="2412" spans="1:36">
      <c r="A2412" t="str">
        <f t="shared" si="187"/>
        <v>Pank432411</v>
      </c>
      <c r="B2412">
        <v>2411</v>
      </c>
      <c r="C2412">
        <v>24</v>
      </c>
      <c r="D2412">
        <v>8</v>
      </c>
      <c r="E2412">
        <v>2023</v>
      </c>
      <c r="F2412" s="1">
        <f t="shared" si="188"/>
        <v>45162</v>
      </c>
      <c r="G2412" s="1" t="s">
        <v>729</v>
      </c>
      <c r="H2412" s="2">
        <v>46888</v>
      </c>
      <c r="I2412" t="s">
        <v>26</v>
      </c>
      <c r="J2412">
        <v>2</v>
      </c>
      <c r="K2412">
        <v>18920.349999999999</v>
      </c>
      <c r="L2412" t="s">
        <v>796</v>
      </c>
      <c r="M2412">
        <v>43</v>
      </c>
      <c r="N2412" t="s">
        <v>21</v>
      </c>
      <c r="O2412" s="3" t="s">
        <v>55</v>
      </c>
      <c r="P2412" t="s">
        <v>33</v>
      </c>
      <c r="Q2412" t="s">
        <v>24</v>
      </c>
      <c r="R2412">
        <v>2</v>
      </c>
      <c r="S2412" t="s">
        <v>34</v>
      </c>
      <c r="T2412" s="4">
        <f t="shared" si="189"/>
        <v>37840.699999999997</v>
      </c>
      <c r="U2412" s="4" t="str">
        <f t="shared" si="190"/>
        <v>Average</v>
      </c>
      <c r="V2412" s="4" t="str">
        <f t="shared" si="186"/>
        <v>Low</v>
      </c>
      <c r="W2412" s="4"/>
      <c r="X2412" s="4"/>
      <c r="AJ2412" s="4"/>
    </row>
    <row r="2413" spans="1:36">
      <c r="A2413" t="str">
        <f t="shared" si="187"/>
        <v>Suni302412</v>
      </c>
      <c r="B2413">
        <v>2412</v>
      </c>
      <c r="C2413">
        <v>25</v>
      </c>
      <c r="D2413">
        <v>8</v>
      </c>
      <c r="E2413">
        <v>2023</v>
      </c>
      <c r="F2413" s="1">
        <f t="shared" si="188"/>
        <v>45163</v>
      </c>
      <c r="G2413" s="1" t="s">
        <v>729</v>
      </c>
      <c r="H2413" s="2">
        <v>46889</v>
      </c>
      <c r="I2413" t="s">
        <v>43</v>
      </c>
      <c r="J2413">
        <v>4</v>
      </c>
      <c r="K2413">
        <v>37378.47</v>
      </c>
      <c r="L2413" t="s">
        <v>653</v>
      </c>
      <c r="M2413">
        <v>30</v>
      </c>
      <c r="N2413" t="s">
        <v>36</v>
      </c>
      <c r="O2413" s="3" t="s">
        <v>55</v>
      </c>
      <c r="P2413" t="s">
        <v>110</v>
      </c>
      <c r="Q2413" t="s">
        <v>24</v>
      </c>
      <c r="R2413">
        <v>2</v>
      </c>
      <c r="S2413" t="s">
        <v>57</v>
      </c>
      <c r="T2413" s="4">
        <f t="shared" si="189"/>
        <v>149513.88</v>
      </c>
      <c r="U2413" s="4" t="str">
        <f t="shared" si="190"/>
        <v>Average</v>
      </c>
      <c r="V2413" s="4" t="str">
        <f t="shared" si="186"/>
        <v>Good</v>
      </c>
      <c r="W2413" s="4"/>
      <c r="X2413" s="4"/>
      <c r="AJ2413" s="4"/>
    </row>
    <row r="2414" spans="1:36">
      <c r="A2414" t="str">
        <f t="shared" si="187"/>
        <v>Nami332413</v>
      </c>
      <c r="B2414">
        <v>2413</v>
      </c>
      <c r="C2414">
        <v>25</v>
      </c>
      <c r="D2414">
        <v>8</v>
      </c>
      <c r="E2414">
        <v>2023</v>
      </c>
      <c r="F2414" s="1">
        <f t="shared" si="188"/>
        <v>45163</v>
      </c>
      <c r="G2414" s="1" t="s">
        <v>729</v>
      </c>
      <c r="H2414" s="2">
        <v>46890</v>
      </c>
      <c r="I2414" t="s">
        <v>38</v>
      </c>
      <c r="J2414">
        <v>7</v>
      </c>
      <c r="K2414">
        <v>33148.75</v>
      </c>
      <c r="L2414" t="s">
        <v>60</v>
      </c>
      <c r="M2414">
        <v>33</v>
      </c>
      <c r="N2414" t="s">
        <v>21</v>
      </c>
      <c r="O2414" s="3" t="s">
        <v>55</v>
      </c>
      <c r="P2414" t="s">
        <v>117</v>
      </c>
      <c r="Q2414" t="s">
        <v>56</v>
      </c>
      <c r="R2414">
        <v>2</v>
      </c>
      <c r="S2414" t="s">
        <v>99</v>
      </c>
      <c r="T2414" s="4">
        <f t="shared" si="189"/>
        <v>232041.25</v>
      </c>
      <c r="U2414" s="4" t="str">
        <f t="shared" si="190"/>
        <v>Average</v>
      </c>
      <c r="V2414" s="4" t="str">
        <f t="shared" si="186"/>
        <v>Excellent</v>
      </c>
      <c r="W2414" s="4"/>
      <c r="X2414" s="4"/>
      <c r="AJ2414" s="4"/>
    </row>
    <row r="2415" spans="1:36">
      <c r="A2415" t="str">
        <f t="shared" si="187"/>
        <v>Navi472414</v>
      </c>
      <c r="B2415">
        <v>2414</v>
      </c>
      <c r="C2415">
        <v>25</v>
      </c>
      <c r="D2415">
        <v>8</v>
      </c>
      <c r="E2415">
        <v>2023</v>
      </c>
      <c r="F2415" s="1">
        <f t="shared" si="188"/>
        <v>45163</v>
      </c>
      <c r="G2415" s="1" t="s">
        <v>729</v>
      </c>
      <c r="H2415" s="2">
        <v>46891</v>
      </c>
      <c r="I2415" t="s">
        <v>49</v>
      </c>
      <c r="J2415">
        <v>7</v>
      </c>
      <c r="K2415">
        <v>52852.93</v>
      </c>
      <c r="L2415" t="s">
        <v>603</v>
      </c>
      <c r="M2415">
        <v>47</v>
      </c>
      <c r="N2415" t="s">
        <v>61</v>
      </c>
      <c r="O2415" s="3" t="s">
        <v>22</v>
      </c>
      <c r="P2415" t="s">
        <v>132</v>
      </c>
      <c r="Q2415" t="s">
        <v>30</v>
      </c>
      <c r="R2415">
        <v>4</v>
      </c>
      <c r="S2415" t="s">
        <v>102</v>
      </c>
      <c r="T2415" s="4">
        <f t="shared" si="189"/>
        <v>369970.51</v>
      </c>
      <c r="U2415" s="4" t="str">
        <f t="shared" si="190"/>
        <v>Good</v>
      </c>
      <c r="V2415" s="4" t="str">
        <f t="shared" si="186"/>
        <v>Excellent</v>
      </c>
      <c r="W2415" s="4"/>
      <c r="X2415" s="4"/>
      <c r="AJ2415" s="4"/>
    </row>
    <row r="2416" spans="1:36">
      <c r="A2416" t="str">
        <f t="shared" si="187"/>
        <v>Suni482415</v>
      </c>
      <c r="B2416">
        <v>2415</v>
      </c>
      <c r="C2416">
        <v>25</v>
      </c>
      <c r="D2416">
        <v>8</v>
      </c>
      <c r="E2416">
        <v>2023</v>
      </c>
      <c r="F2416" s="1">
        <f t="shared" si="188"/>
        <v>45163</v>
      </c>
      <c r="G2416" s="1" t="s">
        <v>729</v>
      </c>
      <c r="H2416" s="2">
        <v>46892</v>
      </c>
      <c r="I2416" t="s">
        <v>26</v>
      </c>
      <c r="J2416">
        <v>3</v>
      </c>
      <c r="K2416">
        <v>14170.53</v>
      </c>
      <c r="L2416" t="s">
        <v>884</v>
      </c>
      <c r="M2416">
        <v>48</v>
      </c>
      <c r="N2416" t="s">
        <v>61</v>
      </c>
      <c r="O2416" s="3" t="s">
        <v>22</v>
      </c>
      <c r="P2416" t="s">
        <v>29</v>
      </c>
      <c r="Q2416" t="s">
        <v>24</v>
      </c>
      <c r="R2416">
        <v>4</v>
      </c>
      <c r="S2416" t="s">
        <v>34</v>
      </c>
      <c r="T2416" s="4">
        <f t="shared" si="189"/>
        <v>42511.590000000004</v>
      </c>
      <c r="U2416" s="4" t="str">
        <f t="shared" si="190"/>
        <v>Good</v>
      </c>
      <c r="V2416" s="4" t="str">
        <f t="shared" si="186"/>
        <v>Low</v>
      </c>
      <c r="W2416" s="4"/>
      <c r="X2416" s="4"/>
      <c r="AJ2416" s="4"/>
    </row>
    <row r="2417" spans="1:36">
      <c r="A2417" t="str">
        <f t="shared" si="187"/>
        <v>Kavi222416</v>
      </c>
      <c r="B2417">
        <v>2416</v>
      </c>
      <c r="C2417">
        <v>26</v>
      </c>
      <c r="D2417">
        <v>8</v>
      </c>
      <c r="E2417">
        <v>2023</v>
      </c>
      <c r="F2417" s="1">
        <f t="shared" si="188"/>
        <v>45164</v>
      </c>
      <c r="G2417" s="1" t="s">
        <v>729</v>
      </c>
      <c r="H2417" s="2">
        <v>46893</v>
      </c>
      <c r="I2417" t="s">
        <v>49</v>
      </c>
      <c r="J2417">
        <v>5</v>
      </c>
      <c r="K2417">
        <v>68330</v>
      </c>
      <c r="L2417" t="s">
        <v>556</v>
      </c>
      <c r="M2417">
        <v>22</v>
      </c>
      <c r="N2417" t="s">
        <v>36</v>
      </c>
      <c r="O2417" s="3" t="s">
        <v>22</v>
      </c>
      <c r="P2417" t="s">
        <v>33</v>
      </c>
      <c r="Q2417" t="s">
        <v>30</v>
      </c>
      <c r="R2417">
        <v>5</v>
      </c>
      <c r="S2417" t="s">
        <v>102</v>
      </c>
      <c r="T2417" s="4">
        <f t="shared" si="189"/>
        <v>341650</v>
      </c>
      <c r="U2417" s="4" t="str">
        <f t="shared" si="190"/>
        <v>Good</v>
      </c>
      <c r="V2417" s="4" t="str">
        <f t="shared" si="186"/>
        <v>Excellent</v>
      </c>
      <c r="W2417" s="4"/>
      <c r="X2417" s="4"/>
      <c r="AJ2417" s="4"/>
    </row>
    <row r="2418" spans="1:36">
      <c r="A2418" t="str">
        <f t="shared" si="187"/>
        <v>Hari492417</v>
      </c>
      <c r="B2418">
        <v>2417</v>
      </c>
      <c r="C2418">
        <v>26</v>
      </c>
      <c r="D2418">
        <v>8</v>
      </c>
      <c r="E2418">
        <v>2023</v>
      </c>
      <c r="F2418" s="1">
        <f t="shared" si="188"/>
        <v>45164</v>
      </c>
      <c r="G2418" s="1" t="s">
        <v>729</v>
      </c>
      <c r="H2418" s="2">
        <v>46894</v>
      </c>
      <c r="I2418" t="s">
        <v>19</v>
      </c>
      <c r="J2418">
        <v>1</v>
      </c>
      <c r="K2418">
        <v>10856.62</v>
      </c>
      <c r="L2418" t="s">
        <v>344</v>
      </c>
      <c r="M2418">
        <v>49</v>
      </c>
      <c r="N2418" t="s">
        <v>61</v>
      </c>
      <c r="O2418" s="3" t="s">
        <v>22</v>
      </c>
      <c r="P2418" t="s">
        <v>110</v>
      </c>
      <c r="Q2418" t="s">
        <v>56</v>
      </c>
      <c r="R2418">
        <v>4</v>
      </c>
      <c r="S2418" t="s">
        <v>25</v>
      </c>
      <c r="T2418" s="4">
        <f t="shared" si="189"/>
        <v>10856.62</v>
      </c>
      <c r="U2418" s="4" t="str">
        <f t="shared" si="190"/>
        <v>Good</v>
      </c>
      <c r="V2418" s="4" t="str">
        <f t="shared" si="186"/>
        <v>Low</v>
      </c>
      <c r="W2418" s="4"/>
      <c r="X2418" s="4"/>
      <c r="AJ2418" s="4"/>
    </row>
    <row r="2419" spans="1:36">
      <c r="A2419" t="str">
        <f t="shared" si="187"/>
        <v>Sach332418</v>
      </c>
      <c r="B2419">
        <v>2418</v>
      </c>
      <c r="C2419">
        <v>26</v>
      </c>
      <c r="D2419">
        <v>8</v>
      </c>
      <c r="E2419">
        <v>2023</v>
      </c>
      <c r="F2419" s="1">
        <f t="shared" si="188"/>
        <v>45164</v>
      </c>
      <c r="G2419" s="1" t="s">
        <v>729</v>
      </c>
      <c r="H2419" s="2">
        <v>46895</v>
      </c>
      <c r="I2419" t="s">
        <v>26</v>
      </c>
      <c r="J2419">
        <v>1</v>
      </c>
      <c r="K2419">
        <v>46079.01</v>
      </c>
      <c r="L2419" t="s">
        <v>631</v>
      </c>
      <c r="M2419">
        <v>33</v>
      </c>
      <c r="N2419" t="s">
        <v>21</v>
      </c>
      <c r="O2419" s="3" t="s">
        <v>28</v>
      </c>
      <c r="P2419" t="s">
        <v>64</v>
      </c>
      <c r="Q2419" t="s">
        <v>30</v>
      </c>
      <c r="R2419">
        <v>3</v>
      </c>
      <c r="S2419" t="s">
        <v>34</v>
      </c>
      <c r="T2419" s="4">
        <f t="shared" si="189"/>
        <v>46079.01</v>
      </c>
      <c r="U2419" s="4" t="str">
        <f t="shared" si="190"/>
        <v>Average</v>
      </c>
      <c r="V2419" s="4" t="str">
        <f t="shared" si="186"/>
        <v>Low</v>
      </c>
      <c r="W2419" s="4"/>
      <c r="X2419" s="4"/>
      <c r="AJ2419" s="4"/>
    </row>
    <row r="2420" spans="1:36">
      <c r="A2420" t="str">
        <f t="shared" si="187"/>
        <v>Sumi262419</v>
      </c>
      <c r="B2420">
        <v>2419</v>
      </c>
      <c r="C2420">
        <v>26</v>
      </c>
      <c r="D2420">
        <v>8</v>
      </c>
      <c r="E2420">
        <v>2023</v>
      </c>
      <c r="F2420" s="1">
        <f t="shared" si="188"/>
        <v>45164</v>
      </c>
      <c r="G2420" s="1" t="s">
        <v>729</v>
      </c>
      <c r="H2420" s="2">
        <v>46896</v>
      </c>
      <c r="I2420" t="s">
        <v>38</v>
      </c>
      <c r="J2420">
        <v>5</v>
      </c>
      <c r="K2420">
        <v>43757.96</v>
      </c>
      <c r="L2420" t="s">
        <v>813</v>
      </c>
      <c r="M2420">
        <v>26</v>
      </c>
      <c r="N2420" t="s">
        <v>36</v>
      </c>
      <c r="O2420" s="3" t="s">
        <v>28</v>
      </c>
      <c r="P2420" t="s">
        <v>93</v>
      </c>
      <c r="Q2420" t="s">
        <v>41</v>
      </c>
      <c r="R2420">
        <v>3</v>
      </c>
      <c r="S2420" t="s">
        <v>48</v>
      </c>
      <c r="T2420" s="4">
        <f t="shared" si="189"/>
        <v>218789.8</v>
      </c>
      <c r="U2420" s="4" t="str">
        <f t="shared" si="190"/>
        <v>Average</v>
      </c>
      <c r="V2420" s="4" t="str">
        <f t="shared" si="186"/>
        <v>Excellent</v>
      </c>
      <c r="W2420" s="4"/>
      <c r="X2420" s="4"/>
      <c r="AJ2420" s="4"/>
    </row>
    <row r="2421" spans="1:36">
      <c r="A2421" t="str">
        <f t="shared" si="187"/>
        <v>Amit392420</v>
      </c>
      <c r="B2421">
        <v>2420</v>
      </c>
      <c r="C2421">
        <v>27</v>
      </c>
      <c r="D2421">
        <v>8</v>
      </c>
      <c r="E2421">
        <v>2023</v>
      </c>
      <c r="F2421" s="1">
        <f t="shared" si="188"/>
        <v>45165</v>
      </c>
      <c r="G2421" s="1" t="s">
        <v>729</v>
      </c>
      <c r="H2421" s="2">
        <v>46897</v>
      </c>
      <c r="I2421" t="s">
        <v>26</v>
      </c>
      <c r="J2421">
        <v>9</v>
      </c>
      <c r="K2421">
        <v>18082.939999999999</v>
      </c>
      <c r="L2421" t="s">
        <v>995</v>
      </c>
      <c r="M2421">
        <v>39</v>
      </c>
      <c r="N2421" t="s">
        <v>21</v>
      </c>
      <c r="O2421" s="3" t="s">
        <v>55</v>
      </c>
      <c r="P2421" t="s">
        <v>64</v>
      </c>
      <c r="Q2421" t="s">
        <v>41</v>
      </c>
      <c r="R2421">
        <v>2</v>
      </c>
      <c r="S2421" t="s">
        <v>67</v>
      </c>
      <c r="T2421" s="4">
        <f t="shared" si="189"/>
        <v>162746.46</v>
      </c>
      <c r="U2421" s="4" t="str">
        <f t="shared" si="190"/>
        <v>Average</v>
      </c>
      <c r="V2421" s="4" t="str">
        <f t="shared" si="186"/>
        <v>Good</v>
      </c>
      <c r="W2421" s="4"/>
      <c r="X2421" s="4"/>
      <c r="AJ2421" s="4"/>
    </row>
    <row r="2422" spans="1:36">
      <c r="A2422" t="str">
        <f t="shared" si="187"/>
        <v>Vija572421</v>
      </c>
      <c r="B2422">
        <v>2421</v>
      </c>
      <c r="C2422">
        <v>27</v>
      </c>
      <c r="D2422">
        <v>8</v>
      </c>
      <c r="E2422">
        <v>2023</v>
      </c>
      <c r="F2422" s="1">
        <f t="shared" si="188"/>
        <v>45165</v>
      </c>
      <c r="G2422" s="1" t="s">
        <v>729</v>
      </c>
      <c r="H2422" s="2">
        <v>46898</v>
      </c>
      <c r="I2422" t="s">
        <v>49</v>
      </c>
      <c r="J2422">
        <v>1</v>
      </c>
      <c r="K2422">
        <v>19054.96</v>
      </c>
      <c r="L2422" t="s">
        <v>996</v>
      </c>
      <c r="M2422">
        <v>57</v>
      </c>
      <c r="N2422" t="s">
        <v>61</v>
      </c>
      <c r="O2422" s="3" t="s">
        <v>55</v>
      </c>
      <c r="P2422" t="s">
        <v>66</v>
      </c>
      <c r="Q2422" t="s">
        <v>24</v>
      </c>
      <c r="R2422">
        <v>2</v>
      </c>
      <c r="S2422" t="s">
        <v>52</v>
      </c>
      <c r="T2422" s="4">
        <f t="shared" si="189"/>
        <v>19054.96</v>
      </c>
      <c r="U2422" s="4" t="str">
        <f t="shared" si="190"/>
        <v>Average</v>
      </c>
      <c r="V2422" s="4" t="str">
        <f t="shared" si="186"/>
        <v>Low</v>
      </c>
      <c r="W2422" s="4"/>
      <c r="X2422" s="4"/>
      <c r="AJ2422" s="4"/>
    </row>
    <row r="2423" spans="1:36">
      <c r="A2423" t="str">
        <f t="shared" si="187"/>
        <v>Moni542422</v>
      </c>
      <c r="B2423">
        <v>2422</v>
      </c>
      <c r="C2423">
        <v>27</v>
      </c>
      <c r="D2423">
        <v>8</v>
      </c>
      <c r="E2423">
        <v>2023</v>
      </c>
      <c r="F2423" s="1">
        <f t="shared" si="188"/>
        <v>45165</v>
      </c>
      <c r="G2423" s="1" t="s">
        <v>729</v>
      </c>
      <c r="H2423" s="2">
        <v>46899</v>
      </c>
      <c r="I2423" t="s">
        <v>43</v>
      </c>
      <c r="J2423">
        <v>1</v>
      </c>
      <c r="K2423">
        <v>57560.65</v>
      </c>
      <c r="L2423" t="s">
        <v>267</v>
      </c>
      <c r="M2423">
        <v>54</v>
      </c>
      <c r="N2423" t="s">
        <v>61</v>
      </c>
      <c r="O2423" s="3" t="s">
        <v>55</v>
      </c>
      <c r="P2423" t="s">
        <v>132</v>
      </c>
      <c r="Q2423" t="s">
        <v>56</v>
      </c>
      <c r="R2423">
        <v>2</v>
      </c>
      <c r="S2423" t="s">
        <v>95</v>
      </c>
      <c r="T2423" s="4">
        <f t="shared" si="189"/>
        <v>57560.65</v>
      </c>
      <c r="U2423" s="4" t="str">
        <f t="shared" si="190"/>
        <v>Average</v>
      </c>
      <c r="V2423" s="4" t="str">
        <f t="shared" si="186"/>
        <v>Average</v>
      </c>
      <c r="W2423" s="4"/>
      <c r="X2423" s="4"/>
      <c r="AJ2423" s="4"/>
    </row>
    <row r="2424" spans="1:36">
      <c r="A2424" t="str">
        <f t="shared" si="187"/>
        <v>Vino312423</v>
      </c>
      <c r="B2424">
        <v>2423</v>
      </c>
      <c r="C2424">
        <v>28</v>
      </c>
      <c r="D2424">
        <v>8</v>
      </c>
      <c r="E2424">
        <v>2023</v>
      </c>
      <c r="F2424" s="1">
        <f t="shared" si="188"/>
        <v>45166</v>
      </c>
      <c r="G2424" s="1" t="s">
        <v>729</v>
      </c>
      <c r="H2424" s="2">
        <v>46900</v>
      </c>
      <c r="I2424" t="s">
        <v>26</v>
      </c>
      <c r="J2424">
        <v>4</v>
      </c>
      <c r="K2424">
        <v>63253.75</v>
      </c>
      <c r="L2424" t="s">
        <v>113</v>
      </c>
      <c r="M2424">
        <v>31</v>
      </c>
      <c r="N2424" t="s">
        <v>21</v>
      </c>
      <c r="O2424" s="3" t="s">
        <v>22</v>
      </c>
      <c r="P2424" t="s">
        <v>137</v>
      </c>
      <c r="Q2424" t="s">
        <v>24</v>
      </c>
      <c r="R2424">
        <v>5</v>
      </c>
      <c r="S2424" t="s">
        <v>67</v>
      </c>
      <c r="T2424" s="4">
        <f t="shared" si="189"/>
        <v>253015</v>
      </c>
      <c r="U2424" s="4" t="str">
        <f t="shared" si="190"/>
        <v>Good</v>
      </c>
      <c r="V2424" s="4" t="str">
        <f t="shared" si="186"/>
        <v>Excellent</v>
      </c>
      <c r="W2424" s="4"/>
      <c r="X2424" s="4"/>
      <c r="AJ2424" s="4"/>
    </row>
    <row r="2425" spans="1:36">
      <c r="A2425" t="str">
        <f t="shared" si="187"/>
        <v>Nami332424</v>
      </c>
      <c r="B2425">
        <v>2424</v>
      </c>
      <c r="C2425">
        <v>28</v>
      </c>
      <c r="D2425">
        <v>8</v>
      </c>
      <c r="E2425">
        <v>2023</v>
      </c>
      <c r="F2425" s="1">
        <f t="shared" si="188"/>
        <v>45166</v>
      </c>
      <c r="G2425" s="1" t="s">
        <v>729</v>
      </c>
      <c r="H2425" s="2">
        <v>46901</v>
      </c>
      <c r="I2425" t="s">
        <v>38</v>
      </c>
      <c r="J2425">
        <v>4</v>
      </c>
      <c r="K2425">
        <v>26981.02</v>
      </c>
      <c r="L2425" t="s">
        <v>997</v>
      </c>
      <c r="M2425">
        <v>33</v>
      </c>
      <c r="N2425" t="s">
        <v>21</v>
      </c>
      <c r="O2425" s="3" t="s">
        <v>28</v>
      </c>
      <c r="P2425" t="s">
        <v>114</v>
      </c>
      <c r="Q2425" t="s">
        <v>24</v>
      </c>
      <c r="R2425">
        <v>3</v>
      </c>
      <c r="S2425" t="s">
        <v>48</v>
      </c>
      <c r="T2425" s="4">
        <f t="shared" si="189"/>
        <v>107924.08</v>
      </c>
      <c r="U2425" s="4" t="str">
        <f t="shared" si="190"/>
        <v>Average</v>
      </c>
      <c r="V2425" s="4" t="str">
        <f t="shared" si="186"/>
        <v>Good</v>
      </c>
      <c r="W2425" s="4"/>
      <c r="X2425" s="4"/>
      <c r="AJ2425" s="4"/>
    </row>
    <row r="2426" spans="1:36">
      <c r="A2426" t="str">
        <f t="shared" si="187"/>
        <v>Pank372425</v>
      </c>
      <c r="B2426">
        <v>2425</v>
      </c>
      <c r="C2426">
        <v>28</v>
      </c>
      <c r="D2426">
        <v>8</v>
      </c>
      <c r="E2426">
        <v>2023</v>
      </c>
      <c r="F2426" s="1">
        <f t="shared" si="188"/>
        <v>45166</v>
      </c>
      <c r="G2426" s="1" t="s">
        <v>729</v>
      </c>
      <c r="H2426" s="2">
        <v>46902</v>
      </c>
      <c r="I2426" t="s">
        <v>19</v>
      </c>
      <c r="J2426">
        <v>2</v>
      </c>
      <c r="K2426">
        <v>36277.839999999997</v>
      </c>
      <c r="L2426" t="s">
        <v>94</v>
      </c>
      <c r="M2426">
        <v>37</v>
      </c>
      <c r="N2426" t="s">
        <v>21</v>
      </c>
      <c r="O2426" s="3" t="s">
        <v>28</v>
      </c>
      <c r="P2426" t="s">
        <v>29</v>
      </c>
      <c r="Q2426" t="s">
        <v>24</v>
      </c>
      <c r="R2426">
        <v>3</v>
      </c>
      <c r="S2426" t="s">
        <v>37</v>
      </c>
      <c r="T2426" s="4">
        <f t="shared" si="189"/>
        <v>72555.679999999993</v>
      </c>
      <c r="U2426" s="4" t="str">
        <f t="shared" si="190"/>
        <v>Average</v>
      </c>
      <c r="V2426" s="4" t="str">
        <f t="shared" si="186"/>
        <v>Average</v>
      </c>
      <c r="W2426" s="4"/>
      <c r="X2426" s="4"/>
      <c r="AJ2426" s="4"/>
    </row>
    <row r="2427" spans="1:36">
      <c r="A2427" t="str">
        <f t="shared" si="187"/>
        <v>Lali322426</v>
      </c>
      <c r="B2427">
        <v>2426</v>
      </c>
      <c r="C2427">
        <v>29</v>
      </c>
      <c r="D2427">
        <v>8</v>
      </c>
      <c r="E2427">
        <v>2023</v>
      </c>
      <c r="F2427" s="1">
        <f t="shared" si="188"/>
        <v>45167</v>
      </c>
      <c r="G2427" s="1" t="s">
        <v>729</v>
      </c>
      <c r="H2427" s="2">
        <v>46903</v>
      </c>
      <c r="I2427" t="s">
        <v>43</v>
      </c>
      <c r="J2427">
        <v>9</v>
      </c>
      <c r="K2427">
        <v>31299.7</v>
      </c>
      <c r="L2427" t="s">
        <v>724</v>
      </c>
      <c r="M2427">
        <v>32</v>
      </c>
      <c r="N2427" t="s">
        <v>21</v>
      </c>
      <c r="O2427" s="3" t="s">
        <v>22</v>
      </c>
      <c r="P2427" t="s">
        <v>29</v>
      </c>
      <c r="Q2427" t="s">
        <v>56</v>
      </c>
      <c r="R2427">
        <v>4</v>
      </c>
      <c r="S2427" t="s">
        <v>46</v>
      </c>
      <c r="T2427" s="4">
        <f t="shared" si="189"/>
        <v>281697.3</v>
      </c>
      <c r="U2427" s="4" t="str">
        <f t="shared" si="190"/>
        <v>Good</v>
      </c>
      <c r="V2427" s="4" t="str">
        <f t="shared" si="186"/>
        <v>Excellent</v>
      </c>
      <c r="W2427" s="4"/>
      <c r="X2427" s="4"/>
      <c r="AJ2427" s="4"/>
    </row>
    <row r="2428" spans="1:36">
      <c r="A2428" t="str">
        <f t="shared" si="187"/>
        <v>Jyot432427</v>
      </c>
      <c r="B2428">
        <v>2427</v>
      </c>
      <c r="C2428">
        <v>29</v>
      </c>
      <c r="D2428">
        <v>8</v>
      </c>
      <c r="E2428">
        <v>2023</v>
      </c>
      <c r="F2428" s="1">
        <f t="shared" si="188"/>
        <v>45167</v>
      </c>
      <c r="G2428" s="1" t="s">
        <v>729</v>
      </c>
      <c r="H2428" s="2">
        <v>46904</v>
      </c>
      <c r="I2428" t="s">
        <v>19</v>
      </c>
      <c r="J2428">
        <v>9</v>
      </c>
      <c r="K2428">
        <v>14352.82</v>
      </c>
      <c r="L2428" t="s">
        <v>177</v>
      </c>
      <c r="M2428">
        <v>43</v>
      </c>
      <c r="N2428" t="s">
        <v>21</v>
      </c>
      <c r="O2428" s="3" t="s">
        <v>28</v>
      </c>
      <c r="P2428" t="s">
        <v>33</v>
      </c>
      <c r="Q2428" t="s">
        <v>41</v>
      </c>
      <c r="R2428">
        <v>3</v>
      </c>
      <c r="S2428" t="s">
        <v>37</v>
      </c>
      <c r="T2428" s="4">
        <f t="shared" si="189"/>
        <v>129175.38</v>
      </c>
      <c r="U2428" s="4" t="str">
        <f t="shared" si="190"/>
        <v>Average</v>
      </c>
      <c r="V2428" s="4" t="str">
        <f t="shared" si="186"/>
        <v>Good</v>
      </c>
      <c r="W2428" s="4"/>
      <c r="X2428" s="4"/>
      <c r="AJ2428" s="4"/>
    </row>
    <row r="2429" spans="1:36">
      <c r="A2429" t="str">
        <f t="shared" si="187"/>
        <v>Jyot262428</v>
      </c>
      <c r="B2429">
        <v>2428</v>
      </c>
      <c r="C2429">
        <v>29</v>
      </c>
      <c r="D2429">
        <v>8</v>
      </c>
      <c r="E2429">
        <v>2023</v>
      </c>
      <c r="F2429" s="1">
        <f t="shared" si="188"/>
        <v>45167</v>
      </c>
      <c r="G2429" s="1" t="s">
        <v>729</v>
      </c>
      <c r="H2429" s="2">
        <v>46905</v>
      </c>
      <c r="I2429" t="s">
        <v>26</v>
      </c>
      <c r="J2429">
        <v>2</v>
      </c>
      <c r="K2429">
        <v>50392.25</v>
      </c>
      <c r="L2429" t="s">
        <v>449</v>
      </c>
      <c r="M2429">
        <v>26</v>
      </c>
      <c r="N2429" t="s">
        <v>36</v>
      </c>
      <c r="O2429" s="3" t="s">
        <v>22</v>
      </c>
      <c r="P2429" t="s">
        <v>33</v>
      </c>
      <c r="Q2429" t="s">
        <v>41</v>
      </c>
      <c r="R2429">
        <v>4</v>
      </c>
      <c r="S2429" t="s">
        <v>31</v>
      </c>
      <c r="T2429" s="4">
        <f t="shared" si="189"/>
        <v>100784.5</v>
      </c>
      <c r="U2429" s="4" t="str">
        <f t="shared" si="190"/>
        <v>Good</v>
      </c>
      <c r="V2429" s="4" t="str">
        <f t="shared" si="186"/>
        <v>Good</v>
      </c>
      <c r="W2429" s="4"/>
      <c r="X2429" s="4"/>
      <c r="AJ2429" s="4"/>
    </row>
    <row r="2430" spans="1:36">
      <c r="A2430" t="str">
        <f t="shared" si="187"/>
        <v>Sneh182429</v>
      </c>
      <c r="B2430">
        <v>2429</v>
      </c>
      <c r="C2430">
        <v>29</v>
      </c>
      <c r="D2430">
        <v>8</v>
      </c>
      <c r="E2430">
        <v>2023</v>
      </c>
      <c r="F2430" s="1">
        <f t="shared" si="188"/>
        <v>45167</v>
      </c>
      <c r="G2430" s="1" t="s">
        <v>729</v>
      </c>
      <c r="H2430" s="2">
        <v>46906</v>
      </c>
      <c r="I2430" t="s">
        <v>49</v>
      </c>
      <c r="J2430">
        <v>9</v>
      </c>
      <c r="K2430">
        <v>59511.58</v>
      </c>
      <c r="L2430" t="s">
        <v>842</v>
      </c>
      <c r="M2430">
        <v>18</v>
      </c>
      <c r="N2430" t="s">
        <v>36</v>
      </c>
      <c r="O2430" s="3" t="s">
        <v>22</v>
      </c>
      <c r="P2430" t="s">
        <v>114</v>
      </c>
      <c r="Q2430" t="s">
        <v>24</v>
      </c>
      <c r="R2430">
        <v>5</v>
      </c>
      <c r="S2430" t="s">
        <v>52</v>
      </c>
      <c r="T2430" s="4">
        <f t="shared" si="189"/>
        <v>535604.22</v>
      </c>
      <c r="U2430" s="4" t="str">
        <f t="shared" si="190"/>
        <v>Good</v>
      </c>
      <c r="V2430" s="4" t="str">
        <f t="shared" si="186"/>
        <v>Excellent</v>
      </c>
      <c r="W2430" s="4"/>
      <c r="X2430" s="4"/>
      <c r="AJ2430" s="4"/>
    </row>
    <row r="2431" spans="1:36">
      <c r="A2431" t="str">
        <f t="shared" si="187"/>
        <v>Ayes522430</v>
      </c>
      <c r="B2431">
        <v>2430</v>
      </c>
      <c r="C2431">
        <v>30</v>
      </c>
      <c r="D2431">
        <v>8</v>
      </c>
      <c r="E2431">
        <v>2023</v>
      </c>
      <c r="F2431" s="1">
        <f t="shared" si="188"/>
        <v>45168</v>
      </c>
      <c r="G2431" s="1" t="s">
        <v>729</v>
      </c>
      <c r="H2431" s="2">
        <v>46907</v>
      </c>
      <c r="I2431" t="s">
        <v>49</v>
      </c>
      <c r="J2431">
        <v>6</v>
      </c>
      <c r="K2431">
        <v>28292.76</v>
      </c>
      <c r="L2431" t="s">
        <v>690</v>
      </c>
      <c r="M2431">
        <v>52</v>
      </c>
      <c r="N2431" t="s">
        <v>61</v>
      </c>
      <c r="O2431" s="3" t="s">
        <v>55</v>
      </c>
      <c r="P2431" t="s">
        <v>93</v>
      </c>
      <c r="Q2431" t="s">
        <v>30</v>
      </c>
      <c r="R2431">
        <v>2</v>
      </c>
      <c r="S2431" t="s">
        <v>102</v>
      </c>
      <c r="T2431" s="4">
        <f t="shared" si="189"/>
        <v>169756.56</v>
      </c>
      <c r="U2431" s="4" t="str">
        <f t="shared" si="190"/>
        <v>Average</v>
      </c>
      <c r="V2431" s="4" t="str">
        <f t="shared" si="186"/>
        <v>Good</v>
      </c>
      <c r="W2431" s="4"/>
      <c r="X2431" s="4"/>
      <c r="AJ2431" s="4"/>
    </row>
    <row r="2432" spans="1:36">
      <c r="A2432" t="str">
        <f t="shared" si="187"/>
        <v>Pank372431</v>
      </c>
      <c r="B2432">
        <v>2431</v>
      </c>
      <c r="C2432">
        <v>30</v>
      </c>
      <c r="D2432">
        <v>8</v>
      </c>
      <c r="E2432">
        <v>2023</v>
      </c>
      <c r="F2432" s="1">
        <f t="shared" si="188"/>
        <v>45168</v>
      </c>
      <c r="G2432" s="1" t="s">
        <v>729</v>
      </c>
      <c r="H2432" s="2">
        <v>46908</v>
      </c>
      <c r="I2432" t="s">
        <v>38</v>
      </c>
      <c r="J2432">
        <v>8</v>
      </c>
      <c r="K2432">
        <v>69410.55</v>
      </c>
      <c r="L2432" t="s">
        <v>789</v>
      </c>
      <c r="M2432">
        <v>37</v>
      </c>
      <c r="N2432" t="s">
        <v>21</v>
      </c>
      <c r="O2432" s="3" t="s">
        <v>55</v>
      </c>
      <c r="P2432" t="s">
        <v>33</v>
      </c>
      <c r="Q2432" t="s">
        <v>41</v>
      </c>
      <c r="R2432">
        <v>2</v>
      </c>
      <c r="S2432" t="s">
        <v>99</v>
      </c>
      <c r="T2432" s="4">
        <f t="shared" si="189"/>
        <v>555284.4</v>
      </c>
      <c r="U2432" s="4" t="str">
        <f t="shared" si="190"/>
        <v>Average</v>
      </c>
      <c r="V2432" s="4" t="str">
        <f t="shared" si="186"/>
        <v>Excellent</v>
      </c>
      <c r="W2432" s="4"/>
      <c r="X2432" s="4"/>
      <c r="AJ2432" s="4"/>
    </row>
    <row r="2433" spans="1:36">
      <c r="A2433" t="str">
        <f t="shared" si="187"/>
        <v>Sanj232432</v>
      </c>
      <c r="B2433">
        <v>2432</v>
      </c>
      <c r="C2433">
        <v>30</v>
      </c>
      <c r="D2433">
        <v>8</v>
      </c>
      <c r="E2433">
        <v>2023</v>
      </c>
      <c r="F2433" s="1">
        <f t="shared" si="188"/>
        <v>45168</v>
      </c>
      <c r="G2433" s="1" t="s">
        <v>729</v>
      </c>
      <c r="H2433" s="2">
        <v>46909</v>
      </c>
      <c r="I2433" t="s">
        <v>49</v>
      </c>
      <c r="J2433">
        <v>4</v>
      </c>
      <c r="K2433">
        <v>14551.09</v>
      </c>
      <c r="L2433" t="s">
        <v>395</v>
      </c>
      <c r="M2433">
        <v>23</v>
      </c>
      <c r="N2433" t="s">
        <v>36</v>
      </c>
      <c r="O2433" s="3" t="s">
        <v>22</v>
      </c>
      <c r="P2433" t="s">
        <v>45</v>
      </c>
      <c r="Q2433" t="s">
        <v>41</v>
      </c>
      <c r="R2433">
        <v>4</v>
      </c>
      <c r="S2433" t="s">
        <v>88</v>
      </c>
      <c r="T2433" s="4">
        <f t="shared" si="189"/>
        <v>58204.36</v>
      </c>
      <c r="U2433" s="4" t="str">
        <f t="shared" si="190"/>
        <v>Good</v>
      </c>
      <c r="V2433" s="4" t="str">
        <f t="shared" ref="V2433:V2496" si="191">IF(T2433&gt;200000,"Excellent",IF(T2433&gt;100000,"Good",IF(T2433&gt;50000,"Average","Low")))</f>
        <v>Average</v>
      </c>
      <c r="W2433" s="4"/>
      <c r="X2433" s="4"/>
      <c r="AJ2433" s="4"/>
    </row>
    <row r="2434" spans="1:36">
      <c r="A2434" t="str">
        <f t="shared" ref="A2434:A2497" si="192">LEFT(L2434,4)&amp;M2434&amp;B2434</f>
        <v>Lali592433</v>
      </c>
      <c r="B2434">
        <v>2433</v>
      </c>
      <c r="C2434">
        <v>30</v>
      </c>
      <c r="D2434">
        <v>8</v>
      </c>
      <c r="E2434">
        <v>2023</v>
      </c>
      <c r="F2434" s="1">
        <f t="shared" si="188"/>
        <v>45168</v>
      </c>
      <c r="G2434" s="1" t="s">
        <v>729</v>
      </c>
      <c r="H2434" s="2">
        <v>46910</v>
      </c>
      <c r="I2434" t="s">
        <v>43</v>
      </c>
      <c r="J2434">
        <v>2</v>
      </c>
      <c r="K2434">
        <v>49707.44</v>
      </c>
      <c r="L2434" t="s">
        <v>724</v>
      </c>
      <c r="M2434">
        <v>59</v>
      </c>
      <c r="N2434" t="s">
        <v>61</v>
      </c>
      <c r="O2434" s="3" t="s">
        <v>22</v>
      </c>
      <c r="P2434" t="s">
        <v>70</v>
      </c>
      <c r="Q2434" t="s">
        <v>56</v>
      </c>
      <c r="R2434">
        <v>5</v>
      </c>
      <c r="S2434" t="s">
        <v>57</v>
      </c>
      <c r="T2434" s="4">
        <f t="shared" si="189"/>
        <v>99414.88</v>
      </c>
      <c r="U2434" s="4" t="str">
        <f t="shared" si="190"/>
        <v>Good</v>
      </c>
      <c r="V2434" s="4" t="str">
        <f t="shared" si="191"/>
        <v>Average</v>
      </c>
      <c r="W2434" s="4"/>
      <c r="X2434" s="4"/>
      <c r="AJ2434" s="4"/>
    </row>
    <row r="2435" spans="1:36">
      <c r="A2435" t="str">
        <f t="shared" si="192"/>
        <v>Deve272434</v>
      </c>
      <c r="B2435">
        <v>2434</v>
      </c>
      <c r="C2435">
        <v>31</v>
      </c>
      <c r="D2435">
        <v>8</v>
      </c>
      <c r="E2435">
        <v>2023</v>
      </c>
      <c r="F2435" s="1">
        <f t="shared" ref="F2435:F2498" si="193">DATE(E2435,D2435,C2435)</f>
        <v>45169</v>
      </c>
      <c r="G2435" s="1" t="s">
        <v>729</v>
      </c>
      <c r="H2435" s="2">
        <v>46911</v>
      </c>
      <c r="I2435" t="s">
        <v>49</v>
      </c>
      <c r="J2435">
        <v>2</v>
      </c>
      <c r="K2435">
        <v>36893.68</v>
      </c>
      <c r="L2435" t="s">
        <v>384</v>
      </c>
      <c r="M2435">
        <v>27</v>
      </c>
      <c r="N2435" t="s">
        <v>36</v>
      </c>
      <c r="O2435" s="3" t="s">
        <v>22</v>
      </c>
      <c r="P2435" t="s">
        <v>93</v>
      </c>
      <c r="Q2435" t="s">
        <v>41</v>
      </c>
      <c r="R2435">
        <v>4</v>
      </c>
      <c r="S2435" t="s">
        <v>102</v>
      </c>
      <c r="T2435" s="4">
        <f t="shared" ref="T2435:T2498" si="194">J2435*K2435</f>
        <v>73787.360000000001</v>
      </c>
      <c r="U2435" s="4" t="str">
        <f t="shared" ref="U2435:U2498" si="195">IF(R2435&gt;=4,"Good","Average")</f>
        <v>Good</v>
      </c>
      <c r="V2435" s="4" t="str">
        <f t="shared" si="191"/>
        <v>Average</v>
      </c>
      <c r="W2435" s="4"/>
      <c r="X2435" s="4"/>
      <c r="AJ2435" s="4"/>
    </row>
    <row r="2436" spans="1:36">
      <c r="A2436" t="str">
        <f t="shared" si="192"/>
        <v>Shru502435</v>
      </c>
      <c r="B2436">
        <v>2435</v>
      </c>
      <c r="C2436">
        <v>31</v>
      </c>
      <c r="D2436">
        <v>8</v>
      </c>
      <c r="E2436">
        <v>2023</v>
      </c>
      <c r="F2436" s="1">
        <f t="shared" si="193"/>
        <v>45169</v>
      </c>
      <c r="G2436" s="1" t="s">
        <v>729</v>
      </c>
      <c r="H2436" s="2">
        <v>46912</v>
      </c>
      <c r="I2436" t="s">
        <v>38</v>
      </c>
      <c r="J2436">
        <v>9</v>
      </c>
      <c r="K2436">
        <v>36796.11</v>
      </c>
      <c r="L2436" t="s">
        <v>623</v>
      </c>
      <c r="M2436">
        <v>50</v>
      </c>
      <c r="N2436" t="s">
        <v>61</v>
      </c>
      <c r="O2436" s="3" t="s">
        <v>22</v>
      </c>
      <c r="P2436" t="s">
        <v>51</v>
      </c>
      <c r="Q2436" t="s">
        <v>41</v>
      </c>
      <c r="R2436">
        <v>5</v>
      </c>
      <c r="S2436" t="s">
        <v>42</v>
      </c>
      <c r="T2436" s="4">
        <f t="shared" si="194"/>
        <v>331164.99</v>
      </c>
      <c r="U2436" s="4" t="str">
        <f t="shared" si="195"/>
        <v>Good</v>
      </c>
      <c r="V2436" s="4" t="str">
        <f t="shared" si="191"/>
        <v>Excellent</v>
      </c>
      <c r="W2436" s="4"/>
      <c r="X2436" s="4"/>
      <c r="AJ2436" s="4"/>
    </row>
    <row r="2437" spans="1:36">
      <c r="A2437" t="str">
        <f t="shared" si="192"/>
        <v>Tapa332436</v>
      </c>
      <c r="B2437">
        <v>2436</v>
      </c>
      <c r="C2437">
        <v>31</v>
      </c>
      <c r="D2437">
        <v>8</v>
      </c>
      <c r="E2437">
        <v>2023</v>
      </c>
      <c r="F2437" s="1">
        <f t="shared" si="193"/>
        <v>45169</v>
      </c>
      <c r="G2437" s="1" t="s">
        <v>729</v>
      </c>
      <c r="H2437" s="2">
        <v>46913</v>
      </c>
      <c r="I2437" t="s">
        <v>26</v>
      </c>
      <c r="J2437">
        <v>1</v>
      </c>
      <c r="K2437">
        <v>37458.74</v>
      </c>
      <c r="L2437" t="s">
        <v>745</v>
      </c>
      <c r="M2437">
        <v>33</v>
      </c>
      <c r="N2437" t="s">
        <v>21</v>
      </c>
      <c r="O2437" s="3" t="s">
        <v>28</v>
      </c>
      <c r="P2437" t="s">
        <v>29</v>
      </c>
      <c r="Q2437" t="s">
        <v>24</v>
      </c>
      <c r="R2437">
        <v>3</v>
      </c>
      <c r="S2437" t="s">
        <v>31</v>
      </c>
      <c r="T2437" s="4">
        <f t="shared" si="194"/>
        <v>37458.74</v>
      </c>
      <c r="U2437" s="4" t="str">
        <f t="shared" si="195"/>
        <v>Average</v>
      </c>
      <c r="V2437" s="4" t="str">
        <f t="shared" si="191"/>
        <v>Low</v>
      </c>
      <c r="W2437" s="4"/>
      <c r="X2437" s="4"/>
      <c r="AJ2437" s="4"/>
    </row>
    <row r="2438" spans="1:36">
      <c r="A2438" t="str">
        <f t="shared" si="192"/>
        <v>Mano532437</v>
      </c>
      <c r="B2438">
        <v>2437</v>
      </c>
      <c r="C2438">
        <v>31</v>
      </c>
      <c r="D2438">
        <v>8</v>
      </c>
      <c r="E2438">
        <v>2023</v>
      </c>
      <c r="F2438" s="1">
        <f t="shared" si="193"/>
        <v>45169</v>
      </c>
      <c r="G2438" s="1" t="s">
        <v>729</v>
      </c>
      <c r="H2438" s="2">
        <v>46914</v>
      </c>
      <c r="I2438" t="s">
        <v>26</v>
      </c>
      <c r="J2438">
        <v>7</v>
      </c>
      <c r="K2438">
        <v>25520.91</v>
      </c>
      <c r="L2438" t="s">
        <v>293</v>
      </c>
      <c r="M2438">
        <v>53</v>
      </c>
      <c r="N2438" t="s">
        <v>61</v>
      </c>
      <c r="O2438" s="3" t="s">
        <v>22</v>
      </c>
      <c r="P2438" t="s">
        <v>59</v>
      </c>
      <c r="Q2438" t="s">
        <v>24</v>
      </c>
      <c r="R2438">
        <v>4</v>
      </c>
      <c r="S2438" t="s">
        <v>67</v>
      </c>
      <c r="T2438" s="4">
        <f t="shared" si="194"/>
        <v>178646.37</v>
      </c>
      <c r="U2438" s="4" t="str">
        <f t="shared" si="195"/>
        <v>Good</v>
      </c>
      <c r="V2438" s="4" t="str">
        <f t="shared" si="191"/>
        <v>Good</v>
      </c>
      <c r="W2438" s="4"/>
      <c r="X2438" s="4"/>
      <c r="AJ2438" s="4"/>
    </row>
    <row r="2439" spans="1:36">
      <c r="A2439" t="str">
        <f t="shared" si="192"/>
        <v>Kavi232438</v>
      </c>
      <c r="B2439">
        <v>2438</v>
      </c>
      <c r="C2439">
        <v>1</v>
      </c>
      <c r="D2439">
        <v>9</v>
      </c>
      <c r="E2439">
        <v>2023</v>
      </c>
      <c r="F2439" s="1">
        <f t="shared" si="193"/>
        <v>45170</v>
      </c>
      <c r="G2439" s="1" t="s">
        <v>770</v>
      </c>
      <c r="H2439" s="2">
        <v>46915</v>
      </c>
      <c r="I2439" t="s">
        <v>49</v>
      </c>
      <c r="J2439">
        <v>3</v>
      </c>
      <c r="K2439">
        <v>52933.77</v>
      </c>
      <c r="L2439" t="s">
        <v>230</v>
      </c>
      <c r="M2439">
        <v>23</v>
      </c>
      <c r="N2439" t="s">
        <v>36</v>
      </c>
      <c r="O2439" s="3" t="s">
        <v>22</v>
      </c>
      <c r="P2439" t="s">
        <v>33</v>
      </c>
      <c r="Q2439" t="s">
        <v>56</v>
      </c>
      <c r="R2439">
        <v>5</v>
      </c>
      <c r="S2439" t="s">
        <v>88</v>
      </c>
      <c r="T2439" s="4">
        <f t="shared" si="194"/>
        <v>158801.31</v>
      </c>
      <c r="U2439" s="4" t="str">
        <f t="shared" si="195"/>
        <v>Good</v>
      </c>
      <c r="V2439" s="4" t="str">
        <f t="shared" si="191"/>
        <v>Good</v>
      </c>
      <c r="W2439" s="4"/>
      <c r="X2439" s="4"/>
      <c r="AJ2439" s="4"/>
    </row>
    <row r="2440" spans="1:36">
      <c r="A2440" t="str">
        <f t="shared" si="192"/>
        <v>Meen362439</v>
      </c>
      <c r="B2440">
        <v>2439</v>
      </c>
      <c r="C2440">
        <v>1</v>
      </c>
      <c r="D2440">
        <v>9</v>
      </c>
      <c r="E2440">
        <v>2023</v>
      </c>
      <c r="F2440" s="1">
        <f t="shared" si="193"/>
        <v>45170</v>
      </c>
      <c r="G2440" s="1" t="s">
        <v>770</v>
      </c>
      <c r="H2440" s="2">
        <v>46916</v>
      </c>
      <c r="I2440" t="s">
        <v>19</v>
      </c>
      <c r="J2440">
        <v>3</v>
      </c>
      <c r="K2440">
        <v>53294.59</v>
      </c>
      <c r="L2440" t="s">
        <v>880</v>
      </c>
      <c r="M2440">
        <v>36</v>
      </c>
      <c r="N2440" t="s">
        <v>21</v>
      </c>
      <c r="O2440" s="3" t="s">
        <v>55</v>
      </c>
      <c r="P2440" t="s">
        <v>29</v>
      </c>
      <c r="Q2440" t="s">
        <v>56</v>
      </c>
      <c r="R2440">
        <v>2</v>
      </c>
      <c r="S2440" t="s">
        <v>25</v>
      </c>
      <c r="T2440" s="4">
        <f t="shared" si="194"/>
        <v>159883.76999999999</v>
      </c>
      <c r="U2440" s="4" t="str">
        <f t="shared" si="195"/>
        <v>Average</v>
      </c>
      <c r="V2440" s="4" t="str">
        <f t="shared" si="191"/>
        <v>Good</v>
      </c>
      <c r="W2440" s="4"/>
      <c r="X2440" s="4"/>
      <c r="AJ2440" s="4"/>
    </row>
    <row r="2441" spans="1:36">
      <c r="A2441" t="str">
        <f t="shared" si="192"/>
        <v>Jyot482440</v>
      </c>
      <c r="B2441">
        <v>2440</v>
      </c>
      <c r="C2441">
        <v>1</v>
      </c>
      <c r="D2441">
        <v>9</v>
      </c>
      <c r="E2441">
        <v>2023</v>
      </c>
      <c r="F2441" s="1">
        <f t="shared" si="193"/>
        <v>45170</v>
      </c>
      <c r="G2441" s="1" t="s">
        <v>770</v>
      </c>
      <c r="H2441" s="2">
        <v>46917</v>
      </c>
      <c r="I2441" t="s">
        <v>26</v>
      </c>
      <c r="J2441">
        <v>2</v>
      </c>
      <c r="K2441">
        <v>26943.83</v>
      </c>
      <c r="L2441" t="s">
        <v>124</v>
      </c>
      <c r="M2441">
        <v>48</v>
      </c>
      <c r="N2441" t="s">
        <v>61</v>
      </c>
      <c r="O2441" s="3" t="s">
        <v>22</v>
      </c>
      <c r="P2441" t="s">
        <v>29</v>
      </c>
      <c r="Q2441" t="s">
        <v>30</v>
      </c>
      <c r="R2441">
        <v>5</v>
      </c>
      <c r="S2441" t="s">
        <v>31</v>
      </c>
      <c r="T2441" s="4">
        <f t="shared" si="194"/>
        <v>53887.66</v>
      </c>
      <c r="U2441" s="4" t="str">
        <f t="shared" si="195"/>
        <v>Good</v>
      </c>
      <c r="V2441" s="4" t="str">
        <f t="shared" si="191"/>
        <v>Average</v>
      </c>
      <c r="W2441" s="4"/>
      <c r="X2441" s="4"/>
      <c r="AJ2441" s="4"/>
    </row>
    <row r="2442" spans="1:36">
      <c r="A2442" t="str">
        <f t="shared" si="192"/>
        <v>Amit192441</v>
      </c>
      <c r="B2442">
        <v>2441</v>
      </c>
      <c r="C2442">
        <v>2</v>
      </c>
      <c r="D2442">
        <v>9</v>
      </c>
      <c r="E2442">
        <v>2023</v>
      </c>
      <c r="F2442" s="1">
        <f t="shared" si="193"/>
        <v>45171</v>
      </c>
      <c r="G2442" s="1" t="s">
        <v>770</v>
      </c>
      <c r="H2442" s="2">
        <v>46918</v>
      </c>
      <c r="I2442" t="s">
        <v>49</v>
      </c>
      <c r="J2442">
        <v>6</v>
      </c>
      <c r="K2442">
        <v>60118.39</v>
      </c>
      <c r="L2442" t="s">
        <v>523</v>
      </c>
      <c r="M2442">
        <v>19</v>
      </c>
      <c r="N2442" t="s">
        <v>36</v>
      </c>
      <c r="O2442" s="3" t="s">
        <v>22</v>
      </c>
      <c r="P2442" t="s">
        <v>132</v>
      </c>
      <c r="Q2442" t="s">
        <v>41</v>
      </c>
      <c r="R2442">
        <v>5</v>
      </c>
      <c r="S2442" t="s">
        <v>88</v>
      </c>
      <c r="T2442" s="4">
        <f t="shared" si="194"/>
        <v>360710.33999999997</v>
      </c>
      <c r="U2442" s="4" t="str">
        <f t="shared" si="195"/>
        <v>Good</v>
      </c>
      <c r="V2442" s="4" t="str">
        <f t="shared" si="191"/>
        <v>Excellent</v>
      </c>
      <c r="W2442" s="4"/>
      <c r="X2442" s="4"/>
      <c r="AJ2442" s="4"/>
    </row>
    <row r="2443" spans="1:36">
      <c r="A2443" t="str">
        <f t="shared" si="192"/>
        <v>Pras352442</v>
      </c>
      <c r="B2443">
        <v>2442</v>
      </c>
      <c r="C2443">
        <v>2</v>
      </c>
      <c r="D2443">
        <v>9</v>
      </c>
      <c r="E2443">
        <v>2023</v>
      </c>
      <c r="F2443" s="1">
        <f t="shared" si="193"/>
        <v>45171</v>
      </c>
      <c r="G2443" s="1" t="s">
        <v>770</v>
      </c>
      <c r="H2443" s="2">
        <v>46919</v>
      </c>
      <c r="I2443" t="s">
        <v>38</v>
      </c>
      <c r="J2443">
        <v>2</v>
      </c>
      <c r="K2443">
        <v>29010.7</v>
      </c>
      <c r="L2443" t="s">
        <v>434</v>
      </c>
      <c r="M2443">
        <v>35</v>
      </c>
      <c r="N2443" t="s">
        <v>21</v>
      </c>
      <c r="O2443" s="3" t="s">
        <v>22</v>
      </c>
      <c r="P2443" t="s">
        <v>33</v>
      </c>
      <c r="Q2443" t="s">
        <v>24</v>
      </c>
      <c r="R2443">
        <v>4</v>
      </c>
      <c r="S2443" t="s">
        <v>99</v>
      </c>
      <c r="T2443" s="4">
        <f t="shared" si="194"/>
        <v>58021.4</v>
      </c>
      <c r="U2443" s="4" t="str">
        <f t="shared" si="195"/>
        <v>Good</v>
      </c>
      <c r="V2443" s="4" t="str">
        <f t="shared" si="191"/>
        <v>Average</v>
      </c>
      <c r="W2443" s="4"/>
      <c r="X2443" s="4"/>
      <c r="AJ2443" s="4"/>
    </row>
    <row r="2444" spans="1:36">
      <c r="A2444" t="str">
        <f t="shared" si="192"/>
        <v>Anja592443</v>
      </c>
      <c r="B2444">
        <v>2443</v>
      </c>
      <c r="C2444">
        <v>2</v>
      </c>
      <c r="D2444">
        <v>9</v>
      </c>
      <c r="E2444">
        <v>2023</v>
      </c>
      <c r="F2444" s="1">
        <f t="shared" si="193"/>
        <v>45171</v>
      </c>
      <c r="G2444" s="1" t="s">
        <v>770</v>
      </c>
      <c r="H2444" s="2">
        <v>46920</v>
      </c>
      <c r="I2444" t="s">
        <v>49</v>
      </c>
      <c r="J2444">
        <v>4</v>
      </c>
      <c r="K2444">
        <v>53505.59</v>
      </c>
      <c r="L2444" t="s">
        <v>982</v>
      </c>
      <c r="M2444">
        <v>59</v>
      </c>
      <c r="N2444" t="s">
        <v>61</v>
      </c>
      <c r="O2444" s="3" t="s">
        <v>28</v>
      </c>
      <c r="P2444" t="s">
        <v>66</v>
      </c>
      <c r="Q2444" t="s">
        <v>24</v>
      </c>
      <c r="R2444">
        <v>3</v>
      </c>
      <c r="S2444" t="s">
        <v>102</v>
      </c>
      <c r="T2444" s="4">
        <f t="shared" si="194"/>
        <v>214022.36</v>
      </c>
      <c r="U2444" s="4" t="str">
        <f t="shared" si="195"/>
        <v>Average</v>
      </c>
      <c r="V2444" s="4" t="str">
        <f t="shared" si="191"/>
        <v>Excellent</v>
      </c>
      <c r="W2444" s="4"/>
      <c r="X2444" s="4"/>
      <c r="AJ2444" s="4"/>
    </row>
    <row r="2445" spans="1:36">
      <c r="A2445" t="str">
        <f t="shared" si="192"/>
        <v>Pras452444</v>
      </c>
      <c r="B2445">
        <v>2444</v>
      </c>
      <c r="C2445">
        <v>2</v>
      </c>
      <c r="D2445">
        <v>9</v>
      </c>
      <c r="E2445">
        <v>2023</v>
      </c>
      <c r="F2445" s="1">
        <f t="shared" si="193"/>
        <v>45171</v>
      </c>
      <c r="G2445" s="1" t="s">
        <v>770</v>
      </c>
      <c r="H2445" s="2">
        <v>46921</v>
      </c>
      <c r="I2445" t="s">
        <v>26</v>
      </c>
      <c r="J2445">
        <v>9</v>
      </c>
      <c r="K2445">
        <v>17259.990000000002</v>
      </c>
      <c r="L2445" t="s">
        <v>434</v>
      </c>
      <c r="M2445">
        <v>45</v>
      </c>
      <c r="N2445" t="s">
        <v>21</v>
      </c>
      <c r="O2445" s="3" t="s">
        <v>22</v>
      </c>
      <c r="P2445" t="s">
        <v>29</v>
      </c>
      <c r="Q2445" t="s">
        <v>41</v>
      </c>
      <c r="R2445">
        <v>4</v>
      </c>
      <c r="S2445" t="s">
        <v>67</v>
      </c>
      <c r="T2445" s="4">
        <f t="shared" si="194"/>
        <v>155339.91</v>
      </c>
      <c r="U2445" s="4" t="str">
        <f t="shared" si="195"/>
        <v>Good</v>
      </c>
      <c r="V2445" s="4" t="str">
        <f t="shared" si="191"/>
        <v>Good</v>
      </c>
      <c r="W2445" s="4"/>
      <c r="X2445" s="4"/>
      <c r="AJ2445" s="4"/>
    </row>
    <row r="2446" spans="1:36">
      <c r="A2446" t="str">
        <f t="shared" si="192"/>
        <v>Lata212445</v>
      </c>
      <c r="B2446">
        <v>2445</v>
      </c>
      <c r="C2446">
        <v>3</v>
      </c>
      <c r="D2446">
        <v>9</v>
      </c>
      <c r="E2446">
        <v>2023</v>
      </c>
      <c r="F2446" s="1">
        <f t="shared" si="193"/>
        <v>45172</v>
      </c>
      <c r="G2446" s="1" t="s">
        <v>770</v>
      </c>
      <c r="H2446" s="2">
        <v>46922</v>
      </c>
      <c r="I2446" t="s">
        <v>38</v>
      </c>
      <c r="J2446">
        <v>9</v>
      </c>
      <c r="K2446">
        <v>20122.099999999999</v>
      </c>
      <c r="L2446" t="s">
        <v>314</v>
      </c>
      <c r="M2446">
        <v>21</v>
      </c>
      <c r="N2446" t="s">
        <v>36</v>
      </c>
      <c r="O2446" s="3" t="s">
        <v>22</v>
      </c>
      <c r="P2446" t="s">
        <v>45</v>
      </c>
      <c r="Q2446" t="s">
        <v>56</v>
      </c>
      <c r="R2446">
        <v>5</v>
      </c>
      <c r="S2446" t="s">
        <v>99</v>
      </c>
      <c r="T2446" s="4">
        <f t="shared" si="194"/>
        <v>181098.9</v>
      </c>
      <c r="U2446" s="4" t="str">
        <f t="shared" si="195"/>
        <v>Good</v>
      </c>
      <c r="V2446" s="4" t="str">
        <f t="shared" si="191"/>
        <v>Good</v>
      </c>
      <c r="W2446" s="4"/>
      <c r="X2446" s="4"/>
      <c r="AJ2446" s="4"/>
    </row>
    <row r="2447" spans="1:36">
      <c r="A2447" t="str">
        <f t="shared" si="192"/>
        <v>Lata182446</v>
      </c>
      <c r="B2447">
        <v>2446</v>
      </c>
      <c r="C2447">
        <v>3</v>
      </c>
      <c r="D2447">
        <v>9</v>
      </c>
      <c r="E2447">
        <v>2023</v>
      </c>
      <c r="F2447" s="1">
        <f t="shared" si="193"/>
        <v>45172</v>
      </c>
      <c r="G2447" s="1" t="s">
        <v>770</v>
      </c>
      <c r="H2447" s="2">
        <v>46923</v>
      </c>
      <c r="I2447" t="s">
        <v>49</v>
      </c>
      <c r="J2447">
        <v>6</v>
      </c>
      <c r="K2447">
        <v>28947.74</v>
      </c>
      <c r="L2447" t="s">
        <v>764</v>
      </c>
      <c r="M2447">
        <v>18</v>
      </c>
      <c r="N2447" t="s">
        <v>36</v>
      </c>
      <c r="O2447" s="3" t="s">
        <v>22</v>
      </c>
      <c r="P2447" t="s">
        <v>114</v>
      </c>
      <c r="Q2447" t="s">
        <v>24</v>
      </c>
      <c r="R2447">
        <v>5</v>
      </c>
      <c r="S2447" t="s">
        <v>102</v>
      </c>
      <c r="T2447" s="4">
        <f t="shared" si="194"/>
        <v>173686.44</v>
      </c>
      <c r="U2447" s="4" t="str">
        <f t="shared" si="195"/>
        <v>Good</v>
      </c>
      <c r="V2447" s="4" t="str">
        <f t="shared" si="191"/>
        <v>Good</v>
      </c>
      <c r="W2447" s="4"/>
      <c r="X2447" s="4"/>
      <c r="AJ2447" s="4"/>
    </row>
    <row r="2448" spans="1:36">
      <c r="A2448" t="str">
        <f t="shared" si="192"/>
        <v>Arun592447</v>
      </c>
      <c r="B2448">
        <v>2447</v>
      </c>
      <c r="C2448">
        <v>3</v>
      </c>
      <c r="D2448">
        <v>9</v>
      </c>
      <c r="E2448">
        <v>2023</v>
      </c>
      <c r="F2448" s="1">
        <f t="shared" si="193"/>
        <v>45172</v>
      </c>
      <c r="G2448" s="1" t="s">
        <v>770</v>
      </c>
      <c r="H2448" s="2">
        <v>46924</v>
      </c>
      <c r="I2448" t="s">
        <v>43</v>
      </c>
      <c r="J2448">
        <v>4</v>
      </c>
      <c r="K2448">
        <v>45632.43</v>
      </c>
      <c r="L2448" t="s">
        <v>804</v>
      </c>
      <c r="M2448">
        <v>59</v>
      </c>
      <c r="N2448" t="s">
        <v>61</v>
      </c>
      <c r="O2448" s="3" t="s">
        <v>55</v>
      </c>
      <c r="P2448" t="s">
        <v>59</v>
      </c>
      <c r="Q2448" t="s">
        <v>56</v>
      </c>
      <c r="R2448">
        <v>2</v>
      </c>
      <c r="S2448" t="s">
        <v>57</v>
      </c>
      <c r="T2448" s="4">
        <f t="shared" si="194"/>
        <v>182529.72</v>
      </c>
      <c r="U2448" s="4" t="str">
        <f t="shared" si="195"/>
        <v>Average</v>
      </c>
      <c r="V2448" s="4" t="str">
        <f t="shared" si="191"/>
        <v>Good</v>
      </c>
      <c r="W2448" s="4"/>
      <c r="X2448" s="4"/>
      <c r="AJ2448" s="4"/>
    </row>
    <row r="2449" spans="1:36">
      <c r="A2449" t="str">
        <f t="shared" si="192"/>
        <v>Sumi332448</v>
      </c>
      <c r="B2449">
        <v>2448</v>
      </c>
      <c r="C2449">
        <v>3</v>
      </c>
      <c r="D2449">
        <v>9</v>
      </c>
      <c r="E2449">
        <v>2023</v>
      </c>
      <c r="F2449" s="1">
        <f t="shared" si="193"/>
        <v>45172</v>
      </c>
      <c r="G2449" s="1" t="s">
        <v>770</v>
      </c>
      <c r="H2449" s="2">
        <v>46925</v>
      </c>
      <c r="I2449" t="s">
        <v>38</v>
      </c>
      <c r="J2449">
        <v>7</v>
      </c>
      <c r="K2449">
        <v>48730.69</v>
      </c>
      <c r="L2449" t="s">
        <v>596</v>
      </c>
      <c r="M2449">
        <v>33</v>
      </c>
      <c r="N2449" t="s">
        <v>21</v>
      </c>
      <c r="O2449" s="3" t="s">
        <v>28</v>
      </c>
      <c r="P2449" t="s">
        <v>132</v>
      </c>
      <c r="Q2449" t="s">
        <v>24</v>
      </c>
      <c r="R2449">
        <v>3</v>
      </c>
      <c r="S2449" t="s">
        <v>42</v>
      </c>
      <c r="T2449" s="4">
        <f t="shared" si="194"/>
        <v>341114.83</v>
      </c>
      <c r="U2449" s="4" t="str">
        <f t="shared" si="195"/>
        <v>Average</v>
      </c>
      <c r="V2449" s="4" t="str">
        <f t="shared" si="191"/>
        <v>Excellent</v>
      </c>
      <c r="W2449" s="4"/>
      <c r="X2449" s="4"/>
      <c r="AJ2449" s="4"/>
    </row>
    <row r="2450" spans="1:36">
      <c r="A2450" t="str">
        <f t="shared" si="192"/>
        <v>Nami192449</v>
      </c>
      <c r="B2450">
        <v>2449</v>
      </c>
      <c r="C2450">
        <v>4</v>
      </c>
      <c r="D2450">
        <v>9</v>
      </c>
      <c r="E2450">
        <v>2023</v>
      </c>
      <c r="F2450" s="1">
        <f t="shared" si="193"/>
        <v>45173</v>
      </c>
      <c r="G2450" s="1" t="s">
        <v>770</v>
      </c>
      <c r="H2450" s="2">
        <v>46926</v>
      </c>
      <c r="I2450" t="s">
        <v>43</v>
      </c>
      <c r="J2450">
        <v>1</v>
      </c>
      <c r="K2450">
        <v>33781.370000000003</v>
      </c>
      <c r="L2450" t="s">
        <v>381</v>
      </c>
      <c r="M2450">
        <v>19</v>
      </c>
      <c r="N2450" t="s">
        <v>36</v>
      </c>
      <c r="O2450" s="3" t="s">
        <v>28</v>
      </c>
      <c r="P2450" t="s">
        <v>150</v>
      </c>
      <c r="Q2450" t="s">
        <v>24</v>
      </c>
      <c r="R2450">
        <v>3</v>
      </c>
      <c r="S2450" t="s">
        <v>95</v>
      </c>
      <c r="T2450" s="4">
        <f t="shared" si="194"/>
        <v>33781.370000000003</v>
      </c>
      <c r="U2450" s="4" t="str">
        <f t="shared" si="195"/>
        <v>Average</v>
      </c>
      <c r="V2450" s="4" t="str">
        <f t="shared" si="191"/>
        <v>Low</v>
      </c>
      <c r="W2450" s="4"/>
      <c r="X2450" s="4"/>
      <c r="AJ2450" s="4"/>
    </row>
    <row r="2451" spans="1:36">
      <c r="A2451" t="str">
        <f t="shared" si="192"/>
        <v>Isha532450</v>
      </c>
      <c r="B2451">
        <v>2450</v>
      </c>
      <c r="C2451">
        <v>4</v>
      </c>
      <c r="D2451">
        <v>9</v>
      </c>
      <c r="E2451">
        <v>2023</v>
      </c>
      <c r="F2451" s="1">
        <f t="shared" si="193"/>
        <v>45173</v>
      </c>
      <c r="G2451" s="1" t="s">
        <v>770</v>
      </c>
      <c r="H2451" s="2">
        <v>46927</v>
      </c>
      <c r="I2451" t="s">
        <v>19</v>
      </c>
      <c r="J2451">
        <v>4</v>
      </c>
      <c r="K2451">
        <v>14670.35</v>
      </c>
      <c r="L2451" t="s">
        <v>325</v>
      </c>
      <c r="M2451">
        <v>53</v>
      </c>
      <c r="N2451" t="s">
        <v>61</v>
      </c>
      <c r="O2451" s="3" t="s">
        <v>22</v>
      </c>
      <c r="P2451" t="s">
        <v>66</v>
      </c>
      <c r="Q2451" t="s">
        <v>30</v>
      </c>
      <c r="R2451">
        <v>5</v>
      </c>
      <c r="S2451" t="s">
        <v>84</v>
      </c>
      <c r="T2451" s="4">
        <f t="shared" si="194"/>
        <v>58681.4</v>
      </c>
      <c r="U2451" s="4" t="str">
        <f t="shared" si="195"/>
        <v>Good</v>
      </c>
      <c r="V2451" s="4" t="str">
        <f t="shared" si="191"/>
        <v>Average</v>
      </c>
      <c r="W2451" s="4"/>
      <c r="X2451" s="4"/>
      <c r="AJ2451" s="4"/>
    </row>
    <row r="2452" spans="1:36">
      <c r="A2452" t="str">
        <f t="shared" si="192"/>
        <v>Vino182451</v>
      </c>
      <c r="B2452">
        <v>2451</v>
      </c>
      <c r="C2452">
        <v>4</v>
      </c>
      <c r="D2452">
        <v>9</v>
      </c>
      <c r="E2452">
        <v>2023</v>
      </c>
      <c r="F2452" s="1">
        <f t="shared" si="193"/>
        <v>45173</v>
      </c>
      <c r="G2452" s="1" t="s">
        <v>770</v>
      </c>
      <c r="H2452" s="2">
        <v>46928</v>
      </c>
      <c r="I2452" t="s">
        <v>38</v>
      </c>
      <c r="J2452">
        <v>5</v>
      </c>
      <c r="K2452">
        <v>32418.080000000002</v>
      </c>
      <c r="L2452" t="s">
        <v>481</v>
      </c>
      <c r="M2452">
        <v>18</v>
      </c>
      <c r="N2452" t="s">
        <v>36</v>
      </c>
      <c r="O2452" s="3" t="s">
        <v>22</v>
      </c>
      <c r="P2452" t="s">
        <v>114</v>
      </c>
      <c r="Q2452" t="s">
        <v>24</v>
      </c>
      <c r="R2452">
        <v>5</v>
      </c>
      <c r="S2452" t="s">
        <v>48</v>
      </c>
      <c r="T2452" s="4">
        <f t="shared" si="194"/>
        <v>162090.40000000002</v>
      </c>
      <c r="U2452" s="4" t="str">
        <f t="shared" si="195"/>
        <v>Good</v>
      </c>
      <c r="V2452" s="4" t="str">
        <f t="shared" si="191"/>
        <v>Good</v>
      </c>
      <c r="W2452" s="4"/>
      <c r="X2452" s="4"/>
      <c r="AJ2452" s="4"/>
    </row>
    <row r="2453" spans="1:36">
      <c r="A2453" t="str">
        <f t="shared" si="192"/>
        <v>Nami562452</v>
      </c>
      <c r="B2453">
        <v>2452</v>
      </c>
      <c r="C2453">
        <v>4</v>
      </c>
      <c r="D2453">
        <v>9</v>
      </c>
      <c r="E2453">
        <v>2023</v>
      </c>
      <c r="F2453" s="1">
        <f t="shared" si="193"/>
        <v>45173</v>
      </c>
      <c r="G2453" s="1" t="s">
        <v>770</v>
      </c>
      <c r="H2453" s="2">
        <v>46929</v>
      </c>
      <c r="I2453" t="s">
        <v>43</v>
      </c>
      <c r="J2453">
        <v>8</v>
      </c>
      <c r="K2453">
        <v>51326.05</v>
      </c>
      <c r="L2453" t="s">
        <v>570</v>
      </c>
      <c r="M2453">
        <v>56</v>
      </c>
      <c r="N2453" t="s">
        <v>61</v>
      </c>
      <c r="O2453" s="3" t="s">
        <v>22</v>
      </c>
      <c r="P2453" t="s">
        <v>33</v>
      </c>
      <c r="Q2453" t="s">
        <v>41</v>
      </c>
      <c r="R2453">
        <v>4</v>
      </c>
      <c r="S2453" t="s">
        <v>95</v>
      </c>
      <c r="T2453" s="4">
        <f t="shared" si="194"/>
        <v>410608.4</v>
      </c>
      <c r="U2453" s="4" t="str">
        <f t="shared" si="195"/>
        <v>Good</v>
      </c>
      <c r="V2453" s="4" t="str">
        <f t="shared" si="191"/>
        <v>Excellent</v>
      </c>
      <c r="W2453" s="4"/>
      <c r="X2453" s="4"/>
      <c r="AJ2453" s="4"/>
    </row>
    <row r="2454" spans="1:36">
      <c r="A2454" t="str">
        <f t="shared" si="192"/>
        <v>Kavi402453</v>
      </c>
      <c r="B2454">
        <v>2453</v>
      </c>
      <c r="C2454">
        <v>5</v>
      </c>
      <c r="D2454">
        <v>9</v>
      </c>
      <c r="E2454">
        <v>2023</v>
      </c>
      <c r="F2454" s="1">
        <f t="shared" si="193"/>
        <v>45174</v>
      </c>
      <c r="G2454" s="1" t="s">
        <v>770</v>
      </c>
      <c r="H2454" s="2">
        <v>46930</v>
      </c>
      <c r="I2454" t="s">
        <v>26</v>
      </c>
      <c r="J2454">
        <v>2</v>
      </c>
      <c r="K2454">
        <v>50259.73</v>
      </c>
      <c r="L2454" t="s">
        <v>468</v>
      </c>
      <c r="M2454">
        <v>40</v>
      </c>
      <c r="N2454" t="s">
        <v>21</v>
      </c>
      <c r="O2454" s="3" t="s">
        <v>22</v>
      </c>
      <c r="P2454" t="s">
        <v>66</v>
      </c>
      <c r="Q2454" t="s">
        <v>41</v>
      </c>
      <c r="R2454">
        <v>4</v>
      </c>
      <c r="S2454" t="s">
        <v>34</v>
      </c>
      <c r="T2454" s="4">
        <f t="shared" si="194"/>
        <v>100519.46</v>
      </c>
      <c r="U2454" s="4" t="str">
        <f t="shared" si="195"/>
        <v>Good</v>
      </c>
      <c r="V2454" s="4" t="str">
        <f t="shared" si="191"/>
        <v>Good</v>
      </c>
      <c r="W2454" s="4"/>
      <c r="X2454" s="4"/>
      <c r="AJ2454" s="4"/>
    </row>
    <row r="2455" spans="1:36">
      <c r="A2455" t="str">
        <f t="shared" si="192"/>
        <v>Rame432454</v>
      </c>
      <c r="B2455">
        <v>2454</v>
      </c>
      <c r="C2455">
        <v>5</v>
      </c>
      <c r="D2455">
        <v>9</v>
      </c>
      <c r="E2455">
        <v>2023</v>
      </c>
      <c r="F2455" s="1">
        <f t="shared" si="193"/>
        <v>45174</v>
      </c>
      <c r="G2455" s="1" t="s">
        <v>770</v>
      </c>
      <c r="H2455" s="2">
        <v>46931</v>
      </c>
      <c r="I2455" t="s">
        <v>26</v>
      </c>
      <c r="J2455">
        <v>5</v>
      </c>
      <c r="K2455">
        <v>19611.78</v>
      </c>
      <c r="L2455" t="s">
        <v>62</v>
      </c>
      <c r="M2455">
        <v>43</v>
      </c>
      <c r="N2455" t="s">
        <v>21</v>
      </c>
      <c r="O2455" s="3" t="s">
        <v>55</v>
      </c>
      <c r="P2455" t="s">
        <v>132</v>
      </c>
      <c r="Q2455" t="s">
        <v>41</v>
      </c>
      <c r="R2455">
        <v>2</v>
      </c>
      <c r="S2455" t="s">
        <v>67</v>
      </c>
      <c r="T2455" s="4">
        <f t="shared" si="194"/>
        <v>98058.9</v>
      </c>
      <c r="U2455" s="4" t="str">
        <f t="shared" si="195"/>
        <v>Average</v>
      </c>
      <c r="V2455" s="4" t="str">
        <f t="shared" si="191"/>
        <v>Average</v>
      </c>
      <c r="W2455" s="4"/>
      <c r="X2455" s="4"/>
      <c r="AJ2455" s="4"/>
    </row>
    <row r="2456" spans="1:36">
      <c r="A2456" t="str">
        <f t="shared" si="192"/>
        <v>Reen282455</v>
      </c>
      <c r="B2456">
        <v>2455</v>
      </c>
      <c r="C2456">
        <v>5</v>
      </c>
      <c r="D2456">
        <v>9</v>
      </c>
      <c r="E2456">
        <v>2023</v>
      </c>
      <c r="F2456" s="1">
        <f t="shared" si="193"/>
        <v>45174</v>
      </c>
      <c r="G2456" s="1" t="s">
        <v>770</v>
      </c>
      <c r="H2456" s="2">
        <v>46932</v>
      </c>
      <c r="I2456" t="s">
        <v>19</v>
      </c>
      <c r="J2456">
        <v>6</v>
      </c>
      <c r="K2456">
        <v>10467.040000000001</v>
      </c>
      <c r="L2456" t="s">
        <v>742</v>
      </c>
      <c r="M2456">
        <v>28</v>
      </c>
      <c r="N2456" t="s">
        <v>36</v>
      </c>
      <c r="O2456" s="3" t="s">
        <v>22</v>
      </c>
      <c r="P2456" t="s">
        <v>23</v>
      </c>
      <c r="Q2456" t="s">
        <v>56</v>
      </c>
      <c r="R2456">
        <v>5</v>
      </c>
      <c r="S2456" t="s">
        <v>84</v>
      </c>
      <c r="T2456" s="4">
        <f t="shared" si="194"/>
        <v>62802.240000000005</v>
      </c>
      <c r="U2456" s="4" t="str">
        <f t="shared" si="195"/>
        <v>Good</v>
      </c>
      <c r="V2456" s="4" t="str">
        <f t="shared" si="191"/>
        <v>Average</v>
      </c>
      <c r="W2456" s="4"/>
      <c r="X2456" s="4"/>
      <c r="AJ2456" s="4"/>
    </row>
    <row r="2457" spans="1:36">
      <c r="A2457" t="str">
        <f t="shared" si="192"/>
        <v>Shru592456</v>
      </c>
      <c r="B2457">
        <v>2456</v>
      </c>
      <c r="C2457">
        <v>6</v>
      </c>
      <c r="D2457">
        <v>9</v>
      </c>
      <c r="E2457">
        <v>2023</v>
      </c>
      <c r="F2457" s="1">
        <f t="shared" si="193"/>
        <v>45175</v>
      </c>
      <c r="G2457" s="1" t="s">
        <v>770</v>
      </c>
      <c r="H2457" s="2">
        <v>46933</v>
      </c>
      <c r="I2457" t="s">
        <v>38</v>
      </c>
      <c r="J2457">
        <v>5</v>
      </c>
      <c r="K2457">
        <v>55178.9</v>
      </c>
      <c r="L2457" t="s">
        <v>623</v>
      </c>
      <c r="M2457">
        <v>59</v>
      </c>
      <c r="N2457" t="s">
        <v>61</v>
      </c>
      <c r="O2457" s="3" t="s">
        <v>22</v>
      </c>
      <c r="P2457" t="s">
        <v>29</v>
      </c>
      <c r="Q2457" t="s">
        <v>24</v>
      </c>
      <c r="R2457">
        <v>4</v>
      </c>
      <c r="S2457" t="s">
        <v>42</v>
      </c>
      <c r="T2457" s="4">
        <f t="shared" si="194"/>
        <v>275894.5</v>
      </c>
      <c r="U2457" s="4" t="str">
        <f t="shared" si="195"/>
        <v>Good</v>
      </c>
      <c r="V2457" s="4" t="str">
        <f t="shared" si="191"/>
        <v>Excellent</v>
      </c>
      <c r="W2457" s="4"/>
      <c r="X2457" s="4"/>
      <c r="AJ2457" s="4"/>
    </row>
    <row r="2458" spans="1:36">
      <c r="A2458" t="str">
        <f t="shared" si="192"/>
        <v>Lali182457</v>
      </c>
      <c r="B2458">
        <v>2457</v>
      </c>
      <c r="C2458">
        <v>6</v>
      </c>
      <c r="D2458">
        <v>9</v>
      </c>
      <c r="E2458">
        <v>2023</v>
      </c>
      <c r="F2458" s="1">
        <f t="shared" si="193"/>
        <v>45175</v>
      </c>
      <c r="G2458" s="1" t="s">
        <v>770</v>
      </c>
      <c r="H2458" s="2">
        <v>46934</v>
      </c>
      <c r="I2458" t="s">
        <v>38</v>
      </c>
      <c r="J2458">
        <v>9</v>
      </c>
      <c r="K2458">
        <v>16382.09</v>
      </c>
      <c r="L2458" t="s">
        <v>555</v>
      </c>
      <c r="M2458">
        <v>18</v>
      </c>
      <c r="N2458" t="s">
        <v>36</v>
      </c>
      <c r="O2458" s="3" t="s">
        <v>55</v>
      </c>
      <c r="P2458" t="s">
        <v>29</v>
      </c>
      <c r="Q2458" t="s">
        <v>56</v>
      </c>
      <c r="R2458">
        <v>2</v>
      </c>
      <c r="S2458" t="s">
        <v>42</v>
      </c>
      <c r="T2458" s="4">
        <f t="shared" si="194"/>
        <v>147438.81</v>
      </c>
      <c r="U2458" s="4" t="str">
        <f t="shared" si="195"/>
        <v>Average</v>
      </c>
      <c r="V2458" s="4" t="str">
        <f t="shared" si="191"/>
        <v>Good</v>
      </c>
      <c r="W2458" s="4"/>
      <c r="X2458" s="4"/>
      <c r="AJ2458" s="4"/>
    </row>
    <row r="2459" spans="1:36">
      <c r="A2459" t="str">
        <f t="shared" si="192"/>
        <v>Sach282458</v>
      </c>
      <c r="B2459">
        <v>2458</v>
      </c>
      <c r="C2459">
        <v>6</v>
      </c>
      <c r="D2459">
        <v>9</v>
      </c>
      <c r="E2459">
        <v>2023</v>
      </c>
      <c r="F2459" s="1">
        <f t="shared" si="193"/>
        <v>45175</v>
      </c>
      <c r="G2459" s="1" t="s">
        <v>770</v>
      </c>
      <c r="H2459" s="2">
        <v>46935</v>
      </c>
      <c r="I2459" t="s">
        <v>38</v>
      </c>
      <c r="J2459">
        <v>1</v>
      </c>
      <c r="K2459">
        <v>14940.95</v>
      </c>
      <c r="L2459" t="s">
        <v>631</v>
      </c>
      <c r="M2459">
        <v>28</v>
      </c>
      <c r="N2459" t="s">
        <v>36</v>
      </c>
      <c r="O2459" s="3" t="s">
        <v>28</v>
      </c>
      <c r="P2459" t="s">
        <v>114</v>
      </c>
      <c r="Q2459" t="s">
        <v>30</v>
      </c>
      <c r="R2459">
        <v>3</v>
      </c>
      <c r="S2459" t="s">
        <v>48</v>
      </c>
      <c r="T2459" s="4">
        <f t="shared" si="194"/>
        <v>14940.95</v>
      </c>
      <c r="U2459" s="4" t="str">
        <f t="shared" si="195"/>
        <v>Average</v>
      </c>
      <c r="V2459" s="4" t="str">
        <f t="shared" si="191"/>
        <v>Low</v>
      </c>
      <c r="W2459" s="4"/>
      <c r="X2459" s="4"/>
      <c r="AJ2459" s="4"/>
    </row>
    <row r="2460" spans="1:36">
      <c r="A2460" t="str">
        <f t="shared" si="192"/>
        <v>Pooj412459</v>
      </c>
      <c r="B2460">
        <v>2459</v>
      </c>
      <c r="C2460">
        <v>6</v>
      </c>
      <c r="D2460">
        <v>9</v>
      </c>
      <c r="E2460">
        <v>2023</v>
      </c>
      <c r="F2460" s="1">
        <f t="shared" si="193"/>
        <v>45175</v>
      </c>
      <c r="G2460" s="1" t="s">
        <v>770</v>
      </c>
      <c r="H2460" s="2">
        <v>46936</v>
      </c>
      <c r="I2460" t="s">
        <v>19</v>
      </c>
      <c r="J2460">
        <v>3</v>
      </c>
      <c r="K2460">
        <v>10162.07</v>
      </c>
      <c r="L2460" t="s">
        <v>646</v>
      </c>
      <c r="M2460">
        <v>41</v>
      </c>
      <c r="N2460" t="s">
        <v>21</v>
      </c>
      <c r="O2460" s="3" t="s">
        <v>22</v>
      </c>
      <c r="P2460" t="s">
        <v>29</v>
      </c>
      <c r="Q2460" t="s">
        <v>24</v>
      </c>
      <c r="R2460">
        <v>5</v>
      </c>
      <c r="S2460" t="s">
        <v>37</v>
      </c>
      <c r="T2460" s="4">
        <f t="shared" si="194"/>
        <v>30486.21</v>
      </c>
      <c r="U2460" s="4" t="str">
        <f t="shared" si="195"/>
        <v>Good</v>
      </c>
      <c r="V2460" s="4" t="str">
        <f t="shared" si="191"/>
        <v>Low</v>
      </c>
      <c r="W2460" s="4"/>
      <c r="X2460" s="4"/>
      <c r="AJ2460" s="4"/>
    </row>
    <row r="2461" spans="1:36">
      <c r="A2461" t="str">
        <f t="shared" si="192"/>
        <v>Bhav272460</v>
      </c>
      <c r="B2461">
        <v>2460</v>
      </c>
      <c r="C2461">
        <v>7</v>
      </c>
      <c r="D2461">
        <v>9</v>
      </c>
      <c r="E2461">
        <v>2023</v>
      </c>
      <c r="F2461" s="1">
        <f t="shared" si="193"/>
        <v>45176</v>
      </c>
      <c r="G2461" s="1" t="s">
        <v>770</v>
      </c>
      <c r="H2461" s="2">
        <v>46937</v>
      </c>
      <c r="I2461" t="s">
        <v>38</v>
      </c>
      <c r="J2461">
        <v>2</v>
      </c>
      <c r="K2461">
        <v>35956.080000000002</v>
      </c>
      <c r="L2461" t="s">
        <v>257</v>
      </c>
      <c r="M2461">
        <v>27</v>
      </c>
      <c r="N2461" t="s">
        <v>36</v>
      </c>
      <c r="O2461" s="3" t="s">
        <v>22</v>
      </c>
      <c r="P2461" t="s">
        <v>29</v>
      </c>
      <c r="Q2461" t="s">
        <v>41</v>
      </c>
      <c r="R2461">
        <v>5</v>
      </c>
      <c r="S2461" t="s">
        <v>99</v>
      </c>
      <c r="T2461" s="4">
        <f t="shared" si="194"/>
        <v>71912.160000000003</v>
      </c>
      <c r="U2461" s="4" t="str">
        <f t="shared" si="195"/>
        <v>Good</v>
      </c>
      <c r="V2461" s="4" t="str">
        <f t="shared" si="191"/>
        <v>Average</v>
      </c>
      <c r="W2461" s="4"/>
      <c r="X2461" s="4"/>
      <c r="AJ2461" s="4"/>
    </row>
    <row r="2462" spans="1:36">
      <c r="A2462" t="str">
        <f t="shared" si="192"/>
        <v>Gita312461</v>
      </c>
      <c r="B2462">
        <v>2461</v>
      </c>
      <c r="C2462">
        <v>7</v>
      </c>
      <c r="D2462">
        <v>9</v>
      </c>
      <c r="E2462">
        <v>2023</v>
      </c>
      <c r="F2462" s="1">
        <f t="shared" si="193"/>
        <v>45176</v>
      </c>
      <c r="G2462" s="1" t="s">
        <v>770</v>
      </c>
      <c r="H2462" s="2">
        <v>46938</v>
      </c>
      <c r="I2462" t="s">
        <v>26</v>
      </c>
      <c r="J2462">
        <v>3</v>
      </c>
      <c r="K2462">
        <v>40195.83</v>
      </c>
      <c r="L2462" t="s">
        <v>397</v>
      </c>
      <c r="M2462">
        <v>31</v>
      </c>
      <c r="N2462" t="s">
        <v>21</v>
      </c>
      <c r="O2462" s="3" t="s">
        <v>22</v>
      </c>
      <c r="P2462" t="s">
        <v>64</v>
      </c>
      <c r="Q2462" t="s">
        <v>30</v>
      </c>
      <c r="R2462">
        <v>5</v>
      </c>
      <c r="S2462" t="s">
        <v>34</v>
      </c>
      <c r="T2462" s="4">
        <f t="shared" si="194"/>
        <v>120587.49</v>
      </c>
      <c r="U2462" s="4" t="str">
        <f t="shared" si="195"/>
        <v>Good</v>
      </c>
      <c r="V2462" s="4" t="str">
        <f t="shared" si="191"/>
        <v>Good</v>
      </c>
      <c r="W2462" s="4"/>
      <c r="X2462" s="4"/>
      <c r="AJ2462" s="4"/>
    </row>
    <row r="2463" spans="1:36">
      <c r="A2463" t="str">
        <f t="shared" si="192"/>
        <v>Kira312462</v>
      </c>
      <c r="B2463">
        <v>2462</v>
      </c>
      <c r="C2463">
        <v>7</v>
      </c>
      <c r="D2463">
        <v>9</v>
      </c>
      <c r="E2463">
        <v>2023</v>
      </c>
      <c r="F2463" s="1">
        <f t="shared" si="193"/>
        <v>45176</v>
      </c>
      <c r="G2463" s="1" t="s">
        <v>770</v>
      </c>
      <c r="H2463" s="2">
        <v>46939</v>
      </c>
      <c r="I2463" t="s">
        <v>43</v>
      </c>
      <c r="J2463">
        <v>9</v>
      </c>
      <c r="K2463">
        <v>48259.839999999997</v>
      </c>
      <c r="L2463" t="s">
        <v>714</v>
      </c>
      <c r="M2463">
        <v>31</v>
      </c>
      <c r="N2463" t="s">
        <v>21</v>
      </c>
      <c r="O2463" s="3" t="s">
        <v>22</v>
      </c>
      <c r="P2463" t="s">
        <v>59</v>
      </c>
      <c r="Q2463" t="s">
        <v>30</v>
      </c>
      <c r="R2463">
        <v>4</v>
      </c>
      <c r="S2463" t="s">
        <v>95</v>
      </c>
      <c r="T2463" s="4">
        <f t="shared" si="194"/>
        <v>434338.55999999994</v>
      </c>
      <c r="U2463" s="4" t="str">
        <f t="shared" si="195"/>
        <v>Good</v>
      </c>
      <c r="V2463" s="4" t="str">
        <f t="shared" si="191"/>
        <v>Excellent</v>
      </c>
      <c r="W2463" s="4"/>
      <c r="X2463" s="4"/>
      <c r="AJ2463" s="4"/>
    </row>
    <row r="2464" spans="1:36">
      <c r="A2464" t="str">
        <f t="shared" si="192"/>
        <v>Sanj242463</v>
      </c>
      <c r="B2464">
        <v>2463</v>
      </c>
      <c r="C2464">
        <v>7</v>
      </c>
      <c r="D2464">
        <v>9</v>
      </c>
      <c r="E2464">
        <v>2023</v>
      </c>
      <c r="F2464" s="1">
        <f t="shared" si="193"/>
        <v>45176</v>
      </c>
      <c r="G2464" s="1" t="s">
        <v>770</v>
      </c>
      <c r="H2464" s="2">
        <v>46940</v>
      </c>
      <c r="I2464" t="s">
        <v>26</v>
      </c>
      <c r="J2464">
        <v>9</v>
      </c>
      <c r="K2464">
        <v>27763.83</v>
      </c>
      <c r="L2464" t="s">
        <v>864</v>
      </c>
      <c r="M2464">
        <v>24</v>
      </c>
      <c r="N2464" t="s">
        <v>36</v>
      </c>
      <c r="O2464" s="3" t="s">
        <v>22</v>
      </c>
      <c r="P2464" t="s">
        <v>33</v>
      </c>
      <c r="Q2464" t="s">
        <v>24</v>
      </c>
      <c r="R2464">
        <v>5</v>
      </c>
      <c r="S2464" t="s">
        <v>34</v>
      </c>
      <c r="T2464" s="4">
        <f t="shared" si="194"/>
        <v>249874.47000000003</v>
      </c>
      <c r="U2464" s="4" t="str">
        <f t="shared" si="195"/>
        <v>Good</v>
      </c>
      <c r="V2464" s="4" t="str">
        <f t="shared" si="191"/>
        <v>Excellent</v>
      </c>
      <c r="W2464" s="4"/>
      <c r="X2464" s="4"/>
      <c r="AJ2464" s="4"/>
    </row>
    <row r="2465" spans="1:36">
      <c r="A2465" t="str">
        <f t="shared" si="192"/>
        <v>Sach402464</v>
      </c>
      <c r="B2465">
        <v>2464</v>
      </c>
      <c r="C2465">
        <v>8</v>
      </c>
      <c r="D2465">
        <v>9</v>
      </c>
      <c r="E2465">
        <v>2023</v>
      </c>
      <c r="F2465" s="1">
        <f t="shared" si="193"/>
        <v>45177</v>
      </c>
      <c r="G2465" s="1" t="s">
        <v>770</v>
      </c>
      <c r="H2465" s="2">
        <v>46941</v>
      </c>
      <c r="I2465" t="s">
        <v>26</v>
      </c>
      <c r="J2465">
        <v>2</v>
      </c>
      <c r="K2465">
        <v>52625.48</v>
      </c>
      <c r="L2465" t="s">
        <v>242</v>
      </c>
      <c r="M2465">
        <v>40</v>
      </c>
      <c r="N2465" t="s">
        <v>21</v>
      </c>
      <c r="O2465" s="3" t="s">
        <v>22</v>
      </c>
      <c r="P2465" t="s">
        <v>64</v>
      </c>
      <c r="Q2465" t="s">
        <v>41</v>
      </c>
      <c r="R2465">
        <v>5</v>
      </c>
      <c r="S2465" t="s">
        <v>31</v>
      </c>
      <c r="T2465" s="4">
        <f t="shared" si="194"/>
        <v>105250.96</v>
      </c>
      <c r="U2465" s="4" t="str">
        <f t="shared" si="195"/>
        <v>Good</v>
      </c>
      <c r="V2465" s="4" t="str">
        <f t="shared" si="191"/>
        <v>Good</v>
      </c>
      <c r="W2465" s="4"/>
      <c r="X2465" s="4"/>
      <c r="AJ2465" s="4"/>
    </row>
    <row r="2466" spans="1:36">
      <c r="A2466" t="str">
        <f t="shared" si="192"/>
        <v>Deep392465</v>
      </c>
      <c r="B2466">
        <v>2465</v>
      </c>
      <c r="C2466">
        <v>8</v>
      </c>
      <c r="D2466">
        <v>9</v>
      </c>
      <c r="E2466">
        <v>2023</v>
      </c>
      <c r="F2466" s="1">
        <f t="shared" si="193"/>
        <v>45177</v>
      </c>
      <c r="G2466" s="1" t="s">
        <v>770</v>
      </c>
      <c r="H2466" s="2">
        <v>46942</v>
      </c>
      <c r="I2466" t="s">
        <v>43</v>
      </c>
      <c r="J2466">
        <v>3</v>
      </c>
      <c r="K2466">
        <v>20159.91</v>
      </c>
      <c r="L2466" t="s">
        <v>601</v>
      </c>
      <c r="M2466">
        <v>39</v>
      </c>
      <c r="N2466" t="s">
        <v>21</v>
      </c>
      <c r="O2466" s="3" t="s">
        <v>22</v>
      </c>
      <c r="P2466" t="s">
        <v>137</v>
      </c>
      <c r="Q2466" t="s">
        <v>56</v>
      </c>
      <c r="R2466">
        <v>5</v>
      </c>
      <c r="S2466" t="s">
        <v>95</v>
      </c>
      <c r="T2466" s="4">
        <f t="shared" si="194"/>
        <v>60479.729999999996</v>
      </c>
      <c r="U2466" s="4" t="str">
        <f t="shared" si="195"/>
        <v>Good</v>
      </c>
      <c r="V2466" s="4" t="str">
        <f t="shared" si="191"/>
        <v>Average</v>
      </c>
      <c r="W2466" s="4"/>
      <c r="X2466" s="4"/>
      <c r="AJ2466" s="4"/>
    </row>
    <row r="2467" spans="1:36">
      <c r="A2467" t="str">
        <f t="shared" si="192"/>
        <v>Suni532466</v>
      </c>
      <c r="B2467">
        <v>2466</v>
      </c>
      <c r="C2467">
        <v>8</v>
      </c>
      <c r="D2467">
        <v>9</v>
      </c>
      <c r="E2467">
        <v>2023</v>
      </c>
      <c r="F2467" s="1">
        <f t="shared" si="193"/>
        <v>45177</v>
      </c>
      <c r="G2467" s="1" t="s">
        <v>770</v>
      </c>
      <c r="H2467" s="2">
        <v>46943</v>
      </c>
      <c r="I2467" t="s">
        <v>26</v>
      </c>
      <c r="J2467">
        <v>4</v>
      </c>
      <c r="K2467">
        <v>59919.4</v>
      </c>
      <c r="L2467" t="s">
        <v>499</v>
      </c>
      <c r="M2467">
        <v>53</v>
      </c>
      <c r="N2467" t="s">
        <v>61</v>
      </c>
      <c r="O2467" s="3" t="s">
        <v>22</v>
      </c>
      <c r="P2467" t="s">
        <v>29</v>
      </c>
      <c r="Q2467" t="s">
        <v>24</v>
      </c>
      <c r="R2467">
        <v>4</v>
      </c>
      <c r="S2467" t="s">
        <v>67</v>
      </c>
      <c r="T2467" s="4">
        <f t="shared" si="194"/>
        <v>239677.6</v>
      </c>
      <c r="U2467" s="4" t="str">
        <f t="shared" si="195"/>
        <v>Good</v>
      </c>
      <c r="V2467" s="4" t="str">
        <f t="shared" si="191"/>
        <v>Excellent</v>
      </c>
      <c r="W2467" s="4"/>
      <c r="X2467" s="4"/>
      <c r="AJ2467" s="4"/>
    </row>
    <row r="2468" spans="1:36">
      <c r="A2468" t="str">
        <f t="shared" si="192"/>
        <v>Isha442467</v>
      </c>
      <c r="B2468">
        <v>2467</v>
      </c>
      <c r="C2468">
        <v>9</v>
      </c>
      <c r="D2468">
        <v>9</v>
      </c>
      <c r="E2468">
        <v>2023</v>
      </c>
      <c r="F2468" s="1">
        <f t="shared" si="193"/>
        <v>45178</v>
      </c>
      <c r="G2468" s="1" t="s">
        <v>770</v>
      </c>
      <c r="H2468" s="2">
        <v>46944</v>
      </c>
      <c r="I2468" t="s">
        <v>19</v>
      </c>
      <c r="J2468">
        <v>9</v>
      </c>
      <c r="K2468">
        <v>44310.9</v>
      </c>
      <c r="L2468" t="s">
        <v>708</v>
      </c>
      <c r="M2468">
        <v>44</v>
      </c>
      <c r="N2468" t="s">
        <v>21</v>
      </c>
      <c r="O2468" s="3" t="s">
        <v>28</v>
      </c>
      <c r="P2468" t="s">
        <v>29</v>
      </c>
      <c r="Q2468" t="s">
        <v>41</v>
      </c>
      <c r="R2468">
        <v>3</v>
      </c>
      <c r="S2468" t="s">
        <v>25</v>
      </c>
      <c r="T2468" s="4">
        <f t="shared" si="194"/>
        <v>398798.10000000003</v>
      </c>
      <c r="U2468" s="4" t="str">
        <f t="shared" si="195"/>
        <v>Average</v>
      </c>
      <c r="V2468" s="4" t="str">
        <f t="shared" si="191"/>
        <v>Excellent</v>
      </c>
      <c r="W2468" s="4"/>
      <c r="X2468" s="4"/>
      <c r="AJ2468" s="4"/>
    </row>
    <row r="2469" spans="1:36">
      <c r="A2469" t="str">
        <f t="shared" si="192"/>
        <v>Umes192468</v>
      </c>
      <c r="B2469">
        <v>2468</v>
      </c>
      <c r="C2469">
        <v>9</v>
      </c>
      <c r="D2469">
        <v>9</v>
      </c>
      <c r="E2469">
        <v>2023</v>
      </c>
      <c r="F2469" s="1">
        <f t="shared" si="193"/>
        <v>45178</v>
      </c>
      <c r="G2469" s="1" t="s">
        <v>770</v>
      </c>
      <c r="H2469" s="2">
        <v>46945</v>
      </c>
      <c r="I2469" t="s">
        <v>43</v>
      </c>
      <c r="J2469">
        <v>3</v>
      </c>
      <c r="K2469">
        <v>45033.39</v>
      </c>
      <c r="L2469" t="s">
        <v>966</v>
      </c>
      <c r="M2469">
        <v>19</v>
      </c>
      <c r="N2469" t="s">
        <v>36</v>
      </c>
      <c r="O2469" s="3" t="s">
        <v>22</v>
      </c>
      <c r="P2469" t="s">
        <v>33</v>
      </c>
      <c r="Q2469" t="s">
        <v>30</v>
      </c>
      <c r="R2469">
        <v>4</v>
      </c>
      <c r="S2469" t="s">
        <v>46</v>
      </c>
      <c r="T2469" s="4">
        <f t="shared" si="194"/>
        <v>135100.16999999998</v>
      </c>
      <c r="U2469" s="4" t="str">
        <f t="shared" si="195"/>
        <v>Good</v>
      </c>
      <c r="V2469" s="4" t="str">
        <f t="shared" si="191"/>
        <v>Good</v>
      </c>
      <c r="W2469" s="4"/>
      <c r="X2469" s="4"/>
      <c r="AJ2469" s="4"/>
    </row>
    <row r="2470" spans="1:36">
      <c r="A2470" t="str">
        <f t="shared" si="192"/>
        <v>Vino562469</v>
      </c>
      <c r="B2470">
        <v>2469</v>
      </c>
      <c r="C2470">
        <v>9</v>
      </c>
      <c r="D2470">
        <v>9</v>
      </c>
      <c r="E2470">
        <v>2023</v>
      </c>
      <c r="F2470" s="1">
        <f t="shared" si="193"/>
        <v>45178</v>
      </c>
      <c r="G2470" s="1" t="s">
        <v>770</v>
      </c>
      <c r="H2470" s="2">
        <v>46946</v>
      </c>
      <c r="I2470" t="s">
        <v>26</v>
      </c>
      <c r="J2470">
        <v>7</v>
      </c>
      <c r="K2470">
        <v>22586.52</v>
      </c>
      <c r="L2470" t="s">
        <v>113</v>
      </c>
      <c r="M2470">
        <v>56</v>
      </c>
      <c r="N2470" t="s">
        <v>61</v>
      </c>
      <c r="O2470" s="3" t="s">
        <v>55</v>
      </c>
      <c r="P2470" t="s">
        <v>132</v>
      </c>
      <c r="Q2470" t="s">
        <v>24</v>
      </c>
      <c r="R2470">
        <v>2</v>
      </c>
      <c r="S2470" t="s">
        <v>31</v>
      </c>
      <c r="T2470" s="4">
        <f t="shared" si="194"/>
        <v>158105.64000000001</v>
      </c>
      <c r="U2470" s="4" t="str">
        <f t="shared" si="195"/>
        <v>Average</v>
      </c>
      <c r="V2470" s="4" t="str">
        <f t="shared" si="191"/>
        <v>Good</v>
      </c>
      <c r="W2470" s="4"/>
      <c r="X2470" s="4"/>
      <c r="AJ2470" s="4"/>
    </row>
    <row r="2471" spans="1:36">
      <c r="A2471" t="str">
        <f t="shared" si="192"/>
        <v>Sumi362470</v>
      </c>
      <c r="B2471">
        <v>2470</v>
      </c>
      <c r="C2471">
        <v>9</v>
      </c>
      <c r="D2471">
        <v>9</v>
      </c>
      <c r="E2471">
        <v>2023</v>
      </c>
      <c r="F2471" s="1">
        <f t="shared" si="193"/>
        <v>45178</v>
      </c>
      <c r="G2471" s="1" t="s">
        <v>770</v>
      </c>
      <c r="H2471" s="2">
        <v>46947</v>
      </c>
      <c r="I2471" t="s">
        <v>49</v>
      </c>
      <c r="J2471">
        <v>3</v>
      </c>
      <c r="K2471">
        <v>14446.52</v>
      </c>
      <c r="L2471" t="s">
        <v>998</v>
      </c>
      <c r="M2471">
        <v>36</v>
      </c>
      <c r="N2471" t="s">
        <v>21</v>
      </c>
      <c r="O2471" s="3" t="s">
        <v>22</v>
      </c>
      <c r="P2471" t="s">
        <v>29</v>
      </c>
      <c r="Q2471" t="s">
        <v>30</v>
      </c>
      <c r="R2471">
        <v>4</v>
      </c>
      <c r="S2471" t="s">
        <v>52</v>
      </c>
      <c r="T2471" s="4">
        <f t="shared" si="194"/>
        <v>43339.56</v>
      </c>
      <c r="U2471" s="4" t="str">
        <f t="shared" si="195"/>
        <v>Good</v>
      </c>
      <c r="V2471" s="4" t="str">
        <f t="shared" si="191"/>
        <v>Low</v>
      </c>
      <c r="W2471" s="4"/>
      <c r="X2471" s="4"/>
      <c r="AJ2471" s="4"/>
    </row>
    <row r="2472" spans="1:36">
      <c r="A2472" t="str">
        <f t="shared" si="192"/>
        <v>Radh242471</v>
      </c>
      <c r="B2472">
        <v>2471</v>
      </c>
      <c r="C2472">
        <v>10</v>
      </c>
      <c r="D2472">
        <v>9</v>
      </c>
      <c r="E2472">
        <v>2023</v>
      </c>
      <c r="F2472" s="1">
        <f t="shared" si="193"/>
        <v>45179</v>
      </c>
      <c r="G2472" s="1" t="s">
        <v>770</v>
      </c>
      <c r="H2472" s="2">
        <v>46948</v>
      </c>
      <c r="I2472" t="s">
        <v>26</v>
      </c>
      <c r="J2472">
        <v>7</v>
      </c>
      <c r="K2472">
        <v>37883.49</v>
      </c>
      <c r="L2472" t="s">
        <v>999</v>
      </c>
      <c r="M2472">
        <v>24</v>
      </c>
      <c r="N2472" t="s">
        <v>36</v>
      </c>
      <c r="O2472" s="3" t="s">
        <v>55</v>
      </c>
      <c r="P2472" t="s">
        <v>59</v>
      </c>
      <c r="Q2472" t="s">
        <v>41</v>
      </c>
      <c r="R2472">
        <v>2</v>
      </c>
      <c r="S2472" t="s">
        <v>67</v>
      </c>
      <c r="T2472" s="4">
        <f t="shared" si="194"/>
        <v>265184.43</v>
      </c>
      <c r="U2472" s="4" t="str">
        <f t="shared" si="195"/>
        <v>Average</v>
      </c>
      <c r="V2472" s="4" t="str">
        <f t="shared" si="191"/>
        <v>Excellent</v>
      </c>
      <c r="W2472" s="4"/>
      <c r="X2472" s="4"/>
      <c r="AJ2472" s="4"/>
    </row>
    <row r="2473" spans="1:36">
      <c r="A2473" t="str">
        <f t="shared" si="192"/>
        <v>Nikh292472</v>
      </c>
      <c r="B2473">
        <v>2472</v>
      </c>
      <c r="C2473">
        <v>10</v>
      </c>
      <c r="D2473">
        <v>9</v>
      </c>
      <c r="E2473">
        <v>2023</v>
      </c>
      <c r="F2473" s="1">
        <f t="shared" si="193"/>
        <v>45179</v>
      </c>
      <c r="G2473" s="1" t="s">
        <v>770</v>
      </c>
      <c r="H2473" s="2">
        <v>46949</v>
      </c>
      <c r="I2473" t="s">
        <v>19</v>
      </c>
      <c r="J2473">
        <v>7</v>
      </c>
      <c r="K2473">
        <v>46936.72</v>
      </c>
      <c r="L2473" t="s">
        <v>827</v>
      </c>
      <c r="M2473">
        <v>29</v>
      </c>
      <c r="N2473" t="s">
        <v>36</v>
      </c>
      <c r="O2473" s="3" t="s">
        <v>22</v>
      </c>
      <c r="P2473" t="s">
        <v>33</v>
      </c>
      <c r="Q2473" t="s">
        <v>56</v>
      </c>
      <c r="R2473">
        <v>5</v>
      </c>
      <c r="S2473" t="s">
        <v>37</v>
      </c>
      <c r="T2473" s="4">
        <f t="shared" si="194"/>
        <v>328557.04000000004</v>
      </c>
      <c r="U2473" s="4" t="str">
        <f t="shared" si="195"/>
        <v>Good</v>
      </c>
      <c r="V2473" s="4" t="str">
        <f t="shared" si="191"/>
        <v>Excellent</v>
      </c>
      <c r="W2473" s="4"/>
      <c r="X2473" s="4"/>
      <c r="AJ2473" s="4"/>
    </row>
    <row r="2474" spans="1:36">
      <c r="A2474" t="str">
        <f t="shared" si="192"/>
        <v>Gita202473</v>
      </c>
      <c r="B2474">
        <v>2473</v>
      </c>
      <c r="C2474">
        <v>10</v>
      </c>
      <c r="D2474">
        <v>9</v>
      </c>
      <c r="E2474">
        <v>2023</v>
      </c>
      <c r="F2474" s="1">
        <f t="shared" si="193"/>
        <v>45179</v>
      </c>
      <c r="G2474" s="1" t="s">
        <v>770</v>
      </c>
      <c r="H2474" s="2">
        <v>46950</v>
      </c>
      <c r="I2474" t="s">
        <v>38</v>
      </c>
      <c r="J2474">
        <v>9</v>
      </c>
      <c r="K2474">
        <v>15702.79</v>
      </c>
      <c r="L2474" t="s">
        <v>795</v>
      </c>
      <c r="M2474">
        <v>20</v>
      </c>
      <c r="N2474" t="s">
        <v>36</v>
      </c>
      <c r="O2474" s="3" t="s">
        <v>55</v>
      </c>
      <c r="P2474" t="s">
        <v>93</v>
      </c>
      <c r="Q2474" t="s">
        <v>56</v>
      </c>
      <c r="R2474">
        <v>2</v>
      </c>
      <c r="S2474" t="s">
        <v>99</v>
      </c>
      <c r="T2474" s="4">
        <f t="shared" si="194"/>
        <v>141325.11000000002</v>
      </c>
      <c r="U2474" s="4" t="str">
        <f t="shared" si="195"/>
        <v>Average</v>
      </c>
      <c r="V2474" s="4" t="str">
        <f t="shared" si="191"/>
        <v>Good</v>
      </c>
      <c r="W2474" s="4"/>
      <c r="X2474" s="4"/>
      <c r="AJ2474" s="4"/>
    </row>
    <row r="2475" spans="1:36">
      <c r="A2475" t="str">
        <f t="shared" si="192"/>
        <v>Jyot222474</v>
      </c>
      <c r="B2475">
        <v>2474</v>
      </c>
      <c r="C2475">
        <v>10</v>
      </c>
      <c r="D2475">
        <v>9</v>
      </c>
      <c r="E2475">
        <v>2023</v>
      </c>
      <c r="F2475" s="1">
        <f t="shared" si="193"/>
        <v>45179</v>
      </c>
      <c r="G2475" s="1" t="s">
        <v>770</v>
      </c>
      <c r="H2475" s="2">
        <v>46951</v>
      </c>
      <c r="I2475" t="s">
        <v>26</v>
      </c>
      <c r="J2475">
        <v>2</v>
      </c>
      <c r="K2475">
        <v>67032.070000000007</v>
      </c>
      <c r="L2475" t="s">
        <v>404</v>
      </c>
      <c r="M2475">
        <v>22</v>
      </c>
      <c r="N2475" t="s">
        <v>36</v>
      </c>
      <c r="O2475" s="3" t="s">
        <v>22</v>
      </c>
      <c r="P2475" t="s">
        <v>33</v>
      </c>
      <c r="Q2475" t="s">
        <v>30</v>
      </c>
      <c r="R2475">
        <v>5</v>
      </c>
      <c r="S2475" t="s">
        <v>67</v>
      </c>
      <c r="T2475" s="4">
        <f t="shared" si="194"/>
        <v>134064.14000000001</v>
      </c>
      <c r="U2475" s="4" t="str">
        <f t="shared" si="195"/>
        <v>Good</v>
      </c>
      <c r="V2475" s="4" t="str">
        <f t="shared" si="191"/>
        <v>Good</v>
      </c>
      <c r="W2475" s="4"/>
      <c r="X2475" s="4"/>
      <c r="AJ2475" s="4"/>
    </row>
    <row r="2476" spans="1:36">
      <c r="A2476" t="str">
        <f t="shared" si="192"/>
        <v>Lata252475</v>
      </c>
      <c r="B2476">
        <v>2475</v>
      </c>
      <c r="C2476">
        <v>11</v>
      </c>
      <c r="D2476">
        <v>9</v>
      </c>
      <c r="E2476">
        <v>2023</v>
      </c>
      <c r="F2476" s="1">
        <f t="shared" si="193"/>
        <v>45180</v>
      </c>
      <c r="G2476" s="1" t="s">
        <v>770</v>
      </c>
      <c r="H2476" s="2">
        <v>46952</v>
      </c>
      <c r="I2476" t="s">
        <v>38</v>
      </c>
      <c r="J2476">
        <v>6</v>
      </c>
      <c r="K2476">
        <v>68824.86</v>
      </c>
      <c r="L2476" t="s">
        <v>522</v>
      </c>
      <c r="M2476">
        <v>25</v>
      </c>
      <c r="N2476" t="s">
        <v>36</v>
      </c>
      <c r="O2476" s="3" t="s">
        <v>55</v>
      </c>
      <c r="P2476" t="s">
        <v>29</v>
      </c>
      <c r="Q2476" t="s">
        <v>30</v>
      </c>
      <c r="R2476">
        <v>2</v>
      </c>
      <c r="S2476" t="s">
        <v>48</v>
      </c>
      <c r="T2476" s="4">
        <f t="shared" si="194"/>
        <v>412949.16000000003</v>
      </c>
      <c r="U2476" s="4" t="str">
        <f t="shared" si="195"/>
        <v>Average</v>
      </c>
      <c r="V2476" s="4" t="str">
        <f t="shared" si="191"/>
        <v>Excellent</v>
      </c>
      <c r="W2476" s="4"/>
      <c r="X2476" s="4"/>
      <c r="AJ2476" s="4"/>
    </row>
    <row r="2477" spans="1:36">
      <c r="A2477" t="str">
        <f t="shared" si="192"/>
        <v>Isha312476</v>
      </c>
      <c r="B2477">
        <v>2476</v>
      </c>
      <c r="C2477">
        <v>11</v>
      </c>
      <c r="D2477">
        <v>9</v>
      </c>
      <c r="E2477">
        <v>2023</v>
      </c>
      <c r="F2477" s="1">
        <f t="shared" si="193"/>
        <v>45180</v>
      </c>
      <c r="G2477" s="1" t="s">
        <v>770</v>
      </c>
      <c r="H2477" s="2">
        <v>46953</v>
      </c>
      <c r="I2477" t="s">
        <v>49</v>
      </c>
      <c r="J2477">
        <v>9</v>
      </c>
      <c r="K2477">
        <v>42727.4</v>
      </c>
      <c r="L2477" t="s">
        <v>1000</v>
      </c>
      <c r="M2477">
        <v>31</v>
      </c>
      <c r="N2477" t="s">
        <v>21</v>
      </c>
      <c r="O2477" s="3" t="s">
        <v>22</v>
      </c>
      <c r="P2477" t="s">
        <v>64</v>
      </c>
      <c r="Q2477" t="s">
        <v>30</v>
      </c>
      <c r="R2477">
        <v>4</v>
      </c>
      <c r="S2477" t="s">
        <v>88</v>
      </c>
      <c r="T2477" s="4">
        <f t="shared" si="194"/>
        <v>384546.60000000003</v>
      </c>
      <c r="U2477" s="4" t="str">
        <f t="shared" si="195"/>
        <v>Good</v>
      </c>
      <c r="V2477" s="4" t="str">
        <f t="shared" si="191"/>
        <v>Excellent</v>
      </c>
      <c r="W2477" s="4"/>
      <c r="X2477" s="4"/>
      <c r="AJ2477" s="4"/>
    </row>
    <row r="2478" spans="1:36">
      <c r="A2478" t="str">
        <f t="shared" si="192"/>
        <v>Nami532477</v>
      </c>
      <c r="B2478">
        <v>2477</v>
      </c>
      <c r="C2478">
        <v>11</v>
      </c>
      <c r="D2478">
        <v>9</v>
      </c>
      <c r="E2478">
        <v>2023</v>
      </c>
      <c r="F2478" s="1">
        <f t="shared" si="193"/>
        <v>45180</v>
      </c>
      <c r="G2478" s="1" t="s">
        <v>770</v>
      </c>
      <c r="H2478" s="2">
        <v>46954</v>
      </c>
      <c r="I2478" t="s">
        <v>26</v>
      </c>
      <c r="J2478">
        <v>2</v>
      </c>
      <c r="K2478">
        <v>67004.149999999994</v>
      </c>
      <c r="L2478" t="s">
        <v>419</v>
      </c>
      <c r="M2478">
        <v>53</v>
      </c>
      <c r="N2478" t="s">
        <v>61</v>
      </c>
      <c r="O2478" s="3" t="s">
        <v>22</v>
      </c>
      <c r="P2478" t="s">
        <v>29</v>
      </c>
      <c r="Q2478" t="s">
        <v>24</v>
      </c>
      <c r="R2478">
        <v>5</v>
      </c>
      <c r="S2478" t="s">
        <v>34</v>
      </c>
      <c r="T2478" s="4">
        <f t="shared" si="194"/>
        <v>134008.29999999999</v>
      </c>
      <c r="U2478" s="4" t="str">
        <f t="shared" si="195"/>
        <v>Good</v>
      </c>
      <c r="V2478" s="4" t="str">
        <f t="shared" si="191"/>
        <v>Good</v>
      </c>
      <c r="W2478" s="4"/>
      <c r="X2478" s="4"/>
      <c r="AJ2478" s="4"/>
    </row>
    <row r="2479" spans="1:36">
      <c r="A2479" t="str">
        <f t="shared" si="192"/>
        <v>Isha242478</v>
      </c>
      <c r="B2479">
        <v>2478</v>
      </c>
      <c r="C2479">
        <v>12</v>
      </c>
      <c r="D2479">
        <v>9</v>
      </c>
      <c r="E2479">
        <v>2023</v>
      </c>
      <c r="F2479" s="1">
        <f t="shared" si="193"/>
        <v>45181</v>
      </c>
      <c r="G2479" s="1" t="s">
        <v>770</v>
      </c>
      <c r="H2479" s="2">
        <v>46955</v>
      </c>
      <c r="I2479" t="s">
        <v>43</v>
      </c>
      <c r="J2479">
        <v>2</v>
      </c>
      <c r="K2479">
        <v>20766.71</v>
      </c>
      <c r="L2479" t="s">
        <v>274</v>
      </c>
      <c r="M2479">
        <v>24</v>
      </c>
      <c r="N2479" t="s">
        <v>36</v>
      </c>
      <c r="O2479" s="3" t="s">
        <v>22</v>
      </c>
      <c r="P2479" t="s">
        <v>29</v>
      </c>
      <c r="Q2479" t="s">
        <v>41</v>
      </c>
      <c r="R2479">
        <v>5</v>
      </c>
      <c r="S2479" t="s">
        <v>46</v>
      </c>
      <c r="T2479" s="4">
        <f t="shared" si="194"/>
        <v>41533.42</v>
      </c>
      <c r="U2479" s="4" t="str">
        <f t="shared" si="195"/>
        <v>Good</v>
      </c>
      <c r="V2479" s="4" t="str">
        <f t="shared" si="191"/>
        <v>Low</v>
      </c>
      <c r="W2479" s="4"/>
      <c r="X2479" s="4"/>
      <c r="AJ2479" s="4"/>
    </row>
    <row r="2480" spans="1:36">
      <c r="A2480" t="str">
        <f t="shared" si="192"/>
        <v>Sumi242479</v>
      </c>
      <c r="B2480">
        <v>2479</v>
      </c>
      <c r="C2480">
        <v>12</v>
      </c>
      <c r="D2480">
        <v>9</v>
      </c>
      <c r="E2480">
        <v>2023</v>
      </c>
      <c r="F2480" s="1">
        <f t="shared" si="193"/>
        <v>45181</v>
      </c>
      <c r="G2480" s="1" t="s">
        <v>770</v>
      </c>
      <c r="H2480" s="2">
        <v>46956</v>
      </c>
      <c r="I2480" t="s">
        <v>38</v>
      </c>
      <c r="J2480">
        <v>5</v>
      </c>
      <c r="K2480">
        <v>11525.24</v>
      </c>
      <c r="L2480" t="s">
        <v>313</v>
      </c>
      <c r="M2480">
        <v>24</v>
      </c>
      <c r="N2480" t="s">
        <v>36</v>
      </c>
      <c r="O2480" s="3" t="s">
        <v>55</v>
      </c>
      <c r="P2480" t="s">
        <v>90</v>
      </c>
      <c r="Q2480" t="s">
        <v>30</v>
      </c>
      <c r="R2480">
        <v>2</v>
      </c>
      <c r="S2480" t="s">
        <v>48</v>
      </c>
      <c r="T2480" s="4">
        <f t="shared" si="194"/>
        <v>57626.2</v>
      </c>
      <c r="U2480" s="4" t="str">
        <f t="shared" si="195"/>
        <v>Average</v>
      </c>
      <c r="V2480" s="4" t="str">
        <f t="shared" si="191"/>
        <v>Average</v>
      </c>
      <c r="W2480" s="4"/>
      <c r="X2480" s="4"/>
      <c r="AJ2480" s="4"/>
    </row>
    <row r="2481" spans="1:36">
      <c r="A2481" t="str">
        <f t="shared" si="192"/>
        <v>Lata492480</v>
      </c>
      <c r="B2481">
        <v>2480</v>
      </c>
      <c r="C2481">
        <v>12</v>
      </c>
      <c r="D2481">
        <v>9</v>
      </c>
      <c r="E2481">
        <v>2023</v>
      </c>
      <c r="F2481" s="1">
        <f t="shared" si="193"/>
        <v>45181</v>
      </c>
      <c r="G2481" s="1" t="s">
        <v>770</v>
      </c>
      <c r="H2481" s="2">
        <v>46957</v>
      </c>
      <c r="I2481" t="s">
        <v>49</v>
      </c>
      <c r="J2481">
        <v>8</v>
      </c>
      <c r="K2481">
        <v>12364.57</v>
      </c>
      <c r="L2481" t="s">
        <v>1001</v>
      </c>
      <c r="M2481">
        <v>49</v>
      </c>
      <c r="N2481" t="s">
        <v>61</v>
      </c>
      <c r="O2481" s="3" t="s">
        <v>22</v>
      </c>
      <c r="P2481" t="s">
        <v>45</v>
      </c>
      <c r="Q2481" t="s">
        <v>30</v>
      </c>
      <c r="R2481">
        <v>5</v>
      </c>
      <c r="S2481" t="s">
        <v>88</v>
      </c>
      <c r="T2481" s="4">
        <f t="shared" si="194"/>
        <v>98916.56</v>
      </c>
      <c r="U2481" s="4" t="str">
        <f t="shared" si="195"/>
        <v>Good</v>
      </c>
      <c r="V2481" s="4" t="str">
        <f t="shared" si="191"/>
        <v>Average</v>
      </c>
      <c r="W2481" s="4"/>
      <c r="X2481" s="4"/>
      <c r="AJ2481" s="4"/>
    </row>
    <row r="2482" spans="1:36">
      <c r="A2482" t="str">
        <f t="shared" si="192"/>
        <v>Shru252481</v>
      </c>
      <c r="B2482">
        <v>2481</v>
      </c>
      <c r="C2482">
        <v>12</v>
      </c>
      <c r="D2482">
        <v>9</v>
      </c>
      <c r="E2482">
        <v>2023</v>
      </c>
      <c r="F2482" s="1">
        <f t="shared" si="193"/>
        <v>45181</v>
      </c>
      <c r="G2482" s="1" t="s">
        <v>770</v>
      </c>
      <c r="H2482" s="2">
        <v>46958</v>
      </c>
      <c r="I2482" t="s">
        <v>43</v>
      </c>
      <c r="J2482">
        <v>9</v>
      </c>
      <c r="K2482">
        <v>45250.75</v>
      </c>
      <c r="L2482" t="s">
        <v>225</v>
      </c>
      <c r="M2482">
        <v>25</v>
      </c>
      <c r="N2482" t="s">
        <v>36</v>
      </c>
      <c r="O2482" s="3" t="s">
        <v>55</v>
      </c>
      <c r="P2482" t="s">
        <v>33</v>
      </c>
      <c r="Q2482" t="s">
        <v>30</v>
      </c>
      <c r="R2482">
        <v>2</v>
      </c>
      <c r="S2482" t="s">
        <v>46</v>
      </c>
      <c r="T2482" s="4">
        <f t="shared" si="194"/>
        <v>407256.75</v>
      </c>
      <c r="U2482" s="4" t="str">
        <f t="shared" si="195"/>
        <v>Average</v>
      </c>
      <c r="V2482" s="4" t="str">
        <f t="shared" si="191"/>
        <v>Excellent</v>
      </c>
      <c r="W2482" s="4"/>
      <c r="X2482" s="4"/>
      <c r="AJ2482" s="4"/>
    </row>
    <row r="2483" spans="1:36">
      <c r="A2483" t="str">
        <f t="shared" si="192"/>
        <v>Roha292482</v>
      </c>
      <c r="B2483">
        <v>2482</v>
      </c>
      <c r="C2483">
        <v>13</v>
      </c>
      <c r="D2483">
        <v>9</v>
      </c>
      <c r="E2483">
        <v>2023</v>
      </c>
      <c r="F2483" s="1">
        <f t="shared" si="193"/>
        <v>45182</v>
      </c>
      <c r="G2483" s="1" t="s">
        <v>770</v>
      </c>
      <c r="H2483" s="2">
        <v>46959</v>
      </c>
      <c r="I2483" t="s">
        <v>43</v>
      </c>
      <c r="J2483">
        <v>2</v>
      </c>
      <c r="K2483">
        <v>13698.51</v>
      </c>
      <c r="L2483" t="s">
        <v>661</v>
      </c>
      <c r="M2483">
        <v>29</v>
      </c>
      <c r="N2483" t="s">
        <v>36</v>
      </c>
      <c r="O2483" s="3" t="s">
        <v>55</v>
      </c>
      <c r="P2483" t="s">
        <v>77</v>
      </c>
      <c r="Q2483" t="s">
        <v>56</v>
      </c>
      <c r="R2483">
        <v>2</v>
      </c>
      <c r="S2483" t="s">
        <v>57</v>
      </c>
      <c r="T2483" s="4">
        <f t="shared" si="194"/>
        <v>27397.02</v>
      </c>
      <c r="U2483" s="4" t="str">
        <f t="shared" si="195"/>
        <v>Average</v>
      </c>
      <c r="V2483" s="4" t="str">
        <f t="shared" si="191"/>
        <v>Low</v>
      </c>
      <c r="W2483" s="4"/>
      <c r="X2483" s="4"/>
      <c r="AJ2483" s="4"/>
    </row>
    <row r="2484" spans="1:36">
      <c r="A2484" t="str">
        <f t="shared" si="192"/>
        <v>Radh272483</v>
      </c>
      <c r="B2484">
        <v>2483</v>
      </c>
      <c r="C2484">
        <v>13</v>
      </c>
      <c r="D2484">
        <v>9</v>
      </c>
      <c r="E2484">
        <v>2023</v>
      </c>
      <c r="F2484" s="1">
        <f t="shared" si="193"/>
        <v>45182</v>
      </c>
      <c r="G2484" s="1" t="s">
        <v>770</v>
      </c>
      <c r="H2484" s="2">
        <v>46960</v>
      </c>
      <c r="I2484" t="s">
        <v>43</v>
      </c>
      <c r="J2484">
        <v>5</v>
      </c>
      <c r="K2484">
        <v>67512.740000000005</v>
      </c>
      <c r="L2484" t="s">
        <v>669</v>
      </c>
      <c r="M2484">
        <v>27</v>
      </c>
      <c r="N2484" t="s">
        <v>36</v>
      </c>
      <c r="O2484" s="3" t="s">
        <v>55</v>
      </c>
      <c r="P2484" t="s">
        <v>114</v>
      </c>
      <c r="Q2484" t="s">
        <v>30</v>
      </c>
      <c r="R2484">
        <v>2</v>
      </c>
      <c r="S2484" t="s">
        <v>95</v>
      </c>
      <c r="T2484" s="4">
        <f t="shared" si="194"/>
        <v>337563.7</v>
      </c>
      <c r="U2484" s="4" t="str">
        <f t="shared" si="195"/>
        <v>Average</v>
      </c>
      <c r="V2484" s="4" t="str">
        <f t="shared" si="191"/>
        <v>Excellent</v>
      </c>
      <c r="W2484" s="4"/>
      <c r="X2484" s="4"/>
      <c r="AJ2484" s="4"/>
    </row>
    <row r="2485" spans="1:36">
      <c r="A2485" t="str">
        <f t="shared" si="192"/>
        <v>Amit312484</v>
      </c>
      <c r="B2485">
        <v>2484</v>
      </c>
      <c r="C2485">
        <v>13</v>
      </c>
      <c r="D2485">
        <v>9</v>
      </c>
      <c r="E2485">
        <v>2023</v>
      </c>
      <c r="F2485" s="1">
        <f t="shared" si="193"/>
        <v>45182</v>
      </c>
      <c r="G2485" s="1" t="s">
        <v>770</v>
      </c>
      <c r="H2485" s="2">
        <v>46961</v>
      </c>
      <c r="I2485" t="s">
        <v>43</v>
      </c>
      <c r="J2485">
        <v>7</v>
      </c>
      <c r="K2485">
        <v>18515.990000000002</v>
      </c>
      <c r="L2485" t="s">
        <v>523</v>
      </c>
      <c r="M2485">
        <v>31</v>
      </c>
      <c r="N2485" t="s">
        <v>21</v>
      </c>
      <c r="O2485" s="3" t="s">
        <v>22</v>
      </c>
      <c r="P2485" t="s">
        <v>33</v>
      </c>
      <c r="Q2485" t="s">
        <v>41</v>
      </c>
      <c r="R2485">
        <v>4</v>
      </c>
      <c r="S2485" t="s">
        <v>46</v>
      </c>
      <c r="T2485" s="4">
        <f t="shared" si="194"/>
        <v>129611.93000000001</v>
      </c>
      <c r="U2485" s="4" t="str">
        <f t="shared" si="195"/>
        <v>Good</v>
      </c>
      <c r="V2485" s="4" t="str">
        <f t="shared" si="191"/>
        <v>Good</v>
      </c>
      <c r="W2485" s="4"/>
      <c r="X2485" s="4"/>
      <c r="AJ2485" s="4"/>
    </row>
    <row r="2486" spans="1:36">
      <c r="A2486" t="str">
        <f t="shared" si="192"/>
        <v>Vija262485</v>
      </c>
      <c r="B2486">
        <v>2485</v>
      </c>
      <c r="C2486">
        <v>14</v>
      </c>
      <c r="D2486">
        <v>9</v>
      </c>
      <c r="E2486">
        <v>2023</v>
      </c>
      <c r="F2486" s="1">
        <f t="shared" si="193"/>
        <v>45183</v>
      </c>
      <c r="G2486" s="1" t="s">
        <v>770</v>
      </c>
      <c r="H2486" s="2">
        <v>46962</v>
      </c>
      <c r="I2486" t="s">
        <v>26</v>
      </c>
      <c r="J2486">
        <v>6</v>
      </c>
      <c r="K2486">
        <v>28283.37</v>
      </c>
      <c r="L2486" t="s">
        <v>1002</v>
      </c>
      <c r="M2486">
        <v>26</v>
      </c>
      <c r="N2486" t="s">
        <v>36</v>
      </c>
      <c r="O2486" s="3" t="s">
        <v>55</v>
      </c>
      <c r="P2486" t="s">
        <v>33</v>
      </c>
      <c r="Q2486" t="s">
        <v>56</v>
      </c>
      <c r="R2486">
        <v>2</v>
      </c>
      <c r="S2486" t="s">
        <v>67</v>
      </c>
      <c r="T2486" s="4">
        <f t="shared" si="194"/>
        <v>169700.22</v>
      </c>
      <c r="U2486" s="4" t="str">
        <f t="shared" si="195"/>
        <v>Average</v>
      </c>
      <c r="V2486" s="4" t="str">
        <f t="shared" si="191"/>
        <v>Good</v>
      </c>
      <c r="W2486" s="4"/>
      <c r="X2486" s="4"/>
      <c r="AJ2486" s="4"/>
    </row>
    <row r="2487" spans="1:36">
      <c r="A2487" t="str">
        <f t="shared" si="192"/>
        <v>Pank552486</v>
      </c>
      <c r="B2487">
        <v>2486</v>
      </c>
      <c r="C2487">
        <v>14</v>
      </c>
      <c r="D2487">
        <v>9</v>
      </c>
      <c r="E2487">
        <v>2023</v>
      </c>
      <c r="F2487" s="1">
        <f t="shared" si="193"/>
        <v>45183</v>
      </c>
      <c r="G2487" s="1" t="s">
        <v>770</v>
      </c>
      <c r="H2487" s="2">
        <v>46963</v>
      </c>
      <c r="I2487" t="s">
        <v>26</v>
      </c>
      <c r="J2487">
        <v>6</v>
      </c>
      <c r="K2487">
        <v>59351.07</v>
      </c>
      <c r="L2487" t="s">
        <v>824</v>
      </c>
      <c r="M2487">
        <v>55</v>
      </c>
      <c r="N2487" t="s">
        <v>61</v>
      </c>
      <c r="O2487" s="3" t="s">
        <v>22</v>
      </c>
      <c r="P2487" t="s">
        <v>40</v>
      </c>
      <c r="Q2487" t="s">
        <v>41</v>
      </c>
      <c r="R2487">
        <v>5</v>
      </c>
      <c r="S2487" t="s">
        <v>34</v>
      </c>
      <c r="T2487" s="4">
        <f t="shared" si="194"/>
        <v>356106.42</v>
      </c>
      <c r="U2487" s="4" t="str">
        <f t="shared" si="195"/>
        <v>Good</v>
      </c>
      <c r="V2487" s="4" t="str">
        <f t="shared" si="191"/>
        <v>Excellent</v>
      </c>
      <c r="W2487" s="4"/>
      <c r="X2487" s="4"/>
      <c r="AJ2487" s="4"/>
    </row>
    <row r="2488" spans="1:36">
      <c r="A2488" t="str">
        <f t="shared" si="192"/>
        <v>Jyot472487</v>
      </c>
      <c r="B2488">
        <v>2487</v>
      </c>
      <c r="C2488">
        <v>14</v>
      </c>
      <c r="D2488">
        <v>9</v>
      </c>
      <c r="E2488">
        <v>2023</v>
      </c>
      <c r="F2488" s="1">
        <f t="shared" si="193"/>
        <v>45183</v>
      </c>
      <c r="G2488" s="1" t="s">
        <v>770</v>
      </c>
      <c r="H2488" s="2">
        <v>46964</v>
      </c>
      <c r="I2488" t="s">
        <v>26</v>
      </c>
      <c r="J2488">
        <v>7</v>
      </c>
      <c r="K2488">
        <v>23124.42</v>
      </c>
      <c r="L2488" t="s">
        <v>950</v>
      </c>
      <c r="M2488">
        <v>47</v>
      </c>
      <c r="N2488" t="s">
        <v>61</v>
      </c>
      <c r="O2488" s="3" t="s">
        <v>55</v>
      </c>
      <c r="P2488" t="s">
        <v>150</v>
      </c>
      <c r="Q2488" t="s">
        <v>56</v>
      </c>
      <c r="R2488">
        <v>2</v>
      </c>
      <c r="S2488" t="s">
        <v>67</v>
      </c>
      <c r="T2488" s="4">
        <f t="shared" si="194"/>
        <v>161870.94</v>
      </c>
      <c r="U2488" s="4" t="str">
        <f t="shared" si="195"/>
        <v>Average</v>
      </c>
      <c r="V2488" s="4" t="str">
        <f t="shared" si="191"/>
        <v>Good</v>
      </c>
      <c r="W2488" s="4"/>
      <c r="X2488" s="4"/>
      <c r="AJ2488" s="4"/>
    </row>
    <row r="2489" spans="1:36">
      <c r="A2489" t="str">
        <f t="shared" si="192"/>
        <v>Kris222488</v>
      </c>
      <c r="B2489">
        <v>2488</v>
      </c>
      <c r="C2489">
        <v>15</v>
      </c>
      <c r="D2489">
        <v>9</v>
      </c>
      <c r="E2489">
        <v>2023</v>
      </c>
      <c r="F2489" s="1">
        <f t="shared" si="193"/>
        <v>45184</v>
      </c>
      <c r="G2489" s="1" t="s">
        <v>770</v>
      </c>
      <c r="H2489" s="2">
        <v>46965</v>
      </c>
      <c r="I2489" t="s">
        <v>49</v>
      </c>
      <c r="J2489">
        <v>3</v>
      </c>
      <c r="K2489">
        <v>24578.11</v>
      </c>
      <c r="L2489" t="s">
        <v>116</v>
      </c>
      <c r="M2489">
        <v>22</v>
      </c>
      <c r="N2489" t="s">
        <v>36</v>
      </c>
      <c r="O2489" s="3" t="s">
        <v>28</v>
      </c>
      <c r="P2489" t="s">
        <v>40</v>
      </c>
      <c r="Q2489" t="s">
        <v>56</v>
      </c>
      <c r="R2489">
        <v>3</v>
      </c>
      <c r="S2489" t="s">
        <v>102</v>
      </c>
      <c r="T2489" s="4">
        <f t="shared" si="194"/>
        <v>73734.33</v>
      </c>
      <c r="U2489" s="4" t="str">
        <f t="shared" si="195"/>
        <v>Average</v>
      </c>
      <c r="V2489" s="4" t="str">
        <f t="shared" si="191"/>
        <v>Average</v>
      </c>
      <c r="W2489" s="4"/>
      <c r="X2489" s="4"/>
      <c r="AJ2489" s="4"/>
    </row>
    <row r="2490" spans="1:36">
      <c r="A2490" t="str">
        <f t="shared" si="192"/>
        <v>Lali182489</v>
      </c>
      <c r="B2490">
        <v>2489</v>
      </c>
      <c r="C2490">
        <v>15</v>
      </c>
      <c r="D2490">
        <v>9</v>
      </c>
      <c r="E2490">
        <v>2023</v>
      </c>
      <c r="F2490" s="1">
        <f t="shared" si="193"/>
        <v>45184</v>
      </c>
      <c r="G2490" s="1" t="s">
        <v>770</v>
      </c>
      <c r="H2490" s="2">
        <v>46966</v>
      </c>
      <c r="I2490" t="s">
        <v>49</v>
      </c>
      <c r="J2490">
        <v>3</v>
      </c>
      <c r="K2490">
        <v>48538.54</v>
      </c>
      <c r="L2490" t="s">
        <v>555</v>
      </c>
      <c r="M2490">
        <v>18</v>
      </c>
      <c r="N2490" t="s">
        <v>36</v>
      </c>
      <c r="O2490" s="3" t="s">
        <v>22</v>
      </c>
      <c r="P2490" t="s">
        <v>90</v>
      </c>
      <c r="Q2490" t="s">
        <v>24</v>
      </c>
      <c r="R2490">
        <v>5</v>
      </c>
      <c r="S2490" t="s">
        <v>88</v>
      </c>
      <c r="T2490" s="4">
        <f t="shared" si="194"/>
        <v>145615.62</v>
      </c>
      <c r="U2490" s="4" t="str">
        <f t="shared" si="195"/>
        <v>Good</v>
      </c>
      <c r="V2490" s="4" t="str">
        <f t="shared" si="191"/>
        <v>Good</v>
      </c>
      <c r="W2490" s="4"/>
      <c r="X2490" s="4"/>
      <c r="AJ2490" s="4"/>
    </row>
    <row r="2491" spans="1:36">
      <c r="A2491" t="str">
        <f t="shared" si="192"/>
        <v>Anit182490</v>
      </c>
      <c r="B2491">
        <v>2490</v>
      </c>
      <c r="C2491">
        <v>15</v>
      </c>
      <c r="D2491">
        <v>9</v>
      </c>
      <c r="E2491">
        <v>2023</v>
      </c>
      <c r="F2491" s="1">
        <f t="shared" si="193"/>
        <v>45184</v>
      </c>
      <c r="G2491" s="1" t="s">
        <v>770</v>
      </c>
      <c r="H2491" s="2">
        <v>46967</v>
      </c>
      <c r="I2491" t="s">
        <v>49</v>
      </c>
      <c r="J2491">
        <v>9</v>
      </c>
      <c r="K2491">
        <v>26565.17</v>
      </c>
      <c r="L2491" t="s">
        <v>561</v>
      </c>
      <c r="M2491">
        <v>18</v>
      </c>
      <c r="N2491" t="s">
        <v>36</v>
      </c>
      <c r="O2491" s="3" t="s">
        <v>22</v>
      </c>
      <c r="P2491" t="s">
        <v>40</v>
      </c>
      <c r="Q2491" t="s">
        <v>56</v>
      </c>
      <c r="R2491">
        <v>4</v>
      </c>
      <c r="S2491" t="s">
        <v>102</v>
      </c>
      <c r="T2491" s="4">
        <f t="shared" si="194"/>
        <v>239086.52999999997</v>
      </c>
      <c r="U2491" s="4" t="str">
        <f t="shared" si="195"/>
        <v>Good</v>
      </c>
      <c r="V2491" s="4" t="str">
        <f t="shared" si="191"/>
        <v>Excellent</v>
      </c>
      <c r="W2491" s="4"/>
      <c r="X2491" s="4"/>
      <c r="AJ2491" s="4"/>
    </row>
    <row r="2492" spans="1:36">
      <c r="A2492" t="str">
        <f t="shared" si="192"/>
        <v>Anja372491</v>
      </c>
      <c r="B2492">
        <v>2491</v>
      </c>
      <c r="C2492">
        <v>15</v>
      </c>
      <c r="D2492">
        <v>9</v>
      </c>
      <c r="E2492">
        <v>2023</v>
      </c>
      <c r="F2492" s="1">
        <f t="shared" si="193"/>
        <v>45184</v>
      </c>
      <c r="G2492" s="1" t="s">
        <v>770</v>
      </c>
      <c r="H2492" s="2">
        <v>46968</v>
      </c>
      <c r="I2492" t="s">
        <v>19</v>
      </c>
      <c r="J2492">
        <v>8</v>
      </c>
      <c r="K2492">
        <v>23046.86</v>
      </c>
      <c r="L2492" t="s">
        <v>121</v>
      </c>
      <c r="M2492">
        <v>37</v>
      </c>
      <c r="N2492" t="s">
        <v>21</v>
      </c>
      <c r="O2492" s="3" t="s">
        <v>28</v>
      </c>
      <c r="P2492" t="s">
        <v>33</v>
      </c>
      <c r="Q2492" t="s">
        <v>56</v>
      </c>
      <c r="R2492">
        <v>3</v>
      </c>
      <c r="S2492" t="s">
        <v>84</v>
      </c>
      <c r="T2492" s="4">
        <f t="shared" si="194"/>
        <v>184374.88</v>
      </c>
      <c r="U2492" s="4" t="str">
        <f t="shared" si="195"/>
        <v>Average</v>
      </c>
      <c r="V2492" s="4" t="str">
        <f t="shared" si="191"/>
        <v>Good</v>
      </c>
      <c r="W2492" s="4"/>
      <c r="X2492" s="4"/>
      <c r="AJ2492" s="4"/>
    </row>
    <row r="2493" spans="1:36">
      <c r="A2493" t="str">
        <f t="shared" si="192"/>
        <v>Jyot282492</v>
      </c>
      <c r="B2493">
        <v>2492</v>
      </c>
      <c r="C2493">
        <v>16</v>
      </c>
      <c r="D2493">
        <v>9</v>
      </c>
      <c r="E2493">
        <v>2023</v>
      </c>
      <c r="F2493" s="1">
        <f t="shared" si="193"/>
        <v>45185</v>
      </c>
      <c r="G2493" s="1" t="s">
        <v>770</v>
      </c>
      <c r="H2493" s="2">
        <v>46969</v>
      </c>
      <c r="I2493" t="s">
        <v>49</v>
      </c>
      <c r="J2493">
        <v>5</v>
      </c>
      <c r="K2493">
        <v>25250.66</v>
      </c>
      <c r="L2493" t="s">
        <v>1003</v>
      </c>
      <c r="M2493">
        <v>28</v>
      </c>
      <c r="N2493" t="s">
        <v>36</v>
      </c>
      <c r="O2493" s="3" t="s">
        <v>28</v>
      </c>
      <c r="P2493" t="s">
        <v>33</v>
      </c>
      <c r="Q2493" t="s">
        <v>41</v>
      </c>
      <c r="R2493">
        <v>3</v>
      </c>
      <c r="S2493" t="s">
        <v>102</v>
      </c>
      <c r="T2493" s="4">
        <f t="shared" si="194"/>
        <v>126253.3</v>
      </c>
      <c r="U2493" s="4" t="str">
        <f t="shared" si="195"/>
        <v>Average</v>
      </c>
      <c r="V2493" s="4" t="str">
        <f t="shared" si="191"/>
        <v>Good</v>
      </c>
      <c r="W2493" s="4"/>
      <c r="X2493" s="4"/>
      <c r="AJ2493" s="4"/>
    </row>
    <row r="2494" spans="1:36">
      <c r="A2494" t="str">
        <f t="shared" si="192"/>
        <v>Tanu432493</v>
      </c>
      <c r="B2494">
        <v>2493</v>
      </c>
      <c r="C2494">
        <v>16</v>
      </c>
      <c r="D2494">
        <v>9</v>
      </c>
      <c r="E2494">
        <v>2023</v>
      </c>
      <c r="F2494" s="1">
        <f t="shared" si="193"/>
        <v>45185</v>
      </c>
      <c r="G2494" s="1" t="s">
        <v>770</v>
      </c>
      <c r="H2494" s="2">
        <v>46970</v>
      </c>
      <c r="I2494" t="s">
        <v>26</v>
      </c>
      <c r="J2494">
        <v>6</v>
      </c>
      <c r="K2494">
        <v>39438.85</v>
      </c>
      <c r="L2494" t="s">
        <v>193</v>
      </c>
      <c r="M2494">
        <v>43</v>
      </c>
      <c r="N2494" t="s">
        <v>21</v>
      </c>
      <c r="O2494" s="3" t="s">
        <v>22</v>
      </c>
      <c r="P2494" t="s">
        <v>93</v>
      </c>
      <c r="Q2494" t="s">
        <v>41</v>
      </c>
      <c r="R2494">
        <v>5</v>
      </c>
      <c r="S2494" t="s">
        <v>31</v>
      </c>
      <c r="T2494" s="4">
        <f t="shared" si="194"/>
        <v>236633.09999999998</v>
      </c>
      <c r="U2494" s="4" t="str">
        <f t="shared" si="195"/>
        <v>Good</v>
      </c>
      <c r="V2494" s="4" t="str">
        <f t="shared" si="191"/>
        <v>Excellent</v>
      </c>
      <c r="W2494" s="4"/>
      <c r="X2494" s="4"/>
      <c r="AJ2494" s="4"/>
    </row>
    <row r="2495" spans="1:36">
      <c r="A2495" t="str">
        <f t="shared" si="192"/>
        <v>Anan202494</v>
      </c>
      <c r="B2495">
        <v>2494</v>
      </c>
      <c r="C2495">
        <v>16</v>
      </c>
      <c r="D2495">
        <v>9</v>
      </c>
      <c r="E2495">
        <v>2023</v>
      </c>
      <c r="F2495" s="1">
        <f t="shared" si="193"/>
        <v>45185</v>
      </c>
      <c r="G2495" s="1" t="s">
        <v>770</v>
      </c>
      <c r="H2495" s="2">
        <v>46971</v>
      </c>
      <c r="I2495" t="s">
        <v>26</v>
      </c>
      <c r="J2495">
        <v>1</v>
      </c>
      <c r="K2495">
        <v>67965.990000000005</v>
      </c>
      <c r="L2495" t="s">
        <v>196</v>
      </c>
      <c r="M2495">
        <v>20</v>
      </c>
      <c r="N2495" t="s">
        <v>36</v>
      </c>
      <c r="O2495" s="3" t="s">
        <v>22</v>
      </c>
      <c r="P2495" t="s">
        <v>77</v>
      </c>
      <c r="Q2495" t="s">
        <v>30</v>
      </c>
      <c r="R2495">
        <v>5</v>
      </c>
      <c r="S2495" t="s">
        <v>67</v>
      </c>
      <c r="T2495" s="4">
        <f t="shared" si="194"/>
        <v>67965.990000000005</v>
      </c>
      <c r="U2495" s="4" t="str">
        <f t="shared" si="195"/>
        <v>Good</v>
      </c>
      <c r="V2495" s="4" t="str">
        <f t="shared" si="191"/>
        <v>Average</v>
      </c>
      <c r="W2495" s="4"/>
      <c r="X2495" s="4"/>
      <c r="AJ2495" s="4"/>
    </row>
    <row r="2496" spans="1:36">
      <c r="A2496" t="str">
        <f t="shared" si="192"/>
        <v>Umes232495</v>
      </c>
      <c r="B2496">
        <v>2495</v>
      </c>
      <c r="C2496">
        <v>16</v>
      </c>
      <c r="D2496">
        <v>9</v>
      </c>
      <c r="E2496">
        <v>2023</v>
      </c>
      <c r="F2496" s="1">
        <f t="shared" si="193"/>
        <v>45185</v>
      </c>
      <c r="G2496" s="1" t="s">
        <v>770</v>
      </c>
      <c r="H2496" s="2">
        <v>46972</v>
      </c>
      <c r="I2496" t="s">
        <v>19</v>
      </c>
      <c r="J2496">
        <v>1</v>
      </c>
      <c r="K2496">
        <v>59934.28</v>
      </c>
      <c r="L2496" t="s">
        <v>363</v>
      </c>
      <c r="M2496">
        <v>23</v>
      </c>
      <c r="N2496" t="s">
        <v>36</v>
      </c>
      <c r="O2496" s="3" t="s">
        <v>22</v>
      </c>
      <c r="P2496" t="s">
        <v>40</v>
      </c>
      <c r="Q2496" t="s">
        <v>24</v>
      </c>
      <c r="R2496">
        <v>4</v>
      </c>
      <c r="S2496" t="s">
        <v>37</v>
      </c>
      <c r="T2496" s="4">
        <f t="shared" si="194"/>
        <v>59934.28</v>
      </c>
      <c r="U2496" s="4" t="str">
        <f t="shared" si="195"/>
        <v>Good</v>
      </c>
      <c r="V2496" s="4" t="str">
        <f t="shared" si="191"/>
        <v>Average</v>
      </c>
      <c r="W2496" s="4"/>
      <c r="X2496" s="4"/>
      <c r="AJ2496" s="4"/>
    </row>
    <row r="2497" spans="1:36">
      <c r="A2497" t="str">
        <f t="shared" si="192"/>
        <v>Meen282496</v>
      </c>
      <c r="B2497">
        <v>2496</v>
      </c>
      <c r="C2497">
        <v>17</v>
      </c>
      <c r="D2497">
        <v>9</v>
      </c>
      <c r="E2497">
        <v>2023</v>
      </c>
      <c r="F2497" s="1">
        <f t="shared" si="193"/>
        <v>45186</v>
      </c>
      <c r="G2497" s="1" t="s">
        <v>770</v>
      </c>
      <c r="H2497" s="2">
        <v>46973</v>
      </c>
      <c r="I2497" t="s">
        <v>19</v>
      </c>
      <c r="J2497">
        <v>4</v>
      </c>
      <c r="K2497">
        <v>27076.62</v>
      </c>
      <c r="L2497" t="s">
        <v>771</v>
      </c>
      <c r="M2497">
        <v>28</v>
      </c>
      <c r="N2497" t="s">
        <v>36</v>
      </c>
      <c r="O2497" s="3" t="s">
        <v>22</v>
      </c>
      <c r="P2497" t="s">
        <v>29</v>
      </c>
      <c r="Q2497" t="s">
        <v>56</v>
      </c>
      <c r="R2497">
        <v>4</v>
      </c>
      <c r="S2497" t="s">
        <v>37</v>
      </c>
      <c r="T2497" s="4">
        <f t="shared" si="194"/>
        <v>108306.48</v>
      </c>
      <c r="U2497" s="4" t="str">
        <f t="shared" si="195"/>
        <v>Good</v>
      </c>
      <c r="V2497" s="4" t="str">
        <f t="shared" ref="V2497:V2560" si="196">IF(T2497&gt;200000,"Excellent",IF(T2497&gt;100000,"Good",IF(T2497&gt;50000,"Average","Low")))</f>
        <v>Good</v>
      </c>
      <c r="W2497" s="4"/>
      <c r="X2497" s="4"/>
      <c r="AJ2497" s="4"/>
    </row>
    <row r="2498" spans="1:36">
      <c r="A2498" t="str">
        <f t="shared" ref="A2498:A2561" si="197">LEFT(L2498,4)&amp;M2498&amp;B2498</f>
        <v>Ayes252497</v>
      </c>
      <c r="B2498">
        <v>2497</v>
      </c>
      <c r="C2498">
        <v>17</v>
      </c>
      <c r="D2498">
        <v>9</v>
      </c>
      <c r="E2498">
        <v>2023</v>
      </c>
      <c r="F2498" s="1">
        <f t="shared" si="193"/>
        <v>45186</v>
      </c>
      <c r="G2498" s="1" t="s">
        <v>770</v>
      </c>
      <c r="H2498" s="2">
        <v>46974</v>
      </c>
      <c r="I2498" t="s">
        <v>49</v>
      </c>
      <c r="J2498">
        <v>2</v>
      </c>
      <c r="K2498">
        <v>31802.39</v>
      </c>
      <c r="L2498" t="s">
        <v>746</v>
      </c>
      <c r="M2498">
        <v>25</v>
      </c>
      <c r="N2498" t="s">
        <v>36</v>
      </c>
      <c r="O2498" s="3" t="s">
        <v>22</v>
      </c>
      <c r="P2498" t="s">
        <v>77</v>
      </c>
      <c r="Q2498" t="s">
        <v>24</v>
      </c>
      <c r="R2498">
        <v>5</v>
      </c>
      <c r="S2498" t="s">
        <v>52</v>
      </c>
      <c r="T2498" s="4">
        <f t="shared" si="194"/>
        <v>63604.78</v>
      </c>
      <c r="U2498" s="4" t="str">
        <f t="shared" si="195"/>
        <v>Good</v>
      </c>
      <c r="V2498" s="4" t="str">
        <f t="shared" si="196"/>
        <v>Average</v>
      </c>
      <c r="W2498" s="4"/>
      <c r="X2498" s="4"/>
      <c r="AJ2498" s="4"/>
    </row>
    <row r="2499" spans="1:36">
      <c r="A2499" t="str">
        <f t="shared" si="197"/>
        <v>Sach462498</v>
      </c>
      <c r="B2499">
        <v>2498</v>
      </c>
      <c r="C2499">
        <v>17</v>
      </c>
      <c r="D2499">
        <v>9</v>
      </c>
      <c r="E2499">
        <v>2023</v>
      </c>
      <c r="F2499" s="1">
        <f t="shared" ref="F2499:F2562" si="198">DATE(E2499,D2499,C2499)</f>
        <v>45186</v>
      </c>
      <c r="G2499" s="1" t="s">
        <v>770</v>
      </c>
      <c r="H2499" s="2">
        <v>46975</v>
      </c>
      <c r="I2499" t="s">
        <v>38</v>
      </c>
      <c r="J2499">
        <v>7</v>
      </c>
      <c r="K2499">
        <v>37870.74</v>
      </c>
      <c r="L2499" t="s">
        <v>1004</v>
      </c>
      <c r="M2499">
        <v>46</v>
      </c>
      <c r="N2499" t="s">
        <v>61</v>
      </c>
      <c r="O2499" s="3" t="s">
        <v>55</v>
      </c>
      <c r="P2499" t="s">
        <v>77</v>
      </c>
      <c r="Q2499" t="s">
        <v>30</v>
      </c>
      <c r="R2499">
        <v>2</v>
      </c>
      <c r="S2499" t="s">
        <v>48</v>
      </c>
      <c r="T2499" s="4">
        <f t="shared" ref="T2499:T2562" si="199">J2499*K2499</f>
        <v>265095.18</v>
      </c>
      <c r="U2499" s="4" t="str">
        <f t="shared" ref="U2499:U2562" si="200">IF(R2499&gt;=4,"Good","Average")</f>
        <v>Average</v>
      </c>
      <c r="V2499" s="4" t="str">
        <f t="shared" si="196"/>
        <v>Excellent</v>
      </c>
      <c r="W2499" s="4"/>
      <c r="X2499" s="4"/>
      <c r="AJ2499" s="4"/>
    </row>
    <row r="2500" spans="1:36">
      <c r="A2500" t="str">
        <f t="shared" si="197"/>
        <v>Vive272499</v>
      </c>
      <c r="B2500">
        <v>2499</v>
      </c>
      <c r="C2500">
        <v>17</v>
      </c>
      <c r="D2500">
        <v>9</v>
      </c>
      <c r="E2500">
        <v>2023</v>
      </c>
      <c r="F2500" s="1">
        <f t="shared" si="198"/>
        <v>45186</v>
      </c>
      <c r="G2500" s="1" t="s">
        <v>770</v>
      </c>
      <c r="H2500" s="2">
        <v>46976</v>
      </c>
      <c r="I2500" t="s">
        <v>19</v>
      </c>
      <c r="J2500">
        <v>2</v>
      </c>
      <c r="K2500">
        <v>68735.78</v>
      </c>
      <c r="L2500" t="s">
        <v>229</v>
      </c>
      <c r="M2500">
        <v>27</v>
      </c>
      <c r="N2500" t="s">
        <v>36</v>
      </c>
      <c r="O2500" s="3" t="s">
        <v>22</v>
      </c>
      <c r="P2500" t="s">
        <v>51</v>
      </c>
      <c r="Q2500" t="s">
        <v>24</v>
      </c>
      <c r="R2500">
        <v>4</v>
      </c>
      <c r="S2500" t="s">
        <v>84</v>
      </c>
      <c r="T2500" s="4">
        <f t="shared" si="199"/>
        <v>137471.56</v>
      </c>
      <c r="U2500" s="4" t="str">
        <f t="shared" si="200"/>
        <v>Good</v>
      </c>
      <c r="V2500" s="4" t="str">
        <f t="shared" si="196"/>
        <v>Good</v>
      </c>
      <c r="W2500" s="4"/>
      <c r="X2500" s="4"/>
      <c r="AJ2500" s="4"/>
    </row>
    <row r="2501" spans="1:36">
      <c r="A2501" t="str">
        <f t="shared" si="197"/>
        <v>Sanj512500</v>
      </c>
      <c r="B2501">
        <v>2500</v>
      </c>
      <c r="C2501">
        <v>18</v>
      </c>
      <c r="D2501">
        <v>9</v>
      </c>
      <c r="E2501">
        <v>2023</v>
      </c>
      <c r="F2501" s="1">
        <f t="shared" si="198"/>
        <v>45187</v>
      </c>
      <c r="G2501" s="1" t="s">
        <v>770</v>
      </c>
      <c r="H2501" s="2">
        <v>46977</v>
      </c>
      <c r="I2501" t="s">
        <v>43</v>
      </c>
      <c r="J2501">
        <v>2</v>
      </c>
      <c r="K2501">
        <v>20343.43</v>
      </c>
      <c r="L2501" t="s">
        <v>543</v>
      </c>
      <c r="M2501">
        <v>51</v>
      </c>
      <c r="N2501" t="s">
        <v>61</v>
      </c>
      <c r="O2501" s="3" t="s">
        <v>22</v>
      </c>
      <c r="P2501" t="s">
        <v>66</v>
      </c>
      <c r="Q2501" t="s">
        <v>56</v>
      </c>
      <c r="R2501">
        <v>4</v>
      </c>
      <c r="S2501" t="s">
        <v>46</v>
      </c>
      <c r="T2501" s="4">
        <f t="shared" si="199"/>
        <v>40686.86</v>
      </c>
      <c r="U2501" s="4" t="str">
        <f t="shared" si="200"/>
        <v>Good</v>
      </c>
      <c r="V2501" s="4" t="str">
        <f t="shared" si="196"/>
        <v>Low</v>
      </c>
      <c r="W2501" s="4"/>
      <c r="X2501" s="4"/>
      <c r="AJ2501" s="4"/>
    </row>
    <row r="2502" spans="1:36">
      <c r="A2502" t="str">
        <f t="shared" si="197"/>
        <v>Anja412501</v>
      </c>
      <c r="B2502">
        <v>2501</v>
      </c>
      <c r="C2502">
        <v>18</v>
      </c>
      <c r="D2502">
        <v>9</v>
      </c>
      <c r="E2502">
        <v>2023</v>
      </c>
      <c r="F2502" s="1">
        <f t="shared" si="198"/>
        <v>45187</v>
      </c>
      <c r="G2502" s="1" t="s">
        <v>770</v>
      </c>
      <c r="H2502" s="2">
        <v>46978</v>
      </c>
      <c r="I2502" t="s">
        <v>26</v>
      </c>
      <c r="J2502">
        <v>5</v>
      </c>
      <c r="K2502">
        <v>31448.99</v>
      </c>
      <c r="L2502" t="s">
        <v>231</v>
      </c>
      <c r="M2502">
        <v>41</v>
      </c>
      <c r="N2502" t="s">
        <v>21</v>
      </c>
      <c r="O2502" s="3" t="s">
        <v>55</v>
      </c>
      <c r="P2502" t="s">
        <v>29</v>
      </c>
      <c r="Q2502" t="s">
        <v>41</v>
      </c>
      <c r="R2502">
        <v>2</v>
      </c>
      <c r="S2502" t="s">
        <v>67</v>
      </c>
      <c r="T2502" s="4">
        <f t="shared" si="199"/>
        <v>157244.95000000001</v>
      </c>
      <c r="U2502" s="4" t="str">
        <f t="shared" si="200"/>
        <v>Average</v>
      </c>
      <c r="V2502" s="4" t="str">
        <f t="shared" si="196"/>
        <v>Good</v>
      </c>
      <c r="W2502" s="4"/>
      <c r="X2502" s="4"/>
      <c r="AJ2502" s="4"/>
    </row>
    <row r="2503" spans="1:36">
      <c r="A2503" t="str">
        <f t="shared" si="197"/>
        <v>Bina342502</v>
      </c>
      <c r="B2503">
        <v>2502</v>
      </c>
      <c r="C2503">
        <v>18</v>
      </c>
      <c r="D2503">
        <v>9</v>
      </c>
      <c r="E2503">
        <v>2023</v>
      </c>
      <c r="F2503" s="1">
        <f t="shared" si="198"/>
        <v>45187</v>
      </c>
      <c r="G2503" s="1" t="s">
        <v>770</v>
      </c>
      <c r="H2503" s="2">
        <v>46979</v>
      </c>
      <c r="I2503" t="s">
        <v>43</v>
      </c>
      <c r="J2503">
        <v>4</v>
      </c>
      <c r="K2503">
        <v>53765.57</v>
      </c>
      <c r="L2503" t="s">
        <v>1005</v>
      </c>
      <c r="M2503">
        <v>34</v>
      </c>
      <c r="N2503" t="s">
        <v>21</v>
      </c>
      <c r="O2503" s="3" t="s">
        <v>22</v>
      </c>
      <c r="P2503" t="s">
        <v>29</v>
      </c>
      <c r="Q2503" t="s">
        <v>24</v>
      </c>
      <c r="R2503">
        <v>5</v>
      </c>
      <c r="S2503" t="s">
        <v>57</v>
      </c>
      <c r="T2503" s="4">
        <f t="shared" si="199"/>
        <v>215062.28</v>
      </c>
      <c r="U2503" s="4" t="str">
        <f t="shared" si="200"/>
        <v>Good</v>
      </c>
      <c r="V2503" s="4" t="str">
        <f t="shared" si="196"/>
        <v>Excellent</v>
      </c>
      <c r="W2503" s="4"/>
      <c r="X2503" s="4"/>
      <c r="AJ2503" s="4"/>
    </row>
    <row r="2504" spans="1:36">
      <c r="A2504" t="str">
        <f t="shared" si="197"/>
        <v>Sach492503</v>
      </c>
      <c r="B2504">
        <v>2503</v>
      </c>
      <c r="C2504">
        <v>18</v>
      </c>
      <c r="D2504">
        <v>9</v>
      </c>
      <c r="E2504">
        <v>2023</v>
      </c>
      <c r="F2504" s="1">
        <f t="shared" si="198"/>
        <v>45187</v>
      </c>
      <c r="G2504" s="1" t="s">
        <v>770</v>
      </c>
      <c r="H2504" s="2">
        <v>46980</v>
      </c>
      <c r="I2504" t="s">
        <v>26</v>
      </c>
      <c r="J2504">
        <v>8</v>
      </c>
      <c r="K2504">
        <v>67836.62</v>
      </c>
      <c r="L2504" t="s">
        <v>1006</v>
      </c>
      <c r="M2504">
        <v>49</v>
      </c>
      <c r="N2504" t="s">
        <v>61</v>
      </c>
      <c r="O2504" s="3" t="s">
        <v>22</v>
      </c>
      <c r="P2504" t="s">
        <v>45</v>
      </c>
      <c r="Q2504" t="s">
        <v>56</v>
      </c>
      <c r="R2504">
        <v>5</v>
      </c>
      <c r="S2504" t="s">
        <v>67</v>
      </c>
      <c r="T2504" s="4">
        <f t="shared" si="199"/>
        <v>542692.96</v>
      </c>
      <c r="U2504" s="4" t="str">
        <f t="shared" si="200"/>
        <v>Good</v>
      </c>
      <c r="V2504" s="4" t="str">
        <f t="shared" si="196"/>
        <v>Excellent</v>
      </c>
      <c r="W2504" s="4"/>
      <c r="X2504" s="4"/>
      <c r="AJ2504" s="4"/>
    </row>
    <row r="2505" spans="1:36">
      <c r="A2505" t="str">
        <f t="shared" si="197"/>
        <v>Pras282504</v>
      </c>
      <c r="B2505">
        <v>2504</v>
      </c>
      <c r="C2505">
        <v>19</v>
      </c>
      <c r="D2505">
        <v>9</v>
      </c>
      <c r="E2505">
        <v>2023</v>
      </c>
      <c r="F2505" s="1">
        <f t="shared" si="198"/>
        <v>45188</v>
      </c>
      <c r="G2505" s="1" t="s">
        <v>770</v>
      </c>
      <c r="H2505" s="2">
        <v>46981</v>
      </c>
      <c r="I2505" t="s">
        <v>26</v>
      </c>
      <c r="J2505">
        <v>4</v>
      </c>
      <c r="K2505">
        <v>19340.509999999998</v>
      </c>
      <c r="L2505" t="s">
        <v>580</v>
      </c>
      <c r="M2505">
        <v>28</v>
      </c>
      <c r="N2505" t="s">
        <v>36</v>
      </c>
      <c r="O2505" s="3" t="s">
        <v>22</v>
      </c>
      <c r="P2505" t="s">
        <v>93</v>
      </c>
      <c r="Q2505" t="s">
        <v>30</v>
      </c>
      <c r="R2505">
        <v>5</v>
      </c>
      <c r="S2505" t="s">
        <v>31</v>
      </c>
      <c r="T2505" s="4">
        <f t="shared" si="199"/>
        <v>77362.039999999994</v>
      </c>
      <c r="U2505" s="4" t="str">
        <f t="shared" si="200"/>
        <v>Good</v>
      </c>
      <c r="V2505" s="4" t="str">
        <f t="shared" si="196"/>
        <v>Average</v>
      </c>
      <c r="W2505" s="4"/>
      <c r="X2505" s="4"/>
      <c r="AJ2505" s="4"/>
    </row>
    <row r="2506" spans="1:36">
      <c r="A2506" t="str">
        <f t="shared" si="197"/>
        <v>Deep512505</v>
      </c>
      <c r="B2506">
        <v>2505</v>
      </c>
      <c r="C2506">
        <v>19</v>
      </c>
      <c r="D2506">
        <v>9</v>
      </c>
      <c r="E2506">
        <v>2023</v>
      </c>
      <c r="F2506" s="1">
        <f t="shared" si="198"/>
        <v>45188</v>
      </c>
      <c r="G2506" s="1" t="s">
        <v>770</v>
      </c>
      <c r="H2506" s="2">
        <v>46982</v>
      </c>
      <c r="I2506" t="s">
        <v>19</v>
      </c>
      <c r="J2506">
        <v>6</v>
      </c>
      <c r="K2506">
        <v>23642.799999999999</v>
      </c>
      <c r="L2506" t="s">
        <v>142</v>
      </c>
      <c r="M2506">
        <v>51</v>
      </c>
      <c r="N2506" t="s">
        <v>61</v>
      </c>
      <c r="O2506" s="3" t="s">
        <v>55</v>
      </c>
      <c r="P2506" t="s">
        <v>33</v>
      </c>
      <c r="Q2506" t="s">
        <v>56</v>
      </c>
      <c r="R2506">
        <v>2</v>
      </c>
      <c r="S2506" t="s">
        <v>25</v>
      </c>
      <c r="T2506" s="4">
        <f t="shared" si="199"/>
        <v>141856.79999999999</v>
      </c>
      <c r="U2506" s="4" t="str">
        <f t="shared" si="200"/>
        <v>Average</v>
      </c>
      <c r="V2506" s="4" t="str">
        <f t="shared" si="196"/>
        <v>Good</v>
      </c>
      <c r="W2506" s="4"/>
      <c r="X2506" s="4"/>
      <c r="AJ2506" s="4"/>
    </row>
    <row r="2507" spans="1:36">
      <c r="A2507" t="str">
        <f t="shared" si="197"/>
        <v>Ravi412506</v>
      </c>
      <c r="B2507">
        <v>2506</v>
      </c>
      <c r="C2507">
        <v>19</v>
      </c>
      <c r="D2507">
        <v>9</v>
      </c>
      <c r="E2507">
        <v>2023</v>
      </c>
      <c r="F2507" s="1">
        <f t="shared" si="198"/>
        <v>45188</v>
      </c>
      <c r="G2507" s="1" t="s">
        <v>770</v>
      </c>
      <c r="H2507" s="2">
        <v>46983</v>
      </c>
      <c r="I2507" t="s">
        <v>19</v>
      </c>
      <c r="J2507">
        <v>5</v>
      </c>
      <c r="K2507">
        <v>23541.68</v>
      </c>
      <c r="L2507" t="s">
        <v>874</v>
      </c>
      <c r="M2507">
        <v>41</v>
      </c>
      <c r="N2507" t="s">
        <v>21</v>
      </c>
      <c r="O2507" s="3" t="s">
        <v>22</v>
      </c>
      <c r="P2507" t="s">
        <v>29</v>
      </c>
      <c r="Q2507" t="s">
        <v>24</v>
      </c>
      <c r="R2507">
        <v>5</v>
      </c>
      <c r="S2507" t="s">
        <v>37</v>
      </c>
      <c r="T2507" s="4">
        <f t="shared" si="199"/>
        <v>117708.4</v>
      </c>
      <c r="U2507" s="4" t="str">
        <f t="shared" si="200"/>
        <v>Good</v>
      </c>
      <c r="V2507" s="4" t="str">
        <f t="shared" si="196"/>
        <v>Good</v>
      </c>
      <c r="W2507" s="4"/>
      <c r="X2507" s="4"/>
      <c r="AJ2507" s="4"/>
    </row>
    <row r="2508" spans="1:36">
      <c r="A2508" t="str">
        <f t="shared" si="197"/>
        <v>Sach222507</v>
      </c>
      <c r="B2508">
        <v>2507</v>
      </c>
      <c r="C2508">
        <v>20</v>
      </c>
      <c r="D2508">
        <v>9</v>
      </c>
      <c r="E2508">
        <v>2023</v>
      </c>
      <c r="F2508" s="1">
        <f t="shared" si="198"/>
        <v>45189</v>
      </c>
      <c r="G2508" s="1" t="s">
        <v>770</v>
      </c>
      <c r="H2508" s="2">
        <v>46984</v>
      </c>
      <c r="I2508" t="s">
        <v>43</v>
      </c>
      <c r="J2508">
        <v>2</v>
      </c>
      <c r="K2508">
        <v>11255.92</v>
      </c>
      <c r="L2508" t="s">
        <v>1006</v>
      </c>
      <c r="M2508">
        <v>22</v>
      </c>
      <c r="N2508" t="s">
        <v>36</v>
      </c>
      <c r="O2508" s="3" t="s">
        <v>22</v>
      </c>
      <c r="P2508" t="s">
        <v>40</v>
      </c>
      <c r="Q2508" t="s">
        <v>56</v>
      </c>
      <c r="R2508">
        <v>5</v>
      </c>
      <c r="S2508" t="s">
        <v>57</v>
      </c>
      <c r="T2508" s="4">
        <f t="shared" si="199"/>
        <v>22511.84</v>
      </c>
      <c r="U2508" s="4" t="str">
        <f t="shared" si="200"/>
        <v>Good</v>
      </c>
      <c r="V2508" s="4" t="str">
        <f t="shared" si="196"/>
        <v>Low</v>
      </c>
      <c r="W2508" s="4"/>
      <c r="X2508" s="4"/>
      <c r="AJ2508" s="4"/>
    </row>
    <row r="2509" spans="1:36">
      <c r="A2509" t="str">
        <f t="shared" si="197"/>
        <v>Vino462508</v>
      </c>
      <c r="B2509">
        <v>2508</v>
      </c>
      <c r="C2509">
        <v>20</v>
      </c>
      <c r="D2509">
        <v>9</v>
      </c>
      <c r="E2509">
        <v>2023</v>
      </c>
      <c r="F2509" s="1">
        <f t="shared" si="198"/>
        <v>45189</v>
      </c>
      <c r="G2509" s="1" t="s">
        <v>770</v>
      </c>
      <c r="H2509" s="2">
        <v>46985</v>
      </c>
      <c r="I2509" t="s">
        <v>26</v>
      </c>
      <c r="J2509">
        <v>8</v>
      </c>
      <c r="K2509">
        <v>46246.94</v>
      </c>
      <c r="L2509" t="s">
        <v>175</v>
      </c>
      <c r="M2509">
        <v>46</v>
      </c>
      <c r="N2509" t="s">
        <v>61</v>
      </c>
      <c r="O2509" s="3" t="s">
        <v>22</v>
      </c>
      <c r="P2509" t="s">
        <v>90</v>
      </c>
      <c r="Q2509" t="s">
        <v>56</v>
      </c>
      <c r="R2509">
        <v>5</v>
      </c>
      <c r="S2509" t="s">
        <v>34</v>
      </c>
      <c r="T2509" s="4">
        <f t="shared" si="199"/>
        <v>369975.52</v>
      </c>
      <c r="U2509" s="4" t="str">
        <f t="shared" si="200"/>
        <v>Good</v>
      </c>
      <c r="V2509" s="4" t="str">
        <f t="shared" si="196"/>
        <v>Excellent</v>
      </c>
      <c r="W2509" s="4"/>
      <c r="X2509" s="4"/>
      <c r="AJ2509" s="4"/>
    </row>
    <row r="2510" spans="1:36">
      <c r="A2510" t="str">
        <f t="shared" si="197"/>
        <v>Arun512509</v>
      </c>
      <c r="B2510">
        <v>2509</v>
      </c>
      <c r="C2510">
        <v>20</v>
      </c>
      <c r="D2510">
        <v>9</v>
      </c>
      <c r="E2510">
        <v>2023</v>
      </c>
      <c r="F2510" s="1">
        <f t="shared" si="198"/>
        <v>45189</v>
      </c>
      <c r="G2510" s="1" t="s">
        <v>770</v>
      </c>
      <c r="H2510" s="2">
        <v>46986</v>
      </c>
      <c r="I2510" t="s">
        <v>43</v>
      </c>
      <c r="J2510">
        <v>2</v>
      </c>
      <c r="K2510">
        <v>50242.18</v>
      </c>
      <c r="L2510" t="s">
        <v>929</v>
      </c>
      <c r="M2510">
        <v>51</v>
      </c>
      <c r="N2510" t="s">
        <v>61</v>
      </c>
      <c r="O2510" s="3" t="s">
        <v>22</v>
      </c>
      <c r="P2510" t="s">
        <v>23</v>
      </c>
      <c r="Q2510" t="s">
        <v>24</v>
      </c>
      <c r="R2510">
        <v>5</v>
      </c>
      <c r="S2510" t="s">
        <v>57</v>
      </c>
      <c r="T2510" s="4">
        <f t="shared" si="199"/>
        <v>100484.36</v>
      </c>
      <c r="U2510" s="4" t="str">
        <f t="shared" si="200"/>
        <v>Good</v>
      </c>
      <c r="V2510" s="4" t="str">
        <f t="shared" si="196"/>
        <v>Good</v>
      </c>
      <c r="W2510" s="4"/>
      <c r="X2510" s="4"/>
      <c r="AJ2510" s="4"/>
    </row>
    <row r="2511" spans="1:36">
      <c r="A2511" t="str">
        <f t="shared" si="197"/>
        <v>Priy332510</v>
      </c>
      <c r="B2511">
        <v>2510</v>
      </c>
      <c r="C2511">
        <v>20</v>
      </c>
      <c r="D2511">
        <v>9</v>
      </c>
      <c r="E2511">
        <v>2023</v>
      </c>
      <c r="F2511" s="1">
        <f t="shared" si="198"/>
        <v>45189</v>
      </c>
      <c r="G2511" s="1" t="s">
        <v>770</v>
      </c>
      <c r="H2511" s="2">
        <v>46987</v>
      </c>
      <c r="I2511" t="s">
        <v>38</v>
      </c>
      <c r="J2511">
        <v>9</v>
      </c>
      <c r="K2511">
        <v>46151.55</v>
      </c>
      <c r="L2511" t="s">
        <v>740</v>
      </c>
      <c r="M2511">
        <v>33</v>
      </c>
      <c r="N2511" t="s">
        <v>21</v>
      </c>
      <c r="O2511" s="3" t="s">
        <v>55</v>
      </c>
      <c r="P2511" t="s">
        <v>117</v>
      </c>
      <c r="Q2511" t="s">
        <v>24</v>
      </c>
      <c r="R2511">
        <v>2</v>
      </c>
      <c r="S2511" t="s">
        <v>48</v>
      </c>
      <c r="T2511" s="4">
        <f t="shared" si="199"/>
        <v>415363.95</v>
      </c>
      <c r="U2511" s="4" t="str">
        <f t="shared" si="200"/>
        <v>Average</v>
      </c>
      <c r="V2511" s="4" t="str">
        <f t="shared" si="196"/>
        <v>Excellent</v>
      </c>
      <c r="W2511" s="4"/>
      <c r="X2511" s="4"/>
      <c r="AJ2511" s="4"/>
    </row>
    <row r="2512" spans="1:36">
      <c r="A2512" t="str">
        <f t="shared" si="197"/>
        <v>Neet422511</v>
      </c>
      <c r="B2512">
        <v>2511</v>
      </c>
      <c r="C2512">
        <v>21</v>
      </c>
      <c r="D2512">
        <v>9</v>
      </c>
      <c r="E2512">
        <v>2023</v>
      </c>
      <c r="F2512" s="1">
        <f t="shared" si="198"/>
        <v>45190</v>
      </c>
      <c r="G2512" s="1" t="s">
        <v>770</v>
      </c>
      <c r="H2512" s="2">
        <v>46988</v>
      </c>
      <c r="I2512" t="s">
        <v>43</v>
      </c>
      <c r="J2512">
        <v>9</v>
      </c>
      <c r="K2512">
        <v>14279.38</v>
      </c>
      <c r="L2512" t="s">
        <v>726</v>
      </c>
      <c r="M2512">
        <v>42</v>
      </c>
      <c r="N2512" t="s">
        <v>21</v>
      </c>
      <c r="O2512" s="3" t="s">
        <v>22</v>
      </c>
      <c r="P2512" t="s">
        <v>33</v>
      </c>
      <c r="Q2512" t="s">
        <v>30</v>
      </c>
      <c r="R2512">
        <v>5</v>
      </c>
      <c r="S2512" t="s">
        <v>95</v>
      </c>
      <c r="T2512" s="4">
        <f t="shared" si="199"/>
        <v>128514.42</v>
      </c>
      <c r="U2512" s="4" t="str">
        <f t="shared" si="200"/>
        <v>Good</v>
      </c>
      <c r="V2512" s="4" t="str">
        <f t="shared" si="196"/>
        <v>Good</v>
      </c>
      <c r="W2512" s="4"/>
      <c r="X2512" s="4"/>
      <c r="AJ2512" s="4"/>
    </row>
    <row r="2513" spans="1:36">
      <c r="A2513" t="str">
        <f t="shared" si="197"/>
        <v>Isha542512</v>
      </c>
      <c r="B2513">
        <v>2512</v>
      </c>
      <c r="C2513">
        <v>21</v>
      </c>
      <c r="D2513">
        <v>9</v>
      </c>
      <c r="E2513">
        <v>2023</v>
      </c>
      <c r="F2513" s="1">
        <f t="shared" si="198"/>
        <v>45190</v>
      </c>
      <c r="G2513" s="1" t="s">
        <v>770</v>
      </c>
      <c r="H2513" s="2">
        <v>46989</v>
      </c>
      <c r="I2513" t="s">
        <v>49</v>
      </c>
      <c r="J2513">
        <v>3</v>
      </c>
      <c r="K2513">
        <v>14153.81</v>
      </c>
      <c r="L2513" t="s">
        <v>274</v>
      </c>
      <c r="M2513">
        <v>54</v>
      </c>
      <c r="N2513" t="s">
        <v>61</v>
      </c>
      <c r="O2513" s="3" t="s">
        <v>22</v>
      </c>
      <c r="P2513" t="s">
        <v>29</v>
      </c>
      <c r="Q2513" t="s">
        <v>56</v>
      </c>
      <c r="R2513">
        <v>5</v>
      </c>
      <c r="S2513" t="s">
        <v>52</v>
      </c>
      <c r="T2513" s="4">
        <f t="shared" si="199"/>
        <v>42461.43</v>
      </c>
      <c r="U2513" s="4" t="str">
        <f t="shared" si="200"/>
        <v>Good</v>
      </c>
      <c r="V2513" s="4" t="str">
        <f t="shared" si="196"/>
        <v>Low</v>
      </c>
      <c r="W2513" s="4"/>
      <c r="X2513" s="4"/>
      <c r="AJ2513" s="4"/>
    </row>
    <row r="2514" spans="1:36">
      <c r="A2514" t="str">
        <f t="shared" si="197"/>
        <v>Sach252513</v>
      </c>
      <c r="B2514">
        <v>2513</v>
      </c>
      <c r="C2514">
        <v>21</v>
      </c>
      <c r="D2514">
        <v>9</v>
      </c>
      <c r="E2514">
        <v>2023</v>
      </c>
      <c r="F2514" s="1">
        <f t="shared" si="198"/>
        <v>45190</v>
      </c>
      <c r="G2514" s="1" t="s">
        <v>770</v>
      </c>
      <c r="H2514" s="2">
        <v>46990</v>
      </c>
      <c r="I2514" t="s">
        <v>43</v>
      </c>
      <c r="J2514">
        <v>4</v>
      </c>
      <c r="K2514">
        <v>22623.19</v>
      </c>
      <c r="L2514" t="s">
        <v>877</v>
      </c>
      <c r="M2514">
        <v>25</v>
      </c>
      <c r="N2514" t="s">
        <v>36</v>
      </c>
      <c r="O2514" s="3" t="s">
        <v>28</v>
      </c>
      <c r="P2514" t="s">
        <v>40</v>
      </c>
      <c r="Q2514" t="s">
        <v>41</v>
      </c>
      <c r="R2514">
        <v>3</v>
      </c>
      <c r="S2514" t="s">
        <v>95</v>
      </c>
      <c r="T2514" s="4">
        <f t="shared" si="199"/>
        <v>90492.76</v>
      </c>
      <c r="U2514" s="4" t="str">
        <f t="shared" si="200"/>
        <v>Average</v>
      </c>
      <c r="V2514" s="4" t="str">
        <f t="shared" si="196"/>
        <v>Average</v>
      </c>
      <c r="W2514" s="4"/>
      <c r="X2514" s="4"/>
      <c r="AJ2514" s="4"/>
    </row>
    <row r="2515" spans="1:36">
      <c r="A2515" t="str">
        <f t="shared" si="197"/>
        <v>Roha462514</v>
      </c>
      <c r="B2515">
        <v>2514</v>
      </c>
      <c r="C2515">
        <v>22</v>
      </c>
      <c r="D2515">
        <v>9</v>
      </c>
      <c r="E2515">
        <v>2023</v>
      </c>
      <c r="F2515" s="1">
        <f t="shared" si="198"/>
        <v>45191</v>
      </c>
      <c r="G2515" s="1" t="s">
        <v>770</v>
      </c>
      <c r="H2515" s="2">
        <v>46991</v>
      </c>
      <c r="I2515" t="s">
        <v>49</v>
      </c>
      <c r="J2515">
        <v>8</v>
      </c>
      <c r="K2515">
        <v>27417.67</v>
      </c>
      <c r="L2515" t="s">
        <v>661</v>
      </c>
      <c r="M2515">
        <v>46</v>
      </c>
      <c r="N2515" t="s">
        <v>61</v>
      </c>
      <c r="O2515" s="3" t="s">
        <v>22</v>
      </c>
      <c r="P2515" t="s">
        <v>33</v>
      </c>
      <c r="Q2515" t="s">
        <v>24</v>
      </c>
      <c r="R2515">
        <v>4</v>
      </c>
      <c r="S2515" t="s">
        <v>102</v>
      </c>
      <c r="T2515" s="4">
        <f t="shared" si="199"/>
        <v>219341.36</v>
      </c>
      <c r="U2515" s="4" t="str">
        <f t="shared" si="200"/>
        <v>Good</v>
      </c>
      <c r="V2515" s="4" t="str">
        <f t="shared" si="196"/>
        <v>Excellent</v>
      </c>
      <c r="W2515" s="4"/>
      <c r="X2515" s="4"/>
      <c r="AJ2515" s="4"/>
    </row>
    <row r="2516" spans="1:36">
      <c r="A2516" t="str">
        <f t="shared" si="197"/>
        <v>Ravi422515</v>
      </c>
      <c r="B2516">
        <v>2515</v>
      </c>
      <c r="C2516">
        <v>22</v>
      </c>
      <c r="D2516">
        <v>9</v>
      </c>
      <c r="E2516">
        <v>2023</v>
      </c>
      <c r="F2516" s="1">
        <f t="shared" si="198"/>
        <v>45191</v>
      </c>
      <c r="G2516" s="1" t="s">
        <v>770</v>
      </c>
      <c r="H2516" s="2">
        <v>46992</v>
      </c>
      <c r="I2516" t="s">
        <v>49</v>
      </c>
      <c r="J2516">
        <v>9</v>
      </c>
      <c r="K2516">
        <v>57192.62</v>
      </c>
      <c r="L2516" t="s">
        <v>370</v>
      </c>
      <c r="M2516">
        <v>42</v>
      </c>
      <c r="N2516" t="s">
        <v>21</v>
      </c>
      <c r="O2516" s="3" t="s">
        <v>22</v>
      </c>
      <c r="P2516" t="s">
        <v>114</v>
      </c>
      <c r="Q2516" t="s">
        <v>56</v>
      </c>
      <c r="R2516">
        <v>5</v>
      </c>
      <c r="S2516" t="s">
        <v>88</v>
      </c>
      <c r="T2516" s="4">
        <f t="shared" si="199"/>
        <v>514733.58</v>
      </c>
      <c r="U2516" s="4" t="str">
        <f t="shared" si="200"/>
        <v>Good</v>
      </c>
      <c r="V2516" s="4" t="str">
        <f t="shared" si="196"/>
        <v>Excellent</v>
      </c>
      <c r="W2516" s="4"/>
      <c r="X2516" s="4"/>
      <c r="AJ2516" s="4"/>
    </row>
    <row r="2517" spans="1:36">
      <c r="A2517" t="str">
        <f t="shared" si="197"/>
        <v>Ayes592516</v>
      </c>
      <c r="B2517">
        <v>2516</v>
      </c>
      <c r="C2517">
        <v>22</v>
      </c>
      <c r="D2517">
        <v>9</v>
      </c>
      <c r="E2517">
        <v>2023</v>
      </c>
      <c r="F2517" s="1">
        <f t="shared" si="198"/>
        <v>45191</v>
      </c>
      <c r="G2517" s="1" t="s">
        <v>770</v>
      </c>
      <c r="H2517" s="2">
        <v>46993</v>
      </c>
      <c r="I2517" t="s">
        <v>49</v>
      </c>
      <c r="J2517">
        <v>3</v>
      </c>
      <c r="K2517">
        <v>19563.419999999998</v>
      </c>
      <c r="L2517" t="s">
        <v>136</v>
      </c>
      <c r="M2517">
        <v>59</v>
      </c>
      <c r="N2517" t="s">
        <v>61</v>
      </c>
      <c r="O2517" s="3" t="s">
        <v>28</v>
      </c>
      <c r="P2517" t="s">
        <v>114</v>
      </c>
      <c r="Q2517" t="s">
        <v>41</v>
      </c>
      <c r="R2517">
        <v>3</v>
      </c>
      <c r="S2517" t="s">
        <v>88</v>
      </c>
      <c r="T2517" s="4">
        <f t="shared" si="199"/>
        <v>58690.259999999995</v>
      </c>
      <c r="U2517" s="4" t="str">
        <f t="shared" si="200"/>
        <v>Average</v>
      </c>
      <c r="V2517" s="4" t="str">
        <f t="shared" si="196"/>
        <v>Average</v>
      </c>
      <c r="W2517" s="4"/>
      <c r="X2517" s="4"/>
      <c r="AJ2517" s="4"/>
    </row>
    <row r="2518" spans="1:36">
      <c r="A2518" t="str">
        <f t="shared" si="197"/>
        <v>Isha402517</v>
      </c>
      <c r="B2518">
        <v>2517</v>
      </c>
      <c r="C2518">
        <v>22</v>
      </c>
      <c r="D2518">
        <v>9</v>
      </c>
      <c r="E2518">
        <v>2023</v>
      </c>
      <c r="F2518" s="1">
        <f t="shared" si="198"/>
        <v>45191</v>
      </c>
      <c r="G2518" s="1" t="s">
        <v>770</v>
      </c>
      <c r="H2518" s="2">
        <v>46994</v>
      </c>
      <c r="I2518" t="s">
        <v>38</v>
      </c>
      <c r="J2518">
        <v>5</v>
      </c>
      <c r="K2518">
        <v>12645.53</v>
      </c>
      <c r="L2518" t="s">
        <v>423</v>
      </c>
      <c r="M2518">
        <v>40</v>
      </c>
      <c r="N2518" t="s">
        <v>21</v>
      </c>
      <c r="O2518" s="3" t="s">
        <v>55</v>
      </c>
      <c r="P2518" t="s">
        <v>33</v>
      </c>
      <c r="Q2518" t="s">
        <v>41</v>
      </c>
      <c r="R2518">
        <v>2</v>
      </c>
      <c r="S2518" t="s">
        <v>48</v>
      </c>
      <c r="T2518" s="4">
        <f t="shared" si="199"/>
        <v>63227.65</v>
      </c>
      <c r="U2518" s="4" t="str">
        <f t="shared" si="200"/>
        <v>Average</v>
      </c>
      <c r="V2518" s="4" t="str">
        <f t="shared" si="196"/>
        <v>Average</v>
      </c>
      <c r="W2518" s="4"/>
      <c r="X2518" s="4"/>
      <c r="AJ2518" s="4"/>
    </row>
    <row r="2519" spans="1:36">
      <c r="A2519" t="str">
        <f t="shared" si="197"/>
        <v>Lali512518</v>
      </c>
      <c r="B2519">
        <v>2518</v>
      </c>
      <c r="C2519">
        <v>23</v>
      </c>
      <c r="D2519">
        <v>9</v>
      </c>
      <c r="E2519">
        <v>2023</v>
      </c>
      <c r="F2519" s="1">
        <f t="shared" si="198"/>
        <v>45192</v>
      </c>
      <c r="G2519" s="1" t="s">
        <v>770</v>
      </c>
      <c r="H2519" s="2">
        <v>46995</v>
      </c>
      <c r="I2519" t="s">
        <v>43</v>
      </c>
      <c r="J2519">
        <v>8</v>
      </c>
      <c r="K2519">
        <v>33639.25</v>
      </c>
      <c r="L2519" t="s">
        <v>20</v>
      </c>
      <c r="M2519">
        <v>51</v>
      </c>
      <c r="N2519" t="s">
        <v>61</v>
      </c>
      <c r="O2519" s="3" t="s">
        <v>28</v>
      </c>
      <c r="P2519" t="s">
        <v>29</v>
      </c>
      <c r="Q2519" t="s">
        <v>56</v>
      </c>
      <c r="R2519">
        <v>3</v>
      </c>
      <c r="S2519" t="s">
        <v>95</v>
      </c>
      <c r="T2519" s="4">
        <f t="shared" si="199"/>
        <v>269114</v>
      </c>
      <c r="U2519" s="4" t="str">
        <f t="shared" si="200"/>
        <v>Average</v>
      </c>
      <c r="V2519" s="4" t="str">
        <f t="shared" si="196"/>
        <v>Excellent</v>
      </c>
      <c r="W2519" s="4"/>
      <c r="X2519" s="4"/>
      <c r="AJ2519" s="4"/>
    </row>
    <row r="2520" spans="1:36">
      <c r="A2520" t="str">
        <f t="shared" si="197"/>
        <v>Anit202519</v>
      </c>
      <c r="B2520">
        <v>2519</v>
      </c>
      <c r="C2520">
        <v>23</v>
      </c>
      <c r="D2520">
        <v>9</v>
      </c>
      <c r="E2520">
        <v>2023</v>
      </c>
      <c r="F2520" s="1">
        <f t="shared" si="198"/>
        <v>45192</v>
      </c>
      <c r="G2520" s="1" t="s">
        <v>770</v>
      </c>
      <c r="H2520" s="2">
        <v>46996</v>
      </c>
      <c r="I2520" t="s">
        <v>43</v>
      </c>
      <c r="J2520">
        <v>3</v>
      </c>
      <c r="K2520">
        <v>34983.53</v>
      </c>
      <c r="L2520" t="s">
        <v>810</v>
      </c>
      <c r="M2520">
        <v>20</v>
      </c>
      <c r="N2520" t="s">
        <v>36</v>
      </c>
      <c r="O2520" s="3" t="s">
        <v>22</v>
      </c>
      <c r="P2520" t="s">
        <v>64</v>
      </c>
      <c r="Q2520" t="s">
        <v>56</v>
      </c>
      <c r="R2520">
        <v>5</v>
      </c>
      <c r="S2520" t="s">
        <v>95</v>
      </c>
      <c r="T2520" s="4">
        <f t="shared" si="199"/>
        <v>104950.59</v>
      </c>
      <c r="U2520" s="4" t="str">
        <f t="shared" si="200"/>
        <v>Good</v>
      </c>
      <c r="V2520" s="4" t="str">
        <f t="shared" si="196"/>
        <v>Good</v>
      </c>
      <c r="W2520" s="4"/>
      <c r="X2520" s="4"/>
      <c r="AJ2520" s="4"/>
    </row>
    <row r="2521" spans="1:36">
      <c r="A2521" t="str">
        <f t="shared" si="197"/>
        <v>Deep472520</v>
      </c>
      <c r="B2521">
        <v>2520</v>
      </c>
      <c r="C2521">
        <v>23</v>
      </c>
      <c r="D2521">
        <v>9</v>
      </c>
      <c r="E2521">
        <v>2023</v>
      </c>
      <c r="F2521" s="1">
        <f t="shared" si="198"/>
        <v>45192</v>
      </c>
      <c r="G2521" s="1" t="s">
        <v>770</v>
      </c>
      <c r="H2521" s="2">
        <v>46997</v>
      </c>
      <c r="I2521" t="s">
        <v>38</v>
      </c>
      <c r="J2521">
        <v>7</v>
      </c>
      <c r="K2521">
        <v>37054.44</v>
      </c>
      <c r="L2521" t="s">
        <v>759</v>
      </c>
      <c r="M2521">
        <v>47</v>
      </c>
      <c r="N2521" t="s">
        <v>61</v>
      </c>
      <c r="O2521" s="3" t="s">
        <v>55</v>
      </c>
      <c r="P2521" t="s">
        <v>29</v>
      </c>
      <c r="Q2521" t="s">
        <v>56</v>
      </c>
      <c r="R2521">
        <v>2</v>
      </c>
      <c r="S2521" t="s">
        <v>48</v>
      </c>
      <c r="T2521" s="4">
        <f t="shared" si="199"/>
        <v>259381.08000000002</v>
      </c>
      <c r="U2521" s="4" t="str">
        <f t="shared" si="200"/>
        <v>Average</v>
      </c>
      <c r="V2521" s="4" t="str">
        <f t="shared" si="196"/>
        <v>Excellent</v>
      </c>
      <c r="W2521" s="4"/>
      <c r="X2521" s="4"/>
      <c r="AJ2521" s="4"/>
    </row>
    <row r="2522" spans="1:36">
      <c r="A2522" t="str">
        <f t="shared" si="197"/>
        <v>Rame512521</v>
      </c>
      <c r="B2522">
        <v>2521</v>
      </c>
      <c r="C2522">
        <v>23</v>
      </c>
      <c r="D2522">
        <v>9</v>
      </c>
      <c r="E2522">
        <v>2023</v>
      </c>
      <c r="F2522" s="1">
        <f t="shared" si="198"/>
        <v>45192</v>
      </c>
      <c r="G2522" s="1" t="s">
        <v>770</v>
      </c>
      <c r="H2522" s="2">
        <v>46998</v>
      </c>
      <c r="I2522" t="s">
        <v>26</v>
      </c>
      <c r="J2522">
        <v>8</v>
      </c>
      <c r="K2522">
        <v>59614.21</v>
      </c>
      <c r="L2522" t="s">
        <v>386</v>
      </c>
      <c r="M2522">
        <v>51</v>
      </c>
      <c r="N2522" t="s">
        <v>61</v>
      </c>
      <c r="O2522" s="3" t="s">
        <v>28</v>
      </c>
      <c r="P2522" t="s">
        <v>33</v>
      </c>
      <c r="Q2522" t="s">
        <v>41</v>
      </c>
      <c r="R2522">
        <v>3</v>
      </c>
      <c r="S2522" t="s">
        <v>31</v>
      </c>
      <c r="T2522" s="4">
        <f t="shared" si="199"/>
        <v>476913.68</v>
      </c>
      <c r="U2522" s="4" t="str">
        <f t="shared" si="200"/>
        <v>Average</v>
      </c>
      <c r="V2522" s="4" t="str">
        <f t="shared" si="196"/>
        <v>Excellent</v>
      </c>
      <c r="W2522" s="4"/>
      <c r="X2522" s="4"/>
      <c r="AJ2522" s="4"/>
    </row>
    <row r="2523" spans="1:36">
      <c r="A2523" t="str">
        <f t="shared" si="197"/>
        <v>Rame492522</v>
      </c>
      <c r="B2523">
        <v>2522</v>
      </c>
      <c r="C2523">
        <v>24</v>
      </c>
      <c r="D2523">
        <v>9</v>
      </c>
      <c r="E2523">
        <v>2023</v>
      </c>
      <c r="F2523" s="1">
        <f t="shared" si="198"/>
        <v>45193</v>
      </c>
      <c r="G2523" s="1" t="s">
        <v>770</v>
      </c>
      <c r="H2523" s="2">
        <v>46999</v>
      </c>
      <c r="I2523" t="s">
        <v>19</v>
      </c>
      <c r="J2523">
        <v>3</v>
      </c>
      <c r="K2523">
        <v>15880.32</v>
      </c>
      <c r="L2523" t="s">
        <v>554</v>
      </c>
      <c r="M2523">
        <v>49</v>
      </c>
      <c r="N2523" t="s">
        <v>61</v>
      </c>
      <c r="O2523" s="3" t="s">
        <v>22</v>
      </c>
      <c r="P2523" t="s">
        <v>29</v>
      </c>
      <c r="Q2523" t="s">
        <v>56</v>
      </c>
      <c r="R2523">
        <v>5</v>
      </c>
      <c r="S2523" t="s">
        <v>25</v>
      </c>
      <c r="T2523" s="4">
        <f t="shared" si="199"/>
        <v>47640.959999999999</v>
      </c>
      <c r="U2523" s="4" t="str">
        <f t="shared" si="200"/>
        <v>Good</v>
      </c>
      <c r="V2523" s="4" t="str">
        <f t="shared" si="196"/>
        <v>Low</v>
      </c>
      <c r="W2523" s="4"/>
      <c r="X2523" s="4"/>
      <c r="AJ2523" s="4"/>
    </row>
    <row r="2524" spans="1:36">
      <c r="A2524" t="str">
        <f t="shared" si="197"/>
        <v>Nikh462523</v>
      </c>
      <c r="B2524">
        <v>2523</v>
      </c>
      <c r="C2524">
        <v>24</v>
      </c>
      <c r="D2524">
        <v>9</v>
      </c>
      <c r="E2524">
        <v>2023</v>
      </c>
      <c r="F2524" s="1">
        <f t="shared" si="198"/>
        <v>45193</v>
      </c>
      <c r="G2524" s="1" t="s">
        <v>770</v>
      </c>
      <c r="H2524" s="2">
        <v>47000</v>
      </c>
      <c r="I2524" t="s">
        <v>43</v>
      </c>
      <c r="J2524">
        <v>2</v>
      </c>
      <c r="K2524">
        <v>52236.52</v>
      </c>
      <c r="L2524" t="s">
        <v>992</v>
      </c>
      <c r="M2524">
        <v>46</v>
      </c>
      <c r="N2524" t="s">
        <v>61</v>
      </c>
      <c r="O2524" s="3" t="s">
        <v>55</v>
      </c>
      <c r="P2524" t="s">
        <v>110</v>
      </c>
      <c r="Q2524" t="s">
        <v>24</v>
      </c>
      <c r="R2524">
        <v>2</v>
      </c>
      <c r="S2524" t="s">
        <v>57</v>
      </c>
      <c r="T2524" s="4">
        <f t="shared" si="199"/>
        <v>104473.04</v>
      </c>
      <c r="U2524" s="4" t="str">
        <f t="shared" si="200"/>
        <v>Average</v>
      </c>
      <c r="V2524" s="4" t="str">
        <f t="shared" si="196"/>
        <v>Good</v>
      </c>
      <c r="W2524" s="4"/>
      <c r="X2524" s="4"/>
      <c r="AJ2524" s="4"/>
    </row>
    <row r="2525" spans="1:36">
      <c r="A2525" t="str">
        <f t="shared" si="197"/>
        <v>Lali262524</v>
      </c>
      <c r="B2525">
        <v>2524</v>
      </c>
      <c r="C2525">
        <v>24</v>
      </c>
      <c r="D2525">
        <v>9</v>
      </c>
      <c r="E2525">
        <v>2023</v>
      </c>
      <c r="F2525" s="1">
        <f t="shared" si="198"/>
        <v>45193</v>
      </c>
      <c r="G2525" s="1" t="s">
        <v>770</v>
      </c>
      <c r="H2525" s="2">
        <v>47001</v>
      </c>
      <c r="I2525" t="s">
        <v>19</v>
      </c>
      <c r="J2525">
        <v>7</v>
      </c>
      <c r="K2525">
        <v>30276.73</v>
      </c>
      <c r="L2525" t="s">
        <v>836</v>
      </c>
      <c r="M2525">
        <v>26</v>
      </c>
      <c r="N2525" t="s">
        <v>36</v>
      </c>
      <c r="O2525" s="3" t="s">
        <v>55</v>
      </c>
      <c r="P2525" t="s">
        <v>114</v>
      </c>
      <c r="Q2525" t="s">
        <v>41</v>
      </c>
      <c r="R2525">
        <v>2</v>
      </c>
      <c r="S2525" t="s">
        <v>84</v>
      </c>
      <c r="T2525" s="4">
        <f t="shared" si="199"/>
        <v>211937.11</v>
      </c>
      <c r="U2525" s="4" t="str">
        <f t="shared" si="200"/>
        <v>Average</v>
      </c>
      <c r="V2525" s="4" t="str">
        <f t="shared" si="196"/>
        <v>Excellent</v>
      </c>
      <c r="W2525" s="4"/>
      <c r="X2525" s="4"/>
      <c r="AJ2525" s="4"/>
    </row>
    <row r="2526" spans="1:36">
      <c r="A2526" t="str">
        <f t="shared" si="197"/>
        <v>Mala192525</v>
      </c>
      <c r="B2526">
        <v>2525</v>
      </c>
      <c r="C2526">
        <v>24</v>
      </c>
      <c r="D2526">
        <v>9</v>
      </c>
      <c r="E2526">
        <v>2023</v>
      </c>
      <c r="F2526" s="1">
        <f t="shared" si="198"/>
        <v>45193</v>
      </c>
      <c r="G2526" s="1" t="s">
        <v>770</v>
      </c>
      <c r="H2526" s="2">
        <v>47002</v>
      </c>
      <c r="I2526" t="s">
        <v>38</v>
      </c>
      <c r="J2526">
        <v>9</v>
      </c>
      <c r="K2526">
        <v>28598.81</v>
      </c>
      <c r="L2526" t="s">
        <v>1007</v>
      </c>
      <c r="M2526">
        <v>19</v>
      </c>
      <c r="N2526" t="s">
        <v>36</v>
      </c>
      <c r="O2526" s="3" t="s">
        <v>22</v>
      </c>
      <c r="P2526" t="s">
        <v>33</v>
      </c>
      <c r="Q2526" t="s">
        <v>24</v>
      </c>
      <c r="R2526">
        <v>4</v>
      </c>
      <c r="S2526" t="s">
        <v>48</v>
      </c>
      <c r="T2526" s="4">
        <f t="shared" si="199"/>
        <v>257389.29</v>
      </c>
      <c r="U2526" s="4" t="str">
        <f t="shared" si="200"/>
        <v>Good</v>
      </c>
      <c r="V2526" s="4" t="str">
        <f t="shared" si="196"/>
        <v>Excellent</v>
      </c>
      <c r="W2526" s="4"/>
      <c r="X2526" s="4"/>
      <c r="AJ2526" s="4"/>
    </row>
    <row r="2527" spans="1:36">
      <c r="A2527" t="str">
        <f t="shared" si="197"/>
        <v>Jyot562526</v>
      </c>
      <c r="B2527">
        <v>2526</v>
      </c>
      <c r="C2527">
        <v>25</v>
      </c>
      <c r="D2527">
        <v>9</v>
      </c>
      <c r="E2527">
        <v>2023</v>
      </c>
      <c r="F2527" s="1">
        <f t="shared" si="198"/>
        <v>45194</v>
      </c>
      <c r="G2527" s="1" t="s">
        <v>770</v>
      </c>
      <c r="H2527" s="2">
        <v>47003</v>
      </c>
      <c r="I2527" t="s">
        <v>26</v>
      </c>
      <c r="J2527">
        <v>1</v>
      </c>
      <c r="K2527">
        <v>65952.59</v>
      </c>
      <c r="L2527" t="s">
        <v>611</v>
      </c>
      <c r="M2527">
        <v>56</v>
      </c>
      <c r="N2527" t="s">
        <v>61</v>
      </c>
      <c r="O2527" s="3" t="s">
        <v>22</v>
      </c>
      <c r="P2527" t="s">
        <v>33</v>
      </c>
      <c r="Q2527" t="s">
        <v>24</v>
      </c>
      <c r="R2527">
        <v>5</v>
      </c>
      <c r="S2527" t="s">
        <v>31</v>
      </c>
      <c r="T2527" s="4">
        <f t="shared" si="199"/>
        <v>65952.59</v>
      </c>
      <c r="U2527" s="4" t="str">
        <f t="shared" si="200"/>
        <v>Good</v>
      </c>
      <c r="V2527" s="4" t="str">
        <f t="shared" si="196"/>
        <v>Average</v>
      </c>
      <c r="W2527" s="4"/>
      <c r="X2527" s="4"/>
      <c r="AJ2527" s="4"/>
    </row>
    <row r="2528" spans="1:36">
      <c r="A2528" t="str">
        <f t="shared" si="197"/>
        <v>Ravi242527</v>
      </c>
      <c r="B2528">
        <v>2527</v>
      </c>
      <c r="C2528">
        <v>25</v>
      </c>
      <c r="D2528">
        <v>9</v>
      </c>
      <c r="E2528">
        <v>2023</v>
      </c>
      <c r="F2528" s="1">
        <f t="shared" si="198"/>
        <v>45194</v>
      </c>
      <c r="G2528" s="1" t="s">
        <v>770</v>
      </c>
      <c r="H2528" s="2">
        <v>47004</v>
      </c>
      <c r="I2528" t="s">
        <v>26</v>
      </c>
      <c r="J2528">
        <v>3</v>
      </c>
      <c r="K2528">
        <v>24908.11</v>
      </c>
      <c r="L2528" t="s">
        <v>455</v>
      </c>
      <c r="M2528">
        <v>24</v>
      </c>
      <c r="N2528" t="s">
        <v>36</v>
      </c>
      <c r="O2528" s="3" t="s">
        <v>22</v>
      </c>
      <c r="P2528" t="s">
        <v>29</v>
      </c>
      <c r="Q2528" t="s">
        <v>56</v>
      </c>
      <c r="R2528">
        <v>4</v>
      </c>
      <c r="S2528" t="s">
        <v>34</v>
      </c>
      <c r="T2528" s="4">
        <f t="shared" si="199"/>
        <v>74724.33</v>
      </c>
      <c r="U2528" s="4" t="str">
        <f t="shared" si="200"/>
        <v>Good</v>
      </c>
      <c r="V2528" s="4" t="str">
        <f t="shared" si="196"/>
        <v>Average</v>
      </c>
      <c r="W2528" s="4"/>
      <c r="X2528" s="4"/>
      <c r="AJ2528" s="4"/>
    </row>
    <row r="2529" spans="1:36">
      <c r="A2529" t="str">
        <f t="shared" si="197"/>
        <v>Pank222528</v>
      </c>
      <c r="B2529">
        <v>2528</v>
      </c>
      <c r="C2529">
        <v>25</v>
      </c>
      <c r="D2529">
        <v>9</v>
      </c>
      <c r="E2529">
        <v>2023</v>
      </c>
      <c r="F2529" s="1">
        <f t="shared" si="198"/>
        <v>45194</v>
      </c>
      <c r="G2529" s="1" t="s">
        <v>770</v>
      </c>
      <c r="H2529" s="2">
        <v>47005</v>
      </c>
      <c r="I2529" t="s">
        <v>26</v>
      </c>
      <c r="J2529">
        <v>5</v>
      </c>
      <c r="K2529">
        <v>48551.91</v>
      </c>
      <c r="L2529" t="s">
        <v>805</v>
      </c>
      <c r="M2529">
        <v>22</v>
      </c>
      <c r="N2529" t="s">
        <v>36</v>
      </c>
      <c r="O2529" s="3" t="s">
        <v>55</v>
      </c>
      <c r="P2529" t="s">
        <v>110</v>
      </c>
      <c r="Q2529" t="s">
        <v>24</v>
      </c>
      <c r="R2529">
        <v>2</v>
      </c>
      <c r="S2529" t="s">
        <v>67</v>
      </c>
      <c r="T2529" s="4">
        <f t="shared" si="199"/>
        <v>242759.55000000002</v>
      </c>
      <c r="U2529" s="4" t="str">
        <f t="shared" si="200"/>
        <v>Average</v>
      </c>
      <c r="V2529" s="4" t="str">
        <f t="shared" si="196"/>
        <v>Excellent</v>
      </c>
      <c r="W2529" s="4"/>
      <c r="X2529" s="4"/>
      <c r="AJ2529" s="4"/>
    </row>
    <row r="2530" spans="1:36">
      <c r="A2530" t="str">
        <f t="shared" si="197"/>
        <v>Nikh252529</v>
      </c>
      <c r="B2530">
        <v>2529</v>
      </c>
      <c r="C2530">
        <v>26</v>
      </c>
      <c r="D2530">
        <v>9</v>
      </c>
      <c r="E2530">
        <v>2023</v>
      </c>
      <c r="F2530" s="1">
        <f t="shared" si="198"/>
        <v>45195</v>
      </c>
      <c r="G2530" s="1" t="s">
        <v>770</v>
      </c>
      <c r="H2530" s="2">
        <v>47006</v>
      </c>
      <c r="I2530" t="s">
        <v>38</v>
      </c>
      <c r="J2530">
        <v>3</v>
      </c>
      <c r="K2530">
        <v>26507.67</v>
      </c>
      <c r="L2530" t="s">
        <v>271</v>
      </c>
      <c r="M2530">
        <v>25</v>
      </c>
      <c r="N2530" t="s">
        <v>36</v>
      </c>
      <c r="O2530" s="3" t="s">
        <v>55</v>
      </c>
      <c r="P2530" t="s">
        <v>40</v>
      </c>
      <c r="Q2530" t="s">
        <v>56</v>
      </c>
      <c r="R2530">
        <v>2</v>
      </c>
      <c r="S2530" t="s">
        <v>99</v>
      </c>
      <c r="T2530" s="4">
        <f t="shared" si="199"/>
        <v>79523.009999999995</v>
      </c>
      <c r="U2530" s="4" t="str">
        <f t="shared" si="200"/>
        <v>Average</v>
      </c>
      <c r="V2530" s="4" t="str">
        <f t="shared" si="196"/>
        <v>Average</v>
      </c>
      <c r="W2530" s="4"/>
      <c r="X2530" s="4"/>
      <c r="AJ2530" s="4"/>
    </row>
    <row r="2531" spans="1:36">
      <c r="A2531" t="str">
        <f t="shared" si="197"/>
        <v>Neet492530</v>
      </c>
      <c r="B2531">
        <v>2530</v>
      </c>
      <c r="C2531">
        <v>26</v>
      </c>
      <c r="D2531">
        <v>9</v>
      </c>
      <c r="E2531">
        <v>2023</v>
      </c>
      <c r="F2531" s="1">
        <f t="shared" si="198"/>
        <v>45195</v>
      </c>
      <c r="G2531" s="1" t="s">
        <v>770</v>
      </c>
      <c r="H2531" s="2">
        <v>47007</v>
      </c>
      <c r="I2531" t="s">
        <v>49</v>
      </c>
      <c r="J2531">
        <v>1</v>
      </c>
      <c r="K2531">
        <v>40428.629999999997</v>
      </c>
      <c r="L2531" t="s">
        <v>726</v>
      </c>
      <c r="M2531">
        <v>49</v>
      </c>
      <c r="N2531" t="s">
        <v>61</v>
      </c>
      <c r="O2531" s="3" t="s">
        <v>28</v>
      </c>
      <c r="P2531" t="s">
        <v>114</v>
      </c>
      <c r="Q2531" t="s">
        <v>41</v>
      </c>
      <c r="R2531">
        <v>3</v>
      </c>
      <c r="S2531" t="s">
        <v>102</v>
      </c>
      <c r="T2531" s="4">
        <f t="shared" si="199"/>
        <v>40428.629999999997</v>
      </c>
      <c r="U2531" s="4" t="str">
        <f t="shared" si="200"/>
        <v>Average</v>
      </c>
      <c r="V2531" s="4" t="str">
        <f t="shared" si="196"/>
        <v>Low</v>
      </c>
      <c r="W2531" s="4"/>
      <c r="X2531" s="4"/>
      <c r="AJ2531" s="4"/>
    </row>
    <row r="2532" spans="1:36">
      <c r="A2532" t="str">
        <f t="shared" si="197"/>
        <v>Yoge352531</v>
      </c>
      <c r="B2532">
        <v>2531</v>
      </c>
      <c r="C2532">
        <v>26</v>
      </c>
      <c r="D2532">
        <v>9</v>
      </c>
      <c r="E2532">
        <v>2023</v>
      </c>
      <c r="F2532" s="1">
        <f t="shared" si="198"/>
        <v>45195</v>
      </c>
      <c r="G2532" s="1" t="s">
        <v>770</v>
      </c>
      <c r="H2532" s="2">
        <v>47008</v>
      </c>
      <c r="I2532" t="s">
        <v>49</v>
      </c>
      <c r="J2532">
        <v>7</v>
      </c>
      <c r="K2532">
        <v>57177.57</v>
      </c>
      <c r="L2532" t="s">
        <v>81</v>
      </c>
      <c r="M2532">
        <v>35</v>
      </c>
      <c r="N2532" t="s">
        <v>21</v>
      </c>
      <c r="O2532" s="3" t="s">
        <v>22</v>
      </c>
      <c r="P2532" t="s">
        <v>150</v>
      </c>
      <c r="Q2532" t="s">
        <v>24</v>
      </c>
      <c r="R2532">
        <v>4</v>
      </c>
      <c r="S2532" t="s">
        <v>88</v>
      </c>
      <c r="T2532" s="4">
        <f t="shared" si="199"/>
        <v>400242.99</v>
      </c>
      <c r="U2532" s="4" t="str">
        <f t="shared" si="200"/>
        <v>Good</v>
      </c>
      <c r="V2532" s="4" t="str">
        <f t="shared" si="196"/>
        <v>Excellent</v>
      </c>
      <c r="W2532" s="4"/>
      <c r="X2532" s="4"/>
      <c r="AJ2532" s="4"/>
    </row>
    <row r="2533" spans="1:36">
      <c r="A2533" t="str">
        <f t="shared" si="197"/>
        <v>Pooj552532</v>
      </c>
      <c r="B2533">
        <v>2532</v>
      </c>
      <c r="C2533">
        <v>26</v>
      </c>
      <c r="D2533">
        <v>9</v>
      </c>
      <c r="E2533">
        <v>2023</v>
      </c>
      <c r="F2533" s="1">
        <f t="shared" si="198"/>
        <v>45195</v>
      </c>
      <c r="G2533" s="1" t="s">
        <v>770</v>
      </c>
      <c r="H2533" s="2">
        <v>47009</v>
      </c>
      <c r="I2533" t="s">
        <v>19</v>
      </c>
      <c r="J2533">
        <v>7</v>
      </c>
      <c r="K2533">
        <v>62903.35</v>
      </c>
      <c r="L2533" t="s">
        <v>752</v>
      </c>
      <c r="M2533">
        <v>55</v>
      </c>
      <c r="N2533" t="s">
        <v>61</v>
      </c>
      <c r="O2533" s="3" t="s">
        <v>22</v>
      </c>
      <c r="P2533" t="s">
        <v>150</v>
      </c>
      <c r="Q2533" t="s">
        <v>56</v>
      </c>
      <c r="R2533">
        <v>5</v>
      </c>
      <c r="S2533" t="s">
        <v>25</v>
      </c>
      <c r="T2533" s="4">
        <f t="shared" si="199"/>
        <v>440323.45</v>
      </c>
      <c r="U2533" s="4" t="str">
        <f t="shared" si="200"/>
        <v>Good</v>
      </c>
      <c r="V2533" s="4" t="str">
        <f t="shared" si="196"/>
        <v>Excellent</v>
      </c>
      <c r="W2533" s="4"/>
      <c r="X2533" s="4"/>
      <c r="AJ2533" s="4"/>
    </row>
    <row r="2534" spans="1:36">
      <c r="A2534" t="str">
        <f t="shared" si="197"/>
        <v>Radh352533</v>
      </c>
      <c r="B2534">
        <v>2533</v>
      </c>
      <c r="C2534">
        <v>27</v>
      </c>
      <c r="D2534">
        <v>9</v>
      </c>
      <c r="E2534">
        <v>2023</v>
      </c>
      <c r="F2534" s="1">
        <f t="shared" si="198"/>
        <v>45196</v>
      </c>
      <c r="G2534" s="1" t="s">
        <v>770</v>
      </c>
      <c r="H2534" s="2">
        <v>47010</v>
      </c>
      <c r="I2534" t="s">
        <v>49</v>
      </c>
      <c r="J2534">
        <v>8</v>
      </c>
      <c r="K2534">
        <v>60321.83</v>
      </c>
      <c r="L2534" t="s">
        <v>649</v>
      </c>
      <c r="M2534">
        <v>35</v>
      </c>
      <c r="N2534" t="s">
        <v>21</v>
      </c>
      <c r="O2534" s="3" t="s">
        <v>22</v>
      </c>
      <c r="P2534" t="s">
        <v>29</v>
      </c>
      <c r="Q2534" t="s">
        <v>30</v>
      </c>
      <c r="R2534">
        <v>5</v>
      </c>
      <c r="S2534" t="s">
        <v>52</v>
      </c>
      <c r="T2534" s="4">
        <f t="shared" si="199"/>
        <v>482574.64</v>
      </c>
      <c r="U2534" s="4" t="str">
        <f t="shared" si="200"/>
        <v>Good</v>
      </c>
      <c r="V2534" s="4" t="str">
        <f t="shared" si="196"/>
        <v>Excellent</v>
      </c>
      <c r="W2534" s="4"/>
      <c r="X2534" s="4"/>
      <c r="AJ2534" s="4"/>
    </row>
    <row r="2535" spans="1:36">
      <c r="A2535" t="str">
        <f t="shared" si="197"/>
        <v>Tapa582534</v>
      </c>
      <c r="B2535">
        <v>2534</v>
      </c>
      <c r="C2535">
        <v>27</v>
      </c>
      <c r="D2535">
        <v>9</v>
      </c>
      <c r="E2535">
        <v>2023</v>
      </c>
      <c r="F2535" s="1">
        <f t="shared" si="198"/>
        <v>45196</v>
      </c>
      <c r="G2535" s="1" t="s">
        <v>770</v>
      </c>
      <c r="H2535" s="2">
        <v>47011</v>
      </c>
      <c r="I2535" t="s">
        <v>49</v>
      </c>
      <c r="J2535">
        <v>5</v>
      </c>
      <c r="K2535">
        <v>44930.84</v>
      </c>
      <c r="L2535" t="s">
        <v>378</v>
      </c>
      <c r="M2535">
        <v>58</v>
      </c>
      <c r="N2535" t="s">
        <v>61</v>
      </c>
      <c r="O2535" s="3" t="s">
        <v>22</v>
      </c>
      <c r="P2535" t="s">
        <v>29</v>
      </c>
      <c r="Q2535" t="s">
        <v>56</v>
      </c>
      <c r="R2535">
        <v>4</v>
      </c>
      <c r="S2535" t="s">
        <v>88</v>
      </c>
      <c r="T2535" s="4">
        <f t="shared" si="199"/>
        <v>224654.19999999998</v>
      </c>
      <c r="U2535" s="4" t="str">
        <f t="shared" si="200"/>
        <v>Good</v>
      </c>
      <c r="V2535" s="4" t="str">
        <f t="shared" si="196"/>
        <v>Excellent</v>
      </c>
      <c r="W2535" s="4"/>
      <c r="X2535" s="4"/>
      <c r="AJ2535" s="4"/>
    </row>
    <row r="2536" spans="1:36">
      <c r="A2536" t="str">
        <f t="shared" si="197"/>
        <v>Pooj332535</v>
      </c>
      <c r="B2536">
        <v>2535</v>
      </c>
      <c r="C2536">
        <v>27</v>
      </c>
      <c r="D2536">
        <v>9</v>
      </c>
      <c r="E2536">
        <v>2023</v>
      </c>
      <c r="F2536" s="1">
        <f t="shared" si="198"/>
        <v>45196</v>
      </c>
      <c r="G2536" s="1" t="s">
        <v>770</v>
      </c>
      <c r="H2536" s="2">
        <v>47012</v>
      </c>
      <c r="I2536" t="s">
        <v>26</v>
      </c>
      <c r="J2536">
        <v>5</v>
      </c>
      <c r="K2536">
        <v>24928.98</v>
      </c>
      <c r="L2536" t="s">
        <v>680</v>
      </c>
      <c r="M2536">
        <v>33</v>
      </c>
      <c r="N2536" t="s">
        <v>21</v>
      </c>
      <c r="O2536" s="3" t="s">
        <v>55</v>
      </c>
      <c r="P2536" t="s">
        <v>90</v>
      </c>
      <c r="Q2536" t="s">
        <v>30</v>
      </c>
      <c r="R2536">
        <v>2</v>
      </c>
      <c r="S2536" t="s">
        <v>34</v>
      </c>
      <c r="T2536" s="4">
        <f t="shared" si="199"/>
        <v>124644.9</v>
      </c>
      <c r="U2536" s="4" t="str">
        <f t="shared" si="200"/>
        <v>Average</v>
      </c>
      <c r="V2536" s="4" t="str">
        <f t="shared" si="196"/>
        <v>Good</v>
      </c>
      <c r="W2536" s="4"/>
      <c r="X2536" s="4"/>
      <c r="AJ2536" s="4"/>
    </row>
    <row r="2537" spans="1:36">
      <c r="A2537" t="str">
        <f t="shared" si="197"/>
        <v>Nami382536</v>
      </c>
      <c r="B2537">
        <v>2536</v>
      </c>
      <c r="C2537">
        <v>27</v>
      </c>
      <c r="D2537">
        <v>9</v>
      </c>
      <c r="E2537">
        <v>2023</v>
      </c>
      <c r="F2537" s="1">
        <f t="shared" si="198"/>
        <v>45196</v>
      </c>
      <c r="G2537" s="1" t="s">
        <v>770</v>
      </c>
      <c r="H2537" s="2">
        <v>47013</v>
      </c>
      <c r="I2537" t="s">
        <v>26</v>
      </c>
      <c r="J2537">
        <v>5</v>
      </c>
      <c r="K2537">
        <v>49674</v>
      </c>
      <c r="L2537" t="s">
        <v>990</v>
      </c>
      <c r="M2537">
        <v>38</v>
      </c>
      <c r="N2537" t="s">
        <v>21</v>
      </c>
      <c r="O2537" s="3" t="s">
        <v>28</v>
      </c>
      <c r="P2537" t="s">
        <v>90</v>
      </c>
      <c r="Q2537" t="s">
        <v>56</v>
      </c>
      <c r="R2537">
        <v>3</v>
      </c>
      <c r="S2537" t="s">
        <v>67</v>
      </c>
      <c r="T2537" s="4">
        <f t="shared" si="199"/>
        <v>248370</v>
      </c>
      <c r="U2537" s="4" t="str">
        <f t="shared" si="200"/>
        <v>Average</v>
      </c>
      <c r="V2537" s="4" t="str">
        <f t="shared" si="196"/>
        <v>Excellent</v>
      </c>
      <c r="W2537" s="4"/>
      <c r="X2537" s="4"/>
      <c r="AJ2537" s="4"/>
    </row>
    <row r="2538" spans="1:36">
      <c r="A2538" t="str">
        <f t="shared" si="197"/>
        <v>Kavi272537</v>
      </c>
      <c r="B2538">
        <v>2537</v>
      </c>
      <c r="C2538">
        <v>28</v>
      </c>
      <c r="D2538">
        <v>9</v>
      </c>
      <c r="E2538">
        <v>2023</v>
      </c>
      <c r="F2538" s="1">
        <f t="shared" si="198"/>
        <v>45197</v>
      </c>
      <c r="G2538" s="1" t="s">
        <v>770</v>
      </c>
      <c r="H2538" s="2">
        <v>47014</v>
      </c>
      <c r="I2538" t="s">
        <v>19</v>
      </c>
      <c r="J2538">
        <v>1</v>
      </c>
      <c r="K2538">
        <v>52594.3</v>
      </c>
      <c r="L2538" t="s">
        <v>468</v>
      </c>
      <c r="M2538">
        <v>27</v>
      </c>
      <c r="N2538" t="s">
        <v>36</v>
      </c>
      <c r="O2538" s="3" t="s">
        <v>22</v>
      </c>
      <c r="P2538" t="s">
        <v>29</v>
      </c>
      <c r="Q2538" t="s">
        <v>30</v>
      </c>
      <c r="R2538">
        <v>5</v>
      </c>
      <c r="S2538" t="s">
        <v>37</v>
      </c>
      <c r="T2538" s="4">
        <f t="shared" si="199"/>
        <v>52594.3</v>
      </c>
      <c r="U2538" s="4" t="str">
        <f t="shared" si="200"/>
        <v>Good</v>
      </c>
      <c r="V2538" s="4" t="str">
        <f t="shared" si="196"/>
        <v>Average</v>
      </c>
      <c r="W2538" s="4"/>
      <c r="X2538" s="4"/>
      <c r="AJ2538" s="4"/>
    </row>
    <row r="2539" spans="1:36">
      <c r="A2539" t="str">
        <f t="shared" si="197"/>
        <v>Neet592538</v>
      </c>
      <c r="B2539">
        <v>2538</v>
      </c>
      <c r="C2539">
        <v>28</v>
      </c>
      <c r="D2539">
        <v>9</v>
      </c>
      <c r="E2539">
        <v>2023</v>
      </c>
      <c r="F2539" s="1">
        <f t="shared" si="198"/>
        <v>45197</v>
      </c>
      <c r="G2539" s="1" t="s">
        <v>770</v>
      </c>
      <c r="H2539" s="2">
        <v>47015</v>
      </c>
      <c r="I2539" t="s">
        <v>43</v>
      </c>
      <c r="J2539">
        <v>5</v>
      </c>
      <c r="K2539">
        <v>10641.52</v>
      </c>
      <c r="L2539" t="s">
        <v>487</v>
      </c>
      <c r="M2539">
        <v>59</v>
      </c>
      <c r="N2539" t="s">
        <v>61</v>
      </c>
      <c r="O2539" s="3" t="s">
        <v>22</v>
      </c>
      <c r="P2539" t="s">
        <v>33</v>
      </c>
      <c r="Q2539" t="s">
        <v>24</v>
      </c>
      <c r="R2539">
        <v>5</v>
      </c>
      <c r="S2539" t="s">
        <v>46</v>
      </c>
      <c r="T2539" s="4">
        <f t="shared" si="199"/>
        <v>53207.600000000006</v>
      </c>
      <c r="U2539" s="4" t="str">
        <f t="shared" si="200"/>
        <v>Good</v>
      </c>
      <c r="V2539" s="4" t="str">
        <f t="shared" si="196"/>
        <v>Average</v>
      </c>
      <c r="W2539" s="4"/>
      <c r="X2539" s="4"/>
      <c r="AJ2539" s="4"/>
    </row>
    <row r="2540" spans="1:36">
      <c r="A2540" t="str">
        <f t="shared" si="197"/>
        <v>Nami212539</v>
      </c>
      <c r="B2540">
        <v>2539</v>
      </c>
      <c r="C2540">
        <v>28</v>
      </c>
      <c r="D2540">
        <v>9</v>
      </c>
      <c r="E2540">
        <v>2023</v>
      </c>
      <c r="F2540" s="1">
        <f t="shared" si="198"/>
        <v>45197</v>
      </c>
      <c r="G2540" s="1" t="s">
        <v>770</v>
      </c>
      <c r="H2540" s="2">
        <v>47016</v>
      </c>
      <c r="I2540" t="s">
        <v>19</v>
      </c>
      <c r="J2540">
        <v>6</v>
      </c>
      <c r="K2540">
        <v>36352.629999999997</v>
      </c>
      <c r="L2540" t="s">
        <v>990</v>
      </c>
      <c r="M2540">
        <v>21</v>
      </c>
      <c r="N2540" t="s">
        <v>36</v>
      </c>
      <c r="O2540" s="3" t="s">
        <v>28</v>
      </c>
      <c r="P2540" t="s">
        <v>64</v>
      </c>
      <c r="Q2540" t="s">
        <v>30</v>
      </c>
      <c r="R2540">
        <v>3</v>
      </c>
      <c r="S2540" t="s">
        <v>84</v>
      </c>
      <c r="T2540" s="4">
        <f t="shared" si="199"/>
        <v>218115.77999999997</v>
      </c>
      <c r="U2540" s="4" t="str">
        <f t="shared" si="200"/>
        <v>Average</v>
      </c>
      <c r="V2540" s="4" t="str">
        <f t="shared" si="196"/>
        <v>Excellent</v>
      </c>
      <c r="W2540" s="4"/>
      <c r="X2540" s="4"/>
      <c r="AJ2540" s="4"/>
    </row>
    <row r="2541" spans="1:36">
      <c r="A2541" t="str">
        <f t="shared" si="197"/>
        <v>Yoge252540</v>
      </c>
      <c r="B2541">
        <v>2540</v>
      </c>
      <c r="C2541">
        <v>28</v>
      </c>
      <c r="D2541">
        <v>9</v>
      </c>
      <c r="E2541">
        <v>2023</v>
      </c>
      <c r="F2541" s="1">
        <f t="shared" si="198"/>
        <v>45197</v>
      </c>
      <c r="G2541" s="1" t="s">
        <v>770</v>
      </c>
      <c r="H2541" s="2">
        <v>47017</v>
      </c>
      <c r="I2541" t="s">
        <v>19</v>
      </c>
      <c r="J2541">
        <v>1</v>
      </c>
      <c r="K2541">
        <v>60595.72</v>
      </c>
      <c r="L2541" t="s">
        <v>276</v>
      </c>
      <c r="M2541">
        <v>25</v>
      </c>
      <c r="N2541" t="s">
        <v>36</v>
      </c>
      <c r="O2541" s="3" t="s">
        <v>55</v>
      </c>
      <c r="P2541" t="s">
        <v>29</v>
      </c>
      <c r="Q2541" t="s">
        <v>24</v>
      </c>
      <c r="R2541">
        <v>2</v>
      </c>
      <c r="S2541" t="s">
        <v>84</v>
      </c>
      <c r="T2541" s="4">
        <f t="shared" si="199"/>
        <v>60595.72</v>
      </c>
      <c r="U2541" s="4" t="str">
        <f t="shared" si="200"/>
        <v>Average</v>
      </c>
      <c r="V2541" s="4" t="str">
        <f t="shared" si="196"/>
        <v>Average</v>
      </c>
      <c r="W2541" s="4"/>
      <c r="X2541" s="4"/>
      <c r="AJ2541" s="4"/>
    </row>
    <row r="2542" spans="1:36">
      <c r="A2542" t="str">
        <f t="shared" si="197"/>
        <v>Adit362541</v>
      </c>
      <c r="B2542">
        <v>2541</v>
      </c>
      <c r="C2542">
        <v>29</v>
      </c>
      <c r="D2542">
        <v>9</v>
      </c>
      <c r="E2542">
        <v>2023</v>
      </c>
      <c r="F2542" s="1">
        <f t="shared" si="198"/>
        <v>45198</v>
      </c>
      <c r="G2542" s="1" t="s">
        <v>770</v>
      </c>
      <c r="H2542" s="2">
        <v>47018</v>
      </c>
      <c r="I2542" t="s">
        <v>38</v>
      </c>
      <c r="J2542">
        <v>7</v>
      </c>
      <c r="K2542">
        <v>39375.26</v>
      </c>
      <c r="L2542" t="s">
        <v>1008</v>
      </c>
      <c r="M2542">
        <v>36</v>
      </c>
      <c r="N2542" t="s">
        <v>21</v>
      </c>
      <c r="O2542" s="3" t="s">
        <v>22</v>
      </c>
      <c r="P2542" t="s">
        <v>150</v>
      </c>
      <c r="Q2542" t="s">
        <v>24</v>
      </c>
      <c r="R2542">
        <v>5</v>
      </c>
      <c r="S2542" t="s">
        <v>42</v>
      </c>
      <c r="T2542" s="4">
        <f t="shared" si="199"/>
        <v>275626.82</v>
      </c>
      <c r="U2542" s="4" t="str">
        <f t="shared" si="200"/>
        <v>Good</v>
      </c>
      <c r="V2542" s="4" t="str">
        <f t="shared" si="196"/>
        <v>Excellent</v>
      </c>
      <c r="W2542" s="4"/>
      <c r="X2542" s="4"/>
      <c r="AJ2542" s="4"/>
    </row>
    <row r="2543" spans="1:36">
      <c r="A2543" t="str">
        <f t="shared" si="197"/>
        <v>Isha572542</v>
      </c>
      <c r="B2543">
        <v>2542</v>
      </c>
      <c r="C2543">
        <v>29</v>
      </c>
      <c r="D2543">
        <v>9</v>
      </c>
      <c r="E2543">
        <v>2023</v>
      </c>
      <c r="F2543" s="1">
        <f t="shared" si="198"/>
        <v>45198</v>
      </c>
      <c r="G2543" s="1" t="s">
        <v>770</v>
      </c>
      <c r="H2543" s="2">
        <v>47019</v>
      </c>
      <c r="I2543" t="s">
        <v>38</v>
      </c>
      <c r="J2543">
        <v>1</v>
      </c>
      <c r="K2543">
        <v>28682.53</v>
      </c>
      <c r="L2543" t="s">
        <v>277</v>
      </c>
      <c r="M2543">
        <v>57</v>
      </c>
      <c r="N2543" t="s">
        <v>61</v>
      </c>
      <c r="O2543" s="3" t="s">
        <v>28</v>
      </c>
      <c r="P2543" t="s">
        <v>150</v>
      </c>
      <c r="Q2543" t="s">
        <v>56</v>
      </c>
      <c r="R2543">
        <v>3</v>
      </c>
      <c r="S2543" t="s">
        <v>42</v>
      </c>
      <c r="T2543" s="4">
        <f t="shared" si="199"/>
        <v>28682.53</v>
      </c>
      <c r="U2543" s="4" t="str">
        <f t="shared" si="200"/>
        <v>Average</v>
      </c>
      <c r="V2543" s="4" t="str">
        <f t="shared" si="196"/>
        <v>Low</v>
      </c>
      <c r="W2543" s="4"/>
      <c r="X2543" s="4"/>
      <c r="AJ2543" s="4"/>
    </row>
    <row r="2544" spans="1:36">
      <c r="A2544" t="str">
        <f t="shared" si="197"/>
        <v>Ravi572543</v>
      </c>
      <c r="B2544">
        <v>2543</v>
      </c>
      <c r="C2544">
        <v>29</v>
      </c>
      <c r="D2544">
        <v>9</v>
      </c>
      <c r="E2544">
        <v>2023</v>
      </c>
      <c r="F2544" s="1">
        <f t="shared" si="198"/>
        <v>45198</v>
      </c>
      <c r="G2544" s="1" t="s">
        <v>770</v>
      </c>
      <c r="H2544" s="2">
        <v>47020</v>
      </c>
      <c r="I2544" t="s">
        <v>19</v>
      </c>
      <c r="J2544">
        <v>2</v>
      </c>
      <c r="K2544">
        <v>62307.87</v>
      </c>
      <c r="L2544" t="s">
        <v>573</v>
      </c>
      <c r="M2544">
        <v>57</v>
      </c>
      <c r="N2544" t="s">
        <v>61</v>
      </c>
      <c r="O2544" s="3" t="s">
        <v>22</v>
      </c>
      <c r="P2544" t="s">
        <v>64</v>
      </c>
      <c r="Q2544" t="s">
        <v>24</v>
      </c>
      <c r="R2544">
        <v>5</v>
      </c>
      <c r="S2544" t="s">
        <v>25</v>
      </c>
      <c r="T2544" s="4">
        <f t="shared" si="199"/>
        <v>124615.74</v>
      </c>
      <c r="U2544" s="4" t="str">
        <f t="shared" si="200"/>
        <v>Good</v>
      </c>
      <c r="V2544" s="4" t="str">
        <f t="shared" si="196"/>
        <v>Good</v>
      </c>
      <c r="W2544" s="4"/>
      <c r="X2544" s="4"/>
      <c r="AJ2544" s="4"/>
    </row>
    <row r="2545" spans="1:36">
      <c r="A2545" t="str">
        <f t="shared" si="197"/>
        <v>Shru262544</v>
      </c>
      <c r="B2545">
        <v>2544</v>
      </c>
      <c r="C2545">
        <v>29</v>
      </c>
      <c r="D2545">
        <v>9</v>
      </c>
      <c r="E2545">
        <v>2023</v>
      </c>
      <c r="F2545" s="1">
        <f t="shared" si="198"/>
        <v>45198</v>
      </c>
      <c r="G2545" s="1" t="s">
        <v>770</v>
      </c>
      <c r="H2545" s="2">
        <v>47021</v>
      </c>
      <c r="I2545" t="s">
        <v>19</v>
      </c>
      <c r="J2545">
        <v>2</v>
      </c>
      <c r="K2545">
        <v>19352.84</v>
      </c>
      <c r="L2545" t="s">
        <v>551</v>
      </c>
      <c r="M2545">
        <v>26</v>
      </c>
      <c r="N2545" t="s">
        <v>36</v>
      </c>
      <c r="O2545" s="3" t="s">
        <v>22</v>
      </c>
      <c r="P2545" t="s">
        <v>132</v>
      </c>
      <c r="Q2545" t="s">
        <v>41</v>
      </c>
      <c r="R2545">
        <v>4</v>
      </c>
      <c r="S2545" t="s">
        <v>25</v>
      </c>
      <c r="T2545" s="4">
        <f t="shared" si="199"/>
        <v>38705.68</v>
      </c>
      <c r="U2545" s="4" t="str">
        <f t="shared" si="200"/>
        <v>Good</v>
      </c>
      <c r="V2545" s="4" t="str">
        <f t="shared" si="196"/>
        <v>Low</v>
      </c>
      <c r="W2545" s="4"/>
      <c r="X2545" s="4"/>
      <c r="AJ2545" s="4"/>
    </row>
    <row r="2546" spans="1:36">
      <c r="A2546" t="str">
        <f t="shared" si="197"/>
        <v>Hari472545</v>
      </c>
      <c r="B2546">
        <v>2545</v>
      </c>
      <c r="C2546">
        <v>30</v>
      </c>
      <c r="D2546">
        <v>9</v>
      </c>
      <c r="E2546">
        <v>2023</v>
      </c>
      <c r="F2546" s="1">
        <f t="shared" si="198"/>
        <v>45199</v>
      </c>
      <c r="G2546" s="1" t="s">
        <v>770</v>
      </c>
      <c r="H2546" s="2">
        <v>47022</v>
      </c>
      <c r="I2546" t="s">
        <v>19</v>
      </c>
      <c r="J2546">
        <v>5</v>
      </c>
      <c r="K2546">
        <v>22386.71</v>
      </c>
      <c r="L2546" t="s">
        <v>814</v>
      </c>
      <c r="M2546">
        <v>47</v>
      </c>
      <c r="N2546" t="s">
        <v>61</v>
      </c>
      <c r="O2546" s="3" t="s">
        <v>22</v>
      </c>
      <c r="P2546" t="s">
        <v>29</v>
      </c>
      <c r="Q2546" t="s">
        <v>30</v>
      </c>
      <c r="R2546">
        <v>5</v>
      </c>
      <c r="S2546" t="s">
        <v>84</v>
      </c>
      <c r="T2546" s="4">
        <f t="shared" si="199"/>
        <v>111933.54999999999</v>
      </c>
      <c r="U2546" s="4" t="str">
        <f t="shared" si="200"/>
        <v>Good</v>
      </c>
      <c r="V2546" s="4" t="str">
        <f t="shared" si="196"/>
        <v>Good</v>
      </c>
      <c r="W2546" s="4"/>
      <c r="X2546" s="4"/>
      <c r="AJ2546" s="4"/>
    </row>
    <row r="2547" spans="1:36">
      <c r="A2547" t="str">
        <f t="shared" si="197"/>
        <v>Isha342546</v>
      </c>
      <c r="B2547">
        <v>2546</v>
      </c>
      <c r="C2547">
        <v>30</v>
      </c>
      <c r="D2547">
        <v>9</v>
      </c>
      <c r="E2547">
        <v>2023</v>
      </c>
      <c r="F2547" s="1">
        <f t="shared" si="198"/>
        <v>45199</v>
      </c>
      <c r="G2547" s="1" t="s">
        <v>770</v>
      </c>
      <c r="H2547" s="2">
        <v>47023</v>
      </c>
      <c r="I2547" t="s">
        <v>49</v>
      </c>
      <c r="J2547">
        <v>7</v>
      </c>
      <c r="K2547">
        <v>51242.34</v>
      </c>
      <c r="L2547" t="s">
        <v>906</v>
      </c>
      <c r="M2547">
        <v>34</v>
      </c>
      <c r="N2547" t="s">
        <v>21</v>
      </c>
      <c r="O2547" s="3" t="s">
        <v>55</v>
      </c>
      <c r="P2547" t="s">
        <v>29</v>
      </c>
      <c r="Q2547" t="s">
        <v>56</v>
      </c>
      <c r="R2547">
        <v>2</v>
      </c>
      <c r="S2547" t="s">
        <v>88</v>
      </c>
      <c r="T2547" s="4">
        <f t="shared" si="199"/>
        <v>358696.38</v>
      </c>
      <c r="U2547" s="4" t="str">
        <f t="shared" si="200"/>
        <v>Average</v>
      </c>
      <c r="V2547" s="4" t="str">
        <f t="shared" si="196"/>
        <v>Excellent</v>
      </c>
      <c r="W2547" s="4"/>
      <c r="X2547" s="4"/>
      <c r="AJ2547" s="4"/>
    </row>
    <row r="2548" spans="1:36">
      <c r="A2548" t="str">
        <f t="shared" si="197"/>
        <v>Mala572547</v>
      </c>
      <c r="B2548">
        <v>2547</v>
      </c>
      <c r="C2548">
        <v>30</v>
      </c>
      <c r="D2548">
        <v>9</v>
      </c>
      <c r="E2548">
        <v>2023</v>
      </c>
      <c r="F2548" s="1">
        <f t="shared" si="198"/>
        <v>45199</v>
      </c>
      <c r="G2548" s="1" t="s">
        <v>770</v>
      </c>
      <c r="H2548" s="2">
        <v>47024</v>
      </c>
      <c r="I2548" t="s">
        <v>38</v>
      </c>
      <c r="J2548">
        <v>1</v>
      </c>
      <c r="K2548">
        <v>31146.16</v>
      </c>
      <c r="L2548" t="s">
        <v>1009</v>
      </c>
      <c r="M2548">
        <v>57</v>
      </c>
      <c r="N2548" t="s">
        <v>61</v>
      </c>
      <c r="O2548" s="3" t="s">
        <v>22</v>
      </c>
      <c r="P2548" t="s">
        <v>29</v>
      </c>
      <c r="Q2548" t="s">
        <v>24</v>
      </c>
      <c r="R2548">
        <v>5</v>
      </c>
      <c r="S2548" t="s">
        <v>42</v>
      </c>
      <c r="T2548" s="4">
        <f t="shared" si="199"/>
        <v>31146.16</v>
      </c>
      <c r="U2548" s="4" t="str">
        <f t="shared" si="200"/>
        <v>Good</v>
      </c>
      <c r="V2548" s="4" t="str">
        <f t="shared" si="196"/>
        <v>Low</v>
      </c>
      <c r="W2548" s="4"/>
      <c r="X2548" s="4"/>
      <c r="AJ2548" s="4"/>
    </row>
    <row r="2549" spans="1:36">
      <c r="A2549" t="str">
        <f t="shared" si="197"/>
        <v>Arun322548</v>
      </c>
      <c r="B2549">
        <v>2548</v>
      </c>
      <c r="C2549">
        <v>1</v>
      </c>
      <c r="D2549">
        <v>10</v>
      </c>
      <c r="E2549">
        <v>2023</v>
      </c>
      <c r="F2549" s="1">
        <f t="shared" si="198"/>
        <v>45200</v>
      </c>
      <c r="G2549" s="1" t="s">
        <v>18</v>
      </c>
      <c r="H2549" s="2">
        <v>47025</v>
      </c>
      <c r="I2549" t="s">
        <v>19</v>
      </c>
      <c r="J2549">
        <v>1</v>
      </c>
      <c r="K2549">
        <v>52781.01</v>
      </c>
      <c r="L2549" t="s">
        <v>720</v>
      </c>
      <c r="M2549">
        <v>32</v>
      </c>
      <c r="N2549" t="s">
        <v>21</v>
      </c>
      <c r="O2549" s="3" t="s">
        <v>55</v>
      </c>
      <c r="P2549" t="s">
        <v>29</v>
      </c>
      <c r="Q2549" t="s">
        <v>30</v>
      </c>
      <c r="R2549">
        <v>2</v>
      </c>
      <c r="S2549" t="s">
        <v>84</v>
      </c>
      <c r="T2549" s="4">
        <f t="shared" si="199"/>
        <v>52781.01</v>
      </c>
      <c r="U2549" s="4" t="str">
        <f t="shared" si="200"/>
        <v>Average</v>
      </c>
      <c r="V2549" s="4" t="str">
        <f t="shared" si="196"/>
        <v>Average</v>
      </c>
      <c r="W2549" s="4"/>
      <c r="X2549" s="4"/>
      <c r="AJ2549" s="4"/>
    </row>
    <row r="2550" spans="1:36">
      <c r="A2550" t="str">
        <f t="shared" si="197"/>
        <v>Navi212549</v>
      </c>
      <c r="B2550">
        <v>2549</v>
      </c>
      <c r="C2550">
        <v>1</v>
      </c>
      <c r="D2550">
        <v>10</v>
      </c>
      <c r="E2550">
        <v>2023</v>
      </c>
      <c r="F2550" s="1">
        <f t="shared" si="198"/>
        <v>45200</v>
      </c>
      <c r="G2550" s="1" t="s">
        <v>18</v>
      </c>
      <c r="H2550" s="2">
        <v>47026</v>
      </c>
      <c r="I2550" t="s">
        <v>26</v>
      </c>
      <c r="J2550">
        <v>1</v>
      </c>
      <c r="K2550">
        <v>19462.22</v>
      </c>
      <c r="L2550" t="s">
        <v>359</v>
      </c>
      <c r="M2550">
        <v>21</v>
      </c>
      <c r="N2550" t="s">
        <v>36</v>
      </c>
      <c r="O2550" s="3" t="s">
        <v>22</v>
      </c>
      <c r="P2550" t="s">
        <v>33</v>
      </c>
      <c r="Q2550" t="s">
        <v>30</v>
      </c>
      <c r="R2550">
        <v>4</v>
      </c>
      <c r="S2550" t="s">
        <v>34</v>
      </c>
      <c r="T2550" s="4">
        <f t="shared" si="199"/>
        <v>19462.22</v>
      </c>
      <c r="U2550" s="4" t="str">
        <f t="shared" si="200"/>
        <v>Good</v>
      </c>
      <c r="V2550" s="4" t="str">
        <f t="shared" si="196"/>
        <v>Low</v>
      </c>
      <c r="W2550" s="4"/>
      <c r="X2550" s="4"/>
      <c r="AJ2550" s="4"/>
    </row>
    <row r="2551" spans="1:36">
      <c r="A2551" t="str">
        <f t="shared" si="197"/>
        <v>Meen232550</v>
      </c>
      <c r="B2551">
        <v>2550</v>
      </c>
      <c r="C2551">
        <v>1</v>
      </c>
      <c r="D2551">
        <v>10</v>
      </c>
      <c r="E2551">
        <v>2023</v>
      </c>
      <c r="F2551" s="1">
        <f t="shared" si="198"/>
        <v>45200</v>
      </c>
      <c r="G2551" s="1" t="s">
        <v>18</v>
      </c>
      <c r="H2551" s="2">
        <v>47027</v>
      </c>
      <c r="I2551" t="s">
        <v>26</v>
      </c>
      <c r="J2551">
        <v>6</v>
      </c>
      <c r="K2551">
        <v>25136.15</v>
      </c>
      <c r="L2551" t="s">
        <v>442</v>
      </c>
      <c r="M2551">
        <v>23</v>
      </c>
      <c r="N2551" t="s">
        <v>36</v>
      </c>
      <c r="O2551" s="3" t="s">
        <v>22</v>
      </c>
      <c r="P2551" t="s">
        <v>117</v>
      </c>
      <c r="Q2551" t="s">
        <v>41</v>
      </c>
      <c r="R2551">
        <v>5</v>
      </c>
      <c r="S2551" t="s">
        <v>67</v>
      </c>
      <c r="T2551" s="4">
        <f t="shared" si="199"/>
        <v>150816.90000000002</v>
      </c>
      <c r="U2551" s="4" t="str">
        <f t="shared" si="200"/>
        <v>Good</v>
      </c>
      <c r="V2551" s="4" t="str">
        <f t="shared" si="196"/>
        <v>Good</v>
      </c>
      <c r="W2551" s="4"/>
      <c r="X2551" s="4"/>
      <c r="AJ2551" s="4"/>
    </row>
    <row r="2552" spans="1:36">
      <c r="A2552" t="str">
        <f t="shared" si="197"/>
        <v>Vija332551</v>
      </c>
      <c r="B2552">
        <v>2551</v>
      </c>
      <c r="C2552">
        <v>1</v>
      </c>
      <c r="D2552">
        <v>10</v>
      </c>
      <c r="E2552">
        <v>2023</v>
      </c>
      <c r="F2552" s="1">
        <f t="shared" si="198"/>
        <v>45200</v>
      </c>
      <c r="G2552" s="1" t="s">
        <v>18</v>
      </c>
      <c r="H2552" s="2">
        <v>47028</v>
      </c>
      <c r="I2552" t="s">
        <v>49</v>
      </c>
      <c r="J2552">
        <v>2</v>
      </c>
      <c r="K2552">
        <v>19398.84</v>
      </c>
      <c r="L2552" t="s">
        <v>851</v>
      </c>
      <c r="M2552">
        <v>33</v>
      </c>
      <c r="N2552" t="s">
        <v>21</v>
      </c>
      <c r="O2552" s="3" t="s">
        <v>55</v>
      </c>
      <c r="P2552" t="s">
        <v>137</v>
      </c>
      <c r="Q2552" t="s">
        <v>30</v>
      </c>
      <c r="R2552">
        <v>2</v>
      </c>
      <c r="S2552" t="s">
        <v>102</v>
      </c>
      <c r="T2552" s="4">
        <f t="shared" si="199"/>
        <v>38797.68</v>
      </c>
      <c r="U2552" s="4" t="str">
        <f t="shared" si="200"/>
        <v>Average</v>
      </c>
      <c r="V2552" s="4" t="str">
        <f t="shared" si="196"/>
        <v>Low</v>
      </c>
      <c r="W2552" s="4"/>
      <c r="X2552" s="4"/>
      <c r="AJ2552" s="4"/>
    </row>
    <row r="2553" spans="1:36">
      <c r="A2553" t="str">
        <f t="shared" si="197"/>
        <v>Sanj432552</v>
      </c>
      <c r="B2553">
        <v>2552</v>
      </c>
      <c r="C2553">
        <v>2</v>
      </c>
      <c r="D2553">
        <v>10</v>
      </c>
      <c r="E2553">
        <v>2023</v>
      </c>
      <c r="F2553" s="1">
        <f t="shared" si="198"/>
        <v>45201</v>
      </c>
      <c r="G2553" s="1" t="s">
        <v>18</v>
      </c>
      <c r="H2553" s="2">
        <v>47029</v>
      </c>
      <c r="I2553" t="s">
        <v>49</v>
      </c>
      <c r="J2553">
        <v>1</v>
      </c>
      <c r="K2553">
        <v>67174.62</v>
      </c>
      <c r="L2553" t="s">
        <v>864</v>
      </c>
      <c r="M2553">
        <v>43</v>
      </c>
      <c r="N2553" t="s">
        <v>21</v>
      </c>
      <c r="O2553" s="3" t="s">
        <v>55</v>
      </c>
      <c r="P2553" t="s">
        <v>114</v>
      </c>
      <c r="Q2553" t="s">
        <v>56</v>
      </c>
      <c r="R2553">
        <v>2</v>
      </c>
      <c r="S2553" t="s">
        <v>102</v>
      </c>
      <c r="T2553" s="4">
        <f t="shared" si="199"/>
        <v>67174.62</v>
      </c>
      <c r="U2553" s="4" t="str">
        <f t="shared" si="200"/>
        <v>Average</v>
      </c>
      <c r="V2553" s="4" t="str">
        <f t="shared" si="196"/>
        <v>Average</v>
      </c>
      <c r="W2553" s="4"/>
      <c r="X2553" s="4"/>
      <c r="AJ2553" s="4"/>
    </row>
    <row r="2554" spans="1:36">
      <c r="A2554" t="str">
        <f t="shared" si="197"/>
        <v>Pooj542553</v>
      </c>
      <c r="B2554">
        <v>2553</v>
      </c>
      <c r="C2554">
        <v>2</v>
      </c>
      <c r="D2554">
        <v>10</v>
      </c>
      <c r="E2554">
        <v>2023</v>
      </c>
      <c r="F2554" s="1">
        <f t="shared" si="198"/>
        <v>45201</v>
      </c>
      <c r="G2554" s="1" t="s">
        <v>18</v>
      </c>
      <c r="H2554" s="2">
        <v>47030</v>
      </c>
      <c r="I2554" t="s">
        <v>43</v>
      </c>
      <c r="J2554">
        <v>6</v>
      </c>
      <c r="K2554">
        <v>34324.239999999998</v>
      </c>
      <c r="L2554" t="s">
        <v>213</v>
      </c>
      <c r="M2554">
        <v>54</v>
      </c>
      <c r="N2554" t="s">
        <v>61</v>
      </c>
      <c r="O2554" s="3" t="s">
        <v>22</v>
      </c>
      <c r="P2554" t="s">
        <v>51</v>
      </c>
      <c r="Q2554" t="s">
        <v>56</v>
      </c>
      <c r="R2554">
        <v>4</v>
      </c>
      <c r="S2554" t="s">
        <v>95</v>
      </c>
      <c r="T2554" s="4">
        <f t="shared" si="199"/>
        <v>205945.44</v>
      </c>
      <c r="U2554" s="4" t="str">
        <f t="shared" si="200"/>
        <v>Good</v>
      </c>
      <c r="V2554" s="4" t="str">
        <f t="shared" si="196"/>
        <v>Excellent</v>
      </c>
      <c r="W2554" s="4"/>
      <c r="X2554" s="4"/>
      <c r="AJ2554" s="4"/>
    </row>
    <row r="2555" spans="1:36">
      <c r="A2555" t="str">
        <f t="shared" si="197"/>
        <v>Anan402554</v>
      </c>
      <c r="B2555">
        <v>2554</v>
      </c>
      <c r="C2555">
        <v>2</v>
      </c>
      <c r="D2555">
        <v>10</v>
      </c>
      <c r="E2555">
        <v>2023</v>
      </c>
      <c r="F2555" s="1">
        <f t="shared" si="198"/>
        <v>45201</v>
      </c>
      <c r="G2555" s="1" t="s">
        <v>18</v>
      </c>
      <c r="H2555" s="2">
        <v>47031</v>
      </c>
      <c r="I2555" t="s">
        <v>43</v>
      </c>
      <c r="J2555">
        <v>2</v>
      </c>
      <c r="K2555">
        <v>30233.19</v>
      </c>
      <c r="L2555" t="s">
        <v>1010</v>
      </c>
      <c r="M2555">
        <v>40</v>
      </c>
      <c r="N2555" t="s">
        <v>21</v>
      </c>
      <c r="O2555" s="3" t="s">
        <v>28</v>
      </c>
      <c r="P2555" t="s">
        <v>59</v>
      </c>
      <c r="Q2555" t="s">
        <v>24</v>
      </c>
      <c r="R2555">
        <v>3</v>
      </c>
      <c r="S2555" t="s">
        <v>46</v>
      </c>
      <c r="T2555" s="4">
        <f t="shared" si="199"/>
        <v>60466.38</v>
      </c>
      <c r="U2555" s="4" t="str">
        <f t="shared" si="200"/>
        <v>Average</v>
      </c>
      <c r="V2555" s="4" t="str">
        <f t="shared" si="196"/>
        <v>Average</v>
      </c>
      <c r="W2555" s="4"/>
      <c r="X2555" s="4"/>
      <c r="AJ2555" s="4"/>
    </row>
    <row r="2556" spans="1:36">
      <c r="A2556" t="str">
        <f t="shared" si="197"/>
        <v>Priy302555</v>
      </c>
      <c r="B2556">
        <v>2555</v>
      </c>
      <c r="C2556">
        <v>3</v>
      </c>
      <c r="D2556">
        <v>10</v>
      </c>
      <c r="E2556">
        <v>2023</v>
      </c>
      <c r="F2556" s="1">
        <f t="shared" si="198"/>
        <v>45202</v>
      </c>
      <c r="G2556" s="1" t="s">
        <v>18</v>
      </c>
      <c r="H2556" s="2">
        <v>47032</v>
      </c>
      <c r="I2556" t="s">
        <v>43</v>
      </c>
      <c r="J2556">
        <v>6</v>
      </c>
      <c r="K2556">
        <v>10852.13</v>
      </c>
      <c r="L2556" t="s">
        <v>349</v>
      </c>
      <c r="M2556">
        <v>30</v>
      </c>
      <c r="N2556" t="s">
        <v>36</v>
      </c>
      <c r="O2556" s="3" t="s">
        <v>22</v>
      </c>
      <c r="P2556" t="s">
        <v>29</v>
      </c>
      <c r="Q2556" t="s">
        <v>24</v>
      </c>
      <c r="R2556">
        <v>4</v>
      </c>
      <c r="S2556" t="s">
        <v>57</v>
      </c>
      <c r="T2556" s="4">
        <f t="shared" si="199"/>
        <v>65112.78</v>
      </c>
      <c r="U2556" s="4" t="str">
        <f t="shared" si="200"/>
        <v>Good</v>
      </c>
      <c r="V2556" s="4" t="str">
        <f t="shared" si="196"/>
        <v>Average</v>
      </c>
      <c r="W2556" s="4"/>
      <c r="X2556" s="4"/>
      <c r="AJ2556" s="4"/>
    </row>
    <row r="2557" spans="1:36">
      <c r="A2557" t="str">
        <f t="shared" si="197"/>
        <v>Sumi342556</v>
      </c>
      <c r="B2557">
        <v>2556</v>
      </c>
      <c r="C2557">
        <v>3</v>
      </c>
      <c r="D2557">
        <v>10</v>
      </c>
      <c r="E2557">
        <v>2023</v>
      </c>
      <c r="F2557" s="1">
        <f t="shared" si="198"/>
        <v>45202</v>
      </c>
      <c r="G2557" s="1" t="s">
        <v>18</v>
      </c>
      <c r="H2557" s="2">
        <v>47033</v>
      </c>
      <c r="I2557" t="s">
        <v>49</v>
      </c>
      <c r="J2557">
        <v>8</v>
      </c>
      <c r="K2557">
        <v>19205.05</v>
      </c>
      <c r="L2557" t="s">
        <v>452</v>
      </c>
      <c r="M2557">
        <v>34</v>
      </c>
      <c r="N2557" t="s">
        <v>21</v>
      </c>
      <c r="O2557" s="3" t="s">
        <v>22</v>
      </c>
      <c r="P2557" t="s">
        <v>33</v>
      </c>
      <c r="Q2557" t="s">
        <v>56</v>
      </c>
      <c r="R2557">
        <v>5</v>
      </c>
      <c r="S2557" t="s">
        <v>102</v>
      </c>
      <c r="T2557" s="4">
        <f t="shared" si="199"/>
        <v>153640.4</v>
      </c>
      <c r="U2557" s="4" t="str">
        <f t="shared" si="200"/>
        <v>Good</v>
      </c>
      <c r="V2557" s="4" t="str">
        <f t="shared" si="196"/>
        <v>Good</v>
      </c>
      <c r="W2557" s="4"/>
      <c r="X2557" s="4"/>
      <c r="AJ2557" s="4"/>
    </row>
    <row r="2558" spans="1:36">
      <c r="A2558" t="str">
        <f t="shared" si="197"/>
        <v>Raje442557</v>
      </c>
      <c r="B2558">
        <v>2557</v>
      </c>
      <c r="C2558">
        <v>3</v>
      </c>
      <c r="D2558">
        <v>10</v>
      </c>
      <c r="E2558">
        <v>2023</v>
      </c>
      <c r="F2558" s="1">
        <f t="shared" si="198"/>
        <v>45202</v>
      </c>
      <c r="G2558" s="1" t="s">
        <v>18</v>
      </c>
      <c r="H2558" s="2">
        <v>47034</v>
      </c>
      <c r="I2558" t="s">
        <v>49</v>
      </c>
      <c r="J2558">
        <v>2</v>
      </c>
      <c r="K2558">
        <v>35268.15</v>
      </c>
      <c r="L2558" t="s">
        <v>780</v>
      </c>
      <c r="M2558">
        <v>44</v>
      </c>
      <c r="N2558" t="s">
        <v>21</v>
      </c>
      <c r="O2558" s="3" t="s">
        <v>22</v>
      </c>
      <c r="P2558" t="s">
        <v>29</v>
      </c>
      <c r="Q2558" t="s">
        <v>30</v>
      </c>
      <c r="R2558">
        <v>5</v>
      </c>
      <c r="S2558" t="s">
        <v>52</v>
      </c>
      <c r="T2558" s="4">
        <f t="shared" si="199"/>
        <v>70536.3</v>
      </c>
      <c r="U2558" s="4" t="str">
        <f t="shared" si="200"/>
        <v>Good</v>
      </c>
      <c r="V2558" s="4" t="str">
        <f t="shared" si="196"/>
        <v>Average</v>
      </c>
      <c r="W2558" s="4"/>
      <c r="X2558" s="4"/>
      <c r="AJ2558" s="4"/>
    </row>
    <row r="2559" spans="1:36">
      <c r="A2559" t="str">
        <f t="shared" si="197"/>
        <v>Hari392558</v>
      </c>
      <c r="B2559">
        <v>2558</v>
      </c>
      <c r="C2559">
        <v>4</v>
      </c>
      <c r="D2559">
        <v>10</v>
      </c>
      <c r="E2559">
        <v>2023</v>
      </c>
      <c r="F2559" s="1">
        <f t="shared" si="198"/>
        <v>45203</v>
      </c>
      <c r="G2559" s="1" t="s">
        <v>18</v>
      </c>
      <c r="H2559" s="2">
        <v>47035</v>
      </c>
      <c r="I2559" t="s">
        <v>49</v>
      </c>
      <c r="J2559">
        <v>9</v>
      </c>
      <c r="K2559">
        <v>14110.17</v>
      </c>
      <c r="L2559" t="s">
        <v>429</v>
      </c>
      <c r="M2559">
        <v>39</v>
      </c>
      <c r="N2559" t="s">
        <v>21</v>
      </c>
      <c r="O2559" s="3" t="s">
        <v>22</v>
      </c>
      <c r="P2559" t="s">
        <v>51</v>
      </c>
      <c r="Q2559" t="s">
        <v>30</v>
      </c>
      <c r="R2559">
        <v>5</v>
      </c>
      <c r="S2559" t="s">
        <v>52</v>
      </c>
      <c r="T2559" s="4">
        <f t="shared" si="199"/>
        <v>126991.53</v>
      </c>
      <c r="U2559" s="4" t="str">
        <f t="shared" si="200"/>
        <v>Good</v>
      </c>
      <c r="V2559" s="4" t="str">
        <f t="shared" si="196"/>
        <v>Good</v>
      </c>
      <c r="W2559" s="4"/>
      <c r="X2559" s="4"/>
      <c r="AJ2559" s="4"/>
    </row>
    <row r="2560" spans="1:36">
      <c r="A2560" t="str">
        <f t="shared" si="197"/>
        <v>Sach542559</v>
      </c>
      <c r="B2560">
        <v>2559</v>
      </c>
      <c r="C2560">
        <v>4</v>
      </c>
      <c r="D2560">
        <v>10</v>
      </c>
      <c r="E2560">
        <v>2023</v>
      </c>
      <c r="F2560" s="1">
        <f t="shared" si="198"/>
        <v>45203</v>
      </c>
      <c r="G2560" s="1" t="s">
        <v>18</v>
      </c>
      <c r="H2560" s="2">
        <v>47036</v>
      </c>
      <c r="I2560" t="s">
        <v>26</v>
      </c>
      <c r="J2560">
        <v>8</v>
      </c>
      <c r="K2560">
        <v>40644.36</v>
      </c>
      <c r="L2560" t="s">
        <v>1011</v>
      </c>
      <c r="M2560">
        <v>54</v>
      </c>
      <c r="N2560" t="s">
        <v>61</v>
      </c>
      <c r="O2560" s="3" t="s">
        <v>55</v>
      </c>
      <c r="P2560" t="s">
        <v>70</v>
      </c>
      <c r="Q2560" t="s">
        <v>41</v>
      </c>
      <c r="R2560">
        <v>2</v>
      </c>
      <c r="S2560" t="s">
        <v>31</v>
      </c>
      <c r="T2560" s="4">
        <f t="shared" si="199"/>
        <v>325154.88</v>
      </c>
      <c r="U2560" s="4" t="str">
        <f t="shared" si="200"/>
        <v>Average</v>
      </c>
      <c r="V2560" s="4" t="str">
        <f t="shared" si="196"/>
        <v>Excellent</v>
      </c>
      <c r="W2560" s="4"/>
      <c r="X2560" s="4"/>
      <c r="AJ2560" s="4"/>
    </row>
    <row r="2561" spans="1:36">
      <c r="A2561" t="str">
        <f t="shared" si="197"/>
        <v>Sneh362560</v>
      </c>
      <c r="B2561">
        <v>2560</v>
      </c>
      <c r="C2561">
        <v>4</v>
      </c>
      <c r="D2561">
        <v>10</v>
      </c>
      <c r="E2561">
        <v>2023</v>
      </c>
      <c r="F2561" s="1">
        <f t="shared" si="198"/>
        <v>45203</v>
      </c>
      <c r="G2561" s="1" t="s">
        <v>18</v>
      </c>
      <c r="H2561" s="2">
        <v>47037</v>
      </c>
      <c r="I2561" t="s">
        <v>49</v>
      </c>
      <c r="J2561">
        <v>1</v>
      </c>
      <c r="K2561">
        <v>37300.93</v>
      </c>
      <c r="L2561" t="s">
        <v>842</v>
      </c>
      <c r="M2561">
        <v>36</v>
      </c>
      <c r="N2561" t="s">
        <v>21</v>
      </c>
      <c r="O2561" s="3" t="s">
        <v>22</v>
      </c>
      <c r="P2561" t="s">
        <v>150</v>
      </c>
      <c r="Q2561" t="s">
        <v>24</v>
      </c>
      <c r="R2561">
        <v>5</v>
      </c>
      <c r="S2561" t="s">
        <v>102</v>
      </c>
      <c r="T2561" s="4">
        <f t="shared" si="199"/>
        <v>37300.93</v>
      </c>
      <c r="U2561" s="4" t="str">
        <f t="shared" si="200"/>
        <v>Good</v>
      </c>
      <c r="V2561" s="4" t="str">
        <f t="shared" ref="V2561:V2624" si="201">IF(T2561&gt;200000,"Excellent",IF(T2561&gt;100000,"Good",IF(T2561&gt;50000,"Average","Low")))</f>
        <v>Low</v>
      </c>
      <c r="W2561" s="4"/>
      <c r="X2561" s="4"/>
      <c r="AJ2561" s="4"/>
    </row>
    <row r="2562" spans="1:36">
      <c r="A2562" t="str">
        <f t="shared" ref="A2562:A2625" si="202">LEFT(L2562,4)&amp;M2562&amp;B2562</f>
        <v>Raje562561</v>
      </c>
      <c r="B2562">
        <v>2561</v>
      </c>
      <c r="C2562">
        <v>5</v>
      </c>
      <c r="D2562">
        <v>10</v>
      </c>
      <c r="E2562">
        <v>2023</v>
      </c>
      <c r="F2562" s="1">
        <f t="shared" si="198"/>
        <v>45204</v>
      </c>
      <c r="G2562" s="1" t="s">
        <v>18</v>
      </c>
      <c r="H2562" s="2">
        <v>47038</v>
      </c>
      <c r="I2562" t="s">
        <v>26</v>
      </c>
      <c r="J2562">
        <v>7</v>
      </c>
      <c r="K2562">
        <v>56030.09</v>
      </c>
      <c r="L2562" t="s">
        <v>204</v>
      </c>
      <c r="M2562">
        <v>56</v>
      </c>
      <c r="N2562" t="s">
        <v>61</v>
      </c>
      <c r="O2562" s="3" t="s">
        <v>28</v>
      </c>
      <c r="P2562" t="s">
        <v>59</v>
      </c>
      <c r="Q2562" t="s">
        <v>30</v>
      </c>
      <c r="R2562">
        <v>3</v>
      </c>
      <c r="S2562" t="s">
        <v>34</v>
      </c>
      <c r="T2562" s="4">
        <f t="shared" si="199"/>
        <v>392210.63</v>
      </c>
      <c r="U2562" s="4" t="str">
        <f t="shared" si="200"/>
        <v>Average</v>
      </c>
      <c r="V2562" s="4" t="str">
        <f t="shared" si="201"/>
        <v>Excellent</v>
      </c>
      <c r="W2562" s="4"/>
      <c r="X2562" s="4"/>
      <c r="AJ2562" s="4"/>
    </row>
    <row r="2563" spans="1:36">
      <c r="A2563" t="str">
        <f t="shared" si="202"/>
        <v>Ravi522562</v>
      </c>
      <c r="B2563">
        <v>2562</v>
      </c>
      <c r="C2563">
        <v>5</v>
      </c>
      <c r="D2563">
        <v>10</v>
      </c>
      <c r="E2563">
        <v>2023</v>
      </c>
      <c r="F2563" s="1">
        <f t="shared" ref="F2563:F2626" si="203">DATE(E2563,D2563,C2563)</f>
        <v>45204</v>
      </c>
      <c r="G2563" s="1" t="s">
        <v>18</v>
      </c>
      <c r="H2563" s="2">
        <v>47039</v>
      </c>
      <c r="I2563" t="s">
        <v>43</v>
      </c>
      <c r="J2563">
        <v>6</v>
      </c>
      <c r="K2563">
        <v>49588.160000000003</v>
      </c>
      <c r="L2563" t="s">
        <v>581</v>
      </c>
      <c r="M2563">
        <v>52</v>
      </c>
      <c r="N2563" t="s">
        <v>61</v>
      </c>
      <c r="O2563" s="3" t="s">
        <v>28</v>
      </c>
      <c r="P2563" t="s">
        <v>33</v>
      </c>
      <c r="Q2563" t="s">
        <v>30</v>
      </c>
      <c r="R2563">
        <v>3</v>
      </c>
      <c r="S2563" t="s">
        <v>46</v>
      </c>
      <c r="T2563" s="4">
        <f t="shared" ref="T2563:T2626" si="204">J2563*K2563</f>
        <v>297528.96000000002</v>
      </c>
      <c r="U2563" s="4" t="str">
        <f t="shared" ref="U2563:U2626" si="205">IF(R2563&gt;=4,"Good","Average")</f>
        <v>Average</v>
      </c>
      <c r="V2563" s="4" t="str">
        <f t="shared" si="201"/>
        <v>Excellent</v>
      </c>
      <c r="W2563" s="4"/>
      <c r="X2563" s="4"/>
      <c r="AJ2563" s="4"/>
    </row>
    <row r="2564" spans="1:36">
      <c r="A2564" t="str">
        <f t="shared" si="202"/>
        <v>Mano302563</v>
      </c>
      <c r="B2564">
        <v>2563</v>
      </c>
      <c r="C2564">
        <v>5</v>
      </c>
      <c r="D2564">
        <v>10</v>
      </c>
      <c r="E2564">
        <v>2023</v>
      </c>
      <c r="F2564" s="1">
        <f t="shared" si="203"/>
        <v>45204</v>
      </c>
      <c r="G2564" s="1" t="s">
        <v>18</v>
      </c>
      <c r="H2564" s="2">
        <v>47040</v>
      </c>
      <c r="I2564" t="s">
        <v>43</v>
      </c>
      <c r="J2564">
        <v>6</v>
      </c>
      <c r="K2564">
        <v>36756.839999999997</v>
      </c>
      <c r="L2564" t="s">
        <v>919</v>
      </c>
      <c r="M2564">
        <v>30</v>
      </c>
      <c r="N2564" t="s">
        <v>36</v>
      </c>
      <c r="O2564" s="3" t="s">
        <v>22</v>
      </c>
      <c r="P2564" t="s">
        <v>29</v>
      </c>
      <c r="Q2564" t="s">
        <v>24</v>
      </c>
      <c r="R2564">
        <v>4</v>
      </c>
      <c r="S2564" t="s">
        <v>46</v>
      </c>
      <c r="T2564" s="4">
        <f t="shared" si="204"/>
        <v>220541.03999999998</v>
      </c>
      <c r="U2564" s="4" t="str">
        <f t="shared" si="205"/>
        <v>Good</v>
      </c>
      <c r="V2564" s="4" t="str">
        <f t="shared" si="201"/>
        <v>Excellent</v>
      </c>
      <c r="W2564" s="4"/>
      <c r="X2564" s="4"/>
      <c r="AJ2564" s="4"/>
    </row>
    <row r="2565" spans="1:36">
      <c r="A2565" t="str">
        <f t="shared" si="202"/>
        <v>Deep312564</v>
      </c>
      <c r="B2565">
        <v>2564</v>
      </c>
      <c r="C2565">
        <v>6</v>
      </c>
      <c r="D2565">
        <v>10</v>
      </c>
      <c r="E2565">
        <v>2023</v>
      </c>
      <c r="F2565" s="1">
        <f t="shared" si="203"/>
        <v>45205</v>
      </c>
      <c r="G2565" s="1" t="s">
        <v>18</v>
      </c>
      <c r="H2565" s="2">
        <v>47041</v>
      </c>
      <c r="I2565" t="s">
        <v>43</v>
      </c>
      <c r="J2565">
        <v>6</v>
      </c>
      <c r="K2565">
        <v>23479.64</v>
      </c>
      <c r="L2565" t="s">
        <v>478</v>
      </c>
      <c r="M2565">
        <v>31</v>
      </c>
      <c r="N2565" t="s">
        <v>21</v>
      </c>
      <c r="O2565" s="3" t="s">
        <v>22</v>
      </c>
      <c r="P2565" t="s">
        <v>66</v>
      </c>
      <c r="Q2565" t="s">
        <v>56</v>
      </c>
      <c r="R2565">
        <v>5</v>
      </c>
      <c r="S2565" t="s">
        <v>46</v>
      </c>
      <c r="T2565" s="4">
        <f t="shared" si="204"/>
        <v>140877.84</v>
      </c>
      <c r="U2565" s="4" t="str">
        <f t="shared" si="205"/>
        <v>Good</v>
      </c>
      <c r="V2565" s="4" t="str">
        <f t="shared" si="201"/>
        <v>Good</v>
      </c>
      <c r="W2565" s="4"/>
      <c r="X2565" s="4"/>
      <c r="AJ2565" s="4"/>
    </row>
    <row r="2566" spans="1:36">
      <c r="A2566" t="str">
        <f t="shared" si="202"/>
        <v>Ravi482565</v>
      </c>
      <c r="B2566">
        <v>2565</v>
      </c>
      <c r="C2566">
        <v>6</v>
      </c>
      <c r="D2566">
        <v>10</v>
      </c>
      <c r="E2566">
        <v>2023</v>
      </c>
      <c r="F2566" s="1">
        <f t="shared" si="203"/>
        <v>45205</v>
      </c>
      <c r="G2566" s="1" t="s">
        <v>18</v>
      </c>
      <c r="H2566" s="2">
        <v>47042</v>
      </c>
      <c r="I2566" t="s">
        <v>19</v>
      </c>
      <c r="J2566">
        <v>6</v>
      </c>
      <c r="K2566">
        <v>53611.81</v>
      </c>
      <c r="L2566" t="s">
        <v>874</v>
      </c>
      <c r="M2566">
        <v>48</v>
      </c>
      <c r="N2566" t="s">
        <v>61</v>
      </c>
      <c r="O2566" s="3" t="s">
        <v>22</v>
      </c>
      <c r="P2566" t="s">
        <v>29</v>
      </c>
      <c r="Q2566" t="s">
        <v>30</v>
      </c>
      <c r="R2566">
        <v>5</v>
      </c>
      <c r="S2566" t="s">
        <v>84</v>
      </c>
      <c r="T2566" s="4">
        <f t="shared" si="204"/>
        <v>321670.86</v>
      </c>
      <c r="U2566" s="4" t="str">
        <f t="shared" si="205"/>
        <v>Good</v>
      </c>
      <c r="V2566" s="4" t="str">
        <f t="shared" si="201"/>
        <v>Excellent</v>
      </c>
      <c r="W2566" s="4"/>
      <c r="X2566" s="4"/>
      <c r="AJ2566" s="4"/>
    </row>
    <row r="2567" spans="1:36">
      <c r="A2567" t="str">
        <f t="shared" si="202"/>
        <v>Reen192566</v>
      </c>
      <c r="B2567">
        <v>2566</v>
      </c>
      <c r="C2567">
        <v>6</v>
      </c>
      <c r="D2567">
        <v>10</v>
      </c>
      <c r="E2567">
        <v>2023</v>
      </c>
      <c r="F2567" s="1">
        <f t="shared" si="203"/>
        <v>45205</v>
      </c>
      <c r="G2567" s="1" t="s">
        <v>18</v>
      </c>
      <c r="H2567" s="2">
        <v>47043</v>
      </c>
      <c r="I2567" t="s">
        <v>19</v>
      </c>
      <c r="J2567">
        <v>7</v>
      </c>
      <c r="K2567">
        <v>52471.73</v>
      </c>
      <c r="L2567" t="s">
        <v>228</v>
      </c>
      <c r="M2567">
        <v>19</v>
      </c>
      <c r="N2567" t="s">
        <v>36</v>
      </c>
      <c r="O2567" s="3" t="s">
        <v>22</v>
      </c>
      <c r="P2567" t="s">
        <v>29</v>
      </c>
      <c r="Q2567" t="s">
        <v>41</v>
      </c>
      <c r="R2567">
        <v>5</v>
      </c>
      <c r="S2567" t="s">
        <v>37</v>
      </c>
      <c r="T2567" s="4">
        <f t="shared" si="204"/>
        <v>367302.11000000004</v>
      </c>
      <c r="U2567" s="4" t="str">
        <f t="shared" si="205"/>
        <v>Good</v>
      </c>
      <c r="V2567" s="4" t="str">
        <f t="shared" si="201"/>
        <v>Excellent</v>
      </c>
      <c r="W2567" s="4"/>
      <c r="X2567" s="4"/>
      <c r="AJ2567" s="4"/>
    </row>
    <row r="2568" spans="1:36">
      <c r="A2568" t="str">
        <f t="shared" si="202"/>
        <v>Vino562567</v>
      </c>
      <c r="B2568">
        <v>2567</v>
      </c>
      <c r="C2568">
        <v>7</v>
      </c>
      <c r="D2568">
        <v>10</v>
      </c>
      <c r="E2568">
        <v>2023</v>
      </c>
      <c r="F2568" s="1">
        <f t="shared" si="203"/>
        <v>45206</v>
      </c>
      <c r="G2568" s="1" t="s">
        <v>18</v>
      </c>
      <c r="H2568" s="2">
        <v>47044</v>
      </c>
      <c r="I2568" t="s">
        <v>38</v>
      </c>
      <c r="J2568">
        <v>3</v>
      </c>
      <c r="K2568">
        <v>19197.77</v>
      </c>
      <c r="L2568" t="s">
        <v>448</v>
      </c>
      <c r="M2568">
        <v>56</v>
      </c>
      <c r="N2568" t="s">
        <v>61</v>
      </c>
      <c r="O2568" s="3" t="s">
        <v>22</v>
      </c>
      <c r="P2568" t="s">
        <v>40</v>
      </c>
      <c r="Q2568" t="s">
        <v>30</v>
      </c>
      <c r="R2568">
        <v>5</v>
      </c>
      <c r="S2568" t="s">
        <v>48</v>
      </c>
      <c r="T2568" s="4">
        <f t="shared" si="204"/>
        <v>57593.31</v>
      </c>
      <c r="U2568" s="4" t="str">
        <f t="shared" si="205"/>
        <v>Good</v>
      </c>
      <c r="V2568" s="4" t="str">
        <f t="shared" si="201"/>
        <v>Average</v>
      </c>
      <c r="W2568" s="4"/>
      <c r="X2568" s="4"/>
      <c r="AJ2568" s="4"/>
    </row>
    <row r="2569" spans="1:36">
      <c r="A2569" t="str">
        <f t="shared" si="202"/>
        <v>Pank542568</v>
      </c>
      <c r="B2569">
        <v>2568</v>
      </c>
      <c r="C2569">
        <v>7</v>
      </c>
      <c r="D2569">
        <v>10</v>
      </c>
      <c r="E2569">
        <v>2023</v>
      </c>
      <c r="F2569" s="1">
        <f t="shared" si="203"/>
        <v>45206</v>
      </c>
      <c r="G2569" s="1" t="s">
        <v>18</v>
      </c>
      <c r="H2569" s="2">
        <v>47045</v>
      </c>
      <c r="I2569" t="s">
        <v>38</v>
      </c>
      <c r="J2569">
        <v>6</v>
      </c>
      <c r="K2569">
        <v>64885.11</v>
      </c>
      <c r="L2569" t="s">
        <v>824</v>
      </c>
      <c r="M2569">
        <v>54</v>
      </c>
      <c r="N2569" t="s">
        <v>61</v>
      </c>
      <c r="O2569" s="3" t="s">
        <v>22</v>
      </c>
      <c r="P2569" t="s">
        <v>114</v>
      </c>
      <c r="Q2569" t="s">
        <v>30</v>
      </c>
      <c r="R2569">
        <v>5</v>
      </c>
      <c r="S2569" t="s">
        <v>48</v>
      </c>
      <c r="T2569" s="4">
        <f t="shared" si="204"/>
        <v>389310.66000000003</v>
      </c>
      <c r="U2569" s="4" t="str">
        <f t="shared" si="205"/>
        <v>Good</v>
      </c>
      <c r="V2569" s="4" t="str">
        <f t="shared" si="201"/>
        <v>Excellent</v>
      </c>
      <c r="W2569" s="4"/>
      <c r="X2569" s="4"/>
      <c r="AJ2569" s="4"/>
    </row>
    <row r="2570" spans="1:36">
      <c r="A2570" t="str">
        <f t="shared" si="202"/>
        <v>Vive312569</v>
      </c>
      <c r="B2570">
        <v>2569</v>
      </c>
      <c r="C2570">
        <v>7</v>
      </c>
      <c r="D2570">
        <v>10</v>
      </c>
      <c r="E2570">
        <v>2023</v>
      </c>
      <c r="F2570" s="1">
        <f t="shared" si="203"/>
        <v>45206</v>
      </c>
      <c r="G2570" s="1" t="s">
        <v>18</v>
      </c>
      <c r="H2570" s="2">
        <v>47046</v>
      </c>
      <c r="I2570" t="s">
        <v>38</v>
      </c>
      <c r="J2570">
        <v>3</v>
      </c>
      <c r="K2570">
        <v>13864.31</v>
      </c>
      <c r="L2570" t="s">
        <v>320</v>
      </c>
      <c r="M2570">
        <v>31</v>
      </c>
      <c r="N2570" t="s">
        <v>21</v>
      </c>
      <c r="O2570" s="3" t="s">
        <v>22</v>
      </c>
      <c r="P2570" t="s">
        <v>93</v>
      </c>
      <c r="Q2570" t="s">
        <v>41</v>
      </c>
      <c r="R2570">
        <v>5</v>
      </c>
      <c r="S2570" t="s">
        <v>42</v>
      </c>
      <c r="T2570" s="4">
        <f t="shared" si="204"/>
        <v>41592.93</v>
      </c>
      <c r="U2570" s="4" t="str">
        <f t="shared" si="205"/>
        <v>Good</v>
      </c>
      <c r="V2570" s="4" t="str">
        <f t="shared" si="201"/>
        <v>Low</v>
      </c>
      <c r="W2570" s="4"/>
      <c r="X2570" s="4"/>
      <c r="AJ2570" s="4"/>
    </row>
    <row r="2571" spans="1:36">
      <c r="A2571" t="str">
        <f t="shared" si="202"/>
        <v>Neet262570</v>
      </c>
      <c r="B2571">
        <v>2570</v>
      </c>
      <c r="C2571">
        <v>8</v>
      </c>
      <c r="D2571">
        <v>10</v>
      </c>
      <c r="E2571">
        <v>2023</v>
      </c>
      <c r="F2571" s="1">
        <f t="shared" si="203"/>
        <v>45207</v>
      </c>
      <c r="G2571" s="1" t="s">
        <v>18</v>
      </c>
      <c r="H2571" s="2">
        <v>47047</v>
      </c>
      <c r="I2571" t="s">
        <v>19</v>
      </c>
      <c r="J2571">
        <v>7</v>
      </c>
      <c r="K2571">
        <v>13302.26</v>
      </c>
      <c r="L2571" t="s">
        <v>287</v>
      </c>
      <c r="M2571">
        <v>26</v>
      </c>
      <c r="N2571" t="s">
        <v>36</v>
      </c>
      <c r="O2571" s="3" t="s">
        <v>22</v>
      </c>
      <c r="P2571" t="s">
        <v>29</v>
      </c>
      <c r="Q2571" t="s">
        <v>56</v>
      </c>
      <c r="R2571">
        <v>4</v>
      </c>
      <c r="S2571" t="s">
        <v>25</v>
      </c>
      <c r="T2571" s="4">
        <f t="shared" si="204"/>
        <v>93115.82</v>
      </c>
      <c r="U2571" s="4" t="str">
        <f t="shared" si="205"/>
        <v>Good</v>
      </c>
      <c r="V2571" s="4" t="str">
        <f t="shared" si="201"/>
        <v>Average</v>
      </c>
      <c r="W2571" s="4"/>
      <c r="X2571" s="4"/>
      <c r="AJ2571" s="4"/>
    </row>
    <row r="2572" spans="1:36">
      <c r="A2572" t="str">
        <f t="shared" si="202"/>
        <v>Gita272571</v>
      </c>
      <c r="B2572">
        <v>2571</v>
      </c>
      <c r="C2572">
        <v>8</v>
      </c>
      <c r="D2572">
        <v>10</v>
      </c>
      <c r="E2572">
        <v>2023</v>
      </c>
      <c r="F2572" s="1">
        <f t="shared" si="203"/>
        <v>45207</v>
      </c>
      <c r="G2572" s="1" t="s">
        <v>18</v>
      </c>
      <c r="H2572" s="2">
        <v>47048</v>
      </c>
      <c r="I2572" t="s">
        <v>19</v>
      </c>
      <c r="J2572">
        <v>7</v>
      </c>
      <c r="K2572">
        <v>21241.03</v>
      </c>
      <c r="L2572" t="s">
        <v>547</v>
      </c>
      <c r="M2572">
        <v>27</v>
      </c>
      <c r="N2572" t="s">
        <v>36</v>
      </c>
      <c r="O2572" s="3" t="s">
        <v>22</v>
      </c>
      <c r="P2572" t="s">
        <v>66</v>
      </c>
      <c r="Q2572" t="s">
        <v>41</v>
      </c>
      <c r="R2572">
        <v>4</v>
      </c>
      <c r="S2572" t="s">
        <v>84</v>
      </c>
      <c r="T2572" s="4">
        <f t="shared" si="204"/>
        <v>148687.21</v>
      </c>
      <c r="U2572" s="4" t="str">
        <f t="shared" si="205"/>
        <v>Good</v>
      </c>
      <c r="V2572" s="4" t="str">
        <f t="shared" si="201"/>
        <v>Good</v>
      </c>
      <c r="W2572" s="4"/>
      <c r="X2572" s="4"/>
      <c r="AJ2572" s="4"/>
    </row>
    <row r="2573" spans="1:36">
      <c r="A2573" t="str">
        <f t="shared" si="202"/>
        <v>Bhav242572</v>
      </c>
      <c r="B2573">
        <v>2572</v>
      </c>
      <c r="C2573">
        <v>8</v>
      </c>
      <c r="D2573">
        <v>10</v>
      </c>
      <c r="E2573">
        <v>2023</v>
      </c>
      <c r="F2573" s="1">
        <f t="shared" si="203"/>
        <v>45207</v>
      </c>
      <c r="G2573" s="1" t="s">
        <v>18</v>
      </c>
      <c r="H2573" s="2">
        <v>47049</v>
      </c>
      <c r="I2573" t="s">
        <v>38</v>
      </c>
      <c r="J2573">
        <v>8</v>
      </c>
      <c r="K2573">
        <v>64567.65</v>
      </c>
      <c r="L2573" t="s">
        <v>775</v>
      </c>
      <c r="M2573">
        <v>24</v>
      </c>
      <c r="N2573" t="s">
        <v>36</v>
      </c>
      <c r="O2573" s="3" t="s">
        <v>22</v>
      </c>
      <c r="P2573" t="s">
        <v>137</v>
      </c>
      <c r="Q2573" t="s">
        <v>41</v>
      </c>
      <c r="R2573">
        <v>4</v>
      </c>
      <c r="S2573" t="s">
        <v>48</v>
      </c>
      <c r="T2573" s="4">
        <f t="shared" si="204"/>
        <v>516541.2</v>
      </c>
      <c r="U2573" s="4" t="str">
        <f t="shared" si="205"/>
        <v>Good</v>
      </c>
      <c r="V2573" s="4" t="str">
        <f t="shared" si="201"/>
        <v>Excellent</v>
      </c>
      <c r="W2573" s="4"/>
      <c r="X2573" s="4"/>
      <c r="AJ2573" s="4"/>
    </row>
    <row r="2574" spans="1:36">
      <c r="A2574" t="str">
        <f t="shared" si="202"/>
        <v>Moni452573</v>
      </c>
      <c r="B2574">
        <v>2573</v>
      </c>
      <c r="C2574">
        <v>8</v>
      </c>
      <c r="D2574">
        <v>10</v>
      </c>
      <c r="E2574">
        <v>2023</v>
      </c>
      <c r="F2574" s="1">
        <f t="shared" si="203"/>
        <v>45207</v>
      </c>
      <c r="G2574" s="1" t="s">
        <v>18</v>
      </c>
      <c r="H2574" s="2">
        <v>47050</v>
      </c>
      <c r="I2574" t="s">
        <v>38</v>
      </c>
      <c r="J2574">
        <v>2</v>
      </c>
      <c r="K2574">
        <v>41199.89</v>
      </c>
      <c r="L2574" t="s">
        <v>865</v>
      </c>
      <c r="M2574">
        <v>45</v>
      </c>
      <c r="N2574" t="s">
        <v>21</v>
      </c>
      <c r="O2574" s="3" t="s">
        <v>22</v>
      </c>
      <c r="P2574" t="s">
        <v>29</v>
      </c>
      <c r="Q2574" t="s">
        <v>24</v>
      </c>
      <c r="R2574">
        <v>4</v>
      </c>
      <c r="S2574" t="s">
        <v>48</v>
      </c>
      <c r="T2574" s="4">
        <f t="shared" si="204"/>
        <v>82399.78</v>
      </c>
      <c r="U2574" s="4" t="str">
        <f t="shared" si="205"/>
        <v>Good</v>
      </c>
      <c r="V2574" s="4" t="str">
        <f t="shared" si="201"/>
        <v>Average</v>
      </c>
      <c r="W2574" s="4"/>
      <c r="X2574" s="4"/>
      <c r="AJ2574" s="4"/>
    </row>
    <row r="2575" spans="1:36">
      <c r="A2575" t="str">
        <f t="shared" si="202"/>
        <v>Anan422574</v>
      </c>
      <c r="B2575">
        <v>2574</v>
      </c>
      <c r="C2575">
        <v>9</v>
      </c>
      <c r="D2575">
        <v>10</v>
      </c>
      <c r="E2575">
        <v>2023</v>
      </c>
      <c r="F2575" s="1">
        <f t="shared" si="203"/>
        <v>45208</v>
      </c>
      <c r="G2575" s="1" t="s">
        <v>18</v>
      </c>
      <c r="H2575" s="2">
        <v>47051</v>
      </c>
      <c r="I2575" t="s">
        <v>49</v>
      </c>
      <c r="J2575">
        <v>9</v>
      </c>
      <c r="K2575">
        <v>57276.46</v>
      </c>
      <c r="L2575" t="s">
        <v>196</v>
      </c>
      <c r="M2575">
        <v>42</v>
      </c>
      <c r="N2575" t="s">
        <v>21</v>
      </c>
      <c r="O2575" s="3" t="s">
        <v>28</v>
      </c>
      <c r="P2575" t="s">
        <v>137</v>
      </c>
      <c r="Q2575" t="s">
        <v>30</v>
      </c>
      <c r="R2575">
        <v>3</v>
      </c>
      <c r="S2575" t="s">
        <v>52</v>
      </c>
      <c r="T2575" s="4">
        <f t="shared" si="204"/>
        <v>515488.14</v>
      </c>
      <c r="U2575" s="4" t="str">
        <f t="shared" si="205"/>
        <v>Average</v>
      </c>
      <c r="V2575" s="4" t="str">
        <f t="shared" si="201"/>
        <v>Excellent</v>
      </c>
      <c r="W2575" s="4"/>
      <c r="X2575" s="4"/>
      <c r="AJ2575" s="4"/>
    </row>
    <row r="2576" spans="1:36">
      <c r="A2576" t="str">
        <f t="shared" si="202"/>
        <v>Suni452575</v>
      </c>
      <c r="B2576">
        <v>2575</v>
      </c>
      <c r="C2576">
        <v>9</v>
      </c>
      <c r="D2576">
        <v>10</v>
      </c>
      <c r="E2576">
        <v>2023</v>
      </c>
      <c r="F2576" s="1">
        <f t="shared" si="203"/>
        <v>45208</v>
      </c>
      <c r="G2576" s="1" t="s">
        <v>18</v>
      </c>
      <c r="H2576" s="2">
        <v>47052</v>
      </c>
      <c r="I2576" t="s">
        <v>38</v>
      </c>
      <c r="J2576">
        <v>5</v>
      </c>
      <c r="K2576">
        <v>23670.59</v>
      </c>
      <c r="L2576" t="s">
        <v>185</v>
      </c>
      <c r="M2576">
        <v>45</v>
      </c>
      <c r="N2576" t="s">
        <v>21</v>
      </c>
      <c r="O2576" s="3" t="s">
        <v>22</v>
      </c>
      <c r="P2576" t="s">
        <v>51</v>
      </c>
      <c r="Q2576" t="s">
        <v>56</v>
      </c>
      <c r="R2576">
        <v>5</v>
      </c>
      <c r="S2576" t="s">
        <v>48</v>
      </c>
      <c r="T2576" s="4">
        <f t="shared" si="204"/>
        <v>118352.95</v>
      </c>
      <c r="U2576" s="4" t="str">
        <f t="shared" si="205"/>
        <v>Good</v>
      </c>
      <c r="V2576" s="4" t="str">
        <f t="shared" si="201"/>
        <v>Good</v>
      </c>
      <c r="W2576" s="4"/>
      <c r="X2576" s="4"/>
      <c r="AJ2576" s="4"/>
    </row>
    <row r="2577" spans="1:36">
      <c r="A2577" t="str">
        <f t="shared" si="202"/>
        <v>Suni192576</v>
      </c>
      <c r="B2577">
        <v>2576</v>
      </c>
      <c r="C2577">
        <v>9</v>
      </c>
      <c r="D2577">
        <v>10</v>
      </c>
      <c r="E2577">
        <v>2023</v>
      </c>
      <c r="F2577" s="1">
        <f t="shared" si="203"/>
        <v>45208</v>
      </c>
      <c r="G2577" s="1" t="s">
        <v>18</v>
      </c>
      <c r="H2577" s="2">
        <v>47053</v>
      </c>
      <c r="I2577" t="s">
        <v>49</v>
      </c>
      <c r="J2577">
        <v>9</v>
      </c>
      <c r="K2577">
        <v>39413.32</v>
      </c>
      <c r="L2577" t="s">
        <v>949</v>
      </c>
      <c r="M2577">
        <v>19</v>
      </c>
      <c r="N2577" t="s">
        <v>36</v>
      </c>
      <c r="O2577" s="3" t="s">
        <v>55</v>
      </c>
      <c r="P2577" t="s">
        <v>33</v>
      </c>
      <c r="Q2577" t="s">
        <v>30</v>
      </c>
      <c r="R2577">
        <v>2</v>
      </c>
      <c r="S2577" t="s">
        <v>52</v>
      </c>
      <c r="T2577" s="4">
        <f t="shared" si="204"/>
        <v>354719.88</v>
      </c>
      <c r="U2577" s="4" t="str">
        <f t="shared" si="205"/>
        <v>Average</v>
      </c>
      <c r="V2577" s="4" t="str">
        <f t="shared" si="201"/>
        <v>Excellent</v>
      </c>
      <c r="W2577" s="4"/>
      <c r="X2577" s="4"/>
      <c r="AJ2577" s="4"/>
    </row>
    <row r="2578" spans="1:36">
      <c r="A2578" t="str">
        <f t="shared" si="202"/>
        <v>Sanj342577</v>
      </c>
      <c r="B2578">
        <v>2577</v>
      </c>
      <c r="C2578">
        <v>10</v>
      </c>
      <c r="D2578">
        <v>10</v>
      </c>
      <c r="E2578">
        <v>2023</v>
      </c>
      <c r="F2578" s="1">
        <f t="shared" si="203"/>
        <v>45209</v>
      </c>
      <c r="G2578" s="1" t="s">
        <v>18</v>
      </c>
      <c r="H2578" s="2">
        <v>47054</v>
      </c>
      <c r="I2578" t="s">
        <v>26</v>
      </c>
      <c r="J2578">
        <v>5</v>
      </c>
      <c r="K2578">
        <v>31497.37</v>
      </c>
      <c r="L2578" t="s">
        <v>216</v>
      </c>
      <c r="M2578">
        <v>34</v>
      </c>
      <c r="N2578" t="s">
        <v>21</v>
      </c>
      <c r="O2578" s="3" t="s">
        <v>22</v>
      </c>
      <c r="P2578" t="s">
        <v>29</v>
      </c>
      <c r="Q2578" t="s">
        <v>56</v>
      </c>
      <c r="R2578">
        <v>5</v>
      </c>
      <c r="S2578" t="s">
        <v>67</v>
      </c>
      <c r="T2578" s="4">
        <f t="shared" si="204"/>
        <v>157486.85</v>
      </c>
      <c r="U2578" s="4" t="str">
        <f t="shared" si="205"/>
        <v>Good</v>
      </c>
      <c r="V2578" s="4" t="str">
        <f t="shared" si="201"/>
        <v>Good</v>
      </c>
      <c r="W2578" s="4"/>
      <c r="X2578" s="4"/>
      <c r="AJ2578" s="4"/>
    </row>
    <row r="2579" spans="1:36">
      <c r="A2579" t="str">
        <f t="shared" si="202"/>
        <v>Pooj212578</v>
      </c>
      <c r="B2579">
        <v>2578</v>
      </c>
      <c r="C2579">
        <v>10</v>
      </c>
      <c r="D2579">
        <v>10</v>
      </c>
      <c r="E2579">
        <v>2023</v>
      </c>
      <c r="F2579" s="1">
        <f t="shared" si="203"/>
        <v>45209</v>
      </c>
      <c r="G2579" s="1" t="s">
        <v>18</v>
      </c>
      <c r="H2579" s="2">
        <v>47055</v>
      </c>
      <c r="I2579" t="s">
        <v>19</v>
      </c>
      <c r="J2579">
        <v>7</v>
      </c>
      <c r="K2579">
        <v>59669.72</v>
      </c>
      <c r="L2579" t="s">
        <v>340</v>
      </c>
      <c r="M2579">
        <v>21</v>
      </c>
      <c r="N2579" t="s">
        <v>36</v>
      </c>
      <c r="O2579" s="3" t="s">
        <v>22</v>
      </c>
      <c r="P2579" t="s">
        <v>59</v>
      </c>
      <c r="Q2579" t="s">
        <v>41</v>
      </c>
      <c r="R2579">
        <v>4</v>
      </c>
      <c r="S2579" t="s">
        <v>84</v>
      </c>
      <c r="T2579" s="4">
        <f t="shared" si="204"/>
        <v>417688.04000000004</v>
      </c>
      <c r="U2579" s="4" t="str">
        <f t="shared" si="205"/>
        <v>Good</v>
      </c>
      <c r="V2579" s="4" t="str">
        <f t="shared" si="201"/>
        <v>Excellent</v>
      </c>
      <c r="W2579" s="4"/>
      <c r="X2579" s="4"/>
      <c r="AJ2579" s="4"/>
    </row>
    <row r="2580" spans="1:36">
      <c r="A2580" t="str">
        <f t="shared" si="202"/>
        <v>Roha302579</v>
      </c>
      <c r="B2580">
        <v>2579</v>
      </c>
      <c r="C2580">
        <v>10</v>
      </c>
      <c r="D2580">
        <v>10</v>
      </c>
      <c r="E2580">
        <v>2023</v>
      </c>
      <c r="F2580" s="1">
        <f t="shared" si="203"/>
        <v>45209</v>
      </c>
      <c r="G2580" s="1" t="s">
        <v>18</v>
      </c>
      <c r="H2580" s="2">
        <v>47056</v>
      </c>
      <c r="I2580" t="s">
        <v>38</v>
      </c>
      <c r="J2580">
        <v>9</v>
      </c>
      <c r="K2580">
        <v>11356.27</v>
      </c>
      <c r="L2580" t="s">
        <v>590</v>
      </c>
      <c r="M2580">
        <v>30</v>
      </c>
      <c r="N2580" t="s">
        <v>36</v>
      </c>
      <c r="O2580" s="3" t="s">
        <v>28</v>
      </c>
      <c r="P2580" t="s">
        <v>93</v>
      </c>
      <c r="Q2580" t="s">
        <v>24</v>
      </c>
      <c r="R2580">
        <v>3</v>
      </c>
      <c r="S2580" t="s">
        <v>48</v>
      </c>
      <c r="T2580" s="4">
        <f t="shared" si="204"/>
        <v>102206.43000000001</v>
      </c>
      <c r="U2580" s="4" t="str">
        <f t="shared" si="205"/>
        <v>Average</v>
      </c>
      <c r="V2580" s="4" t="str">
        <f t="shared" si="201"/>
        <v>Good</v>
      </c>
      <c r="W2580" s="4"/>
      <c r="X2580" s="4"/>
      <c r="AJ2580" s="4"/>
    </row>
    <row r="2581" spans="1:36">
      <c r="A2581" t="str">
        <f t="shared" si="202"/>
        <v>Anan352580</v>
      </c>
      <c r="B2581">
        <v>2580</v>
      </c>
      <c r="C2581">
        <v>11</v>
      </c>
      <c r="D2581">
        <v>10</v>
      </c>
      <c r="E2581">
        <v>2023</v>
      </c>
      <c r="F2581" s="1">
        <f t="shared" si="203"/>
        <v>45210</v>
      </c>
      <c r="G2581" s="1" t="s">
        <v>18</v>
      </c>
      <c r="H2581" s="2">
        <v>47057</v>
      </c>
      <c r="I2581" t="s">
        <v>19</v>
      </c>
      <c r="J2581">
        <v>4</v>
      </c>
      <c r="K2581">
        <v>24630.560000000001</v>
      </c>
      <c r="L2581" t="s">
        <v>488</v>
      </c>
      <c r="M2581">
        <v>35</v>
      </c>
      <c r="N2581" t="s">
        <v>21</v>
      </c>
      <c r="O2581" s="3" t="s">
        <v>28</v>
      </c>
      <c r="P2581" t="s">
        <v>29</v>
      </c>
      <c r="Q2581" t="s">
        <v>41</v>
      </c>
      <c r="R2581">
        <v>3</v>
      </c>
      <c r="S2581" t="s">
        <v>84</v>
      </c>
      <c r="T2581" s="4">
        <f t="shared" si="204"/>
        <v>98522.240000000005</v>
      </c>
      <c r="U2581" s="4" t="str">
        <f t="shared" si="205"/>
        <v>Average</v>
      </c>
      <c r="V2581" s="4" t="str">
        <f t="shared" si="201"/>
        <v>Average</v>
      </c>
      <c r="W2581" s="4"/>
      <c r="X2581" s="4"/>
      <c r="AJ2581" s="4"/>
    </row>
    <row r="2582" spans="1:36">
      <c r="A2582" t="str">
        <f t="shared" si="202"/>
        <v>Bina202581</v>
      </c>
      <c r="B2582">
        <v>2581</v>
      </c>
      <c r="C2582">
        <v>11</v>
      </c>
      <c r="D2582">
        <v>10</v>
      </c>
      <c r="E2582">
        <v>2023</v>
      </c>
      <c r="F2582" s="1">
        <f t="shared" si="203"/>
        <v>45210</v>
      </c>
      <c r="G2582" s="1" t="s">
        <v>18</v>
      </c>
      <c r="H2582" s="2">
        <v>47058</v>
      </c>
      <c r="I2582" t="s">
        <v>19</v>
      </c>
      <c r="J2582">
        <v>2</v>
      </c>
      <c r="K2582">
        <v>19154.45</v>
      </c>
      <c r="L2582" t="s">
        <v>157</v>
      </c>
      <c r="M2582">
        <v>20</v>
      </c>
      <c r="N2582" t="s">
        <v>36</v>
      </c>
      <c r="O2582" s="3" t="s">
        <v>22</v>
      </c>
      <c r="P2582" t="s">
        <v>110</v>
      </c>
      <c r="Q2582" t="s">
        <v>30</v>
      </c>
      <c r="R2582">
        <v>5</v>
      </c>
      <c r="S2582" t="s">
        <v>25</v>
      </c>
      <c r="T2582" s="4">
        <f t="shared" si="204"/>
        <v>38308.9</v>
      </c>
      <c r="U2582" s="4" t="str">
        <f t="shared" si="205"/>
        <v>Good</v>
      </c>
      <c r="V2582" s="4" t="str">
        <f t="shared" si="201"/>
        <v>Low</v>
      </c>
      <c r="W2582" s="4"/>
      <c r="X2582" s="4"/>
      <c r="AJ2582" s="4"/>
    </row>
    <row r="2583" spans="1:36">
      <c r="A2583" t="str">
        <f t="shared" si="202"/>
        <v>Radh542582</v>
      </c>
      <c r="B2583">
        <v>2582</v>
      </c>
      <c r="C2583">
        <v>11</v>
      </c>
      <c r="D2583">
        <v>10</v>
      </c>
      <c r="E2583">
        <v>2023</v>
      </c>
      <c r="F2583" s="1">
        <f t="shared" si="203"/>
        <v>45210</v>
      </c>
      <c r="G2583" s="1" t="s">
        <v>18</v>
      </c>
      <c r="H2583" s="2">
        <v>47059</v>
      </c>
      <c r="I2583" t="s">
        <v>19</v>
      </c>
      <c r="J2583">
        <v>9</v>
      </c>
      <c r="K2583">
        <v>61551.34</v>
      </c>
      <c r="L2583" t="s">
        <v>649</v>
      </c>
      <c r="M2583">
        <v>54</v>
      </c>
      <c r="N2583" t="s">
        <v>61</v>
      </c>
      <c r="O2583" s="3" t="s">
        <v>55</v>
      </c>
      <c r="P2583" t="s">
        <v>45</v>
      </c>
      <c r="Q2583" t="s">
        <v>24</v>
      </c>
      <c r="R2583">
        <v>2</v>
      </c>
      <c r="S2583" t="s">
        <v>37</v>
      </c>
      <c r="T2583" s="4">
        <f t="shared" si="204"/>
        <v>553962.05999999994</v>
      </c>
      <c r="U2583" s="4" t="str">
        <f t="shared" si="205"/>
        <v>Average</v>
      </c>
      <c r="V2583" s="4" t="str">
        <f t="shared" si="201"/>
        <v>Excellent</v>
      </c>
      <c r="W2583" s="4"/>
      <c r="X2583" s="4"/>
      <c r="AJ2583" s="4"/>
    </row>
    <row r="2584" spans="1:36">
      <c r="A2584" t="str">
        <f t="shared" si="202"/>
        <v>Bhav502583</v>
      </c>
      <c r="B2584">
        <v>2583</v>
      </c>
      <c r="C2584">
        <v>12</v>
      </c>
      <c r="D2584">
        <v>10</v>
      </c>
      <c r="E2584">
        <v>2023</v>
      </c>
      <c r="F2584" s="1">
        <f t="shared" si="203"/>
        <v>45211</v>
      </c>
      <c r="G2584" s="1" t="s">
        <v>18</v>
      </c>
      <c r="H2584" s="2">
        <v>47060</v>
      </c>
      <c r="I2584" t="s">
        <v>26</v>
      </c>
      <c r="J2584">
        <v>2</v>
      </c>
      <c r="K2584">
        <v>38052.629999999997</v>
      </c>
      <c r="L2584" t="s">
        <v>593</v>
      </c>
      <c r="M2584">
        <v>50</v>
      </c>
      <c r="N2584" t="s">
        <v>61</v>
      </c>
      <c r="O2584" s="3" t="s">
        <v>22</v>
      </c>
      <c r="P2584" t="s">
        <v>33</v>
      </c>
      <c r="Q2584" t="s">
        <v>24</v>
      </c>
      <c r="R2584">
        <v>4</v>
      </c>
      <c r="S2584" t="s">
        <v>34</v>
      </c>
      <c r="T2584" s="4">
        <f t="shared" si="204"/>
        <v>76105.259999999995</v>
      </c>
      <c r="U2584" s="4" t="str">
        <f t="shared" si="205"/>
        <v>Good</v>
      </c>
      <c r="V2584" s="4" t="str">
        <f t="shared" si="201"/>
        <v>Average</v>
      </c>
      <c r="W2584" s="4"/>
      <c r="X2584" s="4"/>
      <c r="AJ2584" s="4"/>
    </row>
    <row r="2585" spans="1:36">
      <c r="A2585" t="str">
        <f t="shared" si="202"/>
        <v>Vija582584</v>
      </c>
      <c r="B2585">
        <v>2584</v>
      </c>
      <c r="C2585">
        <v>12</v>
      </c>
      <c r="D2585">
        <v>10</v>
      </c>
      <c r="E2585">
        <v>2023</v>
      </c>
      <c r="F2585" s="1">
        <f t="shared" si="203"/>
        <v>45211</v>
      </c>
      <c r="G2585" s="1" t="s">
        <v>18</v>
      </c>
      <c r="H2585" s="2">
        <v>47061</v>
      </c>
      <c r="I2585" t="s">
        <v>43</v>
      </c>
      <c r="J2585">
        <v>3</v>
      </c>
      <c r="K2585">
        <v>34253.199999999997</v>
      </c>
      <c r="L2585" t="s">
        <v>867</v>
      </c>
      <c r="M2585">
        <v>58</v>
      </c>
      <c r="N2585" t="s">
        <v>61</v>
      </c>
      <c r="O2585" s="3" t="s">
        <v>28</v>
      </c>
      <c r="P2585" t="s">
        <v>40</v>
      </c>
      <c r="Q2585" t="s">
        <v>30</v>
      </c>
      <c r="R2585">
        <v>3</v>
      </c>
      <c r="S2585" t="s">
        <v>46</v>
      </c>
      <c r="T2585" s="4">
        <f t="shared" si="204"/>
        <v>102759.59999999999</v>
      </c>
      <c r="U2585" s="4" t="str">
        <f t="shared" si="205"/>
        <v>Average</v>
      </c>
      <c r="V2585" s="4" t="str">
        <f t="shared" si="201"/>
        <v>Good</v>
      </c>
      <c r="W2585" s="4"/>
      <c r="X2585" s="4"/>
      <c r="AJ2585" s="4"/>
    </row>
    <row r="2586" spans="1:36">
      <c r="A2586" t="str">
        <f t="shared" si="202"/>
        <v>Radh412585</v>
      </c>
      <c r="B2586">
        <v>2585</v>
      </c>
      <c r="C2586">
        <v>12</v>
      </c>
      <c r="D2586">
        <v>10</v>
      </c>
      <c r="E2586">
        <v>2023</v>
      </c>
      <c r="F2586" s="1">
        <f t="shared" si="203"/>
        <v>45211</v>
      </c>
      <c r="G2586" s="1" t="s">
        <v>18</v>
      </c>
      <c r="H2586" s="2">
        <v>47062</v>
      </c>
      <c r="I2586" t="s">
        <v>38</v>
      </c>
      <c r="J2586">
        <v>2</v>
      </c>
      <c r="K2586">
        <v>36968.97</v>
      </c>
      <c r="L2586" t="s">
        <v>58</v>
      </c>
      <c r="M2586">
        <v>41</v>
      </c>
      <c r="N2586" t="s">
        <v>21</v>
      </c>
      <c r="O2586" s="3" t="s">
        <v>22</v>
      </c>
      <c r="P2586" t="s">
        <v>93</v>
      </c>
      <c r="Q2586" t="s">
        <v>56</v>
      </c>
      <c r="R2586">
        <v>4</v>
      </c>
      <c r="S2586" t="s">
        <v>99</v>
      </c>
      <c r="T2586" s="4">
        <f t="shared" si="204"/>
        <v>73937.94</v>
      </c>
      <c r="U2586" s="4" t="str">
        <f t="shared" si="205"/>
        <v>Good</v>
      </c>
      <c r="V2586" s="4" t="str">
        <f t="shared" si="201"/>
        <v>Average</v>
      </c>
      <c r="W2586" s="4"/>
      <c r="X2586" s="4"/>
      <c r="AJ2586" s="4"/>
    </row>
    <row r="2587" spans="1:36">
      <c r="A2587" t="str">
        <f t="shared" si="202"/>
        <v>Priy252586</v>
      </c>
      <c r="B2587">
        <v>2586</v>
      </c>
      <c r="C2587">
        <v>12</v>
      </c>
      <c r="D2587">
        <v>10</v>
      </c>
      <c r="E2587">
        <v>2023</v>
      </c>
      <c r="F2587" s="1">
        <f t="shared" si="203"/>
        <v>45211</v>
      </c>
      <c r="G2587" s="1" t="s">
        <v>18</v>
      </c>
      <c r="H2587" s="2">
        <v>47063</v>
      </c>
      <c r="I2587" t="s">
        <v>43</v>
      </c>
      <c r="J2587">
        <v>3</v>
      </c>
      <c r="K2587">
        <v>68315.47</v>
      </c>
      <c r="L2587" t="s">
        <v>947</v>
      </c>
      <c r="M2587">
        <v>25</v>
      </c>
      <c r="N2587" t="s">
        <v>36</v>
      </c>
      <c r="O2587" s="3" t="s">
        <v>22</v>
      </c>
      <c r="P2587" t="s">
        <v>150</v>
      </c>
      <c r="Q2587" t="s">
        <v>24</v>
      </c>
      <c r="R2587">
        <v>4</v>
      </c>
      <c r="S2587" t="s">
        <v>46</v>
      </c>
      <c r="T2587" s="4">
        <f t="shared" si="204"/>
        <v>204946.41</v>
      </c>
      <c r="U2587" s="4" t="str">
        <f t="shared" si="205"/>
        <v>Good</v>
      </c>
      <c r="V2587" s="4" t="str">
        <f t="shared" si="201"/>
        <v>Excellent</v>
      </c>
      <c r="W2587" s="4"/>
      <c r="X2587" s="4"/>
      <c r="AJ2587" s="4"/>
    </row>
    <row r="2588" spans="1:36">
      <c r="A2588" t="str">
        <f t="shared" si="202"/>
        <v>Shru522587</v>
      </c>
      <c r="B2588">
        <v>2587</v>
      </c>
      <c r="C2588">
        <v>13</v>
      </c>
      <c r="D2588">
        <v>10</v>
      </c>
      <c r="E2588">
        <v>2023</v>
      </c>
      <c r="F2588" s="1">
        <f t="shared" si="203"/>
        <v>45212</v>
      </c>
      <c r="G2588" s="1" t="s">
        <v>18</v>
      </c>
      <c r="H2588" s="2">
        <v>47064</v>
      </c>
      <c r="I2588" t="s">
        <v>43</v>
      </c>
      <c r="J2588">
        <v>6</v>
      </c>
      <c r="K2588">
        <v>61016.04</v>
      </c>
      <c r="L2588" t="s">
        <v>910</v>
      </c>
      <c r="M2588">
        <v>52</v>
      </c>
      <c r="N2588" t="s">
        <v>61</v>
      </c>
      <c r="O2588" s="3" t="s">
        <v>22</v>
      </c>
      <c r="P2588" t="s">
        <v>117</v>
      </c>
      <c r="Q2588" t="s">
        <v>56</v>
      </c>
      <c r="R2588">
        <v>4</v>
      </c>
      <c r="S2588" t="s">
        <v>46</v>
      </c>
      <c r="T2588" s="4">
        <f t="shared" si="204"/>
        <v>366096.24</v>
      </c>
      <c r="U2588" s="4" t="str">
        <f t="shared" si="205"/>
        <v>Good</v>
      </c>
      <c r="V2588" s="4" t="str">
        <f t="shared" si="201"/>
        <v>Excellent</v>
      </c>
      <c r="W2588" s="4"/>
      <c r="X2588" s="4"/>
      <c r="AJ2588" s="4"/>
    </row>
    <row r="2589" spans="1:36">
      <c r="A2589" t="str">
        <f t="shared" si="202"/>
        <v>Mano192588</v>
      </c>
      <c r="B2589">
        <v>2588</v>
      </c>
      <c r="C2589">
        <v>13</v>
      </c>
      <c r="D2589">
        <v>10</v>
      </c>
      <c r="E2589">
        <v>2023</v>
      </c>
      <c r="F2589" s="1">
        <f t="shared" si="203"/>
        <v>45212</v>
      </c>
      <c r="G2589" s="1" t="s">
        <v>18</v>
      </c>
      <c r="H2589" s="2">
        <v>47065</v>
      </c>
      <c r="I2589" t="s">
        <v>43</v>
      </c>
      <c r="J2589">
        <v>3</v>
      </c>
      <c r="K2589">
        <v>52382.13</v>
      </c>
      <c r="L2589" t="s">
        <v>961</v>
      </c>
      <c r="M2589">
        <v>19</v>
      </c>
      <c r="N2589" t="s">
        <v>36</v>
      </c>
      <c r="O2589" s="3" t="s">
        <v>22</v>
      </c>
      <c r="P2589" t="s">
        <v>33</v>
      </c>
      <c r="Q2589" t="s">
        <v>56</v>
      </c>
      <c r="R2589">
        <v>5</v>
      </c>
      <c r="S2589" t="s">
        <v>46</v>
      </c>
      <c r="T2589" s="4">
        <f t="shared" si="204"/>
        <v>157146.38999999998</v>
      </c>
      <c r="U2589" s="4" t="str">
        <f t="shared" si="205"/>
        <v>Good</v>
      </c>
      <c r="V2589" s="4" t="str">
        <f t="shared" si="201"/>
        <v>Good</v>
      </c>
      <c r="W2589" s="4"/>
      <c r="X2589" s="4"/>
      <c r="AJ2589" s="4"/>
    </row>
    <row r="2590" spans="1:36">
      <c r="A2590" t="str">
        <f t="shared" si="202"/>
        <v>Arun502589</v>
      </c>
      <c r="B2590">
        <v>2589</v>
      </c>
      <c r="C2590">
        <v>13</v>
      </c>
      <c r="D2590">
        <v>10</v>
      </c>
      <c r="E2590">
        <v>2023</v>
      </c>
      <c r="F2590" s="1">
        <f t="shared" si="203"/>
        <v>45212</v>
      </c>
      <c r="G2590" s="1" t="s">
        <v>18</v>
      </c>
      <c r="H2590" s="2">
        <v>47066</v>
      </c>
      <c r="I2590" t="s">
        <v>19</v>
      </c>
      <c r="J2590">
        <v>8</v>
      </c>
      <c r="K2590">
        <v>27428.74</v>
      </c>
      <c r="L2590" t="s">
        <v>720</v>
      </c>
      <c r="M2590">
        <v>50</v>
      </c>
      <c r="N2590" t="s">
        <v>61</v>
      </c>
      <c r="O2590" s="3" t="s">
        <v>22</v>
      </c>
      <c r="P2590" t="s">
        <v>114</v>
      </c>
      <c r="Q2590" t="s">
        <v>56</v>
      </c>
      <c r="R2590">
        <v>4</v>
      </c>
      <c r="S2590" t="s">
        <v>25</v>
      </c>
      <c r="T2590" s="4">
        <f t="shared" si="204"/>
        <v>219429.92</v>
      </c>
      <c r="U2590" s="4" t="str">
        <f t="shared" si="205"/>
        <v>Good</v>
      </c>
      <c r="V2590" s="4" t="str">
        <f t="shared" si="201"/>
        <v>Excellent</v>
      </c>
      <c r="W2590" s="4"/>
      <c r="X2590" s="4"/>
      <c r="AJ2590" s="4"/>
    </row>
    <row r="2591" spans="1:36">
      <c r="A2591" t="str">
        <f t="shared" si="202"/>
        <v>Radh292590</v>
      </c>
      <c r="B2591">
        <v>2590</v>
      </c>
      <c r="C2591">
        <v>13</v>
      </c>
      <c r="D2591">
        <v>10</v>
      </c>
      <c r="E2591">
        <v>2023</v>
      </c>
      <c r="F2591" s="1">
        <f t="shared" si="203"/>
        <v>45212</v>
      </c>
      <c r="G2591" s="1" t="s">
        <v>18</v>
      </c>
      <c r="H2591" s="2">
        <v>47067</v>
      </c>
      <c r="I2591" t="s">
        <v>49</v>
      </c>
      <c r="J2591">
        <v>6</v>
      </c>
      <c r="K2591">
        <v>19910.38</v>
      </c>
      <c r="L2591" t="s">
        <v>999</v>
      </c>
      <c r="M2591">
        <v>29</v>
      </c>
      <c r="N2591" t="s">
        <v>36</v>
      </c>
      <c r="O2591" s="3" t="s">
        <v>22</v>
      </c>
      <c r="P2591" t="s">
        <v>29</v>
      </c>
      <c r="Q2591" t="s">
        <v>24</v>
      </c>
      <c r="R2591">
        <v>4</v>
      </c>
      <c r="S2591" t="s">
        <v>52</v>
      </c>
      <c r="T2591" s="4">
        <f t="shared" si="204"/>
        <v>119462.28</v>
      </c>
      <c r="U2591" s="4" t="str">
        <f t="shared" si="205"/>
        <v>Good</v>
      </c>
      <c r="V2591" s="4" t="str">
        <f t="shared" si="201"/>
        <v>Good</v>
      </c>
      <c r="W2591" s="4"/>
      <c r="X2591" s="4"/>
      <c r="AJ2591" s="4"/>
    </row>
    <row r="2592" spans="1:36">
      <c r="A2592" t="str">
        <f t="shared" si="202"/>
        <v>Yoge392591</v>
      </c>
      <c r="B2592">
        <v>2591</v>
      </c>
      <c r="C2592">
        <v>14</v>
      </c>
      <c r="D2592">
        <v>10</v>
      </c>
      <c r="E2592">
        <v>2023</v>
      </c>
      <c r="F2592" s="1">
        <f t="shared" si="203"/>
        <v>45213</v>
      </c>
      <c r="G2592" s="1" t="s">
        <v>18</v>
      </c>
      <c r="H2592" s="2">
        <v>47068</v>
      </c>
      <c r="I2592" t="s">
        <v>19</v>
      </c>
      <c r="J2592">
        <v>7</v>
      </c>
      <c r="K2592">
        <v>65286.02</v>
      </c>
      <c r="L2592" t="s">
        <v>600</v>
      </c>
      <c r="M2592">
        <v>39</v>
      </c>
      <c r="N2592" t="s">
        <v>21</v>
      </c>
      <c r="O2592" s="3" t="s">
        <v>55</v>
      </c>
      <c r="P2592" t="s">
        <v>29</v>
      </c>
      <c r="Q2592" t="s">
        <v>41</v>
      </c>
      <c r="R2592">
        <v>2</v>
      </c>
      <c r="S2592" t="s">
        <v>25</v>
      </c>
      <c r="T2592" s="4">
        <f t="shared" si="204"/>
        <v>457002.13999999996</v>
      </c>
      <c r="U2592" s="4" t="str">
        <f t="shared" si="205"/>
        <v>Average</v>
      </c>
      <c r="V2592" s="4" t="str">
        <f t="shared" si="201"/>
        <v>Excellent</v>
      </c>
      <c r="W2592" s="4"/>
      <c r="X2592" s="4"/>
      <c r="AJ2592" s="4"/>
    </row>
    <row r="2593" spans="1:36">
      <c r="A2593" t="str">
        <f t="shared" si="202"/>
        <v>Mala302592</v>
      </c>
      <c r="B2593">
        <v>2592</v>
      </c>
      <c r="C2593">
        <v>14</v>
      </c>
      <c r="D2593">
        <v>10</v>
      </c>
      <c r="E2593">
        <v>2023</v>
      </c>
      <c r="F2593" s="1">
        <f t="shared" si="203"/>
        <v>45213</v>
      </c>
      <c r="G2593" s="1" t="s">
        <v>18</v>
      </c>
      <c r="H2593" s="2">
        <v>47069</v>
      </c>
      <c r="I2593" t="s">
        <v>19</v>
      </c>
      <c r="J2593">
        <v>1</v>
      </c>
      <c r="K2593">
        <v>35384.53</v>
      </c>
      <c r="L2593" t="s">
        <v>118</v>
      </c>
      <c r="M2593">
        <v>30</v>
      </c>
      <c r="N2593" t="s">
        <v>36</v>
      </c>
      <c r="O2593" s="3" t="s">
        <v>55</v>
      </c>
      <c r="P2593" t="s">
        <v>93</v>
      </c>
      <c r="Q2593" t="s">
        <v>24</v>
      </c>
      <c r="R2593">
        <v>2</v>
      </c>
      <c r="S2593" t="s">
        <v>37</v>
      </c>
      <c r="T2593" s="4">
        <f t="shared" si="204"/>
        <v>35384.53</v>
      </c>
      <c r="U2593" s="4" t="str">
        <f t="shared" si="205"/>
        <v>Average</v>
      </c>
      <c r="V2593" s="4" t="str">
        <f t="shared" si="201"/>
        <v>Low</v>
      </c>
      <c r="W2593" s="4"/>
      <c r="X2593" s="4"/>
      <c r="AJ2593" s="4"/>
    </row>
    <row r="2594" spans="1:36">
      <c r="A2594" t="str">
        <f t="shared" si="202"/>
        <v>Priy272593</v>
      </c>
      <c r="B2594">
        <v>2593</v>
      </c>
      <c r="C2594">
        <v>14</v>
      </c>
      <c r="D2594">
        <v>10</v>
      </c>
      <c r="E2594">
        <v>2023</v>
      </c>
      <c r="F2594" s="1">
        <f t="shared" si="203"/>
        <v>45213</v>
      </c>
      <c r="G2594" s="1" t="s">
        <v>18</v>
      </c>
      <c r="H2594" s="2">
        <v>47070</v>
      </c>
      <c r="I2594" t="s">
        <v>43</v>
      </c>
      <c r="J2594">
        <v>3</v>
      </c>
      <c r="K2594">
        <v>26725.35</v>
      </c>
      <c r="L2594" t="s">
        <v>212</v>
      </c>
      <c r="M2594">
        <v>27</v>
      </c>
      <c r="N2594" t="s">
        <v>36</v>
      </c>
      <c r="O2594" s="3" t="s">
        <v>22</v>
      </c>
      <c r="P2594" t="s">
        <v>132</v>
      </c>
      <c r="Q2594" t="s">
        <v>41</v>
      </c>
      <c r="R2594">
        <v>5</v>
      </c>
      <c r="S2594" t="s">
        <v>95</v>
      </c>
      <c r="T2594" s="4">
        <f t="shared" si="204"/>
        <v>80176.049999999988</v>
      </c>
      <c r="U2594" s="4" t="str">
        <f t="shared" si="205"/>
        <v>Good</v>
      </c>
      <c r="V2594" s="4" t="str">
        <f t="shared" si="201"/>
        <v>Average</v>
      </c>
      <c r="W2594" s="4"/>
      <c r="X2594" s="4"/>
      <c r="AJ2594" s="4"/>
    </row>
    <row r="2595" spans="1:36">
      <c r="A2595" t="str">
        <f t="shared" si="202"/>
        <v>Pooj342594</v>
      </c>
      <c r="B2595">
        <v>2594</v>
      </c>
      <c r="C2595">
        <v>15</v>
      </c>
      <c r="D2595">
        <v>10</v>
      </c>
      <c r="E2595">
        <v>2023</v>
      </c>
      <c r="F2595" s="1">
        <f t="shared" si="203"/>
        <v>45214</v>
      </c>
      <c r="G2595" s="1" t="s">
        <v>18</v>
      </c>
      <c r="H2595" s="2">
        <v>47071</v>
      </c>
      <c r="I2595" t="s">
        <v>19</v>
      </c>
      <c r="J2595">
        <v>3</v>
      </c>
      <c r="K2595">
        <v>38255.25</v>
      </c>
      <c r="L2595" t="s">
        <v>154</v>
      </c>
      <c r="M2595">
        <v>34</v>
      </c>
      <c r="N2595" t="s">
        <v>21</v>
      </c>
      <c r="O2595" s="3" t="s">
        <v>22</v>
      </c>
      <c r="P2595" t="s">
        <v>59</v>
      </c>
      <c r="Q2595" t="s">
        <v>24</v>
      </c>
      <c r="R2595">
        <v>5</v>
      </c>
      <c r="S2595" t="s">
        <v>84</v>
      </c>
      <c r="T2595" s="4">
        <f t="shared" si="204"/>
        <v>114765.75</v>
      </c>
      <c r="U2595" s="4" t="str">
        <f t="shared" si="205"/>
        <v>Good</v>
      </c>
      <c r="V2595" s="4" t="str">
        <f t="shared" si="201"/>
        <v>Good</v>
      </c>
      <c r="W2595" s="4"/>
      <c r="X2595" s="4"/>
      <c r="AJ2595" s="4"/>
    </row>
    <row r="2596" spans="1:36">
      <c r="A2596" t="str">
        <f t="shared" si="202"/>
        <v>Meen222595</v>
      </c>
      <c r="B2596">
        <v>2595</v>
      </c>
      <c r="C2596">
        <v>15</v>
      </c>
      <c r="D2596">
        <v>10</v>
      </c>
      <c r="E2596">
        <v>2023</v>
      </c>
      <c r="F2596" s="1">
        <f t="shared" si="203"/>
        <v>45214</v>
      </c>
      <c r="G2596" s="1" t="s">
        <v>18</v>
      </c>
      <c r="H2596" s="2">
        <v>47072</v>
      </c>
      <c r="I2596" t="s">
        <v>43</v>
      </c>
      <c r="J2596">
        <v>2</v>
      </c>
      <c r="K2596">
        <v>65070.85</v>
      </c>
      <c r="L2596" t="s">
        <v>880</v>
      </c>
      <c r="M2596">
        <v>22</v>
      </c>
      <c r="N2596" t="s">
        <v>36</v>
      </c>
      <c r="O2596" s="3" t="s">
        <v>22</v>
      </c>
      <c r="P2596" t="s">
        <v>29</v>
      </c>
      <c r="Q2596" t="s">
        <v>41</v>
      </c>
      <c r="R2596">
        <v>4</v>
      </c>
      <c r="S2596" t="s">
        <v>46</v>
      </c>
      <c r="T2596" s="4">
        <f t="shared" si="204"/>
        <v>130141.7</v>
      </c>
      <c r="U2596" s="4" t="str">
        <f t="shared" si="205"/>
        <v>Good</v>
      </c>
      <c r="V2596" s="4" t="str">
        <f t="shared" si="201"/>
        <v>Good</v>
      </c>
      <c r="W2596" s="4"/>
      <c r="X2596" s="4"/>
      <c r="AJ2596" s="4"/>
    </row>
    <row r="2597" spans="1:36">
      <c r="A2597" t="str">
        <f t="shared" si="202"/>
        <v>Umes262596</v>
      </c>
      <c r="B2597">
        <v>2596</v>
      </c>
      <c r="C2597">
        <v>15</v>
      </c>
      <c r="D2597">
        <v>10</v>
      </c>
      <c r="E2597">
        <v>2023</v>
      </c>
      <c r="F2597" s="1">
        <f t="shared" si="203"/>
        <v>45214</v>
      </c>
      <c r="G2597" s="1" t="s">
        <v>18</v>
      </c>
      <c r="H2597" s="2">
        <v>47073</v>
      </c>
      <c r="I2597" t="s">
        <v>49</v>
      </c>
      <c r="J2597">
        <v>7</v>
      </c>
      <c r="K2597">
        <v>33224.04</v>
      </c>
      <c r="L2597" t="s">
        <v>553</v>
      </c>
      <c r="M2597">
        <v>26</v>
      </c>
      <c r="N2597" t="s">
        <v>36</v>
      </c>
      <c r="O2597" s="3" t="s">
        <v>28</v>
      </c>
      <c r="P2597" t="s">
        <v>29</v>
      </c>
      <c r="Q2597" t="s">
        <v>41</v>
      </c>
      <c r="R2597">
        <v>3</v>
      </c>
      <c r="S2597" t="s">
        <v>88</v>
      </c>
      <c r="T2597" s="4">
        <f t="shared" si="204"/>
        <v>232568.28</v>
      </c>
      <c r="U2597" s="4" t="str">
        <f t="shared" si="205"/>
        <v>Average</v>
      </c>
      <c r="V2597" s="4" t="str">
        <f t="shared" si="201"/>
        <v>Excellent</v>
      </c>
      <c r="W2597" s="4"/>
      <c r="X2597" s="4"/>
      <c r="AJ2597" s="4"/>
    </row>
    <row r="2598" spans="1:36">
      <c r="A2598" t="str">
        <f t="shared" si="202"/>
        <v>Amit302597</v>
      </c>
      <c r="B2598">
        <v>2597</v>
      </c>
      <c r="C2598">
        <v>15</v>
      </c>
      <c r="D2598">
        <v>10</v>
      </c>
      <c r="E2598">
        <v>2023</v>
      </c>
      <c r="F2598" s="1">
        <f t="shared" si="203"/>
        <v>45214</v>
      </c>
      <c r="G2598" s="1" t="s">
        <v>18</v>
      </c>
      <c r="H2598" s="2">
        <v>47074</v>
      </c>
      <c r="I2598" t="s">
        <v>38</v>
      </c>
      <c r="J2598">
        <v>9</v>
      </c>
      <c r="K2598">
        <v>43758.46</v>
      </c>
      <c r="L2598" t="s">
        <v>995</v>
      </c>
      <c r="M2598">
        <v>30</v>
      </c>
      <c r="N2598" t="s">
        <v>36</v>
      </c>
      <c r="O2598" s="3" t="s">
        <v>28</v>
      </c>
      <c r="P2598" t="s">
        <v>29</v>
      </c>
      <c r="Q2598" t="s">
        <v>24</v>
      </c>
      <c r="R2598">
        <v>3</v>
      </c>
      <c r="S2598" t="s">
        <v>99</v>
      </c>
      <c r="T2598" s="4">
        <f t="shared" si="204"/>
        <v>393826.14</v>
      </c>
      <c r="U2598" s="4" t="str">
        <f t="shared" si="205"/>
        <v>Average</v>
      </c>
      <c r="V2598" s="4" t="str">
        <f t="shared" si="201"/>
        <v>Excellent</v>
      </c>
      <c r="W2598" s="4"/>
      <c r="X2598" s="4"/>
      <c r="AJ2598" s="4"/>
    </row>
    <row r="2599" spans="1:36">
      <c r="A2599" t="str">
        <f t="shared" si="202"/>
        <v>Lali402598</v>
      </c>
      <c r="B2599">
        <v>2598</v>
      </c>
      <c r="C2599">
        <v>16</v>
      </c>
      <c r="D2599">
        <v>10</v>
      </c>
      <c r="E2599">
        <v>2023</v>
      </c>
      <c r="F2599" s="1">
        <f t="shared" si="203"/>
        <v>45215</v>
      </c>
      <c r="G2599" s="1" t="s">
        <v>18</v>
      </c>
      <c r="H2599" s="2">
        <v>47075</v>
      </c>
      <c r="I2599" t="s">
        <v>43</v>
      </c>
      <c r="J2599">
        <v>4</v>
      </c>
      <c r="K2599">
        <v>58177.98</v>
      </c>
      <c r="L2599" t="s">
        <v>790</v>
      </c>
      <c r="M2599">
        <v>40</v>
      </c>
      <c r="N2599" t="s">
        <v>21</v>
      </c>
      <c r="O2599" s="3" t="s">
        <v>22</v>
      </c>
      <c r="P2599" t="s">
        <v>77</v>
      </c>
      <c r="Q2599" t="s">
        <v>56</v>
      </c>
      <c r="R2599">
        <v>5</v>
      </c>
      <c r="S2599" t="s">
        <v>46</v>
      </c>
      <c r="T2599" s="4">
        <f t="shared" si="204"/>
        <v>232711.92</v>
      </c>
      <c r="U2599" s="4" t="str">
        <f t="shared" si="205"/>
        <v>Good</v>
      </c>
      <c r="V2599" s="4" t="str">
        <f t="shared" si="201"/>
        <v>Excellent</v>
      </c>
      <c r="W2599" s="4"/>
      <c r="X2599" s="4"/>
      <c r="AJ2599" s="4"/>
    </row>
    <row r="2600" spans="1:36">
      <c r="A2600" t="str">
        <f t="shared" si="202"/>
        <v>Kira472599</v>
      </c>
      <c r="B2600">
        <v>2599</v>
      </c>
      <c r="C2600">
        <v>16</v>
      </c>
      <c r="D2600">
        <v>10</v>
      </c>
      <c r="E2600">
        <v>2023</v>
      </c>
      <c r="F2600" s="1">
        <f t="shared" si="203"/>
        <v>45215</v>
      </c>
      <c r="G2600" s="1" t="s">
        <v>18</v>
      </c>
      <c r="H2600" s="2">
        <v>47076</v>
      </c>
      <c r="I2600" t="s">
        <v>49</v>
      </c>
      <c r="J2600">
        <v>5</v>
      </c>
      <c r="K2600">
        <v>35627.949999999997</v>
      </c>
      <c r="L2600" t="s">
        <v>610</v>
      </c>
      <c r="M2600">
        <v>47</v>
      </c>
      <c r="N2600" t="s">
        <v>61</v>
      </c>
      <c r="O2600" s="3" t="s">
        <v>28</v>
      </c>
      <c r="P2600" t="s">
        <v>64</v>
      </c>
      <c r="Q2600" t="s">
        <v>56</v>
      </c>
      <c r="R2600">
        <v>3</v>
      </c>
      <c r="S2600" t="s">
        <v>102</v>
      </c>
      <c r="T2600" s="4">
        <f t="shared" si="204"/>
        <v>178139.75</v>
      </c>
      <c r="U2600" s="4" t="str">
        <f t="shared" si="205"/>
        <v>Average</v>
      </c>
      <c r="V2600" s="4" t="str">
        <f t="shared" si="201"/>
        <v>Good</v>
      </c>
      <c r="W2600" s="4"/>
      <c r="X2600" s="4"/>
      <c r="AJ2600" s="4"/>
    </row>
    <row r="2601" spans="1:36">
      <c r="A2601" t="str">
        <f t="shared" si="202"/>
        <v>Kris212600</v>
      </c>
      <c r="B2601">
        <v>2600</v>
      </c>
      <c r="C2601">
        <v>16</v>
      </c>
      <c r="D2601">
        <v>10</v>
      </c>
      <c r="E2601">
        <v>2023</v>
      </c>
      <c r="F2601" s="1">
        <f t="shared" si="203"/>
        <v>45215</v>
      </c>
      <c r="G2601" s="1" t="s">
        <v>18</v>
      </c>
      <c r="H2601" s="2">
        <v>47077</v>
      </c>
      <c r="I2601" t="s">
        <v>38</v>
      </c>
      <c r="J2601">
        <v>3</v>
      </c>
      <c r="K2601">
        <v>24012.51</v>
      </c>
      <c r="L2601" t="s">
        <v>194</v>
      </c>
      <c r="M2601">
        <v>21</v>
      </c>
      <c r="N2601" t="s">
        <v>36</v>
      </c>
      <c r="O2601" s="3" t="s">
        <v>28</v>
      </c>
      <c r="P2601" t="s">
        <v>33</v>
      </c>
      <c r="Q2601" t="s">
        <v>41</v>
      </c>
      <c r="R2601">
        <v>3</v>
      </c>
      <c r="S2601" t="s">
        <v>99</v>
      </c>
      <c r="T2601" s="4">
        <f t="shared" si="204"/>
        <v>72037.53</v>
      </c>
      <c r="U2601" s="4" t="str">
        <f t="shared" si="205"/>
        <v>Average</v>
      </c>
      <c r="V2601" s="4" t="str">
        <f t="shared" si="201"/>
        <v>Average</v>
      </c>
      <c r="W2601" s="4"/>
      <c r="X2601" s="4"/>
      <c r="AJ2601" s="4"/>
    </row>
    <row r="2602" spans="1:36">
      <c r="A2602" t="str">
        <f t="shared" si="202"/>
        <v>Kuna382601</v>
      </c>
      <c r="B2602">
        <v>2601</v>
      </c>
      <c r="C2602">
        <v>17</v>
      </c>
      <c r="D2602">
        <v>10</v>
      </c>
      <c r="E2602">
        <v>2023</v>
      </c>
      <c r="F2602" s="1">
        <f t="shared" si="203"/>
        <v>45216</v>
      </c>
      <c r="G2602" s="1" t="s">
        <v>18</v>
      </c>
      <c r="H2602" s="2">
        <v>47078</v>
      </c>
      <c r="I2602" t="s">
        <v>26</v>
      </c>
      <c r="J2602">
        <v>9</v>
      </c>
      <c r="K2602">
        <v>69671.539999999994</v>
      </c>
      <c r="L2602" t="s">
        <v>1012</v>
      </c>
      <c r="M2602">
        <v>38</v>
      </c>
      <c r="N2602" t="s">
        <v>21</v>
      </c>
      <c r="O2602" s="3" t="s">
        <v>55</v>
      </c>
      <c r="P2602" t="s">
        <v>66</v>
      </c>
      <c r="Q2602" t="s">
        <v>30</v>
      </c>
      <c r="R2602">
        <v>2</v>
      </c>
      <c r="S2602" t="s">
        <v>34</v>
      </c>
      <c r="T2602" s="4">
        <f t="shared" si="204"/>
        <v>627043.86</v>
      </c>
      <c r="U2602" s="4" t="str">
        <f t="shared" si="205"/>
        <v>Average</v>
      </c>
      <c r="V2602" s="4" t="str">
        <f t="shared" si="201"/>
        <v>Excellent</v>
      </c>
      <c r="W2602" s="4"/>
      <c r="X2602" s="4"/>
      <c r="AJ2602" s="4"/>
    </row>
    <row r="2603" spans="1:36">
      <c r="A2603" t="str">
        <f t="shared" si="202"/>
        <v>Priy262602</v>
      </c>
      <c r="B2603">
        <v>2602</v>
      </c>
      <c r="C2603">
        <v>17</v>
      </c>
      <c r="D2603">
        <v>10</v>
      </c>
      <c r="E2603">
        <v>2023</v>
      </c>
      <c r="F2603" s="1">
        <f t="shared" si="203"/>
        <v>45216</v>
      </c>
      <c r="G2603" s="1" t="s">
        <v>18</v>
      </c>
      <c r="H2603" s="2">
        <v>47079</v>
      </c>
      <c r="I2603" t="s">
        <v>43</v>
      </c>
      <c r="J2603">
        <v>4</v>
      </c>
      <c r="K2603">
        <v>67394.25</v>
      </c>
      <c r="L2603" t="s">
        <v>924</v>
      </c>
      <c r="M2603">
        <v>26</v>
      </c>
      <c r="N2603" t="s">
        <v>36</v>
      </c>
      <c r="O2603" s="3" t="s">
        <v>22</v>
      </c>
      <c r="P2603" t="s">
        <v>29</v>
      </c>
      <c r="Q2603" t="s">
        <v>30</v>
      </c>
      <c r="R2603">
        <v>5</v>
      </c>
      <c r="S2603" t="s">
        <v>46</v>
      </c>
      <c r="T2603" s="4">
        <f t="shared" si="204"/>
        <v>269577</v>
      </c>
      <c r="U2603" s="4" t="str">
        <f t="shared" si="205"/>
        <v>Good</v>
      </c>
      <c r="V2603" s="4" t="str">
        <f t="shared" si="201"/>
        <v>Excellent</v>
      </c>
      <c r="W2603" s="4"/>
      <c r="X2603" s="4"/>
      <c r="AJ2603" s="4"/>
    </row>
    <row r="2604" spans="1:36">
      <c r="A2604" t="str">
        <f t="shared" si="202"/>
        <v>Meen242603</v>
      </c>
      <c r="B2604">
        <v>2603</v>
      </c>
      <c r="C2604">
        <v>17</v>
      </c>
      <c r="D2604">
        <v>10</v>
      </c>
      <c r="E2604">
        <v>2023</v>
      </c>
      <c r="F2604" s="1">
        <f t="shared" si="203"/>
        <v>45216</v>
      </c>
      <c r="G2604" s="1" t="s">
        <v>18</v>
      </c>
      <c r="H2604" s="2">
        <v>47080</v>
      </c>
      <c r="I2604" t="s">
        <v>43</v>
      </c>
      <c r="J2604">
        <v>5</v>
      </c>
      <c r="K2604">
        <v>60608.75</v>
      </c>
      <c r="L2604" t="s">
        <v>87</v>
      </c>
      <c r="M2604">
        <v>24</v>
      </c>
      <c r="N2604" t="s">
        <v>36</v>
      </c>
      <c r="O2604" s="3" t="s">
        <v>22</v>
      </c>
      <c r="P2604" t="s">
        <v>77</v>
      </c>
      <c r="Q2604" t="s">
        <v>24</v>
      </c>
      <c r="R2604">
        <v>5</v>
      </c>
      <c r="S2604" t="s">
        <v>46</v>
      </c>
      <c r="T2604" s="4">
        <f t="shared" si="204"/>
        <v>303043.75</v>
      </c>
      <c r="U2604" s="4" t="str">
        <f t="shared" si="205"/>
        <v>Good</v>
      </c>
      <c r="V2604" s="4" t="str">
        <f t="shared" si="201"/>
        <v>Excellent</v>
      </c>
      <c r="W2604" s="4"/>
      <c r="X2604" s="4"/>
      <c r="AJ2604" s="4"/>
    </row>
    <row r="2605" spans="1:36">
      <c r="A2605" t="str">
        <f t="shared" si="202"/>
        <v>Kira332604</v>
      </c>
      <c r="B2605">
        <v>2604</v>
      </c>
      <c r="C2605">
        <v>18</v>
      </c>
      <c r="D2605">
        <v>10</v>
      </c>
      <c r="E2605">
        <v>2023</v>
      </c>
      <c r="F2605" s="1">
        <f t="shared" si="203"/>
        <v>45217</v>
      </c>
      <c r="G2605" s="1" t="s">
        <v>18</v>
      </c>
      <c r="H2605" s="2">
        <v>47081</v>
      </c>
      <c r="I2605" t="s">
        <v>26</v>
      </c>
      <c r="J2605">
        <v>1</v>
      </c>
      <c r="K2605">
        <v>51302.43</v>
      </c>
      <c r="L2605" t="s">
        <v>610</v>
      </c>
      <c r="M2605">
        <v>33</v>
      </c>
      <c r="N2605" t="s">
        <v>21</v>
      </c>
      <c r="O2605" s="3" t="s">
        <v>55</v>
      </c>
      <c r="P2605" t="s">
        <v>66</v>
      </c>
      <c r="Q2605" t="s">
        <v>24</v>
      </c>
      <c r="R2605">
        <v>2</v>
      </c>
      <c r="S2605" t="s">
        <v>67</v>
      </c>
      <c r="T2605" s="4">
        <f t="shared" si="204"/>
        <v>51302.43</v>
      </c>
      <c r="U2605" s="4" t="str">
        <f t="shared" si="205"/>
        <v>Average</v>
      </c>
      <c r="V2605" s="4" t="str">
        <f t="shared" si="201"/>
        <v>Average</v>
      </c>
      <c r="W2605" s="4"/>
      <c r="X2605" s="4"/>
      <c r="AJ2605" s="4"/>
    </row>
    <row r="2606" spans="1:36">
      <c r="A2606" t="str">
        <f t="shared" si="202"/>
        <v>Meen402605</v>
      </c>
      <c r="B2606">
        <v>2605</v>
      </c>
      <c r="C2606">
        <v>18</v>
      </c>
      <c r="D2606">
        <v>10</v>
      </c>
      <c r="E2606">
        <v>2023</v>
      </c>
      <c r="F2606" s="1">
        <f t="shared" si="203"/>
        <v>45217</v>
      </c>
      <c r="G2606" s="1" t="s">
        <v>18</v>
      </c>
      <c r="H2606" s="2">
        <v>47082</v>
      </c>
      <c r="I2606" t="s">
        <v>26</v>
      </c>
      <c r="J2606">
        <v>2</v>
      </c>
      <c r="K2606">
        <v>27691.94</v>
      </c>
      <c r="L2606" t="s">
        <v>597</v>
      </c>
      <c r="M2606">
        <v>40</v>
      </c>
      <c r="N2606" t="s">
        <v>21</v>
      </c>
      <c r="O2606" s="3" t="s">
        <v>28</v>
      </c>
      <c r="P2606" t="s">
        <v>70</v>
      </c>
      <c r="Q2606" t="s">
        <v>24</v>
      </c>
      <c r="R2606">
        <v>3</v>
      </c>
      <c r="S2606" t="s">
        <v>31</v>
      </c>
      <c r="T2606" s="4">
        <f t="shared" si="204"/>
        <v>55383.88</v>
      </c>
      <c r="U2606" s="4" t="str">
        <f t="shared" si="205"/>
        <v>Average</v>
      </c>
      <c r="V2606" s="4" t="str">
        <f t="shared" si="201"/>
        <v>Average</v>
      </c>
      <c r="W2606" s="4"/>
      <c r="X2606" s="4"/>
      <c r="AJ2606" s="4"/>
    </row>
    <row r="2607" spans="1:36">
      <c r="A2607" t="str">
        <f t="shared" si="202"/>
        <v>Kris402606</v>
      </c>
      <c r="B2607">
        <v>2606</v>
      </c>
      <c r="C2607">
        <v>18</v>
      </c>
      <c r="D2607">
        <v>10</v>
      </c>
      <c r="E2607">
        <v>2023</v>
      </c>
      <c r="F2607" s="1">
        <f t="shared" si="203"/>
        <v>45217</v>
      </c>
      <c r="G2607" s="1" t="s">
        <v>18</v>
      </c>
      <c r="H2607" s="2">
        <v>47083</v>
      </c>
      <c r="I2607" t="s">
        <v>43</v>
      </c>
      <c r="J2607">
        <v>9</v>
      </c>
      <c r="K2607">
        <v>64804.78</v>
      </c>
      <c r="L2607" t="s">
        <v>1013</v>
      </c>
      <c r="M2607">
        <v>40</v>
      </c>
      <c r="N2607" t="s">
        <v>21</v>
      </c>
      <c r="O2607" s="3" t="s">
        <v>28</v>
      </c>
      <c r="P2607" t="s">
        <v>70</v>
      </c>
      <c r="Q2607" t="s">
        <v>30</v>
      </c>
      <c r="R2607">
        <v>3</v>
      </c>
      <c r="S2607" t="s">
        <v>46</v>
      </c>
      <c r="T2607" s="4">
        <f t="shared" si="204"/>
        <v>583243.02</v>
      </c>
      <c r="U2607" s="4" t="str">
        <f t="shared" si="205"/>
        <v>Average</v>
      </c>
      <c r="V2607" s="4" t="str">
        <f t="shared" si="201"/>
        <v>Excellent</v>
      </c>
      <c r="W2607" s="4"/>
      <c r="X2607" s="4"/>
      <c r="AJ2607" s="4"/>
    </row>
    <row r="2608" spans="1:36">
      <c r="A2608" t="str">
        <f t="shared" si="202"/>
        <v>Pras482607</v>
      </c>
      <c r="B2608">
        <v>2607</v>
      </c>
      <c r="C2608">
        <v>18</v>
      </c>
      <c r="D2608">
        <v>10</v>
      </c>
      <c r="E2608">
        <v>2023</v>
      </c>
      <c r="F2608" s="1">
        <f t="shared" si="203"/>
        <v>45217</v>
      </c>
      <c r="G2608" s="1" t="s">
        <v>18</v>
      </c>
      <c r="H2608" s="2">
        <v>47084</v>
      </c>
      <c r="I2608" t="s">
        <v>26</v>
      </c>
      <c r="J2608">
        <v>2</v>
      </c>
      <c r="K2608">
        <v>26533.4</v>
      </c>
      <c r="L2608" t="s">
        <v>711</v>
      </c>
      <c r="M2608">
        <v>48</v>
      </c>
      <c r="N2608" t="s">
        <v>61</v>
      </c>
      <c r="O2608" s="3" t="s">
        <v>22</v>
      </c>
      <c r="P2608" t="s">
        <v>29</v>
      </c>
      <c r="Q2608" t="s">
        <v>56</v>
      </c>
      <c r="R2608">
        <v>5</v>
      </c>
      <c r="S2608" t="s">
        <v>31</v>
      </c>
      <c r="T2608" s="4">
        <f t="shared" si="204"/>
        <v>53066.8</v>
      </c>
      <c r="U2608" s="4" t="str">
        <f t="shared" si="205"/>
        <v>Good</v>
      </c>
      <c r="V2608" s="4" t="str">
        <f t="shared" si="201"/>
        <v>Average</v>
      </c>
      <c r="W2608" s="4"/>
      <c r="X2608" s="4"/>
      <c r="AJ2608" s="4"/>
    </row>
    <row r="2609" spans="1:36">
      <c r="A2609" t="str">
        <f t="shared" si="202"/>
        <v>Mano222608</v>
      </c>
      <c r="B2609">
        <v>2608</v>
      </c>
      <c r="C2609">
        <v>19</v>
      </c>
      <c r="D2609">
        <v>10</v>
      </c>
      <c r="E2609">
        <v>2023</v>
      </c>
      <c r="F2609" s="1">
        <f t="shared" si="203"/>
        <v>45218</v>
      </c>
      <c r="G2609" s="1" t="s">
        <v>18</v>
      </c>
      <c r="H2609" s="2">
        <v>47085</v>
      </c>
      <c r="I2609" t="s">
        <v>19</v>
      </c>
      <c r="J2609">
        <v>5</v>
      </c>
      <c r="K2609">
        <v>58048.57</v>
      </c>
      <c r="L2609" t="s">
        <v>792</v>
      </c>
      <c r="M2609">
        <v>22</v>
      </c>
      <c r="N2609" t="s">
        <v>36</v>
      </c>
      <c r="O2609" s="3" t="s">
        <v>28</v>
      </c>
      <c r="P2609" t="s">
        <v>51</v>
      </c>
      <c r="Q2609" t="s">
        <v>24</v>
      </c>
      <c r="R2609">
        <v>3</v>
      </c>
      <c r="S2609" t="s">
        <v>37</v>
      </c>
      <c r="T2609" s="4">
        <f t="shared" si="204"/>
        <v>290242.84999999998</v>
      </c>
      <c r="U2609" s="4" t="str">
        <f t="shared" si="205"/>
        <v>Average</v>
      </c>
      <c r="V2609" s="4" t="str">
        <f t="shared" si="201"/>
        <v>Excellent</v>
      </c>
      <c r="W2609" s="4"/>
      <c r="X2609" s="4"/>
      <c r="AJ2609" s="4"/>
    </row>
    <row r="2610" spans="1:36">
      <c r="A2610" t="str">
        <f t="shared" si="202"/>
        <v>Sumi232609</v>
      </c>
      <c r="B2610">
        <v>2609</v>
      </c>
      <c r="C2610">
        <v>19</v>
      </c>
      <c r="D2610">
        <v>10</v>
      </c>
      <c r="E2610">
        <v>2023</v>
      </c>
      <c r="F2610" s="1">
        <f t="shared" si="203"/>
        <v>45218</v>
      </c>
      <c r="G2610" s="1" t="s">
        <v>18</v>
      </c>
      <c r="H2610" s="2">
        <v>47086</v>
      </c>
      <c r="I2610" t="s">
        <v>38</v>
      </c>
      <c r="J2610">
        <v>8</v>
      </c>
      <c r="K2610">
        <v>65095.49</v>
      </c>
      <c r="L2610" t="s">
        <v>313</v>
      </c>
      <c r="M2610">
        <v>23</v>
      </c>
      <c r="N2610" t="s">
        <v>36</v>
      </c>
      <c r="O2610" s="3" t="s">
        <v>22</v>
      </c>
      <c r="P2610" t="s">
        <v>29</v>
      </c>
      <c r="Q2610" t="s">
        <v>24</v>
      </c>
      <c r="R2610">
        <v>5</v>
      </c>
      <c r="S2610" t="s">
        <v>99</v>
      </c>
      <c r="T2610" s="4">
        <f t="shared" si="204"/>
        <v>520763.92</v>
      </c>
      <c r="U2610" s="4" t="str">
        <f t="shared" si="205"/>
        <v>Good</v>
      </c>
      <c r="V2610" s="4" t="str">
        <f t="shared" si="201"/>
        <v>Excellent</v>
      </c>
      <c r="W2610" s="4"/>
      <c r="X2610" s="4"/>
      <c r="AJ2610" s="4"/>
    </row>
    <row r="2611" spans="1:36">
      <c r="A2611" t="str">
        <f t="shared" si="202"/>
        <v>Suni182610</v>
      </c>
      <c r="B2611">
        <v>2610</v>
      </c>
      <c r="C2611">
        <v>19</v>
      </c>
      <c r="D2611">
        <v>10</v>
      </c>
      <c r="E2611">
        <v>2023</v>
      </c>
      <c r="F2611" s="1">
        <f t="shared" si="203"/>
        <v>45218</v>
      </c>
      <c r="G2611" s="1" t="s">
        <v>18</v>
      </c>
      <c r="H2611" s="2">
        <v>47087</v>
      </c>
      <c r="I2611" t="s">
        <v>38</v>
      </c>
      <c r="J2611">
        <v>3</v>
      </c>
      <c r="K2611">
        <v>46180.23</v>
      </c>
      <c r="L2611" t="s">
        <v>617</v>
      </c>
      <c r="M2611">
        <v>18</v>
      </c>
      <c r="N2611" t="s">
        <v>36</v>
      </c>
      <c r="O2611" s="3" t="s">
        <v>28</v>
      </c>
      <c r="P2611" t="s">
        <v>29</v>
      </c>
      <c r="Q2611" t="s">
        <v>56</v>
      </c>
      <c r="R2611">
        <v>3</v>
      </c>
      <c r="S2611" t="s">
        <v>99</v>
      </c>
      <c r="T2611" s="4">
        <f t="shared" si="204"/>
        <v>138540.69</v>
      </c>
      <c r="U2611" s="4" t="str">
        <f t="shared" si="205"/>
        <v>Average</v>
      </c>
      <c r="V2611" s="4" t="str">
        <f t="shared" si="201"/>
        <v>Good</v>
      </c>
      <c r="W2611" s="4"/>
      <c r="X2611" s="4"/>
      <c r="AJ2611" s="4"/>
    </row>
    <row r="2612" spans="1:36">
      <c r="A2612" t="str">
        <f t="shared" si="202"/>
        <v>Bhav452611</v>
      </c>
      <c r="B2612">
        <v>2611</v>
      </c>
      <c r="C2612">
        <v>20</v>
      </c>
      <c r="D2612">
        <v>10</v>
      </c>
      <c r="E2612">
        <v>2023</v>
      </c>
      <c r="F2612" s="1">
        <f t="shared" si="203"/>
        <v>45219</v>
      </c>
      <c r="G2612" s="1" t="s">
        <v>18</v>
      </c>
      <c r="H2612" s="2">
        <v>47088</v>
      </c>
      <c r="I2612" t="s">
        <v>38</v>
      </c>
      <c r="J2612">
        <v>6</v>
      </c>
      <c r="K2612">
        <v>58183.37</v>
      </c>
      <c r="L2612" t="s">
        <v>80</v>
      </c>
      <c r="M2612">
        <v>45</v>
      </c>
      <c r="N2612" t="s">
        <v>21</v>
      </c>
      <c r="O2612" s="3" t="s">
        <v>22</v>
      </c>
      <c r="P2612" t="s">
        <v>45</v>
      </c>
      <c r="Q2612" t="s">
        <v>41</v>
      </c>
      <c r="R2612">
        <v>4</v>
      </c>
      <c r="S2612" t="s">
        <v>48</v>
      </c>
      <c r="T2612" s="4">
        <f t="shared" si="204"/>
        <v>349100.22000000003</v>
      </c>
      <c r="U2612" s="4" t="str">
        <f t="shared" si="205"/>
        <v>Good</v>
      </c>
      <c r="V2612" s="4" t="str">
        <f t="shared" si="201"/>
        <v>Excellent</v>
      </c>
      <c r="W2612" s="4"/>
      <c r="X2612" s="4"/>
      <c r="AJ2612" s="4"/>
    </row>
    <row r="2613" spans="1:36">
      <c r="A2613" t="str">
        <f t="shared" si="202"/>
        <v>Bhav352612</v>
      </c>
      <c r="B2613">
        <v>2612</v>
      </c>
      <c r="C2613">
        <v>20</v>
      </c>
      <c r="D2613">
        <v>10</v>
      </c>
      <c r="E2613">
        <v>2023</v>
      </c>
      <c r="F2613" s="1">
        <f t="shared" si="203"/>
        <v>45219</v>
      </c>
      <c r="G2613" s="1" t="s">
        <v>18</v>
      </c>
      <c r="H2613" s="2">
        <v>47089</v>
      </c>
      <c r="I2613" t="s">
        <v>19</v>
      </c>
      <c r="J2613">
        <v>4</v>
      </c>
      <c r="K2613">
        <v>57501.71</v>
      </c>
      <c r="L2613" t="s">
        <v>939</v>
      </c>
      <c r="M2613">
        <v>35</v>
      </c>
      <c r="N2613" t="s">
        <v>21</v>
      </c>
      <c r="O2613" s="3" t="s">
        <v>55</v>
      </c>
      <c r="P2613" t="s">
        <v>29</v>
      </c>
      <c r="Q2613" t="s">
        <v>24</v>
      </c>
      <c r="R2613">
        <v>2</v>
      </c>
      <c r="S2613" t="s">
        <v>84</v>
      </c>
      <c r="T2613" s="4">
        <f t="shared" si="204"/>
        <v>230006.84</v>
      </c>
      <c r="U2613" s="4" t="str">
        <f t="shared" si="205"/>
        <v>Average</v>
      </c>
      <c r="V2613" s="4" t="str">
        <f t="shared" si="201"/>
        <v>Excellent</v>
      </c>
      <c r="W2613" s="4"/>
      <c r="X2613" s="4"/>
      <c r="AJ2613" s="4"/>
    </row>
    <row r="2614" spans="1:36">
      <c r="A2614" t="str">
        <f t="shared" si="202"/>
        <v>Umes412613</v>
      </c>
      <c r="B2614">
        <v>2613</v>
      </c>
      <c r="C2614">
        <v>20</v>
      </c>
      <c r="D2614">
        <v>10</v>
      </c>
      <c r="E2614">
        <v>2023</v>
      </c>
      <c r="F2614" s="1">
        <f t="shared" si="203"/>
        <v>45219</v>
      </c>
      <c r="G2614" s="1" t="s">
        <v>18</v>
      </c>
      <c r="H2614" s="2">
        <v>47090</v>
      </c>
      <c r="I2614" t="s">
        <v>26</v>
      </c>
      <c r="J2614">
        <v>7</v>
      </c>
      <c r="K2614">
        <v>21589.47</v>
      </c>
      <c r="L2614" t="s">
        <v>817</v>
      </c>
      <c r="M2614">
        <v>41</v>
      </c>
      <c r="N2614" t="s">
        <v>21</v>
      </c>
      <c r="O2614" s="3" t="s">
        <v>22</v>
      </c>
      <c r="P2614" t="s">
        <v>33</v>
      </c>
      <c r="Q2614" t="s">
        <v>30</v>
      </c>
      <c r="R2614">
        <v>5</v>
      </c>
      <c r="S2614" t="s">
        <v>31</v>
      </c>
      <c r="T2614" s="4">
        <f t="shared" si="204"/>
        <v>151126.29</v>
      </c>
      <c r="U2614" s="4" t="str">
        <f t="shared" si="205"/>
        <v>Good</v>
      </c>
      <c r="V2614" s="4" t="str">
        <f t="shared" si="201"/>
        <v>Good</v>
      </c>
      <c r="W2614" s="4"/>
      <c r="X2614" s="4"/>
      <c r="AJ2614" s="4"/>
    </row>
    <row r="2615" spans="1:36">
      <c r="A2615" t="str">
        <f t="shared" si="202"/>
        <v>Mano302614</v>
      </c>
      <c r="B2615">
        <v>2614</v>
      </c>
      <c r="C2615">
        <v>20</v>
      </c>
      <c r="D2615">
        <v>10</v>
      </c>
      <c r="E2615">
        <v>2023</v>
      </c>
      <c r="F2615" s="1">
        <f t="shared" si="203"/>
        <v>45219</v>
      </c>
      <c r="G2615" s="1" t="s">
        <v>18</v>
      </c>
      <c r="H2615" s="2">
        <v>47091</v>
      </c>
      <c r="I2615" t="s">
        <v>49</v>
      </c>
      <c r="J2615">
        <v>3</v>
      </c>
      <c r="K2615">
        <v>50075.47</v>
      </c>
      <c r="L2615" t="s">
        <v>284</v>
      </c>
      <c r="M2615">
        <v>30</v>
      </c>
      <c r="N2615" t="s">
        <v>36</v>
      </c>
      <c r="O2615" s="3" t="s">
        <v>22</v>
      </c>
      <c r="P2615" t="s">
        <v>33</v>
      </c>
      <c r="Q2615" t="s">
        <v>30</v>
      </c>
      <c r="R2615">
        <v>4</v>
      </c>
      <c r="S2615" t="s">
        <v>88</v>
      </c>
      <c r="T2615" s="4">
        <f t="shared" si="204"/>
        <v>150226.41</v>
      </c>
      <c r="U2615" s="4" t="str">
        <f t="shared" si="205"/>
        <v>Good</v>
      </c>
      <c r="V2615" s="4" t="str">
        <f t="shared" si="201"/>
        <v>Good</v>
      </c>
      <c r="W2615" s="4"/>
      <c r="X2615" s="4"/>
      <c r="AJ2615" s="4"/>
    </row>
    <row r="2616" spans="1:36">
      <c r="A2616" t="str">
        <f t="shared" si="202"/>
        <v>Yoge502615</v>
      </c>
      <c r="B2616">
        <v>2615</v>
      </c>
      <c r="C2616">
        <v>21</v>
      </c>
      <c r="D2616">
        <v>10</v>
      </c>
      <c r="E2616">
        <v>2023</v>
      </c>
      <c r="F2616" s="1">
        <f t="shared" si="203"/>
        <v>45220</v>
      </c>
      <c r="G2616" s="1" t="s">
        <v>18</v>
      </c>
      <c r="H2616" s="2">
        <v>47092</v>
      </c>
      <c r="I2616" t="s">
        <v>26</v>
      </c>
      <c r="J2616">
        <v>6</v>
      </c>
      <c r="K2616">
        <v>15608.08</v>
      </c>
      <c r="L2616" t="s">
        <v>276</v>
      </c>
      <c r="M2616">
        <v>50</v>
      </c>
      <c r="N2616" t="s">
        <v>61</v>
      </c>
      <c r="O2616" s="3" t="s">
        <v>28</v>
      </c>
      <c r="P2616" t="s">
        <v>33</v>
      </c>
      <c r="Q2616" t="s">
        <v>24</v>
      </c>
      <c r="R2616">
        <v>3</v>
      </c>
      <c r="S2616" t="s">
        <v>67</v>
      </c>
      <c r="T2616" s="4">
        <f t="shared" si="204"/>
        <v>93648.48</v>
      </c>
      <c r="U2616" s="4" t="str">
        <f t="shared" si="205"/>
        <v>Average</v>
      </c>
      <c r="V2616" s="4" t="str">
        <f t="shared" si="201"/>
        <v>Average</v>
      </c>
      <c r="W2616" s="4"/>
      <c r="X2616" s="4"/>
      <c r="AJ2616" s="4"/>
    </row>
    <row r="2617" spans="1:36">
      <c r="A2617" t="str">
        <f t="shared" si="202"/>
        <v>Vive272616</v>
      </c>
      <c r="B2617">
        <v>2616</v>
      </c>
      <c r="C2617">
        <v>21</v>
      </c>
      <c r="D2617">
        <v>10</v>
      </c>
      <c r="E2617">
        <v>2023</v>
      </c>
      <c r="F2617" s="1">
        <f t="shared" si="203"/>
        <v>45220</v>
      </c>
      <c r="G2617" s="1" t="s">
        <v>18</v>
      </c>
      <c r="H2617" s="2">
        <v>47093</v>
      </c>
      <c r="I2617" t="s">
        <v>43</v>
      </c>
      <c r="J2617">
        <v>9</v>
      </c>
      <c r="K2617">
        <v>40471.01</v>
      </c>
      <c r="L2617" t="s">
        <v>934</v>
      </c>
      <c r="M2617">
        <v>27</v>
      </c>
      <c r="N2617" t="s">
        <v>36</v>
      </c>
      <c r="O2617" s="3" t="s">
        <v>22</v>
      </c>
      <c r="P2617" t="s">
        <v>29</v>
      </c>
      <c r="Q2617" t="s">
        <v>30</v>
      </c>
      <c r="R2617">
        <v>5</v>
      </c>
      <c r="S2617" t="s">
        <v>95</v>
      </c>
      <c r="T2617" s="4">
        <f t="shared" si="204"/>
        <v>364239.09</v>
      </c>
      <c r="U2617" s="4" t="str">
        <f t="shared" si="205"/>
        <v>Good</v>
      </c>
      <c r="V2617" s="4" t="str">
        <f t="shared" si="201"/>
        <v>Excellent</v>
      </c>
      <c r="W2617" s="4"/>
      <c r="X2617" s="4"/>
      <c r="AJ2617" s="4"/>
    </row>
    <row r="2618" spans="1:36">
      <c r="A2618" t="str">
        <f t="shared" si="202"/>
        <v>Sach242617</v>
      </c>
      <c r="B2618">
        <v>2617</v>
      </c>
      <c r="C2618">
        <v>21</v>
      </c>
      <c r="D2618">
        <v>10</v>
      </c>
      <c r="E2618">
        <v>2023</v>
      </c>
      <c r="F2618" s="1">
        <f t="shared" si="203"/>
        <v>45220</v>
      </c>
      <c r="G2618" s="1" t="s">
        <v>18</v>
      </c>
      <c r="H2618" s="2">
        <v>47094</v>
      </c>
      <c r="I2618" t="s">
        <v>38</v>
      </c>
      <c r="J2618">
        <v>1</v>
      </c>
      <c r="K2618">
        <v>19734.13</v>
      </c>
      <c r="L2618" t="s">
        <v>1006</v>
      </c>
      <c r="M2618">
        <v>24</v>
      </c>
      <c r="N2618" t="s">
        <v>36</v>
      </c>
      <c r="O2618" s="3" t="s">
        <v>22</v>
      </c>
      <c r="P2618" t="s">
        <v>40</v>
      </c>
      <c r="Q2618" t="s">
        <v>56</v>
      </c>
      <c r="R2618">
        <v>4</v>
      </c>
      <c r="S2618" t="s">
        <v>99</v>
      </c>
      <c r="T2618" s="4">
        <f t="shared" si="204"/>
        <v>19734.13</v>
      </c>
      <c r="U2618" s="4" t="str">
        <f t="shared" si="205"/>
        <v>Good</v>
      </c>
      <c r="V2618" s="4" t="str">
        <f t="shared" si="201"/>
        <v>Low</v>
      </c>
      <c r="W2618" s="4"/>
      <c r="X2618" s="4"/>
      <c r="AJ2618" s="4"/>
    </row>
    <row r="2619" spans="1:36">
      <c r="A2619" t="str">
        <f t="shared" si="202"/>
        <v>Tapa542618</v>
      </c>
      <c r="B2619">
        <v>2618</v>
      </c>
      <c r="C2619">
        <v>21</v>
      </c>
      <c r="D2619">
        <v>10</v>
      </c>
      <c r="E2619">
        <v>2023</v>
      </c>
      <c r="F2619" s="1">
        <f t="shared" si="203"/>
        <v>45220</v>
      </c>
      <c r="G2619" s="1" t="s">
        <v>18</v>
      </c>
      <c r="H2619" s="2">
        <v>47095</v>
      </c>
      <c r="I2619" t="s">
        <v>26</v>
      </c>
      <c r="J2619">
        <v>3</v>
      </c>
      <c r="K2619">
        <v>34980.97</v>
      </c>
      <c r="L2619" t="s">
        <v>857</v>
      </c>
      <c r="M2619">
        <v>54</v>
      </c>
      <c r="N2619" t="s">
        <v>61</v>
      </c>
      <c r="O2619" s="3" t="s">
        <v>55</v>
      </c>
      <c r="P2619" t="s">
        <v>29</v>
      </c>
      <c r="Q2619" t="s">
        <v>41</v>
      </c>
      <c r="R2619">
        <v>2</v>
      </c>
      <c r="S2619" t="s">
        <v>31</v>
      </c>
      <c r="T2619" s="4">
        <f t="shared" si="204"/>
        <v>104942.91</v>
      </c>
      <c r="U2619" s="4" t="str">
        <f t="shared" si="205"/>
        <v>Average</v>
      </c>
      <c r="V2619" s="4" t="str">
        <f t="shared" si="201"/>
        <v>Good</v>
      </c>
      <c r="W2619" s="4"/>
      <c r="X2619" s="4"/>
      <c r="AJ2619" s="4"/>
    </row>
    <row r="2620" spans="1:36">
      <c r="A2620" t="str">
        <f t="shared" si="202"/>
        <v>Yoge492619</v>
      </c>
      <c r="B2620">
        <v>2619</v>
      </c>
      <c r="C2620">
        <v>22</v>
      </c>
      <c r="D2620">
        <v>10</v>
      </c>
      <c r="E2620">
        <v>2023</v>
      </c>
      <c r="F2620" s="1">
        <f t="shared" si="203"/>
        <v>45221</v>
      </c>
      <c r="G2620" s="1" t="s">
        <v>18</v>
      </c>
      <c r="H2620" s="2">
        <v>47096</v>
      </c>
      <c r="I2620" t="s">
        <v>49</v>
      </c>
      <c r="J2620">
        <v>2</v>
      </c>
      <c r="K2620">
        <v>59978.92</v>
      </c>
      <c r="L2620" t="s">
        <v>978</v>
      </c>
      <c r="M2620">
        <v>49</v>
      </c>
      <c r="N2620" t="s">
        <v>61</v>
      </c>
      <c r="O2620" s="3" t="s">
        <v>22</v>
      </c>
      <c r="P2620" t="s">
        <v>110</v>
      </c>
      <c r="Q2620" t="s">
        <v>41</v>
      </c>
      <c r="R2620">
        <v>5</v>
      </c>
      <c r="S2620" t="s">
        <v>88</v>
      </c>
      <c r="T2620" s="4">
        <f t="shared" si="204"/>
        <v>119957.84</v>
      </c>
      <c r="U2620" s="4" t="str">
        <f t="shared" si="205"/>
        <v>Good</v>
      </c>
      <c r="V2620" s="4" t="str">
        <f t="shared" si="201"/>
        <v>Good</v>
      </c>
      <c r="W2620" s="4"/>
      <c r="X2620" s="4"/>
      <c r="AJ2620" s="4"/>
    </row>
    <row r="2621" spans="1:36">
      <c r="A2621" t="str">
        <f t="shared" si="202"/>
        <v>Bina392620</v>
      </c>
      <c r="B2621">
        <v>2620</v>
      </c>
      <c r="C2621">
        <v>22</v>
      </c>
      <c r="D2621">
        <v>10</v>
      </c>
      <c r="E2621">
        <v>2023</v>
      </c>
      <c r="F2621" s="1">
        <f t="shared" si="203"/>
        <v>45221</v>
      </c>
      <c r="G2621" s="1" t="s">
        <v>18</v>
      </c>
      <c r="H2621" s="2">
        <v>47097</v>
      </c>
      <c r="I2621" t="s">
        <v>43</v>
      </c>
      <c r="J2621">
        <v>8</v>
      </c>
      <c r="K2621">
        <v>69230.070000000007</v>
      </c>
      <c r="L2621" t="s">
        <v>572</v>
      </c>
      <c r="M2621">
        <v>39</v>
      </c>
      <c r="N2621" t="s">
        <v>21</v>
      </c>
      <c r="O2621" s="3" t="s">
        <v>22</v>
      </c>
      <c r="P2621" t="s">
        <v>137</v>
      </c>
      <c r="Q2621" t="s">
        <v>24</v>
      </c>
      <c r="R2621">
        <v>5</v>
      </c>
      <c r="S2621" t="s">
        <v>95</v>
      </c>
      <c r="T2621" s="4">
        <f t="shared" si="204"/>
        <v>553840.56000000006</v>
      </c>
      <c r="U2621" s="4" t="str">
        <f t="shared" si="205"/>
        <v>Good</v>
      </c>
      <c r="V2621" s="4" t="str">
        <f t="shared" si="201"/>
        <v>Excellent</v>
      </c>
      <c r="W2621" s="4"/>
      <c r="X2621" s="4"/>
      <c r="AJ2621" s="4"/>
    </row>
    <row r="2622" spans="1:36">
      <c r="A2622" t="str">
        <f t="shared" si="202"/>
        <v>Reen332621</v>
      </c>
      <c r="B2622">
        <v>2621</v>
      </c>
      <c r="C2622">
        <v>22</v>
      </c>
      <c r="D2622">
        <v>10</v>
      </c>
      <c r="E2622">
        <v>2023</v>
      </c>
      <c r="F2622" s="1">
        <f t="shared" si="203"/>
        <v>45221</v>
      </c>
      <c r="G2622" s="1" t="s">
        <v>18</v>
      </c>
      <c r="H2622" s="2">
        <v>47098</v>
      </c>
      <c r="I2622" t="s">
        <v>19</v>
      </c>
      <c r="J2622">
        <v>7</v>
      </c>
      <c r="K2622">
        <v>29077.59</v>
      </c>
      <c r="L2622" t="s">
        <v>1014</v>
      </c>
      <c r="M2622">
        <v>33</v>
      </c>
      <c r="N2622" t="s">
        <v>21</v>
      </c>
      <c r="O2622" s="3" t="s">
        <v>55</v>
      </c>
      <c r="P2622" t="s">
        <v>29</v>
      </c>
      <c r="Q2622" t="s">
        <v>24</v>
      </c>
      <c r="R2622">
        <v>2</v>
      </c>
      <c r="S2622" t="s">
        <v>37</v>
      </c>
      <c r="T2622" s="4">
        <f t="shared" si="204"/>
        <v>203543.13</v>
      </c>
      <c r="U2622" s="4" t="str">
        <f t="shared" si="205"/>
        <v>Average</v>
      </c>
      <c r="V2622" s="4" t="str">
        <f t="shared" si="201"/>
        <v>Excellent</v>
      </c>
      <c r="W2622" s="4"/>
      <c r="X2622" s="4"/>
      <c r="AJ2622" s="4"/>
    </row>
    <row r="2623" spans="1:36">
      <c r="A2623" t="str">
        <f t="shared" si="202"/>
        <v>Adit412622</v>
      </c>
      <c r="B2623">
        <v>2622</v>
      </c>
      <c r="C2623">
        <v>23</v>
      </c>
      <c r="D2623">
        <v>10</v>
      </c>
      <c r="E2623">
        <v>2023</v>
      </c>
      <c r="F2623" s="1">
        <f t="shared" si="203"/>
        <v>45222</v>
      </c>
      <c r="G2623" s="1" t="s">
        <v>18</v>
      </c>
      <c r="H2623" s="2">
        <v>47099</v>
      </c>
      <c r="I2623" t="s">
        <v>19</v>
      </c>
      <c r="J2623">
        <v>2</v>
      </c>
      <c r="K2623">
        <v>41917.339999999997</v>
      </c>
      <c r="L2623" t="s">
        <v>897</v>
      </c>
      <c r="M2623">
        <v>41</v>
      </c>
      <c r="N2623" t="s">
        <v>21</v>
      </c>
      <c r="O2623" s="3" t="s">
        <v>22</v>
      </c>
      <c r="P2623" t="s">
        <v>132</v>
      </c>
      <c r="Q2623" t="s">
        <v>41</v>
      </c>
      <c r="R2623">
        <v>4</v>
      </c>
      <c r="S2623" t="s">
        <v>25</v>
      </c>
      <c r="T2623" s="4">
        <f t="shared" si="204"/>
        <v>83834.679999999993</v>
      </c>
      <c r="U2623" s="4" t="str">
        <f t="shared" si="205"/>
        <v>Good</v>
      </c>
      <c r="V2623" s="4" t="str">
        <f t="shared" si="201"/>
        <v>Average</v>
      </c>
      <c r="W2623" s="4"/>
      <c r="X2623" s="4"/>
      <c r="AJ2623" s="4"/>
    </row>
    <row r="2624" spans="1:36">
      <c r="A2624" t="str">
        <f t="shared" si="202"/>
        <v>Anja312623</v>
      </c>
      <c r="B2624">
        <v>2623</v>
      </c>
      <c r="C2624">
        <v>23</v>
      </c>
      <c r="D2624">
        <v>10</v>
      </c>
      <c r="E2624">
        <v>2023</v>
      </c>
      <c r="F2624" s="1">
        <f t="shared" si="203"/>
        <v>45222</v>
      </c>
      <c r="G2624" s="1" t="s">
        <v>18</v>
      </c>
      <c r="H2624" s="2">
        <v>47100</v>
      </c>
      <c r="I2624" t="s">
        <v>49</v>
      </c>
      <c r="J2624">
        <v>6</v>
      </c>
      <c r="K2624">
        <v>40677.879999999997</v>
      </c>
      <c r="L2624" t="s">
        <v>967</v>
      </c>
      <c r="M2624">
        <v>31</v>
      </c>
      <c r="N2624" t="s">
        <v>21</v>
      </c>
      <c r="O2624" s="3" t="s">
        <v>22</v>
      </c>
      <c r="P2624" t="s">
        <v>51</v>
      </c>
      <c r="Q2624" t="s">
        <v>41</v>
      </c>
      <c r="R2624">
        <v>5</v>
      </c>
      <c r="S2624" t="s">
        <v>88</v>
      </c>
      <c r="T2624" s="4">
        <f t="shared" si="204"/>
        <v>244067.27999999997</v>
      </c>
      <c r="U2624" s="4" t="str">
        <f t="shared" si="205"/>
        <v>Good</v>
      </c>
      <c r="V2624" s="4" t="str">
        <f t="shared" si="201"/>
        <v>Excellent</v>
      </c>
      <c r="W2624" s="4"/>
      <c r="X2624" s="4"/>
      <c r="AJ2624" s="4"/>
    </row>
    <row r="2625" spans="1:36">
      <c r="A2625" t="str">
        <f t="shared" si="202"/>
        <v>Roha282624</v>
      </c>
      <c r="B2625">
        <v>2624</v>
      </c>
      <c r="C2625">
        <v>23</v>
      </c>
      <c r="D2625">
        <v>10</v>
      </c>
      <c r="E2625">
        <v>2023</v>
      </c>
      <c r="F2625" s="1">
        <f t="shared" si="203"/>
        <v>45222</v>
      </c>
      <c r="G2625" s="1" t="s">
        <v>18</v>
      </c>
      <c r="H2625" s="2">
        <v>47101</v>
      </c>
      <c r="I2625" t="s">
        <v>43</v>
      </c>
      <c r="J2625">
        <v>3</v>
      </c>
      <c r="K2625">
        <v>67264.09</v>
      </c>
      <c r="L2625" t="s">
        <v>1015</v>
      </c>
      <c r="M2625">
        <v>28</v>
      </c>
      <c r="N2625" t="s">
        <v>36</v>
      </c>
      <c r="O2625" s="3" t="s">
        <v>55</v>
      </c>
      <c r="P2625" t="s">
        <v>33</v>
      </c>
      <c r="Q2625" t="s">
        <v>24</v>
      </c>
      <c r="R2625">
        <v>2</v>
      </c>
      <c r="S2625" t="s">
        <v>46</v>
      </c>
      <c r="T2625" s="4">
        <f t="shared" si="204"/>
        <v>201792.27</v>
      </c>
      <c r="U2625" s="4" t="str">
        <f t="shared" si="205"/>
        <v>Average</v>
      </c>
      <c r="V2625" s="4" t="str">
        <f t="shared" ref="V2625:V2688" si="206">IF(T2625&gt;200000,"Excellent",IF(T2625&gt;100000,"Good",IF(T2625&gt;50000,"Average","Low")))</f>
        <v>Excellent</v>
      </c>
      <c r="W2625" s="4"/>
      <c r="X2625" s="4"/>
      <c r="AJ2625" s="4"/>
    </row>
    <row r="2626" spans="1:36">
      <c r="A2626" t="str">
        <f t="shared" ref="A2626:A2689" si="207">LEFT(L2626,4)&amp;M2626&amp;B2626</f>
        <v>Tapa362625</v>
      </c>
      <c r="B2626">
        <v>2625</v>
      </c>
      <c r="C2626">
        <v>24</v>
      </c>
      <c r="D2626">
        <v>10</v>
      </c>
      <c r="E2626">
        <v>2023</v>
      </c>
      <c r="F2626" s="1">
        <f t="shared" si="203"/>
        <v>45223</v>
      </c>
      <c r="G2626" s="1" t="s">
        <v>18</v>
      </c>
      <c r="H2626" s="2">
        <v>47102</v>
      </c>
      <c r="I2626" t="s">
        <v>38</v>
      </c>
      <c r="J2626">
        <v>8</v>
      </c>
      <c r="K2626">
        <v>38715.019999999997</v>
      </c>
      <c r="L2626" t="s">
        <v>376</v>
      </c>
      <c r="M2626">
        <v>36</v>
      </c>
      <c r="N2626" t="s">
        <v>21</v>
      </c>
      <c r="O2626" s="3" t="s">
        <v>22</v>
      </c>
      <c r="P2626" t="s">
        <v>29</v>
      </c>
      <c r="Q2626" t="s">
        <v>30</v>
      </c>
      <c r="R2626">
        <v>4</v>
      </c>
      <c r="S2626" t="s">
        <v>99</v>
      </c>
      <c r="T2626" s="4">
        <f t="shared" si="204"/>
        <v>309720.15999999997</v>
      </c>
      <c r="U2626" s="4" t="str">
        <f t="shared" si="205"/>
        <v>Good</v>
      </c>
      <c r="V2626" s="4" t="str">
        <f t="shared" si="206"/>
        <v>Excellent</v>
      </c>
      <c r="W2626" s="4"/>
      <c r="X2626" s="4"/>
      <c r="AJ2626" s="4"/>
    </row>
    <row r="2627" spans="1:36">
      <c r="A2627" t="str">
        <f t="shared" si="207"/>
        <v>Raje402626</v>
      </c>
      <c r="B2627">
        <v>2626</v>
      </c>
      <c r="C2627">
        <v>24</v>
      </c>
      <c r="D2627">
        <v>10</v>
      </c>
      <c r="E2627">
        <v>2023</v>
      </c>
      <c r="F2627" s="1">
        <f t="shared" ref="F2627:F2690" si="208">DATE(E2627,D2627,C2627)</f>
        <v>45223</v>
      </c>
      <c r="G2627" s="1" t="s">
        <v>18</v>
      </c>
      <c r="H2627" s="2">
        <v>47103</v>
      </c>
      <c r="I2627" t="s">
        <v>26</v>
      </c>
      <c r="J2627">
        <v>3</v>
      </c>
      <c r="K2627">
        <v>51946.37</v>
      </c>
      <c r="L2627" t="s">
        <v>564</v>
      </c>
      <c r="M2627">
        <v>40</v>
      </c>
      <c r="N2627" t="s">
        <v>21</v>
      </c>
      <c r="O2627" s="3" t="s">
        <v>28</v>
      </c>
      <c r="P2627" t="s">
        <v>33</v>
      </c>
      <c r="Q2627" t="s">
        <v>24</v>
      </c>
      <c r="R2627">
        <v>3</v>
      </c>
      <c r="S2627" t="s">
        <v>31</v>
      </c>
      <c r="T2627" s="4">
        <f t="shared" ref="T2627:T2690" si="209">J2627*K2627</f>
        <v>155839.11000000002</v>
      </c>
      <c r="U2627" s="4" t="str">
        <f t="shared" ref="U2627:U2690" si="210">IF(R2627&gt;=4,"Good","Average")</f>
        <v>Average</v>
      </c>
      <c r="V2627" s="4" t="str">
        <f t="shared" si="206"/>
        <v>Good</v>
      </c>
      <c r="W2627" s="4"/>
      <c r="X2627" s="4"/>
      <c r="AJ2627" s="4"/>
    </row>
    <row r="2628" spans="1:36">
      <c r="A2628" t="str">
        <f t="shared" si="207"/>
        <v>Anan512627</v>
      </c>
      <c r="B2628">
        <v>2627</v>
      </c>
      <c r="C2628">
        <v>24</v>
      </c>
      <c r="D2628">
        <v>10</v>
      </c>
      <c r="E2628">
        <v>2023</v>
      </c>
      <c r="F2628" s="1">
        <f t="shared" si="208"/>
        <v>45223</v>
      </c>
      <c r="G2628" s="1" t="s">
        <v>18</v>
      </c>
      <c r="H2628" s="2">
        <v>47104</v>
      </c>
      <c r="I2628" t="s">
        <v>43</v>
      </c>
      <c r="J2628">
        <v>9</v>
      </c>
      <c r="K2628">
        <v>65307.35</v>
      </c>
      <c r="L2628" t="s">
        <v>112</v>
      </c>
      <c r="M2628">
        <v>51</v>
      </c>
      <c r="N2628" t="s">
        <v>61</v>
      </c>
      <c r="O2628" s="3" t="s">
        <v>22</v>
      </c>
      <c r="P2628" t="s">
        <v>77</v>
      </c>
      <c r="Q2628" t="s">
        <v>56</v>
      </c>
      <c r="R2628">
        <v>5</v>
      </c>
      <c r="S2628" t="s">
        <v>95</v>
      </c>
      <c r="T2628" s="4">
        <f t="shared" si="209"/>
        <v>587766.15</v>
      </c>
      <c r="U2628" s="4" t="str">
        <f t="shared" si="210"/>
        <v>Good</v>
      </c>
      <c r="V2628" s="4" t="str">
        <f t="shared" si="206"/>
        <v>Excellent</v>
      </c>
      <c r="W2628" s="4"/>
      <c r="X2628" s="4"/>
      <c r="AJ2628" s="4"/>
    </row>
    <row r="2629" spans="1:36">
      <c r="A2629" t="str">
        <f t="shared" si="207"/>
        <v>Umes572628</v>
      </c>
      <c r="B2629">
        <v>2628</v>
      </c>
      <c r="C2629">
        <v>24</v>
      </c>
      <c r="D2629">
        <v>10</v>
      </c>
      <c r="E2629">
        <v>2023</v>
      </c>
      <c r="F2629" s="1">
        <f t="shared" si="208"/>
        <v>45223</v>
      </c>
      <c r="G2629" s="1" t="s">
        <v>18</v>
      </c>
      <c r="H2629" s="2">
        <v>47105</v>
      </c>
      <c r="I2629" t="s">
        <v>19</v>
      </c>
      <c r="J2629">
        <v>1</v>
      </c>
      <c r="K2629">
        <v>32402.71</v>
      </c>
      <c r="L2629" t="s">
        <v>626</v>
      </c>
      <c r="M2629">
        <v>57</v>
      </c>
      <c r="N2629" t="s">
        <v>61</v>
      </c>
      <c r="O2629" s="3" t="s">
        <v>28</v>
      </c>
      <c r="P2629" t="s">
        <v>150</v>
      </c>
      <c r="Q2629" t="s">
        <v>24</v>
      </c>
      <c r="R2629">
        <v>3</v>
      </c>
      <c r="S2629" t="s">
        <v>84</v>
      </c>
      <c r="T2629" s="4">
        <f t="shared" si="209"/>
        <v>32402.71</v>
      </c>
      <c r="U2629" s="4" t="str">
        <f t="shared" si="210"/>
        <v>Average</v>
      </c>
      <c r="V2629" s="4" t="str">
        <f t="shared" si="206"/>
        <v>Low</v>
      </c>
      <c r="W2629" s="4"/>
      <c r="X2629" s="4"/>
      <c r="AJ2629" s="4"/>
    </row>
    <row r="2630" spans="1:36">
      <c r="A2630" t="str">
        <f t="shared" si="207"/>
        <v>Mano302629</v>
      </c>
      <c r="B2630">
        <v>2629</v>
      </c>
      <c r="C2630">
        <v>25</v>
      </c>
      <c r="D2630">
        <v>10</v>
      </c>
      <c r="E2630">
        <v>2023</v>
      </c>
      <c r="F2630" s="1">
        <f t="shared" si="208"/>
        <v>45224</v>
      </c>
      <c r="G2630" s="1" t="s">
        <v>18</v>
      </c>
      <c r="H2630" s="2">
        <v>47106</v>
      </c>
      <c r="I2630" t="s">
        <v>49</v>
      </c>
      <c r="J2630">
        <v>5</v>
      </c>
      <c r="K2630">
        <v>64127.33</v>
      </c>
      <c r="L2630" t="s">
        <v>284</v>
      </c>
      <c r="M2630">
        <v>30</v>
      </c>
      <c r="N2630" t="s">
        <v>36</v>
      </c>
      <c r="O2630" s="3" t="s">
        <v>28</v>
      </c>
      <c r="P2630" t="s">
        <v>23</v>
      </c>
      <c r="Q2630" t="s">
        <v>24</v>
      </c>
      <c r="R2630">
        <v>3</v>
      </c>
      <c r="S2630" t="s">
        <v>52</v>
      </c>
      <c r="T2630" s="4">
        <f t="shared" si="209"/>
        <v>320636.65000000002</v>
      </c>
      <c r="U2630" s="4" t="str">
        <f t="shared" si="210"/>
        <v>Average</v>
      </c>
      <c r="V2630" s="4" t="str">
        <f t="shared" si="206"/>
        <v>Excellent</v>
      </c>
      <c r="W2630" s="4"/>
      <c r="X2630" s="4"/>
      <c r="AJ2630" s="4"/>
    </row>
    <row r="2631" spans="1:36">
      <c r="A2631" t="str">
        <f t="shared" si="207"/>
        <v>Kris562630</v>
      </c>
      <c r="B2631">
        <v>2630</v>
      </c>
      <c r="C2631">
        <v>25</v>
      </c>
      <c r="D2631">
        <v>10</v>
      </c>
      <c r="E2631">
        <v>2023</v>
      </c>
      <c r="F2631" s="1">
        <f t="shared" si="208"/>
        <v>45224</v>
      </c>
      <c r="G2631" s="1" t="s">
        <v>18</v>
      </c>
      <c r="H2631" s="2">
        <v>47107</v>
      </c>
      <c r="I2631" t="s">
        <v>49</v>
      </c>
      <c r="J2631">
        <v>3</v>
      </c>
      <c r="K2631">
        <v>65047.37</v>
      </c>
      <c r="L2631" t="s">
        <v>245</v>
      </c>
      <c r="M2631">
        <v>56</v>
      </c>
      <c r="N2631" t="s">
        <v>61</v>
      </c>
      <c r="O2631" s="3" t="s">
        <v>22</v>
      </c>
      <c r="P2631" t="s">
        <v>150</v>
      </c>
      <c r="Q2631" t="s">
        <v>24</v>
      </c>
      <c r="R2631">
        <v>5</v>
      </c>
      <c r="S2631" t="s">
        <v>52</v>
      </c>
      <c r="T2631" s="4">
        <f t="shared" si="209"/>
        <v>195142.11000000002</v>
      </c>
      <c r="U2631" s="4" t="str">
        <f t="shared" si="210"/>
        <v>Good</v>
      </c>
      <c r="V2631" s="4" t="str">
        <f t="shared" si="206"/>
        <v>Good</v>
      </c>
      <c r="W2631" s="4"/>
      <c r="X2631" s="4"/>
      <c r="AJ2631" s="4"/>
    </row>
    <row r="2632" spans="1:36">
      <c r="A2632" t="str">
        <f t="shared" si="207"/>
        <v>Jyot452631</v>
      </c>
      <c r="B2632">
        <v>2631</v>
      </c>
      <c r="C2632">
        <v>25</v>
      </c>
      <c r="D2632">
        <v>10</v>
      </c>
      <c r="E2632">
        <v>2023</v>
      </c>
      <c r="F2632" s="1">
        <f t="shared" si="208"/>
        <v>45224</v>
      </c>
      <c r="G2632" s="1" t="s">
        <v>18</v>
      </c>
      <c r="H2632" s="2">
        <v>47108</v>
      </c>
      <c r="I2632" t="s">
        <v>26</v>
      </c>
      <c r="J2632">
        <v>6</v>
      </c>
      <c r="K2632">
        <v>65839.75</v>
      </c>
      <c r="L2632" t="s">
        <v>950</v>
      </c>
      <c r="M2632">
        <v>45</v>
      </c>
      <c r="N2632" t="s">
        <v>21</v>
      </c>
      <c r="O2632" s="3" t="s">
        <v>28</v>
      </c>
      <c r="P2632" t="s">
        <v>33</v>
      </c>
      <c r="Q2632" t="s">
        <v>24</v>
      </c>
      <c r="R2632">
        <v>3</v>
      </c>
      <c r="S2632" t="s">
        <v>31</v>
      </c>
      <c r="T2632" s="4">
        <f t="shared" si="209"/>
        <v>395038.5</v>
      </c>
      <c r="U2632" s="4" t="str">
        <f t="shared" si="210"/>
        <v>Average</v>
      </c>
      <c r="V2632" s="4" t="str">
        <f t="shared" si="206"/>
        <v>Excellent</v>
      </c>
      <c r="W2632" s="4"/>
      <c r="X2632" s="4"/>
      <c r="AJ2632" s="4"/>
    </row>
    <row r="2633" spans="1:36">
      <c r="A2633" t="str">
        <f t="shared" si="207"/>
        <v>Priy572632</v>
      </c>
      <c r="B2633">
        <v>2632</v>
      </c>
      <c r="C2633">
        <v>26</v>
      </c>
      <c r="D2633">
        <v>10</v>
      </c>
      <c r="E2633">
        <v>2023</v>
      </c>
      <c r="F2633" s="1">
        <f t="shared" si="208"/>
        <v>45225</v>
      </c>
      <c r="G2633" s="1" t="s">
        <v>18</v>
      </c>
      <c r="H2633" s="2">
        <v>47109</v>
      </c>
      <c r="I2633" t="s">
        <v>49</v>
      </c>
      <c r="J2633">
        <v>2</v>
      </c>
      <c r="K2633">
        <v>26226.77</v>
      </c>
      <c r="L2633" t="s">
        <v>212</v>
      </c>
      <c r="M2633">
        <v>57</v>
      </c>
      <c r="N2633" t="s">
        <v>61</v>
      </c>
      <c r="O2633" s="3" t="s">
        <v>28</v>
      </c>
      <c r="P2633" t="s">
        <v>29</v>
      </c>
      <c r="Q2633" t="s">
        <v>24</v>
      </c>
      <c r="R2633">
        <v>3</v>
      </c>
      <c r="S2633" t="s">
        <v>88</v>
      </c>
      <c r="T2633" s="4">
        <f t="shared" si="209"/>
        <v>52453.54</v>
      </c>
      <c r="U2633" s="4" t="str">
        <f t="shared" si="210"/>
        <v>Average</v>
      </c>
      <c r="V2633" s="4" t="str">
        <f t="shared" si="206"/>
        <v>Average</v>
      </c>
      <c r="W2633" s="4"/>
      <c r="X2633" s="4"/>
      <c r="AJ2633" s="4"/>
    </row>
    <row r="2634" spans="1:36">
      <c r="A2634" t="str">
        <f t="shared" si="207"/>
        <v>Lata332633</v>
      </c>
      <c r="B2634">
        <v>2633</v>
      </c>
      <c r="C2634">
        <v>26</v>
      </c>
      <c r="D2634">
        <v>10</v>
      </c>
      <c r="E2634">
        <v>2023</v>
      </c>
      <c r="F2634" s="1">
        <f t="shared" si="208"/>
        <v>45225</v>
      </c>
      <c r="G2634" s="1" t="s">
        <v>18</v>
      </c>
      <c r="H2634" s="2">
        <v>47110</v>
      </c>
      <c r="I2634" t="s">
        <v>49</v>
      </c>
      <c r="J2634">
        <v>9</v>
      </c>
      <c r="K2634">
        <v>34021.339999999997</v>
      </c>
      <c r="L2634" t="s">
        <v>577</v>
      </c>
      <c r="M2634">
        <v>33</v>
      </c>
      <c r="N2634" t="s">
        <v>21</v>
      </c>
      <c r="O2634" s="3" t="s">
        <v>55</v>
      </c>
      <c r="P2634" t="s">
        <v>66</v>
      </c>
      <c r="Q2634" t="s">
        <v>24</v>
      </c>
      <c r="R2634">
        <v>2</v>
      </c>
      <c r="S2634" t="s">
        <v>88</v>
      </c>
      <c r="T2634" s="4">
        <f t="shared" si="209"/>
        <v>306192.05999999994</v>
      </c>
      <c r="U2634" s="4" t="str">
        <f t="shared" si="210"/>
        <v>Average</v>
      </c>
      <c r="V2634" s="4" t="str">
        <f t="shared" si="206"/>
        <v>Excellent</v>
      </c>
      <c r="W2634" s="4"/>
      <c r="X2634" s="4"/>
      <c r="AJ2634" s="4"/>
    </row>
    <row r="2635" spans="1:36">
      <c r="A2635" t="str">
        <f t="shared" si="207"/>
        <v>Pooj452634</v>
      </c>
      <c r="B2635">
        <v>2634</v>
      </c>
      <c r="C2635">
        <v>26</v>
      </c>
      <c r="D2635">
        <v>10</v>
      </c>
      <c r="E2635">
        <v>2023</v>
      </c>
      <c r="F2635" s="1">
        <f t="shared" si="208"/>
        <v>45225</v>
      </c>
      <c r="G2635" s="1" t="s">
        <v>18</v>
      </c>
      <c r="H2635" s="2">
        <v>47111</v>
      </c>
      <c r="I2635" t="s">
        <v>43</v>
      </c>
      <c r="J2635">
        <v>6</v>
      </c>
      <c r="K2635">
        <v>62223.75</v>
      </c>
      <c r="L2635" t="s">
        <v>960</v>
      </c>
      <c r="M2635">
        <v>45</v>
      </c>
      <c r="N2635" t="s">
        <v>21</v>
      </c>
      <c r="O2635" s="3" t="s">
        <v>55</v>
      </c>
      <c r="P2635" t="s">
        <v>29</v>
      </c>
      <c r="Q2635" t="s">
        <v>30</v>
      </c>
      <c r="R2635">
        <v>2</v>
      </c>
      <c r="S2635" t="s">
        <v>46</v>
      </c>
      <c r="T2635" s="4">
        <f t="shared" si="209"/>
        <v>373342.5</v>
      </c>
      <c r="U2635" s="4" t="str">
        <f t="shared" si="210"/>
        <v>Average</v>
      </c>
      <c r="V2635" s="4" t="str">
        <f t="shared" si="206"/>
        <v>Excellent</v>
      </c>
      <c r="W2635" s="4"/>
      <c r="X2635" s="4"/>
      <c r="AJ2635" s="4"/>
    </row>
    <row r="2636" spans="1:36">
      <c r="A2636" t="str">
        <f t="shared" si="207"/>
        <v>Nami212635</v>
      </c>
      <c r="B2636">
        <v>2635</v>
      </c>
      <c r="C2636">
        <v>27</v>
      </c>
      <c r="D2636">
        <v>10</v>
      </c>
      <c r="E2636">
        <v>2023</v>
      </c>
      <c r="F2636" s="1">
        <f t="shared" si="208"/>
        <v>45226</v>
      </c>
      <c r="G2636" s="1" t="s">
        <v>18</v>
      </c>
      <c r="H2636" s="2">
        <v>47112</v>
      </c>
      <c r="I2636" t="s">
        <v>38</v>
      </c>
      <c r="J2636">
        <v>7</v>
      </c>
      <c r="K2636">
        <v>31549.71</v>
      </c>
      <c r="L2636" t="s">
        <v>990</v>
      </c>
      <c r="M2636">
        <v>21</v>
      </c>
      <c r="N2636" t="s">
        <v>36</v>
      </c>
      <c r="O2636" s="3" t="s">
        <v>22</v>
      </c>
      <c r="P2636" t="s">
        <v>132</v>
      </c>
      <c r="Q2636" t="s">
        <v>24</v>
      </c>
      <c r="R2636">
        <v>4</v>
      </c>
      <c r="S2636" t="s">
        <v>48</v>
      </c>
      <c r="T2636" s="4">
        <f t="shared" si="209"/>
        <v>220847.97</v>
      </c>
      <c r="U2636" s="4" t="str">
        <f t="shared" si="210"/>
        <v>Good</v>
      </c>
      <c r="V2636" s="4" t="str">
        <f t="shared" si="206"/>
        <v>Excellent</v>
      </c>
      <c r="W2636" s="4"/>
      <c r="X2636" s="4"/>
      <c r="AJ2636" s="4"/>
    </row>
    <row r="2637" spans="1:36">
      <c r="A2637" t="str">
        <f t="shared" si="207"/>
        <v>Kira452636</v>
      </c>
      <c r="B2637">
        <v>2636</v>
      </c>
      <c r="C2637">
        <v>27</v>
      </c>
      <c r="D2637">
        <v>10</v>
      </c>
      <c r="E2637">
        <v>2023</v>
      </c>
      <c r="F2637" s="1">
        <f t="shared" si="208"/>
        <v>45226</v>
      </c>
      <c r="G2637" s="1" t="s">
        <v>18</v>
      </c>
      <c r="H2637" s="2">
        <v>47113</v>
      </c>
      <c r="I2637" t="s">
        <v>26</v>
      </c>
      <c r="J2637">
        <v>5</v>
      </c>
      <c r="K2637">
        <v>46015.18</v>
      </c>
      <c r="L2637" t="s">
        <v>425</v>
      </c>
      <c r="M2637">
        <v>45</v>
      </c>
      <c r="N2637" t="s">
        <v>21</v>
      </c>
      <c r="O2637" s="3" t="s">
        <v>22</v>
      </c>
      <c r="P2637" t="s">
        <v>110</v>
      </c>
      <c r="Q2637" t="s">
        <v>41</v>
      </c>
      <c r="R2637">
        <v>5</v>
      </c>
      <c r="S2637" t="s">
        <v>31</v>
      </c>
      <c r="T2637" s="4">
        <f t="shared" si="209"/>
        <v>230075.9</v>
      </c>
      <c r="U2637" s="4" t="str">
        <f t="shared" si="210"/>
        <v>Good</v>
      </c>
      <c r="V2637" s="4" t="str">
        <f t="shared" si="206"/>
        <v>Excellent</v>
      </c>
      <c r="W2637" s="4"/>
      <c r="X2637" s="4"/>
      <c r="AJ2637" s="4"/>
    </row>
    <row r="2638" spans="1:36">
      <c r="A2638" t="str">
        <f t="shared" si="207"/>
        <v>Moni292637</v>
      </c>
      <c r="B2638">
        <v>2637</v>
      </c>
      <c r="C2638">
        <v>27</v>
      </c>
      <c r="D2638">
        <v>10</v>
      </c>
      <c r="E2638">
        <v>2023</v>
      </c>
      <c r="F2638" s="1">
        <f t="shared" si="208"/>
        <v>45226</v>
      </c>
      <c r="G2638" s="1" t="s">
        <v>18</v>
      </c>
      <c r="H2638" s="2">
        <v>47114</v>
      </c>
      <c r="I2638" t="s">
        <v>43</v>
      </c>
      <c r="J2638">
        <v>9</v>
      </c>
      <c r="K2638">
        <v>17083.27</v>
      </c>
      <c r="L2638" t="s">
        <v>946</v>
      </c>
      <c r="M2638">
        <v>29</v>
      </c>
      <c r="N2638" t="s">
        <v>36</v>
      </c>
      <c r="O2638" s="3" t="s">
        <v>22</v>
      </c>
      <c r="P2638" t="s">
        <v>117</v>
      </c>
      <c r="Q2638" t="s">
        <v>24</v>
      </c>
      <c r="R2638">
        <v>4</v>
      </c>
      <c r="S2638" t="s">
        <v>46</v>
      </c>
      <c r="T2638" s="4">
        <f t="shared" si="209"/>
        <v>153749.43</v>
      </c>
      <c r="U2638" s="4" t="str">
        <f t="shared" si="210"/>
        <v>Good</v>
      </c>
      <c r="V2638" s="4" t="str">
        <f t="shared" si="206"/>
        <v>Good</v>
      </c>
      <c r="W2638" s="4"/>
      <c r="X2638" s="4"/>
      <c r="AJ2638" s="4"/>
    </row>
    <row r="2639" spans="1:36">
      <c r="A2639" t="str">
        <f t="shared" si="207"/>
        <v>Neet332638</v>
      </c>
      <c r="B2639">
        <v>2638</v>
      </c>
      <c r="C2639">
        <v>28</v>
      </c>
      <c r="D2639">
        <v>10</v>
      </c>
      <c r="E2639">
        <v>2023</v>
      </c>
      <c r="F2639" s="1">
        <f t="shared" si="208"/>
        <v>45227</v>
      </c>
      <c r="G2639" s="1" t="s">
        <v>18</v>
      </c>
      <c r="H2639" s="2">
        <v>47115</v>
      </c>
      <c r="I2639" t="s">
        <v>38</v>
      </c>
      <c r="J2639">
        <v>1</v>
      </c>
      <c r="K2639">
        <v>13376.5</v>
      </c>
      <c r="L2639" t="s">
        <v>828</v>
      </c>
      <c r="M2639">
        <v>33</v>
      </c>
      <c r="N2639" t="s">
        <v>21</v>
      </c>
      <c r="O2639" s="3" t="s">
        <v>55</v>
      </c>
      <c r="P2639" t="s">
        <v>64</v>
      </c>
      <c r="Q2639" t="s">
        <v>30</v>
      </c>
      <c r="R2639">
        <v>2</v>
      </c>
      <c r="S2639" t="s">
        <v>48</v>
      </c>
      <c r="T2639" s="4">
        <f t="shared" si="209"/>
        <v>13376.5</v>
      </c>
      <c r="U2639" s="4" t="str">
        <f t="shared" si="210"/>
        <v>Average</v>
      </c>
      <c r="V2639" s="4" t="str">
        <f t="shared" si="206"/>
        <v>Low</v>
      </c>
      <c r="W2639" s="4"/>
      <c r="X2639" s="4"/>
      <c r="AJ2639" s="4"/>
    </row>
    <row r="2640" spans="1:36">
      <c r="A2640" t="str">
        <f t="shared" si="207"/>
        <v>Anit532639</v>
      </c>
      <c r="B2640">
        <v>2639</v>
      </c>
      <c r="C2640">
        <v>28</v>
      </c>
      <c r="D2640">
        <v>10</v>
      </c>
      <c r="E2640">
        <v>2023</v>
      </c>
      <c r="F2640" s="1">
        <f t="shared" si="208"/>
        <v>45227</v>
      </c>
      <c r="G2640" s="1" t="s">
        <v>18</v>
      </c>
      <c r="H2640" s="2">
        <v>47116</v>
      </c>
      <c r="I2640" t="s">
        <v>43</v>
      </c>
      <c r="J2640">
        <v>5</v>
      </c>
      <c r="K2640">
        <v>34719.64</v>
      </c>
      <c r="L2640" t="s">
        <v>407</v>
      </c>
      <c r="M2640">
        <v>53</v>
      </c>
      <c r="N2640" t="s">
        <v>61</v>
      </c>
      <c r="O2640" s="3" t="s">
        <v>55</v>
      </c>
      <c r="P2640" t="s">
        <v>23</v>
      </c>
      <c r="Q2640" t="s">
        <v>56</v>
      </c>
      <c r="R2640">
        <v>2</v>
      </c>
      <c r="S2640" t="s">
        <v>57</v>
      </c>
      <c r="T2640" s="4">
        <f t="shared" si="209"/>
        <v>173598.2</v>
      </c>
      <c r="U2640" s="4" t="str">
        <f t="shared" si="210"/>
        <v>Average</v>
      </c>
      <c r="V2640" s="4" t="str">
        <f t="shared" si="206"/>
        <v>Good</v>
      </c>
      <c r="W2640" s="4"/>
      <c r="X2640" s="4"/>
      <c r="AJ2640" s="4"/>
    </row>
    <row r="2641" spans="1:36">
      <c r="A2641" t="str">
        <f t="shared" si="207"/>
        <v>Ayes372640</v>
      </c>
      <c r="B2641">
        <v>2640</v>
      </c>
      <c r="C2641">
        <v>28</v>
      </c>
      <c r="D2641">
        <v>10</v>
      </c>
      <c r="E2641">
        <v>2023</v>
      </c>
      <c r="F2641" s="1">
        <f t="shared" si="208"/>
        <v>45227</v>
      </c>
      <c r="G2641" s="1" t="s">
        <v>18</v>
      </c>
      <c r="H2641" s="2">
        <v>47117</v>
      </c>
      <c r="I2641" t="s">
        <v>43</v>
      </c>
      <c r="J2641">
        <v>6</v>
      </c>
      <c r="K2641">
        <v>44734.99</v>
      </c>
      <c r="L2641" t="s">
        <v>412</v>
      </c>
      <c r="M2641">
        <v>37</v>
      </c>
      <c r="N2641" t="s">
        <v>21</v>
      </c>
      <c r="O2641" s="3" t="s">
        <v>22</v>
      </c>
      <c r="P2641" t="s">
        <v>64</v>
      </c>
      <c r="Q2641" t="s">
        <v>41</v>
      </c>
      <c r="R2641">
        <v>5</v>
      </c>
      <c r="S2641" t="s">
        <v>57</v>
      </c>
      <c r="T2641" s="4">
        <f t="shared" si="209"/>
        <v>268409.94</v>
      </c>
      <c r="U2641" s="4" t="str">
        <f t="shared" si="210"/>
        <v>Good</v>
      </c>
      <c r="V2641" s="4" t="str">
        <f t="shared" si="206"/>
        <v>Excellent</v>
      </c>
      <c r="W2641" s="4"/>
      <c r="X2641" s="4"/>
      <c r="AJ2641" s="4"/>
    </row>
    <row r="2642" spans="1:36">
      <c r="A2642" t="str">
        <f t="shared" si="207"/>
        <v>Vija432641</v>
      </c>
      <c r="B2642">
        <v>2641</v>
      </c>
      <c r="C2642">
        <v>28</v>
      </c>
      <c r="D2642">
        <v>10</v>
      </c>
      <c r="E2642">
        <v>2023</v>
      </c>
      <c r="F2642" s="1">
        <f t="shared" si="208"/>
        <v>45227</v>
      </c>
      <c r="G2642" s="1" t="s">
        <v>18</v>
      </c>
      <c r="H2642" s="2">
        <v>47118</v>
      </c>
      <c r="I2642" t="s">
        <v>49</v>
      </c>
      <c r="J2642">
        <v>7</v>
      </c>
      <c r="K2642">
        <v>33561.949999999997</v>
      </c>
      <c r="L2642" t="s">
        <v>507</v>
      </c>
      <c r="M2642">
        <v>43</v>
      </c>
      <c r="N2642" t="s">
        <v>21</v>
      </c>
      <c r="O2642" s="3" t="s">
        <v>22</v>
      </c>
      <c r="P2642" t="s">
        <v>33</v>
      </c>
      <c r="Q2642" t="s">
        <v>24</v>
      </c>
      <c r="R2642">
        <v>5</v>
      </c>
      <c r="S2642" t="s">
        <v>88</v>
      </c>
      <c r="T2642" s="4">
        <f t="shared" si="209"/>
        <v>234933.64999999997</v>
      </c>
      <c r="U2642" s="4" t="str">
        <f t="shared" si="210"/>
        <v>Good</v>
      </c>
      <c r="V2642" s="4" t="str">
        <f t="shared" si="206"/>
        <v>Excellent</v>
      </c>
      <c r="W2642" s="4"/>
      <c r="X2642" s="4"/>
      <c r="AJ2642" s="4"/>
    </row>
    <row r="2643" spans="1:36">
      <c r="A2643" t="str">
        <f t="shared" si="207"/>
        <v>Suni432642</v>
      </c>
      <c r="B2643">
        <v>2642</v>
      </c>
      <c r="C2643">
        <v>29</v>
      </c>
      <c r="D2643">
        <v>10</v>
      </c>
      <c r="E2643">
        <v>2023</v>
      </c>
      <c r="F2643" s="1">
        <f t="shared" si="208"/>
        <v>45228</v>
      </c>
      <c r="G2643" s="1" t="s">
        <v>18</v>
      </c>
      <c r="H2643" s="2">
        <v>47119</v>
      </c>
      <c r="I2643" t="s">
        <v>38</v>
      </c>
      <c r="J2643">
        <v>4</v>
      </c>
      <c r="K2643">
        <v>44664.15</v>
      </c>
      <c r="L2643" t="s">
        <v>653</v>
      </c>
      <c r="M2643">
        <v>43</v>
      </c>
      <c r="N2643" t="s">
        <v>21</v>
      </c>
      <c r="O2643" s="3" t="s">
        <v>55</v>
      </c>
      <c r="P2643" t="s">
        <v>150</v>
      </c>
      <c r="Q2643" t="s">
        <v>24</v>
      </c>
      <c r="R2643">
        <v>2</v>
      </c>
      <c r="S2643" t="s">
        <v>42</v>
      </c>
      <c r="T2643" s="4">
        <f t="shared" si="209"/>
        <v>178656.6</v>
      </c>
      <c r="U2643" s="4" t="str">
        <f t="shared" si="210"/>
        <v>Average</v>
      </c>
      <c r="V2643" s="4" t="str">
        <f t="shared" si="206"/>
        <v>Good</v>
      </c>
      <c r="W2643" s="4"/>
      <c r="X2643" s="4"/>
      <c r="AJ2643" s="4"/>
    </row>
    <row r="2644" spans="1:36">
      <c r="A2644" t="str">
        <f t="shared" si="207"/>
        <v>Radh392643</v>
      </c>
      <c r="B2644">
        <v>2643</v>
      </c>
      <c r="C2644">
        <v>29</v>
      </c>
      <c r="D2644">
        <v>10</v>
      </c>
      <c r="E2644">
        <v>2023</v>
      </c>
      <c r="F2644" s="1">
        <f t="shared" si="208"/>
        <v>45228</v>
      </c>
      <c r="G2644" s="1" t="s">
        <v>18</v>
      </c>
      <c r="H2644" s="2">
        <v>47120</v>
      </c>
      <c r="I2644" t="s">
        <v>26</v>
      </c>
      <c r="J2644">
        <v>1</v>
      </c>
      <c r="K2644">
        <v>40905.06</v>
      </c>
      <c r="L2644" t="s">
        <v>1016</v>
      </c>
      <c r="M2644">
        <v>39</v>
      </c>
      <c r="N2644" t="s">
        <v>21</v>
      </c>
      <c r="O2644" s="3" t="s">
        <v>28</v>
      </c>
      <c r="P2644" t="s">
        <v>137</v>
      </c>
      <c r="Q2644" t="s">
        <v>41</v>
      </c>
      <c r="R2644">
        <v>3</v>
      </c>
      <c r="S2644" t="s">
        <v>31</v>
      </c>
      <c r="T2644" s="4">
        <f t="shared" si="209"/>
        <v>40905.06</v>
      </c>
      <c r="U2644" s="4" t="str">
        <f t="shared" si="210"/>
        <v>Average</v>
      </c>
      <c r="V2644" s="4" t="str">
        <f t="shared" si="206"/>
        <v>Low</v>
      </c>
      <c r="W2644" s="4"/>
      <c r="X2644" s="4"/>
      <c r="AJ2644" s="4"/>
    </row>
    <row r="2645" spans="1:36">
      <c r="A2645" t="str">
        <f t="shared" si="207"/>
        <v>Radh262644</v>
      </c>
      <c r="B2645">
        <v>2644</v>
      </c>
      <c r="C2645">
        <v>29</v>
      </c>
      <c r="D2645">
        <v>10</v>
      </c>
      <c r="E2645">
        <v>2023</v>
      </c>
      <c r="F2645" s="1">
        <f t="shared" si="208"/>
        <v>45228</v>
      </c>
      <c r="G2645" s="1" t="s">
        <v>18</v>
      </c>
      <c r="H2645" s="2">
        <v>47121</v>
      </c>
      <c r="I2645" t="s">
        <v>26</v>
      </c>
      <c r="J2645">
        <v>8</v>
      </c>
      <c r="K2645">
        <v>51142.43</v>
      </c>
      <c r="L2645" t="s">
        <v>870</v>
      </c>
      <c r="M2645">
        <v>26</v>
      </c>
      <c r="N2645" t="s">
        <v>36</v>
      </c>
      <c r="O2645" s="3" t="s">
        <v>22</v>
      </c>
      <c r="P2645" t="s">
        <v>70</v>
      </c>
      <c r="Q2645" t="s">
        <v>24</v>
      </c>
      <c r="R2645">
        <v>4</v>
      </c>
      <c r="S2645" t="s">
        <v>31</v>
      </c>
      <c r="T2645" s="4">
        <f t="shared" si="209"/>
        <v>409139.44</v>
      </c>
      <c r="U2645" s="4" t="str">
        <f t="shared" si="210"/>
        <v>Good</v>
      </c>
      <c r="V2645" s="4" t="str">
        <f t="shared" si="206"/>
        <v>Excellent</v>
      </c>
      <c r="W2645" s="4"/>
      <c r="X2645" s="4"/>
      <c r="AJ2645" s="4"/>
    </row>
    <row r="2646" spans="1:36">
      <c r="A2646" t="str">
        <f t="shared" si="207"/>
        <v>Reen222645</v>
      </c>
      <c r="B2646">
        <v>2645</v>
      </c>
      <c r="C2646">
        <v>29</v>
      </c>
      <c r="D2646">
        <v>10</v>
      </c>
      <c r="E2646">
        <v>2023</v>
      </c>
      <c r="F2646" s="1">
        <f t="shared" si="208"/>
        <v>45228</v>
      </c>
      <c r="G2646" s="1" t="s">
        <v>18</v>
      </c>
      <c r="H2646" s="2">
        <v>47122</v>
      </c>
      <c r="I2646" t="s">
        <v>38</v>
      </c>
      <c r="J2646">
        <v>4</v>
      </c>
      <c r="K2646">
        <v>48971.95</v>
      </c>
      <c r="L2646" t="s">
        <v>221</v>
      </c>
      <c r="M2646">
        <v>22</v>
      </c>
      <c r="N2646" t="s">
        <v>36</v>
      </c>
      <c r="O2646" s="3" t="s">
        <v>55</v>
      </c>
      <c r="P2646" t="s">
        <v>51</v>
      </c>
      <c r="Q2646" t="s">
        <v>30</v>
      </c>
      <c r="R2646">
        <v>2</v>
      </c>
      <c r="S2646" t="s">
        <v>99</v>
      </c>
      <c r="T2646" s="4">
        <f t="shared" si="209"/>
        <v>195887.8</v>
      </c>
      <c r="U2646" s="4" t="str">
        <f t="shared" si="210"/>
        <v>Average</v>
      </c>
      <c r="V2646" s="4" t="str">
        <f t="shared" si="206"/>
        <v>Good</v>
      </c>
      <c r="W2646" s="4"/>
      <c r="X2646" s="4"/>
      <c r="AJ2646" s="4"/>
    </row>
    <row r="2647" spans="1:36">
      <c r="A2647" t="str">
        <f t="shared" si="207"/>
        <v>Vino342646</v>
      </c>
      <c r="B2647">
        <v>2646</v>
      </c>
      <c r="C2647">
        <v>30</v>
      </c>
      <c r="D2647">
        <v>10</v>
      </c>
      <c r="E2647">
        <v>2023</v>
      </c>
      <c r="F2647" s="1">
        <f t="shared" si="208"/>
        <v>45229</v>
      </c>
      <c r="G2647" s="1" t="s">
        <v>18</v>
      </c>
      <c r="H2647" s="2">
        <v>47123</v>
      </c>
      <c r="I2647" t="s">
        <v>49</v>
      </c>
      <c r="J2647">
        <v>3</v>
      </c>
      <c r="K2647">
        <v>35454.74</v>
      </c>
      <c r="L2647" t="s">
        <v>398</v>
      </c>
      <c r="M2647">
        <v>34</v>
      </c>
      <c r="N2647" t="s">
        <v>21</v>
      </c>
      <c r="O2647" s="3" t="s">
        <v>55</v>
      </c>
      <c r="P2647" t="s">
        <v>33</v>
      </c>
      <c r="Q2647" t="s">
        <v>24</v>
      </c>
      <c r="R2647">
        <v>2</v>
      </c>
      <c r="S2647" t="s">
        <v>102</v>
      </c>
      <c r="T2647" s="4">
        <f t="shared" si="209"/>
        <v>106364.22</v>
      </c>
      <c r="U2647" s="4" t="str">
        <f t="shared" si="210"/>
        <v>Average</v>
      </c>
      <c r="V2647" s="4" t="str">
        <f t="shared" si="206"/>
        <v>Good</v>
      </c>
      <c r="W2647" s="4"/>
      <c r="X2647" s="4"/>
      <c r="AJ2647" s="4"/>
    </row>
    <row r="2648" spans="1:36">
      <c r="A2648" t="str">
        <f t="shared" si="207"/>
        <v>Rame512647</v>
      </c>
      <c r="B2648">
        <v>2647</v>
      </c>
      <c r="C2648">
        <v>30</v>
      </c>
      <c r="D2648">
        <v>10</v>
      </c>
      <c r="E2648">
        <v>2023</v>
      </c>
      <c r="F2648" s="1">
        <f t="shared" si="208"/>
        <v>45229</v>
      </c>
      <c r="G2648" s="1" t="s">
        <v>18</v>
      </c>
      <c r="H2648" s="2">
        <v>47124</v>
      </c>
      <c r="I2648" t="s">
        <v>19</v>
      </c>
      <c r="J2648">
        <v>7</v>
      </c>
      <c r="K2648">
        <v>35499.71</v>
      </c>
      <c r="L2648" t="s">
        <v>62</v>
      </c>
      <c r="M2648">
        <v>51</v>
      </c>
      <c r="N2648" t="s">
        <v>61</v>
      </c>
      <c r="O2648" s="3" t="s">
        <v>22</v>
      </c>
      <c r="P2648" t="s">
        <v>29</v>
      </c>
      <c r="Q2648" t="s">
        <v>56</v>
      </c>
      <c r="R2648">
        <v>5</v>
      </c>
      <c r="S2648" t="s">
        <v>25</v>
      </c>
      <c r="T2648" s="4">
        <f t="shared" si="209"/>
        <v>248497.97</v>
      </c>
      <c r="U2648" s="4" t="str">
        <f t="shared" si="210"/>
        <v>Good</v>
      </c>
      <c r="V2648" s="4" t="str">
        <f t="shared" si="206"/>
        <v>Excellent</v>
      </c>
      <c r="W2648" s="4"/>
      <c r="X2648" s="4"/>
      <c r="AJ2648" s="4"/>
    </row>
    <row r="2649" spans="1:36">
      <c r="A2649" t="str">
        <f t="shared" si="207"/>
        <v>Vino192648</v>
      </c>
      <c r="B2649">
        <v>2648</v>
      </c>
      <c r="C2649">
        <v>30</v>
      </c>
      <c r="D2649">
        <v>10</v>
      </c>
      <c r="E2649">
        <v>2023</v>
      </c>
      <c r="F2649" s="1">
        <f t="shared" si="208"/>
        <v>45229</v>
      </c>
      <c r="G2649" s="1" t="s">
        <v>18</v>
      </c>
      <c r="H2649" s="2">
        <v>47125</v>
      </c>
      <c r="I2649" t="s">
        <v>43</v>
      </c>
      <c r="J2649">
        <v>2</v>
      </c>
      <c r="K2649">
        <v>18446.7</v>
      </c>
      <c r="L2649" t="s">
        <v>1017</v>
      </c>
      <c r="M2649">
        <v>19</v>
      </c>
      <c r="N2649" t="s">
        <v>36</v>
      </c>
      <c r="O2649" s="3" t="s">
        <v>22</v>
      </c>
      <c r="P2649" t="s">
        <v>29</v>
      </c>
      <c r="Q2649" t="s">
        <v>30</v>
      </c>
      <c r="R2649">
        <v>4</v>
      </c>
      <c r="S2649" t="s">
        <v>57</v>
      </c>
      <c r="T2649" s="4">
        <f t="shared" si="209"/>
        <v>36893.4</v>
      </c>
      <c r="U2649" s="4" t="str">
        <f t="shared" si="210"/>
        <v>Good</v>
      </c>
      <c r="V2649" s="4" t="str">
        <f t="shared" si="206"/>
        <v>Low</v>
      </c>
      <c r="W2649" s="4"/>
      <c r="X2649" s="4"/>
      <c r="AJ2649" s="4"/>
    </row>
    <row r="2650" spans="1:36">
      <c r="A2650" t="str">
        <f t="shared" si="207"/>
        <v>Meen242649</v>
      </c>
      <c r="B2650">
        <v>2649</v>
      </c>
      <c r="C2650">
        <v>31</v>
      </c>
      <c r="D2650">
        <v>10</v>
      </c>
      <c r="E2650">
        <v>2023</v>
      </c>
      <c r="F2650" s="1">
        <f t="shared" si="208"/>
        <v>45230</v>
      </c>
      <c r="G2650" s="1" t="s">
        <v>18</v>
      </c>
      <c r="H2650" s="2">
        <v>47126</v>
      </c>
      <c r="I2650" t="s">
        <v>49</v>
      </c>
      <c r="J2650">
        <v>8</v>
      </c>
      <c r="K2650">
        <v>40794.31</v>
      </c>
      <c r="L2650" t="s">
        <v>666</v>
      </c>
      <c r="M2650">
        <v>24</v>
      </c>
      <c r="N2650" t="s">
        <v>36</v>
      </c>
      <c r="O2650" s="3" t="s">
        <v>22</v>
      </c>
      <c r="P2650" t="s">
        <v>33</v>
      </c>
      <c r="Q2650" t="s">
        <v>24</v>
      </c>
      <c r="R2650">
        <v>4</v>
      </c>
      <c r="S2650" t="s">
        <v>88</v>
      </c>
      <c r="T2650" s="4">
        <f t="shared" si="209"/>
        <v>326354.48</v>
      </c>
      <c r="U2650" s="4" t="str">
        <f t="shared" si="210"/>
        <v>Good</v>
      </c>
      <c r="V2650" s="4" t="str">
        <f t="shared" si="206"/>
        <v>Excellent</v>
      </c>
      <c r="W2650" s="4"/>
      <c r="X2650" s="4"/>
      <c r="AJ2650" s="4"/>
    </row>
    <row r="2651" spans="1:36">
      <c r="A2651" t="str">
        <f t="shared" si="207"/>
        <v>Lali532650</v>
      </c>
      <c r="B2651">
        <v>2650</v>
      </c>
      <c r="C2651">
        <v>31</v>
      </c>
      <c r="D2651">
        <v>10</v>
      </c>
      <c r="E2651">
        <v>2023</v>
      </c>
      <c r="F2651" s="1">
        <f t="shared" si="208"/>
        <v>45230</v>
      </c>
      <c r="G2651" s="1" t="s">
        <v>18</v>
      </c>
      <c r="H2651" s="2">
        <v>47127</v>
      </c>
      <c r="I2651" t="s">
        <v>38</v>
      </c>
      <c r="J2651">
        <v>6</v>
      </c>
      <c r="K2651">
        <v>45230.75</v>
      </c>
      <c r="L2651" t="s">
        <v>698</v>
      </c>
      <c r="M2651">
        <v>53</v>
      </c>
      <c r="N2651" t="s">
        <v>61</v>
      </c>
      <c r="O2651" s="3" t="s">
        <v>22</v>
      </c>
      <c r="P2651" t="s">
        <v>150</v>
      </c>
      <c r="Q2651" t="s">
        <v>56</v>
      </c>
      <c r="R2651">
        <v>5</v>
      </c>
      <c r="S2651" t="s">
        <v>48</v>
      </c>
      <c r="T2651" s="4">
        <f t="shared" si="209"/>
        <v>271384.5</v>
      </c>
      <c r="U2651" s="4" t="str">
        <f t="shared" si="210"/>
        <v>Good</v>
      </c>
      <c r="V2651" s="4" t="str">
        <f t="shared" si="206"/>
        <v>Excellent</v>
      </c>
      <c r="W2651" s="4"/>
      <c r="X2651" s="4"/>
      <c r="AJ2651" s="4"/>
    </row>
    <row r="2652" spans="1:36">
      <c r="A2652" t="str">
        <f t="shared" si="207"/>
        <v>Raje302651</v>
      </c>
      <c r="B2652">
        <v>2651</v>
      </c>
      <c r="C2652">
        <v>31</v>
      </c>
      <c r="D2652">
        <v>10</v>
      </c>
      <c r="E2652">
        <v>2023</v>
      </c>
      <c r="F2652" s="1">
        <f t="shared" si="208"/>
        <v>45230</v>
      </c>
      <c r="G2652" s="1" t="s">
        <v>18</v>
      </c>
      <c r="H2652" s="2">
        <v>47128</v>
      </c>
      <c r="I2652" t="s">
        <v>43</v>
      </c>
      <c r="J2652">
        <v>7</v>
      </c>
      <c r="K2652">
        <v>38589.360000000001</v>
      </c>
      <c r="L2652" t="s">
        <v>848</v>
      </c>
      <c r="M2652">
        <v>30</v>
      </c>
      <c r="N2652" t="s">
        <v>36</v>
      </c>
      <c r="O2652" s="3" t="s">
        <v>55</v>
      </c>
      <c r="P2652" t="s">
        <v>33</v>
      </c>
      <c r="Q2652" t="s">
        <v>41</v>
      </c>
      <c r="R2652">
        <v>2</v>
      </c>
      <c r="S2652" t="s">
        <v>46</v>
      </c>
      <c r="T2652" s="4">
        <f t="shared" si="209"/>
        <v>270125.52</v>
      </c>
      <c r="U2652" s="4" t="str">
        <f t="shared" si="210"/>
        <v>Average</v>
      </c>
      <c r="V2652" s="4" t="str">
        <f t="shared" si="206"/>
        <v>Excellent</v>
      </c>
      <c r="W2652" s="4"/>
      <c r="X2652" s="4"/>
      <c r="AJ2652" s="4"/>
    </row>
    <row r="2653" spans="1:36">
      <c r="A2653" t="str">
        <f t="shared" si="207"/>
        <v>Meen372652</v>
      </c>
      <c r="B2653">
        <v>2652</v>
      </c>
      <c r="C2653">
        <v>31</v>
      </c>
      <c r="D2653">
        <v>10</v>
      </c>
      <c r="E2653">
        <v>2023</v>
      </c>
      <c r="F2653" s="1">
        <f t="shared" si="208"/>
        <v>45230</v>
      </c>
      <c r="G2653" s="1" t="s">
        <v>18</v>
      </c>
      <c r="H2653" s="2">
        <v>47129</v>
      </c>
      <c r="I2653" t="s">
        <v>26</v>
      </c>
      <c r="J2653">
        <v>5</v>
      </c>
      <c r="K2653">
        <v>29542.44</v>
      </c>
      <c r="L2653" t="s">
        <v>633</v>
      </c>
      <c r="M2653">
        <v>37</v>
      </c>
      <c r="N2653" t="s">
        <v>21</v>
      </c>
      <c r="O2653" s="3" t="s">
        <v>22</v>
      </c>
      <c r="P2653" t="s">
        <v>59</v>
      </c>
      <c r="Q2653" t="s">
        <v>30</v>
      </c>
      <c r="R2653">
        <v>5</v>
      </c>
      <c r="S2653" t="s">
        <v>67</v>
      </c>
      <c r="T2653" s="4">
        <f t="shared" si="209"/>
        <v>147712.19999999998</v>
      </c>
      <c r="U2653" s="4" t="str">
        <f t="shared" si="210"/>
        <v>Good</v>
      </c>
      <c r="V2653" s="4" t="str">
        <f t="shared" si="206"/>
        <v>Good</v>
      </c>
      <c r="W2653" s="4"/>
      <c r="X2653" s="4"/>
      <c r="AJ2653" s="4"/>
    </row>
    <row r="2654" spans="1:36">
      <c r="A2654" t="str">
        <f t="shared" si="207"/>
        <v>Ravi472653</v>
      </c>
      <c r="B2654">
        <v>2653</v>
      </c>
      <c r="C2654">
        <v>1</v>
      </c>
      <c r="D2654">
        <v>11</v>
      </c>
      <c r="E2654">
        <v>2023</v>
      </c>
      <c r="F2654" s="1">
        <f t="shared" si="208"/>
        <v>45231</v>
      </c>
      <c r="G2654" s="1" t="s">
        <v>144</v>
      </c>
      <c r="H2654" s="2">
        <v>47130</v>
      </c>
      <c r="I2654" t="s">
        <v>19</v>
      </c>
      <c r="J2654">
        <v>9</v>
      </c>
      <c r="K2654">
        <v>53298.91</v>
      </c>
      <c r="L2654" t="s">
        <v>370</v>
      </c>
      <c r="M2654">
        <v>47</v>
      </c>
      <c r="N2654" t="s">
        <v>61</v>
      </c>
      <c r="O2654" s="3" t="s">
        <v>22</v>
      </c>
      <c r="P2654" t="s">
        <v>90</v>
      </c>
      <c r="Q2654" t="s">
        <v>24</v>
      </c>
      <c r="R2654">
        <v>5</v>
      </c>
      <c r="S2654" t="s">
        <v>25</v>
      </c>
      <c r="T2654" s="4">
        <f t="shared" si="209"/>
        <v>479690.19000000006</v>
      </c>
      <c r="U2654" s="4" t="str">
        <f t="shared" si="210"/>
        <v>Good</v>
      </c>
      <c r="V2654" s="4" t="str">
        <f t="shared" si="206"/>
        <v>Excellent</v>
      </c>
      <c r="W2654" s="4"/>
      <c r="X2654" s="4"/>
      <c r="AJ2654" s="4"/>
    </row>
    <row r="2655" spans="1:36">
      <c r="A2655" t="str">
        <f t="shared" si="207"/>
        <v>Lali472654</v>
      </c>
      <c r="B2655">
        <v>2654</v>
      </c>
      <c r="C2655">
        <v>1</v>
      </c>
      <c r="D2655">
        <v>11</v>
      </c>
      <c r="E2655">
        <v>2023</v>
      </c>
      <c r="F2655" s="1">
        <f t="shared" si="208"/>
        <v>45231</v>
      </c>
      <c r="G2655" s="1" t="s">
        <v>144</v>
      </c>
      <c r="H2655" s="2">
        <v>47131</v>
      </c>
      <c r="I2655" t="s">
        <v>26</v>
      </c>
      <c r="J2655">
        <v>5</v>
      </c>
      <c r="K2655">
        <v>14479.7</v>
      </c>
      <c r="L2655" t="s">
        <v>254</v>
      </c>
      <c r="M2655">
        <v>47</v>
      </c>
      <c r="N2655" t="s">
        <v>61</v>
      </c>
      <c r="O2655" s="3" t="s">
        <v>22</v>
      </c>
      <c r="P2655" t="s">
        <v>29</v>
      </c>
      <c r="Q2655" t="s">
        <v>24</v>
      </c>
      <c r="R2655">
        <v>5</v>
      </c>
      <c r="S2655" t="s">
        <v>34</v>
      </c>
      <c r="T2655" s="4">
        <f t="shared" si="209"/>
        <v>72398.5</v>
      </c>
      <c r="U2655" s="4" t="str">
        <f t="shared" si="210"/>
        <v>Good</v>
      </c>
      <c r="V2655" s="4" t="str">
        <f t="shared" si="206"/>
        <v>Average</v>
      </c>
      <c r="W2655" s="4"/>
      <c r="X2655" s="4"/>
      <c r="AJ2655" s="4"/>
    </row>
    <row r="2656" spans="1:36">
      <c r="A2656" t="str">
        <f t="shared" si="207"/>
        <v>Ravi282655</v>
      </c>
      <c r="B2656">
        <v>2655</v>
      </c>
      <c r="C2656">
        <v>1</v>
      </c>
      <c r="D2656">
        <v>11</v>
      </c>
      <c r="E2656">
        <v>2023</v>
      </c>
      <c r="F2656" s="1">
        <f t="shared" si="208"/>
        <v>45231</v>
      </c>
      <c r="G2656" s="1" t="s">
        <v>144</v>
      </c>
      <c r="H2656" s="2">
        <v>47132</v>
      </c>
      <c r="I2656" t="s">
        <v>38</v>
      </c>
      <c r="J2656">
        <v>5</v>
      </c>
      <c r="K2656">
        <v>64866.42</v>
      </c>
      <c r="L2656" t="s">
        <v>874</v>
      </c>
      <c r="M2656">
        <v>28</v>
      </c>
      <c r="N2656" t="s">
        <v>36</v>
      </c>
      <c r="O2656" s="3" t="s">
        <v>28</v>
      </c>
      <c r="P2656" t="s">
        <v>77</v>
      </c>
      <c r="Q2656" t="s">
        <v>41</v>
      </c>
      <c r="R2656">
        <v>3</v>
      </c>
      <c r="S2656" t="s">
        <v>99</v>
      </c>
      <c r="T2656" s="4">
        <f t="shared" si="209"/>
        <v>324332.09999999998</v>
      </c>
      <c r="U2656" s="4" t="str">
        <f t="shared" si="210"/>
        <v>Average</v>
      </c>
      <c r="V2656" s="4" t="str">
        <f t="shared" si="206"/>
        <v>Excellent</v>
      </c>
      <c r="W2656" s="4"/>
      <c r="X2656" s="4"/>
      <c r="AJ2656" s="4"/>
    </row>
    <row r="2657" spans="1:36">
      <c r="A2657" t="str">
        <f t="shared" si="207"/>
        <v>Shru482656</v>
      </c>
      <c r="B2657">
        <v>2656</v>
      </c>
      <c r="C2657">
        <v>1</v>
      </c>
      <c r="D2657">
        <v>11</v>
      </c>
      <c r="E2657">
        <v>2023</v>
      </c>
      <c r="F2657" s="1">
        <f t="shared" si="208"/>
        <v>45231</v>
      </c>
      <c r="G2657" s="1" t="s">
        <v>144</v>
      </c>
      <c r="H2657" s="2">
        <v>47133</v>
      </c>
      <c r="I2657" t="s">
        <v>43</v>
      </c>
      <c r="J2657">
        <v>3</v>
      </c>
      <c r="K2657">
        <v>11238.61</v>
      </c>
      <c r="L2657" t="s">
        <v>551</v>
      </c>
      <c r="M2657">
        <v>48</v>
      </c>
      <c r="N2657" t="s">
        <v>61</v>
      </c>
      <c r="O2657" s="3" t="s">
        <v>55</v>
      </c>
      <c r="P2657" t="s">
        <v>33</v>
      </c>
      <c r="Q2657" t="s">
        <v>41</v>
      </c>
      <c r="R2657">
        <v>2</v>
      </c>
      <c r="S2657" t="s">
        <v>57</v>
      </c>
      <c r="T2657" s="4">
        <f t="shared" si="209"/>
        <v>33715.83</v>
      </c>
      <c r="U2657" s="4" t="str">
        <f t="shared" si="210"/>
        <v>Average</v>
      </c>
      <c r="V2657" s="4" t="str">
        <f t="shared" si="206"/>
        <v>Low</v>
      </c>
      <c r="W2657" s="4"/>
      <c r="X2657" s="4"/>
      <c r="AJ2657" s="4"/>
    </row>
    <row r="2658" spans="1:36">
      <c r="A2658" t="str">
        <f t="shared" si="207"/>
        <v>Sneh202657</v>
      </c>
      <c r="B2658">
        <v>2657</v>
      </c>
      <c r="C2658">
        <v>2</v>
      </c>
      <c r="D2658">
        <v>11</v>
      </c>
      <c r="E2658">
        <v>2023</v>
      </c>
      <c r="F2658" s="1">
        <f t="shared" si="208"/>
        <v>45232</v>
      </c>
      <c r="G2658" s="1" t="s">
        <v>144</v>
      </c>
      <c r="H2658" s="2">
        <v>47134</v>
      </c>
      <c r="I2658" t="s">
        <v>38</v>
      </c>
      <c r="J2658">
        <v>1</v>
      </c>
      <c r="K2658">
        <v>67741.009999999995</v>
      </c>
      <c r="L2658" t="s">
        <v>825</v>
      </c>
      <c r="M2658">
        <v>20</v>
      </c>
      <c r="N2658" t="s">
        <v>36</v>
      </c>
      <c r="O2658" s="3" t="s">
        <v>55</v>
      </c>
      <c r="P2658" t="s">
        <v>29</v>
      </c>
      <c r="Q2658" t="s">
        <v>30</v>
      </c>
      <c r="R2658">
        <v>2</v>
      </c>
      <c r="S2658" t="s">
        <v>99</v>
      </c>
      <c r="T2658" s="4">
        <f t="shared" si="209"/>
        <v>67741.009999999995</v>
      </c>
      <c r="U2658" s="4" t="str">
        <f t="shared" si="210"/>
        <v>Average</v>
      </c>
      <c r="V2658" s="4" t="str">
        <f t="shared" si="206"/>
        <v>Average</v>
      </c>
      <c r="W2658" s="4"/>
      <c r="X2658" s="4"/>
      <c r="AJ2658" s="4"/>
    </row>
    <row r="2659" spans="1:36">
      <c r="A2659" t="str">
        <f t="shared" si="207"/>
        <v>Anan192658</v>
      </c>
      <c r="B2659">
        <v>2658</v>
      </c>
      <c r="C2659">
        <v>2</v>
      </c>
      <c r="D2659">
        <v>11</v>
      </c>
      <c r="E2659">
        <v>2023</v>
      </c>
      <c r="F2659" s="1">
        <f t="shared" si="208"/>
        <v>45232</v>
      </c>
      <c r="G2659" s="1" t="s">
        <v>144</v>
      </c>
      <c r="H2659" s="2">
        <v>47135</v>
      </c>
      <c r="I2659" t="s">
        <v>43</v>
      </c>
      <c r="J2659">
        <v>2</v>
      </c>
      <c r="K2659">
        <v>37741.339999999997</v>
      </c>
      <c r="L2659" t="s">
        <v>71</v>
      </c>
      <c r="M2659">
        <v>19</v>
      </c>
      <c r="N2659" t="s">
        <v>36</v>
      </c>
      <c r="O2659" s="3" t="s">
        <v>22</v>
      </c>
      <c r="P2659" t="s">
        <v>45</v>
      </c>
      <c r="Q2659" t="s">
        <v>30</v>
      </c>
      <c r="R2659">
        <v>4</v>
      </c>
      <c r="S2659" t="s">
        <v>57</v>
      </c>
      <c r="T2659" s="4">
        <f t="shared" si="209"/>
        <v>75482.679999999993</v>
      </c>
      <c r="U2659" s="4" t="str">
        <f t="shared" si="210"/>
        <v>Good</v>
      </c>
      <c r="V2659" s="4" t="str">
        <f t="shared" si="206"/>
        <v>Average</v>
      </c>
      <c r="W2659" s="4"/>
      <c r="X2659" s="4"/>
      <c r="AJ2659" s="4"/>
    </row>
    <row r="2660" spans="1:36">
      <c r="A2660" t="str">
        <f t="shared" si="207"/>
        <v>Pras202659</v>
      </c>
      <c r="B2660">
        <v>2659</v>
      </c>
      <c r="C2660">
        <v>2</v>
      </c>
      <c r="D2660">
        <v>11</v>
      </c>
      <c r="E2660">
        <v>2023</v>
      </c>
      <c r="F2660" s="1">
        <f t="shared" si="208"/>
        <v>45232</v>
      </c>
      <c r="G2660" s="1" t="s">
        <v>144</v>
      </c>
      <c r="H2660" s="2">
        <v>47136</v>
      </c>
      <c r="I2660" t="s">
        <v>49</v>
      </c>
      <c r="J2660">
        <v>8</v>
      </c>
      <c r="K2660">
        <v>34760.199999999997</v>
      </c>
      <c r="L2660" t="s">
        <v>777</v>
      </c>
      <c r="M2660">
        <v>20</v>
      </c>
      <c r="N2660" t="s">
        <v>36</v>
      </c>
      <c r="O2660" s="3" t="s">
        <v>22</v>
      </c>
      <c r="P2660" t="s">
        <v>29</v>
      </c>
      <c r="Q2660" t="s">
        <v>30</v>
      </c>
      <c r="R2660">
        <v>5</v>
      </c>
      <c r="S2660" t="s">
        <v>88</v>
      </c>
      <c r="T2660" s="4">
        <f t="shared" si="209"/>
        <v>278081.59999999998</v>
      </c>
      <c r="U2660" s="4" t="str">
        <f t="shared" si="210"/>
        <v>Good</v>
      </c>
      <c r="V2660" s="4" t="str">
        <f t="shared" si="206"/>
        <v>Excellent</v>
      </c>
      <c r="W2660" s="4"/>
      <c r="X2660" s="4"/>
      <c r="AJ2660" s="4"/>
    </row>
    <row r="2661" spans="1:36">
      <c r="A2661" t="str">
        <f t="shared" si="207"/>
        <v>Kavi322660</v>
      </c>
      <c r="B2661">
        <v>2660</v>
      </c>
      <c r="C2661">
        <v>2</v>
      </c>
      <c r="D2661">
        <v>11</v>
      </c>
      <c r="E2661">
        <v>2023</v>
      </c>
      <c r="F2661" s="1">
        <f t="shared" si="208"/>
        <v>45232</v>
      </c>
      <c r="G2661" s="1" t="s">
        <v>144</v>
      </c>
      <c r="H2661" s="2">
        <v>47137</v>
      </c>
      <c r="I2661" t="s">
        <v>19</v>
      </c>
      <c r="J2661">
        <v>1</v>
      </c>
      <c r="K2661">
        <v>25386.639999999999</v>
      </c>
      <c r="L2661" t="s">
        <v>360</v>
      </c>
      <c r="M2661">
        <v>32</v>
      </c>
      <c r="N2661" t="s">
        <v>21</v>
      </c>
      <c r="O2661" s="3" t="s">
        <v>22</v>
      </c>
      <c r="P2661" t="s">
        <v>90</v>
      </c>
      <c r="Q2661" t="s">
        <v>24</v>
      </c>
      <c r="R2661">
        <v>4</v>
      </c>
      <c r="S2661" t="s">
        <v>25</v>
      </c>
      <c r="T2661" s="4">
        <f t="shared" si="209"/>
        <v>25386.639999999999</v>
      </c>
      <c r="U2661" s="4" t="str">
        <f t="shared" si="210"/>
        <v>Good</v>
      </c>
      <c r="V2661" s="4" t="str">
        <f t="shared" si="206"/>
        <v>Low</v>
      </c>
      <c r="W2661" s="4"/>
      <c r="X2661" s="4"/>
      <c r="AJ2661" s="4"/>
    </row>
    <row r="2662" spans="1:36">
      <c r="A2662" t="str">
        <f t="shared" si="207"/>
        <v>Pank342661</v>
      </c>
      <c r="B2662">
        <v>2661</v>
      </c>
      <c r="C2662">
        <v>3</v>
      </c>
      <c r="D2662">
        <v>11</v>
      </c>
      <c r="E2662">
        <v>2023</v>
      </c>
      <c r="F2662" s="1">
        <f t="shared" si="208"/>
        <v>45233</v>
      </c>
      <c r="G2662" s="1" t="s">
        <v>144</v>
      </c>
      <c r="H2662" s="2">
        <v>47138</v>
      </c>
      <c r="I2662" t="s">
        <v>49</v>
      </c>
      <c r="J2662">
        <v>7</v>
      </c>
      <c r="K2662">
        <v>10604.27</v>
      </c>
      <c r="L2662" t="s">
        <v>424</v>
      </c>
      <c r="M2662">
        <v>34</v>
      </c>
      <c r="N2662" t="s">
        <v>21</v>
      </c>
      <c r="O2662" s="3" t="s">
        <v>22</v>
      </c>
      <c r="P2662" t="s">
        <v>70</v>
      </c>
      <c r="Q2662" t="s">
        <v>24</v>
      </c>
      <c r="R2662">
        <v>5</v>
      </c>
      <c r="S2662" t="s">
        <v>102</v>
      </c>
      <c r="T2662" s="4">
        <f t="shared" si="209"/>
        <v>74229.89</v>
      </c>
      <c r="U2662" s="4" t="str">
        <f t="shared" si="210"/>
        <v>Good</v>
      </c>
      <c r="V2662" s="4" t="str">
        <f t="shared" si="206"/>
        <v>Average</v>
      </c>
      <c r="W2662" s="4"/>
      <c r="X2662" s="4"/>
      <c r="AJ2662" s="4"/>
    </row>
    <row r="2663" spans="1:36">
      <c r="A2663" t="str">
        <f t="shared" si="207"/>
        <v>Priy242662</v>
      </c>
      <c r="B2663">
        <v>2662</v>
      </c>
      <c r="C2663">
        <v>3</v>
      </c>
      <c r="D2663">
        <v>11</v>
      </c>
      <c r="E2663">
        <v>2023</v>
      </c>
      <c r="F2663" s="1">
        <f t="shared" si="208"/>
        <v>45233</v>
      </c>
      <c r="G2663" s="1" t="s">
        <v>144</v>
      </c>
      <c r="H2663" s="2">
        <v>47139</v>
      </c>
      <c r="I2663" t="s">
        <v>49</v>
      </c>
      <c r="J2663">
        <v>5</v>
      </c>
      <c r="K2663">
        <v>26487.42</v>
      </c>
      <c r="L2663" t="s">
        <v>515</v>
      </c>
      <c r="M2663">
        <v>24</v>
      </c>
      <c r="N2663" t="s">
        <v>36</v>
      </c>
      <c r="O2663" s="3" t="s">
        <v>22</v>
      </c>
      <c r="P2663" t="s">
        <v>33</v>
      </c>
      <c r="Q2663" t="s">
        <v>30</v>
      </c>
      <c r="R2663">
        <v>5</v>
      </c>
      <c r="S2663" t="s">
        <v>52</v>
      </c>
      <c r="T2663" s="4">
        <f t="shared" si="209"/>
        <v>132437.09999999998</v>
      </c>
      <c r="U2663" s="4" t="str">
        <f t="shared" si="210"/>
        <v>Good</v>
      </c>
      <c r="V2663" s="4" t="str">
        <f t="shared" si="206"/>
        <v>Good</v>
      </c>
      <c r="W2663" s="4"/>
      <c r="X2663" s="4"/>
      <c r="AJ2663" s="4"/>
    </row>
    <row r="2664" spans="1:36">
      <c r="A2664" t="str">
        <f t="shared" si="207"/>
        <v>Tanu222663</v>
      </c>
      <c r="B2664">
        <v>2663</v>
      </c>
      <c r="C2664">
        <v>3</v>
      </c>
      <c r="D2664">
        <v>11</v>
      </c>
      <c r="E2664">
        <v>2023</v>
      </c>
      <c r="F2664" s="1">
        <f t="shared" si="208"/>
        <v>45233</v>
      </c>
      <c r="G2664" s="1" t="s">
        <v>144</v>
      </c>
      <c r="H2664" s="2">
        <v>47140</v>
      </c>
      <c r="I2664" t="s">
        <v>38</v>
      </c>
      <c r="J2664">
        <v>3</v>
      </c>
      <c r="K2664">
        <v>16564</v>
      </c>
      <c r="L2664" t="s">
        <v>249</v>
      </c>
      <c r="M2664">
        <v>22</v>
      </c>
      <c r="N2664" t="s">
        <v>36</v>
      </c>
      <c r="O2664" s="3" t="s">
        <v>22</v>
      </c>
      <c r="P2664" t="s">
        <v>77</v>
      </c>
      <c r="Q2664" t="s">
        <v>24</v>
      </c>
      <c r="R2664">
        <v>5</v>
      </c>
      <c r="S2664" t="s">
        <v>42</v>
      </c>
      <c r="T2664" s="4">
        <f t="shared" si="209"/>
        <v>49692</v>
      </c>
      <c r="U2664" s="4" t="str">
        <f t="shared" si="210"/>
        <v>Good</v>
      </c>
      <c r="V2664" s="4" t="str">
        <f t="shared" si="206"/>
        <v>Low</v>
      </c>
      <c r="W2664" s="4"/>
      <c r="X2664" s="4"/>
      <c r="AJ2664" s="4"/>
    </row>
    <row r="2665" spans="1:36">
      <c r="A2665" t="str">
        <f t="shared" si="207"/>
        <v>Kira512664</v>
      </c>
      <c r="B2665">
        <v>2664</v>
      </c>
      <c r="C2665">
        <v>3</v>
      </c>
      <c r="D2665">
        <v>11</v>
      </c>
      <c r="E2665">
        <v>2023</v>
      </c>
      <c r="F2665" s="1">
        <f t="shared" si="208"/>
        <v>45233</v>
      </c>
      <c r="G2665" s="1" t="s">
        <v>144</v>
      </c>
      <c r="H2665" s="2">
        <v>47141</v>
      </c>
      <c r="I2665" t="s">
        <v>19</v>
      </c>
      <c r="J2665">
        <v>7</v>
      </c>
      <c r="K2665">
        <v>49589.25</v>
      </c>
      <c r="L2665" t="s">
        <v>255</v>
      </c>
      <c r="M2665">
        <v>51</v>
      </c>
      <c r="N2665" t="s">
        <v>61</v>
      </c>
      <c r="O2665" s="3" t="s">
        <v>22</v>
      </c>
      <c r="P2665" t="s">
        <v>29</v>
      </c>
      <c r="Q2665" t="s">
        <v>41</v>
      </c>
      <c r="R2665">
        <v>5</v>
      </c>
      <c r="S2665" t="s">
        <v>84</v>
      </c>
      <c r="T2665" s="4">
        <f t="shared" si="209"/>
        <v>347124.75</v>
      </c>
      <c r="U2665" s="4" t="str">
        <f t="shared" si="210"/>
        <v>Good</v>
      </c>
      <c r="V2665" s="4" t="str">
        <f t="shared" si="206"/>
        <v>Excellent</v>
      </c>
      <c r="W2665" s="4"/>
      <c r="X2665" s="4"/>
      <c r="AJ2665" s="4"/>
    </row>
    <row r="2666" spans="1:36">
      <c r="A2666" t="str">
        <f t="shared" si="207"/>
        <v>Hari502665</v>
      </c>
      <c r="B2666">
        <v>2665</v>
      </c>
      <c r="C2666">
        <v>4</v>
      </c>
      <c r="D2666">
        <v>11</v>
      </c>
      <c r="E2666">
        <v>2023</v>
      </c>
      <c r="F2666" s="1">
        <f t="shared" si="208"/>
        <v>45234</v>
      </c>
      <c r="G2666" s="1" t="s">
        <v>144</v>
      </c>
      <c r="H2666" s="2">
        <v>47142</v>
      </c>
      <c r="I2666" t="s">
        <v>43</v>
      </c>
      <c r="J2666">
        <v>9</v>
      </c>
      <c r="K2666">
        <v>29144.5</v>
      </c>
      <c r="L2666" t="s">
        <v>855</v>
      </c>
      <c r="M2666">
        <v>50</v>
      </c>
      <c r="N2666" t="s">
        <v>61</v>
      </c>
      <c r="O2666" s="3" t="s">
        <v>22</v>
      </c>
      <c r="P2666" t="s">
        <v>33</v>
      </c>
      <c r="Q2666" t="s">
        <v>56</v>
      </c>
      <c r="R2666">
        <v>4</v>
      </c>
      <c r="S2666" t="s">
        <v>46</v>
      </c>
      <c r="T2666" s="4">
        <f t="shared" si="209"/>
        <v>262300.5</v>
      </c>
      <c r="U2666" s="4" t="str">
        <f t="shared" si="210"/>
        <v>Good</v>
      </c>
      <c r="V2666" s="4" t="str">
        <f t="shared" si="206"/>
        <v>Excellent</v>
      </c>
      <c r="W2666" s="4"/>
      <c r="X2666" s="4"/>
      <c r="AJ2666" s="4"/>
    </row>
    <row r="2667" spans="1:36">
      <c r="A2667" t="str">
        <f t="shared" si="207"/>
        <v>Kris332666</v>
      </c>
      <c r="B2667">
        <v>2666</v>
      </c>
      <c r="C2667">
        <v>4</v>
      </c>
      <c r="D2667">
        <v>11</v>
      </c>
      <c r="E2667">
        <v>2023</v>
      </c>
      <c r="F2667" s="1">
        <f t="shared" si="208"/>
        <v>45234</v>
      </c>
      <c r="G2667" s="1" t="s">
        <v>144</v>
      </c>
      <c r="H2667" s="2">
        <v>47143</v>
      </c>
      <c r="I2667" t="s">
        <v>43</v>
      </c>
      <c r="J2667">
        <v>2</v>
      </c>
      <c r="K2667">
        <v>56030.76</v>
      </c>
      <c r="L2667" t="s">
        <v>392</v>
      </c>
      <c r="M2667">
        <v>33</v>
      </c>
      <c r="N2667" t="s">
        <v>21</v>
      </c>
      <c r="O2667" s="3" t="s">
        <v>22</v>
      </c>
      <c r="P2667" t="s">
        <v>132</v>
      </c>
      <c r="Q2667" t="s">
        <v>24</v>
      </c>
      <c r="R2667">
        <v>5</v>
      </c>
      <c r="S2667" t="s">
        <v>46</v>
      </c>
      <c r="T2667" s="4">
        <f t="shared" si="209"/>
        <v>112061.52</v>
      </c>
      <c r="U2667" s="4" t="str">
        <f t="shared" si="210"/>
        <v>Good</v>
      </c>
      <c r="V2667" s="4" t="str">
        <f t="shared" si="206"/>
        <v>Good</v>
      </c>
      <c r="W2667" s="4"/>
      <c r="X2667" s="4"/>
      <c r="AJ2667" s="4"/>
    </row>
    <row r="2668" spans="1:36">
      <c r="A2668" t="str">
        <f t="shared" si="207"/>
        <v>Anja542667</v>
      </c>
      <c r="B2668">
        <v>2667</v>
      </c>
      <c r="C2668">
        <v>4</v>
      </c>
      <c r="D2668">
        <v>11</v>
      </c>
      <c r="E2668">
        <v>2023</v>
      </c>
      <c r="F2668" s="1">
        <f t="shared" si="208"/>
        <v>45234</v>
      </c>
      <c r="G2668" s="1" t="s">
        <v>144</v>
      </c>
      <c r="H2668" s="2">
        <v>47144</v>
      </c>
      <c r="I2668" t="s">
        <v>26</v>
      </c>
      <c r="J2668">
        <v>8</v>
      </c>
      <c r="K2668">
        <v>22414.97</v>
      </c>
      <c r="L2668" t="s">
        <v>754</v>
      </c>
      <c r="M2668">
        <v>54</v>
      </c>
      <c r="N2668" t="s">
        <v>61</v>
      </c>
      <c r="O2668" s="3" t="s">
        <v>22</v>
      </c>
      <c r="P2668" t="s">
        <v>59</v>
      </c>
      <c r="Q2668" t="s">
        <v>30</v>
      </c>
      <c r="R2668">
        <v>5</v>
      </c>
      <c r="S2668" t="s">
        <v>34</v>
      </c>
      <c r="T2668" s="4">
        <f t="shared" si="209"/>
        <v>179319.76</v>
      </c>
      <c r="U2668" s="4" t="str">
        <f t="shared" si="210"/>
        <v>Good</v>
      </c>
      <c r="V2668" s="4" t="str">
        <f t="shared" si="206"/>
        <v>Good</v>
      </c>
      <c r="W2668" s="4"/>
      <c r="X2668" s="4"/>
      <c r="AJ2668" s="4"/>
    </row>
    <row r="2669" spans="1:36">
      <c r="A2669" t="str">
        <f t="shared" si="207"/>
        <v>Shru202668</v>
      </c>
      <c r="B2669">
        <v>2668</v>
      </c>
      <c r="C2669">
        <v>4</v>
      </c>
      <c r="D2669">
        <v>11</v>
      </c>
      <c r="E2669">
        <v>2023</v>
      </c>
      <c r="F2669" s="1">
        <f t="shared" si="208"/>
        <v>45234</v>
      </c>
      <c r="G2669" s="1" t="s">
        <v>144</v>
      </c>
      <c r="H2669" s="2">
        <v>47145</v>
      </c>
      <c r="I2669" t="s">
        <v>43</v>
      </c>
      <c r="J2669">
        <v>9</v>
      </c>
      <c r="K2669">
        <v>64014.09</v>
      </c>
      <c r="L2669" t="s">
        <v>901</v>
      </c>
      <c r="M2669">
        <v>20</v>
      </c>
      <c r="N2669" t="s">
        <v>36</v>
      </c>
      <c r="O2669" s="3" t="s">
        <v>55</v>
      </c>
      <c r="P2669" t="s">
        <v>29</v>
      </c>
      <c r="Q2669" t="s">
        <v>24</v>
      </c>
      <c r="R2669">
        <v>2</v>
      </c>
      <c r="S2669" t="s">
        <v>57</v>
      </c>
      <c r="T2669" s="4">
        <f t="shared" si="209"/>
        <v>576126.80999999994</v>
      </c>
      <c r="U2669" s="4" t="str">
        <f t="shared" si="210"/>
        <v>Average</v>
      </c>
      <c r="V2669" s="4" t="str">
        <f t="shared" si="206"/>
        <v>Excellent</v>
      </c>
      <c r="W2669" s="4"/>
      <c r="X2669" s="4"/>
      <c r="AJ2669" s="4"/>
    </row>
    <row r="2670" spans="1:36">
      <c r="A2670" t="str">
        <f t="shared" si="207"/>
        <v>Anan382669</v>
      </c>
      <c r="B2670">
        <v>2669</v>
      </c>
      <c r="C2670">
        <v>5</v>
      </c>
      <c r="D2670">
        <v>11</v>
      </c>
      <c r="E2670">
        <v>2023</v>
      </c>
      <c r="F2670" s="1">
        <f t="shared" si="208"/>
        <v>45235</v>
      </c>
      <c r="G2670" s="1" t="s">
        <v>144</v>
      </c>
      <c r="H2670" s="2">
        <v>47146</v>
      </c>
      <c r="I2670" t="s">
        <v>38</v>
      </c>
      <c r="J2670">
        <v>3</v>
      </c>
      <c r="K2670">
        <v>41378.89</v>
      </c>
      <c r="L2670" t="s">
        <v>403</v>
      </c>
      <c r="M2670">
        <v>38</v>
      </c>
      <c r="N2670" t="s">
        <v>21</v>
      </c>
      <c r="O2670" s="3" t="s">
        <v>55</v>
      </c>
      <c r="P2670" t="s">
        <v>51</v>
      </c>
      <c r="Q2670" t="s">
        <v>41</v>
      </c>
      <c r="R2670">
        <v>2</v>
      </c>
      <c r="S2670" t="s">
        <v>48</v>
      </c>
      <c r="T2670" s="4">
        <f t="shared" si="209"/>
        <v>124136.67</v>
      </c>
      <c r="U2670" s="4" t="str">
        <f t="shared" si="210"/>
        <v>Average</v>
      </c>
      <c r="V2670" s="4" t="str">
        <f t="shared" si="206"/>
        <v>Good</v>
      </c>
      <c r="W2670" s="4"/>
      <c r="X2670" s="4"/>
      <c r="AJ2670" s="4"/>
    </row>
    <row r="2671" spans="1:36">
      <c r="A2671" t="str">
        <f t="shared" si="207"/>
        <v>Sanj582670</v>
      </c>
      <c r="B2671">
        <v>2670</v>
      </c>
      <c r="C2671">
        <v>5</v>
      </c>
      <c r="D2671">
        <v>11</v>
      </c>
      <c r="E2671">
        <v>2023</v>
      </c>
      <c r="F2671" s="1">
        <f t="shared" si="208"/>
        <v>45235</v>
      </c>
      <c r="G2671" s="1" t="s">
        <v>144</v>
      </c>
      <c r="H2671" s="2">
        <v>47147</v>
      </c>
      <c r="I2671" t="s">
        <v>49</v>
      </c>
      <c r="J2671">
        <v>2</v>
      </c>
      <c r="K2671">
        <v>16870.37</v>
      </c>
      <c r="L2671" t="s">
        <v>543</v>
      </c>
      <c r="M2671">
        <v>58</v>
      </c>
      <c r="N2671" t="s">
        <v>61</v>
      </c>
      <c r="O2671" s="3" t="s">
        <v>55</v>
      </c>
      <c r="P2671" t="s">
        <v>33</v>
      </c>
      <c r="Q2671" t="s">
        <v>30</v>
      </c>
      <c r="R2671">
        <v>2</v>
      </c>
      <c r="S2671" t="s">
        <v>102</v>
      </c>
      <c r="T2671" s="4">
        <f t="shared" si="209"/>
        <v>33740.74</v>
      </c>
      <c r="U2671" s="4" t="str">
        <f t="shared" si="210"/>
        <v>Average</v>
      </c>
      <c r="V2671" s="4" t="str">
        <f t="shared" si="206"/>
        <v>Low</v>
      </c>
      <c r="W2671" s="4"/>
      <c r="X2671" s="4"/>
      <c r="AJ2671" s="4"/>
    </row>
    <row r="2672" spans="1:36">
      <c r="A2672" t="str">
        <f t="shared" si="207"/>
        <v>Pank252671</v>
      </c>
      <c r="B2672">
        <v>2671</v>
      </c>
      <c r="C2672">
        <v>5</v>
      </c>
      <c r="D2672">
        <v>11</v>
      </c>
      <c r="E2672">
        <v>2023</v>
      </c>
      <c r="F2672" s="1">
        <f t="shared" si="208"/>
        <v>45235</v>
      </c>
      <c r="G2672" s="1" t="s">
        <v>144</v>
      </c>
      <c r="H2672" s="2">
        <v>47148</v>
      </c>
      <c r="I2672" t="s">
        <v>49</v>
      </c>
      <c r="J2672">
        <v>7</v>
      </c>
      <c r="K2672">
        <v>34050.71</v>
      </c>
      <c r="L2672" t="s">
        <v>288</v>
      </c>
      <c r="M2672">
        <v>25</v>
      </c>
      <c r="N2672" t="s">
        <v>36</v>
      </c>
      <c r="O2672" s="3" t="s">
        <v>28</v>
      </c>
      <c r="P2672" t="s">
        <v>29</v>
      </c>
      <c r="Q2672" t="s">
        <v>56</v>
      </c>
      <c r="R2672">
        <v>3</v>
      </c>
      <c r="S2672" t="s">
        <v>88</v>
      </c>
      <c r="T2672" s="4">
        <f t="shared" si="209"/>
        <v>238354.97</v>
      </c>
      <c r="U2672" s="4" t="str">
        <f t="shared" si="210"/>
        <v>Average</v>
      </c>
      <c r="V2672" s="4" t="str">
        <f t="shared" si="206"/>
        <v>Excellent</v>
      </c>
      <c r="W2672" s="4"/>
      <c r="X2672" s="4"/>
      <c r="AJ2672" s="4"/>
    </row>
    <row r="2673" spans="1:36">
      <c r="A2673" t="str">
        <f t="shared" si="207"/>
        <v>Vija392672</v>
      </c>
      <c r="B2673">
        <v>2672</v>
      </c>
      <c r="C2673">
        <v>6</v>
      </c>
      <c r="D2673">
        <v>11</v>
      </c>
      <c r="E2673">
        <v>2023</v>
      </c>
      <c r="F2673" s="1">
        <f t="shared" si="208"/>
        <v>45236</v>
      </c>
      <c r="G2673" s="1" t="s">
        <v>144</v>
      </c>
      <c r="H2673" s="2">
        <v>47149</v>
      </c>
      <c r="I2673" t="s">
        <v>49</v>
      </c>
      <c r="J2673">
        <v>5</v>
      </c>
      <c r="K2673">
        <v>22405.63</v>
      </c>
      <c r="L2673" t="s">
        <v>427</v>
      </c>
      <c r="M2673">
        <v>39</v>
      </c>
      <c r="N2673" t="s">
        <v>21</v>
      </c>
      <c r="O2673" s="3" t="s">
        <v>55</v>
      </c>
      <c r="P2673" t="s">
        <v>29</v>
      </c>
      <c r="Q2673" t="s">
        <v>30</v>
      </c>
      <c r="R2673">
        <v>2</v>
      </c>
      <c r="S2673" t="s">
        <v>88</v>
      </c>
      <c r="T2673" s="4">
        <f t="shared" si="209"/>
        <v>112028.15000000001</v>
      </c>
      <c r="U2673" s="4" t="str">
        <f t="shared" si="210"/>
        <v>Average</v>
      </c>
      <c r="V2673" s="4" t="str">
        <f t="shared" si="206"/>
        <v>Good</v>
      </c>
      <c r="W2673" s="4"/>
      <c r="X2673" s="4"/>
      <c r="AJ2673" s="4"/>
    </row>
    <row r="2674" spans="1:36">
      <c r="A2674" t="str">
        <f t="shared" si="207"/>
        <v>Sach222673</v>
      </c>
      <c r="B2674">
        <v>2673</v>
      </c>
      <c r="C2674">
        <v>6</v>
      </c>
      <c r="D2674">
        <v>11</v>
      </c>
      <c r="E2674">
        <v>2023</v>
      </c>
      <c r="F2674" s="1">
        <f t="shared" si="208"/>
        <v>45236</v>
      </c>
      <c r="G2674" s="1" t="s">
        <v>144</v>
      </c>
      <c r="H2674" s="2">
        <v>47150</v>
      </c>
      <c r="I2674" t="s">
        <v>19</v>
      </c>
      <c r="J2674">
        <v>5</v>
      </c>
      <c r="K2674">
        <v>21981.13</v>
      </c>
      <c r="L2674" t="s">
        <v>198</v>
      </c>
      <c r="M2674">
        <v>22</v>
      </c>
      <c r="N2674" t="s">
        <v>36</v>
      </c>
      <c r="O2674" s="3" t="s">
        <v>28</v>
      </c>
      <c r="P2674" t="s">
        <v>29</v>
      </c>
      <c r="Q2674" t="s">
        <v>30</v>
      </c>
      <c r="R2674">
        <v>3</v>
      </c>
      <c r="S2674" t="s">
        <v>25</v>
      </c>
      <c r="T2674" s="4">
        <f t="shared" si="209"/>
        <v>109905.65000000001</v>
      </c>
      <c r="U2674" s="4" t="str">
        <f t="shared" si="210"/>
        <v>Average</v>
      </c>
      <c r="V2674" s="4" t="str">
        <f t="shared" si="206"/>
        <v>Good</v>
      </c>
      <c r="W2674" s="4"/>
      <c r="X2674" s="4"/>
      <c r="AJ2674" s="4"/>
    </row>
    <row r="2675" spans="1:36">
      <c r="A2675" t="str">
        <f t="shared" si="207"/>
        <v>Suni342674</v>
      </c>
      <c r="B2675">
        <v>2674</v>
      </c>
      <c r="C2675">
        <v>6</v>
      </c>
      <c r="D2675">
        <v>11</v>
      </c>
      <c r="E2675">
        <v>2023</v>
      </c>
      <c r="F2675" s="1">
        <f t="shared" si="208"/>
        <v>45236</v>
      </c>
      <c r="G2675" s="1" t="s">
        <v>144</v>
      </c>
      <c r="H2675" s="2">
        <v>47151</v>
      </c>
      <c r="I2675" t="s">
        <v>43</v>
      </c>
      <c r="J2675">
        <v>5</v>
      </c>
      <c r="K2675">
        <v>40382.18</v>
      </c>
      <c r="L2675" t="s">
        <v>983</v>
      </c>
      <c r="M2675">
        <v>34</v>
      </c>
      <c r="N2675" t="s">
        <v>21</v>
      </c>
      <c r="O2675" s="3" t="s">
        <v>28</v>
      </c>
      <c r="P2675" t="s">
        <v>117</v>
      </c>
      <c r="Q2675" t="s">
        <v>30</v>
      </c>
      <c r="R2675">
        <v>3</v>
      </c>
      <c r="S2675" t="s">
        <v>57</v>
      </c>
      <c r="T2675" s="4">
        <f t="shared" si="209"/>
        <v>201910.9</v>
      </c>
      <c r="U2675" s="4" t="str">
        <f t="shared" si="210"/>
        <v>Average</v>
      </c>
      <c r="V2675" s="4" t="str">
        <f t="shared" si="206"/>
        <v>Excellent</v>
      </c>
      <c r="W2675" s="4"/>
      <c r="X2675" s="4"/>
      <c r="AJ2675" s="4"/>
    </row>
    <row r="2676" spans="1:36">
      <c r="A2676" t="str">
        <f t="shared" si="207"/>
        <v>Pras542675</v>
      </c>
      <c r="B2676">
        <v>2675</v>
      </c>
      <c r="C2676">
        <v>7</v>
      </c>
      <c r="D2676">
        <v>11</v>
      </c>
      <c r="E2676">
        <v>2023</v>
      </c>
      <c r="F2676" s="1">
        <f t="shared" si="208"/>
        <v>45237</v>
      </c>
      <c r="G2676" s="1" t="s">
        <v>144</v>
      </c>
      <c r="H2676" s="2">
        <v>47152</v>
      </c>
      <c r="I2676" t="s">
        <v>38</v>
      </c>
      <c r="J2676">
        <v>4</v>
      </c>
      <c r="K2676">
        <v>50313.52</v>
      </c>
      <c r="L2676" t="s">
        <v>580</v>
      </c>
      <c r="M2676">
        <v>54</v>
      </c>
      <c r="N2676" t="s">
        <v>61</v>
      </c>
      <c r="O2676" s="3" t="s">
        <v>22</v>
      </c>
      <c r="P2676" t="s">
        <v>59</v>
      </c>
      <c r="Q2676" t="s">
        <v>24</v>
      </c>
      <c r="R2676">
        <v>4</v>
      </c>
      <c r="S2676" t="s">
        <v>48</v>
      </c>
      <c r="T2676" s="4">
        <f t="shared" si="209"/>
        <v>201254.08</v>
      </c>
      <c r="U2676" s="4" t="str">
        <f t="shared" si="210"/>
        <v>Good</v>
      </c>
      <c r="V2676" s="4" t="str">
        <f t="shared" si="206"/>
        <v>Excellent</v>
      </c>
      <c r="W2676" s="4"/>
      <c r="X2676" s="4"/>
      <c r="AJ2676" s="4"/>
    </row>
    <row r="2677" spans="1:36">
      <c r="A2677" t="str">
        <f t="shared" si="207"/>
        <v>Reen312676</v>
      </c>
      <c r="B2677">
        <v>2676</v>
      </c>
      <c r="C2677">
        <v>7</v>
      </c>
      <c r="D2677">
        <v>11</v>
      </c>
      <c r="E2677">
        <v>2023</v>
      </c>
      <c r="F2677" s="1">
        <f t="shared" si="208"/>
        <v>45237</v>
      </c>
      <c r="G2677" s="1" t="s">
        <v>144</v>
      </c>
      <c r="H2677" s="2">
        <v>47153</v>
      </c>
      <c r="I2677" t="s">
        <v>19</v>
      </c>
      <c r="J2677">
        <v>5</v>
      </c>
      <c r="K2677">
        <v>64697.09</v>
      </c>
      <c r="L2677" t="s">
        <v>968</v>
      </c>
      <c r="M2677">
        <v>31</v>
      </c>
      <c r="N2677" t="s">
        <v>21</v>
      </c>
      <c r="O2677" s="3" t="s">
        <v>55</v>
      </c>
      <c r="P2677" t="s">
        <v>66</v>
      </c>
      <c r="Q2677" t="s">
        <v>56</v>
      </c>
      <c r="R2677">
        <v>2</v>
      </c>
      <c r="S2677" t="s">
        <v>37</v>
      </c>
      <c r="T2677" s="4">
        <f t="shared" si="209"/>
        <v>323485.44999999995</v>
      </c>
      <c r="U2677" s="4" t="str">
        <f t="shared" si="210"/>
        <v>Average</v>
      </c>
      <c r="V2677" s="4" t="str">
        <f t="shared" si="206"/>
        <v>Excellent</v>
      </c>
      <c r="W2677" s="4"/>
      <c r="X2677" s="4"/>
      <c r="AJ2677" s="4"/>
    </row>
    <row r="2678" spans="1:36">
      <c r="A2678" t="str">
        <f t="shared" si="207"/>
        <v>Mano562677</v>
      </c>
      <c r="B2678">
        <v>2677</v>
      </c>
      <c r="C2678">
        <v>7</v>
      </c>
      <c r="D2678">
        <v>11</v>
      </c>
      <c r="E2678">
        <v>2023</v>
      </c>
      <c r="F2678" s="1">
        <f t="shared" si="208"/>
        <v>45237</v>
      </c>
      <c r="G2678" s="1" t="s">
        <v>144</v>
      </c>
      <c r="H2678" s="2">
        <v>47154</v>
      </c>
      <c r="I2678" t="s">
        <v>26</v>
      </c>
      <c r="J2678">
        <v>4</v>
      </c>
      <c r="K2678">
        <v>40129.72</v>
      </c>
      <c r="L2678" t="s">
        <v>284</v>
      </c>
      <c r="M2678">
        <v>56</v>
      </c>
      <c r="N2678" t="s">
        <v>61</v>
      </c>
      <c r="O2678" s="3" t="s">
        <v>22</v>
      </c>
      <c r="P2678" t="s">
        <v>150</v>
      </c>
      <c r="Q2678" t="s">
        <v>41</v>
      </c>
      <c r="R2678">
        <v>5</v>
      </c>
      <c r="S2678" t="s">
        <v>34</v>
      </c>
      <c r="T2678" s="4">
        <f t="shared" si="209"/>
        <v>160518.88</v>
      </c>
      <c r="U2678" s="4" t="str">
        <f t="shared" si="210"/>
        <v>Good</v>
      </c>
      <c r="V2678" s="4" t="str">
        <f t="shared" si="206"/>
        <v>Good</v>
      </c>
      <c r="W2678" s="4"/>
      <c r="X2678" s="4"/>
      <c r="AJ2678" s="4"/>
    </row>
    <row r="2679" spans="1:36">
      <c r="A2679" t="str">
        <f t="shared" si="207"/>
        <v>Raje582678</v>
      </c>
      <c r="B2679">
        <v>2678</v>
      </c>
      <c r="C2679">
        <v>8</v>
      </c>
      <c r="D2679">
        <v>11</v>
      </c>
      <c r="E2679">
        <v>2023</v>
      </c>
      <c r="F2679" s="1">
        <f t="shared" si="208"/>
        <v>45238</v>
      </c>
      <c r="G2679" s="1" t="s">
        <v>144</v>
      </c>
      <c r="H2679" s="2">
        <v>47155</v>
      </c>
      <c r="I2679" t="s">
        <v>38</v>
      </c>
      <c r="J2679">
        <v>6</v>
      </c>
      <c r="K2679">
        <v>67950.33</v>
      </c>
      <c r="L2679" t="s">
        <v>1018</v>
      </c>
      <c r="M2679">
        <v>58</v>
      </c>
      <c r="N2679" t="s">
        <v>61</v>
      </c>
      <c r="O2679" s="3" t="s">
        <v>22</v>
      </c>
      <c r="P2679" t="s">
        <v>29</v>
      </c>
      <c r="Q2679" t="s">
        <v>24</v>
      </c>
      <c r="R2679">
        <v>5</v>
      </c>
      <c r="S2679" t="s">
        <v>99</v>
      </c>
      <c r="T2679" s="4">
        <f t="shared" si="209"/>
        <v>407701.98</v>
      </c>
      <c r="U2679" s="4" t="str">
        <f t="shared" si="210"/>
        <v>Good</v>
      </c>
      <c r="V2679" s="4" t="str">
        <f t="shared" si="206"/>
        <v>Excellent</v>
      </c>
      <c r="W2679" s="4"/>
      <c r="X2679" s="4"/>
      <c r="AJ2679" s="4"/>
    </row>
    <row r="2680" spans="1:36">
      <c r="A2680" t="str">
        <f t="shared" si="207"/>
        <v>Nami452679</v>
      </c>
      <c r="B2680">
        <v>2679</v>
      </c>
      <c r="C2680">
        <v>8</v>
      </c>
      <c r="D2680">
        <v>11</v>
      </c>
      <c r="E2680">
        <v>2023</v>
      </c>
      <c r="F2680" s="1">
        <f t="shared" si="208"/>
        <v>45238</v>
      </c>
      <c r="G2680" s="1" t="s">
        <v>144</v>
      </c>
      <c r="H2680" s="2">
        <v>47156</v>
      </c>
      <c r="I2680" t="s">
        <v>38</v>
      </c>
      <c r="J2680">
        <v>4</v>
      </c>
      <c r="K2680">
        <v>66498.09</v>
      </c>
      <c r="L2680" t="s">
        <v>852</v>
      </c>
      <c r="M2680">
        <v>45</v>
      </c>
      <c r="N2680" t="s">
        <v>21</v>
      </c>
      <c r="O2680" s="3" t="s">
        <v>22</v>
      </c>
      <c r="P2680" t="s">
        <v>64</v>
      </c>
      <c r="Q2680" t="s">
        <v>56</v>
      </c>
      <c r="R2680">
        <v>5</v>
      </c>
      <c r="S2680" t="s">
        <v>42</v>
      </c>
      <c r="T2680" s="4">
        <f t="shared" si="209"/>
        <v>265992.36</v>
      </c>
      <c r="U2680" s="4" t="str">
        <f t="shared" si="210"/>
        <v>Good</v>
      </c>
      <c r="V2680" s="4" t="str">
        <f t="shared" si="206"/>
        <v>Excellent</v>
      </c>
      <c r="W2680" s="4"/>
      <c r="X2680" s="4"/>
      <c r="AJ2680" s="4"/>
    </row>
    <row r="2681" spans="1:36">
      <c r="A2681" t="str">
        <f t="shared" si="207"/>
        <v>Lata482680</v>
      </c>
      <c r="B2681">
        <v>2680</v>
      </c>
      <c r="C2681">
        <v>8</v>
      </c>
      <c r="D2681">
        <v>11</v>
      </c>
      <c r="E2681">
        <v>2023</v>
      </c>
      <c r="F2681" s="1">
        <f t="shared" si="208"/>
        <v>45238</v>
      </c>
      <c r="G2681" s="1" t="s">
        <v>144</v>
      </c>
      <c r="H2681" s="2">
        <v>47157</v>
      </c>
      <c r="I2681" t="s">
        <v>38</v>
      </c>
      <c r="J2681">
        <v>2</v>
      </c>
      <c r="K2681">
        <v>61903.75</v>
      </c>
      <c r="L2681" t="s">
        <v>892</v>
      </c>
      <c r="M2681">
        <v>48</v>
      </c>
      <c r="N2681" t="s">
        <v>61</v>
      </c>
      <c r="O2681" s="3" t="s">
        <v>55</v>
      </c>
      <c r="P2681" t="s">
        <v>150</v>
      </c>
      <c r="Q2681" t="s">
        <v>56</v>
      </c>
      <c r="R2681">
        <v>2</v>
      </c>
      <c r="S2681" t="s">
        <v>42</v>
      </c>
      <c r="T2681" s="4">
        <f t="shared" si="209"/>
        <v>123807.5</v>
      </c>
      <c r="U2681" s="4" t="str">
        <f t="shared" si="210"/>
        <v>Average</v>
      </c>
      <c r="V2681" s="4" t="str">
        <f t="shared" si="206"/>
        <v>Good</v>
      </c>
      <c r="W2681" s="4"/>
      <c r="X2681" s="4"/>
      <c r="AJ2681" s="4"/>
    </row>
    <row r="2682" spans="1:36">
      <c r="A2682" t="str">
        <f t="shared" si="207"/>
        <v>Anit342681</v>
      </c>
      <c r="B2682">
        <v>2681</v>
      </c>
      <c r="C2682">
        <v>8</v>
      </c>
      <c r="D2682">
        <v>11</v>
      </c>
      <c r="E2682">
        <v>2023</v>
      </c>
      <c r="F2682" s="1">
        <f t="shared" si="208"/>
        <v>45238</v>
      </c>
      <c r="G2682" s="1" t="s">
        <v>144</v>
      </c>
      <c r="H2682" s="2">
        <v>47158</v>
      </c>
      <c r="I2682" t="s">
        <v>49</v>
      </c>
      <c r="J2682">
        <v>9</v>
      </c>
      <c r="K2682">
        <v>39998.639999999999</v>
      </c>
      <c r="L2682" t="s">
        <v>375</v>
      </c>
      <c r="M2682">
        <v>34</v>
      </c>
      <c r="N2682" t="s">
        <v>21</v>
      </c>
      <c r="O2682" s="3" t="s">
        <v>22</v>
      </c>
      <c r="P2682" t="s">
        <v>114</v>
      </c>
      <c r="Q2682" t="s">
        <v>24</v>
      </c>
      <c r="R2682">
        <v>5</v>
      </c>
      <c r="S2682" t="s">
        <v>102</v>
      </c>
      <c r="T2682" s="4">
        <f t="shared" si="209"/>
        <v>359987.76</v>
      </c>
      <c r="U2682" s="4" t="str">
        <f t="shared" si="210"/>
        <v>Good</v>
      </c>
      <c r="V2682" s="4" t="str">
        <f t="shared" si="206"/>
        <v>Excellent</v>
      </c>
      <c r="W2682" s="4"/>
      <c r="X2682" s="4"/>
      <c r="AJ2682" s="4"/>
    </row>
    <row r="2683" spans="1:36">
      <c r="A2683" t="str">
        <f t="shared" si="207"/>
        <v>Neet522682</v>
      </c>
      <c r="B2683">
        <v>2682</v>
      </c>
      <c r="C2683">
        <v>9</v>
      </c>
      <c r="D2683">
        <v>11</v>
      </c>
      <c r="E2683">
        <v>2023</v>
      </c>
      <c r="F2683" s="1">
        <f t="shared" si="208"/>
        <v>45239</v>
      </c>
      <c r="G2683" s="1" t="s">
        <v>144</v>
      </c>
      <c r="H2683" s="2">
        <v>47159</v>
      </c>
      <c r="I2683" t="s">
        <v>38</v>
      </c>
      <c r="J2683">
        <v>2</v>
      </c>
      <c r="K2683">
        <v>18454.240000000002</v>
      </c>
      <c r="L2683" t="s">
        <v>496</v>
      </c>
      <c r="M2683">
        <v>52</v>
      </c>
      <c r="N2683" t="s">
        <v>61</v>
      </c>
      <c r="O2683" s="3" t="s">
        <v>55</v>
      </c>
      <c r="P2683" t="s">
        <v>33</v>
      </c>
      <c r="Q2683" t="s">
        <v>30</v>
      </c>
      <c r="R2683">
        <v>2</v>
      </c>
      <c r="S2683" t="s">
        <v>48</v>
      </c>
      <c r="T2683" s="4">
        <f t="shared" si="209"/>
        <v>36908.480000000003</v>
      </c>
      <c r="U2683" s="4" t="str">
        <f t="shared" si="210"/>
        <v>Average</v>
      </c>
      <c r="V2683" s="4" t="str">
        <f t="shared" si="206"/>
        <v>Low</v>
      </c>
      <c r="W2683" s="4"/>
      <c r="X2683" s="4"/>
      <c r="AJ2683" s="4"/>
    </row>
    <row r="2684" spans="1:36">
      <c r="A2684" t="str">
        <f t="shared" si="207"/>
        <v>Bina572683</v>
      </c>
      <c r="B2684">
        <v>2683</v>
      </c>
      <c r="C2684">
        <v>9</v>
      </c>
      <c r="D2684">
        <v>11</v>
      </c>
      <c r="E2684">
        <v>2023</v>
      </c>
      <c r="F2684" s="1">
        <f t="shared" si="208"/>
        <v>45239</v>
      </c>
      <c r="G2684" s="1" t="s">
        <v>144</v>
      </c>
      <c r="H2684" s="2">
        <v>47160</v>
      </c>
      <c r="I2684" t="s">
        <v>43</v>
      </c>
      <c r="J2684">
        <v>9</v>
      </c>
      <c r="K2684">
        <v>23074.27</v>
      </c>
      <c r="L2684" t="s">
        <v>165</v>
      </c>
      <c r="M2684">
        <v>57</v>
      </c>
      <c r="N2684" t="s">
        <v>61</v>
      </c>
      <c r="O2684" s="3" t="s">
        <v>55</v>
      </c>
      <c r="P2684" t="s">
        <v>114</v>
      </c>
      <c r="Q2684" t="s">
        <v>56</v>
      </c>
      <c r="R2684">
        <v>2</v>
      </c>
      <c r="S2684" t="s">
        <v>46</v>
      </c>
      <c r="T2684" s="4">
        <f t="shared" si="209"/>
        <v>207668.43</v>
      </c>
      <c r="U2684" s="4" t="str">
        <f t="shared" si="210"/>
        <v>Average</v>
      </c>
      <c r="V2684" s="4" t="str">
        <f t="shared" si="206"/>
        <v>Excellent</v>
      </c>
      <c r="W2684" s="4"/>
      <c r="X2684" s="4"/>
      <c r="AJ2684" s="4"/>
    </row>
    <row r="2685" spans="1:36">
      <c r="A2685" t="str">
        <f t="shared" si="207"/>
        <v>Bhav392684</v>
      </c>
      <c r="B2685">
        <v>2684</v>
      </c>
      <c r="C2685">
        <v>9</v>
      </c>
      <c r="D2685">
        <v>11</v>
      </c>
      <c r="E2685">
        <v>2023</v>
      </c>
      <c r="F2685" s="1">
        <f t="shared" si="208"/>
        <v>45239</v>
      </c>
      <c r="G2685" s="1" t="s">
        <v>144</v>
      </c>
      <c r="H2685" s="2">
        <v>47161</v>
      </c>
      <c r="I2685" t="s">
        <v>38</v>
      </c>
      <c r="J2685">
        <v>6</v>
      </c>
      <c r="K2685">
        <v>48860.2</v>
      </c>
      <c r="L2685" t="s">
        <v>368</v>
      </c>
      <c r="M2685">
        <v>39</v>
      </c>
      <c r="N2685" t="s">
        <v>21</v>
      </c>
      <c r="O2685" s="3" t="s">
        <v>22</v>
      </c>
      <c r="P2685" t="s">
        <v>77</v>
      </c>
      <c r="Q2685" t="s">
        <v>41</v>
      </c>
      <c r="R2685">
        <v>5</v>
      </c>
      <c r="S2685" t="s">
        <v>48</v>
      </c>
      <c r="T2685" s="4">
        <f t="shared" si="209"/>
        <v>293161.19999999995</v>
      </c>
      <c r="U2685" s="4" t="str">
        <f t="shared" si="210"/>
        <v>Good</v>
      </c>
      <c r="V2685" s="4" t="str">
        <f t="shared" si="206"/>
        <v>Excellent</v>
      </c>
      <c r="W2685" s="4"/>
      <c r="X2685" s="4"/>
      <c r="AJ2685" s="4"/>
    </row>
    <row r="2686" spans="1:36">
      <c r="A2686" t="str">
        <f t="shared" si="207"/>
        <v>Kris462685</v>
      </c>
      <c r="B2686">
        <v>2685</v>
      </c>
      <c r="C2686">
        <v>9</v>
      </c>
      <c r="D2686">
        <v>11</v>
      </c>
      <c r="E2686">
        <v>2023</v>
      </c>
      <c r="F2686" s="1">
        <f t="shared" si="208"/>
        <v>45239</v>
      </c>
      <c r="G2686" s="1" t="s">
        <v>144</v>
      </c>
      <c r="H2686" s="2">
        <v>47162</v>
      </c>
      <c r="I2686" t="s">
        <v>49</v>
      </c>
      <c r="J2686">
        <v>9</v>
      </c>
      <c r="K2686">
        <v>35305.300000000003</v>
      </c>
      <c r="L2686" t="s">
        <v>1019</v>
      </c>
      <c r="M2686">
        <v>46</v>
      </c>
      <c r="N2686" t="s">
        <v>61</v>
      </c>
      <c r="O2686" s="3" t="s">
        <v>28</v>
      </c>
      <c r="P2686" t="s">
        <v>29</v>
      </c>
      <c r="Q2686" t="s">
        <v>24</v>
      </c>
      <c r="R2686">
        <v>3</v>
      </c>
      <c r="S2686" t="s">
        <v>88</v>
      </c>
      <c r="T2686" s="4">
        <f t="shared" si="209"/>
        <v>317747.7</v>
      </c>
      <c r="U2686" s="4" t="str">
        <f t="shared" si="210"/>
        <v>Average</v>
      </c>
      <c r="V2686" s="4" t="str">
        <f t="shared" si="206"/>
        <v>Excellent</v>
      </c>
      <c r="W2686" s="4"/>
      <c r="X2686" s="4"/>
      <c r="AJ2686" s="4"/>
    </row>
    <row r="2687" spans="1:36">
      <c r="A2687" t="str">
        <f t="shared" si="207"/>
        <v>Vino272686</v>
      </c>
      <c r="B2687">
        <v>2686</v>
      </c>
      <c r="C2687">
        <v>10</v>
      </c>
      <c r="D2687">
        <v>11</v>
      </c>
      <c r="E2687">
        <v>2023</v>
      </c>
      <c r="F2687" s="1">
        <f t="shared" si="208"/>
        <v>45240</v>
      </c>
      <c r="G2687" s="1" t="s">
        <v>144</v>
      </c>
      <c r="H2687" s="2">
        <v>47163</v>
      </c>
      <c r="I2687" t="s">
        <v>38</v>
      </c>
      <c r="J2687">
        <v>9</v>
      </c>
      <c r="K2687">
        <v>18808.099999999999</v>
      </c>
      <c r="L2687" t="s">
        <v>431</v>
      </c>
      <c r="M2687">
        <v>27</v>
      </c>
      <c r="N2687" t="s">
        <v>36</v>
      </c>
      <c r="O2687" s="3" t="s">
        <v>22</v>
      </c>
      <c r="P2687" t="s">
        <v>51</v>
      </c>
      <c r="Q2687" t="s">
        <v>56</v>
      </c>
      <c r="R2687">
        <v>4</v>
      </c>
      <c r="S2687" t="s">
        <v>48</v>
      </c>
      <c r="T2687" s="4">
        <f t="shared" si="209"/>
        <v>169272.9</v>
      </c>
      <c r="U2687" s="4" t="str">
        <f t="shared" si="210"/>
        <v>Good</v>
      </c>
      <c r="V2687" s="4" t="str">
        <f t="shared" si="206"/>
        <v>Good</v>
      </c>
      <c r="W2687" s="4"/>
      <c r="X2687" s="4"/>
      <c r="AJ2687" s="4"/>
    </row>
    <row r="2688" spans="1:36">
      <c r="A2688" t="str">
        <f t="shared" si="207"/>
        <v>Anja352687</v>
      </c>
      <c r="B2688">
        <v>2687</v>
      </c>
      <c r="C2688">
        <v>10</v>
      </c>
      <c r="D2688">
        <v>11</v>
      </c>
      <c r="E2688">
        <v>2023</v>
      </c>
      <c r="F2688" s="1">
        <f t="shared" si="208"/>
        <v>45240</v>
      </c>
      <c r="G2688" s="1" t="s">
        <v>144</v>
      </c>
      <c r="H2688" s="2">
        <v>47164</v>
      </c>
      <c r="I2688" t="s">
        <v>26</v>
      </c>
      <c r="J2688">
        <v>3</v>
      </c>
      <c r="K2688">
        <v>38739.64</v>
      </c>
      <c r="L2688" t="s">
        <v>754</v>
      </c>
      <c r="M2688">
        <v>35</v>
      </c>
      <c r="N2688" t="s">
        <v>21</v>
      </c>
      <c r="O2688" s="3" t="s">
        <v>22</v>
      </c>
      <c r="P2688" t="s">
        <v>66</v>
      </c>
      <c r="Q2688" t="s">
        <v>41</v>
      </c>
      <c r="R2688">
        <v>4</v>
      </c>
      <c r="S2688" t="s">
        <v>31</v>
      </c>
      <c r="T2688" s="4">
        <f t="shared" si="209"/>
        <v>116218.92</v>
      </c>
      <c r="U2688" s="4" t="str">
        <f t="shared" si="210"/>
        <v>Good</v>
      </c>
      <c r="V2688" s="4" t="str">
        <f t="shared" si="206"/>
        <v>Good</v>
      </c>
      <c r="W2688" s="4"/>
      <c r="X2688" s="4"/>
      <c r="AJ2688" s="4"/>
    </row>
    <row r="2689" spans="1:36">
      <c r="A2689" t="str">
        <f t="shared" si="207"/>
        <v>Shru522688</v>
      </c>
      <c r="B2689">
        <v>2688</v>
      </c>
      <c r="C2689">
        <v>10</v>
      </c>
      <c r="D2689">
        <v>11</v>
      </c>
      <c r="E2689">
        <v>2023</v>
      </c>
      <c r="F2689" s="1">
        <f t="shared" si="208"/>
        <v>45240</v>
      </c>
      <c r="G2689" s="1" t="s">
        <v>144</v>
      </c>
      <c r="H2689" s="2">
        <v>47165</v>
      </c>
      <c r="I2689" t="s">
        <v>26</v>
      </c>
      <c r="J2689">
        <v>1</v>
      </c>
      <c r="K2689">
        <v>11045.83</v>
      </c>
      <c r="L2689" t="s">
        <v>910</v>
      </c>
      <c r="M2689">
        <v>52</v>
      </c>
      <c r="N2689" t="s">
        <v>61</v>
      </c>
      <c r="O2689" s="3" t="s">
        <v>22</v>
      </c>
      <c r="P2689" t="s">
        <v>29</v>
      </c>
      <c r="Q2689" t="s">
        <v>41</v>
      </c>
      <c r="R2689">
        <v>4</v>
      </c>
      <c r="S2689" t="s">
        <v>67</v>
      </c>
      <c r="T2689" s="4">
        <f t="shared" si="209"/>
        <v>11045.83</v>
      </c>
      <c r="U2689" s="4" t="str">
        <f t="shared" si="210"/>
        <v>Good</v>
      </c>
      <c r="V2689" s="4" t="str">
        <f t="shared" ref="V2689:V2752" si="211">IF(T2689&gt;200000,"Excellent",IF(T2689&gt;100000,"Good",IF(T2689&gt;50000,"Average","Low")))</f>
        <v>Low</v>
      </c>
      <c r="W2689" s="4"/>
      <c r="X2689" s="4"/>
      <c r="AJ2689" s="4"/>
    </row>
    <row r="2690" spans="1:36">
      <c r="A2690" t="str">
        <f t="shared" ref="A2690:A2753" si="212">LEFT(L2690,4)&amp;M2690&amp;B2690</f>
        <v>Pras332689</v>
      </c>
      <c r="B2690">
        <v>2689</v>
      </c>
      <c r="C2690">
        <v>11</v>
      </c>
      <c r="D2690">
        <v>11</v>
      </c>
      <c r="E2690">
        <v>2023</v>
      </c>
      <c r="F2690" s="1">
        <f t="shared" si="208"/>
        <v>45241</v>
      </c>
      <c r="G2690" s="1" t="s">
        <v>144</v>
      </c>
      <c r="H2690" s="2">
        <v>47166</v>
      </c>
      <c r="I2690" t="s">
        <v>49</v>
      </c>
      <c r="J2690">
        <v>1</v>
      </c>
      <c r="K2690">
        <v>54033.72</v>
      </c>
      <c r="L2690" t="s">
        <v>713</v>
      </c>
      <c r="M2690">
        <v>33</v>
      </c>
      <c r="N2690" t="s">
        <v>21</v>
      </c>
      <c r="O2690" s="3" t="s">
        <v>22</v>
      </c>
      <c r="P2690" t="s">
        <v>23</v>
      </c>
      <c r="Q2690" t="s">
        <v>41</v>
      </c>
      <c r="R2690">
        <v>4</v>
      </c>
      <c r="S2690" t="s">
        <v>102</v>
      </c>
      <c r="T2690" s="4">
        <f t="shared" si="209"/>
        <v>54033.72</v>
      </c>
      <c r="U2690" s="4" t="str">
        <f t="shared" si="210"/>
        <v>Good</v>
      </c>
      <c r="V2690" s="4" t="str">
        <f t="shared" si="211"/>
        <v>Average</v>
      </c>
      <c r="W2690" s="4"/>
      <c r="X2690" s="4"/>
      <c r="AJ2690" s="4"/>
    </row>
    <row r="2691" spans="1:36">
      <c r="A2691" t="str">
        <f t="shared" si="212"/>
        <v>Deep242690</v>
      </c>
      <c r="B2691">
        <v>2690</v>
      </c>
      <c r="C2691">
        <v>11</v>
      </c>
      <c r="D2691">
        <v>11</v>
      </c>
      <c r="E2691">
        <v>2023</v>
      </c>
      <c r="F2691" s="1">
        <f t="shared" ref="F2691:F2754" si="213">DATE(E2691,D2691,C2691)</f>
        <v>45241</v>
      </c>
      <c r="G2691" s="1" t="s">
        <v>144</v>
      </c>
      <c r="H2691" s="2">
        <v>47167</v>
      </c>
      <c r="I2691" t="s">
        <v>43</v>
      </c>
      <c r="J2691">
        <v>3</v>
      </c>
      <c r="K2691">
        <v>14414.88</v>
      </c>
      <c r="L2691" t="s">
        <v>664</v>
      </c>
      <c r="M2691">
        <v>24</v>
      </c>
      <c r="N2691" t="s">
        <v>36</v>
      </c>
      <c r="O2691" s="3" t="s">
        <v>22</v>
      </c>
      <c r="P2691" t="s">
        <v>132</v>
      </c>
      <c r="Q2691" t="s">
        <v>41</v>
      </c>
      <c r="R2691">
        <v>5</v>
      </c>
      <c r="S2691" t="s">
        <v>57</v>
      </c>
      <c r="T2691" s="4">
        <f t="shared" ref="T2691:T2754" si="214">J2691*K2691</f>
        <v>43244.639999999999</v>
      </c>
      <c r="U2691" s="4" t="str">
        <f t="shared" ref="U2691:U2754" si="215">IF(R2691&gt;=4,"Good","Average")</f>
        <v>Good</v>
      </c>
      <c r="V2691" s="4" t="str">
        <f t="shared" si="211"/>
        <v>Low</v>
      </c>
      <c r="W2691" s="4"/>
      <c r="X2691" s="4"/>
      <c r="AJ2691" s="4"/>
    </row>
    <row r="2692" spans="1:36">
      <c r="A2692" t="str">
        <f t="shared" si="212"/>
        <v>Shru472691</v>
      </c>
      <c r="B2692">
        <v>2691</v>
      </c>
      <c r="C2692">
        <v>11</v>
      </c>
      <c r="D2692">
        <v>11</v>
      </c>
      <c r="E2692">
        <v>2023</v>
      </c>
      <c r="F2692" s="1">
        <f t="shared" si="213"/>
        <v>45241</v>
      </c>
      <c r="G2692" s="1" t="s">
        <v>144</v>
      </c>
      <c r="H2692" s="2">
        <v>47168</v>
      </c>
      <c r="I2692" t="s">
        <v>43</v>
      </c>
      <c r="J2692">
        <v>5</v>
      </c>
      <c r="K2692">
        <v>47746.82</v>
      </c>
      <c r="L2692" t="s">
        <v>910</v>
      </c>
      <c r="M2692">
        <v>47</v>
      </c>
      <c r="N2692" t="s">
        <v>61</v>
      </c>
      <c r="O2692" s="3" t="s">
        <v>55</v>
      </c>
      <c r="P2692" t="s">
        <v>45</v>
      </c>
      <c r="Q2692" t="s">
        <v>24</v>
      </c>
      <c r="R2692">
        <v>2</v>
      </c>
      <c r="S2692" t="s">
        <v>46</v>
      </c>
      <c r="T2692" s="4">
        <f t="shared" si="214"/>
        <v>238734.1</v>
      </c>
      <c r="U2692" s="4" t="str">
        <f t="shared" si="215"/>
        <v>Average</v>
      </c>
      <c r="V2692" s="4" t="str">
        <f t="shared" si="211"/>
        <v>Excellent</v>
      </c>
      <c r="W2692" s="4"/>
      <c r="X2692" s="4"/>
      <c r="AJ2692" s="4"/>
    </row>
    <row r="2693" spans="1:36">
      <c r="A2693" t="str">
        <f t="shared" si="212"/>
        <v>Vino362692</v>
      </c>
      <c r="B2693">
        <v>2692</v>
      </c>
      <c r="C2693">
        <v>11</v>
      </c>
      <c r="D2693">
        <v>11</v>
      </c>
      <c r="E2693">
        <v>2023</v>
      </c>
      <c r="F2693" s="1">
        <f t="shared" si="213"/>
        <v>45241</v>
      </c>
      <c r="G2693" s="1" t="s">
        <v>144</v>
      </c>
      <c r="H2693" s="2">
        <v>47169</v>
      </c>
      <c r="I2693" t="s">
        <v>19</v>
      </c>
      <c r="J2693">
        <v>3</v>
      </c>
      <c r="K2693">
        <v>57580.62</v>
      </c>
      <c r="L2693" t="s">
        <v>431</v>
      </c>
      <c r="M2693">
        <v>36</v>
      </c>
      <c r="N2693" t="s">
        <v>21</v>
      </c>
      <c r="O2693" s="3" t="s">
        <v>22</v>
      </c>
      <c r="P2693" t="s">
        <v>66</v>
      </c>
      <c r="Q2693" t="s">
        <v>41</v>
      </c>
      <c r="R2693">
        <v>5</v>
      </c>
      <c r="S2693" t="s">
        <v>25</v>
      </c>
      <c r="T2693" s="4">
        <f t="shared" si="214"/>
        <v>172741.86000000002</v>
      </c>
      <c r="U2693" s="4" t="str">
        <f t="shared" si="215"/>
        <v>Good</v>
      </c>
      <c r="V2693" s="4" t="str">
        <f t="shared" si="211"/>
        <v>Good</v>
      </c>
      <c r="W2693" s="4"/>
      <c r="X2693" s="4"/>
      <c r="AJ2693" s="4"/>
    </row>
    <row r="2694" spans="1:36">
      <c r="A2694" t="str">
        <f t="shared" si="212"/>
        <v>Sneh402693</v>
      </c>
      <c r="B2694">
        <v>2693</v>
      </c>
      <c r="C2694">
        <v>12</v>
      </c>
      <c r="D2694">
        <v>11</v>
      </c>
      <c r="E2694">
        <v>2023</v>
      </c>
      <c r="F2694" s="1">
        <f t="shared" si="213"/>
        <v>45242</v>
      </c>
      <c r="G2694" s="1" t="s">
        <v>144</v>
      </c>
      <c r="H2694" s="2">
        <v>47170</v>
      </c>
      <c r="I2694" t="s">
        <v>49</v>
      </c>
      <c r="J2694">
        <v>9</v>
      </c>
      <c r="K2694">
        <v>17958.63</v>
      </c>
      <c r="L2694" t="s">
        <v>234</v>
      </c>
      <c r="M2694">
        <v>40</v>
      </c>
      <c r="N2694" t="s">
        <v>21</v>
      </c>
      <c r="O2694" s="3" t="s">
        <v>22</v>
      </c>
      <c r="P2694" t="s">
        <v>132</v>
      </c>
      <c r="Q2694" t="s">
        <v>24</v>
      </c>
      <c r="R2694">
        <v>4</v>
      </c>
      <c r="S2694" t="s">
        <v>102</v>
      </c>
      <c r="T2694" s="4">
        <f t="shared" si="214"/>
        <v>161627.67000000001</v>
      </c>
      <c r="U2694" s="4" t="str">
        <f t="shared" si="215"/>
        <v>Good</v>
      </c>
      <c r="V2694" s="4" t="str">
        <f t="shared" si="211"/>
        <v>Good</v>
      </c>
      <c r="W2694" s="4"/>
      <c r="X2694" s="4"/>
      <c r="AJ2694" s="4"/>
    </row>
    <row r="2695" spans="1:36">
      <c r="A2695" t="str">
        <f t="shared" si="212"/>
        <v>Lata252694</v>
      </c>
      <c r="B2695">
        <v>2694</v>
      </c>
      <c r="C2695">
        <v>12</v>
      </c>
      <c r="D2695">
        <v>11</v>
      </c>
      <c r="E2695">
        <v>2023</v>
      </c>
      <c r="F2695" s="1">
        <f t="shared" si="213"/>
        <v>45242</v>
      </c>
      <c r="G2695" s="1" t="s">
        <v>144</v>
      </c>
      <c r="H2695" s="2">
        <v>47171</v>
      </c>
      <c r="I2695" t="s">
        <v>38</v>
      </c>
      <c r="J2695">
        <v>9</v>
      </c>
      <c r="K2695">
        <v>41118.32</v>
      </c>
      <c r="L2695" t="s">
        <v>892</v>
      </c>
      <c r="M2695">
        <v>25</v>
      </c>
      <c r="N2695" t="s">
        <v>36</v>
      </c>
      <c r="O2695" s="3" t="s">
        <v>22</v>
      </c>
      <c r="P2695" t="s">
        <v>29</v>
      </c>
      <c r="Q2695" t="s">
        <v>41</v>
      </c>
      <c r="R2695">
        <v>4</v>
      </c>
      <c r="S2695" t="s">
        <v>42</v>
      </c>
      <c r="T2695" s="4">
        <f t="shared" si="214"/>
        <v>370064.88</v>
      </c>
      <c r="U2695" s="4" t="str">
        <f t="shared" si="215"/>
        <v>Good</v>
      </c>
      <c r="V2695" s="4" t="str">
        <f t="shared" si="211"/>
        <v>Excellent</v>
      </c>
      <c r="W2695" s="4"/>
      <c r="X2695" s="4"/>
      <c r="AJ2695" s="4"/>
    </row>
    <row r="2696" spans="1:36">
      <c r="A2696" t="str">
        <f t="shared" si="212"/>
        <v>Reen342695</v>
      </c>
      <c r="B2696">
        <v>2695</v>
      </c>
      <c r="C2696">
        <v>12</v>
      </c>
      <c r="D2696">
        <v>11</v>
      </c>
      <c r="E2696">
        <v>2023</v>
      </c>
      <c r="F2696" s="1">
        <f t="shared" si="213"/>
        <v>45242</v>
      </c>
      <c r="G2696" s="1" t="s">
        <v>144</v>
      </c>
      <c r="H2696" s="2">
        <v>47172</v>
      </c>
      <c r="I2696" t="s">
        <v>49</v>
      </c>
      <c r="J2696">
        <v>3</v>
      </c>
      <c r="K2696">
        <v>56744.05</v>
      </c>
      <c r="L2696" t="s">
        <v>161</v>
      </c>
      <c r="M2696">
        <v>34</v>
      </c>
      <c r="N2696" t="s">
        <v>21</v>
      </c>
      <c r="O2696" s="3" t="s">
        <v>22</v>
      </c>
      <c r="P2696" t="s">
        <v>29</v>
      </c>
      <c r="Q2696" t="s">
        <v>41</v>
      </c>
      <c r="R2696">
        <v>5</v>
      </c>
      <c r="S2696" t="s">
        <v>52</v>
      </c>
      <c r="T2696" s="4">
        <f t="shared" si="214"/>
        <v>170232.15000000002</v>
      </c>
      <c r="U2696" s="4" t="str">
        <f t="shared" si="215"/>
        <v>Good</v>
      </c>
      <c r="V2696" s="4" t="str">
        <f t="shared" si="211"/>
        <v>Good</v>
      </c>
      <c r="W2696" s="4"/>
      <c r="X2696" s="4"/>
      <c r="AJ2696" s="4"/>
    </row>
    <row r="2697" spans="1:36">
      <c r="A2697" t="str">
        <f t="shared" si="212"/>
        <v>Lali382696</v>
      </c>
      <c r="B2697">
        <v>2696</v>
      </c>
      <c r="C2697">
        <v>13</v>
      </c>
      <c r="D2697">
        <v>11</v>
      </c>
      <c r="E2697">
        <v>2023</v>
      </c>
      <c r="F2697" s="1">
        <f t="shared" si="213"/>
        <v>45243</v>
      </c>
      <c r="G2697" s="1" t="s">
        <v>144</v>
      </c>
      <c r="H2697" s="2">
        <v>47173</v>
      </c>
      <c r="I2697" t="s">
        <v>19</v>
      </c>
      <c r="J2697">
        <v>3</v>
      </c>
      <c r="K2697">
        <v>25638.01</v>
      </c>
      <c r="L2697" t="s">
        <v>668</v>
      </c>
      <c r="M2697">
        <v>38</v>
      </c>
      <c r="N2697" t="s">
        <v>21</v>
      </c>
      <c r="O2697" s="3" t="s">
        <v>22</v>
      </c>
      <c r="P2697" t="s">
        <v>29</v>
      </c>
      <c r="Q2697" t="s">
        <v>24</v>
      </c>
      <c r="R2697">
        <v>4</v>
      </c>
      <c r="S2697" t="s">
        <v>84</v>
      </c>
      <c r="T2697" s="4">
        <f t="shared" si="214"/>
        <v>76914.03</v>
      </c>
      <c r="U2697" s="4" t="str">
        <f t="shared" si="215"/>
        <v>Good</v>
      </c>
      <c r="V2697" s="4" t="str">
        <f t="shared" si="211"/>
        <v>Average</v>
      </c>
      <c r="W2697" s="4"/>
      <c r="X2697" s="4"/>
      <c r="AJ2697" s="4"/>
    </row>
    <row r="2698" spans="1:36">
      <c r="A2698" t="str">
        <f t="shared" si="212"/>
        <v>Meen432697</v>
      </c>
      <c r="B2698">
        <v>2697</v>
      </c>
      <c r="C2698">
        <v>13</v>
      </c>
      <c r="D2698">
        <v>11</v>
      </c>
      <c r="E2698">
        <v>2023</v>
      </c>
      <c r="F2698" s="1">
        <f t="shared" si="213"/>
        <v>45243</v>
      </c>
      <c r="G2698" s="1" t="s">
        <v>144</v>
      </c>
      <c r="H2698" s="2">
        <v>47174</v>
      </c>
      <c r="I2698" t="s">
        <v>49</v>
      </c>
      <c r="J2698">
        <v>5</v>
      </c>
      <c r="K2698">
        <v>19775</v>
      </c>
      <c r="L2698" t="s">
        <v>134</v>
      </c>
      <c r="M2698">
        <v>43</v>
      </c>
      <c r="N2698" t="s">
        <v>21</v>
      </c>
      <c r="O2698" s="3" t="s">
        <v>55</v>
      </c>
      <c r="P2698" t="s">
        <v>33</v>
      </c>
      <c r="Q2698" t="s">
        <v>30</v>
      </c>
      <c r="R2698">
        <v>2</v>
      </c>
      <c r="S2698" t="s">
        <v>52</v>
      </c>
      <c r="T2698" s="4">
        <f t="shared" si="214"/>
        <v>98875</v>
      </c>
      <c r="U2698" s="4" t="str">
        <f t="shared" si="215"/>
        <v>Average</v>
      </c>
      <c r="V2698" s="4" t="str">
        <f t="shared" si="211"/>
        <v>Average</v>
      </c>
      <c r="W2698" s="4"/>
      <c r="X2698" s="4"/>
      <c r="AJ2698" s="4"/>
    </row>
    <row r="2699" spans="1:36">
      <c r="A2699" t="str">
        <f t="shared" si="212"/>
        <v>Pank452698</v>
      </c>
      <c r="B2699">
        <v>2698</v>
      </c>
      <c r="C2699">
        <v>13</v>
      </c>
      <c r="D2699">
        <v>11</v>
      </c>
      <c r="E2699">
        <v>2023</v>
      </c>
      <c r="F2699" s="1">
        <f t="shared" si="213"/>
        <v>45243</v>
      </c>
      <c r="G2699" s="1" t="s">
        <v>144</v>
      </c>
      <c r="H2699" s="2">
        <v>47175</v>
      </c>
      <c r="I2699" t="s">
        <v>49</v>
      </c>
      <c r="J2699">
        <v>2</v>
      </c>
      <c r="K2699">
        <v>30209.15</v>
      </c>
      <c r="L2699" t="s">
        <v>1020</v>
      </c>
      <c r="M2699">
        <v>45</v>
      </c>
      <c r="N2699" t="s">
        <v>21</v>
      </c>
      <c r="O2699" s="3" t="s">
        <v>22</v>
      </c>
      <c r="P2699" t="s">
        <v>93</v>
      </c>
      <c r="Q2699" t="s">
        <v>56</v>
      </c>
      <c r="R2699">
        <v>4</v>
      </c>
      <c r="S2699" t="s">
        <v>102</v>
      </c>
      <c r="T2699" s="4">
        <f t="shared" si="214"/>
        <v>60418.3</v>
      </c>
      <c r="U2699" s="4" t="str">
        <f t="shared" si="215"/>
        <v>Good</v>
      </c>
      <c r="V2699" s="4" t="str">
        <f t="shared" si="211"/>
        <v>Average</v>
      </c>
      <c r="W2699" s="4"/>
      <c r="X2699" s="4"/>
      <c r="AJ2699" s="4"/>
    </row>
    <row r="2700" spans="1:36">
      <c r="A2700" t="str">
        <f t="shared" si="212"/>
        <v>Kris562699</v>
      </c>
      <c r="B2700">
        <v>2699</v>
      </c>
      <c r="C2700">
        <v>14</v>
      </c>
      <c r="D2700">
        <v>11</v>
      </c>
      <c r="E2700">
        <v>2023</v>
      </c>
      <c r="F2700" s="1">
        <f t="shared" si="213"/>
        <v>45244</v>
      </c>
      <c r="G2700" s="1" t="s">
        <v>144</v>
      </c>
      <c r="H2700" s="2">
        <v>47176</v>
      </c>
      <c r="I2700" t="s">
        <v>19</v>
      </c>
      <c r="J2700">
        <v>6</v>
      </c>
      <c r="K2700">
        <v>43281.95</v>
      </c>
      <c r="L2700" t="s">
        <v>1021</v>
      </c>
      <c r="M2700">
        <v>56</v>
      </c>
      <c r="N2700" t="s">
        <v>61</v>
      </c>
      <c r="O2700" s="3" t="s">
        <v>22</v>
      </c>
      <c r="P2700" t="s">
        <v>117</v>
      </c>
      <c r="Q2700" t="s">
        <v>56</v>
      </c>
      <c r="R2700">
        <v>4</v>
      </c>
      <c r="S2700" t="s">
        <v>37</v>
      </c>
      <c r="T2700" s="4">
        <f t="shared" si="214"/>
        <v>259691.69999999998</v>
      </c>
      <c r="U2700" s="4" t="str">
        <f t="shared" si="215"/>
        <v>Good</v>
      </c>
      <c r="V2700" s="4" t="str">
        <f t="shared" si="211"/>
        <v>Excellent</v>
      </c>
      <c r="W2700" s="4"/>
      <c r="X2700" s="4"/>
      <c r="AJ2700" s="4"/>
    </row>
    <row r="2701" spans="1:36">
      <c r="A2701" t="str">
        <f t="shared" si="212"/>
        <v>Kavi502700</v>
      </c>
      <c r="B2701">
        <v>2700</v>
      </c>
      <c r="C2701">
        <v>14</v>
      </c>
      <c r="D2701">
        <v>11</v>
      </c>
      <c r="E2701">
        <v>2023</v>
      </c>
      <c r="F2701" s="1">
        <f t="shared" si="213"/>
        <v>45244</v>
      </c>
      <c r="G2701" s="1" t="s">
        <v>144</v>
      </c>
      <c r="H2701" s="2">
        <v>47177</v>
      </c>
      <c r="I2701" t="s">
        <v>43</v>
      </c>
      <c r="J2701">
        <v>7</v>
      </c>
      <c r="K2701">
        <v>44516.78</v>
      </c>
      <c r="L2701" t="s">
        <v>230</v>
      </c>
      <c r="M2701">
        <v>50</v>
      </c>
      <c r="N2701" t="s">
        <v>61</v>
      </c>
      <c r="O2701" s="3" t="s">
        <v>22</v>
      </c>
      <c r="P2701" t="s">
        <v>29</v>
      </c>
      <c r="Q2701" t="s">
        <v>24</v>
      </c>
      <c r="R2701">
        <v>5</v>
      </c>
      <c r="S2701" t="s">
        <v>57</v>
      </c>
      <c r="T2701" s="4">
        <f t="shared" si="214"/>
        <v>311617.45999999996</v>
      </c>
      <c r="U2701" s="4" t="str">
        <f t="shared" si="215"/>
        <v>Good</v>
      </c>
      <c r="V2701" s="4" t="str">
        <f t="shared" si="211"/>
        <v>Excellent</v>
      </c>
      <c r="W2701" s="4"/>
      <c r="X2701" s="4"/>
      <c r="AJ2701" s="4"/>
    </row>
    <row r="2702" spans="1:36">
      <c r="A2702" t="str">
        <f t="shared" si="212"/>
        <v>Bhav572701</v>
      </c>
      <c r="B2702">
        <v>2701</v>
      </c>
      <c r="C2702">
        <v>14</v>
      </c>
      <c r="D2702">
        <v>11</v>
      </c>
      <c r="E2702">
        <v>2023</v>
      </c>
      <c r="F2702" s="1">
        <f t="shared" si="213"/>
        <v>45244</v>
      </c>
      <c r="G2702" s="1" t="s">
        <v>144</v>
      </c>
      <c r="H2702" s="2">
        <v>47178</v>
      </c>
      <c r="I2702" t="s">
        <v>38</v>
      </c>
      <c r="J2702">
        <v>9</v>
      </c>
      <c r="K2702">
        <v>17852.580000000002</v>
      </c>
      <c r="L2702" t="s">
        <v>440</v>
      </c>
      <c r="M2702">
        <v>57</v>
      </c>
      <c r="N2702" t="s">
        <v>61</v>
      </c>
      <c r="O2702" s="3" t="s">
        <v>55</v>
      </c>
      <c r="P2702" t="s">
        <v>29</v>
      </c>
      <c r="Q2702" t="s">
        <v>41</v>
      </c>
      <c r="R2702">
        <v>2</v>
      </c>
      <c r="S2702" t="s">
        <v>99</v>
      </c>
      <c r="T2702" s="4">
        <f t="shared" si="214"/>
        <v>160673.22000000003</v>
      </c>
      <c r="U2702" s="4" t="str">
        <f t="shared" si="215"/>
        <v>Average</v>
      </c>
      <c r="V2702" s="4" t="str">
        <f t="shared" si="211"/>
        <v>Good</v>
      </c>
      <c r="W2702" s="4"/>
      <c r="X2702" s="4"/>
      <c r="AJ2702" s="4"/>
    </row>
    <row r="2703" spans="1:36">
      <c r="A2703" t="str">
        <f t="shared" si="212"/>
        <v>Anan362702</v>
      </c>
      <c r="B2703">
        <v>2702</v>
      </c>
      <c r="C2703">
        <v>15</v>
      </c>
      <c r="D2703">
        <v>11</v>
      </c>
      <c r="E2703">
        <v>2023</v>
      </c>
      <c r="F2703" s="1">
        <f t="shared" si="213"/>
        <v>45245</v>
      </c>
      <c r="G2703" s="1" t="s">
        <v>144</v>
      </c>
      <c r="H2703" s="2">
        <v>47179</v>
      </c>
      <c r="I2703" t="s">
        <v>19</v>
      </c>
      <c r="J2703">
        <v>6</v>
      </c>
      <c r="K2703">
        <v>37454.129999999997</v>
      </c>
      <c r="L2703" t="s">
        <v>418</v>
      </c>
      <c r="M2703">
        <v>36</v>
      </c>
      <c r="N2703" t="s">
        <v>21</v>
      </c>
      <c r="O2703" s="3" t="s">
        <v>28</v>
      </c>
      <c r="P2703" t="s">
        <v>33</v>
      </c>
      <c r="Q2703" t="s">
        <v>24</v>
      </c>
      <c r="R2703">
        <v>3</v>
      </c>
      <c r="S2703" t="s">
        <v>84</v>
      </c>
      <c r="T2703" s="4">
        <f t="shared" si="214"/>
        <v>224724.77999999997</v>
      </c>
      <c r="U2703" s="4" t="str">
        <f t="shared" si="215"/>
        <v>Average</v>
      </c>
      <c r="V2703" s="4" t="str">
        <f t="shared" si="211"/>
        <v>Excellent</v>
      </c>
      <c r="W2703" s="4"/>
      <c r="X2703" s="4"/>
      <c r="AJ2703" s="4"/>
    </row>
    <row r="2704" spans="1:36">
      <c r="A2704" t="str">
        <f t="shared" si="212"/>
        <v>Gita462703</v>
      </c>
      <c r="B2704">
        <v>2703</v>
      </c>
      <c r="C2704">
        <v>15</v>
      </c>
      <c r="D2704">
        <v>11</v>
      </c>
      <c r="E2704">
        <v>2023</v>
      </c>
      <c r="F2704" s="1">
        <f t="shared" si="213"/>
        <v>45245</v>
      </c>
      <c r="G2704" s="1" t="s">
        <v>144</v>
      </c>
      <c r="H2704" s="2">
        <v>47180</v>
      </c>
      <c r="I2704" t="s">
        <v>26</v>
      </c>
      <c r="J2704">
        <v>3</v>
      </c>
      <c r="K2704">
        <v>26096.93</v>
      </c>
      <c r="L2704" t="s">
        <v>795</v>
      </c>
      <c r="M2704">
        <v>46</v>
      </c>
      <c r="N2704" t="s">
        <v>61</v>
      </c>
      <c r="O2704" s="3" t="s">
        <v>22</v>
      </c>
      <c r="P2704" t="s">
        <v>132</v>
      </c>
      <c r="Q2704" t="s">
        <v>41</v>
      </c>
      <c r="R2704">
        <v>5</v>
      </c>
      <c r="S2704" t="s">
        <v>31</v>
      </c>
      <c r="T2704" s="4">
        <f t="shared" si="214"/>
        <v>78290.790000000008</v>
      </c>
      <c r="U2704" s="4" t="str">
        <f t="shared" si="215"/>
        <v>Good</v>
      </c>
      <c r="V2704" s="4" t="str">
        <f t="shared" si="211"/>
        <v>Average</v>
      </c>
      <c r="W2704" s="4"/>
      <c r="X2704" s="4"/>
      <c r="AJ2704" s="4"/>
    </row>
    <row r="2705" spans="1:36">
      <c r="A2705" t="str">
        <f t="shared" si="212"/>
        <v>Kris372704</v>
      </c>
      <c r="B2705">
        <v>2704</v>
      </c>
      <c r="C2705">
        <v>15</v>
      </c>
      <c r="D2705">
        <v>11</v>
      </c>
      <c r="E2705">
        <v>2023</v>
      </c>
      <c r="F2705" s="1">
        <f t="shared" si="213"/>
        <v>45245</v>
      </c>
      <c r="G2705" s="1" t="s">
        <v>144</v>
      </c>
      <c r="H2705" s="2">
        <v>47181</v>
      </c>
      <c r="I2705" t="s">
        <v>43</v>
      </c>
      <c r="J2705">
        <v>5</v>
      </c>
      <c r="K2705">
        <v>60521.45</v>
      </c>
      <c r="L2705" t="s">
        <v>405</v>
      </c>
      <c r="M2705">
        <v>37</v>
      </c>
      <c r="N2705" t="s">
        <v>21</v>
      </c>
      <c r="O2705" s="3" t="s">
        <v>28</v>
      </c>
      <c r="P2705" t="s">
        <v>40</v>
      </c>
      <c r="Q2705" t="s">
        <v>24</v>
      </c>
      <c r="R2705">
        <v>3</v>
      </c>
      <c r="S2705" t="s">
        <v>46</v>
      </c>
      <c r="T2705" s="4">
        <f t="shared" si="214"/>
        <v>302607.25</v>
      </c>
      <c r="U2705" s="4" t="str">
        <f t="shared" si="215"/>
        <v>Average</v>
      </c>
      <c r="V2705" s="4" t="str">
        <f t="shared" si="211"/>
        <v>Excellent</v>
      </c>
      <c r="W2705" s="4"/>
      <c r="X2705" s="4"/>
      <c r="AJ2705" s="4"/>
    </row>
    <row r="2706" spans="1:36">
      <c r="A2706" t="str">
        <f t="shared" si="212"/>
        <v>Priy372705</v>
      </c>
      <c r="B2706">
        <v>2705</v>
      </c>
      <c r="C2706">
        <v>15</v>
      </c>
      <c r="D2706">
        <v>11</v>
      </c>
      <c r="E2706">
        <v>2023</v>
      </c>
      <c r="F2706" s="1">
        <f t="shared" si="213"/>
        <v>45245</v>
      </c>
      <c r="G2706" s="1" t="s">
        <v>144</v>
      </c>
      <c r="H2706" s="2">
        <v>47182</v>
      </c>
      <c r="I2706" t="s">
        <v>26</v>
      </c>
      <c r="J2706">
        <v>4</v>
      </c>
      <c r="K2706">
        <v>28814.51</v>
      </c>
      <c r="L2706" t="s">
        <v>616</v>
      </c>
      <c r="M2706">
        <v>37</v>
      </c>
      <c r="N2706" t="s">
        <v>21</v>
      </c>
      <c r="O2706" s="3" t="s">
        <v>22</v>
      </c>
      <c r="P2706" t="s">
        <v>64</v>
      </c>
      <c r="Q2706" t="s">
        <v>56</v>
      </c>
      <c r="R2706">
        <v>5</v>
      </c>
      <c r="S2706" t="s">
        <v>67</v>
      </c>
      <c r="T2706" s="4">
        <f t="shared" si="214"/>
        <v>115258.04</v>
      </c>
      <c r="U2706" s="4" t="str">
        <f t="shared" si="215"/>
        <v>Good</v>
      </c>
      <c r="V2706" s="4" t="str">
        <f t="shared" si="211"/>
        <v>Good</v>
      </c>
      <c r="W2706" s="4"/>
      <c r="X2706" s="4"/>
      <c r="AJ2706" s="4"/>
    </row>
    <row r="2707" spans="1:36">
      <c r="A2707" t="str">
        <f t="shared" si="212"/>
        <v>Shru272706</v>
      </c>
      <c r="B2707">
        <v>2706</v>
      </c>
      <c r="C2707">
        <v>16</v>
      </c>
      <c r="D2707">
        <v>11</v>
      </c>
      <c r="E2707">
        <v>2023</v>
      </c>
      <c r="F2707" s="1">
        <f t="shared" si="213"/>
        <v>45246</v>
      </c>
      <c r="G2707" s="1" t="s">
        <v>144</v>
      </c>
      <c r="H2707" s="2">
        <v>47183</v>
      </c>
      <c r="I2707" t="s">
        <v>43</v>
      </c>
      <c r="J2707">
        <v>5</v>
      </c>
      <c r="K2707">
        <v>60322.27</v>
      </c>
      <c r="L2707" t="s">
        <v>1022</v>
      </c>
      <c r="M2707">
        <v>27</v>
      </c>
      <c r="N2707" t="s">
        <v>36</v>
      </c>
      <c r="O2707" s="3" t="s">
        <v>22</v>
      </c>
      <c r="P2707" t="s">
        <v>29</v>
      </c>
      <c r="Q2707" t="s">
        <v>24</v>
      </c>
      <c r="R2707">
        <v>4</v>
      </c>
      <c r="S2707" t="s">
        <v>95</v>
      </c>
      <c r="T2707" s="4">
        <f t="shared" si="214"/>
        <v>301611.34999999998</v>
      </c>
      <c r="U2707" s="4" t="str">
        <f t="shared" si="215"/>
        <v>Good</v>
      </c>
      <c r="V2707" s="4" t="str">
        <f t="shared" si="211"/>
        <v>Excellent</v>
      </c>
      <c r="W2707" s="4"/>
      <c r="X2707" s="4"/>
      <c r="AJ2707" s="4"/>
    </row>
    <row r="2708" spans="1:36">
      <c r="A2708" t="str">
        <f t="shared" si="212"/>
        <v>Deep292707</v>
      </c>
      <c r="B2708">
        <v>2707</v>
      </c>
      <c r="C2708">
        <v>16</v>
      </c>
      <c r="D2708">
        <v>11</v>
      </c>
      <c r="E2708">
        <v>2023</v>
      </c>
      <c r="F2708" s="1">
        <f t="shared" si="213"/>
        <v>45246</v>
      </c>
      <c r="G2708" s="1" t="s">
        <v>144</v>
      </c>
      <c r="H2708" s="2">
        <v>47184</v>
      </c>
      <c r="I2708" t="s">
        <v>38</v>
      </c>
      <c r="J2708">
        <v>8</v>
      </c>
      <c r="K2708">
        <v>35713.879999999997</v>
      </c>
      <c r="L2708" t="s">
        <v>500</v>
      </c>
      <c r="M2708">
        <v>29</v>
      </c>
      <c r="N2708" t="s">
        <v>36</v>
      </c>
      <c r="O2708" s="3" t="s">
        <v>22</v>
      </c>
      <c r="P2708" t="s">
        <v>77</v>
      </c>
      <c r="Q2708" t="s">
        <v>56</v>
      </c>
      <c r="R2708">
        <v>5</v>
      </c>
      <c r="S2708" t="s">
        <v>42</v>
      </c>
      <c r="T2708" s="4">
        <f t="shared" si="214"/>
        <v>285711.03999999998</v>
      </c>
      <c r="U2708" s="4" t="str">
        <f t="shared" si="215"/>
        <v>Good</v>
      </c>
      <c r="V2708" s="4" t="str">
        <f t="shared" si="211"/>
        <v>Excellent</v>
      </c>
      <c r="W2708" s="4"/>
      <c r="X2708" s="4"/>
      <c r="AJ2708" s="4"/>
    </row>
    <row r="2709" spans="1:36">
      <c r="A2709" t="str">
        <f t="shared" si="212"/>
        <v>Navi502708</v>
      </c>
      <c r="B2709">
        <v>2708</v>
      </c>
      <c r="C2709">
        <v>16</v>
      </c>
      <c r="D2709">
        <v>11</v>
      </c>
      <c r="E2709">
        <v>2023</v>
      </c>
      <c r="F2709" s="1">
        <f t="shared" si="213"/>
        <v>45246</v>
      </c>
      <c r="G2709" s="1" t="s">
        <v>144</v>
      </c>
      <c r="H2709" s="2">
        <v>47185</v>
      </c>
      <c r="I2709" t="s">
        <v>38</v>
      </c>
      <c r="J2709">
        <v>8</v>
      </c>
      <c r="K2709">
        <v>53595.15</v>
      </c>
      <c r="L2709" t="s">
        <v>1023</v>
      </c>
      <c r="M2709">
        <v>50</v>
      </c>
      <c r="N2709" t="s">
        <v>61</v>
      </c>
      <c r="O2709" s="3" t="s">
        <v>55</v>
      </c>
      <c r="P2709" t="s">
        <v>93</v>
      </c>
      <c r="Q2709" t="s">
        <v>56</v>
      </c>
      <c r="R2709">
        <v>2</v>
      </c>
      <c r="S2709" t="s">
        <v>99</v>
      </c>
      <c r="T2709" s="4">
        <f t="shared" si="214"/>
        <v>428761.2</v>
      </c>
      <c r="U2709" s="4" t="str">
        <f t="shared" si="215"/>
        <v>Average</v>
      </c>
      <c r="V2709" s="4" t="str">
        <f t="shared" si="211"/>
        <v>Excellent</v>
      </c>
      <c r="W2709" s="4"/>
      <c r="X2709" s="4"/>
      <c r="AJ2709" s="4"/>
    </row>
    <row r="2710" spans="1:36">
      <c r="A2710" t="str">
        <f t="shared" si="212"/>
        <v>Pooj422709</v>
      </c>
      <c r="B2710">
        <v>2709</v>
      </c>
      <c r="C2710">
        <v>16</v>
      </c>
      <c r="D2710">
        <v>11</v>
      </c>
      <c r="E2710">
        <v>2023</v>
      </c>
      <c r="F2710" s="1">
        <f t="shared" si="213"/>
        <v>45246</v>
      </c>
      <c r="G2710" s="1" t="s">
        <v>144</v>
      </c>
      <c r="H2710" s="2">
        <v>47186</v>
      </c>
      <c r="I2710" t="s">
        <v>49</v>
      </c>
      <c r="J2710">
        <v>6</v>
      </c>
      <c r="K2710">
        <v>40603.61</v>
      </c>
      <c r="L2710" t="s">
        <v>101</v>
      </c>
      <c r="M2710">
        <v>42</v>
      </c>
      <c r="N2710" t="s">
        <v>21</v>
      </c>
      <c r="O2710" s="3" t="s">
        <v>22</v>
      </c>
      <c r="P2710" t="s">
        <v>150</v>
      </c>
      <c r="Q2710" t="s">
        <v>56</v>
      </c>
      <c r="R2710">
        <v>5</v>
      </c>
      <c r="S2710" t="s">
        <v>88</v>
      </c>
      <c r="T2710" s="4">
        <f t="shared" si="214"/>
        <v>243621.66</v>
      </c>
      <c r="U2710" s="4" t="str">
        <f t="shared" si="215"/>
        <v>Good</v>
      </c>
      <c r="V2710" s="4" t="str">
        <f t="shared" si="211"/>
        <v>Excellent</v>
      </c>
      <c r="W2710" s="4"/>
      <c r="X2710" s="4"/>
      <c r="AJ2710" s="4"/>
    </row>
    <row r="2711" spans="1:36">
      <c r="A2711" t="str">
        <f t="shared" si="212"/>
        <v>Lata422710</v>
      </c>
      <c r="B2711">
        <v>2710</v>
      </c>
      <c r="C2711">
        <v>17</v>
      </c>
      <c r="D2711">
        <v>11</v>
      </c>
      <c r="E2711">
        <v>2023</v>
      </c>
      <c r="F2711" s="1">
        <f t="shared" si="213"/>
        <v>45247</v>
      </c>
      <c r="G2711" s="1" t="s">
        <v>144</v>
      </c>
      <c r="H2711" s="2">
        <v>47187</v>
      </c>
      <c r="I2711" t="s">
        <v>26</v>
      </c>
      <c r="J2711">
        <v>1</v>
      </c>
      <c r="K2711">
        <v>47317.760000000002</v>
      </c>
      <c r="L2711" t="s">
        <v>818</v>
      </c>
      <c r="M2711">
        <v>42</v>
      </c>
      <c r="N2711" t="s">
        <v>21</v>
      </c>
      <c r="O2711" s="3" t="s">
        <v>22</v>
      </c>
      <c r="P2711" t="s">
        <v>33</v>
      </c>
      <c r="Q2711" t="s">
        <v>24</v>
      </c>
      <c r="R2711">
        <v>5</v>
      </c>
      <c r="S2711" t="s">
        <v>34</v>
      </c>
      <c r="T2711" s="4">
        <f t="shared" si="214"/>
        <v>47317.760000000002</v>
      </c>
      <c r="U2711" s="4" t="str">
        <f t="shared" si="215"/>
        <v>Good</v>
      </c>
      <c r="V2711" s="4" t="str">
        <f t="shared" si="211"/>
        <v>Low</v>
      </c>
      <c r="W2711" s="4"/>
      <c r="X2711" s="4"/>
      <c r="AJ2711" s="4"/>
    </row>
    <row r="2712" spans="1:36">
      <c r="A2712" t="str">
        <f t="shared" si="212"/>
        <v>Deep212711</v>
      </c>
      <c r="B2712">
        <v>2711</v>
      </c>
      <c r="C2712">
        <v>17</v>
      </c>
      <c r="D2712">
        <v>11</v>
      </c>
      <c r="E2712">
        <v>2023</v>
      </c>
      <c r="F2712" s="1">
        <f t="shared" si="213"/>
        <v>45247</v>
      </c>
      <c r="G2712" s="1" t="s">
        <v>144</v>
      </c>
      <c r="H2712" s="2">
        <v>47188</v>
      </c>
      <c r="I2712" t="s">
        <v>43</v>
      </c>
      <c r="J2712">
        <v>8</v>
      </c>
      <c r="K2712">
        <v>33721.39</v>
      </c>
      <c r="L2712" t="s">
        <v>664</v>
      </c>
      <c r="M2712">
        <v>21</v>
      </c>
      <c r="N2712" t="s">
        <v>36</v>
      </c>
      <c r="O2712" s="3" t="s">
        <v>22</v>
      </c>
      <c r="P2712" t="s">
        <v>51</v>
      </c>
      <c r="Q2712" t="s">
        <v>30</v>
      </c>
      <c r="R2712">
        <v>4</v>
      </c>
      <c r="S2712" t="s">
        <v>57</v>
      </c>
      <c r="T2712" s="4">
        <f t="shared" si="214"/>
        <v>269771.12</v>
      </c>
      <c r="U2712" s="4" t="str">
        <f t="shared" si="215"/>
        <v>Good</v>
      </c>
      <c r="V2712" s="4" t="str">
        <f t="shared" si="211"/>
        <v>Excellent</v>
      </c>
      <c r="W2712" s="4"/>
      <c r="X2712" s="4"/>
      <c r="AJ2712" s="4"/>
    </row>
    <row r="2713" spans="1:36">
      <c r="A2713" t="str">
        <f t="shared" si="212"/>
        <v>Priy212712</v>
      </c>
      <c r="B2713">
        <v>2712</v>
      </c>
      <c r="C2713">
        <v>17</v>
      </c>
      <c r="D2713">
        <v>11</v>
      </c>
      <c r="E2713">
        <v>2023</v>
      </c>
      <c r="F2713" s="1">
        <f t="shared" si="213"/>
        <v>45247</v>
      </c>
      <c r="G2713" s="1" t="s">
        <v>144</v>
      </c>
      <c r="H2713" s="2">
        <v>47189</v>
      </c>
      <c r="I2713" t="s">
        <v>38</v>
      </c>
      <c r="J2713">
        <v>8</v>
      </c>
      <c r="K2713">
        <v>56092.41</v>
      </c>
      <c r="L2713" t="s">
        <v>212</v>
      </c>
      <c r="M2713">
        <v>21</v>
      </c>
      <c r="N2713" t="s">
        <v>36</v>
      </c>
      <c r="O2713" s="3" t="s">
        <v>22</v>
      </c>
      <c r="P2713" t="s">
        <v>29</v>
      </c>
      <c r="Q2713" t="s">
        <v>24</v>
      </c>
      <c r="R2713">
        <v>5</v>
      </c>
      <c r="S2713" t="s">
        <v>42</v>
      </c>
      <c r="T2713" s="4">
        <f t="shared" si="214"/>
        <v>448739.28</v>
      </c>
      <c r="U2713" s="4" t="str">
        <f t="shared" si="215"/>
        <v>Good</v>
      </c>
      <c r="V2713" s="4" t="str">
        <f t="shared" si="211"/>
        <v>Excellent</v>
      </c>
      <c r="W2713" s="4"/>
      <c r="X2713" s="4"/>
      <c r="AJ2713" s="4"/>
    </row>
    <row r="2714" spans="1:36">
      <c r="A2714" t="str">
        <f t="shared" si="212"/>
        <v>Ayes262713</v>
      </c>
      <c r="B2714">
        <v>2713</v>
      </c>
      <c r="C2714">
        <v>18</v>
      </c>
      <c r="D2714">
        <v>11</v>
      </c>
      <c r="E2714">
        <v>2023</v>
      </c>
      <c r="F2714" s="1">
        <f t="shared" si="213"/>
        <v>45248</v>
      </c>
      <c r="G2714" s="1" t="s">
        <v>144</v>
      </c>
      <c r="H2714" s="2">
        <v>47190</v>
      </c>
      <c r="I2714" t="s">
        <v>19</v>
      </c>
      <c r="J2714">
        <v>2</v>
      </c>
      <c r="K2714">
        <v>35511.360000000001</v>
      </c>
      <c r="L2714" t="s">
        <v>1024</v>
      </c>
      <c r="M2714">
        <v>26</v>
      </c>
      <c r="N2714" t="s">
        <v>36</v>
      </c>
      <c r="O2714" s="3" t="s">
        <v>55</v>
      </c>
      <c r="P2714" t="s">
        <v>29</v>
      </c>
      <c r="Q2714" t="s">
        <v>24</v>
      </c>
      <c r="R2714">
        <v>2</v>
      </c>
      <c r="S2714" t="s">
        <v>37</v>
      </c>
      <c r="T2714" s="4">
        <f t="shared" si="214"/>
        <v>71022.720000000001</v>
      </c>
      <c r="U2714" s="4" t="str">
        <f t="shared" si="215"/>
        <v>Average</v>
      </c>
      <c r="V2714" s="4" t="str">
        <f t="shared" si="211"/>
        <v>Average</v>
      </c>
      <c r="W2714" s="4"/>
      <c r="X2714" s="4"/>
      <c r="AJ2714" s="4"/>
    </row>
    <row r="2715" spans="1:36">
      <c r="A2715" t="str">
        <f t="shared" si="212"/>
        <v>Bina322714</v>
      </c>
      <c r="B2715">
        <v>2714</v>
      </c>
      <c r="C2715">
        <v>18</v>
      </c>
      <c r="D2715">
        <v>11</v>
      </c>
      <c r="E2715">
        <v>2023</v>
      </c>
      <c r="F2715" s="1">
        <f t="shared" si="213"/>
        <v>45248</v>
      </c>
      <c r="G2715" s="1" t="s">
        <v>144</v>
      </c>
      <c r="H2715" s="2">
        <v>47191</v>
      </c>
      <c r="I2715" t="s">
        <v>38</v>
      </c>
      <c r="J2715">
        <v>4</v>
      </c>
      <c r="K2715">
        <v>37447.699999999997</v>
      </c>
      <c r="L2715" t="s">
        <v>819</v>
      </c>
      <c r="M2715">
        <v>32</v>
      </c>
      <c r="N2715" t="s">
        <v>21</v>
      </c>
      <c r="O2715" s="3" t="s">
        <v>28</v>
      </c>
      <c r="P2715" t="s">
        <v>40</v>
      </c>
      <c r="Q2715" t="s">
        <v>30</v>
      </c>
      <c r="R2715">
        <v>3</v>
      </c>
      <c r="S2715" t="s">
        <v>42</v>
      </c>
      <c r="T2715" s="4">
        <f t="shared" si="214"/>
        <v>149790.79999999999</v>
      </c>
      <c r="U2715" s="4" t="str">
        <f t="shared" si="215"/>
        <v>Average</v>
      </c>
      <c r="V2715" s="4" t="str">
        <f t="shared" si="211"/>
        <v>Good</v>
      </c>
      <c r="W2715" s="4"/>
      <c r="X2715" s="4"/>
      <c r="AJ2715" s="4"/>
    </row>
    <row r="2716" spans="1:36">
      <c r="A2716" t="str">
        <f t="shared" si="212"/>
        <v>Anit432715</v>
      </c>
      <c r="B2716">
        <v>2715</v>
      </c>
      <c r="C2716">
        <v>18</v>
      </c>
      <c r="D2716">
        <v>11</v>
      </c>
      <c r="E2716">
        <v>2023</v>
      </c>
      <c r="F2716" s="1">
        <f t="shared" si="213"/>
        <v>45248</v>
      </c>
      <c r="G2716" s="1" t="s">
        <v>144</v>
      </c>
      <c r="H2716" s="2">
        <v>47192</v>
      </c>
      <c r="I2716" t="s">
        <v>19</v>
      </c>
      <c r="J2716">
        <v>2</v>
      </c>
      <c r="K2716">
        <v>41060.720000000001</v>
      </c>
      <c r="L2716" t="s">
        <v>168</v>
      </c>
      <c r="M2716">
        <v>43</v>
      </c>
      <c r="N2716" t="s">
        <v>21</v>
      </c>
      <c r="O2716" s="3" t="s">
        <v>22</v>
      </c>
      <c r="P2716" t="s">
        <v>70</v>
      </c>
      <c r="Q2716" t="s">
        <v>30</v>
      </c>
      <c r="R2716">
        <v>4</v>
      </c>
      <c r="S2716" t="s">
        <v>37</v>
      </c>
      <c r="T2716" s="4">
        <f t="shared" si="214"/>
        <v>82121.440000000002</v>
      </c>
      <c r="U2716" s="4" t="str">
        <f t="shared" si="215"/>
        <v>Good</v>
      </c>
      <c r="V2716" s="4" t="str">
        <f t="shared" si="211"/>
        <v>Average</v>
      </c>
      <c r="W2716" s="4"/>
      <c r="X2716" s="4"/>
      <c r="AJ2716" s="4"/>
    </row>
    <row r="2717" spans="1:36">
      <c r="A2717" t="str">
        <f t="shared" si="212"/>
        <v>Amit322716</v>
      </c>
      <c r="B2717">
        <v>2716</v>
      </c>
      <c r="C2717">
        <v>19</v>
      </c>
      <c r="D2717">
        <v>11</v>
      </c>
      <c r="E2717">
        <v>2023</v>
      </c>
      <c r="F2717" s="1">
        <f t="shared" si="213"/>
        <v>45249</v>
      </c>
      <c r="G2717" s="1" t="s">
        <v>144</v>
      </c>
      <c r="H2717" s="2">
        <v>47193</v>
      </c>
      <c r="I2717" t="s">
        <v>43</v>
      </c>
      <c r="J2717">
        <v>4</v>
      </c>
      <c r="K2717">
        <v>59909.45</v>
      </c>
      <c r="L2717" t="s">
        <v>568</v>
      </c>
      <c r="M2717">
        <v>32</v>
      </c>
      <c r="N2717" t="s">
        <v>21</v>
      </c>
      <c r="O2717" s="3" t="s">
        <v>22</v>
      </c>
      <c r="P2717" t="s">
        <v>33</v>
      </c>
      <c r="Q2717" t="s">
        <v>56</v>
      </c>
      <c r="R2717">
        <v>4</v>
      </c>
      <c r="S2717" t="s">
        <v>46</v>
      </c>
      <c r="T2717" s="4">
        <f t="shared" si="214"/>
        <v>239637.8</v>
      </c>
      <c r="U2717" s="4" t="str">
        <f t="shared" si="215"/>
        <v>Good</v>
      </c>
      <c r="V2717" s="4" t="str">
        <f t="shared" si="211"/>
        <v>Excellent</v>
      </c>
      <c r="W2717" s="4"/>
      <c r="X2717" s="4"/>
      <c r="AJ2717" s="4"/>
    </row>
    <row r="2718" spans="1:36">
      <c r="A2718" t="str">
        <f t="shared" si="212"/>
        <v>Sumi432717</v>
      </c>
      <c r="B2718">
        <v>2717</v>
      </c>
      <c r="C2718">
        <v>19</v>
      </c>
      <c r="D2718">
        <v>11</v>
      </c>
      <c r="E2718">
        <v>2023</v>
      </c>
      <c r="F2718" s="1">
        <f t="shared" si="213"/>
        <v>45249</v>
      </c>
      <c r="G2718" s="1" t="s">
        <v>144</v>
      </c>
      <c r="H2718" s="2">
        <v>47194</v>
      </c>
      <c r="I2718" t="s">
        <v>38</v>
      </c>
      <c r="J2718">
        <v>7</v>
      </c>
      <c r="K2718">
        <v>49562.74</v>
      </c>
      <c r="L2718" t="s">
        <v>199</v>
      </c>
      <c r="M2718">
        <v>43</v>
      </c>
      <c r="N2718" t="s">
        <v>21</v>
      </c>
      <c r="O2718" s="3" t="s">
        <v>22</v>
      </c>
      <c r="P2718" t="s">
        <v>114</v>
      </c>
      <c r="Q2718" t="s">
        <v>41</v>
      </c>
      <c r="R2718">
        <v>5</v>
      </c>
      <c r="S2718" t="s">
        <v>99</v>
      </c>
      <c r="T2718" s="4">
        <f t="shared" si="214"/>
        <v>346939.18</v>
      </c>
      <c r="U2718" s="4" t="str">
        <f t="shared" si="215"/>
        <v>Good</v>
      </c>
      <c r="V2718" s="4" t="str">
        <f t="shared" si="211"/>
        <v>Excellent</v>
      </c>
      <c r="W2718" s="4"/>
      <c r="X2718" s="4"/>
      <c r="AJ2718" s="4"/>
    </row>
    <row r="2719" spans="1:36">
      <c r="A2719" t="str">
        <f t="shared" si="212"/>
        <v>Priy452718</v>
      </c>
      <c r="B2719">
        <v>2718</v>
      </c>
      <c r="C2719">
        <v>19</v>
      </c>
      <c r="D2719">
        <v>11</v>
      </c>
      <c r="E2719">
        <v>2023</v>
      </c>
      <c r="F2719" s="1">
        <f t="shared" si="213"/>
        <v>45249</v>
      </c>
      <c r="G2719" s="1" t="s">
        <v>144</v>
      </c>
      <c r="H2719" s="2">
        <v>47195</v>
      </c>
      <c r="I2719" t="s">
        <v>38</v>
      </c>
      <c r="J2719">
        <v>9</v>
      </c>
      <c r="K2719">
        <v>30949.62</v>
      </c>
      <c r="L2719" t="s">
        <v>435</v>
      </c>
      <c r="M2719">
        <v>45</v>
      </c>
      <c r="N2719" t="s">
        <v>21</v>
      </c>
      <c r="O2719" s="3" t="s">
        <v>22</v>
      </c>
      <c r="P2719" t="s">
        <v>66</v>
      </c>
      <c r="Q2719" t="s">
        <v>41</v>
      </c>
      <c r="R2719">
        <v>5</v>
      </c>
      <c r="S2719" t="s">
        <v>42</v>
      </c>
      <c r="T2719" s="4">
        <f t="shared" si="214"/>
        <v>278546.58</v>
      </c>
      <c r="U2719" s="4" t="str">
        <f t="shared" si="215"/>
        <v>Good</v>
      </c>
      <c r="V2719" s="4" t="str">
        <f t="shared" si="211"/>
        <v>Excellent</v>
      </c>
      <c r="W2719" s="4"/>
      <c r="X2719" s="4"/>
      <c r="AJ2719" s="4"/>
    </row>
    <row r="2720" spans="1:36">
      <c r="A2720" t="str">
        <f t="shared" si="212"/>
        <v>Kira242719</v>
      </c>
      <c r="B2720">
        <v>2719</v>
      </c>
      <c r="C2720">
        <v>20</v>
      </c>
      <c r="D2720">
        <v>11</v>
      </c>
      <c r="E2720">
        <v>2023</v>
      </c>
      <c r="F2720" s="1">
        <f t="shared" si="213"/>
        <v>45250</v>
      </c>
      <c r="G2720" s="1" t="s">
        <v>144</v>
      </c>
      <c r="H2720" s="2">
        <v>47196</v>
      </c>
      <c r="I2720" t="s">
        <v>43</v>
      </c>
      <c r="J2720">
        <v>8</v>
      </c>
      <c r="K2720">
        <v>50219.18</v>
      </c>
      <c r="L2720" t="s">
        <v>1025</v>
      </c>
      <c r="M2720">
        <v>24</v>
      </c>
      <c r="N2720" t="s">
        <v>36</v>
      </c>
      <c r="O2720" s="3" t="s">
        <v>22</v>
      </c>
      <c r="P2720" t="s">
        <v>90</v>
      </c>
      <c r="Q2720" t="s">
        <v>56</v>
      </c>
      <c r="R2720">
        <v>5</v>
      </c>
      <c r="S2720" t="s">
        <v>46</v>
      </c>
      <c r="T2720" s="4">
        <f t="shared" si="214"/>
        <v>401753.44</v>
      </c>
      <c r="U2720" s="4" t="str">
        <f t="shared" si="215"/>
        <v>Good</v>
      </c>
      <c r="V2720" s="4" t="str">
        <f t="shared" si="211"/>
        <v>Excellent</v>
      </c>
      <c r="W2720" s="4"/>
      <c r="X2720" s="4"/>
      <c r="AJ2720" s="4"/>
    </row>
    <row r="2721" spans="1:36">
      <c r="A2721" t="str">
        <f t="shared" si="212"/>
        <v>Priy492720</v>
      </c>
      <c r="B2721">
        <v>2720</v>
      </c>
      <c r="C2721">
        <v>20</v>
      </c>
      <c r="D2721">
        <v>11</v>
      </c>
      <c r="E2721">
        <v>2023</v>
      </c>
      <c r="F2721" s="1">
        <f t="shared" si="213"/>
        <v>45250</v>
      </c>
      <c r="G2721" s="1" t="s">
        <v>144</v>
      </c>
      <c r="H2721" s="2">
        <v>47197</v>
      </c>
      <c r="I2721" t="s">
        <v>38</v>
      </c>
      <c r="J2721">
        <v>9</v>
      </c>
      <c r="K2721">
        <v>48545.59</v>
      </c>
      <c r="L2721" t="s">
        <v>354</v>
      </c>
      <c r="M2721">
        <v>49</v>
      </c>
      <c r="N2721" t="s">
        <v>61</v>
      </c>
      <c r="O2721" s="3" t="s">
        <v>22</v>
      </c>
      <c r="P2721" t="s">
        <v>40</v>
      </c>
      <c r="Q2721" t="s">
        <v>24</v>
      </c>
      <c r="R2721">
        <v>4</v>
      </c>
      <c r="S2721" t="s">
        <v>42</v>
      </c>
      <c r="T2721" s="4">
        <f t="shared" si="214"/>
        <v>436910.30999999994</v>
      </c>
      <c r="U2721" s="4" t="str">
        <f t="shared" si="215"/>
        <v>Good</v>
      </c>
      <c r="V2721" s="4" t="str">
        <f t="shared" si="211"/>
        <v>Excellent</v>
      </c>
      <c r="W2721" s="4"/>
      <c r="X2721" s="4"/>
      <c r="AJ2721" s="4"/>
    </row>
    <row r="2722" spans="1:36">
      <c r="A2722" t="str">
        <f t="shared" si="212"/>
        <v>Nami292721</v>
      </c>
      <c r="B2722">
        <v>2721</v>
      </c>
      <c r="C2722">
        <v>20</v>
      </c>
      <c r="D2722">
        <v>11</v>
      </c>
      <c r="E2722">
        <v>2023</v>
      </c>
      <c r="F2722" s="1">
        <f t="shared" si="213"/>
        <v>45250</v>
      </c>
      <c r="G2722" s="1" t="s">
        <v>144</v>
      </c>
      <c r="H2722" s="2">
        <v>47198</v>
      </c>
      <c r="I2722" t="s">
        <v>19</v>
      </c>
      <c r="J2722">
        <v>8</v>
      </c>
      <c r="K2722">
        <v>65861.16</v>
      </c>
      <c r="L2722" t="s">
        <v>545</v>
      </c>
      <c r="M2722">
        <v>29</v>
      </c>
      <c r="N2722" t="s">
        <v>36</v>
      </c>
      <c r="O2722" s="3" t="s">
        <v>22</v>
      </c>
      <c r="P2722" t="s">
        <v>33</v>
      </c>
      <c r="Q2722" t="s">
        <v>41</v>
      </c>
      <c r="R2722">
        <v>5</v>
      </c>
      <c r="S2722" t="s">
        <v>25</v>
      </c>
      <c r="T2722" s="4">
        <f t="shared" si="214"/>
        <v>526889.28</v>
      </c>
      <c r="U2722" s="4" t="str">
        <f t="shared" si="215"/>
        <v>Good</v>
      </c>
      <c r="V2722" s="4" t="str">
        <f t="shared" si="211"/>
        <v>Excellent</v>
      </c>
      <c r="W2722" s="4"/>
      <c r="X2722" s="4"/>
      <c r="AJ2722" s="4"/>
    </row>
    <row r="2723" spans="1:36">
      <c r="A2723" t="str">
        <f t="shared" si="212"/>
        <v>Priy522722</v>
      </c>
      <c r="B2723">
        <v>2722</v>
      </c>
      <c r="C2723">
        <v>21</v>
      </c>
      <c r="D2723">
        <v>11</v>
      </c>
      <c r="E2723">
        <v>2023</v>
      </c>
      <c r="F2723" s="1">
        <f t="shared" si="213"/>
        <v>45251</v>
      </c>
      <c r="G2723" s="1" t="s">
        <v>144</v>
      </c>
      <c r="H2723" s="2">
        <v>47199</v>
      </c>
      <c r="I2723" t="s">
        <v>38</v>
      </c>
      <c r="J2723">
        <v>2</v>
      </c>
      <c r="K2723">
        <v>60484.99</v>
      </c>
      <c r="L2723" t="s">
        <v>991</v>
      </c>
      <c r="M2723">
        <v>52</v>
      </c>
      <c r="N2723" t="s">
        <v>61</v>
      </c>
      <c r="O2723" s="3" t="s">
        <v>22</v>
      </c>
      <c r="P2723" t="s">
        <v>29</v>
      </c>
      <c r="Q2723" t="s">
        <v>24</v>
      </c>
      <c r="R2723">
        <v>5</v>
      </c>
      <c r="S2723" t="s">
        <v>99</v>
      </c>
      <c r="T2723" s="4">
        <f t="shared" si="214"/>
        <v>120969.98</v>
      </c>
      <c r="U2723" s="4" t="str">
        <f t="shared" si="215"/>
        <v>Good</v>
      </c>
      <c r="V2723" s="4" t="str">
        <f t="shared" si="211"/>
        <v>Good</v>
      </c>
      <c r="W2723" s="4"/>
      <c r="X2723" s="4"/>
      <c r="AJ2723" s="4"/>
    </row>
    <row r="2724" spans="1:36">
      <c r="A2724" t="str">
        <f t="shared" si="212"/>
        <v>Anit492723</v>
      </c>
      <c r="B2724">
        <v>2723</v>
      </c>
      <c r="C2724">
        <v>21</v>
      </c>
      <c r="D2724">
        <v>11</v>
      </c>
      <c r="E2724">
        <v>2023</v>
      </c>
      <c r="F2724" s="1">
        <f t="shared" si="213"/>
        <v>45251</v>
      </c>
      <c r="G2724" s="1" t="s">
        <v>144</v>
      </c>
      <c r="H2724" s="2">
        <v>47200</v>
      </c>
      <c r="I2724" t="s">
        <v>26</v>
      </c>
      <c r="J2724">
        <v>7</v>
      </c>
      <c r="K2724">
        <v>48846.82</v>
      </c>
      <c r="L2724" t="s">
        <v>561</v>
      </c>
      <c r="M2724">
        <v>49</v>
      </c>
      <c r="N2724" t="s">
        <v>61</v>
      </c>
      <c r="O2724" s="3" t="s">
        <v>22</v>
      </c>
      <c r="P2724" t="s">
        <v>90</v>
      </c>
      <c r="Q2724" t="s">
        <v>30</v>
      </c>
      <c r="R2724">
        <v>5</v>
      </c>
      <c r="S2724" t="s">
        <v>31</v>
      </c>
      <c r="T2724" s="4">
        <f t="shared" si="214"/>
        <v>341927.74</v>
      </c>
      <c r="U2724" s="4" t="str">
        <f t="shared" si="215"/>
        <v>Good</v>
      </c>
      <c r="V2724" s="4" t="str">
        <f t="shared" si="211"/>
        <v>Excellent</v>
      </c>
      <c r="W2724" s="4"/>
      <c r="X2724" s="4"/>
      <c r="AJ2724" s="4"/>
    </row>
    <row r="2725" spans="1:36">
      <c r="A2725" t="str">
        <f t="shared" si="212"/>
        <v>Suni262724</v>
      </c>
      <c r="B2725">
        <v>2724</v>
      </c>
      <c r="C2725">
        <v>21</v>
      </c>
      <c r="D2725">
        <v>11</v>
      </c>
      <c r="E2725">
        <v>2023</v>
      </c>
      <c r="F2725" s="1">
        <f t="shared" si="213"/>
        <v>45251</v>
      </c>
      <c r="G2725" s="1" t="s">
        <v>144</v>
      </c>
      <c r="H2725" s="2">
        <v>47201</v>
      </c>
      <c r="I2725" t="s">
        <v>49</v>
      </c>
      <c r="J2725">
        <v>2</v>
      </c>
      <c r="K2725">
        <v>30490.43</v>
      </c>
      <c r="L2725" t="s">
        <v>628</v>
      </c>
      <c r="M2725">
        <v>26</v>
      </c>
      <c r="N2725" t="s">
        <v>36</v>
      </c>
      <c r="O2725" s="3" t="s">
        <v>22</v>
      </c>
      <c r="P2725" t="s">
        <v>110</v>
      </c>
      <c r="Q2725" t="s">
        <v>30</v>
      </c>
      <c r="R2725">
        <v>5</v>
      </c>
      <c r="S2725" t="s">
        <v>102</v>
      </c>
      <c r="T2725" s="4">
        <f t="shared" si="214"/>
        <v>60980.86</v>
      </c>
      <c r="U2725" s="4" t="str">
        <f t="shared" si="215"/>
        <v>Good</v>
      </c>
      <c r="V2725" s="4" t="str">
        <f t="shared" si="211"/>
        <v>Average</v>
      </c>
      <c r="W2725" s="4"/>
      <c r="X2725" s="4"/>
      <c r="AJ2725" s="4"/>
    </row>
    <row r="2726" spans="1:36">
      <c r="A2726" t="str">
        <f t="shared" si="212"/>
        <v>Jyot312725</v>
      </c>
      <c r="B2726">
        <v>2725</v>
      </c>
      <c r="C2726">
        <v>21</v>
      </c>
      <c r="D2726">
        <v>11</v>
      </c>
      <c r="E2726">
        <v>2023</v>
      </c>
      <c r="F2726" s="1">
        <f t="shared" si="213"/>
        <v>45251</v>
      </c>
      <c r="G2726" s="1" t="s">
        <v>144</v>
      </c>
      <c r="H2726" s="2">
        <v>47202</v>
      </c>
      <c r="I2726" t="s">
        <v>19</v>
      </c>
      <c r="J2726">
        <v>2</v>
      </c>
      <c r="K2726">
        <v>56774.59</v>
      </c>
      <c r="L2726" t="s">
        <v>1003</v>
      </c>
      <c r="M2726">
        <v>31</v>
      </c>
      <c r="N2726" t="s">
        <v>21</v>
      </c>
      <c r="O2726" s="3" t="s">
        <v>22</v>
      </c>
      <c r="P2726" t="s">
        <v>66</v>
      </c>
      <c r="Q2726" t="s">
        <v>56</v>
      </c>
      <c r="R2726">
        <v>4</v>
      </c>
      <c r="S2726" t="s">
        <v>25</v>
      </c>
      <c r="T2726" s="4">
        <f t="shared" si="214"/>
        <v>113549.18</v>
      </c>
      <c r="U2726" s="4" t="str">
        <f t="shared" si="215"/>
        <v>Good</v>
      </c>
      <c r="V2726" s="4" t="str">
        <f t="shared" si="211"/>
        <v>Good</v>
      </c>
      <c r="W2726" s="4"/>
      <c r="X2726" s="4"/>
      <c r="AJ2726" s="4"/>
    </row>
    <row r="2727" spans="1:36">
      <c r="A2727" t="str">
        <f t="shared" si="212"/>
        <v>Vino302726</v>
      </c>
      <c r="B2727">
        <v>2726</v>
      </c>
      <c r="C2727">
        <v>22</v>
      </c>
      <c r="D2727">
        <v>11</v>
      </c>
      <c r="E2727">
        <v>2023</v>
      </c>
      <c r="F2727" s="1">
        <f t="shared" si="213"/>
        <v>45252</v>
      </c>
      <c r="G2727" s="1" t="s">
        <v>144</v>
      </c>
      <c r="H2727" s="2">
        <v>47203</v>
      </c>
      <c r="I2727" t="s">
        <v>26</v>
      </c>
      <c r="J2727">
        <v>4</v>
      </c>
      <c r="K2727">
        <v>44512.5</v>
      </c>
      <c r="L2727" t="s">
        <v>113</v>
      </c>
      <c r="M2727">
        <v>30</v>
      </c>
      <c r="N2727" t="s">
        <v>36</v>
      </c>
      <c r="O2727" s="3" t="s">
        <v>22</v>
      </c>
      <c r="P2727" t="s">
        <v>29</v>
      </c>
      <c r="Q2727" t="s">
        <v>24</v>
      </c>
      <c r="R2727">
        <v>5</v>
      </c>
      <c r="S2727" t="s">
        <v>31</v>
      </c>
      <c r="T2727" s="4">
        <f t="shared" si="214"/>
        <v>178050</v>
      </c>
      <c r="U2727" s="4" t="str">
        <f t="shared" si="215"/>
        <v>Good</v>
      </c>
      <c r="V2727" s="4" t="str">
        <f t="shared" si="211"/>
        <v>Good</v>
      </c>
      <c r="W2727" s="4"/>
      <c r="X2727" s="4"/>
      <c r="AJ2727" s="4"/>
    </row>
    <row r="2728" spans="1:36">
      <c r="A2728" t="str">
        <f t="shared" si="212"/>
        <v>Sach502727</v>
      </c>
      <c r="B2728">
        <v>2727</v>
      </c>
      <c r="C2728">
        <v>22</v>
      </c>
      <c r="D2728">
        <v>11</v>
      </c>
      <c r="E2728">
        <v>2023</v>
      </c>
      <c r="F2728" s="1">
        <f t="shared" si="213"/>
        <v>45252</v>
      </c>
      <c r="G2728" s="1" t="s">
        <v>144</v>
      </c>
      <c r="H2728" s="2">
        <v>47204</v>
      </c>
      <c r="I2728" t="s">
        <v>43</v>
      </c>
      <c r="J2728">
        <v>1</v>
      </c>
      <c r="K2728">
        <v>69116.2</v>
      </c>
      <c r="L2728" t="s">
        <v>595</v>
      </c>
      <c r="M2728">
        <v>50</v>
      </c>
      <c r="N2728" t="s">
        <v>61</v>
      </c>
      <c r="O2728" s="3" t="s">
        <v>55</v>
      </c>
      <c r="P2728" t="s">
        <v>23</v>
      </c>
      <c r="Q2728" t="s">
        <v>56</v>
      </c>
      <c r="R2728">
        <v>2</v>
      </c>
      <c r="S2728" t="s">
        <v>46</v>
      </c>
      <c r="T2728" s="4">
        <f t="shared" si="214"/>
        <v>69116.2</v>
      </c>
      <c r="U2728" s="4" t="str">
        <f t="shared" si="215"/>
        <v>Average</v>
      </c>
      <c r="V2728" s="4" t="str">
        <f t="shared" si="211"/>
        <v>Average</v>
      </c>
      <c r="W2728" s="4"/>
      <c r="X2728" s="4"/>
      <c r="AJ2728" s="4"/>
    </row>
    <row r="2729" spans="1:36">
      <c r="A2729" t="str">
        <f t="shared" si="212"/>
        <v>Kira492728</v>
      </c>
      <c r="B2729">
        <v>2728</v>
      </c>
      <c r="C2729">
        <v>22</v>
      </c>
      <c r="D2729">
        <v>11</v>
      </c>
      <c r="E2729">
        <v>2023</v>
      </c>
      <c r="F2729" s="1">
        <f t="shared" si="213"/>
        <v>45252</v>
      </c>
      <c r="G2729" s="1" t="s">
        <v>144</v>
      </c>
      <c r="H2729" s="2">
        <v>47205</v>
      </c>
      <c r="I2729" t="s">
        <v>19</v>
      </c>
      <c r="J2729">
        <v>5</v>
      </c>
      <c r="K2729">
        <v>24850.37</v>
      </c>
      <c r="L2729" t="s">
        <v>823</v>
      </c>
      <c r="M2729">
        <v>49</v>
      </c>
      <c r="N2729" t="s">
        <v>61</v>
      </c>
      <c r="O2729" s="3" t="s">
        <v>22</v>
      </c>
      <c r="P2729" t="s">
        <v>33</v>
      </c>
      <c r="Q2729" t="s">
        <v>41</v>
      </c>
      <c r="R2729">
        <v>5</v>
      </c>
      <c r="S2729" t="s">
        <v>84</v>
      </c>
      <c r="T2729" s="4">
        <f t="shared" si="214"/>
        <v>124251.84999999999</v>
      </c>
      <c r="U2729" s="4" t="str">
        <f t="shared" si="215"/>
        <v>Good</v>
      </c>
      <c r="V2729" s="4" t="str">
        <f t="shared" si="211"/>
        <v>Good</v>
      </c>
      <c r="W2729" s="4"/>
      <c r="X2729" s="4"/>
      <c r="AJ2729" s="4"/>
    </row>
    <row r="2730" spans="1:36">
      <c r="A2730" t="str">
        <f t="shared" si="212"/>
        <v>Vija362729</v>
      </c>
      <c r="B2730">
        <v>2729</v>
      </c>
      <c r="C2730">
        <v>22</v>
      </c>
      <c r="D2730">
        <v>11</v>
      </c>
      <c r="E2730">
        <v>2023</v>
      </c>
      <c r="F2730" s="1">
        <f t="shared" si="213"/>
        <v>45252</v>
      </c>
      <c r="G2730" s="1" t="s">
        <v>144</v>
      </c>
      <c r="H2730" s="2">
        <v>47206</v>
      </c>
      <c r="I2730" t="s">
        <v>49</v>
      </c>
      <c r="J2730">
        <v>6</v>
      </c>
      <c r="K2730">
        <v>14779.35</v>
      </c>
      <c r="L2730" t="s">
        <v>1026</v>
      </c>
      <c r="M2730">
        <v>36</v>
      </c>
      <c r="N2730" t="s">
        <v>21</v>
      </c>
      <c r="O2730" s="3" t="s">
        <v>22</v>
      </c>
      <c r="P2730" t="s">
        <v>90</v>
      </c>
      <c r="Q2730" t="s">
        <v>41</v>
      </c>
      <c r="R2730">
        <v>4</v>
      </c>
      <c r="S2730" t="s">
        <v>88</v>
      </c>
      <c r="T2730" s="4">
        <f t="shared" si="214"/>
        <v>88676.1</v>
      </c>
      <c r="U2730" s="4" t="str">
        <f t="shared" si="215"/>
        <v>Good</v>
      </c>
      <c r="V2730" s="4" t="str">
        <f t="shared" si="211"/>
        <v>Average</v>
      </c>
      <c r="W2730" s="4"/>
      <c r="X2730" s="4"/>
      <c r="AJ2730" s="4"/>
    </row>
    <row r="2731" spans="1:36">
      <c r="A2731" t="str">
        <f t="shared" si="212"/>
        <v>Vino472730</v>
      </c>
      <c r="B2731">
        <v>2730</v>
      </c>
      <c r="C2731">
        <v>23</v>
      </c>
      <c r="D2731">
        <v>11</v>
      </c>
      <c r="E2731">
        <v>2023</v>
      </c>
      <c r="F2731" s="1">
        <f t="shared" si="213"/>
        <v>45253</v>
      </c>
      <c r="G2731" s="1" t="s">
        <v>144</v>
      </c>
      <c r="H2731" s="2">
        <v>47207</v>
      </c>
      <c r="I2731" t="s">
        <v>49</v>
      </c>
      <c r="J2731">
        <v>9</v>
      </c>
      <c r="K2731">
        <v>14193.51</v>
      </c>
      <c r="L2731" t="s">
        <v>1017</v>
      </c>
      <c r="M2731">
        <v>47</v>
      </c>
      <c r="N2731" t="s">
        <v>61</v>
      </c>
      <c r="O2731" s="3" t="s">
        <v>22</v>
      </c>
      <c r="P2731" t="s">
        <v>29</v>
      </c>
      <c r="Q2731" t="s">
        <v>41</v>
      </c>
      <c r="R2731">
        <v>5</v>
      </c>
      <c r="S2731" t="s">
        <v>88</v>
      </c>
      <c r="T2731" s="4">
        <f t="shared" si="214"/>
        <v>127741.59</v>
      </c>
      <c r="U2731" s="4" t="str">
        <f t="shared" si="215"/>
        <v>Good</v>
      </c>
      <c r="V2731" s="4" t="str">
        <f t="shared" si="211"/>
        <v>Good</v>
      </c>
      <c r="W2731" s="4"/>
      <c r="X2731" s="4"/>
      <c r="AJ2731" s="4"/>
    </row>
    <row r="2732" spans="1:36">
      <c r="A2732" t="str">
        <f t="shared" si="212"/>
        <v>Anit332731</v>
      </c>
      <c r="B2732">
        <v>2731</v>
      </c>
      <c r="C2732">
        <v>23</v>
      </c>
      <c r="D2732">
        <v>11</v>
      </c>
      <c r="E2732">
        <v>2023</v>
      </c>
      <c r="F2732" s="1">
        <f t="shared" si="213"/>
        <v>45253</v>
      </c>
      <c r="G2732" s="1" t="s">
        <v>144</v>
      </c>
      <c r="H2732" s="2">
        <v>47208</v>
      </c>
      <c r="I2732" t="s">
        <v>43</v>
      </c>
      <c r="J2732">
        <v>8</v>
      </c>
      <c r="K2732">
        <v>48401.82</v>
      </c>
      <c r="L2732" t="s">
        <v>810</v>
      </c>
      <c r="M2732">
        <v>33</v>
      </c>
      <c r="N2732" t="s">
        <v>21</v>
      </c>
      <c r="O2732" s="3" t="s">
        <v>22</v>
      </c>
      <c r="P2732" t="s">
        <v>117</v>
      </c>
      <c r="Q2732" t="s">
        <v>24</v>
      </c>
      <c r="R2732">
        <v>4</v>
      </c>
      <c r="S2732" t="s">
        <v>46</v>
      </c>
      <c r="T2732" s="4">
        <f t="shared" si="214"/>
        <v>387214.56</v>
      </c>
      <c r="U2732" s="4" t="str">
        <f t="shared" si="215"/>
        <v>Good</v>
      </c>
      <c r="V2732" s="4" t="str">
        <f t="shared" si="211"/>
        <v>Excellent</v>
      </c>
      <c r="W2732" s="4"/>
      <c r="X2732" s="4"/>
      <c r="AJ2732" s="4"/>
    </row>
    <row r="2733" spans="1:36">
      <c r="A2733" t="str">
        <f t="shared" si="212"/>
        <v>Navi292732</v>
      </c>
      <c r="B2733">
        <v>2732</v>
      </c>
      <c r="C2733">
        <v>23</v>
      </c>
      <c r="D2733">
        <v>11</v>
      </c>
      <c r="E2733">
        <v>2023</v>
      </c>
      <c r="F2733" s="1">
        <f t="shared" si="213"/>
        <v>45253</v>
      </c>
      <c r="G2733" s="1" t="s">
        <v>144</v>
      </c>
      <c r="H2733" s="2">
        <v>47209</v>
      </c>
      <c r="I2733" t="s">
        <v>43</v>
      </c>
      <c r="J2733">
        <v>2</v>
      </c>
      <c r="K2733">
        <v>66355.61</v>
      </c>
      <c r="L2733" t="s">
        <v>635</v>
      </c>
      <c r="M2733">
        <v>29</v>
      </c>
      <c r="N2733" t="s">
        <v>36</v>
      </c>
      <c r="O2733" s="3" t="s">
        <v>22</v>
      </c>
      <c r="P2733" t="s">
        <v>70</v>
      </c>
      <c r="Q2733" t="s">
        <v>56</v>
      </c>
      <c r="R2733">
        <v>5</v>
      </c>
      <c r="S2733" t="s">
        <v>95</v>
      </c>
      <c r="T2733" s="4">
        <f t="shared" si="214"/>
        <v>132711.22</v>
      </c>
      <c r="U2733" s="4" t="str">
        <f t="shared" si="215"/>
        <v>Good</v>
      </c>
      <c r="V2733" s="4" t="str">
        <f t="shared" si="211"/>
        <v>Good</v>
      </c>
      <c r="W2733" s="4"/>
      <c r="X2733" s="4"/>
      <c r="AJ2733" s="4"/>
    </row>
    <row r="2734" spans="1:36">
      <c r="A2734" t="str">
        <f t="shared" si="212"/>
        <v>Vive272733</v>
      </c>
      <c r="B2734">
        <v>2733</v>
      </c>
      <c r="C2734">
        <v>24</v>
      </c>
      <c r="D2734">
        <v>11</v>
      </c>
      <c r="E2734">
        <v>2023</v>
      </c>
      <c r="F2734" s="1">
        <f t="shared" si="213"/>
        <v>45254</v>
      </c>
      <c r="G2734" s="1" t="s">
        <v>144</v>
      </c>
      <c r="H2734" s="2">
        <v>47210</v>
      </c>
      <c r="I2734" t="s">
        <v>19</v>
      </c>
      <c r="J2734">
        <v>1</v>
      </c>
      <c r="K2734">
        <v>10115.91</v>
      </c>
      <c r="L2734" t="s">
        <v>549</v>
      </c>
      <c r="M2734">
        <v>27</v>
      </c>
      <c r="N2734" t="s">
        <v>36</v>
      </c>
      <c r="O2734" s="3" t="s">
        <v>22</v>
      </c>
      <c r="P2734" t="s">
        <v>29</v>
      </c>
      <c r="Q2734" t="s">
        <v>56</v>
      </c>
      <c r="R2734">
        <v>4</v>
      </c>
      <c r="S2734" t="s">
        <v>84</v>
      </c>
      <c r="T2734" s="4">
        <f t="shared" si="214"/>
        <v>10115.91</v>
      </c>
      <c r="U2734" s="4" t="str">
        <f t="shared" si="215"/>
        <v>Good</v>
      </c>
      <c r="V2734" s="4" t="str">
        <f t="shared" si="211"/>
        <v>Low</v>
      </c>
      <c r="W2734" s="4"/>
      <c r="X2734" s="4"/>
      <c r="AJ2734" s="4"/>
    </row>
    <row r="2735" spans="1:36">
      <c r="A2735" t="str">
        <f t="shared" si="212"/>
        <v>Sanj192734</v>
      </c>
      <c r="B2735">
        <v>2734</v>
      </c>
      <c r="C2735">
        <v>24</v>
      </c>
      <c r="D2735">
        <v>11</v>
      </c>
      <c r="E2735">
        <v>2023</v>
      </c>
      <c r="F2735" s="1">
        <f t="shared" si="213"/>
        <v>45254</v>
      </c>
      <c r="G2735" s="1" t="s">
        <v>144</v>
      </c>
      <c r="H2735" s="2">
        <v>47211</v>
      </c>
      <c r="I2735" t="s">
        <v>38</v>
      </c>
      <c r="J2735">
        <v>2</v>
      </c>
      <c r="K2735">
        <v>53546.26</v>
      </c>
      <c r="L2735" t="s">
        <v>700</v>
      </c>
      <c r="M2735">
        <v>19</v>
      </c>
      <c r="N2735" t="s">
        <v>36</v>
      </c>
      <c r="O2735" s="3" t="s">
        <v>55</v>
      </c>
      <c r="P2735" t="s">
        <v>132</v>
      </c>
      <c r="Q2735" t="s">
        <v>41</v>
      </c>
      <c r="R2735">
        <v>2</v>
      </c>
      <c r="S2735" t="s">
        <v>42</v>
      </c>
      <c r="T2735" s="4">
        <f t="shared" si="214"/>
        <v>107092.52</v>
      </c>
      <c r="U2735" s="4" t="str">
        <f t="shared" si="215"/>
        <v>Average</v>
      </c>
      <c r="V2735" s="4" t="str">
        <f t="shared" si="211"/>
        <v>Good</v>
      </c>
      <c r="W2735" s="4"/>
      <c r="X2735" s="4"/>
      <c r="AJ2735" s="4"/>
    </row>
    <row r="2736" spans="1:36">
      <c r="A2736" t="str">
        <f t="shared" si="212"/>
        <v>Adit352735</v>
      </c>
      <c r="B2736">
        <v>2735</v>
      </c>
      <c r="C2736">
        <v>24</v>
      </c>
      <c r="D2736">
        <v>11</v>
      </c>
      <c r="E2736">
        <v>2023</v>
      </c>
      <c r="F2736" s="1">
        <f t="shared" si="213"/>
        <v>45254</v>
      </c>
      <c r="G2736" s="1" t="s">
        <v>144</v>
      </c>
      <c r="H2736" s="2">
        <v>47212</v>
      </c>
      <c r="I2736" t="s">
        <v>43</v>
      </c>
      <c r="J2736">
        <v>7</v>
      </c>
      <c r="K2736">
        <v>49423.91</v>
      </c>
      <c r="L2736" t="s">
        <v>943</v>
      </c>
      <c r="M2736">
        <v>35</v>
      </c>
      <c r="N2736" t="s">
        <v>21</v>
      </c>
      <c r="O2736" s="3" t="s">
        <v>22</v>
      </c>
      <c r="P2736" t="s">
        <v>66</v>
      </c>
      <c r="Q2736" t="s">
        <v>56</v>
      </c>
      <c r="R2736">
        <v>4</v>
      </c>
      <c r="S2736" t="s">
        <v>57</v>
      </c>
      <c r="T2736" s="4">
        <f t="shared" si="214"/>
        <v>345967.37</v>
      </c>
      <c r="U2736" s="4" t="str">
        <f t="shared" si="215"/>
        <v>Good</v>
      </c>
      <c r="V2736" s="4" t="str">
        <f t="shared" si="211"/>
        <v>Excellent</v>
      </c>
      <c r="W2736" s="4"/>
      <c r="X2736" s="4"/>
      <c r="AJ2736" s="4"/>
    </row>
    <row r="2737" spans="1:36">
      <c r="A2737" t="str">
        <f t="shared" si="212"/>
        <v>Deep302736</v>
      </c>
      <c r="B2737">
        <v>2736</v>
      </c>
      <c r="C2737">
        <v>25</v>
      </c>
      <c r="D2737">
        <v>11</v>
      </c>
      <c r="E2737">
        <v>2023</v>
      </c>
      <c r="F2737" s="1">
        <f t="shared" si="213"/>
        <v>45255</v>
      </c>
      <c r="G2737" s="1" t="s">
        <v>144</v>
      </c>
      <c r="H2737" s="2">
        <v>47213</v>
      </c>
      <c r="I2737" t="s">
        <v>38</v>
      </c>
      <c r="J2737">
        <v>4</v>
      </c>
      <c r="K2737">
        <v>53938.25</v>
      </c>
      <c r="L2737" t="s">
        <v>1027</v>
      </c>
      <c r="M2737">
        <v>30</v>
      </c>
      <c r="N2737" t="s">
        <v>36</v>
      </c>
      <c r="O2737" s="3" t="s">
        <v>28</v>
      </c>
      <c r="P2737" t="s">
        <v>117</v>
      </c>
      <c r="Q2737" t="s">
        <v>30</v>
      </c>
      <c r="R2737">
        <v>3</v>
      </c>
      <c r="S2737" t="s">
        <v>48</v>
      </c>
      <c r="T2737" s="4">
        <f t="shared" si="214"/>
        <v>215753</v>
      </c>
      <c r="U2737" s="4" t="str">
        <f t="shared" si="215"/>
        <v>Average</v>
      </c>
      <c r="V2737" s="4" t="str">
        <f t="shared" si="211"/>
        <v>Excellent</v>
      </c>
      <c r="W2737" s="4"/>
      <c r="X2737" s="4"/>
      <c r="AJ2737" s="4"/>
    </row>
    <row r="2738" spans="1:36">
      <c r="A2738" t="str">
        <f t="shared" si="212"/>
        <v>Umes462737</v>
      </c>
      <c r="B2738">
        <v>2737</v>
      </c>
      <c r="C2738">
        <v>25</v>
      </c>
      <c r="D2738">
        <v>11</v>
      </c>
      <c r="E2738">
        <v>2023</v>
      </c>
      <c r="F2738" s="1">
        <f t="shared" si="213"/>
        <v>45255</v>
      </c>
      <c r="G2738" s="1" t="s">
        <v>144</v>
      </c>
      <c r="H2738" s="2">
        <v>47214</v>
      </c>
      <c r="I2738" t="s">
        <v>26</v>
      </c>
      <c r="J2738">
        <v>5</v>
      </c>
      <c r="K2738">
        <v>31324.32</v>
      </c>
      <c r="L2738" t="s">
        <v>840</v>
      </c>
      <c r="M2738">
        <v>46</v>
      </c>
      <c r="N2738" t="s">
        <v>61</v>
      </c>
      <c r="O2738" s="3" t="s">
        <v>22</v>
      </c>
      <c r="P2738" t="s">
        <v>29</v>
      </c>
      <c r="Q2738" t="s">
        <v>30</v>
      </c>
      <c r="R2738">
        <v>4</v>
      </c>
      <c r="S2738" t="s">
        <v>67</v>
      </c>
      <c r="T2738" s="4">
        <f t="shared" si="214"/>
        <v>156621.6</v>
      </c>
      <c r="U2738" s="4" t="str">
        <f t="shared" si="215"/>
        <v>Good</v>
      </c>
      <c r="V2738" s="4" t="str">
        <f t="shared" si="211"/>
        <v>Good</v>
      </c>
      <c r="W2738" s="4"/>
      <c r="X2738" s="4"/>
      <c r="AJ2738" s="4"/>
    </row>
    <row r="2739" spans="1:36">
      <c r="A2739" t="str">
        <f t="shared" si="212"/>
        <v>Mala412738</v>
      </c>
      <c r="B2739">
        <v>2738</v>
      </c>
      <c r="C2739">
        <v>25</v>
      </c>
      <c r="D2739">
        <v>11</v>
      </c>
      <c r="E2739">
        <v>2023</v>
      </c>
      <c r="F2739" s="1">
        <f t="shared" si="213"/>
        <v>45255</v>
      </c>
      <c r="G2739" s="1" t="s">
        <v>144</v>
      </c>
      <c r="H2739" s="2">
        <v>47215</v>
      </c>
      <c r="I2739" t="s">
        <v>49</v>
      </c>
      <c r="J2739">
        <v>7</v>
      </c>
      <c r="K2739">
        <v>59229.79</v>
      </c>
      <c r="L2739" t="s">
        <v>383</v>
      </c>
      <c r="M2739">
        <v>41</v>
      </c>
      <c r="N2739" t="s">
        <v>21</v>
      </c>
      <c r="O2739" s="3" t="s">
        <v>22</v>
      </c>
      <c r="P2739" t="s">
        <v>29</v>
      </c>
      <c r="Q2739" t="s">
        <v>30</v>
      </c>
      <c r="R2739">
        <v>5</v>
      </c>
      <c r="S2739" t="s">
        <v>88</v>
      </c>
      <c r="T2739" s="4">
        <f t="shared" si="214"/>
        <v>414608.53</v>
      </c>
      <c r="U2739" s="4" t="str">
        <f t="shared" si="215"/>
        <v>Good</v>
      </c>
      <c r="V2739" s="4" t="str">
        <f t="shared" si="211"/>
        <v>Excellent</v>
      </c>
      <c r="W2739" s="4"/>
      <c r="X2739" s="4"/>
      <c r="AJ2739" s="4"/>
    </row>
    <row r="2740" spans="1:36">
      <c r="A2740" t="str">
        <f t="shared" si="212"/>
        <v>Roha552739</v>
      </c>
      <c r="B2740">
        <v>2739</v>
      </c>
      <c r="C2740">
        <v>25</v>
      </c>
      <c r="D2740">
        <v>11</v>
      </c>
      <c r="E2740">
        <v>2023</v>
      </c>
      <c r="F2740" s="1">
        <f t="shared" si="213"/>
        <v>45255</v>
      </c>
      <c r="G2740" s="1" t="s">
        <v>144</v>
      </c>
      <c r="H2740" s="2">
        <v>47216</v>
      </c>
      <c r="I2740" t="s">
        <v>38</v>
      </c>
      <c r="J2740">
        <v>3</v>
      </c>
      <c r="K2740">
        <v>12682.42</v>
      </c>
      <c r="L2740" t="s">
        <v>888</v>
      </c>
      <c r="M2740">
        <v>55</v>
      </c>
      <c r="N2740" t="s">
        <v>61</v>
      </c>
      <c r="O2740" s="3" t="s">
        <v>28</v>
      </c>
      <c r="P2740" t="s">
        <v>66</v>
      </c>
      <c r="Q2740" t="s">
        <v>30</v>
      </c>
      <c r="R2740">
        <v>3</v>
      </c>
      <c r="S2740" t="s">
        <v>42</v>
      </c>
      <c r="T2740" s="4">
        <f t="shared" si="214"/>
        <v>38047.26</v>
      </c>
      <c r="U2740" s="4" t="str">
        <f t="shared" si="215"/>
        <v>Average</v>
      </c>
      <c r="V2740" s="4" t="str">
        <f t="shared" si="211"/>
        <v>Low</v>
      </c>
      <c r="W2740" s="4"/>
      <c r="X2740" s="4"/>
      <c r="AJ2740" s="4"/>
    </row>
    <row r="2741" spans="1:36">
      <c r="A2741" t="str">
        <f t="shared" si="212"/>
        <v>Pank292740</v>
      </c>
      <c r="B2741">
        <v>2740</v>
      </c>
      <c r="C2741">
        <v>26</v>
      </c>
      <c r="D2741">
        <v>11</v>
      </c>
      <c r="E2741">
        <v>2023</v>
      </c>
      <c r="F2741" s="1">
        <f t="shared" si="213"/>
        <v>45256</v>
      </c>
      <c r="G2741" s="1" t="s">
        <v>144</v>
      </c>
      <c r="H2741" s="2">
        <v>47217</v>
      </c>
      <c r="I2741" t="s">
        <v>49</v>
      </c>
      <c r="J2741">
        <v>2</v>
      </c>
      <c r="K2741">
        <v>55325.87</v>
      </c>
      <c r="L2741" t="s">
        <v>353</v>
      </c>
      <c r="M2741">
        <v>29</v>
      </c>
      <c r="N2741" t="s">
        <v>36</v>
      </c>
      <c r="O2741" s="3" t="s">
        <v>22</v>
      </c>
      <c r="P2741" t="s">
        <v>29</v>
      </c>
      <c r="Q2741" t="s">
        <v>56</v>
      </c>
      <c r="R2741">
        <v>5</v>
      </c>
      <c r="S2741" t="s">
        <v>102</v>
      </c>
      <c r="T2741" s="4">
        <f t="shared" si="214"/>
        <v>110651.74</v>
      </c>
      <c r="U2741" s="4" t="str">
        <f t="shared" si="215"/>
        <v>Good</v>
      </c>
      <c r="V2741" s="4" t="str">
        <f t="shared" si="211"/>
        <v>Good</v>
      </c>
      <c r="W2741" s="4"/>
      <c r="X2741" s="4"/>
      <c r="AJ2741" s="4"/>
    </row>
    <row r="2742" spans="1:36">
      <c r="A2742" t="str">
        <f t="shared" si="212"/>
        <v>Pras462741</v>
      </c>
      <c r="B2742">
        <v>2741</v>
      </c>
      <c r="C2742">
        <v>26</v>
      </c>
      <c r="D2742">
        <v>11</v>
      </c>
      <c r="E2742">
        <v>2023</v>
      </c>
      <c r="F2742" s="1">
        <f t="shared" si="213"/>
        <v>45256</v>
      </c>
      <c r="G2742" s="1" t="s">
        <v>144</v>
      </c>
      <c r="H2742" s="2">
        <v>47218</v>
      </c>
      <c r="I2742" t="s">
        <v>38</v>
      </c>
      <c r="J2742">
        <v>7</v>
      </c>
      <c r="K2742">
        <v>26024.32</v>
      </c>
      <c r="L2742" t="s">
        <v>637</v>
      </c>
      <c r="M2742">
        <v>46</v>
      </c>
      <c r="N2742" t="s">
        <v>61</v>
      </c>
      <c r="O2742" s="3" t="s">
        <v>22</v>
      </c>
      <c r="P2742" t="s">
        <v>29</v>
      </c>
      <c r="Q2742" t="s">
        <v>30</v>
      </c>
      <c r="R2742">
        <v>5</v>
      </c>
      <c r="S2742" t="s">
        <v>99</v>
      </c>
      <c r="T2742" s="4">
        <f t="shared" si="214"/>
        <v>182170.23999999999</v>
      </c>
      <c r="U2742" s="4" t="str">
        <f t="shared" si="215"/>
        <v>Good</v>
      </c>
      <c r="V2742" s="4" t="str">
        <f t="shared" si="211"/>
        <v>Good</v>
      </c>
      <c r="W2742" s="4"/>
      <c r="X2742" s="4"/>
      <c r="AJ2742" s="4"/>
    </row>
    <row r="2743" spans="1:36">
      <c r="A2743" t="str">
        <f t="shared" si="212"/>
        <v>Roha392742</v>
      </c>
      <c r="B2743">
        <v>2742</v>
      </c>
      <c r="C2743">
        <v>26</v>
      </c>
      <c r="D2743">
        <v>11</v>
      </c>
      <c r="E2743">
        <v>2023</v>
      </c>
      <c r="F2743" s="1">
        <f t="shared" si="213"/>
        <v>45256</v>
      </c>
      <c r="G2743" s="1" t="s">
        <v>144</v>
      </c>
      <c r="H2743" s="2">
        <v>47219</v>
      </c>
      <c r="I2743" t="s">
        <v>26</v>
      </c>
      <c r="J2743">
        <v>5</v>
      </c>
      <c r="K2743">
        <v>38610.269999999997</v>
      </c>
      <c r="L2743" t="s">
        <v>938</v>
      </c>
      <c r="M2743">
        <v>39</v>
      </c>
      <c r="N2743" t="s">
        <v>21</v>
      </c>
      <c r="O2743" s="3" t="s">
        <v>55</v>
      </c>
      <c r="P2743" t="s">
        <v>29</v>
      </c>
      <c r="Q2743" t="s">
        <v>30</v>
      </c>
      <c r="R2743">
        <v>2</v>
      </c>
      <c r="S2743" t="s">
        <v>67</v>
      </c>
      <c r="T2743" s="4">
        <f t="shared" si="214"/>
        <v>193051.34999999998</v>
      </c>
      <c r="U2743" s="4" t="str">
        <f t="shared" si="215"/>
        <v>Average</v>
      </c>
      <c r="V2743" s="4" t="str">
        <f t="shared" si="211"/>
        <v>Good</v>
      </c>
      <c r="W2743" s="4"/>
      <c r="X2743" s="4"/>
      <c r="AJ2743" s="4"/>
    </row>
    <row r="2744" spans="1:36">
      <c r="A2744" t="str">
        <f t="shared" si="212"/>
        <v>Sanj532743</v>
      </c>
      <c r="B2744">
        <v>2743</v>
      </c>
      <c r="C2744">
        <v>26</v>
      </c>
      <c r="D2744">
        <v>11</v>
      </c>
      <c r="E2744">
        <v>2023</v>
      </c>
      <c r="F2744" s="1">
        <f t="shared" si="213"/>
        <v>45256</v>
      </c>
      <c r="G2744" s="1" t="s">
        <v>144</v>
      </c>
      <c r="H2744" s="2">
        <v>47220</v>
      </c>
      <c r="I2744" t="s">
        <v>43</v>
      </c>
      <c r="J2744">
        <v>1</v>
      </c>
      <c r="K2744">
        <v>59358.18</v>
      </c>
      <c r="L2744" t="s">
        <v>97</v>
      </c>
      <c r="M2744">
        <v>53</v>
      </c>
      <c r="N2744" t="s">
        <v>61</v>
      </c>
      <c r="O2744" s="3" t="s">
        <v>22</v>
      </c>
      <c r="P2744" t="s">
        <v>117</v>
      </c>
      <c r="Q2744" t="s">
        <v>30</v>
      </c>
      <c r="R2744">
        <v>4</v>
      </c>
      <c r="S2744" t="s">
        <v>95</v>
      </c>
      <c r="T2744" s="4">
        <f t="shared" si="214"/>
        <v>59358.18</v>
      </c>
      <c r="U2744" s="4" t="str">
        <f t="shared" si="215"/>
        <v>Good</v>
      </c>
      <c r="V2744" s="4" t="str">
        <f t="shared" si="211"/>
        <v>Average</v>
      </c>
      <c r="W2744" s="4"/>
      <c r="X2744" s="4"/>
      <c r="AJ2744" s="4"/>
    </row>
    <row r="2745" spans="1:36">
      <c r="A2745" t="str">
        <f t="shared" si="212"/>
        <v>Radh182744</v>
      </c>
      <c r="B2745">
        <v>2744</v>
      </c>
      <c r="C2745">
        <v>27</v>
      </c>
      <c r="D2745">
        <v>11</v>
      </c>
      <c r="E2745">
        <v>2023</v>
      </c>
      <c r="F2745" s="1">
        <f t="shared" si="213"/>
        <v>45257</v>
      </c>
      <c r="G2745" s="1" t="s">
        <v>144</v>
      </c>
      <c r="H2745" s="2">
        <v>47221</v>
      </c>
      <c r="I2745" t="s">
        <v>26</v>
      </c>
      <c r="J2745">
        <v>1</v>
      </c>
      <c r="K2745">
        <v>26281.54</v>
      </c>
      <c r="L2745" t="s">
        <v>669</v>
      </c>
      <c r="M2745">
        <v>18</v>
      </c>
      <c r="N2745" t="s">
        <v>36</v>
      </c>
      <c r="O2745" s="3" t="s">
        <v>22</v>
      </c>
      <c r="P2745" t="s">
        <v>70</v>
      </c>
      <c r="Q2745" t="s">
        <v>30</v>
      </c>
      <c r="R2745">
        <v>4</v>
      </c>
      <c r="S2745" t="s">
        <v>31</v>
      </c>
      <c r="T2745" s="4">
        <f t="shared" si="214"/>
        <v>26281.54</v>
      </c>
      <c r="U2745" s="4" t="str">
        <f t="shared" si="215"/>
        <v>Good</v>
      </c>
      <c r="V2745" s="4" t="str">
        <f t="shared" si="211"/>
        <v>Low</v>
      </c>
      <c r="W2745" s="4"/>
      <c r="X2745" s="4"/>
      <c r="AJ2745" s="4"/>
    </row>
    <row r="2746" spans="1:36">
      <c r="A2746" t="str">
        <f t="shared" si="212"/>
        <v>Deve572745</v>
      </c>
      <c r="B2746">
        <v>2745</v>
      </c>
      <c r="C2746">
        <v>27</v>
      </c>
      <c r="D2746">
        <v>11</v>
      </c>
      <c r="E2746">
        <v>2023</v>
      </c>
      <c r="F2746" s="1">
        <f t="shared" si="213"/>
        <v>45257</v>
      </c>
      <c r="G2746" s="1" t="s">
        <v>144</v>
      </c>
      <c r="H2746" s="2">
        <v>47222</v>
      </c>
      <c r="I2746" t="s">
        <v>43</v>
      </c>
      <c r="J2746">
        <v>9</v>
      </c>
      <c r="K2746">
        <v>21112.45</v>
      </c>
      <c r="L2746" t="s">
        <v>123</v>
      </c>
      <c r="M2746">
        <v>57</v>
      </c>
      <c r="N2746" t="s">
        <v>61</v>
      </c>
      <c r="O2746" s="3" t="s">
        <v>22</v>
      </c>
      <c r="P2746" t="s">
        <v>23</v>
      </c>
      <c r="Q2746" t="s">
        <v>30</v>
      </c>
      <c r="R2746">
        <v>5</v>
      </c>
      <c r="S2746" t="s">
        <v>95</v>
      </c>
      <c r="T2746" s="4">
        <f t="shared" si="214"/>
        <v>190012.05000000002</v>
      </c>
      <c r="U2746" s="4" t="str">
        <f t="shared" si="215"/>
        <v>Good</v>
      </c>
      <c r="V2746" s="4" t="str">
        <f t="shared" si="211"/>
        <v>Good</v>
      </c>
      <c r="W2746" s="4"/>
      <c r="X2746" s="4"/>
      <c r="AJ2746" s="4"/>
    </row>
    <row r="2747" spans="1:36">
      <c r="A2747" t="str">
        <f t="shared" si="212"/>
        <v>Raje512746</v>
      </c>
      <c r="B2747">
        <v>2746</v>
      </c>
      <c r="C2747">
        <v>27</v>
      </c>
      <c r="D2747">
        <v>11</v>
      </c>
      <c r="E2747">
        <v>2023</v>
      </c>
      <c r="F2747" s="1">
        <f t="shared" si="213"/>
        <v>45257</v>
      </c>
      <c r="G2747" s="1" t="s">
        <v>144</v>
      </c>
      <c r="H2747" s="2">
        <v>47223</v>
      </c>
      <c r="I2747" t="s">
        <v>43</v>
      </c>
      <c r="J2747">
        <v>5</v>
      </c>
      <c r="K2747">
        <v>50878.79</v>
      </c>
      <c r="L2747" t="s">
        <v>100</v>
      </c>
      <c r="M2747">
        <v>51</v>
      </c>
      <c r="N2747" t="s">
        <v>61</v>
      </c>
      <c r="O2747" s="3" t="s">
        <v>22</v>
      </c>
      <c r="P2747" t="s">
        <v>90</v>
      </c>
      <c r="Q2747" t="s">
        <v>24</v>
      </c>
      <c r="R2747">
        <v>4</v>
      </c>
      <c r="S2747" t="s">
        <v>46</v>
      </c>
      <c r="T2747" s="4">
        <f t="shared" si="214"/>
        <v>254393.95</v>
      </c>
      <c r="U2747" s="4" t="str">
        <f t="shared" si="215"/>
        <v>Good</v>
      </c>
      <c r="V2747" s="4" t="str">
        <f t="shared" si="211"/>
        <v>Excellent</v>
      </c>
      <c r="W2747" s="4"/>
      <c r="X2747" s="4"/>
      <c r="AJ2747" s="4"/>
    </row>
    <row r="2748" spans="1:36">
      <c r="A2748" t="str">
        <f t="shared" si="212"/>
        <v>Mano512747</v>
      </c>
      <c r="B2748">
        <v>2747</v>
      </c>
      <c r="C2748">
        <v>28</v>
      </c>
      <c r="D2748">
        <v>11</v>
      </c>
      <c r="E2748">
        <v>2023</v>
      </c>
      <c r="F2748" s="1">
        <f t="shared" si="213"/>
        <v>45258</v>
      </c>
      <c r="G2748" s="1" t="s">
        <v>144</v>
      </c>
      <c r="H2748" s="2">
        <v>47224</v>
      </c>
      <c r="I2748" t="s">
        <v>49</v>
      </c>
      <c r="J2748">
        <v>1</v>
      </c>
      <c r="K2748">
        <v>42003.69</v>
      </c>
      <c r="L2748" t="s">
        <v>798</v>
      </c>
      <c r="M2748">
        <v>51</v>
      </c>
      <c r="N2748" t="s">
        <v>61</v>
      </c>
      <c r="O2748" s="3" t="s">
        <v>22</v>
      </c>
      <c r="P2748" t="s">
        <v>29</v>
      </c>
      <c r="Q2748" t="s">
        <v>24</v>
      </c>
      <c r="R2748">
        <v>4</v>
      </c>
      <c r="S2748" t="s">
        <v>102</v>
      </c>
      <c r="T2748" s="4">
        <f t="shared" si="214"/>
        <v>42003.69</v>
      </c>
      <c r="U2748" s="4" t="str">
        <f t="shared" si="215"/>
        <v>Good</v>
      </c>
      <c r="V2748" s="4" t="str">
        <f t="shared" si="211"/>
        <v>Low</v>
      </c>
      <c r="W2748" s="4"/>
      <c r="X2748" s="4"/>
      <c r="AJ2748" s="4"/>
    </row>
    <row r="2749" spans="1:36">
      <c r="A2749" t="str">
        <f t="shared" si="212"/>
        <v>Raje502748</v>
      </c>
      <c r="B2749">
        <v>2748</v>
      </c>
      <c r="C2749">
        <v>28</v>
      </c>
      <c r="D2749">
        <v>11</v>
      </c>
      <c r="E2749">
        <v>2023</v>
      </c>
      <c r="F2749" s="1">
        <f t="shared" si="213"/>
        <v>45258</v>
      </c>
      <c r="G2749" s="1" t="s">
        <v>144</v>
      </c>
      <c r="H2749" s="2">
        <v>47225</v>
      </c>
      <c r="I2749" t="s">
        <v>26</v>
      </c>
      <c r="J2749">
        <v>7</v>
      </c>
      <c r="K2749">
        <v>40864.230000000003</v>
      </c>
      <c r="L2749" t="s">
        <v>285</v>
      </c>
      <c r="M2749">
        <v>50</v>
      </c>
      <c r="N2749" t="s">
        <v>61</v>
      </c>
      <c r="O2749" s="3" t="s">
        <v>22</v>
      </c>
      <c r="P2749" t="s">
        <v>51</v>
      </c>
      <c r="Q2749" t="s">
        <v>30</v>
      </c>
      <c r="R2749">
        <v>5</v>
      </c>
      <c r="S2749" t="s">
        <v>67</v>
      </c>
      <c r="T2749" s="4">
        <f t="shared" si="214"/>
        <v>286049.61000000004</v>
      </c>
      <c r="U2749" s="4" t="str">
        <f t="shared" si="215"/>
        <v>Good</v>
      </c>
      <c r="V2749" s="4" t="str">
        <f t="shared" si="211"/>
        <v>Excellent</v>
      </c>
      <c r="W2749" s="4"/>
      <c r="X2749" s="4"/>
      <c r="AJ2749" s="4"/>
    </row>
    <row r="2750" spans="1:36">
      <c r="A2750" t="str">
        <f t="shared" si="212"/>
        <v>Adit212749</v>
      </c>
      <c r="B2750">
        <v>2749</v>
      </c>
      <c r="C2750">
        <v>28</v>
      </c>
      <c r="D2750">
        <v>11</v>
      </c>
      <c r="E2750">
        <v>2023</v>
      </c>
      <c r="F2750" s="1">
        <f t="shared" si="213"/>
        <v>45258</v>
      </c>
      <c r="G2750" s="1" t="s">
        <v>144</v>
      </c>
      <c r="H2750" s="2">
        <v>47226</v>
      </c>
      <c r="I2750" t="s">
        <v>38</v>
      </c>
      <c r="J2750">
        <v>9</v>
      </c>
      <c r="K2750">
        <v>25406.17</v>
      </c>
      <c r="L2750" t="s">
        <v>1028</v>
      </c>
      <c r="M2750">
        <v>21</v>
      </c>
      <c r="N2750" t="s">
        <v>36</v>
      </c>
      <c r="O2750" s="3" t="s">
        <v>22</v>
      </c>
      <c r="P2750" t="s">
        <v>33</v>
      </c>
      <c r="Q2750" t="s">
        <v>30</v>
      </c>
      <c r="R2750">
        <v>4</v>
      </c>
      <c r="S2750" t="s">
        <v>48</v>
      </c>
      <c r="T2750" s="4">
        <f t="shared" si="214"/>
        <v>228655.52999999997</v>
      </c>
      <c r="U2750" s="4" t="str">
        <f t="shared" si="215"/>
        <v>Good</v>
      </c>
      <c r="V2750" s="4" t="str">
        <f t="shared" si="211"/>
        <v>Excellent</v>
      </c>
      <c r="W2750" s="4"/>
      <c r="X2750" s="4"/>
      <c r="AJ2750" s="4"/>
    </row>
    <row r="2751" spans="1:36">
      <c r="A2751" t="str">
        <f t="shared" si="212"/>
        <v>Tanu552750</v>
      </c>
      <c r="B2751">
        <v>2750</v>
      </c>
      <c r="C2751">
        <v>29</v>
      </c>
      <c r="D2751">
        <v>11</v>
      </c>
      <c r="E2751">
        <v>2023</v>
      </c>
      <c r="F2751" s="1">
        <f t="shared" si="213"/>
        <v>45259</v>
      </c>
      <c r="G2751" s="1" t="s">
        <v>144</v>
      </c>
      <c r="H2751" s="2">
        <v>47227</v>
      </c>
      <c r="I2751" t="s">
        <v>26</v>
      </c>
      <c r="J2751">
        <v>1</v>
      </c>
      <c r="K2751">
        <v>12092.82</v>
      </c>
      <c r="L2751" t="s">
        <v>970</v>
      </c>
      <c r="M2751">
        <v>55</v>
      </c>
      <c r="N2751" t="s">
        <v>61</v>
      </c>
      <c r="O2751" s="3" t="s">
        <v>22</v>
      </c>
      <c r="P2751" t="s">
        <v>33</v>
      </c>
      <c r="Q2751" t="s">
        <v>56</v>
      </c>
      <c r="R2751">
        <v>4</v>
      </c>
      <c r="S2751" t="s">
        <v>67</v>
      </c>
      <c r="T2751" s="4">
        <f t="shared" si="214"/>
        <v>12092.82</v>
      </c>
      <c r="U2751" s="4" t="str">
        <f t="shared" si="215"/>
        <v>Good</v>
      </c>
      <c r="V2751" s="4" t="str">
        <f t="shared" si="211"/>
        <v>Low</v>
      </c>
      <c r="W2751" s="4"/>
      <c r="X2751" s="4"/>
      <c r="AJ2751" s="4"/>
    </row>
    <row r="2752" spans="1:36">
      <c r="A2752" t="str">
        <f t="shared" si="212"/>
        <v>Pras472751</v>
      </c>
      <c r="B2752">
        <v>2751</v>
      </c>
      <c r="C2752">
        <v>29</v>
      </c>
      <c r="D2752">
        <v>11</v>
      </c>
      <c r="E2752">
        <v>2023</v>
      </c>
      <c r="F2752" s="1">
        <f t="shared" si="213"/>
        <v>45259</v>
      </c>
      <c r="G2752" s="1" t="s">
        <v>144</v>
      </c>
      <c r="H2752" s="2">
        <v>47228</v>
      </c>
      <c r="I2752" t="s">
        <v>49</v>
      </c>
      <c r="J2752">
        <v>4</v>
      </c>
      <c r="K2752">
        <v>34616.15</v>
      </c>
      <c r="L2752" t="s">
        <v>1029</v>
      </c>
      <c r="M2752">
        <v>47</v>
      </c>
      <c r="N2752" t="s">
        <v>61</v>
      </c>
      <c r="O2752" s="3" t="s">
        <v>22</v>
      </c>
      <c r="P2752" t="s">
        <v>70</v>
      </c>
      <c r="Q2752" t="s">
        <v>30</v>
      </c>
      <c r="R2752">
        <v>5</v>
      </c>
      <c r="S2752" t="s">
        <v>102</v>
      </c>
      <c r="T2752" s="4">
        <f t="shared" si="214"/>
        <v>138464.6</v>
      </c>
      <c r="U2752" s="4" t="str">
        <f t="shared" si="215"/>
        <v>Good</v>
      </c>
      <c r="V2752" s="4" t="str">
        <f t="shared" si="211"/>
        <v>Good</v>
      </c>
      <c r="W2752" s="4"/>
      <c r="X2752" s="4"/>
      <c r="AJ2752" s="4"/>
    </row>
    <row r="2753" spans="1:36">
      <c r="A2753" t="str">
        <f t="shared" si="212"/>
        <v>Nikh372752</v>
      </c>
      <c r="B2753">
        <v>2752</v>
      </c>
      <c r="C2753">
        <v>29</v>
      </c>
      <c r="D2753">
        <v>11</v>
      </c>
      <c r="E2753">
        <v>2023</v>
      </c>
      <c r="F2753" s="1">
        <f t="shared" si="213"/>
        <v>45259</v>
      </c>
      <c r="G2753" s="1" t="s">
        <v>144</v>
      </c>
      <c r="H2753" s="2">
        <v>47229</v>
      </c>
      <c r="I2753" t="s">
        <v>43</v>
      </c>
      <c r="J2753">
        <v>3</v>
      </c>
      <c r="K2753">
        <v>16393.57</v>
      </c>
      <c r="L2753" t="s">
        <v>749</v>
      </c>
      <c r="M2753">
        <v>37</v>
      </c>
      <c r="N2753" t="s">
        <v>21</v>
      </c>
      <c r="O2753" s="3" t="s">
        <v>22</v>
      </c>
      <c r="P2753" t="s">
        <v>45</v>
      </c>
      <c r="Q2753" t="s">
        <v>41</v>
      </c>
      <c r="R2753">
        <v>4</v>
      </c>
      <c r="S2753" t="s">
        <v>57</v>
      </c>
      <c r="T2753" s="4">
        <f t="shared" si="214"/>
        <v>49180.71</v>
      </c>
      <c r="U2753" s="4" t="str">
        <f t="shared" si="215"/>
        <v>Good</v>
      </c>
      <c r="V2753" s="4" t="str">
        <f t="shared" ref="V2753:V2816" si="216">IF(T2753&gt;200000,"Excellent",IF(T2753&gt;100000,"Good",IF(T2753&gt;50000,"Average","Low")))</f>
        <v>Low</v>
      </c>
      <c r="W2753" s="4"/>
      <c r="X2753" s="4"/>
      <c r="AJ2753" s="4"/>
    </row>
    <row r="2754" spans="1:36">
      <c r="A2754" t="str">
        <f t="shared" ref="A2754:A2817" si="217">LEFT(L2754,4)&amp;M2754&amp;B2754</f>
        <v>Sneh432753</v>
      </c>
      <c r="B2754">
        <v>2753</v>
      </c>
      <c r="C2754">
        <v>30</v>
      </c>
      <c r="D2754">
        <v>11</v>
      </c>
      <c r="E2754">
        <v>2023</v>
      </c>
      <c r="F2754" s="1">
        <f t="shared" si="213"/>
        <v>45260</v>
      </c>
      <c r="G2754" s="1" t="s">
        <v>144</v>
      </c>
      <c r="H2754" s="2">
        <v>47230</v>
      </c>
      <c r="I2754" t="s">
        <v>49</v>
      </c>
      <c r="J2754">
        <v>5</v>
      </c>
      <c r="K2754">
        <v>64359.35</v>
      </c>
      <c r="L2754" t="s">
        <v>152</v>
      </c>
      <c r="M2754">
        <v>43</v>
      </c>
      <c r="N2754" t="s">
        <v>21</v>
      </c>
      <c r="O2754" s="3" t="s">
        <v>22</v>
      </c>
      <c r="P2754" t="s">
        <v>33</v>
      </c>
      <c r="Q2754" t="s">
        <v>24</v>
      </c>
      <c r="R2754">
        <v>5</v>
      </c>
      <c r="S2754" t="s">
        <v>88</v>
      </c>
      <c r="T2754" s="4">
        <f t="shared" si="214"/>
        <v>321796.75</v>
      </c>
      <c r="U2754" s="4" t="str">
        <f t="shared" si="215"/>
        <v>Good</v>
      </c>
      <c r="V2754" s="4" t="str">
        <f t="shared" si="216"/>
        <v>Excellent</v>
      </c>
      <c r="W2754" s="4"/>
      <c r="X2754" s="4"/>
      <c r="AJ2754" s="4"/>
    </row>
    <row r="2755" spans="1:36">
      <c r="A2755" t="str">
        <f t="shared" si="217"/>
        <v>Bina322754</v>
      </c>
      <c r="B2755">
        <v>2754</v>
      </c>
      <c r="C2755">
        <v>30</v>
      </c>
      <c r="D2755">
        <v>11</v>
      </c>
      <c r="E2755">
        <v>2023</v>
      </c>
      <c r="F2755" s="1">
        <f t="shared" ref="F2755:F2818" si="218">DATE(E2755,D2755,C2755)</f>
        <v>45260</v>
      </c>
      <c r="G2755" s="1" t="s">
        <v>144</v>
      </c>
      <c r="H2755" s="2">
        <v>47231</v>
      </c>
      <c r="I2755" t="s">
        <v>19</v>
      </c>
      <c r="J2755">
        <v>7</v>
      </c>
      <c r="K2755">
        <v>12475.02</v>
      </c>
      <c r="L2755" t="s">
        <v>913</v>
      </c>
      <c r="M2755">
        <v>32</v>
      </c>
      <c r="N2755" t="s">
        <v>21</v>
      </c>
      <c r="O2755" s="3" t="s">
        <v>55</v>
      </c>
      <c r="P2755" t="s">
        <v>137</v>
      </c>
      <c r="Q2755" t="s">
        <v>30</v>
      </c>
      <c r="R2755">
        <v>2</v>
      </c>
      <c r="S2755" t="s">
        <v>37</v>
      </c>
      <c r="T2755" s="4">
        <f t="shared" ref="T2755:T2818" si="219">J2755*K2755</f>
        <v>87325.14</v>
      </c>
      <c r="U2755" s="4" t="str">
        <f t="shared" ref="U2755:U2818" si="220">IF(R2755&gt;=4,"Good","Average")</f>
        <v>Average</v>
      </c>
      <c r="V2755" s="4" t="str">
        <f t="shared" si="216"/>
        <v>Average</v>
      </c>
      <c r="W2755" s="4"/>
      <c r="X2755" s="4"/>
      <c r="AJ2755" s="4"/>
    </row>
    <row r="2756" spans="1:36">
      <c r="A2756" t="str">
        <f t="shared" si="217"/>
        <v>Vino242755</v>
      </c>
      <c r="B2756">
        <v>2755</v>
      </c>
      <c r="C2756">
        <v>30</v>
      </c>
      <c r="D2756">
        <v>11</v>
      </c>
      <c r="E2756">
        <v>2023</v>
      </c>
      <c r="F2756" s="1">
        <f t="shared" si="218"/>
        <v>45260</v>
      </c>
      <c r="G2756" s="1" t="s">
        <v>144</v>
      </c>
      <c r="H2756" s="2">
        <v>47232</v>
      </c>
      <c r="I2756" t="s">
        <v>19</v>
      </c>
      <c r="J2756">
        <v>8</v>
      </c>
      <c r="K2756">
        <v>35899.050000000003</v>
      </c>
      <c r="L2756" t="s">
        <v>1030</v>
      </c>
      <c r="M2756">
        <v>24</v>
      </c>
      <c r="N2756" t="s">
        <v>36</v>
      </c>
      <c r="O2756" s="3" t="s">
        <v>22</v>
      </c>
      <c r="P2756" t="s">
        <v>70</v>
      </c>
      <c r="Q2756" t="s">
        <v>24</v>
      </c>
      <c r="R2756">
        <v>4</v>
      </c>
      <c r="S2756" t="s">
        <v>84</v>
      </c>
      <c r="T2756" s="4">
        <f t="shared" si="219"/>
        <v>287192.40000000002</v>
      </c>
      <c r="U2756" s="4" t="str">
        <f t="shared" si="220"/>
        <v>Good</v>
      </c>
      <c r="V2756" s="4" t="str">
        <f t="shared" si="216"/>
        <v>Excellent</v>
      </c>
      <c r="W2756" s="4"/>
      <c r="X2756" s="4"/>
      <c r="AJ2756" s="4"/>
    </row>
    <row r="2757" spans="1:36">
      <c r="A2757" t="str">
        <f t="shared" si="217"/>
        <v>Priy242756</v>
      </c>
      <c r="B2757">
        <v>2756</v>
      </c>
      <c r="C2757">
        <v>30</v>
      </c>
      <c r="D2757">
        <v>11</v>
      </c>
      <c r="E2757">
        <v>2023</v>
      </c>
      <c r="F2757" s="1">
        <f t="shared" si="218"/>
        <v>45260</v>
      </c>
      <c r="G2757" s="1" t="s">
        <v>144</v>
      </c>
      <c r="H2757" s="2">
        <v>47233</v>
      </c>
      <c r="I2757" t="s">
        <v>38</v>
      </c>
      <c r="J2757">
        <v>2</v>
      </c>
      <c r="K2757">
        <v>13134.74</v>
      </c>
      <c r="L2757" t="s">
        <v>354</v>
      </c>
      <c r="M2757">
        <v>24</v>
      </c>
      <c r="N2757" t="s">
        <v>36</v>
      </c>
      <c r="O2757" s="3" t="s">
        <v>22</v>
      </c>
      <c r="P2757" t="s">
        <v>45</v>
      </c>
      <c r="Q2757" t="s">
        <v>30</v>
      </c>
      <c r="R2757">
        <v>5</v>
      </c>
      <c r="S2757" t="s">
        <v>48</v>
      </c>
      <c r="T2757" s="4">
        <f t="shared" si="219"/>
        <v>26269.48</v>
      </c>
      <c r="U2757" s="4" t="str">
        <f t="shared" si="220"/>
        <v>Good</v>
      </c>
      <c r="V2757" s="4" t="str">
        <f t="shared" si="216"/>
        <v>Low</v>
      </c>
      <c r="W2757" s="4"/>
      <c r="X2757" s="4"/>
      <c r="AJ2757" s="4"/>
    </row>
    <row r="2758" spans="1:36">
      <c r="A2758" t="str">
        <f t="shared" si="217"/>
        <v>Neet462757</v>
      </c>
      <c r="B2758">
        <v>2757</v>
      </c>
      <c r="C2758">
        <v>1</v>
      </c>
      <c r="D2758">
        <v>12</v>
      </c>
      <c r="E2758">
        <v>2023</v>
      </c>
      <c r="F2758" s="1">
        <f t="shared" si="218"/>
        <v>45261</v>
      </c>
      <c r="G2758" s="1" t="s">
        <v>239</v>
      </c>
      <c r="H2758" s="2">
        <v>47234</v>
      </c>
      <c r="I2758" t="s">
        <v>49</v>
      </c>
      <c r="J2758">
        <v>7</v>
      </c>
      <c r="K2758">
        <v>15732.63</v>
      </c>
      <c r="L2758" t="s">
        <v>485</v>
      </c>
      <c r="M2758">
        <v>46</v>
      </c>
      <c r="N2758" t="s">
        <v>61</v>
      </c>
      <c r="O2758" s="3" t="s">
        <v>28</v>
      </c>
      <c r="P2758" t="s">
        <v>64</v>
      </c>
      <c r="Q2758" t="s">
        <v>41</v>
      </c>
      <c r="R2758">
        <v>3</v>
      </c>
      <c r="S2758" t="s">
        <v>52</v>
      </c>
      <c r="T2758" s="4">
        <f t="shared" si="219"/>
        <v>110128.40999999999</v>
      </c>
      <c r="U2758" s="4" t="str">
        <f t="shared" si="220"/>
        <v>Average</v>
      </c>
      <c r="V2758" s="4" t="str">
        <f t="shared" si="216"/>
        <v>Good</v>
      </c>
      <c r="W2758" s="4"/>
      <c r="X2758" s="4"/>
      <c r="AJ2758" s="4"/>
    </row>
    <row r="2759" spans="1:36">
      <c r="A2759" t="str">
        <f t="shared" si="217"/>
        <v>Neet402758</v>
      </c>
      <c r="B2759">
        <v>2758</v>
      </c>
      <c r="C2759">
        <v>1</v>
      </c>
      <c r="D2759">
        <v>12</v>
      </c>
      <c r="E2759">
        <v>2023</v>
      </c>
      <c r="F2759" s="1">
        <f t="shared" si="218"/>
        <v>45261</v>
      </c>
      <c r="G2759" s="1" t="s">
        <v>239</v>
      </c>
      <c r="H2759" s="2">
        <v>47235</v>
      </c>
      <c r="I2759" t="s">
        <v>38</v>
      </c>
      <c r="J2759">
        <v>1</v>
      </c>
      <c r="K2759">
        <v>49532</v>
      </c>
      <c r="L2759" t="s">
        <v>1031</v>
      </c>
      <c r="M2759">
        <v>40</v>
      </c>
      <c r="N2759" t="s">
        <v>21</v>
      </c>
      <c r="O2759" s="3" t="s">
        <v>55</v>
      </c>
      <c r="P2759" t="s">
        <v>29</v>
      </c>
      <c r="Q2759" t="s">
        <v>30</v>
      </c>
      <c r="R2759">
        <v>2</v>
      </c>
      <c r="S2759" t="s">
        <v>99</v>
      </c>
      <c r="T2759" s="4">
        <f t="shared" si="219"/>
        <v>49532</v>
      </c>
      <c r="U2759" s="4" t="str">
        <f t="shared" si="220"/>
        <v>Average</v>
      </c>
      <c r="V2759" s="4" t="str">
        <f t="shared" si="216"/>
        <v>Low</v>
      </c>
      <c r="W2759" s="4"/>
      <c r="X2759" s="4"/>
      <c r="AJ2759" s="4"/>
    </row>
    <row r="2760" spans="1:36">
      <c r="A2760" t="str">
        <f t="shared" si="217"/>
        <v>Sneh512759</v>
      </c>
      <c r="B2760">
        <v>2759</v>
      </c>
      <c r="C2760">
        <v>1</v>
      </c>
      <c r="D2760">
        <v>12</v>
      </c>
      <c r="E2760">
        <v>2023</v>
      </c>
      <c r="F2760" s="1">
        <f t="shared" si="218"/>
        <v>45261</v>
      </c>
      <c r="G2760" s="1" t="s">
        <v>239</v>
      </c>
      <c r="H2760" s="2">
        <v>47236</v>
      </c>
      <c r="I2760" t="s">
        <v>38</v>
      </c>
      <c r="J2760">
        <v>7</v>
      </c>
      <c r="K2760">
        <v>48826.68</v>
      </c>
      <c r="L2760" t="s">
        <v>234</v>
      </c>
      <c r="M2760">
        <v>51</v>
      </c>
      <c r="N2760" t="s">
        <v>61</v>
      </c>
      <c r="O2760" s="3" t="s">
        <v>22</v>
      </c>
      <c r="P2760" t="s">
        <v>132</v>
      </c>
      <c r="Q2760" t="s">
        <v>24</v>
      </c>
      <c r="R2760">
        <v>4</v>
      </c>
      <c r="S2760" t="s">
        <v>48</v>
      </c>
      <c r="T2760" s="4">
        <f t="shared" si="219"/>
        <v>341786.76</v>
      </c>
      <c r="U2760" s="4" t="str">
        <f t="shared" si="220"/>
        <v>Good</v>
      </c>
      <c r="V2760" s="4" t="str">
        <f t="shared" si="216"/>
        <v>Excellent</v>
      </c>
      <c r="W2760" s="4"/>
      <c r="X2760" s="4"/>
      <c r="AJ2760" s="4"/>
    </row>
    <row r="2761" spans="1:36">
      <c r="A2761" t="str">
        <f t="shared" si="217"/>
        <v>Pras372760</v>
      </c>
      <c r="B2761">
        <v>2760</v>
      </c>
      <c r="C2761">
        <v>1</v>
      </c>
      <c r="D2761">
        <v>12</v>
      </c>
      <c r="E2761">
        <v>2023</v>
      </c>
      <c r="F2761" s="1">
        <f t="shared" si="218"/>
        <v>45261</v>
      </c>
      <c r="G2761" s="1" t="s">
        <v>239</v>
      </c>
      <c r="H2761" s="2">
        <v>47237</v>
      </c>
      <c r="I2761" t="s">
        <v>19</v>
      </c>
      <c r="J2761">
        <v>8</v>
      </c>
      <c r="K2761">
        <v>11983.13</v>
      </c>
      <c r="L2761" t="s">
        <v>777</v>
      </c>
      <c r="M2761">
        <v>37</v>
      </c>
      <c r="N2761" t="s">
        <v>21</v>
      </c>
      <c r="O2761" s="3" t="s">
        <v>22</v>
      </c>
      <c r="P2761" t="s">
        <v>110</v>
      </c>
      <c r="Q2761" t="s">
        <v>24</v>
      </c>
      <c r="R2761">
        <v>5</v>
      </c>
      <c r="S2761" t="s">
        <v>37</v>
      </c>
      <c r="T2761" s="4">
        <f t="shared" si="219"/>
        <v>95865.04</v>
      </c>
      <c r="U2761" s="4" t="str">
        <f t="shared" si="220"/>
        <v>Good</v>
      </c>
      <c r="V2761" s="4" t="str">
        <f t="shared" si="216"/>
        <v>Average</v>
      </c>
      <c r="W2761" s="4"/>
      <c r="X2761" s="4"/>
      <c r="AJ2761" s="4"/>
    </row>
    <row r="2762" spans="1:36">
      <c r="A2762" t="str">
        <f t="shared" si="217"/>
        <v>Anja322761</v>
      </c>
      <c r="B2762">
        <v>2761</v>
      </c>
      <c r="C2762">
        <v>2</v>
      </c>
      <c r="D2762">
        <v>12</v>
      </c>
      <c r="E2762">
        <v>2023</v>
      </c>
      <c r="F2762" s="1">
        <f t="shared" si="218"/>
        <v>45262</v>
      </c>
      <c r="G2762" s="1" t="s">
        <v>239</v>
      </c>
      <c r="H2762" s="2">
        <v>47238</v>
      </c>
      <c r="I2762" t="s">
        <v>38</v>
      </c>
      <c r="J2762">
        <v>2</v>
      </c>
      <c r="K2762">
        <v>10067.89</v>
      </c>
      <c r="L2762" t="s">
        <v>967</v>
      </c>
      <c r="M2762">
        <v>32</v>
      </c>
      <c r="N2762" t="s">
        <v>21</v>
      </c>
      <c r="O2762" s="3" t="s">
        <v>28</v>
      </c>
      <c r="P2762" t="s">
        <v>29</v>
      </c>
      <c r="Q2762" t="s">
        <v>24</v>
      </c>
      <c r="R2762">
        <v>3</v>
      </c>
      <c r="S2762" t="s">
        <v>42</v>
      </c>
      <c r="T2762" s="4">
        <f t="shared" si="219"/>
        <v>20135.78</v>
      </c>
      <c r="U2762" s="4" t="str">
        <f t="shared" si="220"/>
        <v>Average</v>
      </c>
      <c r="V2762" s="4" t="str">
        <f t="shared" si="216"/>
        <v>Low</v>
      </c>
      <c r="W2762" s="4"/>
      <c r="X2762" s="4"/>
      <c r="AJ2762" s="4"/>
    </row>
    <row r="2763" spans="1:36">
      <c r="A2763" t="str">
        <f t="shared" si="217"/>
        <v>Anja502762</v>
      </c>
      <c r="B2763">
        <v>2762</v>
      </c>
      <c r="C2763">
        <v>2</v>
      </c>
      <c r="D2763">
        <v>12</v>
      </c>
      <c r="E2763">
        <v>2023</v>
      </c>
      <c r="F2763" s="1">
        <f t="shared" si="218"/>
        <v>45262</v>
      </c>
      <c r="G2763" s="1" t="s">
        <v>239</v>
      </c>
      <c r="H2763" s="2">
        <v>47239</v>
      </c>
      <c r="I2763" t="s">
        <v>19</v>
      </c>
      <c r="J2763">
        <v>9</v>
      </c>
      <c r="K2763">
        <v>14729.08</v>
      </c>
      <c r="L2763" t="s">
        <v>850</v>
      </c>
      <c r="M2763">
        <v>50</v>
      </c>
      <c r="N2763" t="s">
        <v>61</v>
      </c>
      <c r="O2763" s="3" t="s">
        <v>22</v>
      </c>
      <c r="P2763" t="s">
        <v>23</v>
      </c>
      <c r="Q2763" t="s">
        <v>56</v>
      </c>
      <c r="R2763">
        <v>5</v>
      </c>
      <c r="S2763" t="s">
        <v>25</v>
      </c>
      <c r="T2763" s="4">
        <f t="shared" si="219"/>
        <v>132561.72</v>
      </c>
      <c r="U2763" s="4" t="str">
        <f t="shared" si="220"/>
        <v>Good</v>
      </c>
      <c r="V2763" s="4" t="str">
        <f t="shared" si="216"/>
        <v>Good</v>
      </c>
      <c r="W2763" s="4"/>
      <c r="X2763" s="4"/>
      <c r="AJ2763" s="4"/>
    </row>
    <row r="2764" spans="1:36">
      <c r="A2764" t="str">
        <f t="shared" si="217"/>
        <v>Priy342763</v>
      </c>
      <c r="B2764">
        <v>2763</v>
      </c>
      <c r="C2764">
        <v>2</v>
      </c>
      <c r="D2764">
        <v>12</v>
      </c>
      <c r="E2764">
        <v>2023</v>
      </c>
      <c r="F2764" s="1">
        <f t="shared" si="218"/>
        <v>45262</v>
      </c>
      <c r="G2764" s="1" t="s">
        <v>239</v>
      </c>
      <c r="H2764" s="2">
        <v>47240</v>
      </c>
      <c r="I2764" t="s">
        <v>43</v>
      </c>
      <c r="J2764">
        <v>1</v>
      </c>
      <c r="K2764">
        <v>55779.93</v>
      </c>
      <c r="L2764" t="s">
        <v>671</v>
      </c>
      <c r="M2764">
        <v>34</v>
      </c>
      <c r="N2764" t="s">
        <v>21</v>
      </c>
      <c r="O2764" s="3" t="s">
        <v>22</v>
      </c>
      <c r="P2764" t="s">
        <v>33</v>
      </c>
      <c r="Q2764" t="s">
        <v>24</v>
      </c>
      <c r="R2764">
        <v>4</v>
      </c>
      <c r="S2764" t="s">
        <v>95</v>
      </c>
      <c r="T2764" s="4">
        <f t="shared" si="219"/>
        <v>55779.93</v>
      </c>
      <c r="U2764" s="4" t="str">
        <f t="shared" si="220"/>
        <v>Good</v>
      </c>
      <c r="V2764" s="4" t="str">
        <f t="shared" si="216"/>
        <v>Average</v>
      </c>
      <c r="W2764" s="4"/>
      <c r="X2764" s="4"/>
      <c r="AJ2764" s="4"/>
    </row>
    <row r="2765" spans="1:36">
      <c r="A2765" t="str">
        <f t="shared" si="217"/>
        <v>Anja372764</v>
      </c>
      <c r="B2765">
        <v>2764</v>
      </c>
      <c r="C2765">
        <v>2</v>
      </c>
      <c r="D2765">
        <v>12</v>
      </c>
      <c r="E2765">
        <v>2023</v>
      </c>
      <c r="F2765" s="1">
        <f t="shared" si="218"/>
        <v>45262</v>
      </c>
      <c r="G2765" s="1" t="s">
        <v>239</v>
      </c>
      <c r="H2765" s="2">
        <v>47241</v>
      </c>
      <c r="I2765" t="s">
        <v>49</v>
      </c>
      <c r="J2765">
        <v>6</v>
      </c>
      <c r="K2765">
        <v>45074.59</v>
      </c>
      <c r="L2765" t="s">
        <v>954</v>
      </c>
      <c r="M2765">
        <v>37</v>
      </c>
      <c r="N2765" t="s">
        <v>21</v>
      </c>
      <c r="O2765" s="3" t="s">
        <v>22</v>
      </c>
      <c r="P2765" t="s">
        <v>29</v>
      </c>
      <c r="Q2765" t="s">
        <v>30</v>
      </c>
      <c r="R2765">
        <v>5</v>
      </c>
      <c r="S2765" t="s">
        <v>88</v>
      </c>
      <c r="T2765" s="4">
        <f t="shared" si="219"/>
        <v>270447.53999999998</v>
      </c>
      <c r="U2765" s="4" t="str">
        <f t="shared" si="220"/>
        <v>Good</v>
      </c>
      <c r="V2765" s="4" t="str">
        <f t="shared" si="216"/>
        <v>Excellent</v>
      </c>
      <c r="W2765" s="4"/>
      <c r="X2765" s="4"/>
      <c r="AJ2765" s="4"/>
    </row>
    <row r="2766" spans="1:36">
      <c r="A2766" t="str">
        <f t="shared" si="217"/>
        <v>Ravi302765</v>
      </c>
      <c r="B2766">
        <v>2765</v>
      </c>
      <c r="C2766">
        <v>3</v>
      </c>
      <c r="D2766">
        <v>12</v>
      </c>
      <c r="E2766">
        <v>2023</v>
      </c>
      <c r="F2766" s="1">
        <f t="shared" si="218"/>
        <v>45263</v>
      </c>
      <c r="G2766" s="1" t="s">
        <v>239</v>
      </c>
      <c r="H2766" s="2">
        <v>47242</v>
      </c>
      <c r="I2766" t="s">
        <v>38</v>
      </c>
      <c r="J2766">
        <v>1</v>
      </c>
      <c r="K2766">
        <v>12287.09</v>
      </c>
      <c r="L2766" t="s">
        <v>977</v>
      </c>
      <c r="M2766">
        <v>30</v>
      </c>
      <c r="N2766" t="s">
        <v>36</v>
      </c>
      <c r="O2766" s="3" t="s">
        <v>55</v>
      </c>
      <c r="P2766" t="s">
        <v>23</v>
      </c>
      <c r="Q2766" t="s">
        <v>41</v>
      </c>
      <c r="R2766">
        <v>2</v>
      </c>
      <c r="S2766" t="s">
        <v>42</v>
      </c>
      <c r="T2766" s="4">
        <f t="shared" si="219"/>
        <v>12287.09</v>
      </c>
      <c r="U2766" s="4" t="str">
        <f t="shared" si="220"/>
        <v>Average</v>
      </c>
      <c r="V2766" s="4" t="str">
        <f t="shared" si="216"/>
        <v>Low</v>
      </c>
      <c r="W2766" s="4"/>
      <c r="X2766" s="4"/>
      <c r="AJ2766" s="4"/>
    </row>
    <row r="2767" spans="1:36">
      <c r="A2767" t="str">
        <f t="shared" si="217"/>
        <v>Ravi412766</v>
      </c>
      <c r="B2767">
        <v>2766</v>
      </c>
      <c r="C2767">
        <v>3</v>
      </c>
      <c r="D2767">
        <v>12</v>
      </c>
      <c r="E2767">
        <v>2023</v>
      </c>
      <c r="F2767" s="1">
        <f t="shared" si="218"/>
        <v>45263</v>
      </c>
      <c r="G2767" s="1" t="s">
        <v>239</v>
      </c>
      <c r="H2767" s="2">
        <v>47243</v>
      </c>
      <c r="I2767" t="s">
        <v>19</v>
      </c>
      <c r="J2767">
        <v>3</v>
      </c>
      <c r="K2767">
        <v>39285.82</v>
      </c>
      <c r="L2767" t="s">
        <v>937</v>
      </c>
      <c r="M2767">
        <v>41</v>
      </c>
      <c r="N2767" t="s">
        <v>21</v>
      </c>
      <c r="O2767" s="3" t="s">
        <v>28</v>
      </c>
      <c r="P2767" t="s">
        <v>23</v>
      </c>
      <c r="Q2767" t="s">
        <v>41</v>
      </c>
      <c r="R2767">
        <v>3</v>
      </c>
      <c r="S2767" t="s">
        <v>37</v>
      </c>
      <c r="T2767" s="4">
        <f t="shared" si="219"/>
        <v>117857.45999999999</v>
      </c>
      <c r="U2767" s="4" t="str">
        <f t="shared" si="220"/>
        <v>Average</v>
      </c>
      <c r="V2767" s="4" t="str">
        <f t="shared" si="216"/>
        <v>Good</v>
      </c>
      <c r="W2767" s="4"/>
      <c r="X2767" s="4"/>
      <c r="AJ2767" s="4"/>
    </row>
    <row r="2768" spans="1:36">
      <c r="A2768" t="str">
        <f t="shared" si="217"/>
        <v>Kavi542767</v>
      </c>
      <c r="B2768">
        <v>2767</v>
      </c>
      <c r="C2768">
        <v>3</v>
      </c>
      <c r="D2768">
        <v>12</v>
      </c>
      <c r="E2768">
        <v>2023</v>
      </c>
      <c r="F2768" s="1">
        <f t="shared" si="218"/>
        <v>45263</v>
      </c>
      <c r="G2768" s="1" t="s">
        <v>239</v>
      </c>
      <c r="H2768" s="2">
        <v>47244</v>
      </c>
      <c r="I2768" t="s">
        <v>26</v>
      </c>
      <c r="J2768">
        <v>6</v>
      </c>
      <c r="K2768">
        <v>52721.760000000002</v>
      </c>
      <c r="L2768" t="s">
        <v>292</v>
      </c>
      <c r="M2768">
        <v>54</v>
      </c>
      <c r="N2768" t="s">
        <v>61</v>
      </c>
      <c r="O2768" s="3" t="s">
        <v>28</v>
      </c>
      <c r="P2768" t="s">
        <v>33</v>
      </c>
      <c r="Q2768" t="s">
        <v>30</v>
      </c>
      <c r="R2768">
        <v>3</v>
      </c>
      <c r="S2768" t="s">
        <v>67</v>
      </c>
      <c r="T2768" s="4">
        <f t="shared" si="219"/>
        <v>316330.56</v>
      </c>
      <c r="U2768" s="4" t="str">
        <f t="shared" si="220"/>
        <v>Average</v>
      </c>
      <c r="V2768" s="4" t="str">
        <f t="shared" si="216"/>
        <v>Excellent</v>
      </c>
      <c r="W2768" s="4"/>
      <c r="X2768" s="4"/>
      <c r="AJ2768" s="4"/>
    </row>
    <row r="2769" spans="1:36">
      <c r="A2769" t="str">
        <f t="shared" si="217"/>
        <v>Jyot242768</v>
      </c>
      <c r="B2769">
        <v>2768</v>
      </c>
      <c r="C2769">
        <v>4</v>
      </c>
      <c r="D2769">
        <v>12</v>
      </c>
      <c r="E2769">
        <v>2023</v>
      </c>
      <c r="F2769" s="1">
        <f t="shared" si="218"/>
        <v>45264</v>
      </c>
      <c r="G2769" s="1" t="s">
        <v>239</v>
      </c>
      <c r="H2769" s="2">
        <v>47245</v>
      </c>
      <c r="I2769" t="s">
        <v>38</v>
      </c>
      <c r="J2769">
        <v>3</v>
      </c>
      <c r="K2769">
        <v>62137.08</v>
      </c>
      <c r="L2769" t="s">
        <v>124</v>
      </c>
      <c r="M2769">
        <v>24</v>
      </c>
      <c r="N2769" t="s">
        <v>36</v>
      </c>
      <c r="O2769" s="3" t="s">
        <v>22</v>
      </c>
      <c r="P2769" t="s">
        <v>59</v>
      </c>
      <c r="Q2769" t="s">
        <v>56</v>
      </c>
      <c r="R2769">
        <v>5</v>
      </c>
      <c r="S2769" t="s">
        <v>48</v>
      </c>
      <c r="T2769" s="4">
        <f t="shared" si="219"/>
        <v>186411.24</v>
      </c>
      <c r="U2769" s="4" t="str">
        <f t="shared" si="220"/>
        <v>Good</v>
      </c>
      <c r="V2769" s="4" t="str">
        <f t="shared" si="216"/>
        <v>Good</v>
      </c>
      <c r="W2769" s="4"/>
      <c r="X2769" s="4"/>
      <c r="AJ2769" s="4"/>
    </row>
    <row r="2770" spans="1:36">
      <c r="A2770" t="str">
        <f t="shared" si="217"/>
        <v>Vino252769</v>
      </c>
      <c r="B2770">
        <v>2769</v>
      </c>
      <c r="C2770">
        <v>4</v>
      </c>
      <c r="D2770">
        <v>12</v>
      </c>
      <c r="E2770">
        <v>2023</v>
      </c>
      <c r="F2770" s="1">
        <f t="shared" si="218"/>
        <v>45264</v>
      </c>
      <c r="G2770" s="1" t="s">
        <v>239</v>
      </c>
      <c r="H2770" s="2">
        <v>47246</v>
      </c>
      <c r="I2770" t="s">
        <v>43</v>
      </c>
      <c r="J2770">
        <v>8</v>
      </c>
      <c r="K2770">
        <v>66042.19</v>
      </c>
      <c r="L2770" t="s">
        <v>481</v>
      </c>
      <c r="M2770">
        <v>25</v>
      </c>
      <c r="N2770" t="s">
        <v>36</v>
      </c>
      <c r="O2770" s="3" t="s">
        <v>22</v>
      </c>
      <c r="P2770" t="s">
        <v>90</v>
      </c>
      <c r="Q2770" t="s">
        <v>30</v>
      </c>
      <c r="R2770">
        <v>5</v>
      </c>
      <c r="S2770" t="s">
        <v>95</v>
      </c>
      <c r="T2770" s="4">
        <f t="shared" si="219"/>
        <v>528337.52</v>
      </c>
      <c r="U2770" s="4" t="str">
        <f t="shared" si="220"/>
        <v>Good</v>
      </c>
      <c r="V2770" s="4" t="str">
        <f t="shared" si="216"/>
        <v>Excellent</v>
      </c>
      <c r="W2770" s="4"/>
      <c r="X2770" s="4"/>
      <c r="AJ2770" s="4"/>
    </row>
    <row r="2771" spans="1:36">
      <c r="A2771" t="str">
        <f t="shared" si="217"/>
        <v>Raje402770</v>
      </c>
      <c r="B2771">
        <v>2770</v>
      </c>
      <c r="C2771">
        <v>4</v>
      </c>
      <c r="D2771">
        <v>12</v>
      </c>
      <c r="E2771">
        <v>2023</v>
      </c>
      <c r="F2771" s="1">
        <f t="shared" si="218"/>
        <v>45264</v>
      </c>
      <c r="G2771" s="1" t="s">
        <v>239</v>
      </c>
      <c r="H2771" s="2">
        <v>47247</v>
      </c>
      <c r="I2771" t="s">
        <v>43</v>
      </c>
      <c r="J2771">
        <v>5</v>
      </c>
      <c r="K2771">
        <v>29646.43</v>
      </c>
      <c r="L2771" t="s">
        <v>1032</v>
      </c>
      <c r="M2771">
        <v>40</v>
      </c>
      <c r="N2771" t="s">
        <v>21</v>
      </c>
      <c r="O2771" s="3" t="s">
        <v>55</v>
      </c>
      <c r="P2771" t="s">
        <v>29</v>
      </c>
      <c r="Q2771" t="s">
        <v>24</v>
      </c>
      <c r="R2771">
        <v>2</v>
      </c>
      <c r="S2771" t="s">
        <v>57</v>
      </c>
      <c r="T2771" s="4">
        <f t="shared" si="219"/>
        <v>148232.15</v>
      </c>
      <c r="U2771" s="4" t="str">
        <f t="shared" si="220"/>
        <v>Average</v>
      </c>
      <c r="V2771" s="4" t="str">
        <f t="shared" si="216"/>
        <v>Good</v>
      </c>
      <c r="W2771" s="4"/>
      <c r="X2771" s="4"/>
      <c r="AJ2771" s="4"/>
    </row>
    <row r="2772" spans="1:36">
      <c r="A2772" t="str">
        <f t="shared" si="217"/>
        <v>Lata312771</v>
      </c>
      <c r="B2772">
        <v>2771</v>
      </c>
      <c r="C2772">
        <v>5</v>
      </c>
      <c r="D2772">
        <v>12</v>
      </c>
      <c r="E2772">
        <v>2023</v>
      </c>
      <c r="F2772" s="1">
        <f t="shared" si="218"/>
        <v>45265</v>
      </c>
      <c r="G2772" s="1" t="s">
        <v>239</v>
      </c>
      <c r="H2772" s="2">
        <v>47248</v>
      </c>
      <c r="I2772" t="s">
        <v>26</v>
      </c>
      <c r="J2772">
        <v>2</v>
      </c>
      <c r="K2772">
        <v>18149.95</v>
      </c>
      <c r="L2772" t="s">
        <v>787</v>
      </c>
      <c r="M2772">
        <v>31</v>
      </c>
      <c r="N2772" t="s">
        <v>21</v>
      </c>
      <c r="O2772" s="3" t="s">
        <v>22</v>
      </c>
      <c r="P2772" t="s">
        <v>132</v>
      </c>
      <c r="Q2772" t="s">
        <v>56</v>
      </c>
      <c r="R2772">
        <v>5</v>
      </c>
      <c r="S2772" t="s">
        <v>31</v>
      </c>
      <c r="T2772" s="4">
        <f t="shared" si="219"/>
        <v>36299.9</v>
      </c>
      <c r="U2772" s="4" t="str">
        <f t="shared" si="220"/>
        <v>Good</v>
      </c>
      <c r="V2772" s="4" t="str">
        <f t="shared" si="216"/>
        <v>Low</v>
      </c>
      <c r="W2772" s="4"/>
      <c r="X2772" s="4"/>
      <c r="AJ2772" s="4"/>
    </row>
    <row r="2773" spans="1:36">
      <c r="A2773" t="str">
        <f t="shared" si="217"/>
        <v>Priy212772</v>
      </c>
      <c r="B2773">
        <v>2772</v>
      </c>
      <c r="C2773">
        <v>5</v>
      </c>
      <c r="D2773">
        <v>12</v>
      </c>
      <c r="E2773">
        <v>2023</v>
      </c>
      <c r="F2773" s="1">
        <f t="shared" si="218"/>
        <v>45265</v>
      </c>
      <c r="G2773" s="1" t="s">
        <v>239</v>
      </c>
      <c r="H2773" s="2">
        <v>47249</v>
      </c>
      <c r="I2773" t="s">
        <v>19</v>
      </c>
      <c r="J2773">
        <v>4</v>
      </c>
      <c r="K2773">
        <v>24215.56</v>
      </c>
      <c r="L2773" t="s">
        <v>259</v>
      </c>
      <c r="M2773">
        <v>21</v>
      </c>
      <c r="N2773" t="s">
        <v>36</v>
      </c>
      <c r="O2773" s="3" t="s">
        <v>22</v>
      </c>
      <c r="P2773" t="s">
        <v>29</v>
      </c>
      <c r="Q2773" t="s">
        <v>30</v>
      </c>
      <c r="R2773">
        <v>4</v>
      </c>
      <c r="S2773" t="s">
        <v>25</v>
      </c>
      <c r="T2773" s="4">
        <f t="shared" si="219"/>
        <v>96862.24</v>
      </c>
      <c r="U2773" s="4" t="str">
        <f t="shared" si="220"/>
        <v>Good</v>
      </c>
      <c r="V2773" s="4" t="str">
        <f t="shared" si="216"/>
        <v>Average</v>
      </c>
      <c r="W2773" s="4"/>
      <c r="X2773" s="4"/>
      <c r="AJ2773" s="4"/>
    </row>
    <row r="2774" spans="1:36">
      <c r="A2774" t="str">
        <f t="shared" si="217"/>
        <v>Pooj382773</v>
      </c>
      <c r="B2774">
        <v>2773</v>
      </c>
      <c r="C2774">
        <v>5</v>
      </c>
      <c r="D2774">
        <v>12</v>
      </c>
      <c r="E2774">
        <v>2023</v>
      </c>
      <c r="F2774" s="1">
        <f t="shared" si="218"/>
        <v>45265</v>
      </c>
      <c r="G2774" s="1" t="s">
        <v>239</v>
      </c>
      <c r="H2774" s="2">
        <v>47250</v>
      </c>
      <c r="I2774" t="s">
        <v>38</v>
      </c>
      <c r="J2774">
        <v>9</v>
      </c>
      <c r="K2774">
        <v>56570.29</v>
      </c>
      <c r="L2774" t="s">
        <v>951</v>
      </c>
      <c r="M2774">
        <v>38</v>
      </c>
      <c r="N2774" t="s">
        <v>21</v>
      </c>
      <c r="O2774" s="3" t="s">
        <v>22</v>
      </c>
      <c r="P2774" t="s">
        <v>33</v>
      </c>
      <c r="Q2774" t="s">
        <v>56</v>
      </c>
      <c r="R2774">
        <v>5</v>
      </c>
      <c r="S2774" t="s">
        <v>42</v>
      </c>
      <c r="T2774" s="4">
        <f t="shared" si="219"/>
        <v>509132.61</v>
      </c>
      <c r="U2774" s="4" t="str">
        <f t="shared" si="220"/>
        <v>Good</v>
      </c>
      <c r="V2774" s="4" t="str">
        <f t="shared" si="216"/>
        <v>Excellent</v>
      </c>
      <c r="W2774" s="4"/>
      <c r="X2774" s="4"/>
      <c r="AJ2774" s="4"/>
    </row>
    <row r="2775" spans="1:36">
      <c r="A2775" t="str">
        <f t="shared" si="217"/>
        <v>Kira272774</v>
      </c>
      <c r="B2775">
        <v>2774</v>
      </c>
      <c r="C2775">
        <v>5</v>
      </c>
      <c r="D2775">
        <v>12</v>
      </c>
      <c r="E2775">
        <v>2023</v>
      </c>
      <c r="F2775" s="1">
        <f t="shared" si="218"/>
        <v>45265</v>
      </c>
      <c r="G2775" s="1" t="s">
        <v>239</v>
      </c>
      <c r="H2775" s="2">
        <v>47251</v>
      </c>
      <c r="I2775" t="s">
        <v>19</v>
      </c>
      <c r="J2775">
        <v>4</v>
      </c>
      <c r="K2775">
        <v>68289.05</v>
      </c>
      <c r="L2775" t="s">
        <v>425</v>
      </c>
      <c r="M2775">
        <v>27</v>
      </c>
      <c r="N2775" t="s">
        <v>36</v>
      </c>
      <c r="O2775" s="3" t="s">
        <v>28</v>
      </c>
      <c r="P2775" t="s">
        <v>45</v>
      </c>
      <c r="Q2775" t="s">
        <v>41</v>
      </c>
      <c r="R2775">
        <v>3</v>
      </c>
      <c r="S2775" t="s">
        <v>37</v>
      </c>
      <c r="T2775" s="4">
        <f t="shared" si="219"/>
        <v>273156.2</v>
      </c>
      <c r="U2775" s="4" t="str">
        <f t="shared" si="220"/>
        <v>Average</v>
      </c>
      <c r="V2775" s="4" t="str">
        <f t="shared" si="216"/>
        <v>Excellent</v>
      </c>
      <c r="W2775" s="4"/>
      <c r="X2775" s="4"/>
      <c r="AJ2775" s="4"/>
    </row>
    <row r="2776" spans="1:36">
      <c r="A2776" t="str">
        <f t="shared" si="217"/>
        <v>Kuna392775</v>
      </c>
      <c r="B2776">
        <v>2775</v>
      </c>
      <c r="C2776">
        <v>6</v>
      </c>
      <c r="D2776">
        <v>12</v>
      </c>
      <c r="E2776">
        <v>2023</v>
      </c>
      <c r="F2776" s="1">
        <f t="shared" si="218"/>
        <v>45266</v>
      </c>
      <c r="G2776" s="1" t="s">
        <v>239</v>
      </c>
      <c r="H2776" s="2">
        <v>47252</v>
      </c>
      <c r="I2776" t="s">
        <v>43</v>
      </c>
      <c r="J2776">
        <v>8</v>
      </c>
      <c r="K2776">
        <v>37983.620000000003</v>
      </c>
      <c r="L2776" t="s">
        <v>275</v>
      </c>
      <c r="M2776">
        <v>39</v>
      </c>
      <c r="N2776" t="s">
        <v>21</v>
      </c>
      <c r="O2776" s="3" t="s">
        <v>22</v>
      </c>
      <c r="P2776" t="s">
        <v>29</v>
      </c>
      <c r="Q2776" t="s">
        <v>30</v>
      </c>
      <c r="R2776">
        <v>4</v>
      </c>
      <c r="S2776" t="s">
        <v>46</v>
      </c>
      <c r="T2776" s="4">
        <f t="shared" si="219"/>
        <v>303868.96000000002</v>
      </c>
      <c r="U2776" s="4" t="str">
        <f t="shared" si="220"/>
        <v>Good</v>
      </c>
      <c r="V2776" s="4" t="str">
        <f t="shared" si="216"/>
        <v>Excellent</v>
      </c>
      <c r="W2776" s="4"/>
      <c r="X2776" s="4"/>
      <c r="AJ2776" s="4"/>
    </row>
    <row r="2777" spans="1:36">
      <c r="A2777" t="str">
        <f t="shared" si="217"/>
        <v>Raje472776</v>
      </c>
      <c r="B2777">
        <v>2776</v>
      </c>
      <c r="C2777">
        <v>6</v>
      </c>
      <c r="D2777">
        <v>12</v>
      </c>
      <c r="E2777">
        <v>2023</v>
      </c>
      <c r="F2777" s="1">
        <f t="shared" si="218"/>
        <v>45266</v>
      </c>
      <c r="G2777" s="1" t="s">
        <v>239</v>
      </c>
      <c r="H2777" s="2">
        <v>47253</v>
      </c>
      <c r="I2777" t="s">
        <v>19</v>
      </c>
      <c r="J2777">
        <v>5</v>
      </c>
      <c r="K2777">
        <v>28321.19</v>
      </c>
      <c r="L2777" t="s">
        <v>1018</v>
      </c>
      <c r="M2777">
        <v>47</v>
      </c>
      <c r="N2777" t="s">
        <v>61</v>
      </c>
      <c r="O2777" s="3" t="s">
        <v>55</v>
      </c>
      <c r="P2777" t="s">
        <v>29</v>
      </c>
      <c r="Q2777" t="s">
        <v>30</v>
      </c>
      <c r="R2777">
        <v>2</v>
      </c>
      <c r="S2777" t="s">
        <v>84</v>
      </c>
      <c r="T2777" s="4">
        <f t="shared" si="219"/>
        <v>141605.94999999998</v>
      </c>
      <c r="U2777" s="4" t="str">
        <f t="shared" si="220"/>
        <v>Average</v>
      </c>
      <c r="V2777" s="4" t="str">
        <f t="shared" si="216"/>
        <v>Good</v>
      </c>
      <c r="W2777" s="4"/>
      <c r="X2777" s="4"/>
      <c r="AJ2777" s="4"/>
    </row>
    <row r="2778" spans="1:36">
      <c r="A2778" t="str">
        <f t="shared" si="217"/>
        <v>Yoge472777</v>
      </c>
      <c r="B2778">
        <v>2777</v>
      </c>
      <c r="C2778">
        <v>6</v>
      </c>
      <c r="D2778">
        <v>12</v>
      </c>
      <c r="E2778">
        <v>2023</v>
      </c>
      <c r="F2778" s="1">
        <f t="shared" si="218"/>
        <v>45266</v>
      </c>
      <c r="G2778" s="1" t="s">
        <v>239</v>
      </c>
      <c r="H2778" s="2">
        <v>47254</v>
      </c>
      <c r="I2778" t="s">
        <v>43</v>
      </c>
      <c r="J2778">
        <v>1</v>
      </c>
      <c r="K2778">
        <v>35751.43</v>
      </c>
      <c r="L2778" t="s">
        <v>978</v>
      </c>
      <c r="M2778">
        <v>47</v>
      </c>
      <c r="N2778" t="s">
        <v>61</v>
      </c>
      <c r="O2778" s="3" t="s">
        <v>22</v>
      </c>
      <c r="P2778" t="s">
        <v>29</v>
      </c>
      <c r="Q2778" t="s">
        <v>41</v>
      </c>
      <c r="R2778">
        <v>5</v>
      </c>
      <c r="S2778" t="s">
        <v>95</v>
      </c>
      <c r="T2778" s="4">
        <f t="shared" si="219"/>
        <v>35751.43</v>
      </c>
      <c r="U2778" s="4" t="str">
        <f t="shared" si="220"/>
        <v>Good</v>
      </c>
      <c r="V2778" s="4" t="str">
        <f t="shared" si="216"/>
        <v>Low</v>
      </c>
      <c r="W2778" s="4"/>
      <c r="X2778" s="4"/>
      <c r="AJ2778" s="4"/>
    </row>
    <row r="2779" spans="1:36">
      <c r="A2779" t="str">
        <f t="shared" si="217"/>
        <v>Vija332778</v>
      </c>
      <c r="B2779">
        <v>2778</v>
      </c>
      <c r="C2779">
        <v>6</v>
      </c>
      <c r="D2779">
        <v>12</v>
      </c>
      <c r="E2779">
        <v>2023</v>
      </c>
      <c r="F2779" s="1">
        <f t="shared" si="218"/>
        <v>45266</v>
      </c>
      <c r="G2779" s="1" t="s">
        <v>239</v>
      </c>
      <c r="H2779" s="2">
        <v>47255</v>
      </c>
      <c r="I2779" t="s">
        <v>19</v>
      </c>
      <c r="J2779">
        <v>7</v>
      </c>
      <c r="K2779">
        <v>28288.79</v>
      </c>
      <c r="L2779" t="s">
        <v>427</v>
      </c>
      <c r="M2779">
        <v>33</v>
      </c>
      <c r="N2779" t="s">
        <v>21</v>
      </c>
      <c r="O2779" s="3" t="s">
        <v>22</v>
      </c>
      <c r="P2779" t="s">
        <v>66</v>
      </c>
      <c r="Q2779" t="s">
        <v>56</v>
      </c>
      <c r="R2779">
        <v>5</v>
      </c>
      <c r="S2779" t="s">
        <v>25</v>
      </c>
      <c r="T2779" s="4">
        <f t="shared" si="219"/>
        <v>198021.53</v>
      </c>
      <c r="U2779" s="4" t="str">
        <f t="shared" si="220"/>
        <v>Good</v>
      </c>
      <c r="V2779" s="4" t="str">
        <f t="shared" si="216"/>
        <v>Good</v>
      </c>
      <c r="W2779" s="4"/>
      <c r="X2779" s="4"/>
      <c r="AJ2779" s="4"/>
    </row>
    <row r="2780" spans="1:36">
      <c r="A2780" t="str">
        <f t="shared" si="217"/>
        <v>Sumi282779</v>
      </c>
      <c r="B2780">
        <v>2779</v>
      </c>
      <c r="C2780">
        <v>7</v>
      </c>
      <c r="D2780">
        <v>12</v>
      </c>
      <c r="E2780">
        <v>2023</v>
      </c>
      <c r="F2780" s="1">
        <f t="shared" si="218"/>
        <v>45267</v>
      </c>
      <c r="G2780" s="1" t="s">
        <v>239</v>
      </c>
      <c r="H2780" s="2">
        <v>47256</v>
      </c>
      <c r="I2780" t="s">
        <v>26</v>
      </c>
      <c r="J2780">
        <v>3</v>
      </c>
      <c r="K2780">
        <v>25389.25</v>
      </c>
      <c r="L2780" t="s">
        <v>199</v>
      </c>
      <c r="M2780">
        <v>28</v>
      </c>
      <c r="N2780" t="s">
        <v>36</v>
      </c>
      <c r="O2780" s="3" t="s">
        <v>22</v>
      </c>
      <c r="P2780" t="s">
        <v>64</v>
      </c>
      <c r="Q2780" t="s">
        <v>41</v>
      </c>
      <c r="R2780">
        <v>4</v>
      </c>
      <c r="S2780" t="s">
        <v>67</v>
      </c>
      <c r="T2780" s="4">
        <f t="shared" si="219"/>
        <v>76167.75</v>
      </c>
      <c r="U2780" s="4" t="str">
        <f t="shared" si="220"/>
        <v>Good</v>
      </c>
      <c r="V2780" s="4" t="str">
        <f t="shared" si="216"/>
        <v>Average</v>
      </c>
      <c r="W2780" s="4"/>
      <c r="X2780" s="4"/>
      <c r="AJ2780" s="4"/>
    </row>
    <row r="2781" spans="1:36">
      <c r="A2781" t="str">
        <f t="shared" si="217"/>
        <v>Ayes392780</v>
      </c>
      <c r="B2781">
        <v>2780</v>
      </c>
      <c r="C2781">
        <v>7</v>
      </c>
      <c r="D2781">
        <v>12</v>
      </c>
      <c r="E2781">
        <v>2023</v>
      </c>
      <c r="F2781" s="1">
        <f t="shared" si="218"/>
        <v>45267</v>
      </c>
      <c r="G2781" s="1" t="s">
        <v>239</v>
      </c>
      <c r="H2781" s="2">
        <v>47257</v>
      </c>
      <c r="I2781" t="s">
        <v>49</v>
      </c>
      <c r="J2781">
        <v>8</v>
      </c>
      <c r="K2781">
        <v>45625.05</v>
      </c>
      <c r="L2781" t="s">
        <v>757</v>
      </c>
      <c r="M2781">
        <v>39</v>
      </c>
      <c r="N2781" t="s">
        <v>21</v>
      </c>
      <c r="O2781" s="3" t="s">
        <v>55</v>
      </c>
      <c r="P2781" t="s">
        <v>29</v>
      </c>
      <c r="Q2781" t="s">
        <v>56</v>
      </c>
      <c r="R2781">
        <v>2</v>
      </c>
      <c r="S2781" t="s">
        <v>52</v>
      </c>
      <c r="T2781" s="4">
        <f t="shared" si="219"/>
        <v>365000.4</v>
      </c>
      <c r="U2781" s="4" t="str">
        <f t="shared" si="220"/>
        <v>Average</v>
      </c>
      <c r="V2781" s="4" t="str">
        <f t="shared" si="216"/>
        <v>Excellent</v>
      </c>
      <c r="W2781" s="4"/>
      <c r="X2781" s="4"/>
      <c r="AJ2781" s="4"/>
    </row>
    <row r="2782" spans="1:36">
      <c r="A2782" t="str">
        <f t="shared" si="217"/>
        <v>Nami462781</v>
      </c>
      <c r="B2782">
        <v>2781</v>
      </c>
      <c r="C2782">
        <v>7</v>
      </c>
      <c r="D2782">
        <v>12</v>
      </c>
      <c r="E2782">
        <v>2023</v>
      </c>
      <c r="F2782" s="1">
        <f t="shared" si="218"/>
        <v>45267</v>
      </c>
      <c r="G2782" s="1" t="s">
        <v>239</v>
      </c>
      <c r="H2782" s="2">
        <v>47258</v>
      </c>
      <c r="I2782" t="s">
        <v>26</v>
      </c>
      <c r="J2782">
        <v>3</v>
      </c>
      <c r="K2782">
        <v>10944.16</v>
      </c>
      <c r="L2782" t="s">
        <v>219</v>
      </c>
      <c r="M2782">
        <v>46</v>
      </c>
      <c r="N2782" t="s">
        <v>61</v>
      </c>
      <c r="O2782" s="3" t="s">
        <v>55</v>
      </c>
      <c r="P2782" t="s">
        <v>45</v>
      </c>
      <c r="Q2782" t="s">
        <v>30</v>
      </c>
      <c r="R2782">
        <v>2</v>
      </c>
      <c r="S2782" t="s">
        <v>31</v>
      </c>
      <c r="T2782" s="4">
        <f t="shared" si="219"/>
        <v>32832.479999999996</v>
      </c>
      <c r="U2782" s="4" t="str">
        <f t="shared" si="220"/>
        <v>Average</v>
      </c>
      <c r="V2782" s="4" t="str">
        <f t="shared" si="216"/>
        <v>Low</v>
      </c>
      <c r="W2782" s="4"/>
      <c r="X2782" s="4"/>
      <c r="AJ2782" s="4"/>
    </row>
    <row r="2783" spans="1:36">
      <c r="A2783" t="str">
        <f t="shared" si="217"/>
        <v>Bina422782</v>
      </c>
      <c r="B2783">
        <v>2782</v>
      </c>
      <c r="C2783">
        <v>8</v>
      </c>
      <c r="D2783">
        <v>12</v>
      </c>
      <c r="E2783">
        <v>2023</v>
      </c>
      <c r="F2783" s="1">
        <f t="shared" si="218"/>
        <v>45268</v>
      </c>
      <c r="G2783" s="1" t="s">
        <v>239</v>
      </c>
      <c r="H2783" s="2">
        <v>47259</v>
      </c>
      <c r="I2783" t="s">
        <v>26</v>
      </c>
      <c r="J2783">
        <v>1</v>
      </c>
      <c r="K2783">
        <v>25573.13</v>
      </c>
      <c r="L2783" t="s">
        <v>913</v>
      </c>
      <c r="M2783">
        <v>42</v>
      </c>
      <c r="N2783" t="s">
        <v>21</v>
      </c>
      <c r="O2783" s="3" t="s">
        <v>22</v>
      </c>
      <c r="P2783" t="s">
        <v>51</v>
      </c>
      <c r="Q2783" t="s">
        <v>56</v>
      </c>
      <c r="R2783">
        <v>5</v>
      </c>
      <c r="S2783" t="s">
        <v>67</v>
      </c>
      <c r="T2783" s="4">
        <f t="shared" si="219"/>
        <v>25573.13</v>
      </c>
      <c r="U2783" s="4" t="str">
        <f t="shared" si="220"/>
        <v>Good</v>
      </c>
      <c r="V2783" s="4" t="str">
        <f t="shared" si="216"/>
        <v>Low</v>
      </c>
      <c r="W2783" s="4"/>
      <c r="X2783" s="4"/>
      <c r="AJ2783" s="4"/>
    </row>
    <row r="2784" spans="1:36">
      <c r="A2784" t="str">
        <f t="shared" si="217"/>
        <v>Vija312783</v>
      </c>
      <c r="B2784">
        <v>2783</v>
      </c>
      <c r="C2784">
        <v>8</v>
      </c>
      <c r="D2784">
        <v>12</v>
      </c>
      <c r="E2784">
        <v>2023</v>
      </c>
      <c r="F2784" s="1">
        <f t="shared" si="218"/>
        <v>45268</v>
      </c>
      <c r="G2784" s="1" t="s">
        <v>239</v>
      </c>
      <c r="H2784" s="2">
        <v>47260</v>
      </c>
      <c r="I2784" t="s">
        <v>49</v>
      </c>
      <c r="J2784">
        <v>5</v>
      </c>
      <c r="K2784">
        <v>49682.92</v>
      </c>
      <c r="L2784" t="s">
        <v>1002</v>
      </c>
      <c r="M2784">
        <v>31</v>
      </c>
      <c r="N2784" t="s">
        <v>21</v>
      </c>
      <c r="O2784" s="3" t="s">
        <v>22</v>
      </c>
      <c r="P2784" t="s">
        <v>137</v>
      </c>
      <c r="Q2784" t="s">
        <v>56</v>
      </c>
      <c r="R2784">
        <v>5</v>
      </c>
      <c r="S2784" t="s">
        <v>52</v>
      </c>
      <c r="T2784" s="4">
        <f t="shared" si="219"/>
        <v>248414.59999999998</v>
      </c>
      <c r="U2784" s="4" t="str">
        <f t="shared" si="220"/>
        <v>Good</v>
      </c>
      <c r="V2784" s="4" t="str">
        <f t="shared" si="216"/>
        <v>Excellent</v>
      </c>
      <c r="W2784" s="4"/>
      <c r="X2784" s="4"/>
      <c r="AJ2784" s="4"/>
    </row>
    <row r="2785" spans="1:36">
      <c r="A2785" t="str">
        <f t="shared" si="217"/>
        <v>Sumi312784</v>
      </c>
      <c r="B2785">
        <v>2784</v>
      </c>
      <c r="C2785">
        <v>8</v>
      </c>
      <c r="D2785">
        <v>12</v>
      </c>
      <c r="E2785">
        <v>2023</v>
      </c>
      <c r="F2785" s="1">
        <f t="shared" si="218"/>
        <v>45268</v>
      </c>
      <c r="G2785" s="1" t="s">
        <v>239</v>
      </c>
      <c r="H2785" s="2">
        <v>47261</v>
      </c>
      <c r="I2785" t="s">
        <v>49</v>
      </c>
      <c r="J2785">
        <v>2</v>
      </c>
      <c r="K2785">
        <v>11923.76</v>
      </c>
      <c r="L2785" t="s">
        <v>184</v>
      </c>
      <c r="M2785">
        <v>31</v>
      </c>
      <c r="N2785" t="s">
        <v>21</v>
      </c>
      <c r="O2785" s="3" t="s">
        <v>22</v>
      </c>
      <c r="P2785" t="s">
        <v>150</v>
      </c>
      <c r="Q2785" t="s">
        <v>24</v>
      </c>
      <c r="R2785">
        <v>5</v>
      </c>
      <c r="S2785" t="s">
        <v>52</v>
      </c>
      <c r="T2785" s="4">
        <f t="shared" si="219"/>
        <v>23847.52</v>
      </c>
      <c r="U2785" s="4" t="str">
        <f t="shared" si="220"/>
        <v>Good</v>
      </c>
      <c r="V2785" s="4" t="str">
        <f t="shared" si="216"/>
        <v>Low</v>
      </c>
      <c r="W2785" s="4"/>
      <c r="X2785" s="4"/>
      <c r="AJ2785" s="4"/>
    </row>
    <row r="2786" spans="1:36">
      <c r="A2786" t="str">
        <f t="shared" si="217"/>
        <v>Meen192785</v>
      </c>
      <c r="B2786">
        <v>2785</v>
      </c>
      <c r="C2786">
        <v>8</v>
      </c>
      <c r="D2786">
        <v>12</v>
      </c>
      <c r="E2786">
        <v>2023</v>
      </c>
      <c r="F2786" s="1">
        <f t="shared" si="218"/>
        <v>45268</v>
      </c>
      <c r="G2786" s="1" t="s">
        <v>239</v>
      </c>
      <c r="H2786" s="2">
        <v>47262</v>
      </c>
      <c r="I2786" t="s">
        <v>38</v>
      </c>
      <c r="J2786">
        <v>4</v>
      </c>
      <c r="K2786">
        <v>14992.11</v>
      </c>
      <c r="L2786" t="s">
        <v>134</v>
      </c>
      <c r="M2786">
        <v>19</v>
      </c>
      <c r="N2786" t="s">
        <v>36</v>
      </c>
      <c r="O2786" s="3" t="s">
        <v>22</v>
      </c>
      <c r="P2786" t="s">
        <v>29</v>
      </c>
      <c r="Q2786" t="s">
        <v>24</v>
      </c>
      <c r="R2786">
        <v>4</v>
      </c>
      <c r="S2786" t="s">
        <v>48</v>
      </c>
      <c r="T2786" s="4">
        <f t="shared" si="219"/>
        <v>59968.44</v>
      </c>
      <c r="U2786" s="4" t="str">
        <f t="shared" si="220"/>
        <v>Good</v>
      </c>
      <c r="V2786" s="4" t="str">
        <f t="shared" si="216"/>
        <v>Average</v>
      </c>
      <c r="W2786" s="4"/>
      <c r="X2786" s="4"/>
      <c r="AJ2786" s="4"/>
    </row>
    <row r="2787" spans="1:36">
      <c r="A2787" t="str">
        <f t="shared" si="217"/>
        <v>Umes302786</v>
      </c>
      <c r="B2787">
        <v>2786</v>
      </c>
      <c r="C2787">
        <v>9</v>
      </c>
      <c r="D2787">
        <v>12</v>
      </c>
      <c r="E2787">
        <v>2023</v>
      </c>
      <c r="F2787" s="1">
        <f t="shared" si="218"/>
        <v>45269</v>
      </c>
      <c r="G2787" s="1" t="s">
        <v>239</v>
      </c>
      <c r="H2787" s="2">
        <v>47263</v>
      </c>
      <c r="I2787" t="s">
        <v>38</v>
      </c>
      <c r="J2787">
        <v>1</v>
      </c>
      <c r="K2787">
        <v>27603.77</v>
      </c>
      <c r="L2787" t="s">
        <v>1033</v>
      </c>
      <c r="M2787">
        <v>30</v>
      </c>
      <c r="N2787" t="s">
        <v>36</v>
      </c>
      <c r="O2787" s="3" t="s">
        <v>55</v>
      </c>
      <c r="P2787" t="s">
        <v>150</v>
      </c>
      <c r="Q2787" t="s">
        <v>24</v>
      </c>
      <c r="R2787">
        <v>2</v>
      </c>
      <c r="S2787" t="s">
        <v>48</v>
      </c>
      <c r="T2787" s="4">
        <f t="shared" si="219"/>
        <v>27603.77</v>
      </c>
      <c r="U2787" s="4" t="str">
        <f t="shared" si="220"/>
        <v>Average</v>
      </c>
      <c r="V2787" s="4" t="str">
        <f t="shared" si="216"/>
        <v>Low</v>
      </c>
      <c r="W2787" s="4"/>
      <c r="X2787" s="4"/>
      <c r="AJ2787" s="4"/>
    </row>
    <row r="2788" spans="1:36">
      <c r="A2788" t="str">
        <f t="shared" si="217"/>
        <v>Moni202787</v>
      </c>
      <c r="B2788">
        <v>2787</v>
      </c>
      <c r="C2788">
        <v>9</v>
      </c>
      <c r="D2788">
        <v>12</v>
      </c>
      <c r="E2788">
        <v>2023</v>
      </c>
      <c r="F2788" s="1">
        <f t="shared" si="218"/>
        <v>45269</v>
      </c>
      <c r="G2788" s="1" t="s">
        <v>239</v>
      </c>
      <c r="H2788" s="2">
        <v>47264</v>
      </c>
      <c r="I2788" t="s">
        <v>26</v>
      </c>
      <c r="J2788">
        <v>9</v>
      </c>
      <c r="K2788">
        <v>62668.29</v>
      </c>
      <c r="L2788" t="s">
        <v>985</v>
      </c>
      <c r="M2788">
        <v>20</v>
      </c>
      <c r="N2788" t="s">
        <v>36</v>
      </c>
      <c r="O2788" s="3" t="s">
        <v>28</v>
      </c>
      <c r="P2788" t="s">
        <v>137</v>
      </c>
      <c r="Q2788" t="s">
        <v>41</v>
      </c>
      <c r="R2788">
        <v>3</v>
      </c>
      <c r="S2788" t="s">
        <v>34</v>
      </c>
      <c r="T2788" s="4">
        <f t="shared" si="219"/>
        <v>564014.61</v>
      </c>
      <c r="U2788" s="4" t="str">
        <f t="shared" si="220"/>
        <v>Average</v>
      </c>
      <c r="V2788" s="4" t="str">
        <f t="shared" si="216"/>
        <v>Excellent</v>
      </c>
      <c r="W2788" s="4"/>
      <c r="X2788" s="4"/>
      <c r="AJ2788" s="4"/>
    </row>
    <row r="2789" spans="1:36">
      <c r="A2789" t="str">
        <f t="shared" si="217"/>
        <v>Vive472788</v>
      </c>
      <c r="B2789">
        <v>2788</v>
      </c>
      <c r="C2789">
        <v>9</v>
      </c>
      <c r="D2789">
        <v>12</v>
      </c>
      <c r="E2789">
        <v>2023</v>
      </c>
      <c r="F2789" s="1">
        <f t="shared" si="218"/>
        <v>45269</v>
      </c>
      <c r="G2789" s="1" t="s">
        <v>239</v>
      </c>
      <c r="H2789" s="2">
        <v>47265</v>
      </c>
      <c r="I2789" t="s">
        <v>26</v>
      </c>
      <c r="J2789">
        <v>6</v>
      </c>
      <c r="K2789">
        <v>55893.17</v>
      </c>
      <c r="L2789" t="s">
        <v>273</v>
      </c>
      <c r="M2789">
        <v>47</v>
      </c>
      <c r="N2789" t="s">
        <v>61</v>
      </c>
      <c r="O2789" s="3" t="s">
        <v>22</v>
      </c>
      <c r="P2789" t="s">
        <v>29</v>
      </c>
      <c r="Q2789" t="s">
        <v>41</v>
      </c>
      <c r="R2789">
        <v>4</v>
      </c>
      <c r="S2789" t="s">
        <v>31</v>
      </c>
      <c r="T2789" s="4">
        <f t="shared" si="219"/>
        <v>335359.02</v>
      </c>
      <c r="U2789" s="4" t="str">
        <f t="shared" si="220"/>
        <v>Good</v>
      </c>
      <c r="V2789" s="4" t="str">
        <f t="shared" si="216"/>
        <v>Excellent</v>
      </c>
      <c r="W2789" s="4"/>
      <c r="X2789" s="4"/>
      <c r="AJ2789" s="4"/>
    </row>
    <row r="2790" spans="1:36">
      <c r="A2790" t="str">
        <f t="shared" si="217"/>
        <v>Kavi352789</v>
      </c>
      <c r="B2790">
        <v>2789</v>
      </c>
      <c r="C2790">
        <v>9</v>
      </c>
      <c r="D2790">
        <v>12</v>
      </c>
      <c r="E2790">
        <v>2023</v>
      </c>
      <c r="F2790" s="1">
        <f t="shared" si="218"/>
        <v>45269</v>
      </c>
      <c r="G2790" s="1" t="s">
        <v>239</v>
      </c>
      <c r="H2790" s="2">
        <v>47266</v>
      </c>
      <c r="I2790" t="s">
        <v>43</v>
      </c>
      <c r="J2790">
        <v>8</v>
      </c>
      <c r="K2790">
        <v>11329.4</v>
      </c>
      <c r="L2790" t="s">
        <v>125</v>
      </c>
      <c r="M2790">
        <v>35</v>
      </c>
      <c r="N2790" t="s">
        <v>21</v>
      </c>
      <c r="O2790" s="3" t="s">
        <v>22</v>
      </c>
      <c r="P2790" t="s">
        <v>150</v>
      </c>
      <c r="Q2790" t="s">
        <v>24</v>
      </c>
      <c r="R2790">
        <v>5</v>
      </c>
      <c r="S2790" t="s">
        <v>46</v>
      </c>
      <c r="T2790" s="4">
        <f t="shared" si="219"/>
        <v>90635.199999999997</v>
      </c>
      <c r="U2790" s="4" t="str">
        <f t="shared" si="220"/>
        <v>Good</v>
      </c>
      <c r="V2790" s="4" t="str">
        <f t="shared" si="216"/>
        <v>Average</v>
      </c>
      <c r="W2790" s="4"/>
      <c r="X2790" s="4"/>
      <c r="AJ2790" s="4"/>
    </row>
    <row r="2791" spans="1:36">
      <c r="A2791" t="str">
        <f t="shared" si="217"/>
        <v>Anan532790</v>
      </c>
      <c r="B2791">
        <v>2790</v>
      </c>
      <c r="C2791">
        <v>10</v>
      </c>
      <c r="D2791">
        <v>12</v>
      </c>
      <c r="E2791">
        <v>2023</v>
      </c>
      <c r="F2791" s="1">
        <f t="shared" si="218"/>
        <v>45270</v>
      </c>
      <c r="G2791" s="1" t="s">
        <v>239</v>
      </c>
      <c r="H2791" s="2">
        <v>47267</v>
      </c>
      <c r="I2791" t="s">
        <v>43</v>
      </c>
      <c r="J2791">
        <v>4</v>
      </c>
      <c r="K2791">
        <v>40102.769999999997</v>
      </c>
      <c r="L2791" t="s">
        <v>71</v>
      </c>
      <c r="M2791">
        <v>53</v>
      </c>
      <c r="N2791" t="s">
        <v>61</v>
      </c>
      <c r="O2791" s="3" t="s">
        <v>22</v>
      </c>
      <c r="P2791" t="s">
        <v>33</v>
      </c>
      <c r="Q2791" t="s">
        <v>30</v>
      </c>
      <c r="R2791">
        <v>4</v>
      </c>
      <c r="S2791" t="s">
        <v>46</v>
      </c>
      <c r="T2791" s="4">
        <f t="shared" si="219"/>
        <v>160411.07999999999</v>
      </c>
      <c r="U2791" s="4" t="str">
        <f t="shared" si="220"/>
        <v>Good</v>
      </c>
      <c r="V2791" s="4" t="str">
        <f t="shared" si="216"/>
        <v>Good</v>
      </c>
      <c r="W2791" s="4"/>
      <c r="X2791" s="4"/>
      <c r="AJ2791" s="4"/>
    </row>
    <row r="2792" spans="1:36">
      <c r="A2792" t="str">
        <f t="shared" si="217"/>
        <v>Anit382791</v>
      </c>
      <c r="B2792">
        <v>2791</v>
      </c>
      <c r="C2792">
        <v>10</v>
      </c>
      <c r="D2792">
        <v>12</v>
      </c>
      <c r="E2792">
        <v>2023</v>
      </c>
      <c r="F2792" s="1">
        <f t="shared" si="218"/>
        <v>45270</v>
      </c>
      <c r="G2792" s="1" t="s">
        <v>239</v>
      </c>
      <c r="H2792" s="2">
        <v>47268</v>
      </c>
      <c r="I2792" t="s">
        <v>38</v>
      </c>
      <c r="J2792">
        <v>9</v>
      </c>
      <c r="K2792">
        <v>26481.25</v>
      </c>
      <c r="L2792" t="s">
        <v>407</v>
      </c>
      <c r="M2792">
        <v>38</v>
      </c>
      <c r="N2792" t="s">
        <v>21</v>
      </c>
      <c r="O2792" s="3" t="s">
        <v>22</v>
      </c>
      <c r="P2792" t="s">
        <v>64</v>
      </c>
      <c r="Q2792" t="s">
        <v>30</v>
      </c>
      <c r="R2792">
        <v>5</v>
      </c>
      <c r="S2792" t="s">
        <v>42</v>
      </c>
      <c r="T2792" s="4">
        <f t="shared" si="219"/>
        <v>238331.25</v>
      </c>
      <c r="U2792" s="4" t="str">
        <f t="shared" si="220"/>
        <v>Good</v>
      </c>
      <c r="V2792" s="4" t="str">
        <f t="shared" si="216"/>
        <v>Excellent</v>
      </c>
      <c r="W2792" s="4"/>
      <c r="X2792" s="4"/>
      <c r="AJ2792" s="4"/>
    </row>
    <row r="2793" spans="1:36">
      <c r="A2793" t="str">
        <f t="shared" si="217"/>
        <v>Adit362792</v>
      </c>
      <c r="B2793">
        <v>2792</v>
      </c>
      <c r="C2793">
        <v>10</v>
      </c>
      <c r="D2793">
        <v>12</v>
      </c>
      <c r="E2793">
        <v>2023</v>
      </c>
      <c r="F2793" s="1">
        <f t="shared" si="218"/>
        <v>45270</v>
      </c>
      <c r="G2793" s="1" t="s">
        <v>239</v>
      </c>
      <c r="H2793" s="2">
        <v>47269</v>
      </c>
      <c r="I2793" t="s">
        <v>38</v>
      </c>
      <c r="J2793">
        <v>2</v>
      </c>
      <c r="K2793">
        <v>48918.74</v>
      </c>
      <c r="L2793" t="s">
        <v>993</v>
      </c>
      <c r="M2793">
        <v>36</v>
      </c>
      <c r="N2793" t="s">
        <v>21</v>
      </c>
      <c r="O2793" s="3" t="s">
        <v>22</v>
      </c>
      <c r="P2793" t="s">
        <v>23</v>
      </c>
      <c r="Q2793" t="s">
        <v>30</v>
      </c>
      <c r="R2793">
        <v>4</v>
      </c>
      <c r="S2793" t="s">
        <v>42</v>
      </c>
      <c r="T2793" s="4">
        <f t="shared" si="219"/>
        <v>97837.48</v>
      </c>
      <c r="U2793" s="4" t="str">
        <f t="shared" si="220"/>
        <v>Good</v>
      </c>
      <c r="V2793" s="4" t="str">
        <f t="shared" si="216"/>
        <v>Average</v>
      </c>
      <c r="W2793" s="4"/>
      <c r="X2793" s="4"/>
      <c r="AJ2793" s="4"/>
    </row>
    <row r="2794" spans="1:36">
      <c r="A2794" t="str">
        <f t="shared" si="217"/>
        <v>Yoge332793</v>
      </c>
      <c r="B2794">
        <v>2793</v>
      </c>
      <c r="C2794">
        <v>11</v>
      </c>
      <c r="D2794">
        <v>12</v>
      </c>
      <c r="E2794">
        <v>2023</v>
      </c>
      <c r="F2794" s="1">
        <f t="shared" si="218"/>
        <v>45271</v>
      </c>
      <c r="G2794" s="1" t="s">
        <v>239</v>
      </c>
      <c r="H2794" s="2">
        <v>47270</v>
      </c>
      <c r="I2794" t="s">
        <v>43</v>
      </c>
      <c r="J2794">
        <v>9</v>
      </c>
      <c r="K2794">
        <v>53293.23</v>
      </c>
      <c r="L2794" t="s">
        <v>978</v>
      </c>
      <c r="M2794">
        <v>33</v>
      </c>
      <c r="N2794" t="s">
        <v>21</v>
      </c>
      <c r="O2794" s="3" t="s">
        <v>22</v>
      </c>
      <c r="P2794" t="s">
        <v>33</v>
      </c>
      <c r="Q2794" t="s">
        <v>41</v>
      </c>
      <c r="R2794">
        <v>4</v>
      </c>
      <c r="S2794" t="s">
        <v>46</v>
      </c>
      <c r="T2794" s="4">
        <f t="shared" si="219"/>
        <v>479639.07</v>
      </c>
      <c r="U2794" s="4" t="str">
        <f t="shared" si="220"/>
        <v>Good</v>
      </c>
      <c r="V2794" s="4" t="str">
        <f t="shared" si="216"/>
        <v>Excellent</v>
      </c>
      <c r="W2794" s="4"/>
      <c r="X2794" s="4"/>
      <c r="AJ2794" s="4"/>
    </row>
    <row r="2795" spans="1:36">
      <c r="A2795" t="str">
        <f t="shared" si="217"/>
        <v>Suni452794</v>
      </c>
      <c r="B2795">
        <v>2794</v>
      </c>
      <c r="C2795">
        <v>11</v>
      </c>
      <c r="D2795">
        <v>12</v>
      </c>
      <c r="E2795">
        <v>2023</v>
      </c>
      <c r="F2795" s="1">
        <f t="shared" si="218"/>
        <v>45271</v>
      </c>
      <c r="G2795" s="1" t="s">
        <v>239</v>
      </c>
      <c r="H2795" s="2">
        <v>47271</v>
      </c>
      <c r="I2795" t="s">
        <v>43</v>
      </c>
      <c r="J2795">
        <v>5</v>
      </c>
      <c r="K2795">
        <v>61771.75</v>
      </c>
      <c r="L2795" t="s">
        <v>648</v>
      </c>
      <c r="M2795">
        <v>45</v>
      </c>
      <c r="N2795" t="s">
        <v>21</v>
      </c>
      <c r="O2795" s="3" t="s">
        <v>22</v>
      </c>
      <c r="P2795" t="s">
        <v>150</v>
      </c>
      <c r="Q2795" t="s">
        <v>56</v>
      </c>
      <c r="R2795">
        <v>4</v>
      </c>
      <c r="S2795" t="s">
        <v>57</v>
      </c>
      <c r="T2795" s="4">
        <f t="shared" si="219"/>
        <v>308858.75</v>
      </c>
      <c r="U2795" s="4" t="str">
        <f t="shared" si="220"/>
        <v>Good</v>
      </c>
      <c r="V2795" s="4" t="str">
        <f t="shared" si="216"/>
        <v>Excellent</v>
      </c>
      <c r="W2795" s="4"/>
      <c r="X2795" s="4"/>
      <c r="AJ2795" s="4"/>
    </row>
    <row r="2796" spans="1:36">
      <c r="A2796" t="str">
        <f t="shared" si="217"/>
        <v>Vino212795</v>
      </c>
      <c r="B2796">
        <v>2795</v>
      </c>
      <c r="C2796">
        <v>11</v>
      </c>
      <c r="D2796">
        <v>12</v>
      </c>
      <c r="E2796">
        <v>2023</v>
      </c>
      <c r="F2796" s="1">
        <f t="shared" si="218"/>
        <v>45271</v>
      </c>
      <c r="G2796" s="1" t="s">
        <v>239</v>
      </c>
      <c r="H2796" s="2">
        <v>47272</v>
      </c>
      <c r="I2796" t="s">
        <v>19</v>
      </c>
      <c r="J2796">
        <v>6</v>
      </c>
      <c r="K2796">
        <v>38524.97</v>
      </c>
      <c r="L2796" t="s">
        <v>1017</v>
      </c>
      <c r="M2796">
        <v>21</v>
      </c>
      <c r="N2796" t="s">
        <v>36</v>
      </c>
      <c r="O2796" s="3" t="s">
        <v>28</v>
      </c>
      <c r="P2796" t="s">
        <v>29</v>
      </c>
      <c r="Q2796" t="s">
        <v>41</v>
      </c>
      <c r="R2796">
        <v>3</v>
      </c>
      <c r="S2796" t="s">
        <v>25</v>
      </c>
      <c r="T2796" s="4">
        <f t="shared" si="219"/>
        <v>231149.82</v>
      </c>
      <c r="U2796" s="4" t="str">
        <f t="shared" si="220"/>
        <v>Average</v>
      </c>
      <c r="V2796" s="4" t="str">
        <f t="shared" si="216"/>
        <v>Excellent</v>
      </c>
      <c r="W2796" s="4"/>
      <c r="X2796" s="4"/>
      <c r="AJ2796" s="4"/>
    </row>
    <row r="2797" spans="1:36">
      <c r="A2797" t="str">
        <f t="shared" si="217"/>
        <v>Bhav322796</v>
      </c>
      <c r="B2797">
        <v>2796</v>
      </c>
      <c r="C2797">
        <v>11</v>
      </c>
      <c r="D2797">
        <v>12</v>
      </c>
      <c r="E2797">
        <v>2023</v>
      </c>
      <c r="F2797" s="1">
        <f t="shared" si="218"/>
        <v>45271</v>
      </c>
      <c r="G2797" s="1" t="s">
        <v>239</v>
      </c>
      <c r="H2797" s="2">
        <v>47273</v>
      </c>
      <c r="I2797" t="s">
        <v>19</v>
      </c>
      <c r="J2797">
        <v>3</v>
      </c>
      <c r="K2797">
        <v>69667.009999999995</v>
      </c>
      <c r="L2797" t="s">
        <v>593</v>
      </c>
      <c r="M2797">
        <v>32</v>
      </c>
      <c r="N2797" t="s">
        <v>21</v>
      </c>
      <c r="O2797" s="3" t="s">
        <v>22</v>
      </c>
      <c r="P2797" t="s">
        <v>64</v>
      </c>
      <c r="Q2797" t="s">
        <v>24</v>
      </c>
      <c r="R2797">
        <v>5</v>
      </c>
      <c r="S2797" t="s">
        <v>84</v>
      </c>
      <c r="T2797" s="4">
        <f t="shared" si="219"/>
        <v>209001.02999999997</v>
      </c>
      <c r="U2797" s="4" t="str">
        <f t="shared" si="220"/>
        <v>Good</v>
      </c>
      <c r="V2797" s="4" t="str">
        <f t="shared" si="216"/>
        <v>Excellent</v>
      </c>
      <c r="W2797" s="4"/>
      <c r="X2797" s="4"/>
      <c r="AJ2797" s="4"/>
    </row>
    <row r="2798" spans="1:36">
      <c r="A2798" t="str">
        <f t="shared" si="217"/>
        <v>Lali182797</v>
      </c>
      <c r="B2798">
        <v>2797</v>
      </c>
      <c r="C2798">
        <v>12</v>
      </c>
      <c r="D2798">
        <v>12</v>
      </c>
      <c r="E2798">
        <v>2023</v>
      </c>
      <c r="F2798" s="1">
        <f t="shared" si="218"/>
        <v>45272</v>
      </c>
      <c r="G2798" s="1" t="s">
        <v>239</v>
      </c>
      <c r="H2798" s="2">
        <v>47274</v>
      </c>
      <c r="I2798" t="s">
        <v>43</v>
      </c>
      <c r="J2798">
        <v>4</v>
      </c>
      <c r="K2798">
        <v>68799.17</v>
      </c>
      <c r="L2798" t="s">
        <v>236</v>
      </c>
      <c r="M2798">
        <v>18</v>
      </c>
      <c r="N2798" t="s">
        <v>36</v>
      </c>
      <c r="O2798" s="3" t="s">
        <v>22</v>
      </c>
      <c r="P2798" t="s">
        <v>29</v>
      </c>
      <c r="Q2798" t="s">
        <v>56</v>
      </c>
      <c r="R2798">
        <v>4</v>
      </c>
      <c r="S2798" t="s">
        <v>95</v>
      </c>
      <c r="T2798" s="4">
        <f t="shared" si="219"/>
        <v>275196.68</v>
      </c>
      <c r="U2798" s="4" t="str">
        <f t="shared" si="220"/>
        <v>Good</v>
      </c>
      <c r="V2798" s="4" t="str">
        <f t="shared" si="216"/>
        <v>Excellent</v>
      </c>
      <c r="W2798" s="4"/>
      <c r="X2798" s="4"/>
      <c r="AJ2798" s="4"/>
    </row>
    <row r="2799" spans="1:36">
      <c r="A2799" t="str">
        <f t="shared" si="217"/>
        <v>Anit332798</v>
      </c>
      <c r="B2799">
        <v>2798</v>
      </c>
      <c r="C2799">
        <v>12</v>
      </c>
      <c r="D2799">
        <v>12</v>
      </c>
      <c r="E2799">
        <v>2023</v>
      </c>
      <c r="F2799" s="1">
        <f t="shared" si="218"/>
        <v>45272</v>
      </c>
      <c r="G2799" s="1" t="s">
        <v>239</v>
      </c>
      <c r="H2799" s="2">
        <v>47275</v>
      </c>
      <c r="I2799" t="s">
        <v>19</v>
      </c>
      <c r="J2799">
        <v>6</v>
      </c>
      <c r="K2799">
        <v>62930</v>
      </c>
      <c r="L2799" t="s">
        <v>205</v>
      </c>
      <c r="M2799">
        <v>33</v>
      </c>
      <c r="N2799" t="s">
        <v>21</v>
      </c>
      <c r="O2799" s="3" t="s">
        <v>22</v>
      </c>
      <c r="P2799" t="s">
        <v>29</v>
      </c>
      <c r="Q2799" t="s">
        <v>30</v>
      </c>
      <c r="R2799">
        <v>4</v>
      </c>
      <c r="S2799" t="s">
        <v>25</v>
      </c>
      <c r="T2799" s="4">
        <f t="shared" si="219"/>
        <v>377580</v>
      </c>
      <c r="U2799" s="4" t="str">
        <f t="shared" si="220"/>
        <v>Good</v>
      </c>
      <c r="V2799" s="4" t="str">
        <f t="shared" si="216"/>
        <v>Excellent</v>
      </c>
      <c r="W2799" s="4"/>
      <c r="X2799" s="4"/>
      <c r="AJ2799" s="4"/>
    </row>
    <row r="2800" spans="1:36">
      <c r="A2800" t="str">
        <f t="shared" si="217"/>
        <v>Ayes372799</v>
      </c>
      <c r="B2800">
        <v>2799</v>
      </c>
      <c r="C2800">
        <v>12</v>
      </c>
      <c r="D2800">
        <v>12</v>
      </c>
      <c r="E2800">
        <v>2023</v>
      </c>
      <c r="F2800" s="1">
        <f t="shared" si="218"/>
        <v>45272</v>
      </c>
      <c r="G2800" s="1" t="s">
        <v>239</v>
      </c>
      <c r="H2800" s="2">
        <v>47276</v>
      </c>
      <c r="I2800" t="s">
        <v>49</v>
      </c>
      <c r="J2800">
        <v>7</v>
      </c>
      <c r="K2800">
        <v>44492.17</v>
      </c>
      <c r="L2800" t="s">
        <v>689</v>
      </c>
      <c r="M2800">
        <v>37</v>
      </c>
      <c r="N2800" t="s">
        <v>21</v>
      </c>
      <c r="O2800" s="3" t="s">
        <v>28</v>
      </c>
      <c r="P2800" t="s">
        <v>110</v>
      </c>
      <c r="Q2800" t="s">
        <v>41</v>
      </c>
      <c r="R2800">
        <v>3</v>
      </c>
      <c r="S2800" t="s">
        <v>88</v>
      </c>
      <c r="T2800" s="4">
        <f t="shared" si="219"/>
        <v>311445.19</v>
      </c>
      <c r="U2800" s="4" t="str">
        <f t="shared" si="220"/>
        <v>Average</v>
      </c>
      <c r="V2800" s="4" t="str">
        <f t="shared" si="216"/>
        <v>Excellent</v>
      </c>
      <c r="W2800" s="4"/>
      <c r="X2800" s="4"/>
      <c r="AJ2800" s="4"/>
    </row>
    <row r="2801" spans="1:36">
      <c r="A2801" t="str">
        <f t="shared" si="217"/>
        <v>Vija502800</v>
      </c>
      <c r="B2801">
        <v>2800</v>
      </c>
      <c r="C2801">
        <v>13</v>
      </c>
      <c r="D2801">
        <v>12</v>
      </c>
      <c r="E2801">
        <v>2023</v>
      </c>
      <c r="F2801" s="1">
        <f t="shared" si="218"/>
        <v>45273</v>
      </c>
      <c r="G2801" s="1" t="s">
        <v>239</v>
      </c>
      <c r="H2801" s="2">
        <v>47277</v>
      </c>
      <c r="I2801" t="s">
        <v>38</v>
      </c>
      <c r="J2801">
        <v>1</v>
      </c>
      <c r="K2801">
        <v>33880.39</v>
      </c>
      <c r="L2801" t="s">
        <v>427</v>
      </c>
      <c r="M2801">
        <v>50</v>
      </c>
      <c r="N2801" t="s">
        <v>61</v>
      </c>
      <c r="O2801" s="3" t="s">
        <v>55</v>
      </c>
      <c r="P2801" t="s">
        <v>150</v>
      </c>
      <c r="Q2801" t="s">
        <v>41</v>
      </c>
      <c r="R2801">
        <v>2</v>
      </c>
      <c r="S2801" t="s">
        <v>99</v>
      </c>
      <c r="T2801" s="4">
        <f t="shared" si="219"/>
        <v>33880.39</v>
      </c>
      <c r="U2801" s="4" t="str">
        <f t="shared" si="220"/>
        <v>Average</v>
      </c>
      <c r="V2801" s="4" t="str">
        <f t="shared" si="216"/>
        <v>Low</v>
      </c>
      <c r="W2801" s="4"/>
      <c r="X2801" s="4"/>
      <c r="AJ2801" s="4"/>
    </row>
    <row r="2802" spans="1:36">
      <c r="A2802" t="str">
        <f t="shared" si="217"/>
        <v>Anit342801</v>
      </c>
      <c r="B2802">
        <v>2801</v>
      </c>
      <c r="C2802">
        <v>13</v>
      </c>
      <c r="D2802">
        <v>12</v>
      </c>
      <c r="E2802">
        <v>2023</v>
      </c>
      <c r="F2802" s="1">
        <f t="shared" si="218"/>
        <v>45273</v>
      </c>
      <c r="G2802" s="1" t="s">
        <v>239</v>
      </c>
      <c r="H2802" s="2">
        <v>47278</v>
      </c>
      <c r="I2802" t="s">
        <v>38</v>
      </c>
      <c r="J2802">
        <v>7</v>
      </c>
      <c r="K2802">
        <v>31863.18</v>
      </c>
      <c r="L2802" t="s">
        <v>327</v>
      </c>
      <c r="M2802">
        <v>34</v>
      </c>
      <c r="N2802" t="s">
        <v>21</v>
      </c>
      <c r="O2802" s="3" t="s">
        <v>22</v>
      </c>
      <c r="P2802" t="s">
        <v>29</v>
      </c>
      <c r="Q2802" t="s">
        <v>24</v>
      </c>
      <c r="R2802">
        <v>4</v>
      </c>
      <c r="S2802" t="s">
        <v>48</v>
      </c>
      <c r="T2802" s="4">
        <f t="shared" si="219"/>
        <v>223042.26</v>
      </c>
      <c r="U2802" s="4" t="str">
        <f t="shared" si="220"/>
        <v>Good</v>
      </c>
      <c r="V2802" s="4" t="str">
        <f t="shared" si="216"/>
        <v>Excellent</v>
      </c>
      <c r="W2802" s="4"/>
      <c r="X2802" s="4"/>
      <c r="AJ2802" s="4"/>
    </row>
    <row r="2803" spans="1:36">
      <c r="A2803" t="str">
        <f t="shared" si="217"/>
        <v>Sumi222802</v>
      </c>
      <c r="B2803">
        <v>2802</v>
      </c>
      <c r="C2803">
        <v>13</v>
      </c>
      <c r="D2803">
        <v>12</v>
      </c>
      <c r="E2803">
        <v>2023</v>
      </c>
      <c r="F2803" s="1">
        <f t="shared" si="218"/>
        <v>45273</v>
      </c>
      <c r="G2803" s="1" t="s">
        <v>239</v>
      </c>
      <c r="H2803" s="2">
        <v>47279</v>
      </c>
      <c r="I2803" t="s">
        <v>43</v>
      </c>
      <c r="J2803">
        <v>1</v>
      </c>
      <c r="K2803">
        <v>10727.49</v>
      </c>
      <c r="L2803" t="s">
        <v>256</v>
      </c>
      <c r="M2803">
        <v>22</v>
      </c>
      <c r="N2803" t="s">
        <v>36</v>
      </c>
      <c r="O2803" s="3" t="s">
        <v>22</v>
      </c>
      <c r="P2803" t="s">
        <v>117</v>
      </c>
      <c r="Q2803" t="s">
        <v>30</v>
      </c>
      <c r="R2803">
        <v>4</v>
      </c>
      <c r="S2803" t="s">
        <v>46</v>
      </c>
      <c r="T2803" s="4">
        <f t="shared" si="219"/>
        <v>10727.49</v>
      </c>
      <c r="U2803" s="4" t="str">
        <f t="shared" si="220"/>
        <v>Good</v>
      </c>
      <c r="V2803" s="4" t="str">
        <f t="shared" si="216"/>
        <v>Low</v>
      </c>
      <c r="W2803" s="4"/>
      <c r="X2803" s="4"/>
      <c r="AJ2803" s="4"/>
    </row>
    <row r="2804" spans="1:36">
      <c r="A2804" t="str">
        <f t="shared" si="217"/>
        <v>Lata222803</v>
      </c>
      <c r="B2804">
        <v>2803</v>
      </c>
      <c r="C2804">
        <v>14</v>
      </c>
      <c r="D2804">
        <v>12</v>
      </c>
      <c r="E2804">
        <v>2023</v>
      </c>
      <c r="F2804" s="1">
        <f t="shared" si="218"/>
        <v>45274</v>
      </c>
      <c r="G2804" s="1" t="s">
        <v>239</v>
      </c>
      <c r="H2804" s="2">
        <v>47280</v>
      </c>
      <c r="I2804" t="s">
        <v>26</v>
      </c>
      <c r="J2804">
        <v>5</v>
      </c>
      <c r="K2804">
        <v>24950.47</v>
      </c>
      <c r="L2804" t="s">
        <v>735</v>
      </c>
      <c r="M2804">
        <v>22</v>
      </c>
      <c r="N2804" t="s">
        <v>36</v>
      </c>
      <c r="O2804" s="3" t="s">
        <v>55</v>
      </c>
      <c r="P2804" t="s">
        <v>40</v>
      </c>
      <c r="Q2804" t="s">
        <v>41</v>
      </c>
      <c r="R2804">
        <v>2</v>
      </c>
      <c r="S2804" t="s">
        <v>31</v>
      </c>
      <c r="T2804" s="4">
        <f t="shared" si="219"/>
        <v>124752.35</v>
      </c>
      <c r="U2804" s="4" t="str">
        <f t="shared" si="220"/>
        <v>Average</v>
      </c>
      <c r="V2804" s="4" t="str">
        <f t="shared" si="216"/>
        <v>Good</v>
      </c>
      <c r="W2804" s="4"/>
      <c r="X2804" s="4"/>
      <c r="AJ2804" s="4"/>
    </row>
    <row r="2805" spans="1:36">
      <c r="A2805" t="str">
        <f t="shared" si="217"/>
        <v>Reen562804</v>
      </c>
      <c r="B2805">
        <v>2804</v>
      </c>
      <c r="C2805">
        <v>14</v>
      </c>
      <c r="D2805">
        <v>12</v>
      </c>
      <c r="E2805">
        <v>2023</v>
      </c>
      <c r="F2805" s="1">
        <f t="shared" si="218"/>
        <v>45274</v>
      </c>
      <c r="G2805" s="1" t="s">
        <v>239</v>
      </c>
      <c r="H2805" s="2">
        <v>47281</v>
      </c>
      <c r="I2805" t="s">
        <v>43</v>
      </c>
      <c r="J2805">
        <v>6</v>
      </c>
      <c r="K2805">
        <v>53128.49</v>
      </c>
      <c r="L2805" t="s">
        <v>883</v>
      </c>
      <c r="M2805">
        <v>56</v>
      </c>
      <c r="N2805" t="s">
        <v>61</v>
      </c>
      <c r="O2805" s="3" t="s">
        <v>22</v>
      </c>
      <c r="P2805" t="s">
        <v>29</v>
      </c>
      <c r="Q2805" t="s">
        <v>41</v>
      </c>
      <c r="R2805">
        <v>4</v>
      </c>
      <c r="S2805" t="s">
        <v>95</v>
      </c>
      <c r="T2805" s="4">
        <f t="shared" si="219"/>
        <v>318770.94</v>
      </c>
      <c r="U2805" s="4" t="str">
        <f t="shared" si="220"/>
        <v>Good</v>
      </c>
      <c r="V2805" s="4" t="str">
        <f t="shared" si="216"/>
        <v>Excellent</v>
      </c>
      <c r="W2805" s="4"/>
      <c r="X2805" s="4"/>
      <c r="AJ2805" s="4"/>
    </row>
    <row r="2806" spans="1:36">
      <c r="A2806" t="str">
        <f t="shared" si="217"/>
        <v>Amit302805</v>
      </c>
      <c r="B2806">
        <v>2805</v>
      </c>
      <c r="C2806">
        <v>14</v>
      </c>
      <c r="D2806">
        <v>12</v>
      </c>
      <c r="E2806">
        <v>2023</v>
      </c>
      <c r="F2806" s="1">
        <f t="shared" si="218"/>
        <v>45274</v>
      </c>
      <c r="G2806" s="1" t="s">
        <v>239</v>
      </c>
      <c r="H2806" s="2">
        <v>47282</v>
      </c>
      <c r="I2806" t="s">
        <v>19</v>
      </c>
      <c r="J2806">
        <v>2</v>
      </c>
      <c r="K2806">
        <v>46217.93</v>
      </c>
      <c r="L2806" t="s">
        <v>640</v>
      </c>
      <c r="M2806">
        <v>30</v>
      </c>
      <c r="N2806" t="s">
        <v>36</v>
      </c>
      <c r="O2806" s="3" t="s">
        <v>22</v>
      </c>
      <c r="P2806" t="s">
        <v>150</v>
      </c>
      <c r="Q2806" t="s">
        <v>56</v>
      </c>
      <c r="R2806">
        <v>4</v>
      </c>
      <c r="S2806" t="s">
        <v>25</v>
      </c>
      <c r="T2806" s="4">
        <f t="shared" si="219"/>
        <v>92435.86</v>
      </c>
      <c r="U2806" s="4" t="str">
        <f t="shared" si="220"/>
        <v>Good</v>
      </c>
      <c r="V2806" s="4" t="str">
        <f t="shared" si="216"/>
        <v>Average</v>
      </c>
      <c r="W2806" s="4"/>
      <c r="X2806" s="4"/>
      <c r="AJ2806" s="4"/>
    </row>
    <row r="2807" spans="1:36">
      <c r="A2807" t="str">
        <f t="shared" si="217"/>
        <v>Kavi532806</v>
      </c>
      <c r="B2807">
        <v>2806</v>
      </c>
      <c r="C2807">
        <v>15</v>
      </c>
      <c r="D2807">
        <v>12</v>
      </c>
      <c r="E2807">
        <v>2023</v>
      </c>
      <c r="F2807" s="1">
        <f t="shared" si="218"/>
        <v>45275</v>
      </c>
      <c r="G2807" s="1" t="s">
        <v>239</v>
      </c>
      <c r="H2807" s="2">
        <v>47283</v>
      </c>
      <c r="I2807" t="s">
        <v>26</v>
      </c>
      <c r="J2807">
        <v>9</v>
      </c>
      <c r="K2807">
        <v>64985.33</v>
      </c>
      <c r="L2807" t="s">
        <v>785</v>
      </c>
      <c r="M2807">
        <v>53</v>
      </c>
      <c r="N2807" t="s">
        <v>61</v>
      </c>
      <c r="O2807" s="3" t="s">
        <v>22</v>
      </c>
      <c r="P2807" t="s">
        <v>29</v>
      </c>
      <c r="Q2807" t="s">
        <v>41</v>
      </c>
      <c r="R2807">
        <v>4</v>
      </c>
      <c r="S2807" t="s">
        <v>67</v>
      </c>
      <c r="T2807" s="4">
        <f t="shared" si="219"/>
        <v>584867.97</v>
      </c>
      <c r="U2807" s="4" t="str">
        <f t="shared" si="220"/>
        <v>Good</v>
      </c>
      <c r="V2807" s="4" t="str">
        <f t="shared" si="216"/>
        <v>Excellent</v>
      </c>
      <c r="W2807" s="4"/>
      <c r="X2807" s="4"/>
      <c r="AJ2807" s="4"/>
    </row>
    <row r="2808" spans="1:36">
      <c r="A2808" t="str">
        <f t="shared" si="217"/>
        <v>Bina472807</v>
      </c>
      <c r="B2808">
        <v>2807</v>
      </c>
      <c r="C2808">
        <v>15</v>
      </c>
      <c r="D2808">
        <v>12</v>
      </c>
      <c r="E2808">
        <v>2023</v>
      </c>
      <c r="F2808" s="1">
        <f t="shared" si="218"/>
        <v>45275</v>
      </c>
      <c r="G2808" s="1" t="s">
        <v>239</v>
      </c>
      <c r="H2808" s="2">
        <v>47284</v>
      </c>
      <c r="I2808" t="s">
        <v>19</v>
      </c>
      <c r="J2808">
        <v>6</v>
      </c>
      <c r="K2808">
        <v>13001.34</v>
      </c>
      <c r="L2808" t="s">
        <v>345</v>
      </c>
      <c r="M2808">
        <v>47</v>
      </c>
      <c r="N2808" t="s">
        <v>61</v>
      </c>
      <c r="O2808" s="3" t="s">
        <v>22</v>
      </c>
      <c r="P2808" t="s">
        <v>33</v>
      </c>
      <c r="Q2808" t="s">
        <v>56</v>
      </c>
      <c r="R2808">
        <v>5</v>
      </c>
      <c r="S2808" t="s">
        <v>37</v>
      </c>
      <c r="T2808" s="4">
        <f t="shared" si="219"/>
        <v>78008.040000000008</v>
      </c>
      <c r="U2808" s="4" t="str">
        <f t="shared" si="220"/>
        <v>Good</v>
      </c>
      <c r="V2808" s="4" t="str">
        <f t="shared" si="216"/>
        <v>Average</v>
      </c>
      <c r="W2808" s="4"/>
      <c r="X2808" s="4"/>
      <c r="AJ2808" s="4"/>
    </row>
    <row r="2809" spans="1:36">
      <c r="A2809" t="str">
        <f t="shared" si="217"/>
        <v>Suni212808</v>
      </c>
      <c r="B2809">
        <v>2808</v>
      </c>
      <c r="C2809">
        <v>15</v>
      </c>
      <c r="D2809">
        <v>12</v>
      </c>
      <c r="E2809">
        <v>2023</v>
      </c>
      <c r="F2809" s="1">
        <f t="shared" si="218"/>
        <v>45275</v>
      </c>
      <c r="G2809" s="1" t="s">
        <v>239</v>
      </c>
      <c r="H2809" s="2">
        <v>47285</v>
      </c>
      <c r="I2809" t="s">
        <v>49</v>
      </c>
      <c r="J2809">
        <v>7</v>
      </c>
      <c r="K2809">
        <v>19316.599999999999</v>
      </c>
      <c r="L2809" t="s">
        <v>884</v>
      </c>
      <c r="M2809">
        <v>21</v>
      </c>
      <c r="N2809" t="s">
        <v>36</v>
      </c>
      <c r="O2809" s="3" t="s">
        <v>55</v>
      </c>
      <c r="P2809" t="s">
        <v>29</v>
      </c>
      <c r="Q2809" t="s">
        <v>41</v>
      </c>
      <c r="R2809">
        <v>2</v>
      </c>
      <c r="S2809" t="s">
        <v>102</v>
      </c>
      <c r="T2809" s="4">
        <f t="shared" si="219"/>
        <v>135216.19999999998</v>
      </c>
      <c r="U2809" s="4" t="str">
        <f t="shared" si="220"/>
        <v>Average</v>
      </c>
      <c r="V2809" s="4" t="str">
        <f t="shared" si="216"/>
        <v>Good</v>
      </c>
      <c r="W2809" s="4"/>
      <c r="X2809" s="4"/>
      <c r="AJ2809" s="4"/>
    </row>
    <row r="2810" spans="1:36">
      <c r="A2810" t="str">
        <f t="shared" si="217"/>
        <v>Sumi402809</v>
      </c>
      <c r="B2810">
        <v>2809</v>
      </c>
      <c r="C2810">
        <v>16</v>
      </c>
      <c r="D2810">
        <v>12</v>
      </c>
      <c r="E2810">
        <v>2023</v>
      </c>
      <c r="F2810" s="1">
        <f t="shared" si="218"/>
        <v>45276</v>
      </c>
      <c r="G2810" s="1" t="s">
        <v>239</v>
      </c>
      <c r="H2810" s="2">
        <v>47286</v>
      </c>
      <c r="I2810" t="s">
        <v>19</v>
      </c>
      <c r="J2810">
        <v>8</v>
      </c>
      <c r="K2810">
        <v>57354.63</v>
      </c>
      <c r="L2810" t="s">
        <v>645</v>
      </c>
      <c r="M2810">
        <v>40</v>
      </c>
      <c r="N2810" t="s">
        <v>21</v>
      </c>
      <c r="O2810" s="3" t="s">
        <v>22</v>
      </c>
      <c r="P2810" t="s">
        <v>51</v>
      </c>
      <c r="Q2810" t="s">
        <v>30</v>
      </c>
      <c r="R2810">
        <v>5</v>
      </c>
      <c r="S2810" t="s">
        <v>84</v>
      </c>
      <c r="T2810" s="4">
        <f t="shared" si="219"/>
        <v>458837.04</v>
      </c>
      <c r="U2810" s="4" t="str">
        <f t="shared" si="220"/>
        <v>Good</v>
      </c>
      <c r="V2810" s="4" t="str">
        <f t="shared" si="216"/>
        <v>Excellent</v>
      </c>
      <c r="W2810" s="4"/>
      <c r="X2810" s="4"/>
      <c r="AJ2810" s="4"/>
    </row>
    <row r="2811" spans="1:36">
      <c r="A2811" t="str">
        <f t="shared" si="217"/>
        <v>Moni382810</v>
      </c>
      <c r="B2811">
        <v>2810</v>
      </c>
      <c r="C2811">
        <v>16</v>
      </c>
      <c r="D2811">
        <v>12</v>
      </c>
      <c r="E2811">
        <v>2023</v>
      </c>
      <c r="F2811" s="1">
        <f t="shared" si="218"/>
        <v>45276</v>
      </c>
      <c r="G2811" s="1" t="s">
        <v>239</v>
      </c>
      <c r="H2811" s="2">
        <v>47287</v>
      </c>
      <c r="I2811" t="s">
        <v>49</v>
      </c>
      <c r="J2811">
        <v>1</v>
      </c>
      <c r="K2811">
        <v>31510.46</v>
      </c>
      <c r="L2811" t="s">
        <v>946</v>
      </c>
      <c r="M2811">
        <v>38</v>
      </c>
      <c r="N2811" t="s">
        <v>21</v>
      </c>
      <c r="O2811" s="3" t="s">
        <v>55</v>
      </c>
      <c r="P2811" t="s">
        <v>117</v>
      </c>
      <c r="Q2811" t="s">
        <v>24</v>
      </c>
      <c r="R2811">
        <v>2</v>
      </c>
      <c r="S2811" t="s">
        <v>52</v>
      </c>
      <c r="T2811" s="4">
        <f t="shared" si="219"/>
        <v>31510.46</v>
      </c>
      <c r="U2811" s="4" t="str">
        <f t="shared" si="220"/>
        <v>Average</v>
      </c>
      <c r="V2811" s="4" t="str">
        <f t="shared" si="216"/>
        <v>Low</v>
      </c>
      <c r="W2811" s="4"/>
      <c r="X2811" s="4"/>
      <c r="AJ2811" s="4"/>
    </row>
    <row r="2812" spans="1:36">
      <c r="A2812" t="str">
        <f t="shared" si="217"/>
        <v>Jyot382811</v>
      </c>
      <c r="B2812">
        <v>2811</v>
      </c>
      <c r="C2812">
        <v>16</v>
      </c>
      <c r="D2812">
        <v>12</v>
      </c>
      <c r="E2812">
        <v>2023</v>
      </c>
      <c r="F2812" s="1">
        <f t="shared" si="218"/>
        <v>45276</v>
      </c>
      <c r="G2812" s="1" t="s">
        <v>239</v>
      </c>
      <c r="H2812" s="2">
        <v>47288</v>
      </c>
      <c r="I2812" t="s">
        <v>49</v>
      </c>
      <c r="J2812">
        <v>8</v>
      </c>
      <c r="K2812">
        <v>17100.72</v>
      </c>
      <c r="L2812" t="s">
        <v>449</v>
      </c>
      <c r="M2812">
        <v>38</v>
      </c>
      <c r="N2812" t="s">
        <v>21</v>
      </c>
      <c r="O2812" s="3" t="s">
        <v>22</v>
      </c>
      <c r="P2812" t="s">
        <v>33</v>
      </c>
      <c r="Q2812" t="s">
        <v>30</v>
      </c>
      <c r="R2812">
        <v>5</v>
      </c>
      <c r="S2812" t="s">
        <v>52</v>
      </c>
      <c r="T2812" s="4">
        <f t="shared" si="219"/>
        <v>136805.76000000001</v>
      </c>
      <c r="U2812" s="4" t="str">
        <f t="shared" si="220"/>
        <v>Good</v>
      </c>
      <c r="V2812" s="4" t="str">
        <f t="shared" si="216"/>
        <v>Good</v>
      </c>
      <c r="W2812" s="4"/>
      <c r="X2812" s="4"/>
      <c r="AJ2812" s="4"/>
    </row>
    <row r="2813" spans="1:36">
      <c r="A2813" t="str">
        <f t="shared" si="217"/>
        <v>Vino232812</v>
      </c>
      <c r="B2813">
        <v>2812</v>
      </c>
      <c r="C2813">
        <v>17</v>
      </c>
      <c r="D2813">
        <v>12</v>
      </c>
      <c r="E2813">
        <v>2023</v>
      </c>
      <c r="F2813" s="1">
        <f t="shared" si="218"/>
        <v>45277</v>
      </c>
      <c r="G2813" s="1" t="s">
        <v>239</v>
      </c>
      <c r="H2813" s="2">
        <v>47289</v>
      </c>
      <c r="I2813" t="s">
        <v>19</v>
      </c>
      <c r="J2813">
        <v>4</v>
      </c>
      <c r="K2813">
        <v>69787.03</v>
      </c>
      <c r="L2813" t="s">
        <v>481</v>
      </c>
      <c r="M2813">
        <v>23</v>
      </c>
      <c r="N2813" t="s">
        <v>36</v>
      </c>
      <c r="O2813" s="3" t="s">
        <v>22</v>
      </c>
      <c r="P2813" t="s">
        <v>33</v>
      </c>
      <c r="Q2813" t="s">
        <v>24</v>
      </c>
      <c r="R2813">
        <v>5</v>
      </c>
      <c r="S2813" t="s">
        <v>37</v>
      </c>
      <c r="T2813" s="4">
        <f t="shared" si="219"/>
        <v>279148.12</v>
      </c>
      <c r="U2813" s="4" t="str">
        <f t="shared" si="220"/>
        <v>Good</v>
      </c>
      <c r="V2813" s="4" t="str">
        <f t="shared" si="216"/>
        <v>Excellent</v>
      </c>
      <c r="W2813" s="4"/>
      <c r="X2813" s="4"/>
      <c r="AJ2813" s="4"/>
    </row>
    <row r="2814" spans="1:36">
      <c r="A2814" t="str">
        <f t="shared" si="217"/>
        <v>Sanj412813</v>
      </c>
      <c r="B2814">
        <v>2813</v>
      </c>
      <c r="C2814">
        <v>17</v>
      </c>
      <c r="D2814">
        <v>12</v>
      </c>
      <c r="E2814">
        <v>2023</v>
      </c>
      <c r="F2814" s="1">
        <f t="shared" si="218"/>
        <v>45277</v>
      </c>
      <c r="G2814" s="1" t="s">
        <v>239</v>
      </c>
      <c r="H2814" s="2">
        <v>47290</v>
      </c>
      <c r="I2814" t="s">
        <v>19</v>
      </c>
      <c r="J2814">
        <v>8</v>
      </c>
      <c r="K2814">
        <v>57235.02</v>
      </c>
      <c r="L2814" t="s">
        <v>808</v>
      </c>
      <c r="M2814">
        <v>41</v>
      </c>
      <c r="N2814" t="s">
        <v>21</v>
      </c>
      <c r="O2814" s="3" t="s">
        <v>28</v>
      </c>
      <c r="P2814" t="s">
        <v>59</v>
      </c>
      <c r="Q2814" t="s">
        <v>41</v>
      </c>
      <c r="R2814">
        <v>3</v>
      </c>
      <c r="S2814" t="s">
        <v>25</v>
      </c>
      <c r="T2814" s="4">
        <f t="shared" si="219"/>
        <v>457880.16</v>
      </c>
      <c r="U2814" s="4" t="str">
        <f t="shared" si="220"/>
        <v>Average</v>
      </c>
      <c r="V2814" s="4" t="str">
        <f t="shared" si="216"/>
        <v>Excellent</v>
      </c>
      <c r="W2814" s="4"/>
      <c r="X2814" s="4"/>
      <c r="AJ2814" s="4"/>
    </row>
    <row r="2815" spans="1:36">
      <c r="A2815" t="str">
        <f t="shared" si="217"/>
        <v>Vija482814</v>
      </c>
      <c r="B2815">
        <v>2814</v>
      </c>
      <c r="C2815">
        <v>17</v>
      </c>
      <c r="D2815">
        <v>12</v>
      </c>
      <c r="E2815">
        <v>2023</v>
      </c>
      <c r="F2815" s="1">
        <f t="shared" si="218"/>
        <v>45277</v>
      </c>
      <c r="G2815" s="1" t="s">
        <v>239</v>
      </c>
      <c r="H2815" s="2">
        <v>47291</v>
      </c>
      <c r="I2815" t="s">
        <v>49</v>
      </c>
      <c r="J2815">
        <v>6</v>
      </c>
      <c r="K2815">
        <v>34524.46</v>
      </c>
      <c r="L2815" t="s">
        <v>1002</v>
      </c>
      <c r="M2815">
        <v>48</v>
      </c>
      <c r="N2815" t="s">
        <v>61</v>
      </c>
      <c r="O2815" s="3" t="s">
        <v>55</v>
      </c>
      <c r="P2815" t="s">
        <v>64</v>
      </c>
      <c r="Q2815" t="s">
        <v>30</v>
      </c>
      <c r="R2815">
        <v>2</v>
      </c>
      <c r="S2815" t="s">
        <v>102</v>
      </c>
      <c r="T2815" s="4">
        <f t="shared" si="219"/>
        <v>207146.76</v>
      </c>
      <c r="U2815" s="4" t="str">
        <f t="shared" si="220"/>
        <v>Average</v>
      </c>
      <c r="V2815" s="4" t="str">
        <f t="shared" si="216"/>
        <v>Excellent</v>
      </c>
      <c r="W2815" s="4"/>
      <c r="X2815" s="4"/>
      <c r="AJ2815" s="4"/>
    </row>
    <row r="2816" spans="1:36">
      <c r="A2816" t="str">
        <f t="shared" si="217"/>
        <v>Kris362815</v>
      </c>
      <c r="B2816">
        <v>2815</v>
      </c>
      <c r="C2816">
        <v>18</v>
      </c>
      <c r="D2816">
        <v>12</v>
      </c>
      <c r="E2816">
        <v>2023</v>
      </c>
      <c r="F2816" s="1">
        <f t="shared" si="218"/>
        <v>45278</v>
      </c>
      <c r="G2816" s="1" t="s">
        <v>239</v>
      </c>
      <c r="H2816" s="2">
        <v>47292</v>
      </c>
      <c r="I2816" t="s">
        <v>26</v>
      </c>
      <c r="J2816">
        <v>9</v>
      </c>
      <c r="K2816">
        <v>59400.85</v>
      </c>
      <c r="L2816" t="s">
        <v>405</v>
      </c>
      <c r="M2816">
        <v>36</v>
      </c>
      <c r="N2816" t="s">
        <v>21</v>
      </c>
      <c r="O2816" s="3" t="s">
        <v>55</v>
      </c>
      <c r="P2816" t="s">
        <v>29</v>
      </c>
      <c r="Q2816" t="s">
        <v>56</v>
      </c>
      <c r="R2816">
        <v>2</v>
      </c>
      <c r="S2816" t="s">
        <v>34</v>
      </c>
      <c r="T2816" s="4">
        <f t="shared" si="219"/>
        <v>534607.65</v>
      </c>
      <c r="U2816" s="4" t="str">
        <f t="shared" si="220"/>
        <v>Average</v>
      </c>
      <c r="V2816" s="4" t="str">
        <f t="shared" si="216"/>
        <v>Excellent</v>
      </c>
      <c r="W2816" s="4"/>
      <c r="X2816" s="4"/>
      <c r="AJ2816" s="4"/>
    </row>
    <row r="2817" spans="1:36">
      <c r="A2817" t="str">
        <f t="shared" si="217"/>
        <v>Lata552816</v>
      </c>
      <c r="B2817">
        <v>2816</v>
      </c>
      <c r="C2817">
        <v>18</v>
      </c>
      <c r="D2817">
        <v>12</v>
      </c>
      <c r="E2817">
        <v>2023</v>
      </c>
      <c r="F2817" s="1">
        <f t="shared" si="218"/>
        <v>45278</v>
      </c>
      <c r="G2817" s="1" t="s">
        <v>239</v>
      </c>
      <c r="H2817" s="2">
        <v>47293</v>
      </c>
      <c r="I2817" t="s">
        <v>49</v>
      </c>
      <c r="J2817">
        <v>4</v>
      </c>
      <c r="K2817">
        <v>50836.23</v>
      </c>
      <c r="L2817" t="s">
        <v>800</v>
      </c>
      <c r="M2817">
        <v>55</v>
      </c>
      <c r="N2817" t="s">
        <v>61</v>
      </c>
      <c r="O2817" s="3" t="s">
        <v>55</v>
      </c>
      <c r="P2817" t="s">
        <v>33</v>
      </c>
      <c r="Q2817" t="s">
        <v>24</v>
      </c>
      <c r="R2817">
        <v>2</v>
      </c>
      <c r="S2817" t="s">
        <v>88</v>
      </c>
      <c r="T2817" s="4">
        <f t="shared" si="219"/>
        <v>203344.92</v>
      </c>
      <c r="U2817" s="4" t="str">
        <f t="shared" si="220"/>
        <v>Average</v>
      </c>
      <c r="V2817" s="4" t="str">
        <f t="shared" ref="V2817:V2880" si="221">IF(T2817&gt;200000,"Excellent",IF(T2817&gt;100000,"Good",IF(T2817&gt;50000,"Average","Low")))</f>
        <v>Excellent</v>
      </c>
      <c r="W2817" s="4"/>
      <c r="X2817" s="4"/>
      <c r="AJ2817" s="4"/>
    </row>
    <row r="2818" spans="1:36">
      <c r="A2818" t="str">
        <f t="shared" ref="A2818:A2881" si="222">LEFT(L2818,4)&amp;M2818&amp;B2818</f>
        <v>Pras292817</v>
      </c>
      <c r="B2818">
        <v>2817</v>
      </c>
      <c r="C2818">
        <v>18</v>
      </c>
      <c r="D2818">
        <v>12</v>
      </c>
      <c r="E2818">
        <v>2023</v>
      </c>
      <c r="F2818" s="1">
        <f t="shared" si="218"/>
        <v>45278</v>
      </c>
      <c r="G2818" s="1" t="s">
        <v>239</v>
      </c>
      <c r="H2818" s="2">
        <v>47294</v>
      </c>
      <c r="I2818" t="s">
        <v>38</v>
      </c>
      <c r="J2818">
        <v>2</v>
      </c>
      <c r="K2818">
        <v>57398.49</v>
      </c>
      <c r="L2818" t="s">
        <v>188</v>
      </c>
      <c r="M2818">
        <v>29</v>
      </c>
      <c r="N2818" t="s">
        <v>36</v>
      </c>
      <c r="O2818" s="3" t="s">
        <v>22</v>
      </c>
      <c r="P2818" t="s">
        <v>117</v>
      </c>
      <c r="Q2818" t="s">
        <v>24</v>
      </c>
      <c r="R2818">
        <v>5</v>
      </c>
      <c r="S2818" t="s">
        <v>42</v>
      </c>
      <c r="T2818" s="4">
        <f t="shared" si="219"/>
        <v>114796.98</v>
      </c>
      <c r="U2818" s="4" t="str">
        <f t="shared" si="220"/>
        <v>Good</v>
      </c>
      <c r="V2818" s="4" t="str">
        <f t="shared" si="221"/>
        <v>Good</v>
      </c>
      <c r="W2818" s="4"/>
      <c r="X2818" s="4"/>
      <c r="AJ2818" s="4"/>
    </row>
    <row r="2819" spans="1:36">
      <c r="A2819" t="str">
        <f t="shared" si="222"/>
        <v>Raje312818</v>
      </c>
      <c r="B2819">
        <v>2818</v>
      </c>
      <c r="C2819">
        <v>19</v>
      </c>
      <c r="D2819">
        <v>12</v>
      </c>
      <c r="E2819">
        <v>2023</v>
      </c>
      <c r="F2819" s="1">
        <f t="shared" ref="F2819:F2882" si="223">DATE(E2819,D2819,C2819)</f>
        <v>45279</v>
      </c>
      <c r="G2819" s="1" t="s">
        <v>239</v>
      </c>
      <c r="H2819" s="2">
        <v>47295</v>
      </c>
      <c r="I2819" t="s">
        <v>49</v>
      </c>
      <c r="J2819">
        <v>2</v>
      </c>
      <c r="K2819">
        <v>58912.38</v>
      </c>
      <c r="L2819" t="s">
        <v>1034</v>
      </c>
      <c r="M2819">
        <v>31</v>
      </c>
      <c r="N2819" t="s">
        <v>21</v>
      </c>
      <c r="O2819" s="3" t="s">
        <v>55</v>
      </c>
      <c r="P2819" t="s">
        <v>29</v>
      </c>
      <c r="Q2819" t="s">
        <v>41</v>
      </c>
      <c r="R2819">
        <v>2</v>
      </c>
      <c r="S2819" t="s">
        <v>88</v>
      </c>
      <c r="T2819" s="4">
        <f t="shared" ref="T2819:T2882" si="224">J2819*K2819</f>
        <v>117824.76</v>
      </c>
      <c r="U2819" s="4" t="str">
        <f t="shared" ref="U2819:U2882" si="225">IF(R2819&gt;=4,"Good","Average")</f>
        <v>Average</v>
      </c>
      <c r="V2819" s="4" t="str">
        <f t="shared" si="221"/>
        <v>Good</v>
      </c>
      <c r="W2819" s="4"/>
      <c r="X2819" s="4"/>
      <c r="AJ2819" s="4"/>
    </row>
    <row r="2820" spans="1:36">
      <c r="A2820" t="str">
        <f t="shared" si="222"/>
        <v>Vino292819</v>
      </c>
      <c r="B2820">
        <v>2819</v>
      </c>
      <c r="C2820">
        <v>19</v>
      </c>
      <c r="D2820">
        <v>12</v>
      </c>
      <c r="E2820">
        <v>2023</v>
      </c>
      <c r="F2820" s="1">
        <f t="shared" si="223"/>
        <v>45279</v>
      </c>
      <c r="G2820" s="1" t="s">
        <v>239</v>
      </c>
      <c r="H2820" s="2">
        <v>47296</v>
      </c>
      <c r="I2820" t="s">
        <v>26</v>
      </c>
      <c r="J2820">
        <v>5</v>
      </c>
      <c r="K2820">
        <v>15083.72</v>
      </c>
      <c r="L2820" t="s">
        <v>539</v>
      </c>
      <c r="M2820">
        <v>29</v>
      </c>
      <c r="N2820" t="s">
        <v>36</v>
      </c>
      <c r="O2820" s="3" t="s">
        <v>28</v>
      </c>
      <c r="P2820" t="s">
        <v>51</v>
      </c>
      <c r="Q2820" t="s">
        <v>24</v>
      </c>
      <c r="R2820">
        <v>3</v>
      </c>
      <c r="S2820" t="s">
        <v>67</v>
      </c>
      <c r="T2820" s="4">
        <f t="shared" si="224"/>
        <v>75418.599999999991</v>
      </c>
      <c r="U2820" s="4" t="str">
        <f t="shared" si="225"/>
        <v>Average</v>
      </c>
      <c r="V2820" s="4" t="str">
        <f t="shared" si="221"/>
        <v>Average</v>
      </c>
      <c r="W2820" s="4"/>
      <c r="X2820" s="4"/>
      <c r="AJ2820" s="4"/>
    </row>
    <row r="2821" spans="1:36">
      <c r="A2821" t="str">
        <f t="shared" si="222"/>
        <v>Umes322820</v>
      </c>
      <c r="B2821">
        <v>2820</v>
      </c>
      <c r="C2821">
        <v>19</v>
      </c>
      <c r="D2821">
        <v>12</v>
      </c>
      <c r="E2821">
        <v>2023</v>
      </c>
      <c r="F2821" s="1">
        <f t="shared" si="223"/>
        <v>45279</v>
      </c>
      <c r="G2821" s="1" t="s">
        <v>239</v>
      </c>
      <c r="H2821" s="2">
        <v>47297</v>
      </c>
      <c r="I2821" t="s">
        <v>38</v>
      </c>
      <c r="J2821">
        <v>9</v>
      </c>
      <c r="K2821">
        <v>47378.37</v>
      </c>
      <c r="L2821" t="s">
        <v>612</v>
      </c>
      <c r="M2821">
        <v>32</v>
      </c>
      <c r="N2821" t="s">
        <v>21</v>
      </c>
      <c r="O2821" s="3" t="s">
        <v>22</v>
      </c>
      <c r="P2821" t="s">
        <v>33</v>
      </c>
      <c r="Q2821" t="s">
        <v>24</v>
      </c>
      <c r="R2821">
        <v>4</v>
      </c>
      <c r="S2821" t="s">
        <v>42</v>
      </c>
      <c r="T2821" s="4">
        <f t="shared" si="224"/>
        <v>426405.33</v>
      </c>
      <c r="U2821" s="4" t="str">
        <f t="shared" si="225"/>
        <v>Good</v>
      </c>
      <c r="V2821" s="4" t="str">
        <f t="shared" si="221"/>
        <v>Excellent</v>
      </c>
      <c r="W2821" s="4"/>
      <c r="X2821" s="4"/>
      <c r="AJ2821" s="4"/>
    </row>
    <row r="2822" spans="1:36">
      <c r="A2822" t="str">
        <f t="shared" si="222"/>
        <v>Radh362821</v>
      </c>
      <c r="B2822">
        <v>2821</v>
      </c>
      <c r="C2822">
        <v>19</v>
      </c>
      <c r="D2822">
        <v>12</v>
      </c>
      <c r="E2822">
        <v>2023</v>
      </c>
      <c r="F2822" s="1">
        <f t="shared" si="223"/>
        <v>45279</v>
      </c>
      <c r="G2822" s="1" t="s">
        <v>239</v>
      </c>
      <c r="H2822" s="2">
        <v>47298</v>
      </c>
      <c r="I2822" t="s">
        <v>43</v>
      </c>
      <c r="J2822">
        <v>3</v>
      </c>
      <c r="K2822">
        <v>10407.129999999999</v>
      </c>
      <c r="L2822" t="s">
        <v>58</v>
      </c>
      <c r="M2822">
        <v>36</v>
      </c>
      <c r="N2822" t="s">
        <v>21</v>
      </c>
      <c r="O2822" s="3" t="s">
        <v>22</v>
      </c>
      <c r="P2822" t="s">
        <v>51</v>
      </c>
      <c r="Q2822" t="s">
        <v>24</v>
      </c>
      <c r="R2822">
        <v>5</v>
      </c>
      <c r="S2822" t="s">
        <v>46</v>
      </c>
      <c r="T2822" s="4">
        <f t="shared" si="224"/>
        <v>31221.39</v>
      </c>
      <c r="U2822" s="4" t="str">
        <f t="shared" si="225"/>
        <v>Good</v>
      </c>
      <c r="V2822" s="4" t="str">
        <f t="shared" si="221"/>
        <v>Low</v>
      </c>
      <c r="W2822" s="4"/>
      <c r="X2822" s="4"/>
      <c r="AJ2822" s="4"/>
    </row>
    <row r="2823" spans="1:36">
      <c r="A2823" t="str">
        <f t="shared" si="222"/>
        <v>Hari452822</v>
      </c>
      <c r="B2823">
        <v>2822</v>
      </c>
      <c r="C2823">
        <v>20</v>
      </c>
      <c r="D2823">
        <v>12</v>
      </c>
      <c r="E2823">
        <v>2023</v>
      </c>
      <c r="F2823" s="1">
        <f t="shared" si="223"/>
        <v>45280</v>
      </c>
      <c r="G2823" s="1" t="s">
        <v>239</v>
      </c>
      <c r="H2823" s="2">
        <v>47299</v>
      </c>
      <c r="I2823" t="s">
        <v>43</v>
      </c>
      <c r="J2823">
        <v>8</v>
      </c>
      <c r="K2823">
        <v>12607.37</v>
      </c>
      <c r="L2823" t="s">
        <v>855</v>
      </c>
      <c r="M2823">
        <v>45</v>
      </c>
      <c r="N2823" t="s">
        <v>21</v>
      </c>
      <c r="O2823" s="3" t="s">
        <v>22</v>
      </c>
      <c r="P2823" t="s">
        <v>90</v>
      </c>
      <c r="Q2823" t="s">
        <v>41</v>
      </c>
      <c r="R2823">
        <v>4</v>
      </c>
      <c r="S2823" t="s">
        <v>46</v>
      </c>
      <c r="T2823" s="4">
        <f t="shared" si="224"/>
        <v>100858.96</v>
      </c>
      <c r="U2823" s="4" t="str">
        <f t="shared" si="225"/>
        <v>Good</v>
      </c>
      <c r="V2823" s="4" t="str">
        <f t="shared" si="221"/>
        <v>Good</v>
      </c>
      <c r="W2823" s="4"/>
      <c r="X2823" s="4"/>
      <c r="AJ2823" s="4"/>
    </row>
    <row r="2824" spans="1:36">
      <c r="A2824" t="str">
        <f t="shared" si="222"/>
        <v>Mano572823</v>
      </c>
      <c r="B2824">
        <v>2823</v>
      </c>
      <c r="C2824">
        <v>20</v>
      </c>
      <c r="D2824">
        <v>12</v>
      </c>
      <c r="E2824">
        <v>2023</v>
      </c>
      <c r="F2824" s="1">
        <f t="shared" si="223"/>
        <v>45280</v>
      </c>
      <c r="G2824" s="1" t="s">
        <v>239</v>
      </c>
      <c r="H2824" s="2">
        <v>47300</v>
      </c>
      <c r="I2824" t="s">
        <v>26</v>
      </c>
      <c r="J2824">
        <v>4</v>
      </c>
      <c r="K2824">
        <v>64238.8</v>
      </c>
      <c r="L2824" t="s">
        <v>919</v>
      </c>
      <c r="M2824">
        <v>57</v>
      </c>
      <c r="N2824" t="s">
        <v>61</v>
      </c>
      <c r="O2824" s="3" t="s">
        <v>22</v>
      </c>
      <c r="P2824" t="s">
        <v>110</v>
      </c>
      <c r="Q2824" t="s">
        <v>30</v>
      </c>
      <c r="R2824">
        <v>4</v>
      </c>
      <c r="S2824" t="s">
        <v>67</v>
      </c>
      <c r="T2824" s="4">
        <f t="shared" si="224"/>
        <v>256955.2</v>
      </c>
      <c r="U2824" s="4" t="str">
        <f t="shared" si="225"/>
        <v>Good</v>
      </c>
      <c r="V2824" s="4" t="str">
        <f t="shared" si="221"/>
        <v>Excellent</v>
      </c>
      <c r="W2824" s="4"/>
      <c r="X2824" s="4"/>
      <c r="AJ2824" s="4"/>
    </row>
    <row r="2825" spans="1:36">
      <c r="A2825" t="str">
        <f t="shared" si="222"/>
        <v>Hari582824</v>
      </c>
      <c r="B2825">
        <v>2824</v>
      </c>
      <c r="C2825">
        <v>20</v>
      </c>
      <c r="D2825">
        <v>12</v>
      </c>
      <c r="E2825">
        <v>2023</v>
      </c>
      <c r="F2825" s="1">
        <f t="shared" si="223"/>
        <v>45280</v>
      </c>
      <c r="G2825" s="1" t="s">
        <v>239</v>
      </c>
      <c r="H2825" s="2">
        <v>47301</v>
      </c>
      <c r="I2825" t="s">
        <v>49</v>
      </c>
      <c r="J2825">
        <v>6</v>
      </c>
      <c r="K2825">
        <v>41653.82</v>
      </c>
      <c r="L2825" t="s">
        <v>559</v>
      </c>
      <c r="M2825">
        <v>58</v>
      </c>
      <c r="N2825" t="s">
        <v>61</v>
      </c>
      <c r="O2825" s="3" t="s">
        <v>22</v>
      </c>
      <c r="P2825" t="s">
        <v>29</v>
      </c>
      <c r="Q2825" t="s">
        <v>41</v>
      </c>
      <c r="R2825">
        <v>5</v>
      </c>
      <c r="S2825" t="s">
        <v>88</v>
      </c>
      <c r="T2825" s="4">
        <f t="shared" si="224"/>
        <v>249922.91999999998</v>
      </c>
      <c r="U2825" s="4" t="str">
        <f t="shared" si="225"/>
        <v>Good</v>
      </c>
      <c r="V2825" s="4" t="str">
        <f t="shared" si="221"/>
        <v>Excellent</v>
      </c>
      <c r="W2825" s="4"/>
      <c r="X2825" s="4"/>
      <c r="AJ2825" s="4"/>
    </row>
    <row r="2826" spans="1:36">
      <c r="A2826" t="str">
        <f t="shared" si="222"/>
        <v>Bhav222825</v>
      </c>
      <c r="B2826">
        <v>2825</v>
      </c>
      <c r="C2826">
        <v>21</v>
      </c>
      <c r="D2826">
        <v>12</v>
      </c>
      <c r="E2826">
        <v>2023</v>
      </c>
      <c r="F2826" s="1">
        <f t="shared" si="223"/>
        <v>45281</v>
      </c>
      <c r="G2826" s="1" t="s">
        <v>239</v>
      </c>
      <c r="H2826" s="2">
        <v>47302</v>
      </c>
      <c r="I2826" t="s">
        <v>19</v>
      </c>
      <c r="J2826">
        <v>6</v>
      </c>
      <c r="K2826">
        <v>54154.12</v>
      </c>
      <c r="L2826" t="s">
        <v>251</v>
      </c>
      <c r="M2826">
        <v>22</v>
      </c>
      <c r="N2826" t="s">
        <v>36</v>
      </c>
      <c r="O2826" s="3" t="s">
        <v>22</v>
      </c>
      <c r="P2826" t="s">
        <v>70</v>
      </c>
      <c r="Q2826" t="s">
        <v>56</v>
      </c>
      <c r="R2826">
        <v>5</v>
      </c>
      <c r="S2826" t="s">
        <v>84</v>
      </c>
      <c r="T2826" s="4">
        <f t="shared" si="224"/>
        <v>324924.72000000003</v>
      </c>
      <c r="U2826" s="4" t="str">
        <f t="shared" si="225"/>
        <v>Good</v>
      </c>
      <c r="V2826" s="4" t="str">
        <f t="shared" si="221"/>
        <v>Excellent</v>
      </c>
      <c r="W2826" s="4"/>
      <c r="X2826" s="4"/>
      <c r="AJ2826" s="4"/>
    </row>
    <row r="2827" spans="1:36">
      <c r="A2827" t="str">
        <f t="shared" si="222"/>
        <v>Ravi222826</v>
      </c>
      <c r="B2827">
        <v>2826</v>
      </c>
      <c r="C2827">
        <v>21</v>
      </c>
      <c r="D2827">
        <v>12</v>
      </c>
      <c r="E2827">
        <v>2023</v>
      </c>
      <c r="F2827" s="1">
        <f t="shared" si="223"/>
        <v>45281</v>
      </c>
      <c r="G2827" s="1" t="s">
        <v>239</v>
      </c>
      <c r="H2827" s="2">
        <v>47303</v>
      </c>
      <c r="I2827" t="s">
        <v>26</v>
      </c>
      <c r="J2827">
        <v>3</v>
      </c>
      <c r="K2827">
        <v>60310.06</v>
      </c>
      <c r="L2827" t="s">
        <v>678</v>
      </c>
      <c r="M2827">
        <v>22</v>
      </c>
      <c r="N2827" t="s">
        <v>36</v>
      </c>
      <c r="O2827" s="3" t="s">
        <v>55</v>
      </c>
      <c r="P2827" t="s">
        <v>117</v>
      </c>
      <c r="Q2827" t="s">
        <v>24</v>
      </c>
      <c r="R2827">
        <v>2</v>
      </c>
      <c r="S2827" t="s">
        <v>67</v>
      </c>
      <c r="T2827" s="4">
        <f t="shared" si="224"/>
        <v>180930.18</v>
      </c>
      <c r="U2827" s="4" t="str">
        <f t="shared" si="225"/>
        <v>Average</v>
      </c>
      <c r="V2827" s="4" t="str">
        <f t="shared" si="221"/>
        <v>Good</v>
      </c>
      <c r="W2827" s="4"/>
      <c r="X2827" s="4"/>
      <c r="AJ2827" s="4"/>
    </row>
    <row r="2828" spans="1:36">
      <c r="A2828" t="str">
        <f t="shared" si="222"/>
        <v>Anja232827</v>
      </c>
      <c r="B2828">
        <v>2827</v>
      </c>
      <c r="C2828">
        <v>21</v>
      </c>
      <c r="D2828">
        <v>12</v>
      </c>
      <c r="E2828">
        <v>2023</v>
      </c>
      <c r="F2828" s="1">
        <f t="shared" si="223"/>
        <v>45281</v>
      </c>
      <c r="G2828" s="1" t="s">
        <v>239</v>
      </c>
      <c r="H2828" s="2">
        <v>47304</v>
      </c>
      <c r="I2828" t="s">
        <v>38</v>
      </c>
      <c r="J2828">
        <v>5</v>
      </c>
      <c r="K2828">
        <v>66975.210000000006</v>
      </c>
      <c r="L2828" t="s">
        <v>850</v>
      </c>
      <c r="M2828">
        <v>23</v>
      </c>
      <c r="N2828" t="s">
        <v>36</v>
      </c>
      <c r="O2828" s="3" t="s">
        <v>28</v>
      </c>
      <c r="P2828" t="s">
        <v>64</v>
      </c>
      <c r="Q2828" t="s">
        <v>24</v>
      </c>
      <c r="R2828">
        <v>3</v>
      </c>
      <c r="S2828" t="s">
        <v>42</v>
      </c>
      <c r="T2828" s="4">
        <f t="shared" si="224"/>
        <v>334876.05000000005</v>
      </c>
      <c r="U2828" s="4" t="str">
        <f t="shared" si="225"/>
        <v>Average</v>
      </c>
      <c r="V2828" s="4" t="str">
        <f t="shared" si="221"/>
        <v>Excellent</v>
      </c>
      <c r="W2828" s="4"/>
      <c r="X2828" s="4"/>
      <c r="AJ2828" s="4"/>
    </row>
    <row r="2829" spans="1:36">
      <c r="A2829" t="str">
        <f t="shared" si="222"/>
        <v>Hari402828</v>
      </c>
      <c r="B2829">
        <v>2828</v>
      </c>
      <c r="C2829">
        <v>22</v>
      </c>
      <c r="D2829">
        <v>12</v>
      </c>
      <c r="E2829">
        <v>2023</v>
      </c>
      <c r="F2829" s="1">
        <f t="shared" si="223"/>
        <v>45282</v>
      </c>
      <c r="G2829" s="1" t="s">
        <v>239</v>
      </c>
      <c r="H2829" s="2">
        <v>47305</v>
      </c>
      <c r="I2829" t="s">
        <v>38</v>
      </c>
      <c r="J2829">
        <v>3</v>
      </c>
      <c r="K2829">
        <v>62161.17</v>
      </c>
      <c r="L2829" t="s">
        <v>399</v>
      </c>
      <c r="M2829">
        <v>40</v>
      </c>
      <c r="N2829" t="s">
        <v>21</v>
      </c>
      <c r="O2829" s="3" t="s">
        <v>22</v>
      </c>
      <c r="P2829" t="s">
        <v>66</v>
      </c>
      <c r="Q2829" t="s">
        <v>30</v>
      </c>
      <c r="R2829">
        <v>5</v>
      </c>
      <c r="S2829" t="s">
        <v>48</v>
      </c>
      <c r="T2829" s="4">
        <f t="shared" si="224"/>
        <v>186483.51</v>
      </c>
      <c r="U2829" s="4" t="str">
        <f t="shared" si="225"/>
        <v>Good</v>
      </c>
      <c r="V2829" s="4" t="str">
        <f t="shared" si="221"/>
        <v>Good</v>
      </c>
      <c r="W2829" s="4"/>
      <c r="X2829" s="4"/>
      <c r="AJ2829" s="4"/>
    </row>
    <row r="2830" spans="1:36">
      <c r="A2830" t="str">
        <f t="shared" si="222"/>
        <v>Meen202829</v>
      </c>
      <c r="B2830">
        <v>2829</v>
      </c>
      <c r="C2830">
        <v>22</v>
      </c>
      <c r="D2830">
        <v>12</v>
      </c>
      <c r="E2830">
        <v>2023</v>
      </c>
      <c r="F2830" s="1">
        <f t="shared" si="223"/>
        <v>45282</v>
      </c>
      <c r="G2830" s="1" t="s">
        <v>239</v>
      </c>
      <c r="H2830" s="2">
        <v>47306</v>
      </c>
      <c r="I2830" t="s">
        <v>43</v>
      </c>
      <c r="J2830">
        <v>1</v>
      </c>
      <c r="K2830">
        <v>38998.69</v>
      </c>
      <c r="L2830" t="s">
        <v>670</v>
      </c>
      <c r="M2830">
        <v>20</v>
      </c>
      <c r="N2830" t="s">
        <v>36</v>
      </c>
      <c r="O2830" s="3" t="s">
        <v>22</v>
      </c>
      <c r="P2830" t="s">
        <v>77</v>
      </c>
      <c r="Q2830" t="s">
        <v>24</v>
      </c>
      <c r="R2830">
        <v>4</v>
      </c>
      <c r="S2830" t="s">
        <v>57</v>
      </c>
      <c r="T2830" s="4">
        <f t="shared" si="224"/>
        <v>38998.69</v>
      </c>
      <c r="U2830" s="4" t="str">
        <f t="shared" si="225"/>
        <v>Good</v>
      </c>
      <c r="V2830" s="4" t="str">
        <f t="shared" si="221"/>
        <v>Low</v>
      </c>
      <c r="W2830" s="4"/>
      <c r="X2830" s="4"/>
      <c r="AJ2830" s="4"/>
    </row>
    <row r="2831" spans="1:36">
      <c r="A2831" t="str">
        <f t="shared" si="222"/>
        <v>Anit542830</v>
      </c>
      <c r="B2831">
        <v>2830</v>
      </c>
      <c r="C2831">
        <v>22</v>
      </c>
      <c r="D2831">
        <v>12</v>
      </c>
      <c r="E2831">
        <v>2023</v>
      </c>
      <c r="F2831" s="1">
        <f t="shared" si="223"/>
        <v>45282</v>
      </c>
      <c r="G2831" s="1" t="s">
        <v>239</v>
      </c>
      <c r="H2831" s="2">
        <v>47307</v>
      </c>
      <c r="I2831" t="s">
        <v>38</v>
      </c>
      <c r="J2831">
        <v>7</v>
      </c>
      <c r="K2831">
        <v>30158.22</v>
      </c>
      <c r="L2831" t="s">
        <v>869</v>
      </c>
      <c r="M2831">
        <v>54</v>
      </c>
      <c r="N2831" t="s">
        <v>61</v>
      </c>
      <c r="O2831" s="3" t="s">
        <v>22</v>
      </c>
      <c r="P2831" t="s">
        <v>70</v>
      </c>
      <c r="Q2831" t="s">
        <v>30</v>
      </c>
      <c r="R2831">
        <v>5</v>
      </c>
      <c r="S2831" t="s">
        <v>99</v>
      </c>
      <c r="T2831" s="4">
        <f t="shared" si="224"/>
        <v>211107.54</v>
      </c>
      <c r="U2831" s="4" t="str">
        <f t="shared" si="225"/>
        <v>Good</v>
      </c>
      <c r="V2831" s="4" t="str">
        <f t="shared" si="221"/>
        <v>Excellent</v>
      </c>
      <c r="W2831" s="4"/>
      <c r="X2831" s="4"/>
      <c r="AJ2831" s="4"/>
    </row>
    <row r="2832" spans="1:36">
      <c r="A2832" t="str">
        <f t="shared" si="222"/>
        <v>Hari502831</v>
      </c>
      <c r="B2832">
        <v>2831</v>
      </c>
      <c r="C2832">
        <v>22</v>
      </c>
      <c r="D2832">
        <v>12</v>
      </c>
      <c r="E2832">
        <v>2023</v>
      </c>
      <c r="F2832" s="1">
        <f t="shared" si="223"/>
        <v>45282</v>
      </c>
      <c r="G2832" s="1" t="s">
        <v>239</v>
      </c>
      <c r="H2832" s="2">
        <v>47308</v>
      </c>
      <c r="I2832" t="s">
        <v>26</v>
      </c>
      <c r="J2832">
        <v>4</v>
      </c>
      <c r="K2832">
        <v>19269.59</v>
      </c>
      <c r="L2832" t="s">
        <v>73</v>
      </c>
      <c r="M2832">
        <v>50</v>
      </c>
      <c r="N2832" t="s">
        <v>61</v>
      </c>
      <c r="O2832" s="3" t="s">
        <v>28</v>
      </c>
      <c r="P2832" t="s">
        <v>29</v>
      </c>
      <c r="Q2832" t="s">
        <v>24</v>
      </c>
      <c r="R2832">
        <v>3</v>
      </c>
      <c r="S2832" t="s">
        <v>31</v>
      </c>
      <c r="T2832" s="4">
        <f t="shared" si="224"/>
        <v>77078.36</v>
      </c>
      <c r="U2832" s="4" t="str">
        <f t="shared" si="225"/>
        <v>Average</v>
      </c>
      <c r="V2832" s="4" t="str">
        <f t="shared" si="221"/>
        <v>Average</v>
      </c>
      <c r="W2832" s="4"/>
      <c r="X2832" s="4"/>
      <c r="AJ2832" s="4"/>
    </row>
    <row r="2833" spans="1:36">
      <c r="A2833" t="str">
        <f t="shared" si="222"/>
        <v>Kris382832</v>
      </c>
      <c r="B2833">
        <v>2832</v>
      </c>
      <c r="C2833">
        <v>23</v>
      </c>
      <c r="D2833">
        <v>12</v>
      </c>
      <c r="E2833">
        <v>2023</v>
      </c>
      <c r="F2833" s="1">
        <f t="shared" si="223"/>
        <v>45283</v>
      </c>
      <c r="G2833" s="1" t="s">
        <v>239</v>
      </c>
      <c r="H2833" s="2">
        <v>47309</v>
      </c>
      <c r="I2833" t="s">
        <v>38</v>
      </c>
      <c r="J2833">
        <v>7</v>
      </c>
      <c r="K2833">
        <v>34019.29</v>
      </c>
      <c r="L2833" t="s">
        <v>405</v>
      </c>
      <c r="M2833">
        <v>38</v>
      </c>
      <c r="N2833" t="s">
        <v>21</v>
      </c>
      <c r="O2833" s="3" t="s">
        <v>55</v>
      </c>
      <c r="P2833" t="s">
        <v>132</v>
      </c>
      <c r="Q2833" t="s">
        <v>24</v>
      </c>
      <c r="R2833">
        <v>2</v>
      </c>
      <c r="S2833" t="s">
        <v>48</v>
      </c>
      <c r="T2833" s="4">
        <f t="shared" si="224"/>
        <v>238135.03</v>
      </c>
      <c r="U2833" s="4" t="str">
        <f t="shared" si="225"/>
        <v>Average</v>
      </c>
      <c r="V2833" s="4" t="str">
        <f t="shared" si="221"/>
        <v>Excellent</v>
      </c>
      <c r="W2833" s="4"/>
      <c r="X2833" s="4"/>
      <c r="AJ2833" s="4"/>
    </row>
    <row r="2834" spans="1:36">
      <c r="A2834" t="str">
        <f t="shared" si="222"/>
        <v>Anan372833</v>
      </c>
      <c r="B2834">
        <v>2833</v>
      </c>
      <c r="C2834">
        <v>23</v>
      </c>
      <c r="D2834">
        <v>12</v>
      </c>
      <c r="E2834">
        <v>2023</v>
      </c>
      <c r="F2834" s="1">
        <f t="shared" si="223"/>
        <v>45283</v>
      </c>
      <c r="G2834" s="1" t="s">
        <v>239</v>
      </c>
      <c r="H2834" s="2">
        <v>47310</v>
      </c>
      <c r="I2834" t="s">
        <v>26</v>
      </c>
      <c r="J2834">
        <v>3</v>
      </c>
      <c r="K2834">
        <v>31989.61</v>
      </c>
      <c r="L2834" t="s">
        <v>379</v>
      </c>
      <c r="M2834">
        <v>37</v>
      </c>
      <c r="N2834" t="s">
        <v>21</v>
      </c>
      <c r="O2834" s="3" t="s">
        <v>22</v>
      </c>
      <c r="P2834" t="s">
        <v>114</v>
      </c>
      <c r="Q2834" t="s">
        <v>41</v>
      </c>
      <c r="R2834">
        <v>4</v>
      </c>
      <c r="S2834" t="s">
        <v>31</v>
      </c>
      <c r="T2834" s="4">
        <f t="shared" si="224"/>
        <v>95968.83</v>
      </c>
      <c r="U2834" s="4" t="str">
        <f t="shared" si="225"/>
        <v>Good</v>
      </c>
      <c r="V2834" s="4" t="str">
        <f t="shared" si="221"/>
        <v>Average</v>
      </c>
      <c r="W2834" s="4"/>
      <c r="X2834" s="4"/>
      <c r="AJ2834" s="4"/>
    </row>
    <row r="2835" spans="1:36">
      <c r="A2835" t="str">
        <f t="shared" si="222"/>
        <v>Mala182834</v>
      </c>
      <c r="B2835">
        <v>2834</v>
      </c>
      <c r="C2835">
        <v>23</v>
      </c>
      <c r="D2835">
        <v>12</v>
      </c>
      <c r="E2835">
        <v>2023</v>
      </c>
      <c r="F2835" s="1">
        <f t="shared" si="223"/>
        <v>45283</v>
      </c>
      <c r="G2835" s="1" t="s">
        <v>239</v>
      </c>
      <c r="H2835" s="2">
        <v>47311</v>
      </c>
      <c r="I2835" t="s">
        <v>19</v>
      </c>
      <c r="J2835">
        <v>5</v>
      </c>
      <c r="K2835">
        <v>43574.49</v>
      </c>
      <c r="L2835" t="s">
        <v>672</v>
      </c>
      <c r="M2835">
        <v>18</v>
      </c>
      <c r="N2835" t="s">
        <v>36</v>
      </c>
      <c r="O2835" s="3" t="s">
        <v>55</v>
      </c>
      <c r="P2835" t="s">
        <v>64</v>
      </c>
      <c r="Q2835" t="s">
        <v>41</v>
      </c>
      <c r="R2835">
        <v>2</v>
      </c>
      <c r="S2835" t="s">
        <v>37</v>
      </c>
      <c r="T2835" s="4">
        <f t="shared" si="224"/>
        <v>217872.44999999998</v>
      </c>
      <c r="U2835" s="4" t="str">
        <f t="shared" si="225"/>
        <v>Average</v>
      </c>
      <c r="V2835" s="4" t="str">
        <f t="shared" si="221"/>
        <v>Excellent</v>
      </c>
      <c r="W2835" s="4"/>
      <c r="X2835" s="4"/>
      <c r="AJ2835" s="4"/>
    </row>
    <row r="2836" spans="1:36">
      <c r="A2836" t="str">
        <f t="shared" si="222"/>
        <v>Priy562835</v>
      </c>
      <c r="B2836">
        <v>2835</v>
      </c>
      <c r="C2836">
        <v>23</v>
      </c>
      <c r="D2836">
        <v>12</v>
      </c>
      <c r="E2836">
        <v>2023</v>
      </c>
      <c r="F2836" s="1">
        <f t="shared" si="223"/>
        <v>45283</v>
      </c>
      <c r="G2836" s="1" t="s">
        <v>239</v>
      </c>
      <c r="H2836" s="2">
        <v>47312</v>
      </c>
      <c r="I2836" t="s">
        <v>43</v>
      </c>
      <c r="J2836">
        <v>5</v>
      </c>
      <c r="K2836">
        <v>49930.559999999998</v>
      </c>
      <c r="L2836" t="s">
        <v>261</v>
      </c>
      <c r="M2836">
        <v>56</v>
      </c>
      <c r="N2836" t="s">
        <v>61</v>
      </c>
      <c r="O2836" s="3" t="s">
        <v>55</v>
      </c>
      <c r="P2836" t="s">
        <v>29</v>
      </c>
      <c r="Q2836" t="s">
        <v>56</v>
      </c>
      <c r="R2836">
        <v>2</v>
      </c>
      <c r="S2836" t="s">
        <v>95</v>
      </c>
      <c r="T2836" s="4">
        <f t="shared" si="224"/>
        <v>249652.8</v>
      </c>
      <c r="U2836" s="4" t="str">
        <f t="shared" si="225"/>
        <v>Average</v>
      </c>
      <c r="V2836" s="4" t="str">
        <f t="shared" si="221"/>
        <v>Excellent</v>
      </c>
      <c r="W2836" s="4"/>
      <c r="X2836" s="4"/>
      <c r="AJ2836" s="4"/>
    </row>
    <row r="2837" spans="1:36">
      <c r="A2837" t="str">
        <f t="shared" si="222"/>
        <v>Rame342836</v>
      </c>
      <c r="B2837">
        <v>2836</v>
      </c>
      <c r="C2837">
        <v>24</v>
      </c>
      <c r="D2837">
        <v>12</v>
      </c>
      <c r="E2837">
        <v>2023</v>
      </c>
      <c r="F2837" s="1">
        <f t="shared" si="223"/>
        <v>45284</v>
      </c>
      <c r="G2837" s="1" t="s">
        <v>239</v>
      </c>
      <c r="H2837" s="2">
        <v>47313</v>
      </c>
      <c r="I2837" t="s">
        <v>38</v>
      </c>
      <c r="J2837">
        <v>2</v>
      </c>
      <c r="K2837">
        <v>68699.53</v>
      </c>
      <c r="L2837" t="s">
        <v>343</v>
      </c>
      <c r="M2837">
        <v>34</v>
      </c>
      <c r="N2837" t="s">
        <v>21</v>
      </c>
      <c r="O2837" s="3" t="s">
        <v>28</v>
      </c>
      <c r="P2837" t="s">
        <v>40</v>
      </c>
      <c r="Q2837" t="s">
        <v>30</v>
      </c>
      <c r="R2837">
        <v>3</v>
      </c>
      <c r="S2837" t="s">
        <v>99</v>
      </c>
      <c r="T2837" s="4">
        <f t="shared" si="224"/>
        <v>137399.06</v>
      </c>
      <c r="U2837" s="4" t="str">
        <f t="shared" si="225"/>
        <v>Average</v>
      </c>
      <c r="V2837" s="4" t="str">
        <f t="shared" si="221"/>
        <v>Good</v>
      </c>
      <c r="W2837" s="4"/>
      <c r="X2837" s="4"/>
      <c r="AJ2837" s="4"/>
    </row>
    <row r="2838" spans="1:36">
      <c r="A2838" t="str">
        <f t="shared" si="222"/>
        <v>Jyot462837</v>
      </c>
      <c r="B2838">
        <v>2837</v>
      </c>
      <c r="C2838">
        <v>24</v>
      </c>
      <c r="D2838">
        <v>12</v>
      </c>
      <c r="E2838">
        <v>2023</v>
      </c>
      <c r="F2838" s="1">
        <f t="shared" si="223"/>
        <v>45284</v>
      </c>
      <c r="G2838" s="1" t="s">
        <v>239</v>
      </c>
      <c r="H2838" s="2">
        <v>47314</v>
      </c>
      <c r="I2838" t="s">
        <v>26</v>
      </c>
      <c r="J2838">
        <v>2</v>
      </c>
      <c r="K2838">
        <v>53703.17</v>
      </c>
      <c r="L2838" t="s">
        <v>124</v>
      </c>
      <c r="M2838">
        <v>46</v>
      </c>
      <c r="N2838" t="s">
        <v>61</v>
      </c>
      <c r="O2838" s="3" t="s">
        <v>22</v>
      </c>
      <c r="P2838" t="s">
        <v>132</v>
      </c>
      <c r="Q2838" t="s">
        <v>56</v>
      </c>
      <c r="R2838">
        <v>5</v>
      </c>
      <c r="S2838" t="s">
        <v>31</v>
      </c>
      <c r="T2838" s="4">
        <f t="shared" si="224"/>
        <v>107406.34</v>
      </c>
      <c r="U2838" s="4" t="str">
        <f t="shared" si="225"/>
        <v>Good</v>
      </c>
      <c r="V2838" s="4" t="str">
        <f t="shared" si="221"/>
        <v>Good</v>
      </c>
      <c r="W2838" s="4"/>
      <c r="X2838" s="4"/>
      <c r="AJ2838" s="4"/>
    </row>
    <row r="2839" spans="1:36">
      <c r="A2839" t="str">
        <f t="shared" si="222"/>
        <v>Reen252838</v>
      </c>
      <c r="B2839">
        <v>2838</v>
      </c>
      <c r="C2839">
        <v>24</v>
      </c>
      <c r="D2839">
        <v>12</v>
      </c>
      <c r="E2839">
        <v>2023</v>
      </c>
      <c r="F2839" s="1">
        <f t="shared" si="223"/>
        <v>45284</v>
      </c>
      <c r="G2839" s="1" t="s">
        <v>239</v>
      </c>
      <c r="H2839" s="2">
        <v>47315</v>
      </c>
      <c r="I2839" t="s">
        <v>49</v>
      </c>
      <c r="J2839">
        <v>4</v>
      </c>
      <c r="K2839">
        <v>48624.91</v>
      </c>
      <c r="L2839" t="s">
        <v>1014</v>
      </c>
      <c r="M2839">
        <v>25</v>
      </c>
      <c r="N2839" t="s">
        <v>36</v>
      </c>
      <c r="O2839" s="3" t="s">
        <v>55</v>
      </c>
      <c r="P2839" t="s">
        <v>59</v>
      </c>
      <c r="Q2839" t="s">
        <v>41</v>
      </c>
      <c r="R2839">
        <v>2</v>
      </c>
      <c r="S2839" t="s">
        <v>52</v>
      </c>
      <c r="T2839" s="4">
        <f t="shared" si="224"/>
        <v>194499.64</v>
      </c>
      <c r="U2839" s="4" t="str">
        <f t="shared" si="225"/>
        <v>Average</v>
      </c>
      <c r="V2839" s="4" t="str">
        <f t="shared" si="221"/>
        <v>Good</v>
      </c>
      <c r="W2839" s="4"/>
      <c r="X2839" s="4"/>
      <c r="AJ2839" s="4"/>
    </row>
    <row r="2840" spans="1:36">
      <c r="A2840" t="str">
        <f t="shared" si="222"/>
        <v>Amit432839</v>
      </c>
      <c r="B2840">
        <v>2839</v>
      </c>
      <c r="C2840">
        <v>24</v>
      </c>
      <c r="D2840">
        <v>12</v>
      </c>
      <c r="E2840">
        <v>2023</v>
      </c>
      <c r="F2840" s="1">
        <f t="shared" si="223"/>
        <v>45284</v>
      </c>
      <c r="G2840" s="1" t="s">
        <v>239</v>
      </c>
      <c r="H2840" s="2">
        <v>47316</v>
      </c>
      <c r="I2840" t="s">
        <v>43</v>
      </c>
      <c r="J2840">
        <v>4</v>
      </c>
      <c r="K2840">
        <v>30105.55</v>
      </c>
      <c r="L2840" t="s">
        <v>568</v>
      </c>
      <c r="M2840">
        <v>43</v>
      </c>
      <c r="N2840" t="s">
        <v>21</v>
      </c>
      <c r="O2840" s="3" t="s">
        <v>55</v>
      </c>
      <c r="P2840" t="s">
        <v>77</v>
      </c>
      <c r="Q2840" t="s">
        <v>30</v>
      </c>
      <c r="R2840">
        <v>2</v>
      </c>
      <c r="S2840" t="s">
        <v>57</v>
      </c>
      <c r="T2840" s="4">
        <f t="shared" si="224"/>
        <v>120422.2</v>
      </c>
      <c r="U2840" s="4" t="str">
        <f t="shared" si="225"/>
        <v>Average</v>
      </c>
      <c r="V2840" s="4" t="str">
        <f t="shared" si="221"/>
        <v>Good</v>
      </c>
      <c r="W2840" s="4"/>
      <c r="X2840" s="4"/>
      <c r="AJ2840" s="4"/>
    </row>
    <row r="2841" spans="1:36">
      <c r="A2841" t="str">
        <f t="shared" si="222"/>
        <v>Kira452840</v>
      </c>
      <c r="B2841">
        <v>2840</v>
      </c>
      <c r="C2841">
        <v>25</v>
      </c>
      <c r="D2841">
        <v>12</v>
      </c>
      <c r="E2841">
        <v>2023</v>
      </c>
      <c r="F2841" s="1">
        <f t="shared" si="223"/>
        <v>45285</v>
      </c>
      <c r="G2841" s="1" t="s">
        <v>239</v>
      </c>
      <c r="H2841" s="2">
        <v>47317</v>
      </c>
      <c r="I2841" t="s">
        <v>19</v>
      </c>
      <c r="J2841">
        <v>4</v>
      </c>
      <c r="K2841">
        <v>12070.23</v>
      </c>
      <c r="L2841" t="s">
        <v>994</v>
      </c>
      <c r="M2841">
        <v>45</v>
      </c>
      <c r="N2841" t="s">
        <v>21</v>
      </c>
      <c r="O2841" s="3" t="s">
        <v>22</v>
      </c>
      <c r="P2841" t="s">
        <v>29</v>
      </c>
      <c r="Q2841" t="s">
        <v>41</v>
      </c>
      <c r="R2841">
        <v>5</v>
      </c>
      <c r="S2841" t="s">
        <v>37</v>
      </c>
      <c r="T2841" s="4">
        <f t="shared" si="224"/>
        <v>48280.92</v>
      </c>
      <c r="U2841" s="4" t="str">
        <f t="shared" si="225"/>
        <v>Good</v>
      </c>
      <c r="V2841" s="4" t="str">
        <f t="shared" si="221"/>
        <v>Low</v>
      </c>
      <c r="W2841" s="4"/>
      <c r="X2841" s="4"/>
      <c r="AJ2841" s="4"/>
    </row>
    <row r="2842" spans="1:36">
      <c r="A2842" t="str">
        <f t="shared" si="222"/>
        <v>Ayes512841</v>
      </c>
      <c r="B2842">
        <v>2841</v>
      </c>
      <c r="C2842">
        <v>25</v>
      </c>
      <c r="D2842">
        <v>12</v>
      </c>
      <c r="E2842">
        <v>2023</v>
      </c>
      <c r="F2842" s="1">
        <f t="shared" si="223"/>
        <v>45285</v>
      </c>
      <c r="G2842" s="1" t="s">
        <v>239</v>
      </c>
      <c r="H2842" s="2">
        <v>47318</v>
      </c>
      <c r="I2842" t="s">
        <v>26</v>
      </c>
      <c r="J2842">
        <v>6</v>
      </c>
      <c r="K2842">
        <v>27287.51</v>
      </c>
      <c r="L2842" t="s">
        <v>509</v>
      </c>
      <c r="M2842">
        <v>51</v>
      </c>
      <c r="N2842" t="s">
        <v>61</v>
      </c>
      <c r="O2842" s="3" t="s">
        <v>22</v>
      </c>
      <c r="P2842" t="s">
        <v>33</v>
      </c>
      <c r="Q2842" t="s">
        <v>30</v>
      </c>
      <c r="R2842">
        <v>4</v>
      </c>
      <c r="S2842" t="s">
        <v>31</v>
      </c>
      <c r="T2842" s="4">
        <f t="shared" si="224"/>
        <v>163725.06</v>
      </c>
      <c r="U2842" s="4" t="str">
        <f t="shared" si="225"/>
        <v>Good</v>
      </c>
      <c r="V2842" s="4" t="str">
        <f t="shared" si="221"/>
        <v>Good</v>
      </c>
      <c r="W2842" s="4"/>
      <c r="X2842" s="4"/>
      <c r="AJ2842" s="4"/>
    </row>
    <row r="2843" spans="1:36">
      <c r="A2843" t="str">
        <f t="shared" si="222"/>
        <v>Neet432842</v>
      </c>
      <c r="B2843">
        <v>2842</v>
      </c>
      <c r="C2843">
        <v>25</v>
      </c>
      <c r="D2843">
        <v>12</v>
      </c>
      <c r="E2843">
        <v>2023</v>
      </c>
      <c r="F2843" s="1">
        <f t="shared" si="223"/>
        <v>45285</v>
      </c>
      <c r="G2843" s="1" t="s">
        <v>239</v>
      </c>
      <c r="H2843" s="2">
        <v>47319</v>
      </c>
      <c r="I2843" t="s">
        <v>19</v>
      </c>
      <c r="J2843">
        <v>2</v>
      </c>
      <c r="K2843">
        <v>56106.87</v>
      </c>
      <c r="L2843" t="s">
        <v>834</v>
      </c>
      <c r="M2843">
        <v>43</v>
      </c>
      <c r="N2843" t="s">
        <v>21</v>
      </c>
      <c r="O2843" s="3" t="s">
        <v>22</v>
      </c>
      <c r="P2843" t="s">
        <v>114</v>
      </c>
      <c r="Q2843" t="s">
        <v>24</v>
      </c>
      <c r="R2843">
        <v>5</v>
      </c>
      <c r="S2843" t="s">
        <v>84</v>
      </c>
      <c r="T2843" s="4">
        <f t="shared" si="224"/>
        <v>112213.74</v>
      </c>
      <c r="U2843" s="4" t="str">
        <f t="shared" si="225"/>
        <v>Good</v>
      </c>
      <c r="V2843" s="4" t="str">
        <f t="shared" si="221"/>
        <v>Good</v>
      </c>
      <c r="W2843" s="4"/>
      <c r="X2843" s="4"/>
      <c r="AJ2843" s="4"/>
    </row>
    <row r="2844" spans="1:36">
      <c r="A2844" t="str">
        <f t="shared" si="222"/>
        <v>Vija302843</v>
      </c>
      <c r="B2844">
        <v>2843</v>
      </c>
      <c r="C2844">
        <v>26</v>
      </c>
      <c r="D2844">
        <v>12</v>
      </c>
      <c r="E2844">
        <v>2023</v>
      </c>
      <c r="F2844" s="1">
        <f t="shared" si="223"/>
        <v>45286</v>
      </c>
      <c r="G2844" s="1" t="s">
        <v>239</v>
      </c>
      <c r="H2844" s="2">
        <v>47320</v>
      </c>
      <c r="I2844" t="s">
        <v>19</v>
      </c>
      <c r="J2844">
        <v>6</v>
      </c>
      <c r="K2844">
        <v>22316.32</v>
      </c>
      <c r="L2844" t="s">
        <v>362</v>
      </c>
      <c r="M2844">
        <v>30</v>
      </c>
      <c r="N2844" t="s">
        <v>36</v>
      </c>
      <c r="O2844" s="3" t="s">
        <v>28</v>
      </c>
      <c r="P2844" t="s">
        <v>70</v>
      </c>
      <c r="Q2844" t="s">
        <v>56</v>
      </c>
      <c r="R2844">
        <v>3</v>
      </c>
      <c r="S2844" t="s">
        <v>37</v>
      </c>
      <c r="T2844" s="4">
        <f t="shared" si="224"/>
        <v>133897.91999999998</v>
      </c>
      <c r="U2844" s="4" t="str">
        <f t="shared" si="225"/>
        <v>Average</v>
      </c>
      <c r="V2844" s="4" t="str">
        <f t="shared" si="221"/>
        <v>Good</v>
      </c>
      <c r="W2844" s="4"/>
      <c r="X2844" s="4"/>
      <c r="AJ2844" s="4"/>
    </row>
    <row r="2845" spans="1:36">
      <c r="A2845" t="str">
        <f t="shared" si="222"/>
        <v>Priy542844</v>
      </c>
      <c r="B2845">
        <v>2844</v>
      </c>
      <c r="C2845">
        <v>26</v>
      </c>
      <c r="D2845">
        <v>12</v>
      </c>
      <c r="E2845">
        <v>2023</v>
      </c>
      <c r="F2845" s="1">
        <f t="shared" si="223"/>
        <v>45286</v>
      </c>
      <c r="G2845" s="1" t="s">
        <v>239</v>
      </c>
      <c r="H2845" s="2">
        <v>47321</v>
      </c>
      <c r="I2845" t="s">
        <v>38</v>
      </c>
      <c r="J2845">
        <v>7</v>
      </c>
      <c r="K2845">
        <v>52731.29</v>
      </c>
      <c r="L2845" t="s">
        <v>947</v>
      </c>
      <c r="M2845">
        <v>54</v>
      </c>
      <c r="N2845" t="s">
        <v>61</v>
      </c>
      <c r="O2845" s="3" t="s">
        <v>28</v>
      </c>
      <c r="P2845" t="s">
        <v>40</v>
      </c>
      <c r="Q2845" t="s">
        <v>56</v>
      </c>
      <c r="R2845">
        <v>3</v>
      </c>
      <c r="S2845" t="s">
        <v>48</v>
      </c>
      <c r="T2845" s="4">
        <f t="shared" si="224"/>
        <v>369119.03</v>
      </c>
      <c r="U2845" s="4" t="str">
        <f t="shared" si="225"/>
        <v>Average</v>
      </c>
      <c r="V2845" s="4" t="str">
        <f t="shared" si="221"/>
        <v>Excellent</v>
      </c>
      <c r="W2845" s="4"/>
      <c r="X2845" s="4"/>
      <c r="AJ2845" s="4"/>
    </row>
    <row r="2846" spans="1:36">
      <c r="A2846" t="str">
        <f t="shared" si="222"/>
        <v>Radh302845</v>
      </c>
      <c r="B2846">
        <v>2845</v>
      </c>
      <c r="C2846">
        <v>26</v>
      </c>
      <c r="D2846">
        <v>12</v>
      </c>
      <c r="E2846">
        <v>2023</v>
      </c>
      <c r="F2846" s="1">
        <f t="shared" si="223"/>
        <v>45286</v>
      </c>
      <c r="G2846" s="1" t="s">
        <v>239</v>
      </c>
      <c r="H2846" s="2">
        <v>47322</v>
      </c>
      <c r="I2846" t="s">
        <v>38</v>
      </c>
      <c r="J2846">
        <v>3</v>
      </c>
      <c r="K2846">
        <v>44786.79</v>
      </c>
      <c r="L2846" t="s">
        <v>845</v>
      </c>
      <c r="M2846">
        <v>30</v>
      </c>
      <c r="N2846" t="s">
        <v>36</v>
      </c>
      <c r="O2846" s="3" t="s">
        <v>22</v>
      </c>
      <c r="P2846" t="s">
        <v>90</v>
      </c>
      <c r="Q2846" t="s">
        <v>30</v>
      </c>
      <c r="R2846">
        <v>4</v>
      </c>
      <c r="S2846" t="s">
        <v>42</v>
      </c>
      <c r="T2846" s="4">
        <f t="shared" si="224"/>
        <v>134360.37</v>
      </c>
      <c r="U2846" s="4" t="str">
        <f t="shared" si="225"/>
        <v>Good</v>
      </c>
      <c r="V2846" s="4" t="str">
        <f t="shared" si="221"/>
        <v>Good</v>
      </c>
      <c r="W2846" s="4"/>
      <c r="X2846" s="4"/>
      <c r="AJ2846" s="4"/>
    </row>
    <row r="2847" spans="1:36">
      <c r="A2847" t="str">
        <f t="shared" si="222"/>
        <v>Priy552846</v>
      </c>
      <c r="B2847">
        <v>2846</v>
      </c>
      <c r="C2847">
        <v>26</v>
      </c>
      <c r="D2847">
        <v>12</v>
      </c>
      <c r="E2847">
        <v>2023</v>
      </c>
      <c r="F2847" s="1">
        <f t="shared" si="223"/>
        <v>45286</v>
      </c>
      <c r="G2847" s="1" t="s">
        <v>239</v>
      </c>
      <c r="H2847" s="2">
        <v>47323</v>
      </c>
      <c r="I2847" t="s">
        <v>26</v>
      </c>
      <c r="J2847">
        <v>8</v>
      </c>
      <c r="K2847">
        <v>20311.41</v>
      </c>
      <c r="L2847" t="s">
        <v>991</v>
      </c>
      <c r="M2847">
        <v>55</v>
      </c>
      <c r="N2847" t="s">
        <v>61</v>
      </c>
      <c r="O2847" s="3" t="s">
        <v>22</v>
      </c>
      <c r="P2847" t="s">
        <v>23</v>
      </c>
      <c r="Q2847" t="s">
        <v>56</v>
      </c>
      <c r="R2847">
        <v>4</v>
      </c>
      <c r="S2847" t="s">
        <v>34</v>
      </c>
      <c r="T2847" s="4">
        <f t="shared" si="224"/>
        <v>162491.28</v>
      </c>
      <c r="U2847" s="4" t="str">
        <f t="shared" si="225"/>
        <v>Good</v>
      </c>
      <c r="V2847" s="4" t="str">
        <f t="shared" si="221"/>
        <v>Good</v>
      </c>
      <c r="W2847" s="4"/>
      <c r="X2847" s="4"/>
      <c r="AJ2847" s="4"/>
    </row>
    <row r="2848" spans="1:36">
      <c r="A2848" t="str">
        <f t="shared" si="222"/>
        <v>Radh422847</v>
      </c>
      <c r="B2848">
        <v>2847</v>
      </c>
      <c r="C2848">
        <v>27</v>
      </c>
      <c r="D2848">
        <v>12</v>
      </c>
      <c r="E2848">
        <v>2023</v>
      </c>
      <c r="F2848" s="1">
        <f t="shared" si="223"/>
        <v>45287</v>
      </c>
      <c r="G2848" s="1" t="s">
        <v>239</v>
      </c>
      <c r="H2848" s="2">
        <v>47324</v>
      </c>
      <c r="I2848" t="s">
        <v>49</v>
      </c>
      <c r="J2848">
        <v>2</v>
      </c>
      <c r="K2848">
        <v>25697.49</v>
      </c>
      <c r="L2848" t="s">
        <v>809</v>
      </c>
      <c r="M2848">
        <v>42</v>
      </c>
      <c r="N2848" t="s">
        <v>21</v>
      </c>
      <c r="O2848" s="3" t="s">
        <v>22</v>
      </c>
      <c r="P2848" t="s">
        <v>70</v>
      </c>
      <c r="Q2848" t="s">
        <v>41</v>
      </c>
      <c r="R2848">
        <v>4</v>
      </c>
      <c r="S2848" t="s">
        <v>88</v>
      </c>
      <c r="T2848" s="4">
        <f t="shared" si="224"/>
        <v>51394.98</v>
      </c>
      <c r="U2848" s="4" t="str">
        <f t="shared" si="225"/>
        <v>Good</v>
      </c>
      <c r="V2848" s="4" t="str">
        <f t="shared" si="221"/>
        <v>Average</v>
      </c>
      <c r="W2848" s="4"/>
      <c r="X2848" s="4"/>
      <c r="AJ2848" s="4"/>
    </row>
    <row r="2849" spans="1:36">
      <c r="A2849" t="str">
        <f t="shared" si="222"/>
        <v>Navi402848</v>
      </c>
      <c r="B2849">
        <v>2848</v>
      </c>
      <c r="C2849">
        <v>27</v>
      </c>
      <c r="D2849">
        <v>12</v>
      </c>
      <c r="E2849">
        <v>2023</v>
      </c>
      <c r="F2849" s="1">
        <f t="shared" si="223"/>
        <v>45287</v>
      </c>
      <c r="G2849" s="1" t="s">
        <v>239</v>
      </c>
      <c r="H2849" s="2">
        <v>47325</v>
      </c>
      <c r="I2849" t="s">
        <v>26</v>
      </c>
      <c r="J2849">
        <v>8</v>
      </c>
      <c r="K2849">
        <v>39778.22</v>
      </c>
      <c r="L2849" t="s">
        <v>347</v>
      </c>
      <c r="M2849">
        <v>40</v>
      </c>
      <c r="N2849" t="s">
        <v>21</v>
      </c>
      <c r="O2849" s="3" t="s">
        <v>28</v>
      </c>
      <c r="P2849" t="s">
        <v>117</v>
      </c>
      <c r="Q2849" t="s">
        <v>56</v>
      </c>
      <c r="R2849">
        <v>3</v>
      </c>
      <c r="S2849" t="s">
        <v>34</v>
      </c>
      <c r="T2849" s="4">
        <f t="shared" si="224"/>
        <v>318225.76</v>
      </c>
      <c r="U2849" s="4" t="str">
        <f t="shared" si="225"/>
        <v>Average</v>
      </c>
      <c r="V2849" s="4" t="str">
        <f t="shared" si="221"/>
        <v>Excellent</v>
      </c>
      <c r="W2849" s="4"/>
      <c r="X2849" s="4"/>
      <c r="AJ2849" s="4"/>
    </row>
    <row r="2850" spans="1:36">
      <c r="A2850" t="str">
        <f t="shared" si="222"/>
        <v>Ravi392849</v>
      </c>
      <c r="B2850">
        <v>2849</v>
      </c>
      <c r="C2850">
        <v>27</v>
      </c>
      <c r="D2850">
        <v>12</v>
      </c>
      <c r="E2850">
        <v>2023</v>
      </c>
      <c r="F2850" s="1">
        <f t="shared" si="223"/>
        <v>45287</v>
      </c>
      <c r="G2850" s="1" t="s">
        <v>239</v>
      </c>
      <c r="H2850" s="2">
        <v>47326</v>
      </c>
      <c r="I2850" t="s">
        <v>49</v>
      </c>
      <c r="J2850">
        <v>5</v>
      </c>
      <c r="K2850">
        <v>35102.480000000003</v>
      </c>
      <c r="L2850" t="s">
        <v>262</v>
      </c>
      <c r="M2850">
        <v>39</v>
      </c>
      <c r="N2850" t="s">
        <v>21</v>
      </c>
      <c r="O2850" s="3" t="s">
        <v>22</v>
      </c>
      <c r="P2850" t="s">
        <v>33</v>
      </c>
      <c r="Q2850" t="s">
        <v>30</v>
      </c>
      <c r="R2850">
        <v>5</v>
      </c>
      <c r="S2850" t="s">
        <v>52</v>
      </c>
      <c r="T2850" s="4">
        <f t="shared" si="224"/>
        <v>175512.40000000002</v>
      </c>
      <c r="U2850" s="4" t="str">
        <f t="shared" si="225"/>
        <v>Good</v>
      </c>
      <c r="V2850" s="4" t="str">
        <f t="shared" si="221"/>
        <v>Good</v>
      </c>
      <c r="W2850" s="4"/>
      <c r="X2850" s="4"/>
      <c r="AJ2850" s="4"/>
    </row>
    <row r="2851" spans="1:36">
      <c r="A2851" t="str">
        <f t="shared" si="222"/>
        <v>Priy382850</v>
      </c>
      <c r="B2851">
        <v>2850</v>
      </c>
      <c r="C2851">
        <v>28</v>
      </c>
      <c r="D2851">
        <v>12</v>
      </c>
      <c r="E2851">
        <v>2023</v>
      </c>
      <c r="F2851" s="1">
        <f t="shared" si="223"/>
        <v>45288</v>
      </c>
      <c r="G2851" s="1" t="s">
        <v>239</v>
      </c>
      <c r="H2851" s="2">
        <v>47327</v>
      </c>
      <c r="I2851" t="s">
        <v>19</v>
      </c>
      <c r="J2851">
        <v>2</v>
      </c>
      <c r="K2851">
        <v>56713.83</v>
      </c>
      <c r="L2851" t="s">
        <v>358</v>
      </c>
      <c r="M2851">
        <v>38</v>
      </c>
      <c r="N2851" t="s">
        <v>21</v>
      </c>
      <c r="O2851" s="3" t="s">
        <v>55</v>
      </c>
      <c r="P2851" t="s">
        <v>132</v>
      </c>
      <c r="Q2851" t="s">
        <v>56</v>
      </c>
      <c r="R2851">
        <v>2</v>
      </c>
      <c r="S2851" t="s">
        <v>84</v>
      </c>
      <c r="T2851" s="4">
        <f t="shared" si="224"/>
        <v>113427.66</v>
      </c>
      <c r="U2851" s="4" t="str">
        <f t="shared" si="225"/>
        <v>Average</v>
      </c>
      <c r="V2851" s="4" t="str">
        <f t="shared" si="221"/>
        <v>Good</v>
      </c>
      <c r="W2851" s="4"/>
      <c r="X2851" s="4"/>
      <c r="AJ2851" s="4"/>
    </row>
    <row r="2852" spans="1:36">
      <c r="A2852" t="str">
        <f t="shared" si="222"/>
        <v>Suni472851</v>
      </c>
      <c r="B2852">
        <v>2851</v>
      </c>
      <c r="C2852">
        <v>28</v>
      </c>
      <c r="D2852">
        <v>12</v>
      </c>
      <c r="E2852">
        <v>2023</v>
      </c>
      <c r="F2852" s="1">
        <f t="shared" si="223"/>
        <v>45288</v>
      </c>
      <c r="G2852" s="1" t="s">
        <v>239</v>
      </c>
      <c r="H2852" s="2">
        <v>47328</v>
      </c>
      <c r="I2852" t="s">
        <v>43</v>
      </c>
      <c r="J2852">
        <v>7</v>
      </c>
      <c r="K2852">
        <v>54064.28</v>
      </c>
      <c r="L2852" t="s">
        <v>148</v>
      </c>
      <c r="M2852">
        <v>47</v>
      </c>
      <c r="N2852" t="s">
        <v>61</v>
      </c>
      <c r="O2852" s="3" t="s">
        <v>55</v>
      </c>
      <c r="P2852" t="s">
        <v>114</v>
      </c>
      <c r="Q2852" t="s">
        <v>56</v>
      </c>
      <c r="R2852">
        <v>2</v>
      </c>
      <c r="S2852" t="s">
        <v>57</v>
      </c>
      <c r="T2852" s="4">
        <f t="shared" si="224"/>
        <v>378449.95999999996</v>
      </c>
      <c r="U2852" s="4" t="str">
        <f t="shared" si="225"/>
        <v>Average</v>
      </c>
      <c r="V2852" s="4" t="str">
        <f t="shared" si="221"/>
        <v>Excellent</v>
      </c>
      <c r="W2852" s="4"/>
      <c r="X2852" s="4"/>
      <c r="AJ2852" s="4"/>
    </row>
    <row r="2853" spans="1:36">
      <c r="A2853" t="str">
        <f t="shared" si="222"/>
        <v>Nami282852</v>
      </c>
      <c r="B2853">
        <v>2852</v>
      </c>
      <c r="C2853">
        <v>28</v>
      </c>
      <c r="D2853">
        <v>12</v>
      </c>
      <c r="E2853">
        <v>2023</v>
      </c>
      <c r="F2853" s="1">
        <f t="shared" si="223"/>
        <v>45288</v>
      </c>
      <c r="G2853" s="1" t="s">
        <v>239</v>
      </c>
      <c r="H2853" s="2">
        <v>47329</v>
      </c>
      <c r="I2853" t="s">
        <v>26</v>
      </c>
      <c r="J2853">
        <v>2</v>
      </c>
      <c r="K2853">
        <v>44474.47</v>
      </c>
      <c r="L2853" t="s">
        <v>219</v>
      </c>
      <c r="M2853">
        <v>28</v>
      </c>
      <c r="N2853" t="s">
        <v>36</v>
      </c>
      <c r="O2853" s="3" t="s">
        <v>55</v>
      </c>
      <c r="P2853" t="s">
        <v>29</v>
      </c>
      <c r="Q2853" t="s">
        <v>41</v>
      </c>
      <c r="R2853">
        <v>2</v>
      </c>
      <c r="S2853" t="s">
        <v>67</v>
      </c>
      <c r="T2853" s="4">
        <f t="shared" si="224"/>
        <v>88948.94</v>
      </c>
      <c r="U2853" s="4" t="str">
        <f t="shared" si="225"/>
        <v>Average</v>
      </c>
      <c r="V2853" s="4" t="str">
        <f t="shared" si="221"/>
        <v>Average</v>
      </c>
      <c r="W2853" s="4"/>
      <c r="X2853" s="4"/>
      <c r="AJ2853" s="4"/>
    </row>
    <row r="2854" spans="1:36">
      <c r="A2854" t="str">
        <f t="shared" si="222"/>
        <v>Nami212853</v>
      </c>
      <c r="B2854">
        <v>2853</v>
      </c>
      <c r="C2854">
        <v>29</v>
      </c>
      <c r="D2854">
        <v>12</v>
      </c>
      <c r="E2854">
        <v>2023</v>
      </c>
      <c r="F2854" s="1">
        <f t="shared" si="223"/>
        <v>45289</v>
      </c>
      <c r="G2854" s="1" t="s">
        <v>239</v>
      </c>
      <c r="H2854" s="2">
        <v>47330</v>
      </c>
      <c r="I2854" t="s">
        <v>26</v>
      </c>
      <c r="J2854">
        <v>6</v>
      </c>
      <c r="K2854">
        <v>59336.480000000003</v>
      </c>
      <c r="L2854" t="s">
        <v>687</v>
      </c>
      <c r="M2854">
        <v>21</v>
      </c>
      <c r="N2854" t="s">
        <v>36</v>
      </c>
      <c r="O2854" s="3" t="s">
        <v>28</v>
      </c>
      <c r="P2854" t="s">
        <v>66</v>
      </c>
      <c r="Q2854" t="s">
        <v>24</v>
      </c>
      <c r="R2854">
        <v>3</v>
      </c>
      <c r="S2854" t="s">
        <v>31</v>
      </c>
      <c r="T2854" s="4">
        <f t="shared" si="224"/>
        <v>356018.88</v>
      </c>
      <c r="U2854" s="4" t="str">
        <f t="shared" si="225"/>
        <v>Average</v>
      </c>
      <c r="V2854" s="4" t="str">
        <f t="shared" si="221"/>
        <v>Excellent</v>
      </c>
      <c r="W2854" s="4"/>
      <c r="X2854" s="4"/>
      <c r="AJ2854" s="4"/>
    </row>
    <row r="2855" spans="1:36">
      <c r="A2855" t="str">
        <f t="shared" si="222"/>
        <v>Yoge502854</v>
      </c>
      <c r="B2855">
        <v>2854</v>
      </c>
      <c r="C2855">
        <v>29</v>
      </c>
      <c r="D2855">
        <v>12</v>
      </c>
      <c r="E2855">
        <v>2023</v>
      </c>
      <c r="F2855" s="1">
        <f t="shared" si="223"/>
        <v>45289</v>
      </c>
      <c r="G2855" s="1" t="s">
        <v>239</v>
      </c>
      <c r="H2855" s="2">
        <v>47331</v>
      </c>
      <c r="I2855" t="s">
        <v>49</v>
      </c>
      <c r="J2855">
        <v>3</v>
      </c>
      <c r="K2855">
        <v>43760.17</v>
      </c>
      <c r="L2855" t="s">
        <v>978</v>
      </c>
      <c r="M2855">
        <v>50</v>
      </c>
      <c r="N2855" t="s">
        <v>61</v>
      </c>
      <c r="O2855" s="3" t="s">
        <v>22</v>
      </c>
      <c r="P2855" t="s">
        <v>93</v>
      </c>
      <c r="Q2855" t="s">
        <v>41</v>
      </c>
      <c r="R2855">
        <v>4</v>
      </c>
      <c r="S2855" t="s">
        <v>102</v>
      </c>
      <c r="T2855" s="4">
        <f t="shared" si="224"/>
        <v>131280.51</v>
      </c>
      <c r="U2855" s="4" t="str">
        <f t="shared" si="225"/>
        <v>Good</v>
      </c>
      <c r="V2855" s="4" t="str">
        <f t="shared" si="221"/>
        <v>Good</v>
      </c>
      <c r="W2855" s="4"/>
      <c r="X2855" s="4"/>
      <c r="AJ2855" s="4"/>
    </row>
    <row r="2856" spans="1:36">
      <c r="A2856" t="str">
        <f t="shared" si="222"/>
        <v>Gita292855</v>
      </c>
      <c r="B2856">
        <v>2855</v>
      </c>
      <c r="C2856">
        <v>29</v>
      </c>
      <c r="D2856">
        <v>12</v>
      </c>
      <c r="E2856">
        <v>2023</v>
      </c>
      <c r="F2856" s="1">
        <f t="shared" si="223"/>
        <v>45289</v>
      </c>
      <c r="G2856" s="1" t="s">
        <v>239</v>
      </c>
      <c r="H2856" s="2">
        <v>47332</v>
      </c>
      <c r="I2856" t="s">
        <v>19</v>
      </c>
      <c r="J2856">
        <v>9</v>
      </c>
      <c r="K2856">
        <v>67863.360000000001</v>
      </c>
      <c r="L2856" t="s">
        <v>940</v>
      </c>
      <c r="M2856">
        <v>29</v>
      </c>
      <c r="N2856" t="s">
        <v>36</v>
      </c>
      <c r="O2856" s="3" t="s">
        <v>22</v>
      </c>
      <c r="P2856" t="s">
        <v>23</v>
      </c>
      <c r="Q2856" t="s">
        <v>56</v>
      </c>
      <c r="R2856">
        <v>5</v>
      </c>
      <c r="S2856" t="s">
        <v>84</v>
      </c>
      <c r="T2856" s="4">
        <f t="shared" si="224"/>
        <v>610770.24</v>
      </c>
      <c r="U2856" s="4" t="str">
        <f t="shared" si="225"/>
        <v>Good</v>
      </c>
      <c r="V2856" s="4" t="str">
        <f t="shared" si="221"/>
        <v>Excellent</v>
      </c>
      <c r="W2856" s="4"/>
      <c r="X2856" s="4"/>
      <c r="AJ2856" s="4"/>
    </row>
    <row r="2857" spans="1:36">
      <c r="A2857" t="str">
        <f t="shared" si="222"/>
        <v>Sanj262856</v>
      </c>
      <c r="B2857">
        <v>2856</v>
      </c>
      <c r="C2857">
        <v>30</v>
      </c>
      <c r="D2857">
        <v>12</v>
      </c>
      <c r="E2857">
        <v>2023</v>
      </c>
      <c r="F2857" s="1">
        <f t="shared" si="223"/>
        <v>45290</v>
      </c>
      <c r="G2857" s="1" t="s">
        <v>239</v>
      </c>
      <c r="H2857" s="2">
        <v>47333</v>
      </c>
      <c r="I2857" t="s">
        <v>19</v>
      </c>
      <c r="J2857">
        <v>3</v>
      </c>
      <c r="K2857">
        <v>23033.45</v>
      </c>
      <c r="L2857" t="s">
        <v>543</v>
      </c>
      <c r="M2857">
        <v>26</v>
      </c>
      <c r="N2857" t="s">
        <v>36</v>
      </c>
      <c r="O2857" s="3" t="s">
        <v>28</v>
      </c>
      <c r="P2857" t="s">
        <v>45</v>
      </c>
      <c r="Q2857" t="s">
        <v>56</v>
      </c>
      <c r="R2857">
        <v>3</v>
      </c>
      <c r="S2857" t="s">
        <v>25</v>
      </c>
      <c r="T2857" s="4">
        <f t="shared" si="224"/>
        <v>69100.350000000006</v>
      </c>
      <c r="U2857" s="4" t="str">
        <f t="shared" si="225"/>
        <v>Average</v>
      </c>
      <c r="V2857" s="4" t="str">
        <f t="shared" si="221"/>
        <v>Average</v>
      </c>
      <c r="W2857" s="4"/>
      <c r="X2857" s="4"/>
      <c r="AJ2857" s="4"/>
    </row>
    <row r="2858" spans="1:36">
      <c r="A2858" t="str">
        <f t="shared" si="222"/>
        <v>Moni492857</v>
      </c>
      <c r="B2858">
        <v>2857</v>
      </c>
      <c r="C2858">
        <v>30</v>
      </c>
      <c r="D2858">
        <v>12</v>
      </c>
      <c r="E2858">
        <v>2023</v>
      </c>
      <c r="F2858" s="1">
        <f t="shared" si="223"/>
        <v>45290</v>
      </c>
      <c r="G2858" s="1" t="s">
        <v>239</v>
      </c>
      <c r="H2858" s="2">
        <v>47334</v>
      </c>
      <c r="I2858" t="s">
        <v>49</v>
      </c>
      <c r="J2858">
        <v>3</v>
      </c>
      <c r="K2858">
        <v>52847.92</v>
      </c>
      <c r="L2858" t="s">
        <v>508</v>
      </c>
      <c r="M2858">
        <v>49</v>
      </c>
      <c r="N2858" t="s">
        <v>61</v>
      </c>
      <c r="O2858" s="3" t="s">
        <v>55</v>
      </c>
      <c r="P2858" t="s">
        <v>77</v>
      </c>
      <c r="Q2858" t="s">
        <v>24</v>
      </c>
      <c r="R2858">
        <v>2</v>
      </c>
      <c r="S2858" t="s">
        <v>52</v>
      </c>
      <c r="T2858" s="4">
        <f t="shared" si="224"/>
        <v>158543.76</v>
      </c>
      <c r="U2858" s="4" t="str">
        <f t="shared" si="225"/>
        <v>Average</v>
      </c>
      <c r="V2858" s="4" t="str">
        <f t="shared" si="221"/>
        <v>Good</v>
      </c>
      <c r="W2858" s="4"/>
      <c r="X2858" s="4"/>
      <c r="AJ2858" s="4"/>
    </row>
    <row r="2859" spans="1:36">
      <c r="A2859" t="str">
        <f t="shared" si="222"/>
        <v>Umes282858</v>
      </c>
      <c r="B2859">
        <v>2858</v>
      </c>
      <c r="C2859">
        <v>30</v>
      </c>
      <c r="D2859">
        <v>12</v>
      </c>
      <c r="E2859">
        <v>2023</v>
      </c>
      <c r="F2859" s="1">
        <f t="shared" si="223"/>
        <v>45290</v>
      </c>
      <c r="G2859" s="1" t="s">
        <v>239</v>
      </c>
      <c r="H2859" s="2">
        <v>47335</v>
      </c>
      <c r="I2859" t="s">
        <v>19</v>
      </c>
      <c r="J2859">
        <v>5</v>
      </c>
      <c r="K2859">
        <v>32196.65</v>
      </c>
      <c r="L2859" t="s">
        <v>840</v>
      </c>
      <c r="M2859">
        <v>28</v>
      </c>
      <c r="N2859" t="s">
        <v>36</v>
      </c>
      <c r="O2859" s="3" t="s">
        <v>55</v>
      </c>
      <c r="P2859" t="s">
        <v>33</v>
      </c>
      <c r="Q2859" t="s">
        <v>24</v>
      </c>
      <c r="R2859">
        <v>2</v>
      </c>
      <c r="S2859" t="s">
        <v>84</v>
      </c>
      <c r="T2859" s="4">
        <f t="shared" si="224"/>
        <v>160983.25</v>
      </c>
      <c r="U2859" s="4" t="str">
        <f t="shared" si="225"/>
        <v>Average</v>
      </c>
      <c r="V2859" s="4" t="str">
        <f t="shared" si="221"/>
        <v>Good</v>
      </c>
      <c r="W2859" s="4"/>
      <c r="X2859" s="4"/>
      <c r="AJ2859" s="4"/>
    </row>
    <row r="2860" spans="1:36">
      <c r="A2860" t="str">
        <f t="shared" si="222"/>
        <v>Kavi542859</v>
      </c>
      <c r="B2860">
        <v>2859</v>
      </c>
      <c r="C2860">
        <v>31</v>
      </c>
      <c r="D2860">
        <v>12</v>
      </c>
      <c r="E2860">
        <v>2023</v>
      </c>
      <c r="F2860" s="1">
        <f t="shared" si="223"/>
        <v>45291</v>
      </c>
      <c r="G2860" s="1" t="s">
        <v>239</v>
      </c>
      <c r="H2860" s="2">
        <v>47336</v>
      </c>
      <c r="I2860" t="s">
        <v>38</v>
      </c>
      <c r="J2860">
        <v>7</v>
      </c>
      <c r="K2860">
        <v>26737.97</v>
      </c>
      <c r="L2860" t="s">
        <v>230</v>
      </c>
      <c r="M2860">
        <v>54</v>
      </c>
      <c r="N2860" t="s">
        <v>61</v>
      </c>
      <c r="O2860" s="3" t="s">
        <v>22</v>
      </c>
      <c r="P2860" t="s">
        <v>59</v>
      </c>
      <c r="Q2860" t="s">
        <v>41</v>
      </c>
      <c r="R2860">
        <v>5</v>
      </c>
      <c r="S2860" t="s">
        <v>48</v>
      </c>
      <c r="T2860" s="4">
        <f t="shared" si="224"/>
        <v>187165.79</v>
      </c>
      <c r="U2860" s="4" t="str">
        <f t="shared" si="225"/>
        <v>Good</v>
      </c>
      <c r="V2860" s="4" t="str">
        <f t="shared" si="221"/>
        <v>Good</v>
      </c>
      <c r="W2860" s="4"/>
      <c r="X2860" s="4"/>
      <c r="AJ2860" s="4"/>
    </row>
    <row r="2861" spans="1:36">
      <c r="A2861" t="str">
        <f t="shared" si="222"/>
        <v>Arun412860</v>
      </c>
      <c r="B2861">
        <v>2860</v>
      </c>
      <c r="C2861">
        <v>31</v>
      </c>
      <c r="D2861">
        <v>12</v>
      </c>
      <c r="E2861">
        <v>2023</v>
      </c>
      <c r="F2861" s="1">
        <f t="shared" si="223"/>
        <v>45291</v>
      </c>
      <c r="G2861" s="1" t="s">
        <v>239</v>
      </c>
      <c r="H2861" s="2">
        <v>47337</v>
      </c>
      <c r="I2861" t="s">
        <v>43</v>
      </c>
      <c r="J2861">
        <v>8</v>
      </c>
      <c r="K2861">
        <v>20823.25</v>
      </c>
      <c r="L2861" t="s">
        <v>1035</v>
      </c>
      <c r="M2861">
        <v>41</v>
      </c>
      <c r="N2861" t="s">
        <v>21</v>
      </c>
      <c r="O2861" s="3" t="s">
        <v>55</v>
      </c>
      <c r="P2861" t="s">
        <v>51</v>
      </c>
      <c r="Q2861" t="s">
        <v>24</v>
      </c>
      <c r="R2861">
        <v>2</v>
      </c>
      <c r="S2861" t="s">
        <v>46</v>
      </c>
      <c r="T2861" s="4">
        <f t="shared" si="224"/>
        <v>166586</v>
      </c>
      <c r="U2861" s="4" t="str">
        <f t="shared" si="225"/>
        <v>Average</v>
      </c>
      <c r="V2861" s="4" t="str">
        <f t="shared" si="221"/>
        <v>Good</v>
      </c>
      <c r="W2861" s="4"/>
      <c r="X2861" s="4"/>
      <c r="AJ2861" s="4"/>
    </row>
    <row r="2862" spans="1:36">
      <c r="A2862" t="str">
        <f t="shared" si="222"/>
        <v>Radh242861</v>
      </c>
      <c r="B2862">
        <v>2861</v>
      </c>
      <c r="C2862">
        <v>31</v>
      </c>
      <c r="D2862">
        <v>12</v>
      </c>
      <c r="E2862">
        <v>2023</v>
      </c>
      <c r="F2862" s="1">
        <f t="shared" si="223"/>
        <v>45291</v>
      </c>
      <c r="G2862" s="1" t="s">
        <v>239</v>
      </c>
      <c r="H2862" s="2">
        <v>47338</v>
      </c>
      <c r="I2862" t="s">
        <v>26</v>
      </c>
      <c r="J2862">
        <v>7</v>
      </c>
      <c r="K2862">
        <v>43150.21</v>
      </c>
      <c r="L2862" t="s">
        <v>126</v>
      </c>
      <c r="M2862">
        <v>24</v>
      </c>
      <c r="N2862" t="s">
        <v>36</v>
      </c>
      <c r="O2862" s="3" t="s">
        <v>22</v>
      </c>
      <c r="P2862" t="s">
        <v>150</v>
      </c>
      <c r="Q2862" t="s">
        <v>41</v>
      </c>
      <c r="R2862">
        <v>5</v>
      </c>
      <c r="S2862" t="s">
        <v>31</v>
      </c>
      <c r="T2862" s="4">
        <f t="shared" si="224"/>
        <v>302051.46999999997</v>
      </c>
      <c r="U2862" s="4" t="str">
        <f t="shared" si="225"/>
        <v>Good</v>
      </c>
      <c r="V2862" s="4" t="str">
        <f t="shared" si="221"/>
        <v>Excellent</v>
      </c>
      <c r="W2862" s="4"/>
      <c r="X2862" s="4"/>
      <c r="AJ2862" s="4"/>
    </row>
    <row r="2863" spans="1:36">
      <c r="A2863" t="str">
        <f t="shared" si="222"/>
        <v>Kira252862</v>
      </c>
      <c r="B2863">
        <v>2862</v>
      </c>
      <c r="C2863">
        <v>31</v>
      </c>
      <c r="D2863">
        <v>12</v>
      </c>
      <c r="E2863">
        <v>2023</v>
      </c>
      <c r="F2863" s="1">
        <f t="shared" si="223"/>
        <v>45291</v>
      </c>
      <c r="G2863" s="1" t="s">
        <v>239</v>
      </c>
      <c r="H2863" s="2">
        <v>47339</v>
      </c>
      <c r="I2863" t="s">
        <v>43</v>
      </c>
      <c r="J2863">
        <v>9</v>
      </c>
      <c r="K2863">
        <v>22928.17</v>
      </c>
      <c r="L2863" t="s">
        <v>171</v>
      </c>
      <c r="M2863">
        <v>25</v>
      </c>
      <c r="N2863" t="s">
        <v>36</v>
      </c>
      <c r="O2863" s="3" t="s">
        <v>22</v>
      </c>
      <c r="P2863" t="s">
        <v>33</v>
      </c>
      <c r="Q2863" t="s">
        <v>30</v>
      </c>
      <c r="R2863">
        <v>4</v>
      </c>
      <c r="S2863" t="s">
        <v>57</v>
      </c>
      <c r="T2863" s="4">
        <f t="shared" si="224"/>
        <v>206353.52999999997</v>
      </c>
      <c r="U2863" s="4" t="str">
        <f t="shared" si="225"/>
        <v>Good</v>
      </c>
      <c r="V2863" s="4" t="str">
        <f t="shared" si="221"/>
        <v>Excellent</v>
      </c>
      <c r="W2863" s="4"/>
      <c r="X2863" s="4"/>
      <c r="AJ2863" s="4"/>
    </row>
    <row r="2864" spans="1:36">
      <c r="A2864" t="str">
        <f t="shared" si="222"/>
        <v>Pras502863</v>
      </c>
      <c r="B2864">
        <v>2863</v>
      </c>
      <c r="C2864">
        <v>1</v>
      </c>
      <c r="D2864">
        <v>1</v>
      </c>
      <c r="E2864">
        <v>2024</v>
      </c>
      <c r="F2864" s="1">
        <f t="shared" si="223"/>
        <v>45292</v>
      </c>
      <c r="G2864" s="1" t="s">
        <v>316</v>
      </c>
      <c r="H2864" s="2">
        <v>47340</v>
      </c>
      <c r="I2864" t="s">
        <v>26</v>
      </c>
      <c r="J2864">
        <v>5</v>
      </c>
      <c r="K2864">
        <v>22021.05</v>
      </c>
      <c r="L2864" t="s">
        <v>777</v>
      </c>
      <c r="M2864">
        <v>50</v>
      </c>
      <c r="N2864" t="s">
        <v>61</v>
      </c>
      <c r="O2864" s="3" t="s">
        <v>22</v>
      </c>
      <c r="P2864" t="s">
        <v>59</v>
      </c>
      <c r="Q2864" t="s">
        <v>56</v>
      </c>
      <c r="R2864">
        <v>5</v>
      </c>
      <c r="S2864" t="s">
        <v>67</v>
      </c>
      <c r="T2864" s="4">
        <f t="shared" si="224"/>
        <v>110105.25</v>
      </c>
      <c r="U2864" s="4" t="str">
        <f t="shared" si="225"/>
        <v>Good</v>
      </c>
      <c r="V2864" s="4" t="str">
        <f t="shared" si="221"/>
        <v>Good</v>
      </c>
      <c r="W2864" s="4"/>
      <c r="X2864" s="4"/>
      <c r="AJ2864" s="4"/>
    </row>
    <row r="2865" spans="1:36">
      <c r="A2865" t="str">
        <f t="shared" si="222"/>
        <v>Adit422864</v>
      </c>
      <c r="B2865">
        <v>2864</v>
      </c>
      <c r="C2865">
        <v>1</v>
      </c>
      <c r="D2865">
        <v>1</v>
      </c>
      <c r="E2865">
        <v>2024</v>
      </c>
      <c r="F2865" s="1">
        <f t="shared" si="223"/>
        <v>45292</v>
      </c>
      <c r="G2865" s="1" t="s">
        <v>316</v>
      </c>
      <c r="H2865" s="2">
        <v>47341</v>
      </c>
      <c r="I2865" t="s">
        <v>38</v>
      </c>
      <c r="J2865">
        <v>3</v>
      </c>
      <c r="K2865">
        <v>69431.91</v>
      </c>
      <c r="L2865" t="s">
        <v>602</v>
      </c>
      <c r="M2865">
        <v>42</v>
      </c>
      <c r="N2865" t="s">
        <v>21</v>
      </c>
      <c r="O2865" s="3" t="s">
        <v>22</v>
      </c>
      <c r="P2865" t="s">
        <v>70</v>
      </c>
      <c r="Q2865" t="s">
        <v>24</v>
      </c>
      <c r="R2865">
        <v>4</v>
      </c>
      <c r="S2865" t="s">
        <v>48</v>
      </c>
      <c r="T2865" s="4">
        <f t="shared" si="224"/>
        <v>208295.73</v>
      </c>
      <c r="U2865" s="4" t="str">
        <f t="shared" si="225"/>
        <v>Good</v>
      </c>
      <c r="V2865" s="4" t="str">
        <f t="shared" si="221"/>
        <v>Excellent</v>
      </c>
      <c r="W2865" s="4"/>
      <c r="X2865" s="4"/>
      <c r="AJ2865" s="4"/>
    </row>
    <row r="2866" spans="1:36">
      <c r="A2866" t="str">
        <f t="shared" si="222"/>
        <v>Vive182865</v>
      </c>
      <c r="B2866">
        <v>2865</v>
      </c>
      <c r="C2866">
        <v>1</v>
      </c>
      <c r="D2866">
        <v>1</v>
      </c>
      <c r="E2866">
        <v>2024</v>
      </c>
      <c r="F2866" s="1">
        <f t="shared" si="223"/>
        <v>45292</v>
      </c>
      <c r="G2866" s="1" t="s">
        <v>316</v>
      </c>
      <c r="H2866" s="2">
        <v>47342</v>
      </c>
      <c r="I2866" t="s">
        <v>19</v>
      </c>
      <c r="J2866">
        <v>6</v>
      </c>
      <c r="K2866">
        <v>58104.85</v>
      </c>
      <c r="L2866" t="s">
        <v>801</v>
      </c>
      <c r="M2866">
        <v>18</v>
      </c>
      <c r="N2866" t="s">
        <v>36</v>
      </c>
      <c r="O2866" s="3" t="s">
        <v>28</v>
      </c>
      <c r="P2866" t="s">
        <v>33</v>
      </c>
      <c r="Q2866" t="s">
        <v>30</v>
      </c>
      <c r="R2866">
        <v>3</v>
      </c>
      <c r="S2866" t="s">
        <v>25</v>
      </c>
      <c r="T2866" s="4">
        <f t="shared" si="224"/>
        <v>348629.1</v>
      </c>
      <c r="U2866" s="4" t="str">
        <f t="shared" si="225"/>
        <v>Average</v>
      </c>
      <c r="V2866" s="4" t="str">
        <f t="shared" si="221"/>
        <v>Excellent</v>
      </c>
      <c r="W2866" s="4"/>
      <c r="X2866" s="4"/>
      <c r="AJ2866" s="4"/>
    </row>
    <row r="2867" spans="1:36">
      <c r="A2867" t="str">
        <f t="shared" si="222"/>
        <v>Rame202866</v>
      </c>
      <c r="B2867">
        <v>2866</v>
      </c>
      <c r="C2867">
        <v>1</v>
      </c>
      <c r="D2867">
        <v>1</v>
      </c>
      <c r="E2867">
        <v>2024</v>
      </c>
      <c r="F2867" s="1">
        <f t="shared" si="223"/>
        <v>45292</v>
      </c>
      <c r="G2867" s="1" t="s">
        <v>316</v>
      </c>
      <c r="H2867" s="2">
        <v>47343</v>
      </c>
      <c r="I2867" t="s">
        <v>49</v>
      </c>
      <c r="J2867">
        <v>5</v>
      </c>
      <c r="K2867">
        <v>54896.61</v>
      </c>
      <c r="L2867" t="s">
        <v>554</v>
      </c>
      <c r="M2867">
        <v>20</v>
      </c>
      <c r="N2867" t="s">
        <v>36</v>
      </c>
      <c r="O2867" s="3" t="s">
        <v>55</v>
      </c>
      <c r="P2867" t="s">
        <v>29</v>
      </c>
      <c r="Q2867" t="s">
        <v>30</v>
      </c>
      <c r="R2867">
        <v>2</v>
      </c>
      <c r="S2867" t="s">
        <v>102</v>
      </c>
      <c r="T2867" s="4">
        <f t="shared" si="224"/>
        <v>274483.05</v>
      </c>
      <c r="U2867" s="4" t="str">
        <f t="shared" si="225"/>
        <v>Average</v>
      </c>
      <c r="V2867" s="4" t="str">
        <f t="shared" si="221"/>
        <v>Excellent</v>
      </c>
      <c r="W2867" s="4"/>
      <c r="X2867" s="4"/>
      <c r="AJ2867" s="4"/>
    </row>
    <row r="2868" spans="1:36">
      <c r="A2868" t="str">
        <f t="shared" si="222"/>
        <v>Anan572867</v>
      </c>
      <c r="B2868">
        <v>2867</v>
      </c>
      <c r="C2868">
        <v>2</v>
      </c>
      <c r="D2868">
        <v>1</v>
      </c>
      <c r="E2868">
        <v>2024</v>
      </c>
      <c r="F2868" s="1">
        <f t="shared" si="223"/>
        <v>45293</v>
      </c>
      <c r="G2868" s="1" t="s">
        <v>316</v>
      </c>
      <c r="H2868" s="2">
        <v>47344</v>
      </c>
      <c r="I2868" t="s">
        <v>38</v>
      </c>
      <c r="J2868">
        <v>4</v>
      </c>
      <c r="K2868">
        <v>57643.64</v>
      </c>
      <c r="L2868" t="s">
        <v>1010</v>
      </c>
      <c r="M2868">
        <v>57</v>
      </c>
      <c r="N2868" t="s">
        <v>61</v>
      </c>
      <c r="O2868" s="3" t="s">
        <v>22</v>
      </c>
      <c r="P2868" t="s">
        <v>29</v>
      </c>
      <c r="Q2868" t="s">
        <v>41</v>
      </c>
      <c r="R2868">
        <v>5</v>
      </c>
      <c r="S2868" t="s">
        <v>48</v>
      </c>
      <c r="T2868" s="4">
        <f t="shared" si="224"/>
        <v>230574.56</v>
      </c>
      <c r="U2868" s="4" t="str">
        <f t="shared" si="225"/>
        <v>Good</v>
      </c>
      <c r="V2868" s="4" t="str">
        <f t="shared" si="221"/>
        <v>Excellent</v>
      </c>
      <c r="W2868" s="4"/>
      <c r="X2868" s="4"/>
      <c r="AJ2868" s="4"/>
    </row>
    <row r="2869" spans="1:36">
      <c r="A2869" t="str">
        <f t="shared" si="222"/>
        <v>Mano452868</v>
      </c>
      <c r="B2869">
        <v>2868</v>
      </c>
      <c r="C2869">
        <v>2</v>
      </c>
      <c r="D2869">
        <v>1</v>
      </c>
      <c r="E2869">
        <v>2024</v>
      </c>
      <c r="F2869" s="1">
        <f t="shared" si="223"/>
        <v>45293</v>
      </c>
      <c r="G2869" s="1" t="s">
        <v>316</v>
      </c>
      <c r="H2869" s="2">
        <v>47345</v>
      </c>
      <c r="I2869" t="s">
        <v>43</v>
      </c>
      <c r="J2869">
        <v>2</v>
      </c>
      <c r="K2869">
        <v>68135.37</v>
      </c>
      <c r="L2869" t="s">
        <v>235</v>
      </c>
      <c r="M2869">
        <v>45</v>
      </c>
      <c r="N2869" t="s">
        <v>21</v>
      </c>
      <c r="O2869" s="3" t="s">
        <v>22</v>
      </c>
      <c r="P2869" t="s">
        <v>51</v>
      </c>
      <c r="Q2869" t="s">
        <v>41</v>
      </c>
      <c r="R2869">
        <v>5</v>
      </c>
      <c r="S2869" t="s">
        <v>95</v>
      </c>
      <c r="T2869" s="4">
        <f t="shared" si="224"/>
        <v>136270.74</v>
      </c>
      <c r="U2869" s="4" t="str">
        <f t="shared" si="225"/>
        <v>Good</v>
      </c>
      <c r="V2869" s="4" t="str">
        <f t="shared" si="221"/>
        <v>Good</v>
      </c>
      <c r="W2869" s="4"/>
      <c r="X2869" s="4"/>
      <c r="AJ2869" s="4"/>
    </row>
    <row r="2870" spans="1:36">
      <c r="A2870" t="str">
        <f t="shared" si="222"/>
        <v>Kris502869</v>
      </c>
      <c r="B2870">
        <v>2869</v>
      </c>
      <c r="C2870">
        <v>2</v>
      </c>
      <c r="D2870">
        <v>1</v>
      </c>
      <c r="E2870">
        <v>2024</v>
      </c>
      <c r="F2870" s="1">
        <f t="shared" si="223"/>
        <v>45293</v>
      </c>
      <c r="G2870" s="1" t="s">
        <v>316</v>
      </c>
      <c r="H2870" s="2">
        <v>47346</v>
      </c>
      <c r="I2870" t="s">
        <v>49</v>
      </c>
      <c r="J2870">
        <v>7</v>
      </c>
      <c r="K2870">
        <v>44396.6</v>
      </c>
      <c r="L2870" t="s">
        <v>723</v>
      </c>
      <c r="M2870">
        <v>50</v>
      </c>
      <c r="N2870" t="s">
        <v>61</v>
      </c>
      <c r="O2870" s="3" t="s">
        <v>55</v>
      </c>
      <c r="P2870" t="s">
        <v>137</v>
      </c>
      <c r="Q2870" t="s">
        <v>24</v>
      </c>
      <c r="R2870">
        <v>2</v>
      </c>
      <c r="S2870" t="s">
        <v>102</v>
      </c>
      <c r="T2870" s="4">
        <f t="shared" si="224"/>
        <v>310776.2</v>
      </c>
      <c r="U2870" s="4" t="str">
        <f t="shared" si="225"/>
        <v>Average</v>
      </c>
      <c r="V2870" s="4" t="str">
        <f t="shared" si="221"/>
        <v>Excellent</v>
      </c>
      <c r="W2870" s="4"/>
      <c r="X2870" s="4"/>
      <c r="AJ2870" s="4"/>
    </row>
    <row r="2871" spans="1:36">
      <c r="A2871" t="str">
        <f t="shared" si="222"/>
        <v>Kira182870</v>
      </c>
      <c r="B2871">
        <v>2870</v>
      </c>
      <c r="C2871">
        <v>3</v>
      </c>
      <c r="D2871">
        <v>1</v>
      </c>
      <c r="E2871">
        <v>2024</v>
      </c>
      <c r="F2871" s="1">
        <f t="shared" si="223"/>
        <v>45294</v>
      </c>
      <c r="G2871" s="1" t="s">
        <v>316</v>
      </c>
      <c r="H2871" s="2">
        <v>47347</v>
      </c>
      <c r="I2871" t="s">
        <v>19</v>
      </c>
      <c r="J2871">
        <v>5</v>
      </c>
      <c r="K2871">
        <v>23214.63</v>
      </c>
      <c r="L2871" t="s">
        <v>171</v>
      </c>
      <c r="M2871">
        <v>18</v>
      </c>
      <c r="N2871" t="s">
        <v>36</v>
      </c>
      <c r="O2871" s="3" t="s">
        <v>55</v>
      </c>
      <c r="P2871" t="s">
        <v>90</v>
      </c>
      <c r="Q2871" t="s">
        <v>41</v>
      </c>
      <c r="R2871">
        <v>2</v>
      </c>
      <c r="S2871" t="s">
        <v>84</v>
      </c>
      <c r="T2871" s="4">
        <f t="shared" si="224"/>
        <v>116073.15000000001</v>
      </c>
      <c r="U2871" s="4" t="str">
        <f t="shared" si="225"/>
        <v>Average</v>
      </c>
      <c r="V2871" s="4" t="str">
        <f t="shared" si="221"/>
        <v>Good</v>
      </c>
      <c r="W2871" s="4"/>
      <c r="X2871" s="4"/>
      <c r="AJ2871" s="4"/>
    </row>
    <row r="2872" spans="1:36">
      <c r="A2872" t="str">
        <f t="shared" si="222"/>
        <v>Bina552871</v>
      </c>
      <c r="B2872">
        <v>2871</v>
      </c>
      <c r="C2872">
        <v>3</v>
      </c>
      <c r="D2872">
        <v>1</v>
      </c>
      <c r="E2872">
        <v>2024</v>
      </c>
      <c r="F2872" s="1">
        <f t="shared" si="223"/>
        <v>45294</v>
      </c>
      <c r="G2872" s="1" t="s">
        <v>316</v>
      </c>
      <c r="H2872" s="2">
        <v>47348</v>
      </c>
      <c r="I2872" t="s">
        <v>38</v>
      </c>
      <c r="J2872">
        <v>4</v>
      </c>
      <c r="K2872">
        <v>61732.58</v>
      </c>
      <c r="L2872" t="s">
        <v>902</v>
      </c>
      <c r="M2872">
        <v>55</v>
      </c>
      <c r="N2872" t="s">
        <v>61</v>
      </c>
      <c r="O2872" s="3" t="s">
        <v>28</v>
      </c>
      <c r="P2872" t="s">
        <v>33</v>
      </c>
      <c r="Q2872" t="s">
        <v>30</v>
      </c>
      <c r="R2872">
        <v>3</v>
      </c>
      <c r="S2872" t="s">
        <v>48</v>
      </c>
      <c r="T2872" s="4">
        <f t="shared" si="224"/>
        <v>246930.32</v>
      </c>
      <c r="U2872" s="4" t="str">
        <f t="shared" si="225"/>
        <v>Average</v>
      </c>
      <c r="V2872" s="4" t="str">
        <f t="shared" si="221"/>
        <v>Excellent</v>
      </c>
      <c r="W2872" s="4"/>
      <c r="X2872" s="4"/>
      <c r="AJ2872" s="4"/>
    </row>
    <row r="2873" spans="1:36">
      <c r="A2873" t="str">
        <f t="shared" si="222"/>
        <v>Shru442872</v>
      </c>
      <c r="B2873">
        <v>2872</v>
      </c>
      <c r="C2873">
        <v>3</v>
      </c>
      <c r="D2873">
        <v>1</v>
      </c>
      <c r="E2873">
        <v>2024</v>
      </c>
      <c r="F2873" s="1">
        <f t="shared" si="223"/>
        <v>45294</v>
      </c>
      <c r="G2873" s="1" t="s">
        <v>316</v>
      </c>
      <c r="H2873" s="2">
        <v>47349</v>
      </c>
      <c r="I2873" t="s">
        <v>49</v>
      </c>
      <c r="J2873">
        <v>8</v>
      </c>
      <c r="K2873">
        <v>54563.839999999997</v>
      </c>
      <c r="L2873" t="s">
        <v>959</v>
      </c>
      <c r="M2873">
        <v>44</v>
      </c>
      <c r="N2873" t="s">
        <v>21</v>
      </c>
      <c r="O2873" s="3" t="s">
        <v>22</v>
      </c>
      <c r="P2873" t="s">
        <v>51</v>
      </c>
      <c r="Q2873" t="s">
        <v>30</v>
      </c>
      <c r="R2873">
        <v>4</v>
      </c>
      <c r="S2873" t="s">
        <v>102</v>
      </c>
      <c r="T2873" s="4">
        <f t="shared" si="224"/>
        <v>436510.71999999997</v>
      </c>
      <c r="U2873" s="4" t="str">
        <f t="shared" si="225"/>
        <v>Good</v>
      </c>
      <c r="V2873" s="4" t="str">
        <f t="shared" si="221"/>
        <v>Excellent</v>
      </c>
      <c r="W2873" s="4"/>
      <c r="X2873" s="4"/>
      <c r="AJ2873" s="4"/>
    </row>
    <row r="2874" spans="1:36">
      <c r="A2874" t="str">
        <f t="shared" si="222"/>
        <v>Kavi552873</v>
      </c>
      <c r="B2874">
        <v>2873</v>
      </c>
      <c r="C2874">
        <v>4</v>
      </c>
      <c r="D2874">
        <v>1</v>
      </c>
      <c r="E2874">
        <v>2024</v>
      </c>
      <c r="F2874" s="1">
        <f t="shared" si="223"/>
        <v>45295</v>
      </c>
      <c r="G2874" s="1" t="s">
        <v>316</v>
      </c>
      <c r="H2874" s="2">
        <v>47350</v>
      </c>
      <c r="I2874" t="s">
        <v>38</v>
      </c>
      <c r="J2874">
        <v>9</v>
      </c>
      <c r="K2874">
        <v>34858.5</v>
      </c>
      <c r="L2874" t="s">
        <v>785</v>
      </c>
      <c r="M2874">
        <v>55</v>
      </c>
      <c r="N2874" t="s">
        <v>61</v>
      </c>
      <c r="O2874" s="3" t="s">
        <v>28</v>
      </c>
      <c r="P2874" t="s">
        <v>114</v>
      </c>
      <c r="Q2874" t="s">
        <v>56</v>
      </c>
      <c r="R2874">
        <v>3</v>
      </c>
      <c r="S2874" t="s">
        <v>48</v>
      </c>
      <c r="T2874" s="4">
        <f t="shared" si="224"/>
        <v>313726.5</v>
      </c>
      <c r="U2874" s="4" t="str">
        <f t="shared" si="225"/>
        <v>Average</v>
      </c>
      <c r="V2874" s="4" t="str">
        <f t="shared" si="221"/>
        <v>Excellent</v>
      </c>
      <c r="W2874" s="4"/>
      <c r="X2874" s="4"/>
      <c r="AJ2874" s="4"/>
    </row>
    <row r="2875" spans="1:36">
      <c r="A2875" t="str">
        <f t="shared" si="222"/>
        <v>Vija522874</v>
      </c>
      <c r="B2875">
        <v>2874</v>
      </c>
      <c r="C2875">
        <v>4</v>
      </c>
      <c r="D2875">
        <v>1</v>
      </c>
      <c r="E2875">
        <v>2024</v>
      </c>
      <c r="F2875" s="1">
        <f t="shared" si="223"/>
        <v>45295</v>
      </c>
      <c r="G2875" s="1" t="s">
        <v>316</v>
      </c>
      <c r="H2875" s="2">
        <v>47351</v>
      </c>
      <c r="I2875" t="s">
        <v>38</v>
      </c>
      <c r="J2875">
        <v>9</v>
      </c>
      <c r="K2875">
        <v>38414.17</v>
      </c>
      <c r="L2875" t="s">
        <v>867</v>
      </c>
      <c r="M2875">
        <v>52</v>
      </c>
      <c r="N2875" t="s">
        <v>61</v>
      </c>
      <c r="O2875" s="3" t="s">
        <v>55</v>
      </c>
      <c r="P2875" t="s">
        <v>33</v>
      </c>
      <c r="Q2875" t="s">
        <v>30</v>
      </c>
      <c r="R2875">
        <v>2</v>
      </c>
      <c r="S2875" t="s">
        <v>99</v>
      </c>
      <c r="T2875" s="4">
        <f t="shared" si="224"/>
        <v>345727.52999999997</v>
      </c>
      <c r="U2875" s="4" t="str">
        <f t="shared" si="225"/>
        <v>Average</v>
      </c>
      <c r="V2875" s="4" t="str">
        <f t="shared" si="221"/>
        <v>Excellent</v>
      </c>
      <c r="W2875" s="4"/>
      <c r="X2875" s="4"/>
      <c r="AJ2875" s="4"/>
    </row>
    <row r="2876" spans="1:36">
      <c r="A2876" t="str">
        <f t="shared" si="222"/>
        <v>Reen272875</v>
      </c>
      <c r="B2876">
        <v>2875</v>
      </c>
      <c r="C2876">
        <v>4</v>
      </c>
      <c r="D2876">
        <v>1</v>
      </c>
      <c r="E2876">
        <v>2024</v>
      </c>
      <c r="F2876" s="1">
        <f t="shared" si="223"/>
        <v>45295</v>
      </c>
      <c r="G2876" s="1" t="s">
        <v>316</v>
      </c>
      <c r="H2876" s="2">
        <v>47352</v>
      </c>
      <c r="I2876" t="s">
        <v>19</v>
      </c>
      <c r="J2876">
        <v>3</v>
      </c>
      <c r="K2876">
        <v>34675.14</v>
      </c>
      <c r="L2876" t="s">
        <v>926</v>
      </c>
      <c r="M2876">
        <v>27</v>
      </c>
      <c r="N2876" t="s">
        <v>36</v>
      </c>
      <c r="O2876" s="3" t="s">
        <v>28</v>
      </c>
      <c r="P2876" t="s">
        <v>66</v>
      </c>
      <c r="Q2876" t="s">
        <v>24</v>
      </c>
      <c r="R2876">
        <v>3</v>
      </c>
      <c r="S2876" t="s">
        <v>25</v>
      </c>
      <c r="T2876" s="4">
        <f t="shared" si="224"/>
        <v>104025.42</v>
      </c>
      <c r="U2876" s="4" t="str">
        <f t="shared" si="225"/>
        <v>Average</v>
      </c>
      <c r="V2876" s="4" t="str">
        <f t="shared" si="221"/>
        <v>Good</v>
      </c>
      <c r="W2876" s="4"/>
      <c r="X2876" s="4"/>
      <c r="AJ2876" s="4"/>
    </row>
    <row r="2877" spans="1:36">
      <c r="A2877" t="str">
        <f t="shared" si="222"/>
        <v>Vino292876</v>
      </c>
      <c r="B2877">
        <v>2876</v>
      </c>
      <c r="C2877">
        <v>5</v>
      </c>
      <c r="D2877">
        <v>1</v>
      </c>
      <c r="E2877">
        <v>2024</v>
      </c>
      <c r="F2877" s="1">
        <f t="shared" si="223"/>
        <v>45296</v>
      </c>
      <c r="G2877" s="1" t="s">
        <v>316</v>
      </c>
      <c r="H2877" s="2">
        <v>47353</v>
      </c>
      <c r="I2877" t="s">
        <v>26</v>
      </c>
      <c r="J2877">
        <v>3</v>
      </c>
      <c r="K2877">
        <v>65796.53</v>
      </c>
      <c r="L2877" t="s">
        <v>85</v>
      </c>
      <c r="M2877">
        <v>29</v>
      </c>
      <c r="N2877" t="s">
        <v>36</v>
      </c>
      <c r="O2877" s="3" t="s">
        <v>22</v>
      </c>
      <c r="P2877" t="s">
        <v>117</v>
      </c>
      <c r="Q2877" t="s">
        <v>56</v>
      </c>
      <c r="R2877">
        <v>4</v>
      </c>
      <c r="S2877" t="s">
        <v>34</v>
      </c>
      <c r="T2877" s="4">
        <f t="shared" si="224"/>
        <v>197389.59</v>
      </c>
      <c r="U2877" s="4" t="str">
        <f t="shared" si="225"/>
        <v>Good</v>
      </c>
      <c r="V2877" s="4" t="str">
        <f t="shared" si="221"/>
        <v>Good</v>
      </c>
      <c r="W2877" s="4"/>
      <c r="X2877" s="4"/>
      <c r="AJ2877" s="4"/>
    </row>
    <row r="2878" spans="1:36">
      <c r="A2878" t="str">
        <f t="shared" si="222"/>
        <v>Ayes272877</v>
      </c>
      <c r="B2878">
        <v>2877</v>
      </c>
      <c r="C2878">
        <v>5</v>
      </c>
      <c r="D2878">
        <v>1</v>
      </c>
      <c r="E2878">
        <v>2024</v>
      </c>
      <c r="F2878" s="1">
        <f t="shared" si="223"/>
        <v>45296</v>
      </c>
      <c r="G2878" s="1" t="s">
        <v>316</v>
      </c>
      <c r="H2878" s="2">
        <v>47354</v>
      </c>
      <c r="I2878" t="s">
        <v>49</v>
      </c>
      <c r="J2878">
        <v>5</v>
      </c>
      <c r="K2878">
        <v>30611.9</v>
      </c>
      <c r="L2878" t="s">
        <v>863</v>
      </c>
      <c r="M2878">
        <v>27</v>
      </c>
      <c r="N2878" t="s">
        <v>36</v>
      </c>
      <c r="O2878" s="3" t="s">
        <v>55</v>
      </c>
      <c r="P2878" t="s">
        <v>33</v>
      </c>
      <c r="Q2878" t="s">
        <v>41</v>
      </c>
      <c r="R2878">
        <v>2</v>
      </c>
      <c r="S2878" t="s">
        <v>102</v>
      </c>
      <c r="T2878" s="4">
        <f t="shared" si="224"/>
        <v>153059.5</v>
      </c>
      <c r="U2878" s="4" t="str">
        <f t="shared" si="225"/>
        <v>Average</v>
      </c>
      <c r="V2878" s="4" t="str">
        <f t="shared" si="221"/>
        <v>Good</v>
      </c>
      <c r="W2878" s="4"/>
      <c r="X2878" s="4"/>
      <c r="AJ2878" s="4"/>
    </row>
    <row r="2879" spans="1:36">
      <c r="A2879" t="str">
        <f t="shared" si="222"/>
        <v>Roha512878</v>
      </c>
      <c r="B2879">
        <v>2878</v>
      </c>
      <c r="C2879">
        <v>5</v>
      </c>
      <c r="D2879">
        <v>1</v>
      </c>
      <c r="E2879">
        <v>2024</v>
      </c>
      <c r="F2879" s="1">
        <f t="shared" si="223"/>
        <v>45296</v>
      </c>
      <c r="G2879" s="1" t="s">
        <v>316</v>
      </c>
      <c r="H2879" s="2">
        <v>47355</v>
      </c>
      <c r="I2879" t="s">
        <v>19</v>
      </c>
      <c r="J2879">
        <v>5</v>
      </c>
      <c r="K2879">
        <v>67809.06</v>
      </c>
      <c r="L2879" t="s">
        <v>331</v>
      </c>
      <c r="M2879">
        <v>51</v>
      </c>
      <c r="N2879" t="s">
        <v>61</v>
      </c>
      <c r="O2879" s="3" t="s">
        <v>55</v>
      </c>
      <c r="P2879" t="s">
        <v>137</v>
      </c>
      <c r="Q2879" t="s">
        <v>56</v>
      </c>
      <c r="R2879">
        <v>2</v>
      </c>
      <c r="S2879" t="s">
        <v>37</v>
      </c>
      <c r="T2879" s="4">
        <f t="shared" si="224"/>
        <v>339045.3</v>
      </c>
      <c r="U2879" s="4" t="str">
        <f t="shared" si="225"/>
        <v>Average</v>
      </c>
      <c r="V2879" s="4" t="str">
        <f t="shared" si="221"/>
        <v>Excellent</v>
      </c>
      <c r="W2879" s="4"/>
      <c r="X2879" s="4"/>
      <c r="AJ2879" s="4"/>
    </row>
    <row r="2880" spans="1:36">
      <c r="A2880" t="str">
        <f t="shared" si="222"/>
        <v>Umes412879</v>
      </c>
      <c r="B2880">
        <v>2879</v>
      </c>
      <c r="C2880">
        <v>5</v>
      </c>
      <c r="D2880">
        <v>1</v>
      </c>
      <c r="E2880">
        <v>2024</v>
      </c>
      <c r="F2880" s="1">
        <f t="shared" si="223"/>
        <v>45296</v>
      </c>
      <c r="G2880" s="1" t="s">
        <v>316</v>
      </c>
      <c r="H2880" s="2">
        <v>47356</v>
      </c>
      <c r="I2880" t="s">
        <v>38</v>
      </c>
      <c r="J2880">
        <v>2</v>
      </c>
      <c r="K2880">
        <v>64616.31</v>
      </c>
      <c r="L2880" t="s">
        <v>612</v>
      </c>
      <c r="M2880">
        <v>41</v>
      </c>
      <c r="N2880" t="s">
        <v>21</v>
      </c>
      <c r="O2880" s="3" t="s">
        <v>22</v>
      </c>
      <c r="P2880" t="s">
        <v>110</v>
      </c>
      <c r="Q2880" t="s">
        <v>30</v>
      </c>
      <c r="R2880">
        <v>5</v>
      </c>
      <c r="S2880" t="s">
        <v>42</v>
      </c>
      <c r="T2880" s="4">
        <f t="shared" si="224"/>
        <v>129232.62</v>
      </c>
      <c r="U2880" s="4" t="str">
        <f t="shared" si="225"/>
        <v>Good</v>
      </c>
      <c r="V2880" s="4" t="str">
        <f t="shared" si="221"/>
        <v>Good</v>
      </c>
      <c r="W2880" s="4"/>
      <c r="X2880" s="4"/>
      <c r="AJ2880" s="4"/>
    </row>
    <row r="2881" spans="1:36">
      <c r="A2881" t="str">
        <f t="shared" si="222"/>
        <v>Suni452880</v>
      </c>
      <c r="B2881">
        <v>2880</v>
      </c>
      <c r="C2881">
        <v>6</v>
      </c>
      <c r="D2881">
        <v>1</v>
      </c>
      <c r="E2881">
        <v>2024</v>
      </c>
      <c r="F2881" s="1">
        <f t="shared" si="223"/>
        <v>45297</v>
      </c>
      <c r="G2881" s="1" t="s">
        <v>316</v>
      </c>
      <c r="H2881" s="2">
        <v>47357</v>
      </c>
      <c r="I2881" t="s">
        <v>19</v>
      </c>
      <c r="J2881">
        <v>1</v>
      </c>
      <c r="K2881">
        <v>47831.27</v>
      </c>
      <c r="L2881" t="s">
        <v>1036</v>
      </c>
      <c r="M2881">
        <v>45</v>
      </c>
      <c r="N2881" t="s">
        <v>21</v>
      </c>
      <c r="O2881" s="3" t="s">
        <v>22</v>
      </c>
      <c r="P2881" t="s">
        <v>45</v>
      </c>
      <c r="Q2881" t="s">
        <v>24</v>
      </c>
      <c r="R2881">
        <v>5</v>
      </c>
      <c r="S2881" t="s">
        <v>84</v>
      </c>
      <c r="T2881" s="4">
        <f t="shared" si="224"/>
        <v>47831.27</v>
      </c>
      <c r="U2881" s="4" t="str">
        <f t="shared" si="225"/>
        <v>Good</v>
      </c>
      <c r="V2881" s="4" t="str">
        <f t="shared" ref="V2881:V2944" si="226">IF(T2881&gt;200000,"Excellent",IF(T2881&gt;100000,"Good",IF(T2881&gt;50000,"Average","Low")))</f>
        <v>Low</v>
      </c>
      <c r="W2881" s="4"/>
      <c r="X2881" s="4"/>
      <c r="AJ2881" s="4"/>
    </row>
    <row r="2882" spans="1:36">
      <c r="A2882" t="str">
        <f t="shared" ref="A2882:A2945" si="227">LEFT(L2882,4)&amp;M2882&amp;B2882</f>
        <v>Yoge392881</v>
      </c>
      <c r="B2882">
        <v>2881</v>
      </c>
      <c r="C2882">
        <v>6</v>
      </c>
      <c r="D2882">
        <v>1</v>
      </c>
      <c r="E2882">
        <v>2024</v>
      </c>
      <c r="F2882" s="1">
        <f t="shared" si="223"/>
        <v>45297</v>
      </c>
      <c r="G2882" s="1" t="s">
        <v>316</v>
      </c>
      <c r="H2882" s="2">
        <v>47358</v>
      </c>
      <c r="I2882" t="s">
        <v>26</v>
      </c>
      <c r="J2882">
        <v>8</v>
      </c>
      <c r="K2882">
        <v>44789.31</v>
      </c>
      <c r="L2882" t="s">
        <v>753</v>
      </c>
      <c r="M2882">
        <v>39</v>
      </c>
      <c r="N2882" t="s">
        <v>21</v>
      </c>
      <c r="O2882" s="3" t="s">
        <v>55</v>
      </c>
      <c r="P2882" t="s">
        <v>40</v>
      </c>
      <c r="Q2882" t="s">
        <v>41</v>
      </c>
      <c r="R2882">
        <v>2</v>
      </c>
      <c r="S2882" t="s">
        <v>31</v>
      </c>
      <c r="T2882" s="4">
        <f t="shared" si="224"/>
        <v>358314.48</v>
      </c>
      <c r="U2882" s="4" t="str">
        <f t="shared" si="225"/>
        <v>Average</v>
      </c>
      <c r="V2882" s="4" t="str">
        <f t="shared" si="226"/>
        <v>Excellent</v>
      </c>
      <c r="W2882" s="4"/>
      <c r="X2882" s="4"/>
      <c r="AJ2882" s="4"/>
    </row>
    <row r="2883" spans="1:36">
      <c r="A2883" t="str">
        <f t="shared" si="227"/>
        <v>Yoge332882</v>
      </c>
      <c r="B2883">
        <v>2882</v>
      </c>
      <c r="C2883">
        <v>6</v>
      </c>
      <c r="D2883">
        <v>1</v>
      </c>
      <c r="E2883">
        <v>2024</v>
      </c>
      <c r="F2883" s="1">
        <f t="shared" ref="F2883:F2946" si="228">DATE(E2883,D2883,C2883)</f>
        <v>45297</v>
      </c>
      <c r="G2883" s="1" t="s">
        <v>316</v>
      </c>
      <c r="H2883" s="2">
        <v>47359</v>
      </c>
      <c r="I2883" t="s">
        <v>49</v>
      </c>
      <c r="J2883">
        <v>3</v>
      </c>
      <c r="K2883">
        <v>32205.360000000001</v>
      </c>
      <c r="L2883" t="s">
        <v>276</v>
      </c>
      <c r="M2883">
        <v>33</v>
      </c>
      <c r="N2883" t="s">
        <v>21</v>
      </c>
      <c r="O2883" s="3" t="s">
        <v>28</v>
      </c>
      <c r="P2883" t="s">
        <v>23</v>
      </c>
      <c r="Q2883" t="s">
        <v>41</v>
      </c>
      <c r="R2883">
        <v>3</v>
      </c>
      <c r="S2883" t="s">
        <v>102</v>
      </c>
      <c r="T2883" s="4">
        <f t="shared" ref="T2883:T2946" si="229">J2883*K2883</f>
        <v>96616.08</v>
      </c>
      <c r="U2883" s="4" t="str">
        <f t="shared" ref="U2883:U2946" si="230">IF(R2883&gt;=4,"Good","Average")</f>
        <v>Average</v>
      </c>
      <c r="V2883" s="4" t="str">
        <f t="shared" si="226"/>
        <v>Average</v>
      </c>
      <c r="W2883" s="4"/>
      <c r="X2883" s="4"/>
      <c r="AJ2883" s="4"/>
    </row>
    <row r="2884" spans="1:36">
      <c r="A2884" t="str">
        <f t="shared" si="227"/>
        <v>Arun302883</v>
      </c>
      <c r="B2884">
        <v>2883</v>
      </c>
      <c r="C2884">
        <v>7</v>
      </c>
      <c r="D2884">
        <v>1</v>
      </c>
      <c r="E2884">
        <v>2024</v>
      </c>
      <c r="F2884" s="1">
        <f t="shared" si="228"/>
        <v>45298</v>
      </c>
      <c r="G2884" s="1" t="s">
        <v>316</v>
      </c>
      <c r="H2884" s="2">
        <v>47360</v>
      </c>
      <c r="I2884" t="s">
        <v>26</v>
      </c>
      <c r="J2884">
        <v>1</v>
      </c>
      <c r="K2884">
        <v>11100.3</v>
      </c>
      <c r="L2884" t="s">
        <v>492</v>
      </c>
      <c r="M2884">
        <v>30</v>
      </c>
      <c r="N2884" t="s">
        <v>36</v>
      </c>
      <c r="O2884" s="3" t="s">
        <v>22</v>
      </c>
      <c r="P2884" t="s">
        <v>66</v>
      </c>
      <c r="Q2884" t="s">
        <v>30</v>
      </c>
      <c r="R2884">
        <v>5</v>
      </c>
      <c r="S2884" t="s">
        <v>31</v>
      </c>
      <c r="T2884" s="4">
        <f t="shared" si="229"/>
        <v>11100.3</v>
      </c>
      <c r="U2884" s="4" t="str">
        <f t="shared" si="230"/>
        <v>Good</v>
      </c>
      <c r="V2884" s="4" t="str">
        <f t="shared" si="226"/>
        <v>Low</v>
      </c>
      <c r="W2884" s="4"/>
      <c r="X2884" s="4"/>
      <c r="AJ2884" s="4"/>
    </row>
    <row r="2885" spans="1:36">
      <c r="A2885" t="str">
        <f t="shared" si="227"/>
        <v>Nikh532884</v>
      </c>
      <c r="B2885">
        <v>2884</v>
      </c>
      <c r="C2885">
        <v>7</v>
      </c>
      <c r="D2885">
        <v>1</v>
      </c>
      <c r="E2885">
        <v>2024</v>
      </c>
      <c r="F2885" s="1">
        <f t="shared" si="228"/>
        <v>45298</v>
      </c>
      <c r="G2885" s="1" t="s">
        <v>316</v>
      </c>
      <c r="H2885" s="2">
        <v>47361</v>
      </c>
      <c r="I2885" t="s">
        <v>43</v>
      </c>
      <c r="J2885">
        <v>1</v>
      </c>
      <c r="K2885">
        <v>17657.39</v>
      </c>
      <c r="L2885" t="s">
        <v>271</v>
      </c>
      <c r="M2885">
        <v>53</v>
      </c>
      <c r="N2885" t="s">
        <v>61</v>
      </c>
      <c r="O2885" s="3" t="s">
        <v>55</v>
      </c>
      <c r="P2885" t="s">
        <v>33</v>
      </c>
      <c r="Q2885" t="s">
        <v>24</v>
      </c>
      <c r="R2885">
        <v>2</v>
      </c>
      <c r="S2885" t="s">
        <v>57</v>
      </c>
      <c r="T2885" s="4">
        <f t="shared" si="229"/>
        <v>17657.39</v>
      </c>
      <c r="U2885" s="4" t="str">
        <f t="shared" si="230"/>
        <v>Average</v>
      </c>
      <c r="V2885" s="4" t="str">
        <f t="shared" si="226"/>
        <v>Low</v>
      </c>
      <c r="W2885" s="4"/>
      <c r="X2885" s="4"/>
      <c r="AJ2885" s="4"/>
    </row>
    <row r="2886" spans="1:36">
      <c r="A2886" t="str">
        <f t="shared" si="227"/>
        <v>Sumi532885</v>
      </c>
      <c r="B2886">
        <v>2885</v>
      </c>
      <c r="C2886">
        <v>7</v>
      </c>
      <c r="D2886">
        <v>1</v>
      </c>
      <c r="E2886">
        <v>2024</v>
      </c>
      <c r="F2886" s="1">
        <f t="shared" si="228"/>
        <v>45298</v>
      </c>
      <c r="G2886" s="1" t="s">
        <v>316</v>
      </c>
      <c r="H2886" s="2">
        <v>47362</v>
      </c>
      <c r="I2886" t="s">
        <v>49</v>
      </c>
      <c r="J2886">
        <v>2</v>
      </c>
      <c r="K2886">
        <v>55253.88</v>
      </c>
      <c r="L2886" t="s">
        <v>156</v>
      </c>
      <c r="M2886">
        <v>53</v>
      </c>
      <c r="N2886" t="s">
        <v>61</v>
      </c>
      <c r="O2886" s="3" t="s">
        <v>22</v>
      </c>
      <c r="P2886" t="s">
        <v>29</v>
      </c>
      <c r="Q2886" t="s">
        <v>30</v>
      </c>
      <c r="R2886">
        <v>4</v>
      </c>
      <c r="S2886" t="s">
        <v>88</v>
      </c>
      <c r="T2886" s="4">
        <f t="shared" si="229"/>
        <v>110507.76</v>
      </c>
      <c r="U2886" s="4" t="str">
        <f t="shared" si="230"/>
        <v>Good</v>
      </c>
      <c r="V2886" s="4" t="str">
        <f t="shared" si="226"/>
        <v>Good</v>
      </c>
      <c r="W2886" s="4"/>
      <c r="X2886" s="4"/>
      <c r="AJ2886" s="4"/>
    </row>
    <row r="2887" spans="1:36">
      <c r="A2887" t="str">
        <f t="shared" si="227"/>
        <v>Tapa402886</v>
      </c>
      <c r="B2887">
        <v>2886</v>
      </c>
      <c r="C2887">
        <v>8</v>
      </c>
      <c r="D2887">
        <v>1</v>
      </c>
      <c r="E2887">
        <v>2024</v>
      </c>
      <c r="F2887" s="1">
        <f t="shared" si="228"/>
        <v>45299</v>
      </c>
      <c r="G2887" s="1" t="s">
        <v>316</v>
      </c>
      <c r="H2887" s="2">
        <v>47363</v>
      </c>
      <c r="I2887" t="s">
        <v>26</v>
      </c>
      <c r="J2887">
        <v>6</v>
      </c>
      <c r="K2887">
        <v>38292.410000000003</v>
      </c>
      <c r="L2887" t="s">
        <v>312</v>
      </c>
      <c r="M2887">
        <v>40</v>
      </c>
      <c r="N2887" t="s">
        <v>21</v>
      </c>
      <c r="O2887" s="3" t="s">
        <v>28</v>
      </c>
      <c r="P2887" t="s">
        <v>33</v>
      </c>
      <c r="Q2887" t="s">
        <v>30</v>
      </c>
      <c r="R2887">
        <v>3</v>
      </c>
      <c r="S2887" t="s">
        <v>67</v>
      </c>
      <c r="T2887" s="4">
        <f t="shared" si="229"/>
        <v>229754.46000000002</v>
      </c>
      <c r="U2887" s="4" t="str">
        <f t="shared" si="230"/>
        <v>Average</v>
      </c>
      <c r="V2887" s="4" t="str">
        <f t="shared" si="226"/>
        <v>Excellent</v>
      </c>
      <c r="W2887" s="4"/>
      <c r="X2887" s="4"/>
      <c r="AJ2887" s="4"/>
    </row>
    <row r="2888" spans="1:36">
      <c r="A2888" t="str">
        <f t="shared" si="227"/>
        <v>Sumi312887</v>
      </c>
      <c r="B2888">
        <v>2887</v>
      </c>
      <c r="C2888">
        <v>8</v>
      </c>
      <c r="D2888">
        <v>1</v>
      </c>
      <c r="E2888">
        <v>2024</v>
      </c>
      <c r="F2888" s="1">
        <f t="shared" si="228"/>
        <v>45299</v>
      </c>
      <c r="G2888" s="1" t="s">
        <v>316</v>
      </c>
      <c r="H2888" s="2">
        <v>47364</v>
      </c>
      <c r="I2888" t="s">
        <v>38</v>
      </c>
      <c r="J2888">
        <v>6</v>
      </c>
      <c r="K2888">
        <v>18990.29</v>
      </c>
      <c r="L2888" t="s">
        <v>695</v>
      </c>
      <c r="M2888">
        <v>31</v>
      </c>
      <c r="N2888" t="s">
        <v>21</v>
      </c>
      <c r="O2888" s="3" t="s">
        <v>22</v>
      </c>
      <c r="P2888" t="s">
        <v>77</v>
      </c>
      <c r="Q2888" t="s">
        <v>24</v>
      </c>
      <c r="R2888">
        <v>4</v>
      </c>
      <c r="S2888" t="s">
        <v>42</v>
      </c>
      <c r="T2888" s="4">
        <f t="shared" si="229"/>
        <v>113941.74</v>
      </c>
      <c r="U2888" s="4" t="str">
        <f t="shared" si="230"/>
        <v>Good</v>
      </c>
      <c r="V2888" s="4" t="str">
        <f t="shared" si="226"/>
        <v>Good</v>
      </c>
      <c r="W2888" s="4"/>
      <c r="X2888" s="4"/>
      <c r="AJ2888" s="4"/>
    </row>
    <row r="2889" spans="1:36">
      <c r="A2889" t="str">
        <f t="shared" si="227"/>
        <v>Priy492888</v>
      </c>
      <c r="B2889">
        <v>2888</v>
      </c>
      <c r="C2889">
        <v>8</v>
      </c>
      <c r="D2889">
        <v>1</v>
      </c>
      <c r="E2889">
        <v>2024</v>
      </c>
      <c r="F2889" s="1">
        <f t="shared" si="228"/>
        <v>45299</v>
      </c>
      <c r="G2889" s="1" t="s">
        <v>316</v>
      </c>
      <c r="H2889" s="2">
        <v>47365</v>
      </c>
      <c r="I2889" t="s">
        <v>49</v>
      </c>
      <c r="J2889">
        <v>3</v>
      </c>
      <c r="K2889">
        <v>25837.65</v>
      </c>
      <c r="L2889" t="s">
        <v>261</v>
      </c>
      <c r="M2889">
        <v>49</v>
      </c>
      <c r="N2889" t="s">
        <v>61</v>
      </c>
      <c r="O2889" s="3" t="s">
        <v>28</v>
      </c>
      <c r="P2889" t="s">
        <v>33</v>
      </c>
      <c r="Q2889" t="s">
        <v>30</v>
      </c>
      <c r="R2889">
        <v>3</v>
      </c>
      <c r="S2889" t="s">
        <v>52</v>
      </c>
      <c r="T2889" s="4">
        <f t="shared" si="229"/>
        <v>77512.950000000012</v>
      </c>
      <c r="U2889" s="4" t="str">
        <f t="shared" si="230"/>
        <v>Average</v>
      </c>
      <c r="V2889" s="4" t="str">
        <f t="shared" si="226"/>
        <v>Average</v>
      </c>
      <c r="W2889" s="4"/>
      <c r="X2889" s="4"/>
      <c r="AJ2889" s="4"/>
    </row>
    <row r="2890" spans="1:36">
      <c r="A2890" t="str">
        <f t="shared" si="227"/>
        <v>Anit202889</v>
      </c>
      <c r="B2890">
        <v>2889</v>
      </c>
      <c r="C2890">
        <v>8</v>
      </c>
      <c r="D2890">
        <v>1</v>
      </c>
      <c r="E2890">
        <v>2024</v>
      </c>
      <c r="F2890" s="1">
        <f t="shared" si="228"/>
        <v>45299</v>
      </c>
      <c r="G2890" s="1" t="s">
        <v>316</v>
      </c>
      <c r="H2890" s="2">
        <v>47366</v>
      </c>
      <c r="I2890" t="s">
        <v>49</v>
      </c>
      <c r="J2890">
        <v>4</v>
      </c>
      <c r="K2890">
        <v>66870.210000000006</v>
      </c>
      <c r="L2890" t="s">
        <v>869</v>
      </c>
      <c r="M2890">
        <v>20</v>
      </c>
      <c r="N2890" t="s">
        <v>36</v>
      </c>
      <c r="O2890" s="3" t="s">
        <v>55</v>
      </c>
      <c r="P2890" t="s">
        <v>59</v>
      </c>
      <c r="Q2890" t="s">
        <v>24</v>
      </c>
      <c r="R2890">
        <v>2</v>
      </c>
      <c r="S2890" t="s">
        <v>88</v>
      </c>
      <c r="T2890" s="4">
        <f t="shared" si="229"/>
        <v>267480.84000000003</v>
      </c>
      <c r="U2890" s="4" t="str">
        <f t="shared" si="230"/>
        <v>Average</v>
      </c>
      <c r="V2890" s="4" t="str">
        <f t="shared" si="226"/>
        <v>Excellent</v>
      </c>
      <c r="W2890" s="4"/>
      <c r="X2890" s="4"/>
      <c r="AJ2890" s="4"/>
    </row>
    <row r="2891" spans="1:36">
      <c r="A2891" t="str">
        <f t="shared" si="227"/>
        <v>Hari442890</v>
      </c>
      <c r="B2891">
        <v>2890</v>
      </c>
      <c r="C2891">
        <v>9</v>
      </c>
      <c r="D2891">
        <v>1</v>
      </c>
      <c r="E2891">
        <v>2024</v>
      </c>
      <c r="F2891" s="1">
        <f t="shared" si="228"/>
        <v>45300</v>
      </c>
      <c r="G2891" s="1" t="s">
        <v>316</v>
      </c>
      <c r="H2891" s="2">
        <v>47367</v>
      </c>
      <c r="I2891" t="s">
        <v>19</v>
      </c>
      <c r="J2891">
        <v>2</v>
      </c>
      <c r="K2891">
        <v>32027.97</v>
      </c>
      <c r="L2891" t="s">
        <v>704</v>
      </c>
      <c r="M2891">
        <v>44</v>
      </c>
      <c r="N2891" t="s">
        <v>21</v>
      </c>
      <c r="O2891" s="3" t="s">
        <v>22</v>
      </c>
      <c r="P2891" t="s">
        <v>29</v>
      </c>
      <c r="Q2891" t="s">
        <v>24</v>
      </c>
      <c r="R2891">
        <v>4</v>
      </c>
      <c r="S2891" t="s">
        <v>37</v>
      </c>
      <c r="T2891" s="4">
        <f t="shared" si="229"/>
        <v>64055.94</v>
      </c>
      <c r="U2891" s="4" t="str">
        <f t="shared" si="230"/>
        <v>Good</v>
      </c>
      <c r="V2891" s="4" t="str">
        <f t="shared" si="226"/>
        <v>Average</v>
      </c>
      <c r="W2891" s="4"/>
      <c r="X2891" s="4"/>
      <c r="AJ2891" s="4"/>
    </row>
    <row r="2892" spans="1:36">
      <c r="A2892" t="str">
        <f t="shared" si="227"/>
        <v>Shru362891</v>
      </c>
      <c r="B2892">
        <v>2891</v>
      </c>
      <c r="C2892">
        <v>9</v>
      </c>
      <c r="D2892">
        <v>1</v>
      </c>
      <c r="E2892">
        <v>2024</v>
      </c>
      <c r="F2892" s="1">
        <f t="shared" si="228"/>
        <v>45300</v>
      </c>
      <c r="G2892" s="1" t="s">
        <v>316</v>
      </c>
      <c r="H2892" s="2">
        <v>47368</v>
      </c>
      <c r="I2892" t="s">
        <v>38</v>
      </c>
      <c r="J2892">
        <v>2</v>
      </c>
      <c r="K2892">
        <v>64460.92</v>
      </c>
      <c r="L2892" t="s">
        <v>140</v>
      </c>
      <c r="M2892">
        <v>36</v>
      </c>
      <c r="N2892" t="s">
        <v>21</v>
      </c>
      <c r="O2892" s="3" t="s">
        <v>55</v>
      </c>
      <c r="P2892" t="s">
        <v>64</v>
      </c>
      <c r="Q2892" t="s">
        <v>30</v>
      </c>
      <c r="R2892">
        <v>2</v>
      </c>
      <c r="S2892" t="s">
        <v>48</v>
      </c>
      <c r="T2892" s="4">
        <f t="shared" si="229"/>
        <v>128921.84</v>
      </c>
      <c r="U2892" s="4" t="str">
        <f t="shared" si="230"/>
        <v>Average</v>
      </c>
      <c r="V2892" s="4" t="str">
        <f t="shared" si="226"/>
        <v>Good</v>
      </c>
      <c r="W2892" s="4"/>
      <c r="X2892" s="4"/>
      <c r="AJ2892" s="4"/>
    </row>
    <row r="2893" spans="1:36">
      <c r="A2893" t="str">
        <f t="shared" si="227"/>
        <v>Raje392892</v>
      </c>
      <c r="B2893">
        <v>2892</v>
      </c>
      <c r="C2893">
        <v>9</v>
      </c>
      <c r="D2893">
        <v>1</v>
      </c>
      <c r="E2893">
        <v>2024</v>
      </c>
      <c r="F2893" s="1">
        <f t="shared" si="228"/>
        <v>45300</v>
      </c>
      <c r="G2893" s="1" t="s">
        <v>316</v>
      </c>
      <c r="H2893" s="2">
        <v>47369</v>
      </c>
      <c r="I2893" t="s">
        <v>43</v>
      </c>
      <c r="J2893">
        <v>7</v>
      </c>
      <c r="K2893">
        <v>28278.15</v>
      </c>
      <c r="L2893" t="s">
        <v>323</v>
      </c>
      <c r="M2893">
        <v>39</v>
      </c>
      <c r="N2893" t="s">
        <v>21</v>
      </c>
      <c r="O2893" s="3" t="s">
        <v>22</v>
      </c>
      <c r="P2893" t="s">
        <v>29</v>
      </c>
      <c r="Q2893" t="s">
        <v>30</v>
      </c>
      <c r="R2893">
        <v>4</v>
      </c>
      <c r="S2893" t="s">
        <v>57</v>
      </c>
      <c r="T2893" s="4">
        <f t="shared" si="229"/>
        <v>197947.05000000002</v>
      </c>
      <c r="U2893" s="4" t="str">
        <f t="shared" si="230"/>
        <v>Good</v>
      </c>
      <c r="V2893" s="4" t="str">
        <f t="shared" si="226"/>
        <v>Good</v>
      </c>
      <c r="W2893" s="4"/>
      <c r="X2893" s="4"/>
      <c r="AJ2893" s="4"/>
    </row>
    <row r="2894" spans="1:36">
      <c r="A2894" t="str">
        <f t="shared" si="227"/>
        <v>Bina182893</v>
      </c>
      <c r="B2894">
        <v>2893</v>
      </c>
      <c r="C2894">
        <v>9</v>
      </c>
      <c r="D2894">
        <v>1</v>
      </c>
      <c r="E2894">
        <v>2024</v>
      </c>
      <c r="F2894" s="1">
        <f t="shared" si="228"/>
        <v>45300</v>
      </c>
      <c r="G2894" s="1" t="s">
        <v>316</v>
      </c>
      <c r="H2894" s="2">
        <v>47370</v>
      </c>
      <c r="I2894" t="s">
        <v>26</v>
      </c>
      <c r="J2894">
        <v>1</v>
      </c>
      <c r="K2894">
        <v>42593.21</v>
      </c>
      <c r="L2894" t="s">
        <v>572</v>
      </c>
      <c r="M2894">
        <v>18</v>
      </c>
      <c r="N2894" t="s">
        <v>36</v>
      </c>
      <c r="O2894" s="3" t="s">
        <v>28</v>
      </c>
      <c r="P2894" t="s">
        <v>29</v>
      </c>
      <c r="Q2894" t="s">
        <v>56</v>
      </c>
      <c r="R2894">
        <v>3</v>
      </c>
      <c r="S2894" t="s">
        <v>34</v>
      </c>
      <c r="T2894" s="4">
        <f t="shared" si="229"/>
        <v>42593.21</v>
      </c>
      <c r="U2894" s="4" t="str">
        <f t="shared" si="230"/>
        <v>Average</v>
      </c>
      <c r="V2894" s="4" t="str">
        <f t="shared" si="226"/>
        <v>Low</v>
      </c>
      <c r="W2894" s="4"/>
      <c r="X2894" s="4"/>
      <c r="AJ2894" s="4"/>
    </row>
    <row r="2895" spans="1:36">
      <c r="A2895" t="str">
        <f t="shared" si="227"/>
        <v>Lata222894</v>
      </c>
      <c r="B2895">
        <v>2894</v>
      </c>
      <c r="C2895">
        <v>10</v>
      </c>
      <c r="D2895">
        <v>1</v>
      </c>
      <c r="E2895">
        <v>2024</v>
      </c>
      <c r="F2895" s="1">
        <f t="shared" si="228"/>
        <v>45301</v>
      </c>
      <c r="G2895" s="1" t="s">
        <v>316</v>
      </c>
      <c r="H2895" s="2">
        <v>47371</v>
      </c>
      <c r="I2895" t="s">
        <v>19</v>
      </c>
      <c r="J2895">
        <v>7</v>
      </c>
      <c r="K2895">
        <v>11228.63</v>
      </c>
      <c r="L2895" t="s">
        <v>314</v>
      </c>
      <c r="M2895">
        <v>22</v>
      </c>
      <c r="N2895" t="s">
        <v>36</v>
      </c>
      <c r="O2895" s="3" t="s">
        <v>55</v>
      </c>
      <c r="P2895" t="s">
        <v>29</v>
      </c>
      <c r="Q2895" t="s">
        <v>41</v>
      </c>
      <c r="R2895">
        <v>2</v>
      </c>
      <c r="S2895" t="s">
        <v>25</v>
      </c>
      <c r="T2895" s="4">
        <f t="shared" si="229"/>
        <v>78600.409999999989</v>
      </c>
      <c r="U2895" s="4" t="str">
        <f t="shared" si="230"/>
        <v>Average</v>
      </c>
      <c r="V2895" s="4" t="str">
        <f t="shared" si="226"/>
        <v>Average</v>
      </c>
      <c r="W2895" s="4"/>
      <c r="X2895" s="4"/>
      <c r="AJ2895" s="4"/>
    </row>
    <row r="2896" spans="1:36">
      <c r="A2896" t="str">
        <f t="shared" si="227"/>
        <v>Deep502895</v>
      </c>
      <c r="B2896">
        <v>2895</v>
      </c>
      <c r="C2896">
        <v>10</v>
      </c>
      <c r="D2896">
        <v>1</v>
      </c>
      <c r="E2896">
        <v>2024</v>
      </c>
      <c r="F2896" s="1">
        <f t="shared" si="228"/>
        <v>45301</v>
      </c>
      <c r="G2896" s="1" t="s">
        <v>316</v>
      </c>
      <c r="H2896" s="2">
        <v>47372</v>
      </c>
      <c r="I2896" t="s">
        <v>26</v>
      </c>
      <c r="J2896">
        <v>1</v>
      </c>
      <c r="K2896">
        <v>41312.51</v>
      </c>
      <c r="L2896" t="s">
        <v>1027</v>
      </c>
      <c r="M2896">
        <v>50</v>
      </c>
      <c r="N2896" t="s">
        <v>61</v>
      </c>
      <c r="O2896" s="3" t="s">
        <v>28</v>
      </c>
      <c r="P2896" t="s">
        <v>132</v>
      </c>
      <c r="Q2896" t="s">
        <v>41</v>
      </c>
      <c r="R2896">
        <v>3</v>
      </c>
      <c r="S2896" t="s">
        <v>31</v>
      </c>
      <c r="T2896" s="4">
        <f t="shared" si="229"/>
        <v>41312.51</v>
      </c>
      <c r="U2896" s="4" t="str">
        <f t="shared" si="230"/>
        <v>Average</v>
      </c>
      <c r="V2896" s="4" t="str">
        <f t="shared" si="226"/>
        <v>Low</v>
      </c>
      <c r="W2896" s="4"/>
      <c r="X2896" s="4"/>
      <c r="AJ2896" s="4"/>
    </row>
    <row r="2897" spans="1:36">
      <c r="A2897" t="str">
        <f t="shared" si="227"/>
        <v>Moni362896</v>
      </c>
      <c r="B2897">
        <v>2896</v>
      </c>
      <c r="C2897">
        <v>10</v>
      </c>
      <c r="D2897">
        <v>1</v>
      </c>
      <c r="E2897">
        <v>2024</v>
      </c>
      <c r="F2897" s="1">
        <f t="shared" si="228"/>
        <v>45301</v>
      </c>
      <c r="G2897" s="1" t="s">
        <v>316</v>
      </c>
      <c r="H2897" s="2">
        <v>47373</v>
      </c>
      <c r="I2897" t="s">
        <v>43</v>
      </c>
      <c r="J2897">
        <v>6</v>
      </c>
      <c r="K2897">
        <v>48216.52</v>
      </c>
      <c r="L2897" t="s">
        <v>955</v>
      </c>
      <c r="M2897">
        <v>36</v>
      </c>
      <c r="N2897" t="s">
        <v>21</v>
      </c>
      <c r="O2897" s="3" t="s">
        <v>28</v>
      </c>
      <c r="P2897" t="s">
        <v>33</v>
      </c>
      <c r="Q2897" t="s">
        <v>24</v>
      </c>
      <c r="R2897">
        <v>3</v>
      </c>
      <c r="S2897" t="s">
        <v>57</v>
      </c>
      <c r="T2897" s="4">
        <f t="shared" si="229"/>
        <v>289299.12</v>
      </c>
      <c r="U2897" s="4" t="str">
        <f t="shared" si="230"/>
        <v>Average</v>
      </c>
      <c r="V2897" s="4" t="str">
        <f t="shared" si="226"/>
        <v>Excellent</v>
      </c>
      <c r="W2897" s="4"/>
      <c r="X2897" s="4"/>
      <c r="AJ2897" s="4"/>
    </row>
    <row r="2898" spans="1:36">
      <c r="A2898" t="str">
        <f t="shared" si="227"/>
        <v>Moni532897</v>
      </c>
      <c r="B2898">
        <v>2897</v>
      </c>
      <c r="C2898">
        <v>11</v>
      </c>
      <c r="D2898">
        <v>1</v>
      </c>
      <c r="E2898">
        <v>2024</v>
      </c>
      <c r="F2898" s="1">
        <f t="shared" si="228"/>
        <v>45302</v>
      </c>
      <c r="G2898" s="1" t="s">
        <v>316</v>
      </c>
      <c r="H2898" s="2">
        <v>47374</v>
      </c>
      <c r="I2898" t="s">
        <v>43</v>
      </c>
      <c r="J2898">
        <v>3</v>
      </c>
      <c r="K2898">
        <v>24058.31</v>
      </c>
      <c r="L2898" t="s">
        <v>865</v>
      </c>
      <c r="M2898">
        <v>53</v>
      </c>
      <c r="N2898" t="s">
        <v>61</v>
      </c>
      <c r="O2898" s="3" t="s">
        <v>22</v>
      </c>
      <c r="P2898" t="s">
        <v>29</v>
      </c>
      <c r="Q2898" t="s">
        <v>56</v>
      </c>
      <c r="R2898">
        <v>4</v>
      </c>
      <c r="S2898" t="s">
        <v>95</v>
      </c>
      <c r="T2898" s="4">
        <f t="shared" si="229"/>
        <v>72174.930000000008</v>
      </c>
      <c r="U2898" s="4" t="str">
        <f t="shared" si="230"/>
        <v>Good</v>
      </c>
      <c r="V2898" s="4" t="str">
        <f t="shared" si="226"/>
        <v>Average</v>
      </c>
      <c r="W2898" s="4"/>
      <c r="X2898" s="4"/>
      <c r="AJ2898" s="4"/>
    </row>
    <row r="2899" spans="1:36">
      <c r="A2899" t="str">
        <f t="shared" si="227"/>
        <v>Lali232898</v>
      </c>
      <c r="B2899">
        <v>2898</v>
      </c>
      <c r="C2899">
        <v>11</v>
      </c>
      <c r="D2899">
        <v>1</v>
      </c>
      <c r="E2899">
        <v>2024</v>
      </c>
      <c r="F2899" s="1">
        <f t="shared" si="228"/>
        <v>45302</v>
      </c>
      <c r="G2899" s="1" t="s">
        <v>316</v>
      </c>
      <c r="H2899" s="2">
        <v>47375</v>
      </c>
      <c r="I2899" t="s">
        <v>49</v>
      </c>
      <c r="J2899">
        <v>8</v>
      </c>
      <c r="K2899">
        <v>44736.23</v>
      </c>
      <c r="L2899" t="s">
        <v>896</v>
      </c>
      <c r="M2899">
        <v>23</v>
      </c>
      <c r="N2899" t="s">
        <v>36</v>
      </c>
      <c r="O2899" s="3" t="s">
        <v>22</v>
      </c>
      <c r="P2899" t="s">
        <v>29</v>
      </c>
      <c r="Q2899" t="s">
        <v>24</v>
      </c>
      <c r="R2899">
        <v>4</v>
      </c>
      <c r="S2899" t="s">
        <v>88</v>
      </c>
      <c r="T2899" s="4">
        <f t="shared" si="229"/>
        <v>357889.84</v>
      </c>
      <c r="U2899" s="4" t="str">
        <f t="shared" si="230"/>
        <v>Good</v>
      </c>
      <c r="V2899" s="4" t="str">
        <f t="shared" si="226"/>
        <v>Excellent</v>
      </c>
      <c r="W2899" s="4"/>
      <c r="X2899" s="4"/>
      <c r="AJ2899" s="4"/>
    </row>
    <row r="2900" spans="1:36">
      <c r="A2900" t="str">
        <f t="shared" si="227"/>
        <v>Arun322899</v>
      </c>
      <c r="B2900">
        <v>2899</v>
      </c>
      <c r="C2900">
        <v>11</v>
      </c>
      <c r="D2900">
        <v>1</v>
      </c>
      <c r="E2900">
        <v>2024</v>
      </c>
      <c r="F2900" s="1">
        <f t="shared" si="228"/>
        <v>45302</v>
      </c>
      <c r="G2900" s="1" t="s">
        <v>316</v>
      </c>
      <c r="H2900" s="2">
        <v>47376</v>
      </c>
      <c r="I2900" t="s">
        <v>43</v>
      </c>
      <c r="J2900">
        <v>6</v>
      </c>
      <c r="K2900">
        <v>48830.07</v>
      </c>
      <c r="L2900" t="s">
        <v>720</v>
      </c>
      <c r="M2900">
        <v>32</v>
      </c>
      <c r="N2900" t="s">
        <v>21</v>
      </c>
      <c r="O2900" s="3" t="s">
        <v>55</v>
      </c>
      <c r="P2900" t="s">
        <v>114</v>
      </c>
      <c r="Q2900" t="s">
        <v>56</v>
      </c>
      <c r="R2900">
        <v>2</v>
      </c>
      <c r="S2900" t="s">
        <v>46</v>
      </c>
      <c r="T2900" s="4">
        <f t="shared" si="229"/>
        <v>292980.42</v>
      </c>
      <c r="U2900" s="4" t="str">
        <f t="shared" si="230"/>
        <v>Average</v>
      </c>
      <c r="V2900" s="4" t="str">
        <f t="shared" si="226"/>
        <v>Excellent</v>
      </c>
      <c r="W2900" s="4"/>
      <c r="X2900" s="4"/>
      <c r="AJ2900" s="4"/>
    </row>
    <row r="2901" spans="1:36">
      <c r="A2901" t="str">
        <f t="shared" si="227"/>
        <v>Jyot532900</v>
      </c>
      <c r="B2901">
        <v>2900</v>
      </c>
      <c r="C2901">
        <v>11</v>
      </c>
      <c r="D2901">
        <v>1</v>
      </c>
      <c r="E2901">
        <v>2024</v>
      </c>
      <c r="F2901" s="1">
        <f t="shared" si="228"/>
        <v>45302</v>
      </c>
      <c r="G2901" s="1" t="s">
        <v>316</v>
      </c>
      <c r="H2901" s="2">
        <v>47377</v>
      </c>
      <c r="I2901" t="s">
        <v>26</v>
      </c>
      <c r="J2901">
        <v>2</v>
      </c>
      <c r="K2901">
        <v>51213.16</v>
      </c>
      <c r="L2901" t="s">
        <v>1037</v>
      </c>
      <c r="M2901">
        <v>53</v>
      </c>
      <c r="N2901" t="s">
        <v>61</v>
      </c>
      <c r="O2901" s="3" t="s">
        <v>22</v>
      </c>
      <c r="P2901" t="s">
        <v>117</v>
      </c>
      <c r="Q2901" t="s">
        <v>24</v>
      </c>
      <c r="R2901">
        <v>5</v>
      </c>
      <c r="S2901" t="s">
        <v>67</v>
      </c>
      <c r="T2901" s="4">
        <f t="shared" si="229"/>
        <v>102426.32</v>
      </c>
      <c r="U2901" s="4" t="str">
        <f t="shared" si="230"/>
        <v>Good</v>
      </c>
      <c r="V2901" s="4" t="str">
        <f t="shared" si="226"/>
        <v>Good</v>
      </c>
      <c r="W2901" s="4"/>
      <c r="X2901" s="4"/>
      <c r="AJ2901" s="4"/>
    </row>
    <row r="2902" spans="1:36">
      <c r="A2902" t="str">
        <f t="shared" si="227"/>
        <v>Kavi502901</v>
      </c>
      <c r="B2902">
        <v>2901</v>
      </c>
      <c r="C2902">
        <v>12</v>
      </c>
      <c r="D2902">
        <v>1</v>
      </c>
      <c r="E2902">
        <v>2024</v>
      </c>
      <c r="F2902" s="1">
        <f t="shared" si="228"/>
        <v>45303</v>
      </c>
      <c r="G2902" s="1" t="s">
        <v>316</v>
      </c>
      <c r="H2902" s="2">
        <v>47378</v>
      </c>
      <c r="I2902" t="s">
        <v>38</v>
      </c>
      <c r="J2902">
        <v>8</v>
      </c>
      <c r="K2902">
        <v>56584.2</v>
      </c>
      <c r="L2902" t="s">
        <v>859</v>
      </c>
      <c r="M2902">
        <v>50</v>
      </c>
      <c r="N2902" t="s">
        <v>61</v>
      </c>
      <c r="O2902" s="3" t="s">
        <v>55</v>
      </c>
      <c r="P2902" t="s">
        <v>70</v>
      </c>
      <c r="Q2902" t="s">
        <v>41</v>
      </c>
      <c r="R2902">
        <v>2</v>
      </c>
      <c r="S2902" t="s">
        <v>48</v>
      </c>
      <c r="T2902" s="4">
        <f t="shared" si="229"/>
        <v>452673.6</v>
      </c>
      <c r="U2902" s="4" t="str">
        <f t="shared" si="230"/>
        <v>Average</v>
      </c>
      <c r="V2902" s="4" t="str">
        <f t="shared" si="226"/>
        <v>Excellent</v>
      </c>
      <c r="W2902" s="4"/>
      <c r="X2902" s="4"/>
      <c r="AJ2902" s="4"/>
    </row>
    <row r="2903" spans="1:36">
      <c r="A2903" t="str">
        <f t="shared" si="227"/>
        <v>Sach412902</v>
      </c>
      <c r="B2903">
        <v>2902</v>
      </c>
      <c r="C2903">
        <v>12</v>
      </c>
      <c r="D2903">
        <v>1</v>
      </c>
      <c r="E2903">
        <v>2024</v>
      </c>
      <c r="F2903" s="1">
        <f t="shared" si="228"/>
        <v>45303</v>
      </c>
      <c r="G2903" s="1" t="s">
        <v>316</v>
      </c>
      <c r="H2903" s="2">
        <v>47379</v>
      </c>
      <c r="I2903" t="s">
        <v>38</v>
      </c>
      <c r="J2903">
        <v>5</v>
      </c>
      <c r="K2903">
        <v>28680.35</v>
      </c>
      <c r="L2903" t="s">
        <v>595</v>
      </c>
      <c r="M2903">
        <v>41</v>
      </c>
      <c r="N2903" t="s">
        <v>21</v>
      </c>
      <c r="O2903" s="3" t="s">
        <v>22</v>
      </c>
      <c r="P2903" t="s">
        <v>33</v>
      </c>
      <c r="Q2903" t="s">
        <v>56</v>
      </c>
      <c r="R2903">
        <v>4</v>
      </c>
      <c r="S2903" t="s">
        <v>42</v>
      </c>
      <c r="T2903" s="4">
        <f t="shared" si="229"/>
        <v>143401.75</v>
      </c>
      <c r="U2903" s="4" t="str">
        <f t="shared" si="230"/>
        <v>Good</v>
      </c>
      <c r="V2903" s="4" t="str">
        <f t="shared" si="226"/>
        <v>Good</v>
      </c>
      <c r="W2903" s="4"/>
      <c r="X2903" s="4"/>
      <c r="AJ2903" s="4"/>
    </row>
    <row r="2904" spans="1:36">
      <c r="A2904" t="str">
        <f t="shared" si="227"/>
        <v>Deep442903</v>
      </c>
      <c r="B2904">
        <v>2903</v>
      </c>
      <c r="C2904">
        <v>12</v>
      </c>
      <c r="D2904">
        <v>1</v>
      </c>
      <c r="E2904">
        <v>2024</v>
      </c>
      <c r="F2904" s="1">
        <f t="shared" si="228"/>
        <v>45303</v>
      </c>
      <c r="G2904" s="1" t="s">
        <v>316</v>
      </c>
      <c r="H2904" s="2">
        <v>47380</v>
      </c>
      <c r="I2904" t="s">
        <v>49</v>
      </c>
      <c r="J2904">
        <v>8</v>
      </c>
      <c r="K2904">
        <v>44066.62</v>
      </c>
      <c r="L2904" t="s">
        <v>627</v>
      </c>
      <c r="M2904">
        <v>44</v>
      </c>
      <c r="N2904" t="s">
        <v>21</v>
      </c>
      <c r="O2904" s="3" t="s">
        <v>28</v>
      </c>
      <c r="P2904" t="s">
        <v>110</v>
      </c>
      <c r="Q2904" t="s">
        <v>30</v>
      </c>
      <c r="R2904">
        <v>3</v>
      </c>
      <c r="S2904" t="s">
        <v>102</v>
      </c>
      <c r="T2904" s="4">
        <f t="shared" si="229"/>
        <v>352532.96</v>
      </c>
      <c r="U2904" s="4" t="str">
        <f t="shared" si="230"/>
        <v>Average</v>
      </c>
      <c r="V2904" s="4" t="str">
        <f t="shared" si="226"/>
        <v>Excellent</v>
      </c>
      <c r="W2904" s="4"/>
      <c r="X2904" s="4"/>
      <c r="AJ2904" s="4"/>
    </row>
    <row r="2905" spans="1:36">
      <c r="A2905" t="str">
        <f t="shared" si="227"/>
        <v>Kris282904</v>
      </c>
      <c r="B2905">
        <v>2904</v>
      </c>
      <c r="C2905">
        <v>12</v>
      </c>
      <c r="D2905">
        <v>1</v>
      </c>
      <c r="E2905">
        <v>2024</v>
      </c>
      <c r="F2905" s="1">
        <f t="shared" si="228"/>
        <v>45303</v>
      </c>
      <c r="G2905" s="1" t="s">
        <v>316</v>
      </c>
      <c r="H2905" s="2">
        <v>47381</v>
      </c>
      <c r="I2905" t="s">
        <v>26</v>
      </c>
      <c r="J2905">
        <v>8</v>
      </c>
      <c r="K2905">
        <v>68894.740000000005</v>
      </c>
      <c r="L2905" t="s">
        <v>761</v>
      </c>
      <c r="M2905">
        <v>28</v>
      </c>
      <c r="N2905" t="s">
        <v>36</v>
      </c>
      <c r="O2905" s="3" t="s">
        <v>55</v>
      </c>
      <c r="P2905" t="s">
        <v>29</v>
      </c>
      <c r="Q2905" t="s">
        <v>30</v>
      </c>
      <c r="R2905">
        <v>2</v>
      </c>
      <c r="S2905" t="s">
        <v>31</v>
      </c>
      <c r="T2905" s="4">
        <f t="shared" si="229"/>
        <v>551157.92000000004</v>
      </c>
      <c r="U2905" s="4" t="str">
        <f t="shared" si="230"/>
        <v>Average</v>
      </c>
      <c r="V2905" s="4" t="str">
        <f t="shared" si="226"/>
        <v>Excellent</v>
      </c>
      <c r="W2905" s="4"/>
      <c r="X2905" s="4"/>
      <c r="AJ2905" s="4"/>
    </row>
    <row r="2906" spans="1:36">
      <c r="A2906" t="str">
        <f t="shared" si="227"/>
        <v>Vive402905</v>
      </c>
      <c r="B2906">
        <v>2905</v>
      </c>
      <c r="C2906">
        <v>13</v>
      </c>
      <c r="D2906">
        <v>1</v>
      </c>
      <c r="E2906">
        <v>2024</v>
      </c>
      <c r="F2906" s="1">
        <f t="shared" si="228"/>
        <v>45304</v>
      </c>
      <c r="G2906" s="1" t="s">
        <v>316</v>
      </c>
      <c r="H2906" s="2">
        <v>47382</v>
      </c>
      <c r="I2906" t="s">
        <v>26</v>
      </c>
      <c r="J2906">
        <v>6</v>
      </c>
      <c r="K2906">
        <v>63888.65</v>
      </c>
      <c r="L2906" t="s">
        <v>629</v>
      </c>
      <c r="M2906">
        <v>40</v>
      </c>
      <c r="N2906" t="s">
        <v>21</v>
      </c>
      <c r="O2906" s="3" t="s">
        <v>55</v>
      </c>
      <c r="P2906" t="s">
        <v>23</v>
      </c>
      <c r="Q2906" t="s">
        <v>41</v>
      </c>
      <c r="R2906">
        <v>2</v>
      </c>
      <c r="S2906" t="s">
        <v>67</v>
      </c>
      <c r="T2906" s="4">
        <f t="shared" si="229"/>
        <v>383331.9</v>
      </c>
      <c r="U2906" s="4" t="str">
        <f t="shared" si="230"/>
        <v>Average</v>
      </c>
      <c r="V2906" s="4" t="str">
        <f t="shared" si="226"/>
        <v>Excellent</v>
      </c>
      <c r="W2906" s="4"/>
      <c r="X2906" s="4"/>
      <c r="AJ2906" s="4"/>
    </row>
    <row r="2907" spans="1:36">
      <c r="A2907" t="str">
        <f t="shared" si="227"/>
        <v>Sanj502906</v>
      </c>
      <c r="B2907">
        <v>2906</v>
      </c>
      <c r="C2907">
        <v>13</v>
      </c>
      <c r="D2907">
        <v>1</v>
      </c>
      <c r="E2907">
        <v>2024</v>
      </c>
      <c r="F2907" s="1">
        <f t="shared" si="228"/>
        <v>45304</v>
      </c>
      <c r="G2907" s="1" t="s">
        <v>316</v>
      </c>
      <c r="H2907" s="2">
        <v>47383</v>
      </c>
      <c r="I2907" t="s">
        <v>43</v>
      </c>
      <c r="J2907">
        <v>2</v>
      </c>
      <c r="K2907">
        <v>67159.929999999993</v>
      </c>
      <c r="L2907" t="s">
        <v>216</v>
      </c>
      <c r="M2907">
        <v>50</v>
      </c>
      <c r="N2907" t="s">
        <v>61</v>
      </c>
      <c r="O2907" s="3" t="s">
        <v>55</v>
      </c>
      <c r="P2907" t="s">
        <v>29</v>
      </c>
      <c r="Q2907" t="s">
        <v>56</v>
      </c>
      <c r="R2907">
        <v>2</v>
      </c>
      <c r="S2907" t="s">
        <v>57</v>
      </c>
      <c r="T2907" s="4">
        <f t="shared" si="229"/>
        <v>134319.85999999999</v>
      </c>
      <c r="U2907" s="4" t="str">
        <f t="shared" si="230"/>
        <v>Average</v>
      </c>
      <c r="V2907" s="4" t="str">
        <f t="shared" si="226"/>
        <v>Good</v>
      </c>
      <c r="W2907" s="4"/>
      <c r="X2907" s="4"/>
      <c r="AJ2907" s="4"/>
    </row>
    <row r="2908" spans="1:36">
      <c r="A2908" t="str">
        <f t="shared" si="227"/>
        <v>Rame582907</v>
      </c>
      <c r="B2908">
        <v>2907</v>
      </c>
      <c r="C2908">
        <v>13</v>
      </c>
      <c r="D2908">
        <v>1</v>
      </c>
      <c r="E2908">
        <v>2024</v>
      </c>
      <c r="F2908" s="1">
        <f t="shared" si="228"/>
        <v>45304</v>
      </c>
      <c r="G2908" s="1" t="s">
        <v>316</v>
      </c>
      <c r="H2908" s="2">
        <v>47384</v>
      </c>
      <c r="I2908" t="s">
        <v>26</v>
      </c>
      <c r="J2908">
        <v>8</v>
      </c>
      <c r="K2908">
        <v>33168.18</v>
      </c>
      <c r="L2908" t="s">
        <v>739</v>
      </c>
      <c r="M2908">
        <v>58</v>
      </c>
      <c r="N2908" t="s">
        <v>61</v>
      </c>
      <c r="O2908" s="3" t="s">
        <v>55</v>
      </c>
      <c r="P2908" t="s">
        <v>29</v>
      </c>
      <c r="Q2908" t="s">
        <v>30</v>
      </c>
      <c r="R2908">
        <v>2</v>
      </c>
      <c r="S2908" t="s">
        <v>31</v>
      </c>
      <c r="T2908" s="4">
        <f t="shared" si="229"/>
        <v>265345.44</v>
      </c>
      <c r="U2908" s="4" t="str">
        <f t="shared" si="230"/>
        <v>Average</v>
      </c>
      <c r="V2908" s="4" t="str">
        <f t="shared" si="226"/>
        <v>Excellent</v>
      </c>
      <c r="W2908" s="4"/>
      <c r="X2908" s="4"/>
      <c r="AJ2908" s="4"/>
    </row>
    <row r="2909" spans="1:36">
      <c r="A2909" t="str">
        <f t="shared" si="227"/>
        <v>Vino462908</v>
      </c>
      <c r="B2909">
        <v>2908</v>
      </c>
      <c r="C2909">
        <v>14</v>
      </c>
      <c r="D2909">
        <v>1</v>
      </c>
      <c r="E2909">
        <v>2024</v>
      </c>
      <c r="F2909" s="1">
        <f t="shared" si="228"/>
        <v>45305</v>
      </c>
      <c r="G2909" s="1" t="s">
        <v>316</v>
      </c>
      <c r="H2909" s="2">
        <v>47385</v>
      </c>
      <c r="I2909" t="s">
        <v>19</v>
      </c>
      <c r="J2909">
        <v>6</v>
      </c>
      <c r="K2909">
        <v>57215.69</v>
      </c>
      <c r="L2909" t="s">
        <v>481</v>
      </c>
      <c r="M2909">
        <v>46</v>
      </c>
      <c r="N2909" t="s">
        <v>61</v>
      </c>
      <c r="O2909" s="3" t="s">
        <v>22</v>
      </c>
      <c r="P2909" t="s">
        <v>33</v>
      </c>
      <c r="Q2909" t="s">
        <v>30</v>
      </c>
      <c r="R2909">
        <v>5</v>
      </c>
      <c r="S2909" t="s">
        <v>37</v>
      </c>
      <c r="T2909" s="4">
        <f t="shared" si="229"/>
        <v>343294.14</v>
      </c>
      <c r="U2909" s="4" t="str">
        <f t="shared" si="230"/>
        <v>Good</v>
      </c>
      <c r="V2909" s="4" t="str">
        <f t="shared" si="226"/>
        <v>Excellent</v>
      </c>
      <c r="W2909" s="4"/>
      <c r="X2909" s="4"/>
      <c r="AJ2909" s="4"/>
    </row>
    <row r="2910" spans="1:36">
      <c r="A2910" t="str">
        <f t="shared" si="227"/>
        <v>Sneh482909</v>
      </c>
      <c r="B2910">
        <v>2909</v>
      </c>
      <c r="C2910">
        <v>14</v>
      </c>
      <c r="D2910">
        <v>1</v>
      </c>
      <c r="E2910">
        <v>2024</v>
      </c>
      <c r="F2910" s="1">
        <f t="shared" si="228"/>
        <v>45305</v>
      </c>
      <c r="G2910" s="1" t="s">
        <v>316</v>
      </c>
      <c r="H2910" s="2">
        <v>47386</v>
      </c>
      <c r="I2910" t="s">
        <v>43</v>
      </c>
      <c r="J2910">
        <v>6</v>
      </c>
      <c r="K2910">
        <v>47193.88</v>
      </c>
      <c r="L2910" t="s">
        <v>957</v>
      </c>
      <c r="M2910">
        <v>48</v>
      </c>
      <c r="N2910" t="s">
        <v>61</v>
      </c>
      <c r="O2910" s="3" t="s">
        <v>22</v>
      </c>
      <c r="P2910" t="s">
        <v>137</v>
      </c>
      <c r="Q2910" t="s">
        <v>30</v>
      </c>
      <c r="R2910">
        <v>5</v>
      </c>
      <c r="S2910" t="s">
        <v>57</v>
      </c>
      <c r="T2910" s="4">
        <f t="shared" si="229"/>
        <v>283163.27999999997</v>
      </c>
      <c r="U2910" s="4" t="str">
        <f t="shared" si="230"/>
        <v>Good</v>
      </c>
      <c r="V2910" s="4" t="str">
        <f t="shared" si="226"/>
        <v>Excellent</v>
      </c>
      <c r="W2910" s="4"/>
      <c r="X2910" s="4"/>
      <c r="AJ2910" s="4"/>
    </row>
    <row r="2911" spans="1:36">
      <c r="A2911" t="str">
        <f t="shared" si="227"/>
        <v>Deve182910</v>
      </c>
      <c r="B2911">
        <v>2910</v>
      </c>
      <c r="C2911">
        <v>14</v>
      </c>
      <c r="D2911">
        <v>1</v>
      </c>
      <c r="E2911">
        <v>2024</v>
      </c>
      <c r="F2911" s="1">
        <f t="shared" si="228"/>
        <v>45305</v>
      </c>
      <c r="G2911" s="1" t="s">
        <v>316</v>
      </c>
      <c r="H2911" s="2">
        <v>47387</v>
      </c>
      <c r="I2911" t="s">
        <v>19</v>
      </c>
      <c r="J2911">
        <v>8</v>
      </c>
      <c r="K2911">
        <v>14964.1</v>
      </c>
      <c r="L2911" t="s">
        <v>891</v>
      </c>
      <c r="M2911">
        <v>18</v>
      </c>
      <c r="N2911" t="s">
        <v>36</v>
      </c>
      <c r="O2911" s="3" t="s">
        <v>55</v>
      </c>
      <c r="P2911" t="s">
        <v>33</v>
      </c>
      <c r="Q2911" t="s">
        <v>41</v>
      </c>
      <c r="R2911">
        <v>2</v>
      </c>
      <c r="S2911" t="s">
        <v>25</v>
      </c>
      <c r="T2911" s="4">
        <f t="shared" si="229"/>
        <v>119712.8</v>
      </c>
      <c r="U2911" s="4" t="str">
        <f t="shared" si="230"/>
        <v>Average</v>
      </c>
      <c r="V2911" s="4" t="str">
        <f t="shared" si="226"/>
        <v>Good</v>
      </c>
      <c r="W2911" s="4"/>
      <c r="X2911" s="4"/>
      <c r="AJ2911" s="4"/>
    </row>
    <row r="2912" spans="1:36">
      <c r="A2912" t="str">
        <f t="shared" si="227"/>
        <v>Anja512911</v>
      </c>
      <c r="B2912">
        <v>2911</v>
      </c>
      <c r="C2912">
        <v>14</v>
      </c>
      <c r="D2912">
        <v>1</v>
      </c>
      <c r="E2912">
        <v>2024</v>
      </c>
      <c r="F2912" s="1">
        <f t="shared" si="228"/>
        <v>45305</v>
      </c>
      <c r="G2912" s="1" t="s">
        <v>316</v>
      </c>
      <c r="H2912" s="2">
        <v>47388</v>
      </c>
      <c r="I2912" t="s">
        <v>49</v>
      </c>
      <c r="J2912">
        <v>1</v>
      </c>
      <c r="K2912">
        <v>59438.82</v>
      </c>
      <c r="L2912" t="s">
        <v>958</v>
      </c>
      <c r="M2912">
        <v>51</v>
      </c>
      <c r="N2912" t="s">
        <v>61</v>
      </c>
      <c r="O2912" s="3" t="s">
        <v>22</v>
      </c>
      <c r="P2912" t="s">
        <v>23</v>
      </c>
      <c r="Q2912" t="s">
        <v>24</v>
      </c>
      <c r="R2912">
        <v>5</v>
      </c>
      <c r="S2912" t="s">
        <v>52</v>
      </c>
      <c r="T2912" s="4">
        <f t="shared" si="229"/>
        <v>59438.82</v>
      </c>
      <c r="U2912" s="4" t="str">
        <f t="shared" si="230"/>
        <v>Good</v>
      </c>
      <c r="V2912" s="4" t="str">
        <f t="shared" si="226"/>
        <v>Average</v>
      </c>
      <c r="W2912" s="4"/>
      <c r="X2912" s="4"/>
      <c r="AJ2912" s="4"/>
    </row>
    <row r="2913" spans="1:36">
      <c r="A2913" t="str">
        <f t="shared" si="227"/>
        <v>Umes352912</v>
      </c>
      <c r="B2913">
        <v>2912</v>
      </c>
      <c r="C2913">
        <v>15</v>
      </c>
      <c r="D2913">
        <v>1</v>
      </c>
      <c r="E2913">
        <v>2024</v>
      </c>
      <c r="F2913" s="1">
        <f t="shared" si="228"/>
        <v>45306</v>
      </c>
      <c r="G2913" s="1" t="s">
        <v>316</v>
      </c>
      <c r="H2913" s="2">
        <v>47389</v>
      </c>
      <c r="I2913" t="s">
        <v>38</v>
      </c>
      <c r="J2913">
        <v>2</v>
      </c>
      <c r="K2913">
        <v>50626.080000000002</v>
      </c>
      <c r="L2913" t="s">
        <v>98</v>
      </c>
      <c r="M2913">
        <v>35</v>
      </c>
      <c r="N2913" t="s">
        <v>21</v>
      </c>
      <c r="O2913" s="3" t="s">
        <v>22</v>
      </c>
      <c r="P2913" t="s">
        <v>33</v>
      </c>
      <c r="Q2913" t="s">
        <v>30</v>
      </c>
      <c r="R2913">
        <v>5</v>
      </c>
      <c r="S2913" t="s">
        <v>48</v>
      </c>
      <c r="T2913" s="4">
        <f t="shared" si="229"/>
        <v>101252.16</v>
      </c>
      <c r="U2913" s="4" t="str">
        <f t="shared" si="230"/>
        <v>Good</v>
      </c>
      <c r="V2913" s="4" t="str">
        <f t="shared" si="226"/>
        <v>Good</v>
      </c>
      <c r="W2913" s="4"/>
      <c r="X2913" s="4"/>
      <c r="AJ2913" s="4"/>
    </row>
    <row r="2914" spans="1:36">
      <c r="A2914" t="str">
        <f t="shared" si="227"/>
        <v>Umes352913</v>
      </c>
      <c r="B2914">
        <v>2913</v>
      </c>
      <c r="C2914">
        <v>15</v>
      </c>
      <c r="D2914">
        <v>1</v>
      </c>
      <c r="E2914">
        <v>2024</v>
      </c>
      <c r="F2914" s="1">
        <f t="shared" si="228"/>
        <v>45306</v>
      </c>
      <c r="G2914" s="1" t="s">
        <v>316</v>
      </c>
      <c r="H2914" s="2">
        <v>47390</v>
      </c>
      <c r="I2914" t="s">
        <v>49</v>
      </c>
      <c r="J2914">
        <v>9</v>
      </c>
      <c r="K2914">
        <v>21935.040000000001</v>
      </c>
      <c r="L2914" t="s">
        <v>1038</v>
      </c>
      <c r="M2914">
        <v>35</v>
      </c>
      <c r="N2914" t="s">
        <v>21</v>
      </c>
      <c r="O2914" s="3" t="s">
        <v>55</v>
      </c>
      <c r="P2914" t="s">
        <v>59</v>
      </c>
      <c r="Q2914" t="s">
        <v>30</v>
      </c>
      <c r="R2914">
        <v>2</v>
      </c>
      <c r="S2914" t="s">
        <v>102</v>
      </c>
      <c r="T2914" s="4">
        <f t="shared" si="229"/>
        <v>197415.36000000002</v>
      </c>
      <c r="U2914" s="4" t="str">
        <f t="shared" si="230"/>
        <v>Average</v>
      </c>
      <c r="V2914" s="4" t="str">
        <f t="shared" si="226"/>
        <v>Good</v>
      </c>
      <c r="W2914" s="4"/>
      <c r="X2914" s="4"/>
      <c r="AJ2914" s="4"/>
    </row>
    <row r="2915" spans="1:36">
      <c r="A2915" t="str">
        <f t="shared" si="227"/>
        <v>Deep232914</v>
      </c>
      <c r="B2915">
        <v>2914</v>
      </c>
      <c r="C2915">
        <v>15</v>
      </c>
      <c r="D2915">
        <v>1</v>
      </c>
      <c r="E2915">
        <v>2024</v>
      </c>
      <c r="F2915" s="1">
        <f t="shared" si="228"/>
        <v>45306</v>
      </c>
      <c r="G2915" s="1" t="s">
        <v>316</v>
      </c>
      <c r="H2915" s="2">
        <v>47391</v>
      </c>
      <c r="I2915" t="s">
        <v>38</v>
      </c>
      <c r="J2915">
        <v>8</v>
      </c>
      <c r="K2915">
        <v>14784.31</v>
      </c>
      <c r="L2915" t="s">
        <v>769</v>
      </c>
      <c r="M2915">
        <v>23</v>
      </c>
      <c r="N2915" t="s">
        <v>36</v>
      </c>
      <c r="O2915" s="3" t="s">
        <v>22</v>
      </c>
      <c r="P2915" t="s">
        <v>29</v>
      </c>
      <c r="Q2915" t="s">
        <v>24</v>
      </c>
      <c r="R2915">
        <v>4</v>
      </c>
      <c r="S2915" t="s">
        <v>99</v>
      </c>
      <c r="T2915" s="4">
        <f t="shared" si="229"/>
        <v>118274.48</v>
      </c>
      <c r="U2915" s="4" t="str">
        <f t="shared" si="230"/>
        <v>Good</v>
      </c>
      <c r="V2915" s="4" t="str">
        <f t="shared" si="226"/>
        <v>Good</v>
      </c>
      <c r="W2915" s="4"/>
      <c r="X2915" s="4"/>
      <c r="AJ2915" s="4"/>
    </row>
    <row r="2916" spans="1:36">
      <c r="A2916" t="str">
        <f t="shared" si="227"/>
        <v>Vive572915</v>
      </c>
      <c r="B2916">
        <v>2915</v>
      </c>
      <c r="C2916">
        <v>16</v>
      </c>
      <c r="D2916">
        <v>1</v>
      </c>
      <c r="E2916">
        <v>2024</v>
      </c>
      <c r="F2916" s="1">
        <f t="shared" si="228"/>
        <v>45307</v>
      </c>
      <c r="G2916" s="1" t="s">
        <v>316</v>
      </c>
      <c r="H2916" s="2">
        <v>47392</v>
      </c>
      <c r="I2916" t="s">
        <v>49</v>
      </c>
      <c r="J2916">
        <v>7</v>
      </c>
      <c r="K2916">
        <v>60221.33</v>
      </c>
      <c r="L2916" t="s">
        <v>233</v>
      </c>
      <c r="M2916">
        <v>57</v>
      </c>
      <c r="N2916" t="s">
        <v>61</v>
      </c>
      <c r="O2916" s="3" t="s">
        <v>22</v>
      </c>
      <c r="P2916" t="s">
        <v>29</v>
      </c>
      <c r="Q2916" t="s">
        <v>30</v>
      </c>
      <c r="R2916">
        <v>5</v>
      </c>
      <c r="S2916" t="s">
        <v>88</v>
      </c>
      <c r="T2916" s="4">
        <f t="shared" si="229"/>
        <v>421549.31</v>
      </c>
      <c r="U2916" s="4" t="str">
        <f t="shared" si="230"/>
        <v>Good</v>
      </c>
      <c r="V2916" s="4" t="str">
        <f t="shared" si="226"/>
        <v>Excellent</v>
      </c>
      <c r="W2916" s="4"/>
      <c r="X2916" s="4"/>
      <c r="AJ2916" s="4"/>
    </row>
    <row r="2917" spans="1:36">
      <c r="A2917" t="str">
        <f t="shared" si="227"/>
        <v>Anit182916</v>
      </c>
      <c r="B2917">
        <v>2916</v>
      </c>
      <c r="C2917">
        <v>16</v>
      </c>
      <c r="D2917">
        <v>1</v>
      </c>
      <c r="E2917">
        <v>2024</v>
      </c>
      <c r="F2917" s="1">
        <f t="shared" si="228"/>
        <v>45307</v>
      </c>
      <c r="G2917" s="1" t="s">
        <v>316</v>
      </c>
      <c r="H2917" s="2">
        <v>47393</v>
      </c>
      <c r="I2917" t="s">
        <v>26</v>
      </c>
      <c r="J2917">
        <v>7</v>
      </c>
      <c r="K2917">
        <v>14734.11</v>
      </c>
      <c r="L2917" t="s">
        <v>561</v>
      </c>
      <c r="M2917">
        <v>18</v>
      </c>
      <c r="N2917" t="s">
        <v>36</v>
      </c>
      <c r="O2917" s="3" t="s">
        <v>55</v>
      </c>
      <c r="P2917" t="s">
        <v>90</v>
      </c>
      <c r="Q2917" t="s">
        <v>56</v>
      </c>
      <c r="R2917">
        <v>2</v>
      </c>
      <c r="S2917" t="s">
        <v>34</v>
      </c>
      <c r="T2917" s="4">
        <f t="shared" si="229"/>
        <v>103138.77</v>
      </c>
      <c r="U2917" s="4" t="str">
        <f t="shared" si="230"/>
        <v>Average</v>
      </c>
      <c r="V2917" s="4" t="str">
        <f t="shared" si="226"/>
        <v>Good</v>
      </c>
      <c r="W2917" s="4"/>
      <c r="X2917" s="4"/>
      <c r="AJ2917" s="4"/>
    </row>
    <row r="2918" spans="1:36">
      <c r="A2918" t="str">
        <f t="shared" si="227"/>
        <v>Suni592917</v>
      </c>
      <c r="B2918">
        <v>2917</v>
      </c>
      <c r="C2918">
        <v>16</v>
      </c>
      <c r="D2918">
        <v>1</v>
      </c>
      <c r="E2918">
        <v>2024</v>
      </c>
      <c r="F2918" s="1">
        <f t="shared" si="228"/>
        <v>45307</v>
      </c>
      <c r="G2918" s="1" t="s">
        <v>316</v>
      </c>
      <c r="H2918" s="2">
        <v>47394</v>
      </c>
      <c r="I2918" t="s">
        <v>19</v>
      </c>
      <c r="J2918">
        <v>5</v>
      </c>
      <c r="K2918">
        <v>15481.23</v>
      </c>
      <c r="L2918" t="s">
        <v>776</v>
      </c>
      <c r="M2918">
        <v>59</v>
      </c>
      <c r="N2918" t="s">
        <v>61</v>
      </c>
      <c r="O2918" s="3" t="s">
        <v>22</v>
      </c>
      <c r="P2918" t="s">
        <v>33</v>
      </c>
      <c r="Q2918" t="s">
        <v>30</v>
      </c>
      <c r="R2918">
        <v>4</v>
      </c>
      <c r="S2918" t="s">
        <v>25</v>
      </c>
      <c r="T2918" s="4">
        <f t="shared" si="229"/>
        <v>77406.149999999994</v>
      </c>
      <c r="U2918" s="4" t="str">
        <f t="shared" si="230"/>
        <v>Good</v>
      </c>
      <c r="V2918" s="4" t="str">
        <f t="shared" si="226"/>
        <v>Average</v>
      </c>
      <c r="W2918" s="4"/>
      <c r="X2918" s="4"/>
      <c r="AJ2918" s="4"/>
    </row>
    <row r="2919" spans="1:36">
      <c r="A2919" t="str">
        <f t="shared" si="227"/>
        <v>Lali472918</v>
      </c>
      <c r="B2919">
        <v>2918</v>
      </c>
      <c r="C2919">
        <v>16</v>
      </c>
      <c r="D2919">
        <v>1</v>
      </c>
      <c r="E2919">
        <v>2024</v>
      </c>
      <c r="F2919" s="1">
        <f t="shared" si="228"/>
        <v>45307</v>
      </c>
      <c r="G2919" s="1" t="s">
        <v>316</v>
      </c>
      <c r="H2919" s="2">
        <v>47395</v>
      </c>
      <c r="I2919" t="s">
        <v>38</v>
      </c>
      <c r="J2919">
        <v>2</v>
      </c>
      <c r="K2919">
        <v>35644.5</v>
      </c>
      <c r="L2919" t="s">
        <v>896</v>
      </c>
      <c r="M2919">
        <v>47</v>
      </c>
      <c r="N2919" t="s">
        <v>61</v>
      </c>
      <c r="O2919" s="3" t="s">
        <v>22</v>
      </c>
      <c r="P2919" t="s">
        <v>51</v>
      </c>
      <c r="Q2919" t="s">
        <v>24</v>
      </c>
      <c r="R2919">
        <v>5</v>
      </c>
      <c r="S2919" t="s">
        <v>42</v>
      </c>
      <c r="T2919" s="4">
        <f t="shared" si="229"/>
        <v>71289</v>
      </c>
      <c r="U2919" s="4" t="str">
        <f t="shared" si="230"/>
        <v>Good</v>
      </c>
      <c r="V2919" s="4" t="str">
        <f t="shared" si="226"/>
        <v>Average</v>
      </c>
      <c r="W2919" s="4"/>
      <c r="X2919" s="4"/>
      <c r="AJ2919" s="4"/>
    </row>
    <row r="2920" spans="1:36">
      <c r="A2920" t="str">
        <f t="shared" si="227"/>
        <v>Moni212919</v>
      </c>
      <c r="B2920">
        <v>2919</v>
      </c>
      <c r="C2920">
        <v>17</v>
      </c>
      <c r="D2920">
        <v>1</v>
      </c>
      <c r="E2920">
        <v>2024</v>
      </c>
      <c r="F2920" s="1">
        <f t="shared" si="228"/>
        <v>45308</v>
      </c>
      <c r="G2920" s="1" t="s">
        <v>316</v>
      </c>
      <c r="H2920" s="2">
        <v>47396</v>
      </c>
      <c r="I2920" t="s">
        <v>43</v>
      </c>
      <c r="J2920">
        <v>6</v>
      </c>
      <c r="K2920">
        <v>18087.87</v>
      </c>
      <c r="L2920" t="s">
        <v>843</v>
      </c>
      <c r="M2920">
        <v>21</v>
      </c>
      <c r="N2920" t="s">
        <v>36</v>
      </c>
      <c r="O2920" s="3" t="s">
        <v>55</v>
      </c>
      <c r="P2920" t="s">
        <v>29</v>
      </c>
      <c r="Q2920" t="s">
        <v>41</v>
      </c>
      <c r="R2920">
        <v>2</v>
      </c>
      <c r="S2920" t="s">
        <v>57</v>
      </c>
      <c r="T2920" s="4">
        <f t="shared" si="229"/>
        <v>108527.22</v>
      </c>
      <c r="U2920" s="4" t="str">
        <f t="shared" si="230"/>
        <v>Average</v>
      </c>
      <c r="V2920" s="4" t="str">
        <f t="shared" si="226"/>
        <v>Good</v>
      </c>
      <c r="W2920" s="4"/>
      <c r="X2920" s="4"/>
      <c r="AJ2920" s="4"/>
    </row>
    <row r="2921" spans="1:36">
      <c r="A2921" t="str">
        <f t="shared" si="227"/>
        <v>Amit492920</v>
      </c>
      <c r="B2921">
        <v>2920</v>
      </c>
      <c r="C2921">
        <v>17</v>
      </c>
      <c r="D2921">
        <v>1</v>
      </c>
      <c r="E2921">
        <v>2024</v>
      </c>
      <c r="F2921" s="1">
        <f t="shared" si="228"/>
        <v>45308</v>
      </c>
      <c r="G2921" s="1" t="s">
        <v>316</v>
      </c>
      <c r="H2921" s="2">
        <v>47397</v>
      </c>
      <c r="I2921" t="s">
        <v>19</v>
      </c>
      <c r="J2921">
        <v>3</v>
      </c>
      <c r="K2921">
        <v>64820.18</v>
      </c>
      <c r="L2921" t="s">
        <v>416</v>
      </c>
      <c r="M2921">
        <v>49</v>
      </c>
      <c r="N2921" t="s">
        <v>61</v>
      </c>
      <c r="O2921" s="3" t="s">
        <v>22</v>
      </c>
      <c r="P2921" t="s">
        <v>33</v>
      </c>
      <c r="Q2921" t="s">
        <v>41</v>
      </c>
      <c r="R2921">
        <v>5</v>
      </c>
      <c r="S2921" t="s">
        <v>37</v>
      </c>
      <c r="T2921" s="4">
        <f t="shared" si="229"/>
        <v>194460.54</v>
      </c>
      <c r="U2921" s="4" t="str">
        <f t="shared" si="230"/>
        <v>Good</v>
      </c>
      <c r="V2921" s="4" t="str">
        <f t="shared" si="226"/>
        <v>Good</v>
      </c>
      <c r="W2921" s="4"/>
      <c r="X2921" s="4"/>
      <c r="AJ2921" s="4"/>
    </row>
    <row r="2922" spans="1:36">
      <c r="A2922" t="str">
        <f t="shared" si="227"/>
        <v>Tanu272921</v>
      </c>
      <c r="B2922">
        <v>2921</v>
      </c>
      <c r="C2922">
        <v>17</v>
      </c>
      <c r="D2922">
        <v>1</v>
      </c>
      <c r="E2922">
        <v>2024</v>
      </c>
      <c r="F2922" s="1">
        <f t="shared" si="228"/>
        <v>45308</v>
      </c>
      <c r="G2922" s="1" t="s">
        <v>316</v>
      </c>
      <c r="H2922" s="2">
        <v>47398</v>
      </c>
      <c r="I2922" t="s">
        <v>43</v>
      </c>
      <c r="J2922">
        <v>4</v>
      </c>
      <c r="K2922">
        <v>38217.040000000001</v>
      </c>
      <c r="L2922" t="s">
        <v>970</v>
      </c>
      <c r="M2922">
        <v>27</v>
      </c>
      <c r="N2922" t="s">
        <v>36</v>
      </c>
      <c r="O2922" s="3" t="s">
        <v>22</v>
      </c>
      <c r="P2922" t="s">
        <v>29</v>
      </c>
      <c r="Q2922" t="s">
        <v>56</v>
      </c>
      <c r="R2922">
        <v>4</v>
      </c>
      <c r="S2922" t="s">
        <v>95</v>
      </c>
      <c r="T2922" s="4">
        <f t="shared" si="229"/>
        <v>152868.16</v>
      </c>
      <c r="U2922" s="4" t="str">
        <f t="shared" si="230"/>
        <v>Good</v>
      </c>
      <c r="V2922" s="4" t="str">
        <f t="shared" si="226"/>
        <v>Good</v>
      </c>
      <c r="W2922" s="4"/>
      <c r="X2922" s="4"/>
      <c r="AJ2922" s="4"/>
    </row>
    <row r="2923" spans="1:36">
      <c r="A2923" t="str">
        <f t="shared" si="227"/>
        <v>Mala222922</v>
      </c>
      <c r="B2923">
        <v>2922</v>
      </c>
      <c r="C2923">
        <v>18</v>
      </c>
      <c r="D2923">
        <v>1</v>
      </c>
      <c r="E2923">
        <v>2024</v>
      </c>
      <c r="F2923" s="1">
        <f t="shared" si="228"/>
        <v>45309</v>
      </c>
      <c r="G2923" s="1" t="s">
        <v>316</v>
      </c>
      <c r="H2923" s="2">
        <v>47399</v>
      </c>
      <c r="I2923" t="s">
        <v>19</v>
      </c>
      <c r="J2923">
        <v>2</v>
      </c>
      <c r="K2923">
        <v>44149.06</v>
      </c>
      <c r="L2923" t="s">
        <v>1009</v>
      </c>
      <c r="M2923">
        <v>22</v>
      </c>
      <c r="N2923" t="s">
        <v>36</v>
      </c>
      <c r="O2923" s="3" t="s">
        <v>55</v>
      </c>
      <c r="P2923" t="s">
        <v>29</v>
      </c>
      <c r="Q2923" t="s">
        <v>30</v>
      </c>
      <c r="R2923">
        <v>2</v>
      </c>
      <c r="S2923" t="s">
        <v>84</v>
      </c>
      <c r="T2923" s="4">
        <f t="shared" si="229"/>
        <v>88298.12</v>
      </c>
      <c r="U2923" s="4" t="str">
        <f t="shared" si="230"/>
        <v>Average</v>
      </c>
      <c r="V2923" s="4" t="str">
        <f t="shared" si="226"/>
        <v>Average</v>
      </c>
      <c r="W2923" s="4"/>
      <c r="X2923" s="4"/>
      <c r="AJ2923" s="4"/>
    </row>
    <row r="2924" spans="1:36">
      <c r="A2924" t="str">
        <f t="shared" si="227"/>
        <v>Sach262923</v>
      </c>
      <c r="B2924">
        <v>2923</v>
      </c>
      <c r="C2924">
        <v>18</v>
      </c>
      <c r="D2924">
        <v>1</v>
      </c>
      <c r="E2924">
        <v>2024</v>
      </c>
      <c r="F2924" s="1">
        <f t="shared" si="228"/>
        <v>45309</v>
      </c>
      <c r="G2924" s="1" t="s">
        <v>316</v>
      </c>
      <c r="H2924" s="2">
        <v>47400</v>
      </c>
      <c r="I2924" t="s">
        <v>19</v>
      </c>
      <c r="J2924">
        <v>2</v>
      </c>
      <c r="K2924">
        <v>65686.37</v>
      </c>
      <c r="L2924" t="s">
        <v>536</v>
      </c>
      <c r="M2924">
        <v>26</v>
      </c>
      <c r="N2924" t="s">
        <v>36</v>
      </c>
      <c r="O2924" s="3" t="s">
        <v>22</v>
      </c>
      <c r="P2924" t="s">
        <v>33</v>
      </c>
      <c r="Q2924" t="s">
        <v>30</v>
      </c>
      <c r="R2924">
        <v>4</v>
      </c>
      <c r="S2924" t="s">
        <v>37</v>
      </c>
      <c r="T2924" s="4">
        <f t="shared" si="229"/>
        <v>131372.74</v>
      </c>
      <c r="U2924" s="4" t="str">
        <f t="shared" si="230"/>
        <v>Good</v>
      </c>
      <c r="V2924" s="4" t="str">
        <f t="shared" si="226"/>
        <v>Good</v>
      </c>
      <c r="W2924" s="4"/>
      <c r="X2924" s="4"/>
      <c r="AJ2924" s="4"/>
    </row>
    <row r="2925" spans="1:36">
      <c r="A2925" t="str">
        <f t="shared" si="227"/>
        <v>Gita222924</v>
      </c>
      <c r="B2925">
        <v>2924</v>
      </c>
      <c r="C2925">
        <v>18</v>
      </c>
      <c r="D2925">
        <v>1</v>
      </c>
      <c r="E2925">
        <v>2024</v>
      </c>
      <c r="F2925" s="1">
        <f t="shared" si="228"/>
        <v>45309</v>
      </c>
      <c r="G2925" s="1" t="s">
        <v>316</v>
      </c>
      <c r="H2925" s="2">
        <v>47401</v>
      </c>
      <c r="I2925" t="s">
        <v>49</v>
      </c>
      <c r="J2925">
        <v>8</v>
      </c>
      <c r="K2925">
        <v>41815.79</v>
      </c>
      <c r="L2925" t="s">
        <v>373</v>
      </c>
      <c r="M2925">
        <v>22</v>
      </c>
      <c r="N2925" t="s">
        <v>36</v>
      </c>
      <c r="O2925" s="3" t="s">
        <v>28</v>
      </c>
      <c r="P2925" t="s">
        <v>23</v>
      </c>
      <c r="Q2925" t="s">
        <v>24</v>
      </c>
      <c r="R2925">
        <v>3</v>
      </c>
      <c r="S2925" t="s">
        <v>52</v>
      </c>
      <c r="T2925" s="4">
        <f t="shared" si="229"/>
        <v>334526.32</v>
      </c>
      <c r="U2925" s="4" t="str">
        <f t="shared" si="230"/>
        <v>Average</v>
      </c>
      <c r="V2925" s="4" t="str">
        <f t="shared" si="226"/>
        <v>Excellent</v>
      </c>
      <c r="W2925" s="4"/>
      <c r="X2925" s="4"/>
      <c r="AJ2925" s="4"/>
    </row>
    <row r="2926" spans="1:36">
      <c r="A2926" t="str">
        <f t="shared" si="227"/>
        <v>Pooj282925</v>
      </c>
      <c r="B2926">
        <v>2925</v>
      </c>
      <c r="C2926">
        <v>19</v>
      </c>
      <c r="D2926">
        <v>1</v>
      </c>
      <c r="E2926">
        <v>2024</v>
      </c>
      <c r="F2926" s="1">
        <f t="shared" si="228"/>
        <v>45310</v>
      </c>
      <c r="G2926" s="1" t="s">
        <v>316</v>
      </c>
      <c r="H2926" s="2">
        <v>47402</v>
      </c>
      <c r="I2926" t="s">
        <v>38</v>
      </c>
      <c r="J2926">
        <v>8</v>
      </c>
      <c r="K2926">
        <v>31215.47</v>
      </c>
      <c r="L2926" t="s">
        <v>680</v>
      </c>
      <c r="M2926">
        <v>28</v>
      </c>
      <c r="N2926" t="s">
        <v>36</v>
      </c>
      <c r="O2926" s="3" t="s">
        <v>55</v>
      </c>
      <c r="P2926" t="s">
        <v>29</v>
      </c>
      <c r="Q2926" t="s">
        <v>24</v>
      </c>
      <c r="R2926">
        <v>2</v>
      </c>
      <c r="S2926" t="s">
        <v>48</v>
      </c>
      <c r="T2926" s="4">
        <f t="shared" si="229"/>
        <v>249723.76</v>
      </c>
      <c r="U2926" s="4" t="str">
        <f t="shared" si="230"/>
        <v>Average</v>
      </c>
      <c r="V2926" s="4" t="str">
        <f t="shared" si="226"/>
        <v>Excellent</v>
      </c>
      <c r="W2926" s="4"/>
      <c r="X2926" s="4"/>
      <c r="AJ2926" s="4"/>
    </row>
    <row r="2927" spans="1:36">
      <c r="A2927" t="str">
        <f t="shared" si="227"/>
        <v>Sumi522926</v>
      </c>
      <c r="B2927">
        <v>2926</v>
      </c>
      <c r="C2927">
        <v>19</v>
      </c>
      <c r="D2927">
        <v>1</v>
      </c>
      <c r="E2927">
        <v>2024</v>
      </c>
      <c r="F2927" s="1">
        <f t="shared" si="228"/>
        <v>45310</v>
      </c>
      <c r="G2927" s="1" t="s">
        <v>316</v>
      </c>
      <c r="H2927" s="2">
        <v>47403</v>
      </c>
      <c r="I2927" t="s">
        <v>38</v>
      </c>
      <c r="J2927">
        <v>6</v>
      </c>
      <c r="K2927">
        <v>57829.31</v>
      </c>
      <c r="L2927" t="s">
        <v>367</v>
      </c>
      <c r="M2927">
        <v>52</v>
      </c>
      <c r="N2927" t="s">
        <v>61</v>
      </c>
      <c r="O2927" s="3" t="s">
        <v>28</v>
      </c>
      <c r="P2927" t="s">
        <v>29</v>
      </c>
      <c r="Q2927" t="s">
        <v>56</v>
      </c>
      <c r="R2927">
        <v>3</v>
      </c>
      <c r="S2927" t="s">
        <v>48</v>
      </c>
      <c r="T2927" s="4">
        <f t="shared" si="229"/>
        <v>346975.86</v>
      </c>
      <c r="U2927" s="4" t="str">
        <f t="shared" si="230"/>
        <v>Average</v>
      </c>
      <c r="V2927" s="4" t="str">
        <f t="shared" si="226"/>
        <v>Excellent</v>
      </c>
      <c r="W2927" s="4"/>
      <c r="X2927" s="4"/>
      <c r="AJ2927" s="4"/>
    </row>
    <row r="2928" spans="1:36">
      <c r="A2928" t="str">
        <f t="shared" si="227"/>
        <v>Roha442927</v>
      </c>
      <c r="B2928">
        <v>2927</v>
      </c>
      <c r="C2928">
        <v>19</v>
      </c>
      <c r="D2928">
        <v>1</v>
      </c>
      <c r="E2928">
        <v>2024</v>
      </c>
      <c r="F2928" s="1">
        <f t="shared" si="228"/>
        <v>45310</v>
      </c>
      <c r="G2928" s="1" t="s">
        <v>316</v>
      </c>
      <c r="H2928" s="2">
        <v>47404</v>
      </c>
      <c r="I2928" t="s">
        <v>19</v>
      </c>
      <c r="J2928">
        <v>5</v>
      </c>
      <c r="K2928">
        <v>36571.01</v>
      </c>
      <c r="L2928" t="s">
        <v>502</v>
      </c>
      <c r="M2928">
        <v>44</v>
      </c>
      <c r="N2928" t="s">
        <v>21</v>
      </c>
      <c r="O2928" s="3" t="s">
        <v>22</v>
      </c>
      <c r="P2928" t="s">
        <v>33</v>
      </c>
      <c r="Q2928" t="s">
        <v>56</v>
      </c>
      <c r="R2928">
        <v>5</v>
      </c>
      <c r="S2928" t="s">
        <v>37</v>
      </c>
      <c r="T2928" s="4">
        <f t="shared" si="229"/>
        <v>182855.05000000002</v>
      </c>
      <c r="U2928" s="4" t="str">
        <f t="shared" si="230"/>
        <v>Good</v>
      </c>
      <c r="V2928" s="4" t="str">
        <f t="shared" si="226"/>
        <v>Good</v>
      </c>
      <c r="W2928" s="4"/>
      <c r="X2928" s="4"/>
      <c r="AJ2928" s="4"/>
    </row>
    <row r="2929" spans="1:36">
      <c r="A2929" t="str">
        <f t="shared" si="227"/>
        <v>Vive212928</v>
      </c>
      <c r="B2929">
        <v>2928</v>
      </c>
      <c r="C2929">
        <v>20</v>
      </c>
      <c r="D2929">
        <v>1</v>
      </c>
      <c r="E2929">
        <v>2024</v>
      </c>
      <c r="F2929" s="1">
        <f t="shared" si="228"/>
        <v>45311</v>
      </c>
      <c r="G2929" s="1" t="s">
        <v>316</v>
      </c>
      <c r="H2929" s="2">
        <v>47405</v>
      </c>
      <c r="I2929" t="s">
        <v>26</v>
      </c>
      <c r="J2929">
        <v>8</v>
      </c>
      <c r="K2929">
        <v>29108.17</v>
      </c>
      <c r="L2929" t="s">
        <v>334</v>
      </c>
      <c r="M2929">
        <v>21</v>
      </c>
      <c r="N2929" t="s">
        <v>36</v>
      </c>
      <c r="O2929" s="3" t="s">
        <v>22</v>
      </c>
      <c r="P2929" t="s">
        <v>33</v>
      </c>
      <c r="Q2929" t="s">
        <v>30</v>
      </c>
      <c r="R2929">
        <v>4</v>
      </c>
      <c r="S2929" t="s">
        <v>31</v>
      </c>
      <c r="T2929" s="4">
        <f t="shared" si="229"/>
        <v>232865.36</v>
      </c>
      <c r="U2929" s="4" t="str">
        <f t="shared" si="230"/>
        <v>Good</v>
      </c>
      <c r="V2929" s="4" t="str">
        <f t="shared" si="226"/>
        <v>Excellent</v>
      </c>
      <c r="W2929" s="4"/>
      <c r="X2929" s="4"/>
      <c r="AJ2929" s="4"/>
    </row>
    <row r="2930" spans="1:36">
      <c r="A2930" t="str">
        <f t="shared" si="227"/>
        <v>Vive272929</v>
      </c>
      <c r="B2930">
        <v>2929</v>
      </c>
      <c r="C2930">
        <v>20</v>
      </c>
      <c r="D2930">
        <v>1</v>
      </c>
      <c r="E2930">
        <v>2024</v>
      </c>
      <c r="F2930" s="1">
        <f t="shared" si="228"/>
        <v>45311</v>
      </c>
      <c r="G2930" s="1" t="s">
        <v>316</v>
      </c>
      <c r="H2930" s="2">
        <v>47406</v>
      </c>
      <c r="I2930" t="s">
        <v>26</v>
      </c>
      <c r="J2930">
        <v>4</v>
      </c>
      <c r="K2930">
        <v>53393.77</v>
      </c>
      <c r="L2930" t="s">
        <v>233</v>
      </c>
      <c r="M2930">
        <v>27</v>
      </c>
      <c r="N2930" t="s">
        <v>36</v>
      </c>
      <c r="O2930" s="3" t="s">
        <v>55</v>
      </c>
      <c r="P2930" t="s">
        <v>40</v>
      </c>
      <c r="Q2930" t="s">
        <v>30</v>
      </c>
      <c r="R2930">
        <v>2</v>
      </c>
      <c r="S2930" t="s">
        <v>34</v>
      </c>
      <c r="T2930" s="4">
        <f t="shared" si="229"/>
        <v>213575.08</v>
      </c>
      <c r="U2930" s="4" t="str">
        <f t="shared" si="230"/>
        <v>Average</v>
      </c>
      <c r="V2930" s="4" t="str">
        <f t="shared" si="226"/>
        <v>Excellent</v>
      </c>
      <c r="W2930" s="4"/>
      <c r="X2930" s="4"/>
      <c r="AJ2930" s="4"/>
    </row>
    <row r="2931" spans="1:36">
      <c r="A2931" t="str">
        <f t="shared" si="227"/>
        <v>Radh562930</v>
      </c>
      <c r="B2931">
        <v>2930</v>
      </c>
      <c r="C2931">
        <v>20</v>
      </c>
      <c r="D2931">
        <v>1</v>
      </c>
      <c r="E2931">
        <v>2024</v>
      </c>
      <c r="F2931" s="1">
        <f t="shared" si="228"/>
        <v>45311</v>
      </c>
      <c r="G2931" s="1" t="s">
        <v>316</v>
      </c>
      <c r="H2931" s="2">
        <v>47407</v>
      </c>
      <c r="I2931" t="s">
        <v>43</v>
      </c>
      <c r="J2931">
        <v>4</v>
      </c>
      <c r="K2931">
        <v>58096.34</v>
      </c>
      <c r="L2931" t="s">
        <v>328</v>
      </c>
      <c r="M2931">
        <v>56</v>
      </c>
      <c r="N2931" t="s">
        <v>61</v>
      </c>
      <c r="O2931" s="3" t="s">
        <v>22</v>
      </c>
      <c r="P2931" t="s">
        <v>117</v>
      </c>
      <c r="Q2931" t="s">
        <v>56</v>
      </c>
      <c r="R2931">
        <v>4</v>
      </c>
      <c r="S2931" t="s">
        <v>46</v>
      </c>
      <c r="T2931" s="4">
        <f t="shared" si="229"/>
        <v>232385.36</v>
      </c>
      <c r="U2931" s="4" t="str">
        <f t="shared" si="230"/>
        <v>Good</v>
      </c>
      <c r="V2931" s="4" t="str">
        <f t="shared" si="226"/>
        <v>Excellent</v>
      </c>
      <c r="W2931" s="4"/>
      <c r="X2931" s="4"/>
      <c r="AJ2931" s="4"/>
    </row>
    <row r="2932" spans="1:36">
      <c r="A2932" t="str">
        <f t="shared" si="227"/>
        <v>Vive502931</v>
      </c>
      <c r="B2932">
        <v>2931</v>
      </c>
      <c r="C2932">
        <v>20</v>
      </c>
      <c r="D2932">
        <v>1</v>
      </c>
      <c r="E2932">
        <v>2024</v>
      </c>
      <c r="F2932" s="1">
        <f t="shared" si="228"/>
        <v>45311</v>
      </c>
      <c r="G2932" s="1" t="s">
        <v>316</v>
      </c>
      <c r="H2932" s="2">
        <v>47408</v>
      </c>
      <c r="I2932" t="s">
        <v>43</v>
      </c>
      <c r="J2932">
        <v>5</v>
      </c>
      <c r="K2932">
        <v>57502.97</v>
      </c>
      <c r="L2932" t="s">
        <v>585</v>
      </c>
      <c r="M2932">
        <v>50</v>
      </c>
      <c r="N2932" t="s">
        <v>61</v>
      </c>
      <c r="O2932" s="3" t="s">
        <v>22</v>
      </c>
      <c r="P2932" t="s">
        <v>23</v>
      </c>
      <c r="Q2932" t="s">
        <v>41</v>
      </c>
      <c r="R2932">
        <v>5</v>
      </c>
      <c r="S2932" t="s">
        <v>57</v>
      </c>
      <c r="T2932" s="4">
        <f t="shared" si="229"/>
        <v>287514.84999999998</v>
      </c>
      <c r="U2932" s="4" t="str">
        <f t="shared" si="230"/>
        <v>Good</v>
      </c>
      <c r="V2932" s="4" t="str">
        <f t="shared" si="226"/>
        <v>Excellent</v>
      </c>
      <c r="W2932" s="4"/>
      <c r="X2932" s="4"/>
      <c r="AJ2932" s="4"/>
    </row>
    <row r="2933" spans="1:36">
      <c r="A2933" t="str">
        <f t="shared" si="227"/>
        <v>Vija552932</v>
      </c>
      <c r="B2933">
        <v>2932</v>
      </c>
      <c r="C2933">
        <v>21</v>
      </c>
      <c r="D2933">
        <v>1</v>
      </c>
      <c r="E2933">
        <v>2024</v>
      </c>
      <c r="F2933" s="1">
        <f t="shared" si="228"/>
        <v>45312</v>
      </c>
      <c r="G2933" s="1" t="s">
        <v>316</v>
      </c>
      <c r="H2933" s="2">
        <v>47409</v>
      </c>
      <c r="I2933" t="s">
        <v>49</v>
      </c>
      <c r="J2933">
        <v>1</v>
      </c>
      <c r="K2933">
        <v>68660.460000000006</v>
      </c>
      <c r="L2933" t="s">
        <v>903</v>
      </c>
      <c r="M2933">
        <v>55</v>
      </c>
      <c r="N2933" t="s">
        <v>61</v>
      </c>
      <c r="O2933" s="3" t="s">
        <v>55</v>
      </c>
      <c r="P2933" t="s">
        <v>29</v>
      </c>
      <c r="Q2933" t="s">
        <v>41</v>
      </c>
      <c r="R2933">
        <v>2</v>
      </c>
      <c r="S2933" t="s">
        <v>102</v>
      </c>
      <c r="T2933" s="4">
        <f t="shared" si="229"/>
        <v>68660.460000000006</v>
      </c>
      <c r="U2933" s="4" t="str">
        <f t="shared" si="230"/>
        <v>Average</v>
      </c>
      <c r="V2933" s="4" t="str">
        <f t="shared" si="226"/>
        <v>Average</v>
      </c>
      <c r="W2933" s="4"/>
      <c r="X2933" s="4"/>
      <c r="AJ2933" s="4"/>
    </row>
    <row r="2934" spans="1:36">
      <c r="A2934" t="str">
        <f t="shared" si="227"/>
        <v>Vive252933</v>
      </c>
      <c r="B2934">
        <v>2933</v>
      </c>
      <c r="C2934">
        <v>21</v>
      </c>
      <c r="D2934">
        <v>1</v>
      </c>
      <c r="E2934">
        <v>2024</v>
      </c>
      <c r="F2934" s="1">
        <f t="shared" si="228"/>
        <v>45312</v>
      </c>
      <c r="G2934" s="1" t="s">
        <v>316</v>
      </c>
      <c r="H2934" s="2">
        <v>47410</v>
      </c>
      <c r="I2934" t="s">
        <v>19</v>
      </c>
      <c r="J2934">
        <v>1</v>
      </c>
      <c r="K2934">
        <v>57200.02</v>
      </c>
      <c r="L2934" t="s">
        <v>401</v>
      </c>
      <c r="M2934">
        <v>25</v>
      </c>
      <c r="N2934" t="s">
        <v>36</v>
      </c>
      <c r="O2934" s="3" t="s">
        <v>28</v>
      </c>
      <c r="P2934" t="s">
        <v>29</v>
      </c>
      <c r="Q2934" t="s">
        <v>41</v>
      </c>
      <c r="R2934">
        <v>3</v>
      </c>
      <c r="S2934" t="s">
        <v>37</v>
      </c>
      <c r="T2934" s="4">
        <f t="shared" si="229"/>
        <v>57200.02</v>
      </c>
      <c r="U2934" s="4" t="str">
        <f t="shared" si="230"/>
        <v>Average</v>
      </c>
      <c r="V2934" s="4" t="str">
        <f t="shared" si="226"/>
        <v>Average</v>
      </c>
      <c r="W2934" s="4"/>
      <c r="X2934" s="4"/>
      <c r="AJ2934" s="4"/>
    </row>
    <row r="2935" spans="1:36">
      <c r="A2935" t="str">
        <f t="shared" si="227"/>
        <v>Suni412934</v>
      </c>
      <c r="B2935">
        <v>2934</v>
      </c>
      <c r="C2935">
        <v>21</v>
      </c>
      <c r="D2935">
        <v>1</v>
      </c>
      <c r="E2935">
        <v>2024</v>
      </c>
      <c r="F2935" s="1">
        <f t="shared" si="228"/>
        <v>45312</v>
      </c>
      <c r="G2935" s="1" t="s">
        <v>316</v>
      </c>
      <c r="H2935" s="2">
        <v>47411</v>
      </c>
      <c r="I2935" t="s">
        <v>43</v>
      </c>
      <c r="J2935">
        <v>2</v>
      </c>
      <c r="K2935">
        <v>56196.01</v>
      </c>
      <c r="L2935" t="s">
        <v>854</v>
      </c>
      <c r="M2935">
        <v>41</v>
      </c>
      <c r="N2935" t="s">
        <v>21</v>
      </c>
      <c r="O2935" s="3" t="s">
        <v>22</v>
      </c>
      <c r="P2935" t="s">
        <v>40</v>
      </c>
      <c r="Q2935" t="s">
        <v>41</v>
      </c>
      <c r="R2935">
        <v>4</v>
      </c>
      <c r="S2935" t="s">
        <v>95</v>
      </c>
      <c r="T2935" s="4">
        <f t="shared" si="229"/>
        <v>112392.02</v>
      </c>
      <c r="U2935" s="4" t="str">
        <f t="shared" si="230"/>
        <v>Good</v>
      </c>
      <c r="V2935" s="4" t="str">
        <f t="shared" si="226"/>
        <v>Good</v>
      </c>
      <c r="W2935" s="4"/>
      <c r="X2935" s="4"/>
      <c r="AJ2935" s="4"/>
    </row>
    <row r="2936" spans="1:36">
      <c r="A2936" t="str">
        <f t="shared" si="227"/>
        <v>Shru562935</v>
      </c>
      <c r="B2936">
        <v>2935</v>
      </c>
      <c r="C2936">
        <v>22</v>
      </c>
      <c r="D2936">
        <v>1</v>
      </c>
      <c r="E2936">
        <v>2024</v>
      </c>
      <c r="F2936" s="1">
        <f t="shared" si="228"/>
        <v>45313</v>
      </c>
      <c r="G2936" s="1" t="s">
        <v>316</v>
      </c>
      <c r="H2936" s="2">
        <v>47412</v>
      </c>
      <c r="I2936" t="s">
        <v>43</v>
      </c>
      <c r="J2936">
        <v>8</v>
      </c>
      <c r="K2936">
        <v>61449.120000000003</v>
      </c>
      <c r="L2936" t="s">
        <v>140</v>
      </c>
      <c r="M2936">
        <v>56</v>
      </c>
      <c r="N2936" t="s">
        <v>61</v>
      </c>
      <c r="O2936" s="3" t="s">
        <v>55</v>
      </c>
      <c r="P2936" t="s">
        <v>114</v>
      </c>
      <c r="Q2936" t="s">
        <v>56</v>
      </c>
      <c r="R2936">
        <v>2</v>
      </c>
      <c r="S2936" t="s">
        <v>95</v>
      </c>
      <c r="T2936" s="4">
        <f t="shared" si="229"/>
        <v>491592.96000000002</v>
      </c>
      <c r="U2936" s="4" t="str">
        <f t="shared" si="230"/>
        <v>Average</v>
      </c>
      <c r="V2936" s="4" t="str">
        <f t="shared" si="226"/>
        <v>Excellent</v>
      </c>
      <c r="W2936" s="4"/>
      <c r="X2936" s="4"/>
      <c r="AJ2936" s="4"/>
    </row>
    <row r="2937" spans="1:36">
      <c r="A2937" t="str">
        <f t="shared" si="227"/>
        <v>Arun502936</v>
      </c>
      <c r="B2937">
        <v>2936</v>
      </c>
      <c r="C2937">
        <v>22</v>
      </c>
      <c r="D2937">
        <v>1</v>
      </c>
      <c r="E2937">
        <v>2024</v>
      </c>
      <c r="F2937" s="1">
        <f t="shared" si="228"/>
        <v>45313</v>
      </c>
      <c r="G2937" s="1" t="s">
        <v>316</v>
      </c>
      <c r="H2937" s="2">
        <v>47413</v>
      </c>
      <c r="I2937" t="s">
        <v>19</v>
      </c>
      <c r="J2937">
        <v>7</v>
      </c>
      <c r="K2937">
        <v>10011.11</v>
      </c>
      <c r="L2937" t="s">
        <v>1035</v>
      </c>
      <c r="M2937">
        <v>50</v>
      </c>
      <c r="N2937" t="s">
        <v>61</v>
      </c>
      <c r="O2937" s="3" t="s">
        <v>22</v>
      </c>
      <c r="P2937" t="s">
        <v>117</v>
      </c>
      <c r="Q2937" t="s">
        <v>24</v>
      </c>
      <c r="R2937">
        <v>5</v>
      </c>
      <c r="S2937" t="s">
        <v>37</v>
      </c>
      <c r="T2937" s="4">
        <f t="shared" si="229"/>
        <v>70077.77</v>
      </c>
      <c r="U2937" s="4" t="str">
        <f t="shared" si="230"/>
        <v>Good</v>
      </c>
      <c r="V2937" s="4" t="str">
        <f t="shared" si="226"/>
        <v>Average</v>
      </c>
      <c r="W2937" s="4"/>
      <c r="X2937" s="4"/>
      <c r="AJ2937" s="4"/>
    </row>
    <row r="2938" spans="1:36">
      <c r="A2938" t="str">
        <f t="shared" si="227"/>
        <v>Nikh582937</v>
      </c>
      <c r="B2938">
        <v>2937</v>
      </c>
      <c r="C2938">
        <v>22</v>
      </c>
      <c r="D2938">
        <v>1</v>
      </c>
      <c r="E2938">
        <v>2024</v>
      </c>
      <c r="F2938" s="1">
        <f t="shared" si="228"/>
        <v>45313</v>
      </c>
      <c r="G2938" s="1" t="s">
        <v>316</v>
      </c>
      <c r="H2938" s="2">
        <v>47414</v>
      </c>
      <c r="I2938" t="s">
        <v>49</v>
      </c>
      <c r="J2938">
        <v>9</v>
      </c>
      <c r="K2938">
        <v>31745.88</v>
      </c>
      <c r="L2938" t="s">
        <v>169</v>
      </c>
      <c r="M2938">
        <v>58</v>
      </c>
      <c r="N2938" t="s">
        <v>61</v>
      </c>
      <c r="O2938" s="3" t="s">
        <v>22</v>
      </c>
      <c r="P2938" t="s">
        <v>29</v>
      </c>
      <c r="Q2938" t="s">
        <v>41</v>
      </c>
      <c r="R2938">
        <v>5</v>
      </c>
      <c r="S2938" t="s">
        <v>88</v>
      </c>
      <c r="T2938" s="4">
        <f t="shared" si="229"/>
        <v>285712.92</v>
      </c>
      <c r="U2938" s="4" t="str">
        <f t="shared" si="230"/>
        <v>Good</v>
      </c>
      <c r="V2938" s="4" t="str">
        <f t="shared" si="226"/>
        <v>Excellent</v>
      </c>
      <c r="W2938" s="4"/>
      <c r="X2938" s="4"/>
      <c r="AJ2938" s="4"/>
    </row>
    <row r="2939" spans="1:36">
      <c r="A2939" t="str">
        <f t="shared" si="227"/>
        <v>Reen362938</v>
      </c>
      <c r="B2939">
        <v>2938</v>
      </c>
      <c r="C2939">
        <v>22</v>
      </c>
      <c r="D2939">
        <v>1</v>
      </c>
      <c r="E2939">
        <v>2024</v>
      </c>
      <c r="F2939" s="1">
        <f t="shared" si="228"/>
        <v>45313</v>
      </c>
      <c r="G2939" s="1" t="s">
        <v>316</v>
      </c>
      <c r="H2939" s="2">
        <v>47415</v>
      </c>
      <c r="I2939" t="s">
        <v>43</v>
      </c>
      <c r="J2939">
        <v>5</v>
      </c>
      <c r="K2939">
        <v>54256.19</v>
      </c>
      <c r="L2939" t="s">
        <v>228</v>
      </c>
      <c r="M2939">
        <v>36</v>
      </c>
      <c r="N2939" t="s">
        <v>21</v>
      </c>
      <c r="O2939" s="3" t="s">
        <v>22</v>
      </c>
      <c r="P2939" t="s">
        <v>90</v>
      </c>
      <c r="Q2939" t="s">
        <v>56</v>
      </c>
      <c r="R2939">
        <v>4</v>
      </c>
      <c r="S2939" t="s">
        <v>46</v>
      </c>
      <c r="T2939" s="4">
        <f t="shared" si="229"/>
        <v>271280.95</v>
      </c>
      <c r="U2939" s="4" t="str">
        <f t="shared" si="230"/>
        <v>Good</v>
      </c>
      <c r="V2939" s="4" t="str">
        <f t="shared" si="226"/>
        <v>Excellent</v>
      </c>
      <c r="W2939" s="4"/>
      <c r="X2939" s="4"/>
      <c r="AJ2939" s="4"/>
    </row>
    <row r="2940" spans="1:36">
      <c r="A2940" t="str">
        <f t="shared" si="227"/>
        <v>Bhav192939</v>
      </c>
      <c r="B2940">
        <v>2939</v>
      </c>
      <c r="C2940">
        <v>23</v>
      </c>
      <c r="D2940">
        <v>1</v>
      </c>
      <c r="E2940">
        <v>2024</v>
      </c>
      <c r="F2940" s="1">
        <f t="shared" si="228"/>
        <v>45314</v>
      </c>
      <c r="G2940" s="1" t="s">
        <v>316</v>
      </c>
      <c r="H2940" s="2">
        <v>47416</v>
      </c>
      <c r="I2940" t="s">
        <v>49</v>
      </c>
      <c r="J2940">
        <v>2</v>
      </c>
      <c r="K2940">
        <v>45983.14</v>
      </c>
      <c r="L2940" t="s">
        <v>80</v>
      </c>
      <c r="M2940">
        <v>19</v>
      </c>
      <c r="N2940" t="s">
        <v>36</v>
      </c>
      <c r="O2940" s="3" t="s">
        <v>28</v>
      </c>
      <c r="P2940" t="s">
        <v>29</v>
      </c>
      <c r="Q2940" t="s">
        <v>41</v>
      </c>
      <c r="R2940">
        <v>3</v>
      </c>
      <c r="S2940" t="s">
        <v>52</v>
      </c>
      <c r="T2940" s="4">
        <f t="shared" si="229"/>
        <v>91966.28</v>
      </c>
      <c r="U2940" s="4" t="str">
        <f t="shared" si="230"/>
        <v>Average</v>
      </c>
      <c r="V2940" s="4" t="str">
        <f t="shared" si="226"/>
        <v>Average</v>
      </c>
      <c r="W2940" s="4"/>
      <c r="X2940" s="4"/>
      <c r="AJ2940" s="4"/>
    </row>
    <row r="2941" spans="1:36">
      <c r="A2941" t="str">
        <f t="shared" si="227"/>
        <v>Ayes282940</v>
      </c>
      <c r="B2941">
        <v>2940</v>
      </c>
      <c r="C2941">
        <v>23</v>
      </c>
      <c r="D2941">
        <v>1</v>
      </c>
      <c r="E2941">
        <v>2024</v>
      </c>
      <c r="F2941" s="1">
        <f t="shared" si="228"/>
        <v>45314</v>
      </c>
      <c r="G2941" s="1" t="s">
        <v>316</v>
      </c>
      <c r="H2941" s="2">
        <v>47417</v>
      </c>
      <c r="I2941" t="s">
        <v>38</v>
      </c>
      <c r="J2941">
        <v>7</v>
      </c>
      <c r="K2941">
        <v>20654.32</v>
      </c>
      <c r="L2941" t="s">
        <v>689</v>
      </c>
      <c r="M2941">
        <v>28</v>
      </c>
      <c r="N2941" t="s">
        <v>36</v>
      </c>
      <c r="O2941" s="3" t="s">
        <v>28</v>
      </c>
      <c r="P2941" t="s">
        <v>29</v>
      </c>
      <c r="Q2941" t="s">
        <v>30</v>
      </c>
      <c r="R2941">
        <v>3</v>
      </c>
      <c r="S2941" t="s">
        <v>48</v>
      </c>
      <c r="T2941" s="4">
        <f t="shared" si="229"/>
        <v>144580.24</v>
      </c>
      <c r="U2941" s="4" t="str">
        <f t="shared" si="230"/>
        <v>Average</v>
      </c>
      <c r="V2941" s="4" t="str">
        <f t="shared" si="226"/>
        <v>Good</v>
      </c>
      <c r="W2941" s="4"/>
      <c r="X2941" s="4"/>
      <c r="AJ2941" s="4"/>
    </row>
    <row r="2942" spans="1:36">
      <c r="A2942" t="str">
        <f t="shared" si="227"/>
        <v>Sumi522941</v>
      </c>
      <c r="B2942">
        <v>2941</v>
      </c>
      <c r="C2942">
        <v>23</v>
      </c>
      <c r="D2942">
        <v>1</v>
      </c>
      <c r="E2942">
        <v>2024</v>
      </c>
      <c r="F2942" s="1">
        <f t="shared" si="228"/>
        <v>45314</v>
      </c>
      <c r="G2942" s="1" t="s">
        <v>316</v>
      </c>
      <c r="H2942" s="2">
        <v>47418</v>
      </c>
      <c r="I2942" t="s">
        <v>49</v>
      </c>
      <c r="J2942">
        <v>8</v>
      </c>
      <c r="K2942">
        <v>28223.99</v>
      </c>
      <c r="L2942" t="s">
        <v>417</v>
      </c>
      <c r="M2942">
        <v>52</v>
      </c>
      <c r="N2942" t="s">
        <v>61</v>
      </c>
      <c r="O2942" s="3" t="s">
        <v>55</v>
      </c>
      <c r="P2942" t="s">
        <v>117</v>
      </c>
      <c r="Q2942" t="s">
        <v>41</v>
      </c>
      <c r="R2942">
        <v>2</v>
      </c>
      <c r="S2942" t="s">
        <v>102</v>
      </c>
      <c r="T2942" s="4">
        <f t="shared" si="229"/>
        <v>225791.92</v>
      </c>
      <c r="U2942" s="4" t="str">
        <f t="shared" si="230"/>
        <v>Average</v>
      </c>
      <c r="V2942" s="4" t="str">
        <f t="shared" si="226"/>
        <v>Excellent</v>
      </c>
      <c r="W2942" s="4"/>
      <c r="X2942" s="4"/>
      <c r="AJ2942" s="4"/>
    </row>
    <row r="2943" spans="1:36">
      <c r="A2943" t="str">
        <f t="shared" si="227"/>
        <v>Gita342942</v>
      </c>
      <c r="B2943">
        <v>2942</v>
      </c>
      <c r="C2943">
        <v>24</v>
      </c>
      <c r="D2943">
        <v>1</v>
      </c>
      <c r="E2943">
        <v>2024</v>
      </c>
      <c r="F2943" s="1">
        <f t="shared" si="228"/>
        <v>45315</v>
      </c>
      <c r="G2943" s="1" t="s">
        <v>316</v>
      </c>
      <c r="H2943" s="2">
        <v>47419</v>
      </c>
      <c r="I2943" t="s">
        <v>26</v>
      </c>
      <c r="J2943">
        <v>7</v>
      </c>
      <c r="K2943">
        <v>30207.56</v>
      </c>
      <c r="L2943" t="s">
        <v>459</v>
      </c>
      <c r="M2943">
        <v>34</v>
      </c>
      <c r="N2943" t="s">
        <v>21</v>
      </c>
      <c r="O2943" s="3" t="s">
        <v>55</v>
      </c>
      <c r="P2943" t="s">
        <v>33</v>
      </c>
      <c r="Q2943" t="s">
        <v>56</v>
      </c>
      <c r="R2943">
        <v>2</v>
      </c>
      <c r="S2943" t="s">
        <v>31</v>
      </c>
      <c r="T2943" s="4">
        <f t="shared" si="229"/>
        <v>211452.92</v>
      </c>
      <c r="U2943" s="4" t="str">
        <f t="shared" si="230"/>
        <v>Average</v>
      </c>
      <c r="V2943" s="4" t="str">
        <f t="shared" si="226"/>
        <v>Excellent</v>
      </c>
      <c r="W2943" s="4"/>
      <c r="X2943" s="4"/>
      <c r="AJ2943" s="4"/>
    </row>
    <row r="2944" spans="1:36">
      <c r="A2944" t="str">
        <f t="shared" si="227"/>
        <v>Pank592943</v>
      </c>
      <c r="B2944">
        <v>2943</v>
      </c>
      <c r="C2944">
        <v>24</v>
      </c>
      <c r="D2944">
        <v>1</v>
      </c>
      <c r="E2944">
        <v>2024</v>
      </c>
      <c r="F2944" s="1">
        <f t="shared" si="228"/>
        <v>45315</v>
      </c>
      <c r="G2944" s="1" t="s">
        <v>316</v>
      </c>
      <c r="H2944" s="2">
        <v>47420</v>
      </c>
      <c r="I2944" t="s">
        <v>26</v>
      </c>
      <c r="J2944">
        <v>7</v>
      </c>
      <c r="K2944">
        <v>44069.69</v>
      </c>
      <c r="L2944" t="s">
        <v>465</v>
      </c>
      <c r="M2944">
        <v>59</v>
      </c>
      <c r="N2944" t="s">
        <v>61</v>
      </c>
      <c r="O2944" s="3" t="s">
        <v>22</v>
      </c>
      <c r="P2944" t="s">
        <v>29</v>
      </c>
      <c r="Q2944" t="s">
        <v>30</v>
      </c>
      <c r="R2944">
        <v>4</v>
      </c>
      <c r="S2944" t="s">
        <v>31</v>
      </c>
      <c r="T2944" s="4">
        <f t="shared" si="229"/>
        <v>308487.83</v>
      </c>
      <c r="U2944" s="4" t="str">
        <f t="shared" si="230"/>
        <v>Good</v>
      </c>
      <c r="V2944" s="4" t="str">
        <f t="shared" si="226"/>
        <v>Excellent</v>
      </c>
      <c r="W2944" s="4"/>
      <c r="X2944" s="4"/>
      <c r="AJ2944" s="4"/>
    </row>
    <row r="2945" spans="1:36">
      <c r="A2945" t="str">
        <f t="shared" si="227"/>
        <v>Adit202944</v>
      </c>
      <c r="B2945">
        <v>2944</v>
      </c>
      <c r="C2945">
        <v>24</v>
      </c>
      <c r="D2945">
        <v>1</v>
      </c>
      <c r="E2945">
        <v>2024</v>
      </c>
      <c r="F2945" s="1">
        <f t="shared" si="228"/>
        <v>45315</v>
      </c>
      <c r="G2945" s="1" t="s">
        <v>316</v>
      </c>
      <c r="H2945" s="2">
        <v>47421</v>
      </c>
      <c r="I2945" t="s">
        <v>49</v>
      </c>
      <c r="J2945">
        <v>5</v>
      </c>
      <c r="K2945">
        <v>59895.9</v>
      </c>
      <c r="L2945" t="s">
        <v>602</v>
      </c>
      <c r="M2945">
        <v>20</v>
      </c>
      <c r="N2945" t="s">
        <v>36</v>
      </c>
      <c r="O2945" s="3" t="s">
        <v>55</v>
      </c>
      <c r="P2945" t="s">
        <v>150</v>
      </c>
      <c r="Q2945" t="s">
        <v>30</v>
      </c>
      <c r="R2945">
        <v>2</v>
      </c>
      <c r="S2945" t="s">
        <v>102</v>
      </c>
      <c r="T2945" s="4">
        <f t="shared" si="229"/>
        <v>299479.5</v>
      </c>
      <c r="U2945" s="4" t="str">
        <f t="shared" si="230"/>
        <v>Average</v>
      </c>
      <c r="V2945" s="4" t="str">
        <f t="shared" ref="V2945:V3008" si="231">IF(T2945&gt;200000,"Excellent",IF(T2945&gt;100000,"Good",IF(T2945&gt;50000,"Average","Low")))</f>
        <v>Excellent</v>
      </c>
      <c r="W2945" s="4"/>
      <c r="X2945" s="4"/>
      <c r="AJ2945" s="4"/>
    </row>
    <row r="2946" spans="1:36">
      <c r="A2946" t="str">
        <f t="shared" ref="A2946:A3009" si="232">LEFT(L2946,4)&amp;M2946&amp;B2946</f>
        <v>Roha392945</v>
      </c>
      <c r="B2946">
        <v>2945</v>
      </c>
      <c r="C2946">
        <v>25</v>
      </c>
      <c r="D2946">
        <v>1</v>
      </c>
      <c r="E2946">
        <v>2024</v>
      </c>
      <c r="F2946" s="1">
        <f t="shared" si="228"/>
        <v>45316</v>
      </c>
      <c r="G2946" s="1" t="s">
        <v>316</v>
      </c>
      <c r="H2946" s="2">
        <v>47422</v>
      </c>
      <c r="I2946" t="s">
        <v>26</v>
      </c>
      <c r="J2946">
        <v>2</v>
      </c>
      <c r="K2946">
        <v>65949.509999999995</v>
      </c>
      <c r="L2946" t="s">
        <v>908</v>
      </c>
      <c r="M2946">
        <v>39</v>
      </c>
      <c r="N2946" t="s">
        <v>21</v>
      </c>
      <c r="O2946" s="3" t="s">
        <v>28</v>
      </c>
      <c r="P2946" t="s">
        <v>29</v>
      </c>
      <c r="Q2946" t="s">
        <v>41</v>
      </c>
      <c r="R2946">
        <v>3</v>
      </c>
      <c r="S2946" t="s">
        <v>67</v>
      </c>
      <c r="T2946" s="4">
        <f t="shared" si="229"/>
        <v>131899.01999999999</v>
      </c>
      <c r="U2946" s="4" t="str">
        <f t="shared" si="230"/>
        <v>Average</v>
      </c>
      <c r="V2946" s="4" t="str">
        <f t="shared" si="231"/>
        <v>Good</v>
      </c>
      <c r="W2946" s="4"/>
      <c r="X2946" s="4"/>
      <c r="AJ2946" s="4"/>
    </row>
    <row r="2947" spans="1:36">
      <c r="A2947" t="str">
        <f t="shared" si="232"/>
        <v>Anan522946</v>
      </c>
      <c r="B2947">
        <v>2946</v>
      </c>
      <c r="C2947">
        <v>25</v>
      </c>
      <c r="D2947">
        <v>1</v>
      </c>
      <c r="E2947">
        <v>2024</v>
      </c>
      <c r="F2947" s="1">
        <f t="shared" ref="F2947:F3010" si="233">DATE(E2947,D2947,C2947)</f>
        <v>45316</v>
      </c>
      <c r="G2947" s="1" t="s">
        <v>316</v>
      </c>
      <c r="H2947" s="2">
        <v>47423</v>
      </c>
      <c r="I2947" t="s">
        <v>38</v>
      </c>
      <c r="J2947">
        <v>6</v>
      </c>
      <c r="K2947">
        <v>55005.54</v>
      </c>
      <c r="L2947" t="s">
        <v>248</v>
      </c>
      <c r="M2947">
        <v>52</v>
      </c>
      <c r="N2947" t="s">
        <v>61</v>
      </c>
      <c r="O2947" s="3" t="s">
        <v>55</v>
      </c>
      <c r="P2947" t="s">
        <v>29</v>
      </c>
      <c r="Q2947" t="s">
        <v>41</v>
      </c>
      <c r="R2947">
        <v>2</v>
      </c>
      <c r="S2947" t="s">
        <v>42</v>
      </c>
      <c r="T2947" s="4">
        <f t="shared" ref="T2947:T3010" si="234">J2947*K2947</f>
        <v>330033.24</v>
      </c>
      <c r="U2947" s="4" t="str">
        <f t="shared" ref="U2947:U3010" si="235">IF(R2947&gt;=4,"Good","Average")</f>
        <v>Average</v>
      </c>
      <c r="V2947" s="4" t="str">
        <f t="shared" si="231"/>
        <v>Excellent</v>
      </c>
      <c r="W2947" s="4"/>
      <c r="X2947" s="4"/>
      <c r="AJ2947" s="4"/>
    </row>
    <row r="2948" spans="1:36">
      <c r="A2948" t="str">
        <f t="shared" si="232"/>
        <v>Sneh382947</v>
      </c>
      <c r="B2948">
        <v>2947</v>
      </c>
      <c r="C2948">
        <v>25</v>
      </c>
      <c r="D2948">
        <v>1</v>
      </c>
      <c r="E2948">
        <v>2024</v>
      </c>
      <c r="F2948" s="1">
        <f t="shared" si="233"/>
        <v>45316</v>
      </c>
      <c r="G2948" s="1" t="s">
        <v>316</v>
      </c>
      <c r="H2948" s="2">
        <v>47424</v>
      </c>
      <c r="I2948" t="s">
        <v>19</v>
      </c>
      <c r="J2948">
        <v>4</v>
      </c>
      <c r="K2948">
        <v>60577.02</v>
      </c>
      <c r="L2948" t="s">
        <v>27</v>
      </c>
      <c r="M2948">
        <v>38</v>
      </c>
      <c r="N2948" t="s">
        <v>21</v>
      </c>
      <c r="O2948" s="3" t="s">
        <v>55</v>
      </c>
      <c r="P2948" t="s">
        <v>59</v>
      </c>
      <c r="Q2948" t="s">
        <v>30</v>
      </c>
      <c r="R2948">
        <v>2</v>
      </c>
      <c r="S2948" t="s">
        <v>25</v>
      </c>
      <c r="T2948" s="4">
        <f t="shared" si="234"/>
        <v>242308.08</v>
      </c>
      <c r="U2948" s="4" t="str">
        <f t="shared" si="235"/>
        <v>Average</v>
      </c>
      <c r="V2948" s="4" t="str">
        <f t="shared" si="231"/>
        <v>Excellent</v>
      </c>
      <c r="W2948" s="4"/>
      <c r="X2948" s="4"/>
      <c r="AJ2948" s="4"/>
    </row>
    <row r="2949" spans="1:36">
      <c r="A2949" t="str">
        <f t="shared" si="232"/>
        <v>Neet422948</v>
      </c>
      <c r="B2949">
        <v>2948</v>
      </c>
      <c r="C2949">
        <v>25</v>
      </c>
      <c r="D2949">
        <v>1</v>
      </c>
      <c r="E2949">
        <v>2024</v>
      </c>
      <c r="F2949" s="1">
        <f t="shared" si="233"/>
        <v>45316</v>
      </c>
      <c r="G2949" s="1" t="s">
        <v>316</v>
      </c>
      <c r="H2949" s="2">
        <v>47425</v>
      </c>
      <c r="I2949" t="s">
        <v>26</v>
      </c>
      <c r="J2949">
        <v>2</v>
      </c>
      <c r="K2949">
        <v>38205.760000000002</v>
      </c>
      <c r="L2949" t="s">
        <v>396</v>
      </c>
      <c r="M2949">
        <v>42</v>
      </c>
      <c r="N2949" t="s">
        <v>21</v>
      </c>
      <c r="O2949" s="3" t="s">
        <v>22</v>
      </c>
      <c r="P2949" t="s">
        <v>33</v>
      </c>
      <c r="Q2949" t="s">
        <v>24</v>
      </c>
      <c r="R2949">
        <v>4</v>
      </c>
      <c r="S2949" t="s">
        <v>67</v>
      </c>
      <c r="T2949" s="4">
        <f t="shared" si="234"/>
        <v>76411.520000000004</v>
      </c>
      <c r="U2949" s="4" t="str">
        <f t="shared" si="235"/>
        <v>Good</v>
      </c>
      <c r="V2949" s="4" t="str">
        <f t="shared" si="231"/>
        <v>Average</v>
      </c>
      <c r="W2949" s="4"/>
      <c r="X2949" s="4"/>
      <c r="AJ2949" s="4"/>
    </row>
    <row r="2950" spans="1:36">
      <c r="A2950" t="str">
        <f t="shared" si="232"/>
        <v>Priy562949</v>
      </c>
      <c r="B2950">
        <v>2949</v>
      </c>
      <c r="C2950">
        <v>26</v>
      </c>
      <c r="D2950">
        <v>1</v>
      </c>
      <c r="E2950">
        <v>2024</v>
      </c>
      <c r="F2950" s="1">
        <f t="shared" si="233"/>
        <v>45317</v>
      </c>
      <c r="G2950" s="1" t="s">
        <v>316</v>
      </c>
      <c r="H2950" s="2">
        <v>47426</v>
      </c>
      <c r="I2950" t="s">
        <v>26</v>
      </c>
      <c r="J2950">
        <v>9</v>
      </c>
      <c r="K2950">
        <v>33386.519999999997</v>
      </c>
      <c r="L2950" t="s">
        <v>616</v>
      </c>
      <c r="M2950">
        <v>56</v>
      </c>
      <c r="N2950" t="s">
        <v>61</v>
      </c>
      <c r="O2950" s="3" t="s">
        <v>55</v>
      </c>
      <c r="P2950" t="s">
        <v>29</v>
      </c>
      <c r="Q2950" t="s">
        <v>56</v>
      </c>
      <c r="R2950">
        <v>2</v>
      </c>
      <c r="S2950" t="s">
        <v>34</v>
      </c>
      <c r="T2950" s="4">
        <f t="shared" si="234"/>
        <v>300478.68</v>
      </c>
      <c r="U2950" s="4" t="str">
        <f t="shared" si="235"/>
        <v>Average</v>
      </c>
      <c r="V2950" s="4" t="str">
        <f t="shared" si="231"/>
        <v>Excellent</v>
      </c>
      <c r="W2950" s="4"/>
      <c r="X2950" s="4"/>
      <c r="AJ2950" s="4"/>
    </row>
    <row r="2951" spans="1:36">
      <c r="A2951" t="str">
        <f t="shared" si="232"/>
        <v>Mala192950</v>
      </c>
      <c r="B2951">
        <v>2950</v>
      </c>
      <c r="C2951">
        <v>26</v>
      </c>
      <c r="D2951">
        <v>1</v>
      </c>
      <c r="E2951">
        <v>2024</v>
      </c>
      <c r="F2951" s="1">
        <f t="shared" si="233"/>
        <v>45317</v>
      </c>
      <c r="G2951" s="1" t="s">
        <v>316</v>
      </c>
      <c r="H2951" s="2">
        <v>47427</v>
      </c>
      <c r="I2951" t="s">
        <v>49</v>
      </c>
      <c r="J2951">
        <v>7</v>
      </c>
      <c r="K2951">
        <v>33562.51</v>
      </c>
      <c r="L2951" t="s">
        <v>206</v>
      </c>
      <c r="M2951">
        <v>19</v>
      </c>
      <c r="N2951" t="s">
        <v>36</v>
      </c>
      <c r="O2951" s="3" t="s">
        <v>55</v>
      </c>
      <c r="P2951" t="s">
        <v>110</v>
      </c>
      <c r="Q2951" t="s">
        <v>56</v>
      </c>
      <c r="R2951">
        <v>2</v>
      </c>
      <c r="S2951" t="s">
        <v>88</v>
      </c>
      <c r="T2951" s="4">
        <f t="shared" si="234"/>
        <v>234937.57</v>
      </c>
      <c r="U2951" s="4" t="str">
        <f t="shared" si="235"/>
        <v>Average</v>
      </c>
      <c r="V2951" s="4" t="str">
        <f t="shared" si="231"/>
        <v>Excellent</v>
      </c>
      <c r="W2951" s="4"/>
      <c r="X2951" s="4"/>
      <c r="AJ2951" s="4"/>
    </row>
    <row r="2952" spans="1:36">
      <c r="A2952" t="str">
        <f t="shared" si="232"/>
        <v>Pooj182951</v>
      </c>
      <c r="B2952">
        <v>2951</v>
      </c>
      <c r="C2952">
        <v>26</v>
      </c>
      <c r="D2952">
        <v>1</v>
      </c>
      <c r="E2952">
        <v>2024</v>
      </c>
      <c r="F2952" s="1">
        <f t="shared" si="233"/>
        <v>45317</v>
      </c>
      <c r="G2952" s="1" t="s">
        <v>316</v>
      </c>
      <c r="H2952" s="2">
        <v>47428</v>
      </c>
      <c r="I2952" t="s">
        <v>38</v>
      </c>
      <c r="J2952">
        <v>6</v>
      </c>
      <c r="K2952">
        <v>46962.31</v>
      </c>
      <c r="L2952" t="s">
        <v>986</v>
      </c>
      <c r="M2952">
        <v>18</v>
      </c>
      <c r="N2952" t="s">
        <v>36</v>
      </c>
      <c r="O2952" s="3" t="s">
        <v>22</v>
      </c>
      <c r="P2952" t="s">
        <v>66</v>
      </c>
      <c r="Q2952" t="s">
        <v>56</v>
      </c>
      <c r="R2952">
        <v>4</v>
      </c>
      <c r="S2952" t="s">
        <v>48</v>
      </c>
      <c r="T2952" s="4">
        <f t="shared" si="234"/>
        <v>281773.86</v>
      </c>
      <c r="U2952" s="4" t="str">
        <f t="shared" si="235"/>
        <v>Good</v>
      </c>
      <c r="V2952" s="4" t="str">
        <f t="shared" si="231"/>
        <v>Excellent</v>
      </c>
      <c r="W2952" s="4"/>
      <c r="X2952" s="4"/>
      <c r="AJ2952" s="4"/>
    </row>
    <row r="2953" spans="1:36">
      <c r="A2953" t="str">
        <f t="shared" si="232"/>
        <v>Raje242952</v>
      </c>
      <c r="B2953">
        <v>2952</v>
      </c>
      <c r="C2953">
        <v>27</v>
      </c>
      <c r="D2953">
        <v>1</v>
      </c>
      <c r="E2953">
        <v>2024</v>
      </c>
      <c r="F2953" s="1">
        <f t="shared" si="233"/>
        <v>45318</v>
      </c>
      <c r="G2953" s="1" t="s">
        <v>316</v>
      </c>
      <c r="H2953" s="2">
        <v>47429</v>
      </c>
      <c r="I2953" t="s">
        <v>19</v>
      </c>
      <c r="J2953">
        <v>5</v>
      </c>
      <c r="K2953">
        <v>17454.2</v>
      </c>
      <c r="L2953" t="s">
        <v>981</v>
      </c>
      <c r="M2953">
        <v>24</v>
      </c>
      <c r="N2953" t="s">
        <v>36</v>
      </c>
      <c r="O2953" s="3" t="s">
        <v>55</v>
      </c>
      <c r="P2953" t="s">
        <v>64</v>
      </c>
      <c r="Q2953" t="s">
        <v>56</v>
      </c>
      <c r="R2953">
        <v>2</v>
      </c>
      <c r="S2953" t="s">
        <v>37</v>
      </c>
      <c r="T2953" s="4">
        <f t="shared" si="234"/>
        <v>87271</v>
      </c>
      <c r="U2953" s="4" t="str">
        <f t="shared" si="235"/>
        <v>Average</v>
      </c>
      <c r="V2953" s="4" t="str">
        <f t="shared" si="231"/>
        <v>Average</v>
      </c>
      <c r="W2953" s="4"/>
      <c r="X2953" s="4"/>
      <c r="AJ2953" s="4"/>
    </row>
    <row r="2954" spans="1:36">
      <c r="A2954" t="str">
        <f t="shared" si="232"/>
        <v>Neet372953</v>
      </c>
      <c r="B2954">
        <v>2953</v>
      </c>
      <c r="C2954">
        <v>27</v>
      </c>
      <c r="D2954">
        <v>1</v>
      </c>
      <c r="E2954">
        <v>2024</v>
      </c>
      <c r="F2954" s="1">
        <f t="shared" si="233"/>
        <v>45318</v>
      </c>
      <c r="G2954" s="1" t="s">
        <v>316</v>
      </c>
      <c r="H2954" s="2">
        <v>47430</v>
      </c>
      <c r="I2954" t="s">
        <v>49</v>
      </c>
      <c r="J2954">
        <v>3</v>
      </c>
      <c r="K2954">
        <v>44769.65</v>
      </c>
      <c r="L2954" t="s">
        <v>525</v>
      </c>
      <c r="M2954">
        <v>37</v>
      </c>
      <c r="N2954" t="s">
        <v>21</v>
      </c>
      <c r="O2954" s="3" t="s">
        <v>55</v>
      </c>
      <c r="P2954" t="s">
        <v>29</v>
      </c>
      <c r="Q2954" t="s">
        <v>56</v>
      </c>
      <c r="R2954">
        <v>2</v>
      </c>
      <c r="S2954" t="s">
        <v>88</v>
      </c>
      <c r="T2954" s="4">
        <f t="shared" si="234"/>
        <v>134308.95000000001</v>
      </c>
      <c r="U2954" s="4" t="str">
        <f t="shared" si="235"/>
        <v>Average</v>
      </c>
      <c r="V2954" s="4" t="str">
        <f t="shared" si="231"/>
        <v>Good</v>
      </c>
      <c r="W2954" s="4"/>
      <c r="X2954" s="4"/>
      <c r="AJ2954" s="4"/>
    </row>
    <row r="2955" spans="1:36">
      <c r="A2955" t="str">
        <f t="shared" si="232"/>
        <v>Neet232954</v>
      </c>
      <c r="B2955">
        <v>2954</v>
      </c>
      <c r="C2955">
        <v>27</v>
      </c>
      <c r="D2955">
        <v>1</v>
      </c>
      <c r="E2955">
        <v>2024</v>
      </c>
      <c r="F2955" s="1">
        <f t="shared" si="233"/>
        <v>45318</v>
      </c>
      <c r="G2955" s="1" t="s">
        <v>316</v>
      </c>
      <c r="H2955" s="2">
        <v>47431</v>
      </c>
      <c r="I2955" t="s">
        <v>49</v>
      </c>
      <c r="J2955">
        <v>4</v>
      </c>
      <c r="K2955">
        <v>49907.97</v>
      </c>
      <c r="L2955" t="s">
        <v>541</v>
      </c>
      <c r="M2955">
        <v>23</v>
      </c>
      <c r="N2955" t="s">
        <v>36</v>
      </c>
      <c r="O2955" s="3" t="s">
        <v>55</v>
      </c>
      <c r="P2955" t="s">
        <v>33</v>
      </c>
      <c r="Q2955" t="s">
        <v>30</v>
      </c>
      <c r="R2955">
        <v>2</v>
      </c>
      <c r="S2955" t="s">
        <v>52</v>
      </c>
      <c r="T2955" s="4">
        <f t="shared" si="234"/>
        <v>199631.88</v>
      </c>
      <c r="U2955" s="4" t="str">
        <f t="shared" si="235"/>
        <v>Average</v>
      </c>
      <c r="V2955" s="4" t="str">
        <f t="shared" si="231"/>
        <v>Good</v>
      </c>
      <c r="W2955" s="4"/>
      <c r="X2955" s="4"/>
      <c r="AJ2955" s="4"/>
    </row>
    <row r="2956" spans="1:36">
      <c r="A2956" t="str">
        <f t="shared" si="232"/>
        <v>Anit532955</v>
      </c>
      <c r="B2956">
        <v>2955</v>
      </c>
      <c r="C2956">
        <v>28</v>
      </c>
      <c r="D2956">
        <v>1</v>
      </c>
      <c r="E2956">
        <v>2024</v>
      </c>
      <c r="F2956" s="1">
        <f t="shared" si="233"/>
        <v>45319</v>
      </c>
      <c r="G2956" s="1" t="s">
        <v>316</v>
      </c>
      <c r="H2956" s="2">
        <v>47432</v>
      </c>
      <c r="I2956" t="s">
        <v>38</v>
      </c>
      <c r="J2956">
        <v>3</v>
      </c>
      <c r="K2956">
        <v>36334.519999999997</v>
      </c>
      <c r="L2956" t="s">
        <v>327</v>
      </c>
      <c r="M2956">
        <v>53</v>
      </c>
      <c r="N2956" t="s">
        <v>61</v>
      </c>
      <c r="O2956" s="3" t="s">
        <v>55</v>
      </c>
      <c r="P2956" t="s">
        <v>33</v>
      </c>
      <c r="Q2956" t="s">
        <v>56</v>
      </c>
      <c r="R2956">
        <v>2</v>
      </c>
      <c r="S2956" t="s">
        <v>42</v>
      </c>
      <c r="T2956" s="4">
        <f t="shared" si="234"/>
        <v>109003.56</v>
      </c>
      <c r="U2956" s="4" t="str">
        <f t="shared" si="235"/>
        <v>Average</v>
      </c>
      <c r="V2956" s="4" t="str">
        <f t="shared" si="231"/>
        <v>Good</v>
      </c>
      <c r="W2956" s="4"/>
      <c r="X2956" s="4"/>
      <c r="AJ2956" s="4"/>
    </row>
    <row r="2957" spans="1:36">
      <c r="A2957" t="str">
        <f t="shared" si="232"/>
        <v>Sach382956</v>
      </c>
      <c r="B2957">
        <v>2956</v>
      </c>
      <c r="C2957">
        <v>28</v>
      </c>
      <c r="D2957">
        <v>1</v>
      </c>
      <c r="E2957">
        <v>2024</v>
      </c>
      <c r="F2957" s="1">
        <f t="shared" si="233"/>
        <v>45319</v>
      </c>
      <c r="G2957" s="1" t="s">
        <v>316</v>
      </c>
      <c r="H2957" s="2">
        <v>47433</v>
      </c>
      <c r="I2957" t="s">
        <v>19</v>
      </c>
      <c r="J2957">
        <v>8</v>
      </c>
      <c r="K2957">
        <v>67190.03</v>
      </c>
      <c r="L2957" t="s">
        <v>183</v>
      </c>
      <c r="M2957">
        <v>38</v>
      </c>
      <c r="N2957" t="s">
        <v>21</v>
      </c>
      <c r="O2957" s="3" t="s">
        <v>55</v>
      </c>
      <c r="P2957" t="s">
        <v>29</v>
      </c>
      <c r="Q2957" t="s">
        <v>24</v>
      </c>
      <c r="R2957">
        <v>2</v>
      </c>
      <c r="S2957" t="s">
        <v>37</v>
      </c>
      <c r="T2957" s="4">
        <f t="shared" si="234"/>
        <v>537520.24</v>
      </c>
      <c r="U2957" s="4" t="str">
        <f t="shared" si="235"/>
        <v>Average</v>
      </c>
      <c r="V2957" s="4" t="str">
        <f t="shared" si="231"/>
        <v>Excellent</v>
      </c>
      <c r="W2957" s="4"/>
      <c r="X2957" s="4"/>
      <c r="AJ2957" s="4"/>
    </row>
    <row r="2958" spans="1:36">
      <c r="A2958" t="str">
        <f t="shared" si="232"/>
        <v>Tanu522957</v>
      </c>
      <c r="B2958">
        <v>2957</v>
      </c>
      <c r="C2958">
        <v>28</v>
      </c>
      <c r="D2958">
        <v>1</v>
      </c>
      <c r="E2958">
        <v>2024</v>
      </c>
      <c r="F2958" s="1">
        <f t="shared" si="233"/>
        <v>45319</v>
      </c>
      <c r="G2958" s="1" t="s">
        <v>316</v>
      </c>
      <c r="H2958" s="2">
        <v>47434</v>
      </c>
      <c r="I2958" t="s">
        <v>38</v>
      </c>
      <c r="J2958">
        <v>3</v>
      </c>
      <c r="K2958">
        <v>46492.800000000003</v>
      </c>
      <c r="L2958" t="s">
        <v>970</v>
      </c>
      <c r="M2958">
        <v>52</v>
      </c>
      <c r="N2958" t="s">
        <v>61</v>
      </c>
      <c r="O2958" s="3" t="s">
        <v>22</v>
      </c>
      <c r="P2958" t="s">
        <v>51</v>
      </c>
      <c r="Q2958" t="s">
        <v>24</v>
      </c>
      <c r="R2958">
        <v>5</v>
      </c>
      <c r="S2958" t="s">
        <v>48</v>
      </c>
      <c r="T2958" s="4">
        <f t="shared" si="234"/>
        <v>139478.40000000002</v>
      </c>
      <c r="U2958" s="4" t="str">
        <f t="shared" si="235"/>
        <v>Good</v>
      </c>
      <c r="V2958" s="4" t="str">
        <f t="shared" si="231"/>
        <v>Good</v>
      </c>
      <c r="W2958" s="4"/>
      <c r="X2958" s="4"/>
      <c r="AJ2958" s="4"/>
    </row>
    <row r="2959" spans="1:36">
      <c r="A2959" t="str">
        <f t="shared" si="232"/>
        <v>Kira532958</v>
      </c>
      <c r="B2959">
        <v>2958</v>
      </c>
      <c r="C2959">
        <v>28</v>
      </c>
      <c r="D2959">
        <v>1</v>
      </c>
      <c r="E2959">
        <v>2024</v>
      </c>
      <c r="F2959" s="1">
        <f t="shared" si="233"/>
        <v>45319</v>
      </c>
      <c r="G2959" s="1" t="s">
        <v>316</v>
      </c>
      <c r="H2959" s="2">
        <v>47435</v>
      </c>
      <c r="I2959" t="s">
        <v>19</v>
      </c>
      <c r="J2959">
        <v>7</v>
      </c>
      <c r="K2959">
        <v>23199.97</v>
      </c>
      <c r="L2959" t="s">
        <v>425</v>
      </c>
      <c r="M2959">
        <v>53</v>
      </c>
      <c r="N2959" t="s">
        <v>61</v>
      </c>
      <c r="O2959" s="3" t="s">
        <v>22</v>
      </c>
      <c r="P2959" t="s">
        <v>77</v>
      </c>
      <c r="Q2959" t="s">
        <v>41</v>
      </c>
      <c r="R2959">
        <v>5</v>
      </c>
      <c r="S2959" t="s">
        <v>37</v>
      </c>
      <c r="T2959" s="4">
        <f t="shared" si="234"/>
        <v>162399.79</v>
      </c>
      <c r="U2959" s="4" t="str">
        <f t="shared" si="235"/>
        <v>Good</v>
      </c>
      <c r="V2959" s="4" t="str">
        <f t="shared" si="231"/>
        <v>Good</v>
      </c>
      <c r="W2959" s="4"/>
      <c r="X2959" s="4"/>
      <c r="AJ2959" s="4"/>
    </row>
    <row r="2960" spans="1:36">
      <c r="A2960" t="str">
        <f t="shared" si="232"/>
        <v>Mano252959</v>
      </c>
      <c r="B2960">
        <v>2959</v>
      </c>
      <c r="C2960">
        <v>29</v>
      </c>
      <c r="D2960">
        <v>1</v>
      </c>
      <c r="E2960">
        <v>2024</v>
      </c>
      <c r="F2960" s="1">
        <f t="shared" si="233"/>
        <v>45320</v>
      </c>
      <c r="G2960" s="1" t="s">
        <v>316</v>
      </c>
      <c r="H2960" s="2">
        <v>47436</v>
      </c>
      <c r="I2960" t="s">
        <v>38</v>
      </c>
      <c r="J2960">
        <v>7</v>
      </c>
      <c r="K2960">
        <v>38752.980000000003</v>
      </c>
      <c r="L2960" t="s">
        <v>235</v>
      </c>
      <c r="M2960">
        <v>25</v>
      </c>
      <c r="N2960" t="s">
        <v>36</v>
      </c>
      <c r="O2960" s="3" t="s">
        <v>22</v>
      </c>
      <c r="P2960" t="s">
        <v>29</v>
      </c>
      <c r="Q2960" t="s">
        <v>41</v>
      </c>
      <c r="R2960">
        <v>4</v>
      </c>
      <c r="S2960" t="s">
        <v>99</v>
      </c>
      <c r="T2960" s="4">
        <f t="shared" si="234"/>
        <v>271270.86000000004</v>
      </c>
      <c r="U2960" s="4" t="str">
        <f t="shared" si="235"/>
        <v>Good</v>
      </c>
      <c r="V2960" s="4" t="str">
        <f t="shared" si="231"/>
        <v>Excellent</v>
      </c>
      <c r="W2960" s="4"/>
      <c r="X2960" s="4"/>
      <c r="AJ2960" s="4"/>
    </row>
    <row r="2961" spans="1:36">
      <c r="A2961" t="str">
        <f t="shared" si="232"/>
        <v>Hari212960</v>
      </c>
      <c r="B2961">
        <v>2960</v>
      </c>
      <c r="C2961">
        <v>29</v>
      </c>
      <c r="D2961">
        <v>1</v>
      </c>
      <c r="E2961">
        <v>2024</v>
      </c>
      <c r="F2961" s="1">
        <f t="shared" si="233"/>
        <v>45320</v>
      </c>
      <c r="G2961" s="1" t="s">
        <v>316</v>
      </c>
      <c r="H2961" s="2">
        <v>47437</v>
      </c>
      <c r="I2961" t="s">
        <v>49</v>
      </c>
      <c r="J2961">
        <v>7</v>
      </c>
      <c r="K2961">
        <v>50524.27</v>
      </c>
      <c r="L2961" t="s">
        <v>655</v>
      </c>
      <c r="M2961">
        <v>21</v>
      </c>
      <c r="N2961" t="s">
        <v>36</v>
      </c>
      <c r="O2961" s="3" t="s">
        <v>22</v>
      </c>
      <c r="P2961" t="s">
        <v>33</v>
      </c>
      <c r="Q2961" t="s">
        <v>41</v>
      </c>
      <c r="R2961">
        <v>4</v>
      </c>
      <c r="S2961" t="s">
        <v>88</v>
      </c>
      <c r="T2961" s="4">
        <f t="shared" si="234"/>
        <v>353669.88999999996</v>
      </c>
      <c r="U2961" s="4" t="str">
        <f t="shared" si="235"/>
        <v>Good</v>
      </c>
      <c r="V2961" s="4" t="str">
        <f t="shared" si="231"/>
        <v>Excellent</v>
      </c>
      <c r="W2961" s="4"/>
      <c r="X2961" s="4"/>
      <c r="AJ2961" s="4"/>
    </row>
    <row r="2962" spans="1:36">
      <c r="A2962" t="str">
        <f t="shared" si="232"/>
        <v>Kris332961</v>
      </c>
      <c r="B2962">
        <v>2961</v>
      </c>
      <c r="C2962">
        <v>29</v>
      </c>
      <c r="D2962">
        <v>1</v>
      </c>
      <c r="E2962">
        <v>2024</v>
      </c>
      <c r="F2962" s="1">
        <f t="shared" si="233"/>
        <v>45320</v>
      </c>
      <c r="G2962" s="1" t="s">
        <v>316</v>
      </c>
      <c r="H2962" s="2">
        <v>47438</v>
      </c>
      <c r="I2962" t="s">
        <v>49</v>
      </c>
      <c r="J2962">
        <v>7</v>
      </c>
      <c r="K2962">
        <v>29417.75</v>
      </c>
      <c r="L2962" t="s">
        <v>717</v>
      </c>
      <c r="M2962">
        <v>33</v>
      </c>
      <c r="N2962" t="s">
        <v>21</v>
      </c>
      <c r="O2962" s="3" t="s">
        <v>28</v>
      </c>
      <c r="P2962" t="s">
        <v>29</v>
      </c>
      <c r="Q2962" t="s">
        <v>41</v>
      </c>
      <c r="R2962">
        <v>3</v>
      </c>
      <c r="S2962" t="s">
        <v>102</v>
      </c>
      <c r="T2962" s="4">
        <f t="shared" si="234"/>
        <v>205924.25</v>
      </c>
      <c r="U2962" s="4" t="str">
        <f t="shared" si="235"/>
        <v>Average</v>
      </c>
      <c r="V2962" s="4" t="str">
        <f t="shared" si="231"/>
        <v>Excellent</v>
      </c>
      <c r="W2962" s="4"/>
      <c r="X2962" s="4"/>
      <c r="AJ2962" s="4"/>
    </row>
    <row r="2963" spans="1:36">
      <c r="A2963" t="str">
        <f t="shared" si="232"/>
        <v>Meen202962</v>
      </c>
      <c r="B2963">
        <v>2962</v>
      </c>
      <c r="C2963">
        <v>30</v>
      </c>
      <c r="D2963">
        <v>1</v>
      </c>
      <c r="E2963">
        <v>2024</v>
      </c>
      <c r="F2963" s="1">
        <f t="shared" si="233"/>
        <v>45321</v>
      </c>
      <c r="G2963" s="1" t="s">
        <v>316</v>
      </c>
      <c r="H2963" s="2">
        <v>47439</v>
      </c>
      <c r="I2963" t="s">
        <v>43</v>
      </c>
      <c r="J2963">
        <v>2</v>
      </c>
      <c r="K2963">
        <v>14778.5</v>
      </c>
      <c r="L2963" t="s">
        <v>953</v>
      </c>
      <c r="M2963">
        <v>20</v>
      </c>
      <c r="N2963" t="s">
        <v>36</v>
      </c>
      <c r="O2963" s="3" t="s">
        <v>22</v>
      </c>
      <c r="P2963" t="s">
        <v>70</v>
      </c>
      <c r="Q2963" t="s">
        <v>30</v>
      </c>
      <c r="R2963">
        <v>5</v>
      </c>
      <c r="S2963" t="s">
        <v>57</v>
      </c>
      <c r="T2963" s="4">
        <f t="shared" si="234"/>
        <v>29557</v>
      </c>
      <c r="U2963" s="4" t="str">
        <f t="shared" si="235"/>
        <v>Good</v>
      </c>
      <c r="V2963" s="4" t="str">
        <f t="shared" si="231"/>
        <v>Low</v>
      </c>
      <c r="W2963" s="4"/>
      <c r="X2963" s="4"/>
      <c r="AJ2963" s="4"/>
    </row>
    <row r="2964" spans="1:36">
      <c r="A2964" t="str">
        <f t="shared" si="232"/>
        <v>Shru242963</v>
      </c>
      <c r="B2964">
        <v>2963</v>
      </c>
      <c r="C2964">
        <v>30</v>
      </c>
      <c r="D2964">
        <v>1</v>
      </c>
      <c r="E2964">
        <v>2024</v>
      </c>
      <c r="F2964" s="1">
        <f t="shared" si="233"/>
        <v>45321</v>
      </c>
      <c r="G2964" s="1" t="s">
        <v>316</v>
      </c>
      <c r="H2964" s="2">
        <v>47440</v>
      </c>
      <c r="I2964" t="s">
        <v>26</v>
      </c>
      <c r="J2964">
        <v>3</v>
      </c>
      <c r="K2964">
        <v>45006.14</v>
      </c>
      <c r="L2964" t="s">
        <v>901</v>
      </c>
      <c r="M2964">
        <v>24</v>
      </c>
      <c r="N2964" t="s">
        <v>36</v>
      </c>
      <c r="O2964" s="3" t="s">
        <v>55</v>
      </c>
      <c r="P2964" t="s">
        <v>29</v>
      </c>
      <c r="Q2964" t="s">
        <v>24</v>
      </c>
      <c r="R2964">
        <v>2</v>
      </c>
      <c r="S2964" t="s">
        <v>34</v>
      </c>
      <c r="T2964" s="4">
        <f t="shared" si="234"/>
        <v>135018.41999999998</v>
      </c>
      <c r="U2964" s="4" t="str">
        <f t="shared" si="235"/>
        <v>Average</v>
      </c>
      <c r="V2964" s="4" t="str">
        <f t="shared" si="231"/>
        <v>Good</v>
      </c>
      <c r="W2964" s="4"/>
      <c r="X2964" s="4"/>
      <c r="AJ2964" s="4"/>
    </row>
    <row r="2965" spans="1:36">
      <c r="A2965" t="str">
        <f t="shared" si="232"/>
        <v>Gita192964</v>
      </c>
      <c r="B2965">
        <v>2964</v>
      </c>
      <c r="C2965">
        <v>30</v>
      </c>
      <c r="D2965">
        <v>1</v>
      </c>
      <c r="E2965">
        <v>2024</v>
      </c>
      <c r="F2965" s="1">
        <f t="shared" si="233"/>
        <v>45321</v>
      </c>
      <c r="G2965" s="1" t="s">
        <v>316</v>
      </c>
      <c r="H2965" s="2">
        <v>47441</v>
      </c>
      <c r="I2965" t="s">
        <v>38</v>
      </c>
      <c r="J2965">
        <v>9</v>
      </c>
      <c r="K2965">
        <v>66872.210000000006</v>
      </c>
      <c r="L2965" t="s">
        <v>1039</v>
      </c>
      <c r="M2965">
        <v>19</v>
      </c>
      <c r="N2965" t="s">
        <v>36</v>
      </c>
      <c r="O2965" s="3" t="s">
        <v>22</v>
      </c>
      <c r="P2965" t="s">
        <v>90</v>
      </c>
      <c r="Q2965" t="s">
        <v>30</v>
      </c>
      <c r="R2965">
        <v>5</v>
      </c>
      <c r="S2965" t="s">
        <v>99</v>
      </c>
      <c r="T2965" s="4">
        <f t="shared" si="234"/>
        <v>601849.89</v>
      </c>
      <c r="U2965" s="4" t="str">
        <f t="shared" si="235"/>
        <v>Good</v>
      </c>
      <c r="V2965" s="4" t="str">
        <f t="shared" si="231"/>
        <v>Excellent</v>
      </c>
      <c r="W2965" s="4"/>
      <c r="X2965" s="4"/>
      <c r="AJ2965" s="4"/>
    </row>
    <row r="2966" spans="1:36">
      <c r="A2966" t="str">
        <f t="shared" si="232"/>
        <v>Gita182965</v>
      </c>
      <c r="B2966">
        <v>2965</v>
      </c>
      <c r="C2966">
        <v>31</v>
      </c>
      <c r="D2966">
        <v>1</v>
      </c>
      <c r="E2966">
        <v>2024</v>
      </c>
      <c r="F2966" s="1">
        <f t="shared" si="233"/>
        <v>45322</v>
      </c>
      <c r="G2966" s="1" t="s">
        <v>316</v>
      </c>
      <c r="H2966" s="2">
        <v>47442</v>
      </c>
      <c r="I2966" t="s">
        <v>43</v>
      </c>
      <c r="J2966">
        <v>3</v>
      </c>
      <c r="K2966">
        <v>39104.32</v>
      </c>
      <c r="L2966" t="s">
        <v>795</v>
      </c>
      <c r="M2966">
        <v>18</v>
      </c>
      <c r="N2966" t="s">
        <v>36</v>
      </c>
      <c r="O2966" s="3" t="s">
        <v>22</v>
      </c>
      <c r="P2966" t="s">
        <v>40</v>
      </c>
      <c r="Q2966" t="s">
        <v>24</v>
      </c>
      <c r="R2966">
        <v>4</v>
      </c>
      <c r="S2966" t="s">
        <v>95</v>
      </c>
      <c r="T2966" s="4">
        <f t="shared" si="234"/>
        <v>117312.95999999999</v>
      </c>
      <c r="U2966" s="4" t="str">
        <f t="shared" si="235"/>
        <v>Good</v>
      </c>
      <c r="V2966" s="4" t="str">
        <f t="shared" si="231"/>
        <v>Good</v>
      </c>
      <c r="W2966" s="4"/>
      <c r="X2966" s="4"/>
      <c r="AJ2966" s="4"/>
    </row>
    <row r="2967" spans="1:36">
      <c r="A2967" t="str">
        <f t="shared" si="232"/>
        <v>Bina182966</v>
      </c>
      <c r="B2967">
        <v>2966</v>
      </c>
      <c r="C2967">
        <v>31</v>
      </c>
      <c r="D2967">
        <v>1</v>
      </c>
      <c r="E2967">
        <v>2024</v>
      </c>
      <c r="F2967" s="1">
        <f t="shared" si="233"/>
        <v>45322</v>
      </c>
      <c r="G2967" s="1" t="s">
        <v>316</v>
      </c>
      <c r="H2967" s="2">
        <v>47443</v>
      </c>
      <c r="I2967" t="s">
        <v>26</v>
      </c>
      <c r="J2967">
        <v>2</v>
      </c>
      <c r="K2967">
        <v>64366.54</v>
      </c>
      <c r="L2967" t="s">
        <v>676</v>
      </c>
      <c r="M2967">
        <v>18</v>
      </c>
      <c r="N2967" t="s">
        <v>36</v>
      </c>
      <c r="O2967" s="3" t="s">
        <v>22</v>
      </c>
      <c r="P2967" t="s">
        <v>114</v>
      </c>
      <c r="Q2967" t="s">
        <v>30</v>
      </c>
      <c r="R2967">
        <v>4</v>
      </c>
      <c r="S2967" t="s">
        <v>34</v>
      </c>
      <c r="T2967" s="4">
        <f t="shared" si="234"/>
        <v>128733.08</v>
      </c>
      <c r="U2967" s="4" t="str">
        <f t="shared" si="235"/>
        <v>Good</v>
      </c>
      <c r="V2967" s="4" t="str">
        <f t="shared" si="231"/>
        <v>Good</v>
      </c>
      <c r="W2967" s="4"/>
      <c r="X2967" s="4"/>
      <c r="AJ2967" s="4"/>
    </row>
    <row r="2968" spans="1:36">
      <c r="A2968" t="str">
        <f t="shared" si="232"/>
        <v>Tapa552967</v>
      </c>
      <c r="B2968">
        <v>2967</v>
      </c>
      <c r="C2968">
        <v>31</v>
      </c>
      <c r="D2968">
        <v>1</v>
      </c>
      <c r="E2968">
        <v>2024</v>
      </c>
      <c r="F2968" s="1">
        <f t="shared" si="233"/>
        <v>45322</v>
      </c>
      <c r="G2968" s="1" t="s">
        <v>316</v>
      </c>
      <c r="H2968" s="2">
        <v>47444</v>
      </c>
      <c r="I2968" t="s">
        <v>38</v>
      </c>
      <c r="J2968">
        <v>9</v>
      </c>
      <c r="K2968">
        <v>60101.42</v>
      </c>
      <c r="L2968" t="s">
        <v>733</v>
      </c>
      <c r="M2968">
        <v>55</v>
      </c>
      <c r="N2968" t="s">
        <v>61</v>
      </c>
      <c r="O2968" s="3" t="s">
        <v>22</v>
      </c>
      <c r="P2968" t="s">
        <v>59</v>
      </c>
      <c r="Q2968" t="s">
        <v>24</v>
      </c>
      <c r="R2968">
        <v>4</v>
      </c>
      <c r="S2968" t="s">
        <v>42</v>
      </c>
      <c r="T2968" s="4">
        <f t="shared" si="234"/>
        <v>540912.78</v>
      </c>
      <c r="U2968" s="4" t="str">
        <f t="shared" si="235"/>
        <v>Good</v>
      </c>
      <c r="V2968" s="4" t="str">
        <f t="shared" si="231"/>
        <v>Excellent</v>
      </c>
      <c r="W2968" s="4"/>
      <c r="X2968" s="4"/>
      <c r="AJ2968" s="4"/>
    </row>
    <row r="2969" spans="1:36">
      <c r="A2969" t="str">
        <f t="shared" si="232"/>
        <v>Deep242968</v>
      </c>
      <c r="B2969">
        <v>2968</v>
      </c>
      <c r="C2969">
        <v>1</v>
      </c>
      <c r="D2969">
        <v>2</v>
      </c>
      <c r="E2969">
        <v>2024</v>
      </c>
      <c r="F2969" s="1">
        <f t="shared" si="233"/>
        <v>45323</v>
      </c>
      <c r="G2969" s="1" t="s">
        <v>408</v>
      </c>
      <c r="H2969" s="2">
        <v>47445</v>
      </c>
      <c r="I2969" t="s">
        <v>19</v>
      </c>
      <c r="J2969">
        <v>9</v>
      </c>
      <c r="K2969">
        <v>18844.77</v>
      </c>
      <c r="L2969" t="s">
        <v>478</v>
      </c>
      <c r="M2969">
        <v>24</v>
      </c>
      <c r="N2969" t="s">
        <v>36</v>
      </c>
      <c r="O2969" s="3" t="s">
        <v>55</v>
      </c>
      <c r="P2969" t="s">
        <v>40</v>
      </c>
      <c r="Q2969" t="s">
        <v>41</v>
      </c>
      <c r="R2969">
        <v>2</v>
      </c>
      <c r="S2969" t="s">
        <v>25</v>
      </c>
      <c r="T2969" s="4">
        <f t="shared" si="234"/>
        <v>169602.93</v>
      </c>
      <c r="U2969" s="4" t="str">
        <f t="shared" si="235"/>
        <v>Average</v>
      </c>
      <c r="V2969" s="4" t="str">
        <f t="shared" si="231"/>
        <v>Good</v>
      </c>
      <c r="W2969" s="4"/>
      <c r="X2969" s="4"/>
      <c r="AJ2969" s="4"/>
    </row>
    <row r="2970" spans="1:36">
      <c r="A2970" t="str">
        <f t="shared" si="232"/>
        <v>Nami412969</v>
      </c>
      <c r="B2970">
        <v>2969</v>
      </c>
      <c r="C2970">
        <v>1</v>
      </c>
      <c r="D2970">
        <v>2</v>
      </c>
      <c r="E2970">
        <v>2024</v>
      </c>
      <c r="F2970" s="1">
        <f t="shared" si="233"/>
        <v>45323</v>
      </c>
      <c r="G2970" s="1" t="s">
        <v>408</v>
      </c>
      <c r="H2970" s="2">
        <v>47446</v>
      </c>
      <c r="I2970" t="s">
        <v>26</v>
      </c>
      <c r="J2970">
        <v>4</v>
      </c>
      <c r="K2970">
        <v>52490.2</v>
      </c>
      <c r="L2970" t="s">
        <v>153</v>
      </c>
      <c r="M2970">
        <v>41</v>
      </c>
      <c r="N2970" t="s">
        <v>21</v>
      </c>
      <c r="O2970" s="3" t="s">
        <v>55</v>
      </c>
      <c r="P2970" t="s">
        <v>90</v>
      </c>
      <c r="Q2970" t="s">
        <v>24</v>
      </c>
      <c r="R2970">
        <v>1</v>
      </c>
      <c r="S2970" t="s">
        <v>34</v>
      </c>
      <c r="T2970" s="4">
        <f t="shared" si="234"/>
        <v>209960.8</v>
      </c>
      <c r="U2970" s="4" t="str">
        <f t="shared" si="235"/>
        <v>Average</v>
      </c>
      <c r="V2970" s="4" t="str">
        <f t="shared" si="231"/>
        <v>Excellent</v>
      </c>
      <c r="W2970" s="4"/>
      <c r="X2970" s="4"/>
      <c r="AJ2970" s="4"/>
    </row>
    <row r="2971" spans="1:36">
      <c r="A2971" t="str">
        <f t="shared" si="232"/>
        <v>Pooj222970</v>
      </c>
      <c r="B2971">
        <v>2970</v>
      </c>
      <c r="C2971">
        <v>1</v>
      </c>
      <c r="D2971">
        <v>2</v>
      </c>
      <c r="E2971">
        <v>2024</v>
      </c>
      <c r="F2971" s="1">
        <f t="shared" si="233"/>
        <v>45323</v>
      </c>
      <c r="G2971" s="1" t="s">
        <v>408</v>
      </c>
      <c r="H2971" s="2">
        <v>47447</v>
      </c>
      <c r="I2971" t="s">
        <v>49</v>
      </c>
      <c r="J2971">
        <v>9</v>
      </c>
      <c r="K2971">
        <v>36127.93</v>
      </c>
      <c r="L2971" t="s">
        <v>557</v>
      </c>
      <c r="M2971">
        <v>22</v>
      </c>
      <c r="N2971" t="s">
        <v>36</v>
      </c>
      <c r="O2971" s="3" t="s">
        <v>22</v>
      </c>
      <c r="P2971" t="s">
        <v>33</v>
      </c>
      <c r="Q2971" t="s">
        <v>41</v>
      </c>
      <c r="R2971">
        <v>4</v>
      </c>
      <c r="S2971" t="s">
        <v>52</v>
      </c>
      <c r="T2971" s="4">
        <f t="shared" si="234"/>
        <v>325151.37</v>
      </c>
      <c r="U2971" s="4" t="str">
        <f t="shared" si="235"/>
        <v>Good</v>
      </c>
      <c r="V2971" s="4" t="str">
        <f t="shared" si="231"/>
        <v>Excellent</v>
      </c>
      <c r="W2971" s="4"/>
      <c r="X2971" s="4"/>
      <c r="AJ2971" s="4"/>
    </row>
    <row r="2972" spans="1:36">
      <c r="A2972" t="str">
        <f t="shared" si="232"/>
        <v>Pank382971</v>
      </c>
      <c r="B2972">
        <v>2971</v>
      </c>
      <c r="C2972">
        <v>2</v>
      </c>
      <c r="D2972">
        <v>2</v>
      </c>
      <c r="E2972">
        <v>2024</v>
      </c>
      <c r="F2972" s="1">
        <f t="shared" si="233"/>
        <v>45324</v>
      </c>
      <c r="G2972" s="1" t="s">
        <v>408</v>
      </c>
      <c r="H2972" s="2">
        <v>47448</v>
      </c>
      <c r="I2972" t="s">
        <v>43</v>
      </c>
      <c r="J2972">
        <v>3</v>
      </c>
      <c r="K2972">
        <v>25014.78</v>
      </c>
      <c r="L2972" t="s">
        <v>972</v>
      </c>
      <c r="M2972">
        <v>38</v>
      </c>
      <c r="N2972" t="s">
        <v>21</v>
      </c>
      <c r="O2972" s="3" t="s">
        <v>22</v>
      </c>
      <c r="P2972" t="s">
        <v>33</v>
      </c>
      <c r="Q2972" t="s">
        <v>24</v>
      </c>
      <c r="R2972">
        <v>5</v>
      </c>
      <c r="S2972" t="s">
        <v>46</v>
      </c>
      <c r="T2972" s="4">
        <f t="shared" si="234"/>
        <v>75044.34</v>
      </c>
      <c r="U2972" s="4" t="str">
        <f t="shared" si="235"/>
        <v>Good</v>
      </c>
      <c r="V2972" s="4" t="str">
        <f t="shared" si="231"/>
        <v>Average</v>
      </c>
      <c r="W2972" s="4"/>
      <c r="X2972" s="4"/>
      <c r="AJ2972" s="4"/>
    </row>
    <row r="2973" spans="1:36">
      <c r="A2973" t="str">
        <f t="shared" si="232"/>
        <v>Shru452972</v>
      </c>
      <c r="B2973">
        <v>2972</v>
      </c>
      <c r="C2973">
        <v>2</v>
      </c>
      <c r="D2973">
        <v>2</v>
      </c>
      <c r="E2973">
        <v>2024</v>
      </c>
      <c r="F2973" s="1">
        <f t="shared" si="233"/>
        <v>45324</v>
      </c>
      <c r="G2973" s="1" t="s">
        <v>408</v>
      </c>
      <c r="H2973" s="2">
        <v>47449</v>
      </c>
      <c r="I2973" t="s">
        <v>26</v>
      </c>
      <c r="J2973">
        <v>7</v>
      </c>
      <c r="K2973">
        <v>51216.3</v>
      </c>
      <c r="L2973" t="s">
        <v>140</v>
      </c>
      <c r="M2973">
        <v>45</v>
      </c>
      <c r="N2973" t="s">
        <v>21</v>
      </c>
      <c r="O2973" s="3" t="s">
        <v>55</v>
      </c>
      <c r="P2973" t="s">
        <v>137</v>
      </c>
      <c r="Q2973" t="s">
        <v>30</v>
      </c>
      <c r="R2973">
        <v>1</v>
      </c>
      <c r="S2973" t="s">
        <v>31</v>
      </c>
      <c r="T2973" s="4">
        <f t="shared" si="234"/>
        <v>358514.10000000003</v>
      </c>
      <c r="U2973" s="4" t="str">
        <f t="shared" si="235"/>
        <v>Average</v>
      </c>
      <c r="V2973" s="4" t="str">
        <f t="shared" si="231"/>
        <v>Excellent</v>
      </c>
      <c r="W2973" s="4"/>
      <c r="X2973" s="4"/>
      <c r="AJ2973" s="4"/>
    </row>
    <row r="2974" spans="1:36">
      <c r="A2974" t="str">
        <f t="shared" si="232"/>
        <v>Nikh352973</v>
      </c>
      <c r="B2974">
        <v>2973</v>
      </c>
      <c r="C2974">
        <v>2</v>
      </c>
      <c r="D2974">
        <v>2</v>
      </c>
      <c r="E2974">
        <v>2024</v>
      </c>
      <c r="F2974" s="1">
        <f t="shared" si="233"/>
        <v>45324</v>
      </c>
      <c r="G2974" s="1" t="s">
        <v>408</v>
      </c>
      <c r="H2974" s="2">
        <v>47450</v>
      </c>
      <c r="I2974" t="s">
        <v>26</v>
      </c>
      <c r="J2974">
        <v>7</v>
      </c>
      <c r="K2974">
        <v>54559.64</v>
      </c>
      <c r="L2974" t="s">
        <v>712</v>
      </c>
      <c r="M2974">
        <v>35</v>
      </c>
      <c r="N2974" t="s">
        <v>21</v>
      </c>
      <c r="O2974" s="3" t="s">
        <v>22</v>
      </c>
      <c r="P2974" t="s">
        <v>59</v>
      </c>
      <c r="Q2974" t="s">
        <v>56</v>
      </c>
      <c r="R2974">
        <v>5</v>
      </c>
      <c r="S2974" t="s">
        <v>67</v>
      </c>
      <c r="T2974" s="4">
        <f t="shared" si="234"/>
        <v>381917.48</v>
      </c>
      <c r="U2974" s="4" t="str">
        <f t="shared" si="235"/>
        <v>Good</v>
      </c>
      <c r="V2974" s="4" t="str">
        <f t="shared" si="231"/>
        <v>Excellent</v>
      </c>
      <c r="W2974" s="4"/>
      <c r="X2974" s="4"/>
      <c r="AJ2974" s="4"/>
    </row>
    <row r="2975" spans="1:36">
      <c r="A2975" t="str">
        <f t="shared" si="232"/>
        <v>Moni412974</v>
      </c>
      <c r="B2975">
        <v>2974</v>
      </c>
      <c r="C2975">
        <v>2</v>
      </c>
      <c r="D2975">
        <v>2</v>
      </c>
      <c r="E2975">
        <v>2024</v>
      </c>
      <c r="F2975" s="1">
        <f t="shared" si="233"/>
        <v>45324</v>
      </c>
      <c r="G2975" s="1" t="s">
        <v>408</v>
      </c>
      <c r="H2975" s="2">
        <v>47451</v>
      </c>
      <c r="I2975" t="s">
        <v>49</v>
      </c>
      <c r="J2975">
        <v>8</v>
      </c>
      <c r="K2975">
        <v>20793.78</v>
      </c>
      <c r="L2975" t="s">
        <v>843</v>
      </c>
      <c r="M2975">
        <v>41</v>
      </c>
      <c r="N2975" t="s">
        <v>21</v>
      </c>
      <c r="O2975" s="3" t="s">
        <v>22</v>
      </c>
      <c r="P2975" t="s">
        <v>90</v>
      </c>
      <c r="Q2975" t="s">
        <v>24</v>
      </c>
      <c r="R2975">
        <v>4</v>
      </c>
      <c r="S2975" t="s">
        <v>102</v>
      </c>
      <c r="T2975" s="4">
        <f t="shared" si="234"/>
        <v>166350.24</v>
      </c>
      <c r="U2975" s="4" t="str">
        <f t="shared" si="235"/>
        <v>Good</v>
      </c>
      <c r="V2975" s="4" t="str">
        <f t="shared" si="231"/>
        <v>Good</v>
      </c>
      <c r="W2975" s="4"/>
      <c r="X2975" s="4"/>
      <c r="AJ2975" s="4"/>
    </row>
    <row r="2976" spans="1:36">
      <c r="A2976" t="str">
        <f t="shared" si="232"/>
        <v>Bhav492975</v>
      </c>
      <c r="B2976">
        <v>2975</v>
      </c>
      <c r="C2976">
        <v>3</v>
      </c>
      <c r="D2976">
        <v>2</v>
      </c>
      <c r="E2976">
        <v>2024</v>
      </c>
      <c r="F2976" s="1">
        <f t="shared" si="233"/>
        <v>45325</v>
      </c>
      <c r="G2976" s="1" t="s">
        <v>408</v>
      </c>
      <c r="H2976" s="2">
        <v>47452</v>
      </c>
      <c r="I2976" t="s">
        <v>38</v>
      </c>
      <c r="J2976">
        <v>4</v>
      </c>
      <c r="K2976">
        <v>64866.68</v>
      </c>
      <c r="L2976" t="s">
        <v>355</v>
      </c>
      <c r="M2976">
        <v>49</v>
      </c>
      <c r="N2976" t="s">
        <v>61</v>
      </c>
      <c r="O2976" s="3" t="s">
        <v>55</v>
      </c>
      <c r="P2976" t="s">
        <v>66</v>
      </c>
      <c r="Q2976" t="s">
        <v>30</v>
      </c>
      <c r="R2976">
        <v>2</v>
      </c>
      <c r="S2976" t="s">
        <v>48</v>
      </c>
      <c r="T2976" s="4">
        <f t="shared" si="234"/>
        <v>259466.72</v>
      </c>
      <c r="U2976" s="4" t="str">
        <f t="shared" si="235"/>
        <v>Average</v>
      </c>
      <c r="V2976" s="4" t="str">
        <f t="shared" si="231"/>
        <v>Excellent</v>
      </c>
      <c r="W2976" s="4"/>
      <c r="X2976" s="4"/>
      <c r="AJ2976" s="4"/>
    </row>
    <row r="2977" spans="1:36">
      <c r="A2977" t="str">
        <f t="shared" si="232"/>
        <v>Adit502976</v>
      </c>
      <c r="B2977">
        <v>2976</v>
      </c>
      <c r="C2977">
        <v>3</v>
      </c>
      <c r="D2977">
        <v>2</v>
      </c>
      <c r="E2977">
        <v>2024</v>
      </c>
      <c r="F2977" s="1">
        <f t="shared" si="233"/>
        <v>45325</v>
      </c>
      <c r="G2977" s="1" t="s">
        <v>408</v>
      </c>
      <c r="H2977" s="2">
        <v>47453</v>
      </c>
      <c r="I2977" t="s">
        <v>19</v>
      </c>
      <c r="J2977">
        <v>3</v>
      </c>
      <c r="K2977">
        <v>55068.83</v>
      </c>
      <c r="L2977" t="s">
        <v>406</v>
      </c>
      <c r="M2977">
        <v>50</v>
      </c>
      <c r="N2977" t="s">
        <v>61</v>
      </c>
      <c r="O2977" s="3" t="s">
        <v>55</v>
      </c>
      <c r="P2977" t="s">
        <v>29</v>
      </c>
      <c r="Q2977" t="s">
        <v>56</v>
      </c>
      <c r="R2977">
        <v>1</v>
      </c>
      <c r="S2977" t="s">
        <v>84</v>
      </c>
      <c r="T2977" s="4">
        <f t="shared" si="234"/>
        <v>165206.49</v>
      </c>
      <c r="U2977" s="4" t="str">
        <f t="shared" si="235"/>
        <v>Average</v>
      </c>
      <c r="V2977" s="4" t="str">
        <f t="shared" si="231"/>
        <v>Good</v>
      </c>
      <c r="W2977" s="4"/>
      <c r="X2977" s="4"/>
      <c r="AJ2977" s="4"/>
    </row>
    <row r="2978" spans="1:36">
      <c r="A2978" t="str">
        <f t="shared" si="232"/>
        <v>Neet272977</v>
      </c>
      <c r="B2978">
        <v>2977</v>
      </c>
      <c r="C2978">
        <v>3</v>
      </c>
      <c r="D2978">
        <v>2</v>
      </c>
      <c r="E2978">
        <v>2024</v>
      </c>
      <c r="F2978" s="1">
        <f t="shared" si="233"/>
        <v>45325</v>
      </c>
      <c r="G2978" s="1" t="s">
        <v>408</v>
      </c>
      <c r="H2978" s="2">
        <v>47454</v>
      </c>
      <c r="I2978" t="s">
        <v>49</v>
      </c>
      <c r="J2978">
        <v>3</v>
      </c>
      <c r="K2978">
        <v>66002.53</v>
      </c>
      <c r="L2978" t="s">
        <v>858</v>
      </c>
      <c r="M2978">
        <v>27</v>
      </c>
      <c r="N2978" t="s">
        <v>36</v>
      </c>
      <c r="O2978" s="3" t="s">
        <v>55</v>
      </c>
      <c r="P2978" t="s">
        <v>110</v>
      </c>
      <c r="Q2978" t="s">
        <v>30</v>
      </c>
      <c r="R2978">
        <v>1</v>
      </c>
      <c r="S2978" t="s">
        <v>52</v>
      </c>
      <c r="T2978" s="4">
        <f t="shared" si="234"/>
        <v>198007.59</v>
      </c>
      <c r="U2978" s="4" t="str">
        <f t="shared" si="235"/>
        <v>Average</v>
      </c>
      <c r="V2978" s="4" t="str">
        <f t="shared" si="231"/>
        <v>Good</v>
      </c>
      <c r="W2978" s="4"/>
      <c r="X2978" s="4"/>
      <c r="AJ2978" s="4"/>
    </row>
    <row r="2979" spans="1:36">
      <c r="A2979" t="str">
        <f t="shared" si="232"/>
        <v>Kira262978</v>
      </c>
      <c r="B2979">
        <v>2978</v>
      </c>
      <c r="C2979">
        <v>3</v>
      </c>
      <c r="D2979">
        <v>2</v>
      </c>
      <c r="E2979">
        <v>2024</v>
      </c>
      <c r="F2979" s="1">
        <f t="shared" si="233"/>
        <v>45325</v>
      </c>
      <c r="G2979" s="1" t="s">
        <v>408</v>
      </c>
      <c r="H2979" s="2">
        <v>47455</v>
      </c>
      <c r="I2979" t="s">
        <v>19</v>
      </c>
      <c r="J2979">
        <v>5</v>
      </c>
      <c r="K2979">
        <v>29024.39</v>
      </c>
      <c r="L2979" t="s">
        <v>610</v>
      </c>
      <c r="M2979">
        <v>26</v>
      </c>
      <c r="N2979" t="s">
        <v>36</v>
      </c>
      <c r="O2979" s="3" t="s">
        <v>22</v>
      </c>
      <c r="P2979" t="s">
        <v>29</v>
      </c>
      <c r="Q2979" t="s">
        <v>56</v>
      </c>
      <c r="R2979">
        <v>4</v>
      </c>
      <c r="S2979" t="s">
        <v>37</v>
      </c>
      <c r="T2979" s="4">
        <f t="shared" si="234"/>
        <v>145121.95000000001</v>
      </c>
      <c r="U2979" s="4" t="str">
        <f t="shared" si="235"/>
        <v>Good</v>
      </c>
      <c r="V2979" s="4" t="str">
        <f t="shared" si="231"/>
        <v>Good</v>
      </c>
      <c r="W2979" s="4"/>
      <c r="X2979" s="4"/>
      <c r="AJ2979" s="4"/>
    </row>
    <row r="2980" spans="1:36">
      <c r="A2980" t="str">
        <f t="shared" si="232"/>
        <v>Reen502979</v>
      </c>
      <c r="B2980">
        <v>2979</v>
      </c>
      <c r="C2980">
        <v>4</v>
      </c>
      <c r="D2980">
        <v>2</v>
      </c>
      <c r="E2980">
        <v>2024</v>
      </c>
      <c r="F2980" s="1">
        <f t="shared" si="233"/>
        <v>45326</v>
      </c>
      <c r="G2980" s="1" t="s">
        <v>408</v>
      </c>
      <c r="H2980" s="2">
        <v>47456</v>
      </c>
      <c r="I2980" t="s">
        <v>38</v>
      </c>
      <c r="J2980">
        <v>1</v>
      </c>
      <c r="K2980">
        <v>66360.100000000006</v>
      </c>
      <c r="L2980" t="s">
        <v>161</v>
      </c>
      <c r="M2980">
        <v>50</v>
      </c>
      <c r="N2980" t="s">
        <v>61</v>
      </c>
      <c r="O2980" s="3" t="s">
        <v>22</v>
      </c>
      <c r="P2980" t="s">
        <v>33</v>
      </c>
      <c r="Q2980" t="s">
        <v>41</v>
      </c>
      <c r="R2980">
        <v>4</v>
      </c>
      <c r="S2980" t="s">
        <v>42</v>
      </c>
      <c r="T2980" s="4">
        <f t="shared" si="234"/>
        <v>66360.100000000006</v>
      </c>
      <c r="U2980" s="4" t="str">
        <f t="shared" si="235"/>
        <v>Good</v>
      </c>
      <c r="V2980" s="4" t="str">
        <f t="shared" si="231"/>
        <v>Average</v>
      </c>
      <c r="W2980" s="4"/>
      <c r="X2980" s="4"/>
      <c r="AJ2980" s="4"/>
    </row>
    <row r="2981" spans="1:36">
      <c r="A2981" t="str">
        <f t="shared" si="232"/>
        <v>Pooj502980</v>
      </c>
      <c r="B2981">
        <v>2980</v>
      </c>
      <c r="C2981">
        <v>4</v>
      </c>
      <c r="D2981">
        <v>2</v>
      </c>
      <c r="E2981">
        <v>2024</v>
      </c>
      <c r="F2981" s="1">
        <f t="shared" si="233"/>
        <v>45326</v>
      </c>
      <c r="G2981" s="1" t="s">
        <v>408</v>
      </c>
      <c r="H2981" s="2">
        <v>47457</v>
      </c>
      <c r="I2981" t="s">
        <v>26</v>
      </c>
      <c r="J2981">
        <v>3</v>
      </c>
      <c r="K2981">
        <v>32111.06</v>
      </c>
      <c r="L2981" t="s">
        <v>101</v>
      </c>
      <c r="M2981">
        <v>50</v>
      </c>
      <c r="N2981" t="s">
        <v>61</v>
      </c>
      <c r="O2981" s="3" t="s">
        <v>22</v>
      </c>
      <c r="P2981" t="s">
        <v>150</v>
      </c>
      <c r="Q2981" t="s">
        <v>24</v>
      </c>
      <c r="R2981">
        <v>4</v>
      </c>
      <c r="S2981" t="s">
        <v>31</v>
      </c>
      <c r="T2981" s="4">
        <f t="shared" si="234"/>
        <v>96333.180000000008</v>
      </c>
      <c r="U2981" s="4" t="str">
        <f t="shared" si="235"/>
        <v>Good</v>
      </c>
      <c r="V2981" s="4" t="str">
        <f t="shared" si="231"/>
        <v>Average</v>
      </c>
      <c r="W2981" s="4"/>
      <c r="X2981" s="4"/>
      <c r="AJ2981" s="4"/>
    </row>
    <row r="2982" spans="1:36">
      <c r="A2982" t="str">
        <f t="shared" si="232"/>
        <v>Meen242981</v>
      </c>
      <c r="B2982">
        <v>2981</v>
      </c>
      <c r="C2982">
        <v>4</v>
      </c>
      <c r="D2982">
        <v>2</v>
      </c>
      <c r="E2982">
        <v>2024</v>
      </c>
      <c r="F2982" s="1">
        <f t="shared" si="233"/>
        <v>45326</v>
      </c>
      <c r="G2982" s="1" t="s">
        <v>408</v>
      </c>
      <c r="H2982" s="2">
        <v>47458</v>
      </c>
      <c r="I2982" t="s">
        <v>19</v>
      </c>
      <c r="J2982">
        <v>6</v>
      </c>
      <c r="K2982">
        <v>13238.19</v>
      </c>
      <c r="L2982" t="s">
        <v>732</v>
      </c>
      <c r="M2982">
        <v>24</v>
      </c>
      <c r="N2982" t="s">
        <v>36</v>
      </c>
      <c r="O2982" s="3" t="s">
        <v>28</v>
      </c>
      <c r="P2982" t="s">
        <v>29</v>
      </c>
      <c r="Q2982" t="s">
        <v>30</v>
      </c>
      <c r="R2982">
        <v>3</v>
      </c>
      <c r="S2982" t="s">
        <v>84</v>
      </c>
      <c r="T2982" s="4">
        <f t="shared" si="234"/>
        <v>79429.14</v>
      </c>
      <c r="U2982" s="4" t="str">
        <f t="shared" si="235"/>
        <v>Average</v>
      </c>
      <c r="V2982" s="4" t="str">
        <f t="shared" si="231"/>
        <v>Average</v>
      </c>
      <c r="W2982" s="4"/>
      <c r="X2982" s="4"/>
      <c r="AJ2982" s="4"/>
    </row>
    <row r="2983" spans="1:36">
      <c r="A2983" t="str">
        <f t="shared" si="232"/>
        <v>Suni212982</v>
      </c>
      <c r="B2983">
        <v>2982</v>
      </c>
      <c r="C2983">
        <v>5</v>
      </c>
      <c r="D2983">
        <v>2</v>
      </c>
      <c r="E2983">
        <v>2024</v>
      </c>
      <c r="F2983" s="1">
        <f t="shared" si="233"/>
        <v>45327</v>
      </c>
      <c r="G2983" s="1" t="s">
        <v>408</v>
      </c>
      <c r="H2983" s="2">
        <v>47459</v>
      </c>
      <c r="I2983" t="s">
        <v>43</v>
      </c>
      <c r="J2983">
        <v>3</v>
      </c>
      <c r="K2983">
        <v>55778.16</v>
      </c>
      <c r="L2983" t="s">
        <v>571</v>
      </c>
      <c r="M2983">
        <v>21</v>
      </c>
      <c r="N2983" t="s">
        <v>36</v>
      </c>
      <c r="O2983" s="3" t="s">
        <v>55</v>
      </c>
      <c r="P2983" t="s">
        <v>64</v>
      </c>
      <c r="Q2983" t="s">
        <v>24</v>
      </c>
      <c r="R2983">
        <v>2</v>
      </c>
      <c r="S2983" t="s">
        <v>46</v>
      </c>
      <c r="T2983" s="4">
        <f t="shared" si="234"/>
        <v>167334.48000000001</v>
      </c>
      <c r="U2983" s="4" t="str">
        <f t="shared" si="235"/>
        <v>Average</v>
      </c>
      <c r="V2983" s="4" t="str">
        <f t="shared" si="231"/>
        <v>Good</v>
      </c>
      <c r="W2983" s="4"/>
      <c r="X2983" s="4"/>
      <c r="AJ2983" s="4"/>
    </row>
    <row r="2984" spans="1:36">
      <c r="A2984" t="str">
        <f t="shared" si="232"/>
        <v>Roha452983</v>
      </c>
      <c r="B2984">
        <v>2983</v>
      </c>
      <c r="C2984">
        <v>5</v>
      </c>
      <c r="D2984">
        <v>2</v>
      </c>
      <c r="E2984">
        <v>2024</v>
      </c>
      <c r="F2984" s="1">
        <f t="shared" si="233"/>
        <v>45327</v>
      </c>
      <c r="G2984" s="1" t="s">
        <v>408</v>
      </c>
      <c r="H2984" s="2">
        <v>47460</v>
      </c>
      <c r="I2984" t="s">
        <v>43</v>
      </c>
      <c r="J2984">
        <v>5</v>
      </c>
      <c r="K2984">
        <v>52210.49</v>
      </c>
      <c r="L2984" t="s">
        <v>908</v>
      </c>
      <c r="M2984">
        <v>45</v>
      </c>
      <c r="N2984" t="s">
        <v>21</v>
      </c>
      <c r="O2984" s="3" t="s">
        <v>55</v>
      </c>
      <c r="P2984" t="s">
        <v>110</v>
      </c>
      <c r="Q2984" t="s">
        <v>41</v>
      </c>
      <c r="R2984">
        <v>2</v>
      </c>
      <c r="S2984" t="s">
        <v>46</v>
      </c>
      <c r="T2984" s="4">
        <f t="shared" si="234"/>
        <v>261052.44999999998</v>
      </c>
      <c r="U2984" s="4" t="str">
        <f t="shared" si="235"/>
        <v>Average</v>
      </c>
      <c r="V2984" s="4" t="str">
        <f t="shared" si="231"/>
        <v>Excellent</v>
      </c>
      <c r="W2984" s="4"/>
      <c r="X2984" s="4"/>
      <c r="AJ2984" s="4"/>
    </row>
    <row r="2985" spans="1:36">
      <c r="A2985" t="str">
        <f t="shared" si="232"/>
        <v>Lali402984</v>
      </c>
      <c r="B2985">
        <v>2984</v>
      </c>
      <c r="C2985">
        <v>5</v>
      </c>
      <c r="D2985">
        <v>2</v>
      </c>
      <c r="E2985">
        <v>2024</v>
      </c>
      <c r="F2985" s="1">
        <f t="shared" si="233"/>
        <v>45327</v>
      </c>
      <c r="G2985" s="1" t="s">
        <v>408</v>
      </c>
      <c r="H2985" s="2">
        <v>47461</v>
      </c>
      <c r="I2985" t="s">
        <v>49</v>
      </c>
      <c r="J2985">
        <v>9</v>
      </c>
      <c r="K2985">
        <v>45874.66</v>
      </c>
      <c r="L2985" t="s">
        <v>254</v>
      </c>
      <c r="M2985">
        <v>40</v>
      </c>
      <c r="N2985" t="s">
        <v>21</v>
      </c>
      <c r="O2985" s="3" t="s">
        <v>22</v>
      </c>
      <c r="P2985" t="s">
        <v>137</v>
      </c>
      <c r="Q2985" t="s">
        <v>41</v>
      </c>
      <c r="R2985">
        <v>4</v>
      </c>
      <c r="S2985" t="s">
        <v>52</v>
      </c>
      <c r="T2985" s="4">
        <f t="shared" si="234"/>
        <v>412871.94000000006</v>
      </c>
      <c r="U2985" s="4" t="str">
        <f t="shared" si="235"/>
        <v>Good</v>
      </c>
      <c r="V2985" s="4" t="str">
        <f t="shared" si="231"/>
        <v>Excellent</v>
      </c>
      <c r="W2985" s="4"/>
      <c r="X2985" s="4"/>
      <c r="AJ2985" s="4"/>
    </row>
    <row r="2986" spans="1:36">
      <c r="A2986" t="str">
        <f t="shared" si="232"/>
        <v>Yoge492985</v>
      </c>
      <c r="B2986">
        <v>2985</v>
      </c>
      <c r="C2986">
        <v>5</v>
      </c>
      <c r="D2986">
        <v>2</v>
      </c>
      <c r="E2986">
        <v>2024</v>
      </c>
      <c r="F2986" s="1">
        <f t="shared" si="233"/>
        <v>45327</v>
      </c>
      <c r="G2986" s="1" t="s">
        <v>408</v>
      </c>
      <c r="H2986" s="2">
        <v>47462</v>
      </c>
      <c r="I2986" t="s">
        <v>38</v>
      </c>
      <c r="J2986">
        <v>2</v>
      </c>
      <c r="K2986">
        <v>39393.620000000003</v>
      </c>
      <c r="L2986" t="s">
        <v>978</v>
      </c>
      <c r="M2986">
        <v>49</v>
      </c>
      <c r="N2986" t="s">
        <v>61</v>
      </c>
      <c r="O2986" s="3" t="s">
        <v>28</v>
      </c>
      <c r="P2986" t="s">
        <v>29</v>
      </c>
      <c r="Q2986" t="s">
        <v>24</v>
      </c>
      <c r="R2986">
        <v>3</v>
      </c>
      <c r="S2986" t="s">
        <v>48</v>
      </c>
      <c r="T2986" s="4">
        <f t="shared" si="234"/>
        <v>78787.240000000005</v>
      </c>
      <c r="U2986" s="4" t="str">
        <f t="shared" si="235"/>
        <v>Average</v>
      </c>
      <c r="V2986" s="4" t="str">
        <f t="shared" si="231"/>
        <v>Average</v>
      </c>
      <c r="W2986" s="4"/>
      <c r="X2986" s="4"/>
      <c r="AJ2986" s="4"/>
    </row>
    <row r="2987" spans="1:36">
      <c r="A2987" t="str">
        <f t="shared" si="232"/>
        <v>Pank332986</v>
      </c>
      <c r="B2987">
        <v>2986</v>
      </c>
      <c r="C2987">
        <v>6</v>
      </c>
      <c r="D2987">
        <v>2</v>
      </c>
      <c r="E2987">
        <v>2024</v>
      </c>
      <c r="F2987" s="1">
        <f t="shared" si="233"/>
        <v>45328</v>
      </c>
      <c r="G2987" s="1" t="s">
        <v>408</v>
      </c>
      <c r="H2987" s="2">
        <v>47463</v>
      </c>
      <c r="I2987" t="s">
        <v>49</v>
      </c>
      <c r="J2987">
        <v>2</v>
      </c>
      <c r="K2987">
        <v>11929.92</v>
      </c>
      <c r="L2987" t="s">
        <v>1040</v>
      </c>
      <c r="M2987">
        <v>33</v>
      </c>
      <c r="N2987" t="s">
        <v>21</v>
      </c>
      <c r="O2987" s="3" t="s">
        <v>22</v>
      </c>
      <c r="P2987" t="s">
        <v>29</v>
      </c>
      <c r="Q2987" t="s">
        <v>30</v>
      </c>
      <c r="R2987">
        <v>4</v>
      </c>
      <c r="S2987" t="s">
        <v>102</v>
      </c>
      <c r="T2987" s="4">
        <f t="shared" si="234"/>
        <v>23859.84</v>
      </c>
      <c r="U2987" s="4" t="str">
        <f t="shared" si="235"/>
        <v>Good</v>
      </c>
      <c r="V2987" s="4" t="str">
        <f t="shared" si="231"/>
        <v>Low</v>
      </c>
      <c r="W2987" s="4"/>
      <c r="X2987" s="4"/>
      <c r="AJ2987" s="4"/>
    </row>
    <row r="2988" spans="1:36">
      <c r="A2988" t="str">
        <f t="shared" si="232"/>
        <v>Vija272987</v>
      </c>
      <c r="B2988">
        <v>2987</v>
      </c>
      <c r="C2988">
        <v>6</v>
      </c>
      <c r="D2988">
        <v>2</v>
      </c>
      <c r="E2988">
        <v>2024</v>
      </c>
      <c r="F2988" s="1">
        <f t="shared" si="233"/>
        <v>45328</v>
      </c>
      <c r="G2988" s="1" t="s">
        <v>408</v>
      </c>
      <c r="H2988" s="2">
        <v>47464</v>
      </c>
      <c r="I2988" t="s">
        <v>49</v>
      </c>
      <c r="J2988">
        <v>6</v>
      </c>
      <c r="K2988">
        <v>47475.839999999997</v>
      </c>
      <c r="L2988" t="s">
        <v>565</v>
      </c>
      <c r="M2988">
        <v>27</v>
      </c>
      <c r="N2988" t="s">
        <v>36</v>
      </c>
      <c r="O2988" s="3" t="s">
        <v>22</v>
      </c>
      <c r="P2988" t="s">
        <v>33</v>
      </c>
      <c r="Q2988" t="s">
        <v>30</v>
      </c>
      <c r="R2988">
        <v>4</v>
      </c>
      <c r="S2988" t="s">
        <v>88</v>
      </c>
      <c r="T2988" s="4">
        <f t="shared" si="234"/>
        <v>284855.03999999998</v>
      </c>
      <c r="U2988" s="4" t="str">
        <f t="shared" si="235"/>
        <v>Good</v>
      </c>
      <c r="V2988" s="4" t="str">
        <f t="shared" si="231"/>
        <v>Excellent</v>
      </c>
      <c r="W2988" s="4"/>
      <c r="X2988" s="4"/>
      <c r="AJ2988" s="4"/>
    </row>
    <row r="2989" spans="1:36">
      <c r="A2989" t="str">
        <f t="shared" si="232"/>
        <v>Reen312988</v>
      </c>
      <c r="B2989">
        <v>2988</v>
      </c>
      <c r="C2989">
        <v>6</v>
      </c>
      <c r="D2989">
        <v>2</v>
      </c>
      <c r="E2989">
        <v>2024</v>
      </c>
      <c r="F2989" s="1">
        <f t="shared" si="233"/>
        <v>45328</v>
      </c>
      <c r="G2989" s="1" t="s">
        <v>408</v>
      </c>
      <c r="H2989" s="2">
        <v>47465</v>
      </c>
      <c r="I2989" t="s">
        <v>49</v>
      </c>
      <c r="J2989">
        <v>6</v>
      </c>
      <c r="K2989">
        <v>35010.080000000002</v>
      </c>
      <c r="L2989" t="s">
        <v>883</v>
      </c>
      <c r="M2989">
        <v>31</v>
      </c>
      <c r="N2989" t="s">
        <v>21</v>
      </c>
      <c r="O2989" s="3" t="s">
        <v>55</v>
      </c>
      <c r="P2989" t="s">
        <v>77</v>
      </c>
      <c r="Q2989" t="s">
        <v>30</v>
      </c>
      <c r="R2989">
        <v>2</v>
      </c>
      <c r="S2989" t="s">
        <v>102</v>
      </c>
      <c r="T2989" s="4">
        <f t="shared" si="234"/>
        <v>210060.48</v>
      </c>
      <c r="U2989" s="4" t="str">
        <f t="shared" si="235"/>
        <v>Average</v>
      </c>
      <c r="V2989" s="4" t="str">
        <f t="shared" si="231"/>
        <v>Excellent</v>
      </c>
      <c r="W2989" s="4"/>
      <c r="X2989" s="4"/>
      <c r="AJ2989" s="4"/>
    </row>
    <row r="2990" spans="1:36">
      <c r="A2990" t="str">
        <f t="shared" si="232"/>
        <v>Yoge562989</v>
      </c>
      <c r="B2990">
        <v>2989</v>
      </c>
      <c r="C2990">
        <v>7</v>
      </c>
      <c r="D2990">
        <v>2</v>
      </c>
      <c r="E2990">
        <v>2024</v>
      </c>
      <c r="F2990" s="1">
        <f t="shared" si="233"/>
        <v>45329</v>
      </c>
      <c r="G2990" s="1" t="s">
        <v>408</v>
      </c>
      <c r="H2990" s="2">
        <v>47466</v>
      </c>
      <c r="I2990" t="s">
        <v>43</v>
      </c>
      <c r="J2990">
        <v>8</v>
      </c>
      <c r="K2990">
        <v>43612.56</v>
      </c>
      <c r="L2990" t="s">
        <v>182</v>
      </c>
      <c r="M2990">
        <v>56</v>
      </c>
      <c r="N2990" t="s">
        <v>61</v>
      </c>
      <c r="O2990" s="3" t="s">
        <v>28</v>
      </c>
      <c r="P2990" t="s">
        <v>33</v>
      </c>
      <c r="Q2990" t="s">
        <v>24</v>
      </c>
      <c r="R2990">
        <v>3</v>
      </c>
      <c r="S2990" t="s">
        <v>57</v>
      </c>
      <c r="T2990" s="4">
        <f t="shared" si="234"/>
        <v>348900.48</v>
      </c>
      <c r="U2990" s="4" t="str">
        <f t="shared" si="235"/>
        <v>Average</v>
      </c>
      <c r="V2990" s="4" t="str">
        <f t="shared" si="231"/>
        <v>Excellent</v>
      </c>
      <c r="W2990" s="4"/>
      <c r="X2990" s="4"/>
      <c r="AJ2990" s="4"/>
    </row>
    <row r="2991" spans="1:36">
      <c r="A2991" t="str">
        <f t="shared" si="232"/>
        <v>Navi532990</v>
      </c>
      <c r="B2991">
        <v>2990</v>
      </c>
      <c r="C2991">
        <v>7</v>
      </c>
      <c r="D2991">
        <v>2</v>
      </c>
      <c r="E2991">
        <v>2024</v>
      </c>
      <c r="F2991" s="1">
        <f t="shared" si="233"/>
        <v>45329</v>
      </c>
      <c r="G2991" s="1" t="s">
        <v>408</v>
      </c>
      <c r="H2991" s="2">
        <v>47467</v>
      </c>
      <c r="I2991" t="s">
        <v>43</v>
      </c>
      <c r="J2991">
        <v>2</v>
      </c>
      <c r="K2991">
        <v>35759.279999999999</v>
      </c>
      <c r="L2991" t="s">
        <v>250</v>
      </c>
      <c r="M2991">
        <v>53</v>
      </c>
      <c r="N2991" t="s">
        <v>61</v>
      </c>
      <c r="O2991" s="3" t="s">
        <v>55</v>
      </c>
      <c r="P2991" t="s">
        <v>29</v>
      </c>
      <c r="Q2991" t="s">
        <v>30</v>
      </c>
      <c r="R2991">
        <v>2</v>
      </c>
      <c r="S2991" t="s">
        <v>46</v>
      </c>
      <c r="T2991" s="4">
        <f t="shared" si="234"/>
        <v>71518.559999999998</v>
      </c>
      <c r="U2991" s="4" t="str">
        <f t="shared" si="235"/>
        <v>Average</v>
      </c>
      <c r="V2991" s="4" t="str">
        <f t="shared" si="231"/>
        <v>Average</v>
      </c>
      <c r="W2991" s="4"/>
      <c r="X2991" s="4"/>
      <c r="AJ2991" s="4"/>
    </row>
    <row r="2992" spans="1:36">
      <c r="A2992" t="str">
        <f t="shared" si="232"/>
        <v>Pooj512991</v>
      </c>
      <c r="B2992">
        <v>2991</v>
      </c>
      <c r="C2992">
        <v>7</v>
      </c>
      <c r="D2992">
        <v>2</v>
      </c>
      <c r="E2992">
        <v>2024</v>
      </c>
      <c r="F2992" s="1">
        <f t="shared" si="233"/>
        <v>45329</v>
      </c>
      <c r="G2992" s="1" t="s">
        <v>408</v>
      </c>
      <c r="H2992" s="2">
        <v>47468</v>
      </c>
      <c r="I2992" t="s">
        <v>49</v>
      </c>
      <c r="J2992">
        <v>9</v>
      </c>
      <c r="K2992">
        <v>67963.37</v>
      </c>
      <c r="L2992" t="s">
        <v>470</v>
      </c>
      <c r="M2992">
        <v>51</v>
      </c>
      <c r="N2992" t="s">
        <v>61</v>
      </c>
      <c r="O2992" s="3" t="s">
        <v>22</v>
      </c>
      <c r="P2992" t="s">
        <v>59</v>
      </c>
      <c r="Q2992" t="s">
        <v>30</v>
      </c>
      <c r="R2992">
        <v>4</v>
      </c>
      <c r="S2992" t="s">
        <v>88</v>
      </c>
      <c r="T2992" s="4">
        <f t="shared" si="234"/>
        <v>611670.32999999996</v>
      </c>
      <c r="U2992" s="4" t="str">
        <f t="shared" si="235"/>
        <v>Good</v>
      </c>
      <c r="V2992" s="4" t="str">
        <f t="shared" si="231"/>
        <v>Excellent</v>
      </c>
      <c r="W2992" s="4"/>
      <c r="X2992" s="4"/>
      <c r="AJ2992" s="4"/>
    </row>
    <row r="2993" spans="1:36">
      <c r="A2993" t="str">
        <f t="shared" si="232"/>
        <v>Pooj412992</v>
      </c>
      <c r="B2993">
        <v>2992</v>
      </c>
      <c r="C2993">
        <v>7</v>
      </c>
      <c r="D2993">
        <v>2</v>
      </c>
      <c r="E2993">
        <v>2024</v>
      </c>
      <c r="F2993" s="1">
        <f t="shared" si="233"/>
        <v>45329</v>
      </c>
      <c r="G2993" s="1" t="s">
        <v>408</v>
      </c>
      <c r="H2993" s="2">
        <v>47469</v>
      </c>
      <c r="I2993" t="s">
        <v>43</v>
      </c>
      <c r="J2993">
        <v>2</v>
      </c>
      <c r="K2993">
        <v>46246.53</v>
      </c>
      <c r="L2993" t="s">
        <v>680</v>
      </c>
      <c r="M2993">
        <v>41</v>
      </c>
      <c r="N2993" t="s">
        <v>21</v>
      </c>
      <c r="O2993" s="3" t="s">
        <v>22</v>
      </c>
      <c r="P2993" t="s">
        <v>137</v>
      </c>
      <c r="Q2993" t="s">
        <v>56</v>
      </c>
      <c r="R2993">
        <v>5</v>
      </c>
      <c r="S2993" t="s">
        <v>46</v>
      </c>
      <c r="T2993" s="4">
        <f t="shared" si="234"/>
        <v>92493.06</v>
      </c>
      <c r="U2993" s="4" t="str">
        <f t="shared" si="235"/>
        <v>Good</v>
      </c>
      <c r="V2993" s="4" t="str">
        <f t="shared" si="231"/>
        <v>Average</v>
      </c>
      <c r="W2993" s="4"/>
      <c r="X2993" s="4"/>
      <c r="AJ2993" s="4"/>
    </row>
    <row r="2994" spans="1:36">
      <c r="A2994" t="str">
        <f t="shared" si="232"/>
        <v>Kavi352993</v>
      </c>
      <c r="B2994">
        <v>2993</v>
      </c>
      <c r="C2994">
        <v>8</v>
      </c>
      <c r="D2994">
        <v>2</v>
      </c>
      <c r="E2994">
        <v>2024</v>
      </c>
      <c r="F2994" s="1">
        <f t="shared" si="233"/>
        <v>45330</v>
      </c>
      <c r="G2994" s="1" t="s">
        <v>408</v>
      </c>
      <c r="H2994" s="2">
        <v>47470</v>
      </c>
      <c r="I2994" t="s">
        <v>38</v>
      </c>
      <c r="J2994">
        <v>1</v>
      </c>
      <c r="K2994">
        <v>54954.18</v>
      </c>
      <c r="L2994" t="s">
        <v>524</v>
      </c>
      <c r="M2994">
        <v>35</v>
      </c>
      <c r="N2994" t="s">
        <v>21</v>
      </c>
      <c r="O2994" s="3" t="s">
        <v>55</v>
      </c>
      <c r="P2994" t="s">
        <v>114</v>
      </c>
      <c r="Q2994" t="s">
        <v>30</v>
      </c>
      <c r="R2994">
        <v>1</v>
      </c>
      <c r="S2994" t="s">
        <v>48</v>
      </c>
      <c r="T2994" s="4">
        <f t="shared" si="234"/>
        <v>54954.18</v>
      </c>
      <c r="U2994" s="4" t="str">
        <f t="shared" si="235"/>
        <v>Average</v>
      </c>
      <c r="V2994" s="4" t="str">
        <f t="shared" si="231"/>
        <v>Average</v>
      </c>
      <c r="W2994" s="4"/>
      <c r="X2994" s="4"/>
      <c r="AJ2994" s="4"/>
    </row>
    <row r="2995" spans="1:36">
      <c r="A2995" t="str">
        <f t="shared" si="232"/>
        <v>Vive332994</v>
      </c>
      <c r="B2995">
        <v>2994</v>
      </c>
      <c r="C2995">
        <v>8</v>
      </c>
      <c r="D2995">
        <v>2</v>
      </c>
      <c r="E2995">
        <v>2024</v>
      </c>
      <c r="F2995" s="1">
        <f t="shared" si="233"/>
        <v>45330</v>
      </c>
      <c r="G2995" s="1" t="s">
        <v>408</v>
      </c>
      <c r="H2995" s="2">
        <v>47471</v>
      </c>
      <c r="I2995" t="s">
        <v>49</v>
      </c>
      <c r="J2995">
        <v>2</v>
      </c>
      <c r="K2995">
        <v>66180.820000000007</v>
      </c>
      <c r="L2995" t="s">
        <v>233</v>
      </c>
      <c r="M2995">
        <v>33</v>
      </c>
      <c r="N2995" t="s">
        <v>21</v>
      </c>
      <c r="O2995" s="3" t="s">
        <v>22</v>
      </c>
      <c r="P2995" t="s">
        <v>33</v>
      </c>
      <c r="Q2995" t="s">
        <v>41</v>
      </c>
      <c r="R2995">
        <v>4</v>
      </c>
      <c r="S2995" t="s">
        <v>102</v>
      </c>
      <c r="T2995" s="4">
        <f t="shared" si="234"/>
        <v>132361.64000000001</v>
      </c>
      <c r="U2995" s="4" t="str">
        <f t="shared" si="235"/>
        <v>Good</v>
      </c>
      <c r="V2995" s="4" t="str">
        <f t="shared" si="231"/>
        <v>Good</v>
      </c>
      <c r="W2995" s="4"/>
      <c r="X2995" s="4"/>
      <c r="AJ2995" s="4"/>
    </row>
    <row r="2996" spans="1:36">
      <c r="A2996" t="str">
        <f t="shared" si="232"/>
        <v>Suni582995</v>
      </c>
      <c r="B2996">
        <v>2995</v>
      </c>
      <c r="C2996">
        <v>8</v>
      </c>
      <c r="D2996">
        <v>2</v>
      </c>
      <c r="E2996">
        <v>2024</v>
      </c>
      <c r="F2996" s="1">
        <f t="shared" si="233"/>
        <v>45330</v>
      </c>
      <c r="G2996" s="1" t="s">
        <v>408</v>
      </c>
      <c r="H2996" s="2">
        <v>47472</v>
      </c>
      <c r="I2996" t="s">
        <v>43</v>
      </c>
      <c r="J2996">
        <v>7</v>
      </c>
      <c r="K2996">
        <v>45495.96</v>
      </c>
      <c r="L2996" t="s">
        <v>791</v>
      </c>
      <c r="M2996">
        <v>58</v>
      </c>
      <c r="N2996" t="s">
        <v>61</v>
      </c>
      <c r="O2996" s="3" t="s">
        <v>28</v>
      </c>
      <c r="P2996" t="s">
        <v>150</v>
      </c>
      <c r="Q2996" t="s">
        <v>30</v>
      </c>
      <c r="R2996">
        <v>3</v>
      </c>
      <c r="S2996" t="s">
        <v>46</v>
      </c>
      <c r="T2996" s="4">
        <f t="shared" si="234"/>
        <v>318471.71999999997</v>
      </c>
      <c r="U2996" s="4" t="str">
        <f t="shared" si="235"/>
        <v>Average</v>
      </c>
      <c r="V2996" s="4" t="str">
        <f t="shared" si="231"/>
        <v>Excellent</v>
      </c>
      <c r="W2996" s="4"/>
      <c r="X2996" s="4"/>
      <c r="AJ2996" s="4"/>
    </row>
    <row r="2997" spans="1:36">
      <c r="A2997" t="str">
        <f t="shared" si="232"/>
        <v>Mano542996</v>
      </c>
      <c r="B2997">
        <v>2996</v>
      </c>
      <c r="C2997">
        <v>9</v>
      </c>
      <c r="D2997">
        <v>2</v>
      </c>
      <c r="E2997">
        <v>2024</v>
      </c>
      <c r="F2997" s="1">
        <f t="shared" si="233"/>
        <v>45331</v>
      </c>
      <c r="G2997" s="1" t="s">
        <v>408</v>
      </c>
      <c r="H2997" s="2">
        <v>47473</v>
      </c>
      <c r="I2997" t="s">
        <v>19</v>
      </c>
      <c r="J2997">
        <v>8</v>
      </c>
      <c r="K2997">
        <v>10723.75</v>
      </c>
      <c r="L2997" t="s">
        <v>873</v>
      </c>
      <c r="M2997">
        <v>54</v>
      </c>
      <c r="N2997" t="s">
        <v>61</v>
      </c>
      <c r="O2997" s="3" t="s">
        <v>22</v>
      </c>
      <c r="P2997" t="s">
        <v>45</v>
      </c>
      <c r="Q2997" t="s">
        <v>24</v>
      </c>
      <c r="R2997">
        <v>5</v>
      </c>
      <c r="S2997" t="s">
        <v>84</v>
      </c>
      <c r="T2997" s="4">
        <f t="shared" si="234"/>
        <v>85790</v>
      </c>
      <c r="U2997" s="4" t="str">
        <f t="shared" si="235"/>
        <v>Good</v>
      </c>
      <c r="V2997" s="4" t="str">
        <f t="shared" si="231"/>
        <v>Average</v>
      </c>
      <c r="W2997" s="4"/>
      <c r="X2997" s="4"/>
      <c r="AJ2997" s="4"/>
    </row>
    <row r="2998" spans="1:36">
      <c r="A2998" t="str">
        <f t="shared" si="232"/>
        <v>Pooj582997</v>
      </c>
      <c r="B2998">
        <v>2997</v>
      </c>
      <c r="C2998">
        <v>9</v>
      </c>
      <c r="D2998">
        <v>2</v>
      </c>
      <c r="E2998">
        <v>2024</v>
      </c>
      <c r="F2998" s="1">
        <f t="shared" si="233"/>
        <v>45331</v>
      </c>
      <c r="G2998" s="1" t="s">
        <v>408</v>
      </c>
      <c r="H2998" s="2">
        <v>47474</v>
      </c>
      <c r="I2998" t="s">
        <v>49</v>
      </c>
      <c r="J2998">
        <v>5</v>
      </c>
      <c r="K2998">
        <v>12057.5</v>
      </c>
      <c r="L2998" t="s">
        <v>154</v>
      </c>
      <c r="M2998">
        <v>58</v>
      </c>
      <c r="N2998" t="s">
        <v>61</v>
      </c>
      <c r="O2998" s="3" t="s">
        <v>28</v>
      </c>
      <c r="P2998" t="s">
        <v>29</v>
      </c>
      <c r="Q2998" t="s">
        <v>24</v>
      </c>
      <c r="R2998">
        <v>3</v>
      </c>
      <c r="S2998" t="s">
        <v>52</v>
      </c>
      <c r="T2998" s="4">
        <f t="shared" si="234"/>
        <v>60287.5</v>
      </c>
      <c r="U2998" s="4" t="str">
        <f t="shared" si="235"/>
        <v>Average</v>
      </c>
      <c r="V2998" s="4" t="str">
        <f t="shared" si="231"/>
        <v>Average</v>
      </c>
      <c r="W2998" s="4"/>
      <c r="X2998" s="4"/>
      <c r="AJ2998" s="4"/>
    </row>
    <row r="2999" spans="1:36">
      <c r="A2999" t="str">
        <f t="shared" si="232"/>
        <v>Vino422998</v>
      </c>
      <c r="B2999">
        <v>2998</v>
      </c>
      <c r="C2999">
        <v>9</v>
      </c>
      <c r="D2999">
        <v>2</v>
      </c>
      <c r="E2999">
        <v>2024</v>
      </c>
      <c r="F2999" s="1">
        <f t="shared" si="233"/>
        <v>45331</v>
      </c>
      <c r="G2999" s="1" t="s">
        <v>408</v>
      </c>
      <c r="H2999" s="2">
        <v>47475</v>
      </c>
      <c r="I2999" t="s">
        <v>49</v>
      </c>
      <c r="J2999">
        <v>6</v>
      </c>
      <c r="K2999">
        <v>52140.31</v>
      </c>
      <c r="L2999" t="s">
        <v>113</v>
      </c>
      <c r="M2999">
        <v>42</v>
      </c>
      <c r="N2999" t="s">
        <v>21</v>
      </c>
      <c r="O2999" s="3" t="s">
        <v>22</v>
      </c>
      <c r="P2999" t="s">
        <v>93</v>
      </c>
      <c r="Q2999" t="s">
        <v>30</v>
      </c>
      <c r="R2999">
        <v>4</v>
      </c>
      <c r="S2999" t="s">
        <v>102</v>
      </c>
      <c r="T2999" s="4">
        <f t="shared" si="234"/>
        <v>312841.86</v>
      </c>
      <c r="U2999" s="4" t="str">
        <f t="shared" si="235"/>
        <v>Good</v>
      </c>
      <c r="V2999" s="4" t="str">
        <f t="shared" si="231"/>
        <v>Excellent</v>
      </c>
      <c r="W2999" s="4"/>
      <c r="X2999" s="4"/>
      <c r="AJ2999" s="4"/>
    </row>
    <row r="3000" spans="1:36">
      <c r="A3000" t="str">
        <f t="shared" si="232"/>
        <v>Yoge252999</v>
      </c>
      <c r="B3000">
        <v>2999</v>
      </c>
      <c r="C3000">
        <v>10</v>
      </c>
      <c r="D3000">
        <v>2</v>
      </c>
      <c r="E3000">
        <v>2024</v>
      </c>
      <c r="F3000" s="1">
        <f t="shared" si="233"/>
        <v>45332</v>
      </c>
      <c r="G3000" s="1" t="s">
        <v>408</v>
      </c>
      <c r="H3000" s="2">
        <v>47476</v>
      </c>
      <c r="I3000" t="s">
        <v>38</v>
      </c>
      <c r="J3000">
        <v>1</v>
      </c>
      <c r="K3000">
        <v>26745.11</v>
      </c>
      <c r="L3000" t="s">
        <v>182</v>
      </c>
      <c r="M3000">
        <v>25</v>
      </c>
      <c r="N3000" t="s">
        <v>36</v>
      </c>
      <c r="O3000" s="3" t="s">
        <v>22</v>
      </c>
      <c r="P3000" t="s">
        <v>29</v>
      </c>
      <c r="Q3000" t="s">
        <v>24</v>
      </c>
      <c r="R3000">
        <v>4</v>
      </c>
      <c r="S3000" t="s">
        <v>99</v>
      </c>
      <c r="T3000" s="4">
        <f t="shared" si="234"/>
        <v>26745.11</v>
      </c>
      <c r="U3000" s="4" t="str">
        <f t="shared" si="235"/>
        <v>Good</v>
      </c>
      <c r="V3000" s="4" t="str">
        <f t="shared" si="231"/>
        <v>Low</v>
      </c>
      <c r="W3000" s="4"/>
      <c r="X3000" s="4"/>
      <c r="AJ3000" s="4"/>
    </row>
    <row r="3001" spans="1:36">
      <c r="A3001" t="str">
        <f t="shared" si="232"/>
        <v>Isha413000</v>
      </c>
      <c r="B3001">
        <v>3000</v>
      </c>
      <c r="C3001">
        <v>10</v>
      </c>
      <c r="D3001">
        <v>2</v>
      </c>
      <c r="E3001">
        <v>2024</v>
      </c>
      <c r="F3001" s="1">
        <f t="shared" si="233"/>
        <v>45332</v>
      </c>
      <c r="G3001" s="1" t="s">
        <v>408</v>
      </c>
      <c r="H3001" s="2">
        <v>47477</v>
      </c>
      <c r="I3001" t="s">
        <v>26</v>
      </c>
      <c r="J3001">
        <v>6</v>
      </c>
      <c r="K3001">
        <v>44762.78</v>
      </c>
      <c r="L3001" t="s">
        <v>584</v>
      </c>
      <c r="M3001">
        <v>41</v>
      </c>
      <c r="N3001" t="s">
        <v>21</v>
      </c>
      <c r="O3001" s="3" t="s">
        <v>55</v>
      </c>
      <c r="P3001" t="s">
        <v>29</v>
      </c>
      <c r="Q3001" t="s">
        <v>24</v>
      </c>
      <c r="R3001">
        <v>1</v>
      </c>
      <c r="S3001" t="s">
        <v>67</v>
      </c>
      <c r="T3001" s="4">
        <f t="shared" si="234"/>
        <v>268576.68</v>
      </c>
      <c r="U3001" s="4" t="str">
        <f t="shared" si="235"/>
        <v>Average</v>
      </c>
      <c r="V3001" s="4" t="str">
        <f t="shared" si="231"/>
        <v>Excellent</v>
      </c>
      <c r="W3001" s="4"/>
      <c r="X3001" s="4"/>
      <c r="AJ3001" s="4"/>
    </row>
    <row r="3002" spans="1:36">
      <c r="A3002" t="str">
        <f t="shared" si="232"/>
        <v>Kris373001</v>
      </c>
      <c r="B3002">
        <v>3001</v>
      </c>
      <c r="C3002">
        <v>10</v>
      </c>
      <c r="D3002">
        <v>2</v>
      </c>
      <c r="E3002">
        <v>2024</v>
      </c>
      <c r="F3002" s="1">
        <f t="shared" si="233"/>
        <v>45332</v>
      </c>
      <c r="G3002" s="1" t="s">
        <v>408</v>
      </c>
      <c r="H3002" s="2">
        <v>47478</v>
      </c>
      <c r="I3002" t="s">
        <v>26</v>
      </c>
      <c r="J3002">
        <v>8</v>
      </c>
      <c r="K3002">
        <v>22136.63</v>
      </c>
      <c r="L3002" t="s">
        <v>606</v>
      </c>
      <c r="M3002">
        <v>37</v>
      </c>
      <c r="N3002" t="s">
        <v>21</v>
      </c>
      <c r="O3002" s="3" t="s">
        <v>28</v>
      </c>
      <c r="P3002" t="s">
        <v>64</v>
      </c>
      <c r="Q3002" t="s">
        <v>30</v>
      </c>
      <c r="R3002">
        <v>3</v>
      </c>
      <c r="S3002" t="s">
        <v>31</v>
      </c>
      <c r="T3002" s="4">
        <f t="shared" si="234"/>
        <v>177093.04</v>
      </c>
      <c r="U3002" s="4" t="str">
        <f t="shared" si="235"/>
        <v>Average</v>
      </c>
      <c r="V3002" s="4" t="str">
        <f t="shared" si="231"/>
        <v>Good</v>
      </c>
      <c r="W3002" s="4"/>
      <c r="X3002" s="4"/>
      <c r="AJ3002" s="4"/>
    </row>
    <row r="3003" spans="1:36">
      <c r="A3003" t="str">
        <f t="shared" si="232"/>
        <v>Rame473002</v>
      </c>
      <c r="B3003">
        <v>3002</v>
      </c>
      <c r="C3003">
        <v>11</v>
      </c>
      <c r="D3003">
        <v>2</v>
      </c>
      <c r="E3003">
        <v>2024</v>
      </c>
      <c r="F3003" s="1">
        <f t="shared" si="233"/>
        <v>45333</v>
      </c>
      <c r="G3003" s="1" t="s">
        <v>408</v>
      </c>
      <c r="H3003" s="2">
        <v>47479</v>
      </c>
      <c r="I3003" t="s">
        <v>38</v>
      </c>
      <c r="J3003">
        <v>3</v>
      </c>
      <c r="K3003">
        <v>26214.93</v>
      </c>
      <c r="L3003" t="s">
        <v>739</v>
      </c>
      <c r="M3003">
        <v>47</v>
      </c>
      <c r="N3003" t="s">
        <v>61</v>
      </c>
      <c r="O3003" s="3" t="s">
        <v>22</v>
      </c>
      <c r="P3003" t="s">
        <v>90</v>
      </c>
      <c r="Q3003" t="s">
        <v>56</v>
      </c>
      <c r="R3003">
        <v>5</v>
      </c>
      <c r="S3003" t="s">
        <v>48</v>
      </c>
      <c r="T3003" s="4">
        <f t="shared" si="234"/>
        <v>78644.790000000008</v>
      </c>
      <c r="U3003" s="4" t="str">
        <f t="shared" si="235"/>
        <v>Good</v>
      </c>
      <c r="V3003" s="4" t="str">
        <f t="shared" si="231"/>
        <v>Average</v>
      </c>
      <c r="W3003" s="4"/>
      <c r="X3003" s="4"/>
      <c r="AJ3003" s="4"/>
    </row>
    <row r="3004" spans="1:36">
      <c r="A3004" t="str">
        <f t="shared" si="232"/>
        <v>Kira373003</v>
      </c>
      <c r="B3004">
        <v>3003</v>
      </c>
      <c r="C3004">
        <v>11</v>
      </c>
      <c r="D3004">
        <v>2</v>
      </c>
      <c r="E3004">
        <v>2024</v>
      </c>
      <c r="F3004" s="1">
        <f t="shared" si="233"/>
        <v>45333</v>
      </c>
      <c r="G3004" s="1" t="s">
        <v>408</v>
      </c>
      <c r="H3004" s="2">
        <v>47480</v>
      </c>
      <c r="I3004" t="s">
        <v>38</v>
      </c>
      <c r="J3004">
        <v>1</v>
      </c>
      <c r="K3004">
        <v>40278.46</v>
      </c>
      <c r="L3004" t="s">
        <v>994</v>
      </c>
      <c r="M3004">
        <v>37</v>
      </c>
      <c r="N3004" t="s">
        <v>21</v>
      </c>
      <c r="O3004" s="3" t="s">
        <v>55</v>
      </c>
      <c r="P3004" t="s">
        <v>23</v>
      </c>
      <c r="Q3004" t="s">
        <v>56</v>
      </c>
      <c r="R3004">
        <v>1</v>
      </c>
      <c r="S3004" t="s">
        <v>42</v>
      </c>
      <c r="T3004" s="4">
        <f t="shared" si="234"/>
        <v>40278.46</v>
      </c>
      <c r="U3004" s="4" t="str">
        <f t="shared" si="235"/>
        <v>Average</v>
      </c>
      <c r="V3004" s="4" t="str">
        <f t="shared" si="231"/>
        <v>Low</v>
      </c>
      <c r="W3004" s="4"/>
      <c r="X3004" s="4"/>
      <c r="AJ3004" s="4"/>
    </row>
    <row r="3005" spans="1:36">
      <c r="A3005" t="str">
        <f t="shared" si="232"/>
        <v>Arun353004</v>
      </c>
      <c r="B3005">
        <v>3004</v>
      </c>
      <c r="C3005">
        <v>11</v>
      </c>
      <c r="D3005">
        <v>2</v>
      </c>
      <c r="E3005">
        <v>2024</v>
      </c>
      <c r="F3005" s="1">
        <f t="shared" si="233"/>
        <v>45333</v>
      </c>
      <c r="G3005" s="1" t="s">
        <v>408</v>
      </c>
      <c r="H3005" s="2">
        <v>47481</v>
      </c>
      <c r="I3005" t="s">
        <v>38</v>
      </c>
      <c r="J3005">
        <v>4</v>
      </c>
      <c r="K3005">
        <v>68534.17</v>
      </c>
      <c r="L3005" t="s">
        <v>492</v>
      </c>
      <c r="M3005">
        <v>35</v>
      </c>
      <c r="N3005" t="s">
        <v>21</v>
      </c>
      <c r="O3005" s="3" t="s">
        <v>28</v>
      </c>
      <c r="P3005" t="s">
        <v>45</v>
      </c>
      <c r="Q3005" t="s">
        <v>56</v>
      </c>
      <c r="R3005">
        <v>3</v>
      </c>
      <c r="S3005" t="s">
        <v>99</v>
      </c>
      <c r="T3005" s="4">
        <f t="shared" si="234"/>
        <v>274136.68</v>
      </c>
      <c r="U3005" s="4" t="str">
        <f t="shared" si="235"/>
        <v>Average</v>
      </c>
      <c r="V3005" s="4" t="str">
        <f t="shared" si="231"/>
        <v>Excellent</v>
      </c>
      <c r="W3005" s="4"/>
      <c r="X3005" s="4"/>
      <c r="AJ3005" s="4"/>
    </row>
    <row r="3006" spans="1:36">
      <c r="A3006" t="str">
        <f t="shared" si="232"/>
        <v>Anit213005</v>
      </c>
      <c r="B3006">
        <v>3005</v>
      </c>
      <c r="C3006">
        <v>12</v>
      </c>
      <c r="D3006">
        <v>2</v>
      </c>
      <c r="E3006">
        <v>2024</v>
      </c>
      <c r="F3006" s="1">
        <f t="shared" si="233"/>
        <v>45334</v>
      </c>
      <c r="G3006" s="1" t="s">
        <v>408</v>
      </c>
      <c r="H3006" s="2">
        <v>47482</v>
      </c>
      <c r="I3006" t="s">
        <v>26</v>
      </c>
      <c r="J3006">
        <v>1</v>
      </c>
      <c r="K3006">
        <v>46976.23</v>
      </c>
      <c r="L3006" t="s">
        <v>205</v>
      </c>
      <c r="M3006">
        <v>21</v>
      </c>
      <c r="N3006" t="s">
        <v>36</v>
      </c>
      <c r="O3006" s="3" t="s">
        <v>22</v>
      </c>
      <c r="P3006" t="s">
        <v>33</v>
      </c>
      <c r="Q3006" t="s">
        <v>56</v>
      </c>
      <c r="R3006">
        <v>4</v>
      </c>
      <c r="S3006" t="s">
        <v>34</v>
      </c>
      <c r="T3006" s="4">
        <f t="shared" si="234"/>
        <v>46976.23</v>
      </c>
      <c r="U3006" s="4" t="str">
        <f t="shared" si="235"/>
        <v>Good</v>
      </c>
      <c r="V3006" s="4" t="str">
        <f t="shared" si="231"/>
        <v>Low</v>
      </c>
      <c r="W3006" s="4"/>
      <c r="X3006" s="4"/>
      <c r="AJ3006" s="4"/>
    </row>
    <row r="3007" spans="1:36">
      <c r="A3007" t="str">
        <f t="shared" si="232"/>
        <v>Shru533006</v>
      </c>
      <c r="B3007">
        <v>3006</v>
      </c>
      <c r="C3007">
        <v>12</v>
      </c>
      <c r="D3007">
        <v>2</v>
      </c>
      <c r="E3007">
        <v>2024</v>
      </c>
      <c r="F3007" s="1">
        <f t="shared" si="233"/>
        <v>45334</v>
      </c>
      <c r="G3007" s="1" t="s">
        <v>408</v>
      </c>
      <c r="H3007" s="2">
        <v>47483</v>
      </c>
      <c r="I3007" t="s">
        <v>38</v>
      </c>
      <c r="J3007">
        <v>8</v>
      </c>
      <c r="K3007">
        <v>66168.89</v>
      </c>
      <c r="L3007" t="s">
        <v>639</v>
      </c>
      <c r="M3007">
        <v>53</v>
      </c>
      <c r="N3007" t="s">
        <v>61</v>
      </c>
      <c r="O3007" s="3" t="s">
        <v>55</v>
      </c>
      <c r="P3007" t="s">
        <v>90</v>
      </c>
      <c r="Q3007" t="s">
        <v>41</v>
      </c>
      <c r="R3007">
        <v>1</v>
      </c>
      <c r="S3007" t="s">
        <v>48</v>
      </c>
      <c r="T3007" s="4">
        <f t="shared" si="234"/>
        <v>529351.12</v>
      </c>
      <c r="U3007" s="4" t="str">
        <f t="shared" si="235"/>
        <v>Average</v>
      </c>
      <c r="V3007" s="4" t="str">
        <f t="shared" si="231"/>
        <v>Excellent</v>
      </c>
      <c r="W3007" s="4"/>
      <c r="X3007" s="4"/>
      <c r="AJ3007" s="4"/>
    </row>
    <row r="3008" spans="1:36">
      <c r="A3008" t="str">
        <f t="shared" si="232"/>
        <v>Pank233007</v>
      </c>
      <c r="B3008">
        <v>3007</v>
      </c>
      <c r="C3008">
        <v>12</v>
      </c>
      <c r="D3008">
        <v>2</v>
      </c>
      <c r="E3008">
        <v>2024</v>
      </c>
      <c r="F3008" s="1">
        <f t="shared" si="233"/>
        <v>45334</v>
      </c>
      <c r="G3008" s="1" t="s">
        <v>408</v>
      </c>
      <c r="H3008" s="2">
        <v>47484</v>
      </c>
      <c r="I3008" t="s">
        <v>43</v>
      </c>
      <c r="J3008">
        <v>5</v>
      </c>
      <c r="K3008">
        <v>67562.789999999994</v>
      </c>
      <c r="L3008" t="s">
        <v>605</v>
      </c>
      <c r="M3008">
        <v>23</v>
      </c>
      <c r="N3008" t="s">
        <v>36</v>
      </c>
      <c r="O3008" s="3" t="s">
        <v>22</v>
      </c>
      <c r="P3008" t="s">
        <v>33</v>
      </c>
      <c r="Q3008" t="s">
        <v>30</v>
      </c>
      <c r="R3008">
        <v>4</v>
      </c>
      <c r="S3008" t="s">
        <v>95</v>
      </c>
      <c r="T3008" s="4">
        <f t="shared" si="234"/>
        <v>337813.94999999995</v>
      </c>
      <c r="U3008" s="4" t="str">
        <f t="shared" si="235"/>
        <v>Good</v>
      </c>
      <c r="V3008" s="4" t="str">
        <f t="shared" si="231"/>
        <v>Excellent</v>
      </c>
      <c r="W3008" s="4"/>
      <c r="X3008" s="4"/>
      <c r="AJ3008" s="4"/>
    </row>
    <row r="3009" spans="1:36">
      <c r="A3009" t="str">
        <f t="shared" si="232"/>
        <v>Meen203008</v>
      </c>
      <c r="B3009">
        <v>3008</v>
      </c>
      <c r="C3009">
        <v>13</v>
      </c>
      <c r="D3009">
        <v>2</v>
      </c>
      <c r="E3009">
        <v>2024</v>
      </c>
      <c r="F3009" s="1">
        <f t="shared" si="233"/>
        <v>45335</v>
      </c>
      <c r="G3009" s="1" t="s">
        <v>408</v>
      </c>
      <c r="H3009" s="2">
        <v>47485</v>
      </c>
      <c r="I3009" t="s">
        <v>49</v>
      </c>
      <c r="J3009">
        <v>1</v>
      </c>
      <c r="K3009">
        <v>22486.6</v>
      </c>
      <c r="L3009" t="s">
        <v>732</v>
      </c>
      <c r="M3009">
        <v>20</v>
      </c>
      <c r="N3009" t="s">
        <v>36</v>
      </c>
      <c r="O3009" s="3" t="s">
        <v>55</v>
      </c>
      <c r="P3009" t="s">
        <v>29</v>
      </c>
      <c r="Q3009" t="s">
        <v>24</v>
      </c>
      <c r="R3009">
        <v>2</v>
      </c>
      <c r="S3009" t="s">
        <v>52</v>
      </c>
      <c r="T3009" s="4">
        <f t="shared" si="234"/>
        <v>22486.6</v>
      </c>
      <c r="U3009" s="4" t="str">
        <f t="shared" si="235"/>
        <v>Average</v>
      </c>
      <c r="V3009" s="4" t="str">
        <f t="shared" ref="V3009:V3072" si="236">IF(T3009&gt;200000,"Excellent",IF(T3009&gt;100000,"Good",IF(T3009&gt;50000,"Average","Low")))</f>
        <v>Low</v>
      </c>
      <c r="W3009" s="4"/>
      <c r="X3009" s="4"/>
      <c r="AJ3009" s="4"/>
    </row>
    <row r="3010" spans="1:36">
      <c r="A3010" t="str">
        <f t="shared" ref="A3010:A3073" si="237">LEFT(L3010,4)&amp;M3010&amp;B3010</f>
        <v>Vino353009</v>
      </c>
      <c r="B3010">
        <v>3009</v>
      </c>
      <c r="C3010">
        <v>13</v>
      </c>
      <c r="D3010">
        <v>2</v>
      </c>
      <c r="E3010">
        <v>2024</v>
      </c>
      <c r="F3010" s="1">
        <f t="shared" si="233"/>
        <v>45335</v>
      </c>
      <c r="G3010" s="1" t="s">
        <v>408</v>
      </c>
      <c r="H3010" s="2">
        <v>47486</v>
      </c>
      <c r="I3010" t="s">
        <v>49</v>
      </c>
      <c r="J3010">
        <v>8</v>
      </c>
      <c r="K3010">
        <v>28671.62</v>
      </c>
      <c r="L3010" t="s">
        <v>246</v>
      </c>
      <c r="M3010">
        <v>35</v>
      </c>
      <c r="N3010" t="s">
        <v>21</v>
      </c>
      <c r="O3010" s="3" t="s">
        <v>55</v>
      </c>
      <c r="P3010" t="s">
        <v>29</v>
      </c>
      <c r="Q3010" t="s">
        <v>24</v>
      </c>
      <c r="R3010">
        <v>2</v>
      </c>
      <c r="S3010" t="s">
        <v>52</v>
      </c>
      <c r="T3010" s="4">
        <f t="shared" si="234"/>
        <v>229372.96</v>
      </c>
      <c r="U3010" s="4" t="str">
        <f t="shared" si="235"/>
        <v>Average</v>
      </c>
      <c r="V3010" s="4" t="str">
        <f t="shared" si="236"/>
        <v>Excellent</v>
      </c>
      <c r="W3010" s="4"/>
      <c r="X3010" s="4"/>
      <c r="AJ3010" s="4"/>
    </row>
    <row r="3011" spans="1:36">
      <c r="A3011" t="str">
        <f t="shared" si="237"/>
        <v>Meen573010</v>
      </c>
      <c r="B3011">
        <v>3010</v>
      </c>
      <c r="C3011">
        <v>13</v>
      </c>
      <c r="D3011">
        <v>2</v>
      </c>
      <c r="E3011">
        <v>2024</v>
      </c>
      <c r="F3011" s="1">
        <f t="shared" ref="F3011:F3074" si="238">DATE(E3011,D3011,C3011)</f>
        <v>45335</v>
      </c>
      <c r="G3011" s="1" t="s">
        <v>408</v>
      </c>
      <c r="H3011" s="2">
        <v>47487</v>
      </c>
      <c r="I3011" t="s">
        <v>19</v>
      </c>
      <c r="J3011">
        <v>9</v>
      </c>
      <c r="K3011">
        <v>56199.54</v>
      </c>
      <c r="L3011" t="s">
        <v>597</v>
      </c>
      <c r="M3011">
        <v>57</v>
      </c>
      <c r="N3011" t="s">
        <v>61</v>
      </c>
      <c r="O3011" s="3" t="s">
        <v>55</v>
      </c>
      <c r="P3011" t="s">
        <v>70</v>
      </c>
      <c r="Q3011" t="s">
        <v>30</v>
      </c>
      <c r="R3011">
        <v>1</v>
      </c>
      <c r="S3011" t="s">
        <v>84</v>
      </c>
      <c r="T3011" s="4">
        <f t="shared" ref="T3011:T3074" si="239">J3011*K3011</f>
        <v>505795.86</v>
      </c>
      <c r="U3011" s="4" t="str">
        <f t="shared" ref="U3011:U3074" si="240">IF(R3011&gt;=4,"Good","Average")</f>
        <v>Average</v>
      </c>
      <c r="V3011" s="4" t="str">
        <f t="shared" si="236"/>
        <v>Excellent</v>
      </c>
      <c r="W3011" s="4"/>
      <c r="X3011" s="4"/>
      <c r="AJ3011" s="4"/>
    </row>
    <row r="3012" spans="1:36">
      <c r="A3012" t="str">
        <f t="shared" si="237"/>
        <v>Lali353011</v>
      </c>
      <c r="B3012">
        <v>3011</v>
      </c>
      <c r="C3012">
        <v>14</v>
      </c>
      <c r="D3012">
        <v>2</v>
      </c>
      <c r="E3012">
        <v>2024</v>
      </c>
      <c r="F3012" s="1">
        <f t="shared" si="238"/>
        <v>45336</v>
      </c>
      <c r="G3012" s="1" t="s">
        <v>408</v>
      </c>
      <c r="H3012" s="2">
        <v>47488</v>
      </c>
      <c r="I3012" t="s">
        <v>19</v>
      </c>
      <c r="J3012">
        <v>2</v>
      </c>
      <c r="K3012">
        <v>62005.84</v>
      </c>
      <c r="L3012" t="s">
        <v>790</v>
      </c>
      <c r="M3012">
        <v>35</v>
      </c>
      <c r="N3012" t="s">
        <v>21</v>
      </c>
      <c r="O3012" s="3" t="s">
        <v>55</v>
      </c>
      <c r="P3012" t="s">
        <v>64</v>
      </c>
      <c r="Q3012" t="s">
        <v>24</v>
      </c>
      <c r="R3012">
        <v>1</v>
      </c>
      <c r="S3012" t="s">
        <v>37</v>
      </c>
      <c r="T3012" s="4">
        <f t="shared" si="239"/>
        <v>124011.68</v>
      </c>
      <c r="U3012" s="4" t="str">
        <f t="shared" si="240"/>
        <v>Average</v>
      </c>
      <c r="V3012" s="4" t="str">
        <f t="shared" si="236"/>
        <v>Good</v>
      </c>
      <c r="W3012" s="4"/>
      <c r="X3012" s="4"/>
      <c r="AJ3012" s="4"/>
    </row>
    <row r="3013" spans="1:36">
      <c r="A3013" t="str">
        <f t="shared" si="237"/>
        <v>Mano403012</v>
      </c>
      <c r="B3013">
        <v>3012</v>
      </c>
      <c r="C3013">
        <v>14</v>
      </c>
      <c r="D3013">
        <v>2</v>
      </c>
      <c r="E3013">
        <v>2024</v>
      </c>
      <c r="F3013" s="1">
        <f t="shared" si="238"/>
        <v>45336</v>
      </c>
      <c r="G3013" s="1" t="s">
        <v>408</v>
      </c>
      <c r="H3013" s="2">
        <v>47489</v>
      </c>
      <c r="I3013" t="s">
        <v>49</v>
      </c>
      <c r="J3013">
        <v>9</v>
      </c>
      <c r="K3013">
        <v>41153.599999999999</v>
      </c>
      <c r="L3013" t="s">
        <v>792</v>
      </c>
      <c r="M3013">
        <v>40</v>
      </c>
      <c r="N3013" t="s">
        <v>21</v>
      </c>
      <c r="O3013" s="3" t="s">
        <v>28</v>
      </c>
      <c r="P3013" t="s">
        <v>45</v>
      </c>
      <c r="Q3013" t="s">
        <v>41</v>
      </c>
      <c r="R3013">
        <v>3</v>
      </c>
      <c r="S3013" t="s">
        <v>88</v>
      </c>
      <c r="T3013" s="4">
        <f t="shared" si="239"/>
        <v>370382.39999999997</v>
      </c>
      <c r="U3013" s="4" t="str">
        <f t="shared" si="240"/>
        <v>Average</v>
      </c>
      <c r="V3013" s="4" t="str">
        <f t="shared" si="236"/>
        <v>Excellent</v>
      </c>
      <c r="W3013" s="4"/>
      <c r="X3013" s="4"/>
      <c r="AJ3013" s="4"/>
    </row>
    <row r="3014" spans="1:36">
      <c r="A3014" t="str">
        <f t="shared" si="237"/>
        <v>Lali523013</v>
      </c>
      <c r="B3014">
        <v>3013</v>
      </c>
      <c r="C3014">
        <v>14</v>
      </c>
      <c r="D3014">
        <v>2</v>
      </c>
      <c r="E3014">
        <v>2024</v>
      </c>
      <c r="F3014" s="1">
        <f t="shared" si="238"/>
        <v>45336</v>
      </c>
      <c r="G3014" s="1" t="s">
        <v>408</v>
      </c>
      <c r="H3014" s="2">
        <v>47490</v>
      </c>
      <c r="I3014" t="s">
        <v>43</v>
      </c>
      <c r="J3014">
        <v>8</v>
      </c>
      <c r="K3014">
        <v>69593.56</v>
      </c>
      <c r="L3014" t="s">
        <v>730</v>
      </c>
      <c r="M3014">
        <v>52</v>
      </c>
      <c r="N3014" t="s">
        <v>61</v>
      </c>
      <c r="O3014" s="3" t="s">
        <v>22</v>
      </c>
      <c r="P3014" t="s">
        <v>33</v>
      </c>
      <c r="Q3014" t="s">
        <v>56</v>
      </c>
      <c r="R3014">
        <v>5</v>
      </c>
      <c r="S3014" t="s">
        <v>57</v>
      </c>
      <c r="T3014" s="4">
        <f t="shared" si="239"/>
        <v>556748.48</v>
      </c>
      <c r="U3014" s="4" t="str">
        <f t="shared" si="240"/>
        <v>Good</v>
      </c>
      <c r="V3014" s="4" t="str">
        <f t="shared" si="236"/>
        <v>Excellent</v>
      </c>
      <c r="W3014" s="4"/>
      <c r="X3014" s="4"/>
      <c r="AJ3014" s="4"/>
    </row>
    <row r="3015" spans="1:36">
      <c r="A3015" t="str">
        <f t="shared" si="237"/>
        <v>Tanu233014</v>
      </c>
      <c r="B3015">
        <v>3014</v>
      </c>
      <c r="C3015">
        <v>14</v>
      </c>
      <c r="D3015">
        <v>2</v>
      </c>
      <c r="E3015">
        <v>2024</v>
      </c>
      <c r="F3015" s="1">
        <f t="shared" si="238"/>
        <v>45336</v>
      </c>
      <c r="G3015" s="1" t="s">
        <v>408</v>
      </c>
      <c r="H3015" s="2">
        <v>47491</v>
      </c>
      <c r="I3015" t="s">
        <v>26</v>
      </c>
      <c r="J3015">
        <v>7</v>
      </c>
      <c r="K3015">
        <v>10694.33</v>
      </c>
      <c r="L3015" t="s">
        <v>599</v>
      </c>
      <c r="M3015">
        <v>23</v>
      </c>
      <c r="N3015" t="s">
        <v>36</v>
      </c>
      <c r="O3015" s="3" t="s">
        <v>22</v>
      </c>
      <c r="P3015" t="s">
        <v>132</v>
      </c>
      <c r="Q3015" t="s">
        <v>30</v>
      </c>
      <c r="R3015">
        <v>5</v>
      </c>
      <c r="S3015" t="s">
        <v>67</v>
      </c>
      <c r="T3015" s="4">
        <f t="shared" si="239"/>
        <v>74860.31</v>
      </c>
      <c r="U3015" s="4" t="str">
        <f t="shared" si="240"/>
        <v>Good</v>
      </c>
      <c r="V3015" s="4" t="str">
        <f t="shared" si="236"/>
        <v>Average</v>
      </c>
      <c r="W3015" s="4"/>
      <c r="X3015" s="4"/>
      <c r="AJ3015" s="4"/>
    </row>
    <row r="3016" spans="1:36">
      <c r="A3016" t="str">
        <f t="shared" si="237"/>
        <v>Kira433015</v>
      </c>
      <c r="B3016">
        <v>3015</v>
      </c>
      <c r="C3016">
        <v>15</v>
      </c>
      <c r="D3016">
        <v>2</v>
      </c>
      <c r="E3016">
        <v>2024</v>
      </c>
      <c r="F3016" s="1">
        <f t="shared" si="238"/>
        <v>45337</v>
      </c>
      <c r="G3016" s="1" t="s">
        <v>408</v>
      </c>
      <c r="H3016" s="2">
        <v>47492</v>
      </c>
      <c r="I3016" t="s">
        <v>26</v>
      </c>
      <c r="J3016">
        <v>3</v>
      </c>
      <c r="K3016">
        <v>27975.56</v>
      </c>
      <c r="L3016" t="s">
        <v>425</v>
      </c>
      <c r="M3016">
        <v>43</v>
      </c>
      <c r="N3016" t="s">
        <v>21</v>
      </c>
      <c r="O3016" s="3" t="s">
        <v>55</v>
      </c>
      <c r="P3016" t="s">
        <v>33</v>
      </c>
      <c r="Q3016" t="s">
        <v>24</v>
      </c>
      <c r="R3016">
        <v>2</v>
      </c>
      <c r="S3016" t="s">
        <v>31</v>
      </c>
      <c r="T3016" s="4">
        <f t="shared" si="239"/>
        <v>83926.680000000008</v>
      </c>
      <c r="U3016" s="4" t="str">
        <f t="shared" si="240"/>
        <v>Average</v>
      </c>
      <c r="V3016" s="4" t="str">
        <f t="shared" si="236"/>
        <v>Average</v>
      </c>
      <c r="W3016" s="4"/>
      <c r="X3016" s="4"/>
      <c r="AJ3016" s="4"/>
    </row>
    <row r="3017" spans="1:36">
      <c r="A3017" t="str">
        <f t="shared" si="237"/>
        <v>Raje383016</v>
      </c>
      <c r="B3017">
        <v>3016</v>
      </c>
      <c r="C3017">
        <v>15</v>
      </c>
      <c r="D3017">
        <v>2</v>
      </c>
      <c r="E3017">
        <v>2024</v>
      </c>
      <c r="F3017" s="1">
        <f t="shared" si="238"/>
        <v>45337</v>
      </c>
      <c r="G3017" s="1" t="s">
        <v>408</v>
      </c>
      <c r="H3017" s="2">
        <v>47493</v>
      </c>
      <c r="I3017" t="s">
        <v>43</v>
      </c>
      <c r="J3017">
        <v>2</v>
      </c>
      <c r="K3017">
        <v>47389.71</v>
      </c>
      <c r="L3017" t="s">
        <v>532</v>
      </c>
      <c r="M3017">
        <v>38</v>
      </c>
      <c r="N3017" t="s">
        <v>21</v>
      </c>
      <c r="O3017" s="3" t="s">
        <v>55</v>
      </c>
      <c r="P3017" t="s">
        <v>117</v>
      </c>
      <c r="Q3017" t="s">
        <v>41</v>
      </c>
      <c r="R3017">
        <v>2</v>
      </c>
      <c r="S3017" t="s">
        <v>57</v>
      </c>
      <c r="T3017" s="4">
        <f t="shared" si="239"/>
        <v>94779.42</v>
      </c>
      <c r="U3017" s="4" t="str">
        <f t="shared" si="240"/>
        <v>Average</v>
      </c>
      <c r="V3017" s="4" t="str">
        <f t="shared" si="236"/>
        <v>Average</v>
      </c>
      <c r="W3017" s="4"/>
      <c r="X3017" s="4"/>
      <c r="AJ3017" s="4"/>
    </row>
    <row r="3018" spans="1:36">
      <c r="A3018" t="str">
        <f t="shared" si="237"/>
        <v>Kavi413017</v>
      </c>
      <c r="B3018">
        <v>3017</v>
      </c>
      <c r="C3018">
        <v>15</v>
      </c>
      <c r="D3018">
        <v>2</v>
      </c>
      <c r="E3018">
        <v>2024</v>
      </c>
      <c r="F3018" s="1">
        <f t="shared" si="238"/>
        <v>45337</v>
      </c>
      <c r="G3018" s="1" t="s">
        <v>408</v>
      </c>
      <c r="H3018" s="2">
        <v>47494</v>
      </c>
      <c r="I3018" t="s">
        <v>26</v>
      </c>
      <c r="J3018">
        <v>7</v>
      </c>
      <c r="K3018">
        <v>38157.39</v>
      </c>
      <c r="L3018" t="s">
        <v>133</v>
      </c>
      <c r="M3018">
        <v>41</v>
      </c>
      <c r="N3018" t="s">
        <v>21</v>
      </c>
      <c r="O3018" s="3" t="s">
        <v>55</v>
      </c>
      <c r="P3018" t="s">
        <v>40</v>
      </c>
      <c r="Q3018" t="s">
        <v>24</v>
      </c>
      <c r="R3018">
        <v>2</v>
      </c>
      <c r="S3018" t="s">
        <v>67</v>
      </c>
      <c r="T3018" s="4">
        <f t="shared" si="239"/>
        <v>267101.73</v>
      </c>
      <c r="U3018" s="4" t="str">
        <f t="shared" si="240"/>
        <v>Average</v>
      </c>
      <c r="V3018" s="4" t="str">
        <f t="shared" si="236"/>
        <v>Excellent</v>
      </c>
      <c r="W3018" s="4"/>
      <c r="X3018" s="4"/>
      <c r="AJ3018" s="4"/>
    </row>
    <row r="3019" spans="1:36">
      <c r="A3019" t="str">
        <f t="shared" si="237"/>
        <v>Anja323018</v>
      </c>
      <c r="B3019">
        <v>3018</v>
      </c>
      <c r="C3019">
        <v>16</v>
      </c>
      <c r="D3019">
        <v>2</v>
      </c>
      <c r="E3019">
        <v>2024</v>
      </c>
      <c r="F3019" s="1">
        <f t="shared" si="238"/>
        <v>45338</v>
      </c>
      <c r="G3019" s="1" t="s">
        <v>408</v>
      </c>
      <c r="H3019" s="2">
        <v>47495</v>
      </c>
      <c r="I3019" t="s">
        <v>38</v>
      </c>
      <c r="J3019">
        <v>5</v>
      </c>
      <c r="K3019">
        <v>16996.18</v>
      </c>
      <c r="L3019" t="s">
        <v>280</v>
      </c>
      <c r="M3019">
        <v>32</v>
      </c>
      <c r="N3019" t="s">
        <v>21</v>
      </c>
      <c r="O3019" s="3" t="s">
        <v>22</v>
      </c>
      <c r="P3019" t="s">
        <v>33</v>
      </c>
      <c r="Q3019" t="s">
        <v>41</v>
      </c>
      <c r="R3019">
        <v>4</v>
      </c>
      <c r="S3019" t="s">
        <v>42</v>
      </c>
      <c r="T3019" s="4">
        <f t="shared" si="239"/>
        <v>84980.9</v>
      </c>
      <c r="U3019" s="4" t="str">
        <f t="shared" si="240"/>
        <v>Good</v>
      </c>
      <c r="V3019" s="4" t="str">
        <f t="shared" si="236"/>
        <v>Average</v>
      </c>
      <c r="W3019" s="4"/>
      <c r="X3019" s="4"/>
      <c r="AJ3019" s="4"/>
    </row>
    <row r="3020" spans="1:36">
      <c r="A3020" t="str">
        <f t="shared" si="237"/>
        <v>Mala443019</v>
      </c>
      <c r="B3020">
        <v>3019</v>
      </c>
      <c r="C3020">
        <v>16</v>
      </c>
      <c r="D3020">
        <v>2</v>
      </c>
      <c r="E3020">
        <v>2024</v>
      </c>
      <c r="F3020" s="1">
        <f t="shared" si="238"/>
        <v>45338</v>
      </c>
      <c r="G3020" s="1" t="s">
        <v>408</v>
      </c>
      <c r="H3020" s="2">
        <v>47496</v>
      </c>
      <c r="I3020" t="s">
        <v>49</v>
      </c>
      <c r="J3020">
        <v>6</v>
      </c>
      <c r="K3020">
        <v>32067.23</v>
      </c>
      <c r="L3020" t="s">
        <v>78</v>
      </c>
      <c r="M3020">
        <v>44</v>
      </c>
      <c r="N3020" t="s">
        <v>21</v>
      </c>
      <c r="O3020" s="3" t="s">
        <v>22</v>
      </c>
      <c r="P3020" t="s">
        <v>110</v>
      </c>
      <c r="Q3020" t="s">
        <v>24</v>
      </c>
      <c r="R3020">
        <v>5</v>
      </c>
      <c r="S3020" t="s">
        <v>102</v>
      </c>
      <c r="T3020" s="4">
        <f t="shared" si="239"/>
        <v>192403.38</v>
      </c>
      <c r="U3020" s="4" t="str">
        <f t="shared" si="240"/>
        <v>Good</v>
      </c>
      <c r="V3020" s="4" t="str">
        <f t="shared" si="236"/>
        <v>Good</v>
      </c>
      <c r="W3020" s="4"/>
      <c r="X3020" s="4"/>
      <c r="AJ3020" s="4"/>
    </row>
    <row r="3021" spans="1:36">
      <c r="A3021" t="str">
        <f t="shared" si="237"/>
        <v>Moni493020</v>
      </c>
      <c r="B3021">
        <v>3020</v>
      </c>
      <c r="C3021">
        <v>16</v>
      </c>
      <c r="D3021">
        <v>2</v>
      </c>
      <c r="E3021">
        <v>2024</v>
      </c>
      <c r="F3021" s="1">
        <f t="shared" si="238"/>
        <v>45338</v>
      </c>
      <c r="G3021" s="1" t="s">
        <v>408</v>
      </c>
      <c r="H3021" s="2">
        <v>47497</v>
      </c>
      <c r="I3021" t="s">
        <v>49</v>
      </c>
      <c r="J3021">
        <v>4</v>
      </c>
      <c r="K3021">
        <v>11526.83</v>
      </c>
      <c r="L3021" t="s">
        <v>508</v>
      </c>
      <c r="M3021">
        <v>49</v>
      </c>
      <c r="N3021" t="s">
        <v>61</v>
      </c>
      <c r="O3021" s="3" t="s">
        <v>55</v>
      </c>
      <c r="P3021" t="s">
        <v>70</v>
      </c>
      <c r="Q3021" t="s">
        <v>56</v>
      </c>
      <c r="R3021">
        <v>1</v>
      </c>
      <c r="S3021" t="s">
        <v>102</v>
      </c>
      <c r="T3021" s="4">
        <f t="shared" si="239"/>
        <v>46107.32</v>
      </c>
      <c r="U3021" s="4" t="str">
        <f t="shared" si="240"/>
        <v>Average</v>
      </c>
      <c r="V3021" s="4" t="str">
        <f t="shared" si="236"/>
        <v>Low</v>
      </c>
      <c r="W3021" s="4"/>
      <c r="X3021" s="4"/>
      <c r="AJ3021" s="4"/>
    </row>
    <row r="3022" spans="1:36">
      <c r="A3022" t="str">
        <f t="shared" si="237"/>
        <v>Ravi293021</v>
      </c>
      <c r="B3022">
        <v>3021</v>
      </c>
      <c r="C3022">
        <v>16</v>
      </c>
      <c r="D3022">
        <v>2</v>
      </c>
      <c r="E3022">
        <v>2024</v>
      </c>
      <c r="F3022" s="1">
        <f t="shared" si="238"/>
        <v>45338</v>
      </c>
      <c r="G3022" s="1" t="s">
        <v>408</v>
      </c>
      <c r="H3022" s="2">
        <v>47498</v>
      </c>
      <c r="I3022" t="s">
        <v>43</v>
      </c>
      <c r="J3022">
        <v>2</v>
      </c>
      <c r="K3022">
        <v>48564.76</v>
      </c>
      <c r="L3022" t="s">
        <v>191</v>
      </c>
      <c r="M3022">
        <v>29</v>
      </c>
      <c r="N3022" t="s">
        <v>36</v>
      </c>
      <c r="O3022" s="3" t="s">
        <v>55</v>
      </c>
      <c r="P3022" t="s">
        <v>33</v>
      </c>
      <c r="Q3022" t="s">
        <v>30</v>
      </c>
      <c r="R3022">
        <v>2</v>
      </c>
      <c r="S3022" t="s">
        <v>95</v>
      </c>
      <c r="T3022" s="4">
        <f t="shared" si="239"/>
        <v>97129.52</v>
      </c>
      <c r="U3022" s="4" t="str">
        <f t="shared" si="240"/>
        <v>Average</v>
      </c>
      <c r="V3022" s="4" t="str">
        <f t="shared" si="236"/>
        <v>Average</v>
      </c>
      <c r="W3022" s="4"/>
      <c r="X3022" s="4"/>
      <c r="AJ3022" s="4"/>
    </row>
    <row r="3023" spans="1:36">
      <c r="A3023" t="str">
        <f t="shared" si="237"/>
        <v>Vija223022</v>
      </c>
      <c r="B3023">
        <v>3022</v>
      </c>
      <c r="C3023">
        <v>17</v>
      </c>
      <c r="D3023">
        <v>2</v>
      </c>
      <c r="E3023">
        <v>2024</v>
      </c>
      <c r="F3023" s="1">
        <f t="shared" si="238"/>
        <v>45339</v>
      </c>
      <c r="G3023" s="1" t="s">
        <v>408</v>
      </c>
      <c r="H3023" s="2">
        <v>47499</v>
      </c>
      <c r="I3023" t="s">
        <v>26</v>
      </c>
      <c r="J3023">
        <v>9</v>
      </c>
      <c r="K3023">
        <v>63564.55</v>
      </c>
      <c r="L3023" t="s">
        <v>1026</v>
      </c>
      <c r="M3023">
        <v>22</v>
      </c>
      <c r="N3023" t="s">
        <v>36</v>
      </c>
      <c r="O3023" s="3" t="s">
        <v>28</v>
      </c>
      <c r="P3023" t="s">
        <v>45</v>
      </c>
      <c r="Q3023" t="s">
        <v>56</v>
      </c>
      <c r="R3023">
        <v>3</v>
      </c>
      <c r="S3023" t="s">
        <v>31</v>
      </c>
      <c r="T3023" s="4">
        <f t="shared" si="239"/>
        <v>572080.95000000007</v>
      </c>
      <c r="U3023" s="4" t="str">
        <f t="shared" si="240"/>
        <v>Average</v>
      </c>
      <c r="V3023" s="4" t="str">
        <f t="shared" si="236"/>
        <v>Excellent</v>
      </c>
      <c r="W3023" s="4"/>
      <c r="X3023" s="4"/>
      <c r="AJ3023" s="4"/>
    </row>
    <row r="3024" spans="1:36">
      <c r="A3024" t="str">
        <f t="shared" si="237"/>
        <v>Reen243023</v>
      </c>
      <c r="B3024">
        <v>3023</v>
      </c>
      <c r="C3024">
        <v>17</v>
      </c>
      <c r="D3024">
        <v>2</v>
      </c>
      <c r="E3024">
        <v>2024</v>
      </c>
      <c r="F3024" s="1">
        <f t="shared" si="238"/>
        <v>45339</v>
      </c>
      <c r="G3024" s="1" t="s">
        <v>408</v>
      </c>
      <c r="H3024" s="2">
        <v>47500</v>
      </c>
      <c r="I3024" t="s">
        <v>19</v>
      </c>
      <c r="J3024">
        <v>3</v>
      </c>
      <c r="K3024">
        <v>63092.45</v>
      </c>
      <c r="L3024" t="s">
        <v>451</v>
      </c>
      <c r="M3024">
        <v>24</v>
      </c>
      <c r="N3024" t="s">
        <v>36</v>
      </c>
      <c r="O3024" s="3" t="s">
        <v>55</v>
      </c>
      <c r="P3024" t="s">
        <v>29</v>
      </c>
      <c r="Q3024" t="s">
        <v>56</v>
      </c>
      <c r="R3024">
        <v>1</v>
      </c>
      <c r="S3024" t="s">
        <v>37</v>
      </c>
      <c r="T3024" s="4">
        <f t="shared" si="239"/>
        <v>189277.34999999998</v>
      </c>
      <c r="U3024" s="4" t="str">
        <f t="shared" si="240"/>
        <v>Average</v>
      </c>
      <c r="V3024" s="4" t="str">
        <f t="shared" si="236"/>
        <v>Good</v>
      </c>
      <c r="W3024" s="4"/>
      <c r="X3024" s="4"/>
      <c r="AJ3024" s="4"/>
    </row>
    <row r="3025" spans="1:36">
      <c r="A3025" t="str">
        <f t="shared" si="237"/>
        <v>Navi393024</v>
      </c>
      <c r="B3025">
        <v>3024</v>
      </c>
      <c r="C3025">
        <v>17</v>
      </c>
      <c r="D3025">
        <v>2</v>
      </c>
      <c r="E3025">
        <v>2024</v>
      </c>
      <c r="F3025" s="1">
        <f t="shared" si="238"/>
        <v>45339</v>
      </c>
      <c r="G3025" s="1" t="s">
        <v>408</v>
      </c>
      <c r="H3025" s="2">
        <v>47501</v>
      </c>
      <c r="I3025" t="s">
        <v>19</v>
      </c>
      <c r="J3025">
        <v>7</v>
      </c>
      <c r="K3025">
        <v>51972.67</v>
      </c>
      <c r="L3025" t="s">
        <v>603</v>
      </c>
      <c r="M3025">
        <v>39</v>
      </c>
      <c r="N3025" t="s">
        <v>21</v>
      </c>
      <c r="O3025" s="3" t="s">
        <v>55</v>
      </c>
      <c r="P3025" t="s">
        <v>93</v>
      </c>
      <c r="Q3025" t="s">
        <v>24</v>
      </c>
      <c r="R3025">
        <v>1</v>
      </c>
      <c r="S3025" t="s">
        <v>84</v>
      </c>
      <c r="T3025" s="4">
        <f t="shared" si="239"/>
        <v>363808.69</v>
      </c>
      <c r="U3025" s="4" t="str">
        <f t="shared" si="240"/>
        <v>Average</v>
      </c>
      <c r="V3025" s="4" t="str">
        <f t="shared" si="236"/>
        <v>Excellent</v>
      </c>
      <c r="W3025" s="4"/>
      <c r="X3025" s="4"/>
      <c r="AJ3025" s="4"/>
    </row>
    <row r="3026" spans="1:36">
      <c r="A3026" t="str">
        <f t="shared" si="237"/>
        <v>Vive443025</v>
      </c>
      <c r="B3026">
        <v>3025</v>
      </c>
      <c r="C3026">
        <v>18</v>
      </c>
      <c r="D3026">
        <v>2</v>
      </c>
      <c r="E3026">
        <v>2024</v>
      </c>
      <c r="F3026" s="1">
        <f t="shared" si="238"/>
        <v>45340</v>
      </c>
      <c r="G3026" s="1" t="s">
        <v>408</v>
      </c>
      <c r="H3026" s="2">
        <v>47502</v>
      </c>
      <c r="I3026" t="s">
        <v>26</v>
      </c>
      <c r="J3026">
        <v>8</v>
      </c>
      <c r="K3026">
        <v>37946.21</v>
      </c>
      <c r="L3026" t="s">
        <v>513</v>
      </c>
      <c r="M3026">
        <v>44</v>
      </c>
      <c r="N3026" t="s">
        <v>21</v>
      </c>
      <c r="O3026" s="3" t="s">
        <v>55</v>
      </c>
      <c r="P3026" t="s">
        <v>33</v>
      </c>
      <c r="Q3026" t="s">
        <v>56</v>
      </c>
      <c r="R3026">
        <v>1</v>
      </c>
      <c r="S3026" t="s">
        <v>31</v>
      </c>
      <c r="T3026" s="4">
        <f t="shared" si="239"/>
        <v>303569.68</v>
      </c>
      <c r="U3026" s="4" t="str">
        <f t="shared" si="240"/>
        <v>Average</v>
      </c>
      <c r="V3026" s="4" t="str">
        <f t="shared" si="236"/>
        <v>Excellent</v>
      </c>
      <c r="W3026" s="4"/>
      <c r="X3026" s="4"/>
      <c r="AJ3026" s="4"/>
    </row>
    <row r="3027" spans="1:36">
      <c r="A3027" t="str">
        <f t="shared" si="237"/>
        <v>Gita323026</v>
      </c>
      <c r="B3027">
        <v>3026</v>
      </c>
      <c r="C3027">
        <v>18</v>
      </c>
      <c r="D3027">
        <v>2</v>
      </c>
      <c r="E3027">
        <v>2024</v>
      </c>
      <c r="F3027" s="1">
        <f t="shared" si="238"/>
        <v>45340</v>
      </c>
      <c r="G3027" s="1" t="s">
        <v>408</v>
      </c>
      <c r="H3027" s="2">
        <v>47503</v>
      </c>
      <c r="I3027" t="s">
        <v>19</v>
      </c>
      <c r="J3027">
        <v>2</v>
      </c>
      <c r="K3027">
        <v>40721.9</v>
      </c>
      <c r="L3027" t="s">
        <v>315</v>
      </c>
      <c r="M3027">
        <v>32</v>
      </c>
      <c r="N3027" t="s">
        <v>21</v>
      </c>
      <c r="O3027" s="3" t="s">
        <v>22</v>
      </c>
      <c r="P3027" t="s">
        <v>45</v>
      </c>
      <c r="Q3027" t="s">
        <v>30</v>
      </c>
      <c r="R3027">
        <v>5</v>
      </c>
      <c r="S3027" t="s">
        <v>25</v>
      </c>
      <c r="T3027" s="4">
        <f t="shared" si="239"/>
        <v>81443.8</v>
      </c>
      <c r="U3027" s="4" t="str">
        <f t="shared" si="240"/>
        <v>Good</v>
      </c>
      <c r="V3027" s="4" t="str">
        <f t="shared" si="236"/>
        <v>Average</v>
      </c>
      <c r="W3027" s="4"/>
      <c r="X3027" s="4"/>
      <c r="AJ3027" s="4"/>
    </row>
    <row r="3028" spans="1:36">
      <c r="A3028" t="str">
        <f t="shared" si="237"/>
        <v>Nikh563027</v>
      </c>
      <c r="B3028">
        <v>3027</v>
      </c>
      <c r="C3028">
        <v>18</v>
      </c>
      <c r="D3028">
        <v>2</v>
      </c>
      <c r="E3028">
        <v>2024</v>
      </c>
      <c r="F3028" s="1">
        <f t="shared" si="238"/>
        <v>45340</v>
      </c>
      <c r="G3028" s="1" t="s">
        <v>408</v>
      </c>
      <c r="H3028" s="2">
        <v>47504</v>
      </c>
      <c r="I3028" t="s">
        <v>43</v>
      </c>
      <c r="J3028">
        <v>6</v>
      </c>
      <c r="K3028">
        <v>18215.13</v>
      </c>
      <c r="L3028" t="s">
        <v>511</v>
      </c>
      <c r="M3028">
        <v>56</v>
      </c>
      <c r="N3028" t="s">
        <v>61</v>
      </c>
      <c r="O3028" s="3" t="s">
        <v>55</v>
      </c>
      <c r="P3028" t="s">
        <v>33</v>
      </c>
      <c r="Q3028" t="s">
        <v>41</v>
      </c>
      <c r="R3028">
        <v>2</v>
      </c>
      <c r="S3028" t="s">
        <v>46</v>
      </c>
      <c r="T3028" s="4">
        <f t="shared" si="239"/>
        <v>109290.78</v>
      </c>
      <c r="U3028" s="4" t="str">
        <f t="shared" si="240"/>
        <v>Average</v>
      </c>
      <c r="V3028" s="4" t="str">
        <f t="shared" si="236"/>
        <v>Good</v>
      </c>
      <c r="W3028" s="4"/>
      <c r="X3028" s="4"/>
      <c r="AJ3028" s="4"/>
    </row>
    <row r="3029" spans="1:36">
      <c r="A3029" t="str">
        <f t="shared" si="237"/>
        <v>Rame523028</v>
      </c>
      <c r="B3029">
        <v>3028</v>
      </c>
      <c r="C3029">
        <v>18</v>
      </c>
      <c r="D3029">
        <v>2</v>
      </c>
      <c r="E3029">
        <v>2024</v>
      </c>
      <c r="F3029" s="1">
        <f t="shared" si="238"/>
        <v>45340</v>
      </c>
      <c r="G3029" s="1" t="s">
        <v>408</v>
      </c>
      <c r="H3029" s="2">
        <v>47505</v>
      </c>
      <c r="I3029" t="s">
        <v>43</v>
      </c>
      <c r="J3029">
        <v>8</v>
      </c>
      <c r="K3029">
        <v>30461.03</v>
      </c>
      <c r="L3029" t="s">
        <v>130</v>
      </c>
      <c r="M3029">
        <v>52</v>
      </c>
      <c r="N3029" t="s">
        <v>61</v>
      </c>
      <c r="O3029" s="3" t="s">
        <v>28</v>
      </c>
      <c r="P3029" t="s">
        <v>90</v>
      </c>
      <c r="Q3029" t="s">
        <v>41</v>
      </c>
      <c r="R3029">
        <v>3</v>
      </c>
      <c r="S3029" t="s">
        <v>57</v>
      </c>
      <c r="T3029" s="4">
        <f t="shared" si="239"/>
        <v>243688.24</v>
      </c>
      <c r="U3029" s="4" t="str">
        <f t="shared" si="240"/>
        <v>Average</v>
      </c>
      <c r="V3029" s="4" t="str">
        <f t="shared" si="236"/>
        <v>Excellent</v>
      </c>
      <c r="W3029" s="4"/>
      <c r="X3029" s="4"/>
      <c r="AJ3029" s="4"/>
    </row>
    <row r="3030" spans="1:36">
      <c r="A3030" t="str">
        <f t="shared" si="237"/>
        <v>Hari433029</v>
      </c>
      <c r="B3030">
        <v>3029</v>
      </c>
      <c r="C3030">
        <v>19</v>
      </c>
      <c r="D3030">
        <v>2</v>
      </c>
      <c r="E3030">
        <v>2024</v>
      </c>
      <c r="F3030" s="1">
        <f t="shared" si="238"/>
        <v>45341</v>
      </c>
      <c r="G3030" s="1" t="s">
        <v>408</v>
      </c>
      <c r="H3030" s="2">
        <v>47506</v>
      </c>
      <c r="I3030" t="s">
        <v>26</v>
      </c>
      <c r="J3030">
        <v>7</v>
      </c>
      <c r="K3030">
        <v>21263.68</v>
      </c>
      <c r="L3030" t="s">
        <v>655</v>
      </c>
      <c r="M3030">
        <v>43</v>
      </c>
      <c r="N3030" t="s">
        <v>21</v>
      </c>
      <c r="O3030" s="3" t="s">
        <v>22</v>
      </c>
      <c r="P3030" t="s">
        <v>29</v>
      </c>
      <c r="Q3030" t="s">
        <v>24</v>
      </c>
      <c r="R3030">
        <v>4</v>
      </c>
      <c r="S3030" t="s">
        <v>31</v>
      </c>
      <c r="T3030" s="4">
        <f t="shared" si="239"/>
        <v>148845.76000000001</v>
      </c>
      <c r="U3030" s="4" t="str">
        <f t="shared" si="240"/>
        <v>Good</v>
      </c>
      <c r="V3030" s="4" t="str">
        <f t="shared" si="236"/>
        <v>Good</v>
      </c>
      <c r="W3030" s="4"/>
      <c r="X3030" s="4"/>
      <c r="AJ3030" s="4"/>
    </row>
    <row r="3031" spans="1:36">
      <c r="A3031" t="str">
        <f t="shared" si="237"/>
        <v>Vive403030</v>
      </c>
      <c r="B3031">
        <v>3030</v>
      </c>
      <c r="C3031">
        <v>19</v>
      </c>
      <c r="D3031">
        <v>2</v>
      </c>
      <c r="E3031">
        <v>2024</v>
      </c>
      <c r="F3031" s="1">
        <f t="shared" si="238"/>
        <v>45341</v>
      </c>
      <c r="G3031" s="1" t="s">
        <v>408</v>
      </c>
      <c r="H3031" s="2">
        <v>47507</v>
      </c>
      <c r="I3031" t="s">
        <v>19</v>
      </c>
      <c r="J3031">
        <v>3</v>
      </c>
      <c r="K3031">
        <v>59272.01</v>
      </c>
      <c r="L3031" t="s">
        <v>894</v>
      </c>
      <c r="M3031">
        <v>40</v>
      </c>
      <c r="N3031" t="s">
        <v>21</v>
      </c>
      <c r="O3031" s="3" t="s">
        <v>28</v>
      </c>
      <c r="P3031" t="s">
        <v>29</v>
      </c>
      <c r="Q3031" t="s">
        <v>30</v>
      </c>
      <c r="R3031">
        <v>3</v>
      </c>
      <c r="S3031" t="s">
        <v>84</v>
      </c>
      <c r="T3031" s="4">
        <f t="shared" si="239"/>
        <v>177816.03</v>
      </c>
      <c r="U3031" s="4" t="str">
        <f t="shared" si="240"/>
        <v>Average</v>
      </c>
      <c r="V3031" s="4" t="str">
        <f t="shared" si="236"/>
        <v>Good</v>
      </c>
      <c r="W3031" s="4"/>
      <c r="X3031" s="4"/>
      <c r="AJ3031" s="4"/>
    </row>
    <row r="3032" spans="1:36">
      <c r="A3032" t="str">
        <f t="shared" si="237"/>
        <v>Ravi303031</v>
      </c>
      <c r="B3032">
        <v>3031</v>
      </c>
      <c r="C3032">
        <v>19</v>
      </c>
      <c r="D3032">
        <v>2</v>
      </c>
      <c r="E3032">
        <v>2024</v>
      </c>
      <c r="F3032" s="1">
        <f t="shared" si="238"/>
        <v>45341</v>
      </c>
      <c r="G3032" s="1" t="s">
        <v>408</v>
      </c>
      <c r="H3032" s="2">
        <v>47508</v>
      </c>
      <c r="I3032" t="s">
        <v>43</v>
      </c>
      <c r="J3032">
        <v>1</v>
      </c>
      <c r="K3032">
        <v>64885.23</v>
      </c>
      <c r="L3032" t="s">
        <v>455</v>
      </c>
      <c r="M3032">
        <v>30</v>
      </c>
      <c r="N3032" t="s">
        <v>36</v>
      </c>
      <c r="O3032" s="3" t="s">
        <v>28</v>
      </c>
      <c r="P3032" t="s">
        <v>77</v>
      </c>
      <c r="Q3032" t="s">
        <v>30</v>
      </c>
      <c r="R3032">
        <v>3</v>
      </c>
      <c r="S3032" t="s">
        <v>46</v>
      </c>
      <c r="T3032" s="4">
        <f t="shared" si="239"/>
        <v>64885.23</v>
      </c>
      <c r="U3032" s="4" t="str">
        <f t="shared" si="240"/>
        <v>Average</v>
      </c>
      <c r="V3032" s="4" t="str">
        <f t="shared" si="236"/>
        <v>Average</v>
      </c>
      <c r="W3032" s="4"/>
      <c r="X3032" s="4"/>
      <c r="AJ3032" s="4"/>
    </row>
    <row r="3033" spans="1:36">
      <c r="A3033" t="str">
        <f t="shared" si="237"/>
        <v>Vija433032</v>
      </c>
      <c r="B3033">
        <v>3032</v>
      </c>
      <c r="C3033">
        <v>19</v>
      </c>
      <c r="D3033">
        <v>2</v>
      </c>
      <c r="E3033">
        <v>2024</v>
      </c>
      <c r="F3033" s="1">
        <f t="shared" si="238"/>
        <v>45341</v>
      </c>
      <c r="G3033" s="1" t="s">
        <v>408</v>
      </c>
      <c r="H3033" s="2">
        <v>47509</v>
      </c>
      <c r="I3033" t="s">
        <v>43</v>
      </c>
      <c r="J3033">
        <v>6</v>
      </c>
      <c r="K3033">
        <v>42215.4</v>
      </c>
      <c r="L3033" t="s">
        <v>1026</v>
      </c>
      <c r="M3033">
        <v>43</v>
      </c>
      <c r="N3033" t="s">
        <v>21</v>
      </c>
      <c r="O3033" s="3" t="s">
        <v>28</v>
      </c>
      <c r="P3033" t="s">
        <v>29</v>
      </c>
      <c r="Q3033" t="s">
        <v>41</v>
      </c>
      <c r="R3033">
        <v>3</v>
      </c>
      <c r="S3033" t="s">
        <v>46</v>
      </c>
      <c r="T3033" s="4">
        <f t="shared" si="239"/>
        <v>253292.40000000002</v>
      </c>
      <c r="U3033" s="4" t="str">
        <f t="shared" si="240"/>
        <v>Average</v>
      </c>
      <c r="V3033" s="4" t="str">
        <f t="shared" si="236"/>
        <v>Excellent</v>
      </c>
      <c r="W3033" s="4"/>
      <c r="X3033" s="4"/>
      <c r="AJ3033" s="4"/>
    </row>
    <row r="3034" spans="1:36">
      <c r="A3034" t="str">
        <f t="shared" si="237"/>
        <v>Navi203033</v>
      </c>
      <c r="B3034">
        <v>3033</v>
      </c>
      <c r="C3034">
        <v>20</v>
      </c>
      <c r="D3034">
        <v>2</v>
      </c>
      <c r="E3034">
        <v>2024</v>
      </c>
      <c r="F3034" s="1">
        <f t="shared" si="238"/>
        <v>45342</v>
      </c>
      <c r="G3034" s="1" t="s">
        <v>408</v>
      </c>
      <c r="H3034" s="2">
        <v>47510</v>
      </c>
      <c r="I3034" t="s">
        <v>38</v>
      </c>
      <c r="J3034">
        <v>8</v>
      </c>
      <c r="K3034">
        <v>53665.84</v>
      </c>
      <c r="L3034" t="s">
        <v>258</v>
      </c>
      <c r="M3034">
        <v>20</v>
      </c>
      <c r="N3034" t="s">
        <v>36</v>
      </c>
      <c r="O3034" s="3" t="s">
        <v>22</v>
      </c>
      <c r="P3034" t="s">
        <v>59</v>
      </c>
      <c r="Q3034" t="s">
        <v>41</v>
      </c>
      <c r="R3034">
        <v>4</v>
      </c>
      <c r="S3034" t="s">
        <v>42</v>
      </c>
      <c r="T3034" s="4">
        <f t="shared" si="239"/>
        <v>429326.72</v>
      </c>
      <c r="U3034" s="4" t="str">
        <f t="shared" si="240"/>
        <v>Good</v>
      </c>
      <c r="V3034" s="4" t="str">
        <f t="shared" si="236"/>
        <v>Excellent</v>
      </c>
      <c r="W3034" s="4"/>
      <c r="X3034" s="4"/>
      <c r="AJ3034" s="4"/>
    </row>
    <row r="3035" spans="1:36">
      <c r="A3035" t="str">
        <f t="shared" si="237"/>
        <v>Ravi463034</v>
      </c>
      <c r="B3035">
        <v>3034</v>
      </c>
      <c r="C3035">
        <v>20</v>
      </c>
      <c r="D3035">
        <v>2</v>
      </c>
      <c r="E3035">
        <v>2024</v>
      </c>
      <c r="F3035" s="1">
        <f t="shared" si="238"/>
        <v>45342</v>
      </c>
      <c r="G3035" s="1" t="s">
        <v>408</v>
      </c>
      <c r="H3035" s="2">
        <v>47511</v>
      </c>
      <c r="I3035" t="s">
        <v>38</v>
      </c>
      <c r="J3035">
        <v>6</v>
      </c>
      <c r="K3035">
        <v>17287.89</v>
      </c>
      <c r="L3035" t="s">
        <v>191</v>
      </c>
      <c r="M3035">
        <v>46</v>
      </c>
      <c r="N3035" t="s">
        <v>61</v>
      </c>
      <c r="O3035" s="3" t="s">
        <v>28</v>
      </c>
      <c r="P3035" t="s">
        <v>137</v>
      </c>
      <c r="Q3035" t="s">
        <v>56</v>
      </c>
      <c r="R3035">
        <v>3</v>
      </c>
      <c r="S3035" t="s">
        <v>42</v>
      </c>
      <c r="T3035" s="4">
        <f t="shared" si="239"/>
        <v>103727.34</v>
      </c>
      <c r="U3035" s="4" t="str">
        <f t="shared" si="240"/>
        <v>Average</v>
      </c>
      <c r="V3035" s="4" t="str">
        <f t="shared" si="236"/>
        <v>Good</v>
      </c>
      <c r="W3035" s="4"/>
      <c r="X3035" s="4"/>
      <c r="AJ3035" s="4"/>
    </row>
    <row r="3036" spans="1:36">
      <c r="A3036" t="str">
        <f t="shared" si="237"/>
        <v>Adit193035</v>
      </c>
      <c r="B3036">
        <v>3035</v>
      </c>
      <c r="C3036">
        <v>20</v>
      </c>
      <c r="D3036">
        <v>2</v>
      </c>
      <c r="E3036">
        <v>2024</v>
      </c>
      <c r="F3036" s="1">
        <f t="shared" si="238"/>
        <v>45342</v>
      </c>
      <c r="G3036" s="1" t="s">
        <v>408</v>
      </c>
      <c r="H3036" s="2">
        <v>47512</v>
      </c>
      <c r="I3036" t="s">
        <v>43</v>
      </c>
      <c r="J3036">
        <v>5</v>
      </c>
      <c r="K3036">
        <v>46512.08</v>
      </c>
      <c r="L3036" t="s">
        <v>650</v>
      </c>
      <c r="M3036">
        <v>19</v>
      </c>
      <c r="N3036" t="s">
        <v>36</v>
      </c>
      <c r="O3036" s="3" t="s">
        <v>28</v>
      </c>
      <c r="P3036" t="s">
        <v>93</v>
      </c>
      <c r="Q3036" t="s">
        <v>24</v>
      </c>
      <c r="R3036">
        <v>3</v>
      </c>
      <c r="S3036" t="s">
        <v>46</v>
      </c>
      <c r="T3036" s="4">
        <f t="shared" si="239"/>
        <v>232560.40000000002</v>
      </c>
      <c r="U3036" s="4" t="str">
        <f t="shared" si="240"/>
        <v>Average</v>
      </c>
      <c r="V3036" s="4" t="str">
        <f t="shared" si="236"/>
        <v>Excellent</v>
      </c>
      <c r="W3036" s="4"/>
      <c r="X3036" s="4"/>
      <c r="AJ3036" s="4"/>
    </row>
    <row r="3037" spans="1:36">
      <c r="A3037" t="str">
        <f t="shared" si="237"/>
        <v>Arun453036</v>
      </c>
      <c r="B3037">
        <v>3036</v>
      </c>
      <c r="C3037">
        <v>20</v>
      </c>
      <c r="D3037">
        <v>2</v>
      </c>
      <c r="E3037">
        <v>2024</v>
      </c>
      <c r="F3037" s="1">
        <f t="shared" si="238"/>
        <v>45342</v>
      </c>
      <c r="G3037" s="1" t="s">
        <v>408</v>
      </c>
      <c r="H3037" s="2">
        <v>47513</v>
      </c>
      <c r="I3037" t="s">
        <v>26</v>
      </c>
      <c r="J3037">
        <v>8</v>
      </c>
      <c r="K3037">
        <v>52167.46</v>
      </c>
      <c r="L3037" t="s">
        <v>917</v>
      </c>
      <c r="M3037">
        <v>45</v>
      </c>
      <c r="N3037" t="s">
        <v>21</v>
      </c>
      <c r="O3037" s="3" t="s">
        <v>55</v>
      </c>
      <c r="P3037" t="s">
        <v>93</v>
      </c>
      <c r="Q3037" t="s">
        <v>41</v>
      </c>
      <c r="R3037">
        <v>2</v>
      </c>
      <c r="S3037" t="s">
        <v>31</v>
      </c>
      <c r="T3037" s="4">
        <f t="shared" si="239"/>
        <v>417339.68</v>
      </c>
      <c r="U3037" s="4" t="str">
        <f t="shared" si="240"/>
        <v>Average</v>
      </c>
      <c r="V3037" s="4" t="str">
        <f t="shared" si="236"/>
        <v>Excellent</v>
      </c>
      <c r="W3037" s="4"/>
      <c r="X3037" s="4"/>
      <c r="AJ3037" s="4"/>
    </row>
    <row r="3038" spans="1:36">
      <c r="A3038" t="str">
        <f t="shared" si="237"/>
        <v>Isha403037</v>
      </c>
      <c r="B3038">
        <v>3037</v>
      </c>
      <c r="C3038">
        <v>21</v>
      </c>
      <c r="D3038">
        <v>2</v>
      </c>
      <c r="E3038">
        <v>2024</v>
      </c>
      <c r="F3038" s="1">
        <f t="shared" si="238"/>
        <v>45343</v>
      </c>
      <c r="G3038" s="1" t="s">
        <v>408</v>
      </c>
      <c r="H3038" s="2">
        <v>47514</v>
      </c>
      <c r="I3038" t="s">
        <v>49</v>
      </c>
      <c r="J3038">
        <v>2</v>
      </c>
      <c r="K3038">
        <v>37166.089999999997</v>
      </c>
      <c r="L3038" t="s">
        <v>82</v>
      </c>
      <c r="M3038">
        <v>40</v>
      </c>
      <c r="N3038" t="s">
        <v>21</v>
      </c>
      <c r="O3038" s="3" t="s">
        <v>55</v>
      </c>
      <c r="P3038" t="s">
        <v>114</v>
      </c>
      <c r="Q3038" t="s">
        <v>41</v>
      </c>
      <c r="R3038">
        <v>2</v>
      </c>
      <c r="S3038" t="s">
        <v>88</v>
      </c>
      <c r="T3038" s="4">
        <f t="shared" si="239"/>
        <v>74332.179999999993</v>
      </c>
      <c r="U3038" s="4" t="str">
        <f t="shared" si="240"/>
        <v>Average</v>
      </c>
      <c r="V3038" s="4" t="str">
        <f t="shared" si="236"/>
        <v>Average</v>
      </c>
      <c r="W3038" s="4"/>
      <c r="X3038" s="4"/>
      <c r="AJ3038" s="4"/>
    </row>
    <row r="3039" spans="1:36">
      <c r="A3039" t="str">
        <f t="shared" si="237"/>
        <v>Navi533038</v>
      </c>
      <c r="B3039">
        <v>3038</v>
      </c>
      <c r="C3039">
        <v>21</v>
      </c>
      <c r="D3039">
        <v>2</v>
      </c>
      <c r="E3039">
        <v>2024</v>
      </c>
      <c r="F3039" s="1">
        <f t="shared" si="238"/>
        <v>45343</v>
      </c>
      <c r="G3039" s="1" t="s">
        <v>408</v>
      </c>
      <c r="H3039" s="2">
        <v>47515</v>
      </c>
      <c r="I3039" t="s">
        <v>49</v>
      </c>
      <c r="J3039">
        <v>1</v>
      </c>
      <c r="K3039">
        <v>24596.39</v>
      </c>
      <c r="L3039" t="s">
        <v>359</v>
      </c>
      <c r="M3039">
        <v>53</v>
      </c>
      <c r="N3039" t="s">
        <v>61</v>
      </c>
      <c r="O3039" s="3" t="s">
        <v>55</v>
      </c>
      <c r="P3039" t="s">
        <v>29</v>
      </c>
      <c r="Q3039" t="s">
        <v>30</v>
      </c>
      <c r="R3039">
        <v>2</v>
      </c>
      <c r="S3039" t="s">
        <v>88</v>
      </c>
      <c r="T3039" s="4">
        <f t="shared" si="239"/>
        <v>24596.39</v>
      </c>
      <c r="U3039" s="4" t="str">
        <f t="shared" si="240"/>
        <v>Average</v>
      </c>
      <c r="V3039" s="4" t="str">
        <f t="shared" si="236"/>
        <v>Low</v>
      </c>
      <c r="W3039" s="4"/>
      <c r="X3039" s="4"/>
      <c r="AJ3039" s="4"/>
    </row>
    <row r="3040" spans="1:36">
      <c r="A3040" t="str">
        <f t="shared" si="237"/>
        <v>Kuna233039</v>
      </c>
      <c r="B3040">
        <v>3039</v>
      </c>
      <c r="C3040">
        <v>21</v>
      </c>
      <c r="D3040">
        <v>2</v>
      </c>
      <c r="E3040">
        <v>2024</v>
      </c>
      <c r="F3040" s="1">
        <f t="shared" si="238"/>
        <v>45343</v>
      </c>
      <c r="G3040" s="1" t="s">
        <v>408</v>
      </c>
      <c r="H3040" s="2">
        <v>47516</v>
      </c>
      <c r="I3040" t="s">
        <v>43</v>
      </c>
      <c r="J3040">
        <v>1</v>
      </c>
      <c r="K3040">
        <v>62642.47</v>
      </c>
      <c r="L3040" t="s">
        <v>1012</v>
      </c>
      <c r="M3040">
        <v>23</v>
      </c>
      <c r="N3040" t="s">
        <v>36</v>
      </c>
      <c r="O3040" s="3" t="s">
        <v>55</v>
      </c>
      <c r="P3040" t="s">
        <v>114</v>
      </c>
      <c r="Q3040" t="s">
        <v>30</v>
      </c>
      <c r="R3040">
        <v>1</v>
      </c>
      <c r="S3040" t="s">
        <v>95</v>
      </c>
      <c r="T3040" s="4">
        <f t="shared" si="239"/>
        <v>62642.47</v>
      </c>
      <c r="U3040" s="4" t="str">
        <f t="shared" si="240"/>
        <v>Average</v>
      </c>
      <c r="V3040" s="4" t="str">
        <f t="shared" si="236"/>
        <v>Average</v>
      </c>
      <c r="W3040" s="4"/>
      <c r="X3040" s="4"/>
      <c r="AJ3040" s="4"/>
    </row>
    <row r="3041" spans="1:36">
      <c r="A3041" t="str">
        <f t="shared" si="237"/>
        <v>Adit283040</v>
      </c>
      <c r="B3041">
        <v>3040</v>
      </c>
      <c r="C3041">
        <v>22</v>
      </c>
      <c r="D3041">
        <v>2</v>
      </c>
      <c r="E3041">
        <v>2024</v>
      </c>
      <c r="F3041" s="1">
        <f t="shared" si="238"/>
        <v>45344</v>
      </c>
      <c r="G3041" s="1" t="s">
        <v>408</v>
      </c>
      <c r="H3041" s="2">
        <v>47517</v>
      </c>
      <c r="I3041" t="s">
        <v>43</v>
      </c>
      <c r="J3041">
        <v>4</v>
      </c>
      <c r="K3041">
        <v>54574.52</v>
      </c>
      <c r="L3041" t="s">
        <v>642</v>
      </c>
      <c r="M3041">
        <v>28</v>
      </c>
      <c r="N3041" t="s">
        <v>36</v>
      </c>
      <c r="O3041" s="3" t="s">
        <v>28</v>
      </c>
      <c r="P3041" t="s">
        <v>90</v>
      </c>
      <c r="Q3041" t="s">
        <v>30</v>
      </c>
      <c r="R3041">
        <v>3</v>
      </c>
      <c r="S3041" t="s">
        <v>46</v>
      </c>
      <c r="T3041" s="4">
        <f t="shared" si="239"/>
        <v>218298.08</v>
      </c>
      <c r="U3041" s="4" t="str">
        <f t="shared" si="240"/>
        <v>Average</v>
      </c>
      <c r="V3041" s="4" t="str">
        <f t="shared" si="236"/>
        <v>Excellent</v>
      </c>
      <c r="W3041" s="4"/>
      <c r="X3041" s="4"/>
      <c r="AJ3041" s="4"/>
    </row>
    <row r="3042" spans="1:36">
      <c r="A3042" t="str">
        <f t="shared" si="237"/>
        <v>Shru553041</v>
      </c>
      <c r="B3042">
        <v>3041</v>
      </c>
      <c r="C3042">
        <v>22</v>
      </c>
      <c r="D3042">
        <v>2</v>
      </c>
      <c r="E3042">
        <v>2024</v>
      </c>
      <c r="F3042" s="1">
        <f t="shared" si="238"/>
        <v>45344</v>
      </c>
      <c r="G3042" s="1" t="s">
        <v>408</v>
      </c>
      <c r="H3042" s="2">
        <v>47518</v>
      </c>
      <c r="I3042" t="s">
        <v>43</v>
      </c>
      <c r="J3042">
        <v>6</v>
      </c>
      <c r="K3042">
        <v>63991.44</v>
      </c>
      <c r="L3042" t="s">
        <v>457</v>
      </c>
      <c r="M3042">
        <v>55</v>
      </c>
      <c r="N3042" t="s">
        <v>61</v>
      </c>
      <c r="O3042" s="3" t="s">
        <v>22</v>
      </c>
      <c r="P3042" t="s">
        <v>29</v>
      </c>
      <c r="Q3042" t="s">
        <v>41</v>
      </c>
      <c r="R3042">
        <v>5</v>
      </c>
      <c r="S3042" t="s">
        <v>46</v>
      </c>
      <c r="T3042" s="4">
        <f t="shared" si="239"/>
        <v>383948.64</v>
      </c>
      <c r="U3042" s="4" t="str">
        <f t="shared" si="240"/>
        <v>Good</v>
      </c>
      <c r="V3042" s="4" t="str">
        <f t="shared" si="236"/>
        <v>Excellent</v>
      </c>
      <c r="W3042" s="4"/>
      <c r="X3042" s="4"/>
      <c r="AJ3042" s="4"/>
    </row>
    <row r="3043" spans="1:36">
      <c r="A3043" t="str">
        <f t="shared" si="237"/>
        <v>Suni513042</v>
      </c>
      <c r="B3043">
        <v>3042</v>
      </c>
      <c r="C3043">
        <v>22</v>
      </c>
      <c r="D3043">
        <v>2</v>
      </c>
      <c r="E3043">
        <v>2024</v>
      </c>
      <c r="F3043" s="1">
        <f t="shared" si="238"/>
        <v>45344</v>
      </c>
      <c r="G3043" s="1" t="s">
        <v>408</v>
      </c>
      <c r="H3043" s="2">
        <v>47519</v>
      </c>
      <c r="I3043" t="s">
        <v>26</v>
      </c>
      <c r="J3043">
        <v>9</v>
      </c>
      <c r="K3043">
        <v>59104.160000000003</v>
      </c>
      <c r="L3043" t="s">
        <v>884</v>
      </c>
      <c r="M3043">
        <v>51</v>
      </c>
      <c r="N3043" t="s">
        <v>61</v>
      </c>
      <c r="O3043" s="3" t="s">
        <v>22</v>
      </c>
      <c r="P3043" t="s">
        <v>66</v>
      </c>
      <c r="Q3043" t="s">
        <v>24</v>
      </c>
      <c r="R3043">
        <v>5</v>
      </c>
      <c r="S3043" t="s">
        <v>34</v>
      </c>
      <c r="T3043" s="4">
        <f t="shared" si="239"/>
        <v>531937.44000000006</v>
      </c>
      <c r="U3043" s="4" t="str">
        <f t="shared" si="240"/>
        <v>Good</v>
      </c>
      <c r="V3043" s="4" t="str">
        <f t="shared" si="236"/>
        <v>Excellent</v>
      </c>
      <c r="W3043" s="4"/>
      <c r="X3043" s="4"/>
      <c r="AJ3043" s="4"/>
    </row>
    <row r="3044" spans="1:36">
      <c r="A3044" t="str">
        <f t="shared" si="237"/>
        <v>Nikh343043</v>
      </c>
      <c r="B3044">
        <v>3043</v>
      </c>
      <c r="C3044">
        <v>23</v>
      </c>
      <c r="D3044">
        <v>2</v>
      </c>
      <c r="E3044">
        <v>2024</v>
      </c>
      <c r="F3044" s="1">
        <f t="shared" si="238"/>
        <v>45345</v>
      </c>
      <c r="G3044" s="1" t="s">
        <v>408</v>
      </c>
      <c r="H3044" s="2">
        <v>47520</v>
      </c>
      <c r="I3044" t="s">
        <v>38</v>
      </c>
      <c r="J3044">
        <v>1</v>
      </c>
      <c r="K3044">
        <v>69422.47</v>
      </c>
      <c r="L3044" t="s">
        <v>749</v>
      </c>
      <c r="M3044">
        <v>34</v>
      </c>
      <c r="N3044" t="s">
        <v>21</v>
      </c>
      <c r="O3044" s="3" t="s">
        <v>22</v>
      </c>
      <c r="P3044" t="s">
        <v>29</v>
      </c>
      <c r="Q3044" t="s">
        <v>56</v>
      </c>
      <c r="R3044">
        <v>5</v>
      </c>
      <c r="S3044" t="s">
        <v>99</v>
      </c>
      <c r="T3044" s="4">
        <f t="shared" si="239"/>
        <v>69422.47</v>
      </c>
      <c r="U3044" s="4" t="str">
        <f t="shared" si="240"/>
        <v>Good</v>
      </c>
      <c r="V3044" s="4" t="str">
        <f t="shared" si="236"/>
        <v>Average</v>
      </c>
      <c r="W3044" s="4"/>
      <c r="X3044" s="4"/>
      <c r="AJ3044" s="4"/>
    </row>
    <row r="3045" spans="1:36">
      <c r="A3045" t="str">
        <f t="shared" si="237"/>
        <v>Pank203044</v>
      </c>
      <c r="B3045">
        <v>3044</v>
      </c>
      <c r="C3045">
        <v>23</v>
      </c>
      <c r="D3045">
        <v>2</v>
      </c>
      <c r="E3045">
        <v>2024</v>
      </c>
      <c r="F3045" s="1">
        <f t="shared" si="238"/>
        <v>45345</v>
      </c>
      <c r="G3045" s="1" t="s">
        <v>408</v>
      </c>
      <c r="H3045" s="2">
        <v>47521</v>
      </c>
      <c r="I3045" t="s">
        <v>43</v>
      </c>
      <c r="J3045">
        <v>1</v>
      </c>
      <c r="K3045">
        <v>21530.36</v>
      </c>
      <c r="L3045" t="s">
        <v>1041</v>
      </c>
      <c r="M3045">
        <v>20</v>
      </c>
      <c r="N3045" t="s">
        <v>36</v>
      </c>
      <c r="O3045" s="3" t="s">
        <v>22</v>
      </c>
      <c r="P3045" t="s">
        <v>29</v>
      </c>
      <c r="Q3045" t="s">
        <v>24</v>
      </c>
      <c r="R3045">
        <v>4</v>
      </c>
      <c r="S3045" t="s">
        <v>46</v>
      </c>
      <c r="T3045" s="4">
        <f t="shared" si="239"/>
        <v>21530.36</v>
      </c>
      <c r="U3045" s="4" t="str">
        <f t="shared" si="240"/>
        <v>Good</v>
      </c>
      <c r="V3045" s="4" t="str">
        <f t="shared" si="236"/>
        <v>Low</v>
      </c>
      <c r="W3045" s="4"/>
      <c r="X3045" s="4"/>
      <c r="AJ3045" s="4"/>
    </row>
    <row r="3046" spans="1:36">
      <c r="A3046" t="str">
        <f t="shared" si="237"/>
        <v>Sneh513045</v>
      </c>
      <c r="B3046">
        <v>3045</v>
      </c>
      <c r="C3046">
        <v>23</v>
      </c>
      <c r="D3046">
        <v>2</v>
      </c>
      <c r="E3046">
        <v>2024</v>
      </c>
      <c r="F3046" s="1">
        <f t="shared" si="238"/>
        <v>45345</v>
      </c>
      <c r="G3046" s="1" t="s">
        <v>408</v>
      </c>
      <c r="H3046" s="2">
        <v>47522</v>
      </c>
      <c r="I3046" t="s">
        <v>43</v>
      </c>
      <c r="J3046">
        <v>5</v>
      </c>
      <c r="K3046">
        <v>15204.87</v>
      </c>
      <c r="L3046" t="s">
        <v>675</v>
      </c>
      <c r="M3046">
        <v>51</v>
      </c>
      <c r="N3046" t="s">
        <v>61</v>
      </c>
      <c r="O3046" s="3" t="s">
        <v>55</v>
      </c>
      <c r="P3046" t="s">
        <v>117</v>
      </c>
      <c r="Q3046" t="s">
        <v>41</v>
      </c>
      <c r="R3046">
        <v>2</v>
      </c>
      <c r="S3046" t="s">
        <v>46</v>
      </c>
      <c r="T3046" s="4">
        <f t="shared" si="239"/>
        <v>76024.350000000006</v>
      </c>
      <c r="U3046" s="4" t="str">
        <f t="shared" si="240"/>
        <v>Average</v>
      </c>
      <c r="V3046" s="4" t="str">
        <f t="shared" si="236"/>
        <v>Average</v>
      </c>
      <c r="W3046" s="4"/>
      <c r="X3046" s="4"/>
      <c r="AJ3046" s="4"/>
    </row>
    <row r="3047" spans="1:36">
      <c r="A3047" t="str">
        <f t="shared" si="237"/>
        <v>Kris393046</v>
      </c>
      <c r="B3047">
        <v>3046</v>
      </c>
      <c r="C3047">
        <v>23</v>
      </c>
      <c r="D3047">
        <v>2</v>
      </c>
      <c r="E3047">
        <v>2024</v>
      </c>
      <c r="F3047" s="1">
        <f t="shared" si="238"/>
        <v>45345</v>
      </c>
      <c r="G3047" s="1" t="s">
        <v>408</v>
      </c>
      <c r="H3047" s="2">
        <v>47523</v>
      </c>
      <c r="I3047" t="s">
        <v>19</v>
      </c>
      <c r="J3047">
        <v>5</v>
      </c>
      <c r="K3047">
        <v>30220.17</v>
      </c>
      <c r="L3047" t="s">
        <v>1019</v>
      </c>
      <c r="M3047">
        <v>39</v>
      </c>
      <c r="N3047" t="s">
        <v>21</v>
      </c>
      <c r="O3047" s="3" t="s">
        <v>55</v>
      </c>
      <c r="P3047" t="s">
        <v>33</v>
      </c>
      <c r="Q3047" t="s">
        <v>56</v>
      </c>
      <c r="R3047">
        <v>2</v>
      </c>
      <c r="S3047" t="s">
        <v>84</v>
      </c>
      <c r="T3047" s="4">
        <f t="shared" si="239"/>
        <v>151100.84999999998</v>
      </c>
      <c r="U3047" s="4" t="str">
        <f t="shared" si="240"/>
        <v>Average</v>
      </c>
      <c r="V3047" s="4" t="str">
        <f t="shared" si="236"/>
        <v>Good</v>
      </c>
      <c r="W3047" s="4"/>
      <c r="X3047" s="4"/>
      <c r="AJ3047" s="4"/>
    </row>
    <row r="3048" spans="1:36">
      <c r="A3048" t="str">
        <f t="shared" si="237"/>
        <v>Raje463047</v>
      </c>
      <c r="B3048">
        <v>3047</v>
      </c>
      <c r="C3048">
        <v>24</v>
      </c>
      <c r="D3048">
        <v>2</v>
      </c>
      <c r="E3048">
        <v>2024</v>
      </c>
      <c r="F3048" s="1">
        <f t="shared" si="238"/>
        <v>45346</v>
      </c>
      <c r="G3048" s="1" t="s">
        <v>408</v>
      </c>
      <c r="H3048" s="2">
        <v>47524</v>
      </c>
      <c r="I3048" t="s">
        <v>26</v>
      </c>
      <c r="J3048">
        <v>5</v>
      </c>
      <c r="K3048">
        <v>17740.25</v>
      </c>
      <c r="L3048" t="s">
        <v>780</v>
      </c>
      <c r="M3048">
        <v>46</v>
      </c>
      <c r="N3048" t="s">
        <v>61</v>
      </c>
      <c r="O3048" s="3" t="s">
        <v>55</v>
      </c>
      <c r="P3048" t="s">
        <v>150</v>
      </c>
      <c r="Q3048" t="s">
        <v>24</v>
      </c>
      <c r="R3048">
        <v>2</v>
      </c>
      <c r="S3048" t="s">
        <v>34</v>
      </c>
      <c r="T3048" s="4">
        <f t="shared" si="239"/>
        <v>88701.25</v>
      </c>
      <c r="U3048" s="4" t="str">
        <f t="shared" si="240"/>
        <v>Average</v>
      </c>
      <c r="V3048" s="4" t="str">
        <f t="shared" si="236"/>
        <v>Average</v>
      </c>
      <c r="W3048" s="4"/>
      <c r="X3048" s="4"/>
      <c r="AJ3048" s="4"/>
    </row>
    <row r="3049" spans="1:36">
      <c r="A3049" t="str">
        <f t="shared" si="237"/>
        <v>Shru463048</v>
      </c>
      <c r="B3049">
        <v>3048</v>
      </c>
      <c r="C3049">
        <v>24</v>
      </c>
      <c r="D3049">
        <v>2</v>
      </c>
      <c r="E3049">
        <v>2024</v>
      </c>
      <c r="F3049" s="1">
        <f t="shared" si="238"/>
        <v>45346</v>
      </c>
      <c r="G3049" s="1" t="s">
        <v>408</v>
      </c>
      <c r="H3049" s="2">
        <v>47525</v>
      </c>
      <c r="I3049" t="s">
        <v>43</v>
      </c>
      <c r="J3049">
        <v>6</v>
      </c>
      <c r="K3049">
        <v>41387.81</v>
      </c>
      <c r="L3049" t="s">
        <v>623</v>
      </c>
      <c r="M3049">
        <v>46</v>
      </c>
      <c r="N3049" t="s">
        <v>61</v>
      </c>
      <c r="O3049" s="3" t="s">
        <v>22</v>
      </c>
      <c r="P3049" t="s">
        <v>45</v>
      </c>
      <c r="Q3049" t="s">
        <v>41</v>
      </c>
      <c r="R3049">
        <v>4</v>
      </c>
      <c r="S3049" t="s">
        <v>57</v>
      </c>
      <c r="T3049" s="4">
        <f t="shared" si="239"/>
        <v>248326.86</v>
      </c>
      <c r="U3049" s="4" t="str">
        <f t="shared" si="240"/>
        <v>Good</v>
      </c>
      <c r="V3049" s="4" t="str">
        <f t="shared" si="236"/>
        <v>Excellent</v>
      </c>
      <c r="W3049" s="4"/>
      <c r="X3049" s="4"/>
      <c r="AJ3049" s="4"/>
    </row>
    <row r="3050" spans="1:36">
      <c r="A3050" t="str">
        <f t="shared" si="237"/>
        <v>Sach223049</v>
      </c>
      <c r="B3050">
        <v>3049</v>
      </c>
      <c r="C3050">
        <v>24</v>
      </c>
      <c r="D3050">
        <v>2</v>
      </c>
      <c r="E3050">
        <v>2024</v>
      </c>
      <c r="F3050" s="1">
        <f t="shared" si="238"/>
        <v>45346</v>
      </c>
      <c r="G3050" s="1" t="s">
        <v>408</v>
      </c>
      <c r="H3050" s="2">
        <v>47526</v>
      </c>
      <c r="I3050" t="s">
        <v>19</v>
      </c>
      <c r="J3050">
        <v>8</v>
      </c>
      <c r="K3050">
        <v>47981.73</v>
      </c>
      <c r="L3050" t="s">
        <v>483</v>
      </c>
      <c r="M3050">
        <v>22</v>
      </c>
      <c r="N3050" t="s">
        <v>36</v>
      </c>
      <c r="O3050" s="3" t="s">
        <v>28</v>
      </c>
      <c r="P3050" t="s">
        <v>29</v>
      </c>
      <c r="Q3050" t="s">
        <v>24</v>
      </c>
      <c r="R3050">
        <v>3</v>
      </c>
      <c r="S3050" t="s">
        <v>37</v>
      </c>
      <c r="T3050" s="4">
        <f t="shared" si="239"/>
        <v>383853.84</v>
      </c>
      <c r="U3050" s="4" t="str">
        <f t="shared" si="240"/>
        <v>Average</v>
      </c>
      <c r="V3050" s="4" t="str">
        <f t="shared" si="236"/>
        <v>Excellent</v>
      </c>
      <c r="W3050" s="4"/>
      <c r="X3050" s="4"/>
      <c r="AJ3050" s="4"/>
    </row>
    <row r="3051" spans="1:36">
      <c r="A3051" t="str">
        <f t="shared" si="237"/>
        <v>Anit273050</v>
      </c>
      <c r="B3051">
        <v>3050</v>
      </c>
      <c r="C3051">
        <v>25</v>
      </c>
      <c r="D3051">
        <v>2</v>
      </c>
      <c r="E3051">
        <v>2024</v>
      </c>
      <c r="F3051" s="1">
        <f t="shared" si="238"/>
        <v>45347</v>
      </c>
      <c r="G3051" s="1" t="s">
        <v>408</v>
      </c>
      <c r="H3051" s="2">
        <v>47527</v>
      </c>
      <c r="I3051" t="s">
        <v>49</v>
      </c>
      <c r="J3051">
        <v>3</v>
      </c>
      <c r="K3051">
        <v>44697.32</v>
      </c>
      <c r="L3051" t="s">
        <v>810</v>
      </c>
      <c r="M3051">
        <v>27</v>
      </c>
      <c r="N3051" t="s">
        <v>36</v>
      </c>
      <c r="O3051" s="3" t="s">
        <v>55</v>
      </c>
      <c r="P3051" t="s">
        <v>93</v>
      </c>
      <c r="Q3051" t="s">
        <v>41</v>
      </c>
      <c r="R3051">
        <v>1</v>
      </c>
      <c r="S3051" t="s">
        <v>88</v>
      </c>
      <c r="T3051" s="4">
        <f t="shared" si="239"/>
        <v>134091.96</v>
      </c>
      <c r="U3051" s="4" t="str">
        <f t="shared" si="240"/>
        <v>Average</v>
      </c>
      <c r="V3051" s="4" t="str">
        <f t="shared" si="236"/>
        <v>Good</v>
      </c>
      <c r="W3051" s="4"/>
      <c r="X3051" s="4"/>
      <c r="AJ3051" s="4"/>
    </row>
    <row r="3052" spans="1:36">
      <c r="A3052" t="str">
        <f t="shared" si="237"/>
        <v>Pooj273051</v>
      </c>
      <c r="B3052">
        <v>3051</v>
      </c>
      <c r="C3052">
        <v>25</v>
      </c>
      <c r="D3052">
        <v>2</v>
      </c>
      <c r="E3052">
        <v>2024</v>
      </c>
      <c r="F3052" s="1">
        <f t="shared" si="238"/>
        <v>45347</v>
      </c>
      <c r="G3052" s="1" t="s">
        <v>408</v>
      </c>
      <c r="H3052" s="2">
        <v>47528</v>
      </c>
      <c r="I3052" t="s">
        <v>43</v>
      </c>
      <c r="J3052">
        <v>9</v>
      </c>
      <c r="K3052">
        <v>25554.41</v>
      </c>
      <c r="L3052" t="s">
        <v>680</v>
      </c>
      <c r="M3052">
        <v>27</v>
      </c>
      <c r="N3052" t="s">
        <v>36</v>
      </c>
      <c r="O3052" s="3" t="s">
        <v>55</v>
      </c>
      <c r="P3052" t="s">
        <v>33</v>
      </c>
      <c r="Q3052" t="s">
        <v>30</v>
      </c>
      <c r="R3052">
        <v>2</v>
      </c>
      <c r="S3052" t="s">
        <v>95</v>
      </c>
      <c r="T3052" s="4">
        <f t="shared" si="239"/>
        <v>229989.69</v>
      </c>
      <c r="U3052" s="4" t="str">
        <f t="shared" si="240"/>
        <v>Average</v>
      </c>
      <c r="V3052" s="4" t="str">
        <f t="shared" si="236"/>
        <v>Excellent</v>
      </c>
      <c r="W3052" s="4"/>
      <c r="X3052" s="4"/>
      <c r="AJ3052" s="4"/>
    </row>
    <row r="3053" spans="1:36">
      <c r="A3053" t="str">
        <f t="shared" si="237"/>
        <v>Pank263052</v>
      </c>
      <c r="B3053">
        <v>3052</v>
      </c>
      <c r="C3053">
        <v>25</v>
      </c>
      <c r="D3053">
        <v>2</v>
      </c>
      <c r="E3053">
        <v>2024</v>
      </c>
      <c r="F3053" s="1">
        <f t="shared" si="238"/>
        <v>45347</v>
      </c>
      <c r="G3053" s="1" t="s">
        <v>408</v>
      </c>
      <c r="H3053" s="2">
        <v>47529</v>
      </c>
      <c r="I3053" t="s">
        <v>43</v>
      </c>
      <c r="J3053">
        <v>1</v>
      </c>
      <c r="K3053">
        <v>64529.440000000002</v>
      </c>
      <c r="L3053" t="s">
        <v>972</v>
      </c>
      <c r="M3053">
        <v>26</v>
      </c>
      <c r="N3053" t="s">
        <v>36</v>
      </c>
      <c r="O3053" s="3" t="s">
        <v>28</v>
      </c>
      <c r="P3053" t="s">
        <v>77</v>
      </c>
      <c r="Q3053" t="s">
        <v>24</v>
      </c>
      <c r="R3053">
        <v>3</v>
      </c>
      <c r="S3053" t="s">
        <v>95</v>
      </c>
      <c r="T3053" s="4">
        <f t="shared" si="239"/>
        <v>64529.440000000002</v>
      </c>
      <c r="U3053" s="4" t="str">
        <f t="shared" si="240"/>
        <v>Average</v>
      </c>
      <c r="V3053" s="4" t="str">
        <f t="shared" si="236"/>
        <v>Average</v>
      </c>
      <c r="W3053" s="4"/>
      <c r="X3053" s="4"/>
      <c r="AJ3053" s="4"/>
    </row>
    <row r="3054" spans="1:36">
      <c r="A3054" t="str">
        <f t="shared" si="237"/>
        <v>Meen383053</v>
      </c>
      <c r="B3054">
        <v>3053</v>
      </c>
      <c r="C3054">
        <v>25</v>
      </c>
      <c r="D3054">
        <v>2</v>
      </c>
      <c r="E3054">
        <v>2024</v>
      </c>
      <c r="F3054" s="1">
        <f t="shared" si="238"/>
        <v>45347</v>
      </c>
      <c r="G3054" s="1" t="s">
        <v>408</v>
      </c>
      <c r="H3054" s="2">
        <v>47530</v>
      </c>
      <c r="I3054" t="s">
        <v>19</v>
      </c>
      <c r="J3054">
        <v>4</v>
      </c>
      <c r="K3054">
        <v>11270.34</v>
      </c>
      <c r="L3054" t="s">
        <v>442</v>
      </c>
      <c r="M3054">
        <v>38</v>
      </c>
      <c r="N3054" t="s">
        <v>21</v>
      </c>
      <c r="O3054" s="3" t="s">
        <v>22</v>
      </c>
      <c r="P3054" t="s">
        <v>90</v>
      </c>
      <c r="Q3054" t="s">
        <v>30</v>
      </c>
      <c r="R3054">
        <v>5</v>
      </c>
      <c r="S3054" t="s">
        <v>84</v>
      </c>
      <c r="T3054" s="4">
        <f t="shared" si="239"/>
        <v>45081.36</v>
      </c>
      <c r="U3054" s="4" t="str">
        <f t="shared" si="240"/>
        <v>Good</v>
      </c>
      <c r="V3054" s="4" t="str">
        <f t="shared" si="236"/>
        <v>Low</v>
      </c>
      <c r="W3054" s="4"/>
      <c r="X3054" s="4"/>
      <c r="AJ3054" s="4"/>
    </row>
    <row r="3055" spans="1:36">
      <c r="A3055" t="str">
        <f t="shared" si="237"/>
        <v>Deve303054</v>
      </c>
      <c r="B3055">
        <v>3054</v>
      </c>
      <c r="C3055">
        <v>26</v>
      </c>
      <c r="D3055">
        <v>2</v>
      </c>
      <c r="E3055">
        <v>2024</v>
      </c>
      <c r="F3055" s="1">
        <f t="shared" si="238"/>
        <v>45348</v>
      </c>
      <c r="G3055" s="1" t="s">
        <v>408</v>
      </c>
      <c r="H3055" s="2">
        <v>47531</v>
      </c>
      <c r="I3055" t="s">
        <v>26</v>
      </c>
      <c r="J3055">
        <v>9</v>
      </c>
      <c r="K3055">
        <v>30880.799999999999</v>
      </c>
      <c r="L3055" t="s">
        <v>384</v>
      </c>
      <c r="M3055">
        <v>30</v>
      </c>
      <c r="N3055" t="s">
        <v>36</v>
      </c>
      <c r="O3055" s="3" t="s">
        <v>55</v>
      </c>
      <c r="P3055" t="s">
        <v>66</v>
      </c>
      <c r="Q3055" t="s">
        <v>30</v>
      </c>
      <c r="R3055">
        <v>1</v>
      </c>
      <c r="S3055" t="s">
        <v>34</v>
      </c>
      <c r="T3055" s="4">
        <f t="shared" si="239"/>
        <v>277927.2</v>
      </c>
      <c r="U3055" s="4" t="str">
        <f t="shared" si="240"/>
        <v>Average</v>
      </c>
      <c r="V3055" s="4" t="str">
        <f t="shared" si="236"/>
        <v>Excellent</v>
      </c>
      <c r="W3055" s="4"/>
      <c r="X3055" s="4"/>
      <c r="AJ3055" s="4"/>
    </row>
    <row r="3056" spans="1:36">
      <c r="A3056" t="str">
        <f t="shared" si="237"/>
        <v>Arun273055</v>
      </c>
      <c r="B3056">
        <v>3055</v>
      </c>
      <c r="C3056">
        <v>26</v>
      </c>
      <c r="D3056">
        <v>2</v>
      </c>
      <c r="E3056">
        <v>2024</v>
      </c>
      <c r="F3056" s="1">
        <f t="shared" si="238"/>
        <v>45348</v>
      </c>
      <c r="G3056" s="1" t="s">
        <v>408</v>
      </c>
      <c r="H3056" s="2">
        <v>47532</v>
      </c>
      <c r="I3056" t="s">
        <v>43</v>
      </c>
      <c r="J3056">
        <v>8</v>
      </c>
      <c r="K3056">
        <v>53139.55</v>
      </c>
      <c r="L3056" t="s">
        <v>768</v>
      </c>
      <c r="M3056">
        <v>27</v>
      </c>
      <c r="N3056" t="s">
        <v>36</v>
      </c>
      <c r="O3056" s="3" t="s">
        <v>22</v>
      </c>
      <c r="P3056" t="s">
        <v>70</v>
      </c>
      <c r="Q3056" t="s">
        <v>56</v>
      </c>
      <c r="R3056">
        <v>5</v>
      </c>
      <c r="S3056" t="s">
        <v>46</v>
      </c>
      <c r="T3056" s="4">
        <f t="shared" si="239"/>
        <v>425116.4</v>
      </c>
      <c r="U3056" s="4" t="str">
        <f t="shared" si="240"/>
        <v>Good</v>
      </c>
      <c r="V3056" s="4" t="str">
        <f t="shared" si="236"/>
        <v>Excellent</v>
      </c>
      <c r="W3056" s="4"/>
      <c r="X3056" s="4"/>
      <c r="AJ3056" s="4"/>
    </row>
    <row r="3057" spans="1:36">
      <c r="A3057" t="str">
        <f t="shared" si="237"/>
        <v>Mano553056</v>
      </c>
      <c r="B3057">
        <v>3056</v>
      </c>
      <c r="C3057">
        <v>26</v>
      </c>
      <c r="D3057">
        <v>2</v>
      </c>
      <c r="E3057">
        <v>2024</v>
      </c>
      <c r="F3057" s="1">
        <f t="shared" si="238"/>
        <v>45348</v>
      </c>
      <c r="G3057" s="1" t="s">
        <v>408</v>
      </c>
      <c r="H3057" s="2">
        <v>47533</v>
      </c>
      <c r="I3057" t="s">
        <v>49</v>
      </c>
      <c r="J3057">
        <v>9</v>
      </c>
      <c r="K3057">
        <v>56015.74</v>
      </c>
      <c r="L3057" t="s">
        <v>797</v>
      </c>
      <c r="M3057">
        <v>55</v>
      </c>
      <c r="N3057" t="s">
        <v>61</v>
      </c>
      <c r="O3057" s="3" t="s">
        <v>28</v>
      </c>
      <c r="P3057" t="s">
        <v>77</v>
      </c>
      <c r="Q3057" t="s">
        <v>56</v>
      </c>
      <c r="R3057">
        <v>3</v>
      </c>
      <c r="S3057" t="s">
        <v>88</v>
      </c>
      <c r="T3057" s="4">
        <f t="shared" si="239"/>
        <v>504141.66</v>
      </c>
      <c r="U3057" s="4" t="str">
        <f t="shared" si="240"/>
        <v>Average</v>
      </c>
      <c r="V3057" s="4" t="str">
        <f t="shared" si="236"/>
        <v>Excellent</v>
      </c>
      <c r="W3057" s="4"/>
      <c r="X3057" s="4"/>
      <c r="AJ3057" s="4"/>
    </row>
    <row r="3058" spans="1:36">
      <c r="A3058" t="str">
        <f t="shared" si="237"/>
        <v>Vino283057</v>
      </c>
      <c r="B3058">
        <v>3057</v>
      </c>
      <c r="C3058">
        <v>27</v>
      </c>
      <c r="D3058">
        <v>2</v>
      </c>
      <c r="E3058">
        <v>2024</v>
      </c>
      <c r="F3058" s="1">
        <f t="shared" si="238"/>
        <v>45349</v>
      </c>
      <c r="G3058" s="1" t="s">
        <v>408</v>
      </c>
      <c r="H3058" s="2">
        <v>47534</v>
      </c>
      <c r="I3058" t="s">
        <v>43</v>
      </c>
      <c r="J3058">
        <v>1</v>
      </c>
      <c r="K3058">
        <v>34967.11</v>
      </c>
      <c r="L3058" t="s">
        <v>389</v>
      </c>
      <c r="M3058">
        <v>28</v>
      </c>
      <c r="N3058" t="s">
        <v>36</v>
      </c>
      <c r="O3058" s="3" t="s">
        <v>28</v>
      </c>
      <c r="P3058" t="s">
        <v>132</v>
      </c>
      <c r="Q3058" t="s">
        <v>24</v>
      </c>
      <c r="R3058">
        <v>3</v>
      </c>
      <c r="S3058" t="s">
        <v>57</v>
      </c>
      <c r="T3058" s="4">
        <f t="shared" si="239"/>
        <v>34967.11</v>
      </c>
      <c r="U3058" s="4" t="str">
        <f t="shared" si="240"/>
        <v>Average</v>
      </c>
      <c r="V3058" s="4" t="str">
        <f t="shared" si="236"/>
        <v>Low</v>
      </c>
      <c r="W3058" s="4"/>
      <c r="X3058" s="4"/>
      <c r="AJ3058" s="4"/>
    </row>
    <row r="3059" spans="1:36">
      <c r="A3059" t="str">
        <f t="shared" si="237"/>
        <v>Neet213058</v>
      </c>
      <c r="B3059">
        <v>3058</v>
      </c>
      <c r="C3059">
        <v>27</v>
      </c>
      <c r="D3059">
        <v>2</v>
      </c>
      <c r="E3059">
        <v>2024</v>
      </c>
      <c r="F3059" s="1">
        <f t="shared" si="238"/>
        <v>45349</v>
      </c>
      <c r="G3059" s="1" t="s">
        <v>408</v>
      </c>
      <c r="H3059" s="2">
        <v>47535</v>
      </c>
      <c r="I3059" t="s">
        <v>49</v>
      </c>
      <c r="J3059">
        <v>9</v>
      </c>
      <c r="K3059">
        <v>11014.59</v>
      </c>
      <c r="L3059" t="s">
        <v>1042</v>
      </c>
      <c r="M3059">
        <v>21</v>
      </c>
      <c r="N3059" t="s">
        <v>36</v>
      </c>
      <c r="O3059" s="3" t="s">
        <v>22</v>
      </c>
      <c r="P3059" t="s">
        <v>93</v>
      </c>
      <c r="Q3059" t="s">
        <v>41</v>
      </c>
      <c r="R3059">
        <v>5</v>
      </c>
      <c r="S3059" t="s">
        <v>52</v>
      </c>
      <c r="T3059" s="4">
        <f t="shared" si="239"/>
        <v>99131.31</v>
      </c>
      <c r="U3059" s="4" t="str">
        <f t="shared" si="240"/>
        <v>Good</v>
      </c>
      <c r="V3059" s="4" t="str">
        <f t="shared" si="236"/>
        <v>Average</v>
      </c>
      <c r="W3059" s="4"/>
      <c r="X3059" s="4"/>
      <c r="AJ3059" s="4"/>
    </row>
    <row r="3060" spans="1:36">
      <c r="A3060" t="str">
        <f t="shared" si="237"/>
        <v>Anit483059</v>
      </c>
      <c r="B3060">
        <v>3059</v>
      </c>
      <c r="C3060">
        <v>27</v>
      </c>
      <c r="D3060">
        <v>2</v>
      </c>
      <c r="E3060">
        <v>2024</v>
      </c>
      <c r="F3060" s="1">
        <f t="shared" si="238"/>
        <v>45349</v>
      </c>
      <c r="G3060" s="1" t="s">
        <v>408</v>
      </c>
      <c r="H3060" s="2">
        <v>47536</v>
      </c>
      <c r="I3060" t="s">
        <v>38</v>
      </c>
      <c r="J3060">
        <v>3</v>
      </c>
      <c r="K3060">
        <v>47082.62</v>
      </c>
      <c r="L3060" t="s">
        <v>810</v>
      </c>
      <c r="M3060">
        <v>48</v>
      </c>
      <c r="N3060" t="s">
        <v>61</v>
      </c>
      <c r="O3060" s="3" t="s">
        <v>55</v>
      </c>
      <c r="P3060" t="s">
        <v>59</v>
      </c>
      <c r="Q3060" t="s">
        <v>56</v>
      </c>
      <c r="R3060">
        <v>1</v>
      </c>
      <c r="S3060" t="s">
        <v>42</v>
      </c>
      <c r="T3060" s="4">
        <f t="shared" si="239"/>
        <v>141247.86000000002</v>
      </c>
      <c r="U3060" s="4" t="str">
        <f t="shared" si="240"/>
        <v>Average</v>
      </c>
      <c r="V3060" s="4" t="str">
        <f t="shared" si="236"/>
        <v>Good</v>
      </c>
      <c r="W3060" s="4"/>
      <c r="X3060" s="4"/>
      <c r="AJ3060" s="4"/>
    </row>
    <row r="3061" spans="1:36">
      <c r="A3061" t="str">
        <f t="shared" si="237"/>
        <v>Kris513060</v>
      </c>
      <c r="B3061">
        <v>3060</v>
      </c>
      <c r="C3061">
        <v>27</v>
      </c>
      <c r="D3061">
        <v>2</v>
      </c>
      <c r="E3061">
        <v>2024</v>
      </c>
      <c r="F3061" s="1">
        <f t="shared" si="238"/>
        <v>45349</v>
      </c>
      <c r="G3061" s="1" t="s">
        <v>408</v>
      </c>
      <c r="H3061" s="2">
        <v>47537</v>
      </c>
      <c r="I3061" t="s">
        <v>38</v>
      </c>
      <c r="J3061">
        <v>9</v>
      </c>
      <c r="K3061">
        <v>13785.68</v>
      </c>
      <c r="L3061" t="s">
        <v>1021</v>
      </c>
      <c r="M3061">
        <v>51</v>
      </c>
      <c r="N3061" t="s">
        <v>61</v>
      </c>
      <c r="O3061" s="3" t="s">
        <v>22</v>
      </c>
      <c r="P3061" t="s">
        <v>33</v>
      </c>
      <c r="Q3061" t="s">
        <v>56</v>
      </c>
      <c r="R3061">
        <v>5</v>
      </c>
      <c r="S3061" t="s">
        <v>42</v>
      </c>
      <c r="T3061" s="4">
        <f t="shared" si="239"/>
        <v>124071.12</v>
      </c>
      <c r="U3061" s="4" t="str">
        <f t="shared" si="240"/>
        <v>Good</v>
      </c>
      <c r="V3061" s="4" t="str">
        <f t="shared" si="236"/>
        <v>Good</v>
      </c>
      <c r="W3061" s="4"/>
      <c r="X3061" s="4"/>
      <c r="AJ3061" s="4"/>
    </row>
    <row r="3062" spans="1:36">
      <c r="A3062" t="str">
        <f t="shared" si="237"/>
        <v>Pank593061</v>
      </c>
      <c r="B3062">
        <v>3061</v>
      </c>
      <c r="C3062">
        <v>28</v>
      </c>
      <c r="D3062">
        <v>2</v>
      </c>
      <c r="E3062">
        <v>2024</v>
      </c>
      <c r="F3062" s="1">
        <f t="shared" si="238"/>
        <v>45350</v>
      </c>
      <c r="G3062" s="1" t="s">
        <v>408</v>
      </c>
      <c r="H3062" s="2">
        <v>47538</v>
      </c>
      <c r="I3062" t="s">
        <v>49</v>
      </c>
      <c r="J3062">
        <v>1</v>
      </c>
      <c r="K3062">
        <v>16471.349999999999</v>
      </c>
      <c r="L3062" t="s">
        <v>424</v>
      </c>
      <c r="M3062">
        <v>59</v>
      </c>
      <c r="N3062" t="s">
        <v>61</v>
      </c>
      <c r="O3062" s="3" t="s">
        <v>22</v>
      </c>
      <c r="P3062" t="s">
        <v>33</v>
      </c>
      <c r="Q3062" t="s">
        <v>30</v>
      </c>
      <c r="R3062">
        <v>5</v>
      </c>
      <c r="S3062" t="s">
        <v>52</v>
      </c>
      <c r="T3062" s="4">
        <f t="shared" si="239"/>
        <v>16471.349999999999</v>
      </c>
      <c r="U3062" s="4" t="str">
        <f t="shared" si="240"/>
        <v>Good</v>
      </c>
      <c r="V3062" s="4" t="str">
        <f t="shared" si="236"/>
        <v>Low</v>
      </c>
      <c r="W3062" s="4"/>
      <c r="X3062" s="4"/>
      <c r="AJ3062" s="4"/>
    </row>
    <row r="3063" spans="1:36">
      <c r="A3063" t="str">
        <f t="shared" si="237"/>
        <v>Bhav523062</v>
      </c>
      <c r="B3063">
        <v>3062</v>
      </c>
      <c r="C3063">
        <v>28</v>
      </c>
      <c r="D3063">
        <v>2</v>
      </c>
      <c r="E3063">
        <v>2024</v>
      </c>
      <c r="F3063" s="1">
        <f t="shared" si="238"/>
        <v>45350</v>
      </c>
      <c r="G3063" s="1" t="s">
        <v>408</v>
      </c>
      <c r="H3063" s="2">
        <v>47539</v>
      </c>
      <c r="I3063" t="s">
        <v>26</v>
      </c>
      <c r="J3063">
        <v>1</v>
      </c>
      <c r="K3063">
        <v>49015.040000000001</v>
      </c>
      <c r="L3063" t="s">
        <v>223</v>
      </c>
      <c r="M3063">
        <v>52</v>
      </c>
      <c r="N3063" t="s">
        <v>61</v>
      </c>
      <c r="O3063" s="3" t="s">
        <v>22</v>
      </c>
      <c r="P3063" t="s">
        <v>110</v>
      </c>
      <c r="Q3063" t="s">
        <v>30</v>
      </c>
      <c r="R3063">
        <v>5</v>
      </c>
      <c r="S3063" t="s">
        <v>34</v>
      </c>
      <c r="T3063" s="4">
        <f t="shared" si="239"/>
        <v>49015.040000000001</v>
      </c>
      <c r="U3063" s="4" t="str">
        <f t="shared" si="240"/>
        <v>Good</v>
      </c>
      <c r="V3063" s="4" t="str">
        <f t="shared" si="236"/>
        <v>Low</v>
      </c>
      <c r="W3063" s="4"/>
      <c r="X3063" s="4"/>
      <c r="AJ3063" s="4"/>
    </row>
    <row r="3064" spans="1:36">
      <c r="A3064" t="str">
        <f t="shared" si="237"/>
        <v>Pank563063</v>
      </c>
      <c r="B3064">
        <v>3063</v>
      </c>
      <c r="C3064">
        <v>28</v>
      </c>
      <c r="D3064">
        <v>2</v>
      </c>
      <c r="E3064">
        <v>2024</v>
      </c>
      <c r="F3064" s="1">
        <f t="shared" si="238"/>
        <v>45350</v>
      </c>
      <c r="G3064" s="1" t="s">
        <v>408</v>
      </c>
      <c r="H3064" s="2">
        <v>47540</v>
      </c>
      <c r="I3064" t="s">
        <v>43</v>
      </c>
      <c r="J3064">
        <v>9</v>
      </c>
      <c r="K3064">
        <v>28749.3</v>
      </c>
      <c r="L3064" t="s">
        <v>473</v>
      </c>
      <c r="M3064">
        <v>56</v>
      </c>
      <c r="N3064" t="s">
        <v>61</v>
      </c>
      <c r="O3064" s="3" t="s">
        <v>55</v>
      </c>
      <c r="P3064" t="s">
        <v>29</v>
      </c>
      <c r="Q3064" t="s">
        <v>41</v>
      </c>
      <c r="R3064">
        <v>1</v>
      </c>
      <c r="S3064" t="s">
        <v>95</v>
      </c>
      <c r="T3064" s="4">
        <f t="shared" si="239"/>
        <v>258743.69999999998</v>
      </c>
      <c r="U3064" s="4" t="str">
        <f t="shared" si="240"/>
        <v>Average</v>
      </c>
      <c r="V3064" s="4" t="str">
        <f t="shared" si="236"/>
        <v>Excellent</v>
      </c>
      <c r="W3064" s="4"/>
      <c r="X3064" s="4"/>
      <c r="AJ3064" s="4"/>
    </row>
    <row r="3065" spans="1:36">
      <c r="A3065" t="str">
        <f t="shared" si="237"/>
        <v>Tanu563064</v>
      </c>
      <c r="B3065">
        <v>3064</v>
      </c>
      <c r="C3065">
        <v>28</v>
      </c>
      <c r="D3065">
        <v>2</v>
      </c>
      <c r="E3065">
        <v>2024</v>
      </c>
      <c r="F3065" s="1">
        <f t="shared" si="238"/>
        <v>45350</v>
      </c>
      <c r="G3065" s="1" t="s">
        <v>408</v>
      </c>
      <c r="H3065" s="2">
        <v>47541</v>
      </c>
      <c r="I3065" t="s">
        <v>43</v>
      </c>
      <c r="J3065">
        <v>6</v>
      </c>
      <c r="K3065">
        <v>30881.81</v>
      </c>
      <c r="L3065" t="s">
        <v>1043</v>
      </c>
      <c r="M3065">
        <v>56</v>
      </c>
      <c r="N3065" t="s">
        <v>61</v>
      </c>
      <c r="O3065" s="3" t="s">
        <v>22</v>
      </c>
      <c r="P3065" t="s">
        <v>29</v>
      </c>
      <c r="Q3065" t="s">
        <v>56</v>
      </c>
      <c r="R3065">
        <v>4</v>
      </c>
      <c r="S3065" t="s">
        <v>46</v>
      </c>
      <c r="T3065" s="4">
        <f t="shared" si="239"/>
        <v>185290.86000000002</v>
      </c>
      <c r="U3065" s="4" t="str">
        <f t="shared" si="240"/>
        <v>Good</v>
      </c>
      <c r="V3065" s="4" t="str">
        <f t="shared" si="236"/>
        <v>Good</v>
      </c>
      <c r="W3065" s="4"/>
      <c r="X3065" s="4"/>
      <c r="AJ3065" s="4"/>
    </row>
    <row r="3066" spans="1:36">
      <c r="A3066" t="str">
        <f t="shared" si="237"/>
        <v>Pras503065</v>
      </c>
      <c r="B3066">
        <v>3065</v>
      </c>
      <c r="C3066">
        <v>29</v>
      </c>
      <c r="D3066">
        <v>2</v>
      </c>
      <c r="E3066">
        <v>2024</v>
      </c>
      <c r="F3066" s="1">
        <f t="shared" si="238"/>
        <v>45351</v>
      </c>
      <c r="G3066" s="1" t="s">
        <v>408</v>
      </c>
      <c r="H3066" s="2">
        <v>47542</v>
      </c>
      <c r="I3066" t="s">
        <v>38</v>
      </c>
      <c r="J3066">
        <v>4</v>
      </c>
      <c r="K3066">
        <v>39208.42</v>
      </c>
      <c r="L3066" t="s">
        <v>188</v>
      </c>
      <c r="M3066">
        <v>50</v>
      </c>
      <c r="N3066" t="s">
        <v>61</v>
      </c>
      <c r="O3066" s="3" t="s">
        <v>55</v>
      </c>
      <c r="P3066" t="s">
        <v>29</v>
      </c>
      <c r="Q3066" t="s">
        <v>56</v>
      </c>
      <c r="R3066">
        <v>1</v>
      </c>
      <c r="S3066" t="s">
        <v>99</v>
      </c>
      <c r="T3066" s="4">
        <f t="shared" si="239"/>
        <v>156833.68</v>
      </c>
      <c r="U3066" s="4" t="str">
        <f t="shared" si="240"/>
        <v>Average</v>
      </c>
      <c r="V3066" s="4" t="str">
        <f t="shared" si="236"/>
        <v>Good</v>
      </c>
      <c r="W3066" s="4"/>
      <c r="X3066" s="4"/>
      <c r="AJ3066" s="4"/>
    </row>
    <row r="3067" spans="1:36">
      <c r="A3067" t="str">
        <f t="shared" si="237"/>
        <v>Jyot253066</v>
      </c>
      <c r="B3067">
        <v>3066</v>
      </c>
      <c r="C3067">
        <v>29</v>
      </c>
      <c r="D3067">
        <v>2</v>
      </c>
      <c r="E3067">
        <v>2024</v>
      </c>
      <c r="F3067" s="1">
        <f t="shared" si="238"/>
        <v>45351</v>
      </c>
      <c r="G3067" s="1" t="s">
        <v>408</v>
      </c>
      <c r="H3067" s="2">
        <v>47543</v>
      </c>
      <c r="I3067" t="s">
        <v>49</v>
      </c>
      <c r="J3067">
        <v>7</v>
      </c>
      <c r="K3067">
        <v>68714.7</v>
      </c>
      <c r="L3067" t="s">
        <v>177</v>
      </c>
      <c r="M3067">
        <v>25</v>
      </c>
      <c r="N3067" t="s">
        <v>36</v>
      </c>
      <c r="O3067" s="3" t="s">
        <v>22</v>
      </c>
      <c r="P3067" t="s">
        <v>59</v>
      </c>
      <c r="Q3067" t="s">
        <v>41</v>
      </c>
      <c r="R3067">
        <v>5</v>
      </c>
      <c r="S3067" t="s">
        <v>88</v>
      </c>
      <c r="T3067" s="4">
        <f t="shared" si="239"/>
        <v>481002.89999999997</v>
      </c>
      <c r="U3067" s="4" t="str">
        <f t="shared" si="240"/>
        <v>Good</v>
      </c>
      <c r="V3067" s="4" t="str">
        <f t="shared" si="236"/>
        <v>Excellent</v>
      </c>
      <c r="W3067" s="4"/>
      <c r="X3067" s="4"/>
      <c r="AJ3067" s="4"/>
    </row>
    <row r="3068" spans="1:36">
      <c r="A3068" t="str">
        <f t="shared" si="237"/>
        <v>Hari493067</v>
      </c>
      <c r="B3068">
        <v>3067</v>
      </c>
      <c r="C3068">
        <v>29</v>
      </c>
      <c r="D3068">
        <v>2</v>
      </c>
      <c r="E3068">
        <v>2024</v>
      </c>
      <c r="F3068" s="1">
        <f t="shared" si="238"/>
        <v>45351</v>
      </c>
      <c r="G3068" s="1" t="s">
        <v>408</v>
      </c>
      <c r="H3068" s="2">
        <v>47544</v>
      </c>
      <c r="I3068" t="s">
        <v>43</v>
      </c>
      <c r="J3068">
        <v>5</v>
      </c>
      <c r="K3068">
        <v>67926.53</v>
      </c>
      <c r="L3068" t="s">
        <v>529</v>
      </c>
      <c r="M3068">
        <v>49</v>
      </c>
      <c r="N3068" t="s">
        <v>61</v>
      </c>
      <c r="O3068" s="3" t="s">
        <v>55</v>
      </c>
      <c r="P3068" t="s">
        <v>93</v>
      </c>
      <c r="Q3068" t="s">
        <v>56</v>
      </c>
      <c r="R3068">
        <v>2</v>
      </c>
      <c r="S3068" t="s">
        <v>46</v>
      </c>
      <c r="T3068" s="4">
        <f t="shared" si="239"/>
        <v>339632.65</v>
      </c>
      <c r="U3068" s="4" t="str">
        <f t="shared" si="240"/>
        <v>Average</v>
      </c>
      <c r="V3068" s="4" t="str">
        <f t="shared" si="236"/>
        <v>Excellent</v>
      </c>
      <c r="W3068" s="4"/>
      <c r="X3068" s="4"/>
      <c r="AJ3068" s="4"/>
    </row>
    <row r="3069" spans="1:36">
      <c r="A3069" t="str">
        <f t="shared" si="237"/>
        <v>Sumi503068</v>
      </c>
      <c r="B3069">
        <v>3068</v>
      </c>
      <c r="C3069">
        <v>1</v>
      </c>
      <c r="D3069">
        <v>3</v>
      </c>
      <c r="E3069">
        <v>2024</v>
      </c>
      <c r="F3069" s="1">
        <f t="shared" si="238"/>
        <v>45352</v>
      </c>
      <c r="G3069" s="1" t="s">
        <v>475</v>
      </c>
      <c r="H3069" s="2">
        <v>47545</v>
      </c>
      <c r="I3069" t="s">
        <v>43</v>
      </c>
      <c r="J3069">
        <v>7</v>
      </c>
      <c r="K3069">
        <v>34975.660000000003</v>
      </c>
      <c r="L3069" t="s">
        <v>815</v>
      </c>
      <c r="M3069">
        <v>50</v>
      </c>
      <c r="N3069" t="s">
        <v>61</v>
      </c>
      <c r="O3069" s="3" t="s">
        <v>55</v>
      </c>
      <c r="P3069" t="s">
        <v>29</v>
      </c>
      <c r="Q3069" t="s">
        <v>24</v>
      </c>
      <c r="R3069">
        <v>2</v>
      </c>
      <c r="S3069" t="s">
        <v>95</v>
      </c>
      <c r="T3069" s="4">
        <f t="shared" si="239"/>
        <v>244829.62000000002</v>
      </c>
      <c r="U3069" s="4" t="str">
        <f t="shared" si="240"/>
        <v>Average</v>
      </c>
      <c r="V3069" s="4" t="str">
        <f t="shared" si="236"/>
        <v>Excellent</v>
      </c>
      <c r="W3069" s="4"/>
      <c r="X3069" s="4"/>
      <c r="AJ3069" s="4"/>
    </row>
    <row r="3070" spans="1:36">
      <c r="A3070" t="str">
        <f t="shared" si="237"/>
        <v>Sach253069</v>
      </c>
      <c r="B3070">
        <v>3069</v>
      </c>
      <c r="C3070">
        <v>1</v>
      </c>
      <c r="D3070">
        <v>3</v>
      </c>
      <c r="E3070">
        <v>2024</v>
      </c>
      <c r="F3070" s="1">
        <f t="shared" si="238"/>
        <v>45352</v>
      </c>
      <c r="G3070" s="1" t="s">
        <v>475</v>
      </c>
      <c r="H3070" s="2">
        <v>47546</v>
      </c>
      <c r="I3070" t="s">
        <v>26</v>
      </c>
      <c r="J3070">
        <v>8</v>
      </c>
      <c r="K3070">
        <v>25929.95</v>
      </c>
      <c r="L3070" t="s">
        <v>534</v>
      </c>
      <c r="M3070">
        <v>25</v>
      </c>
      <c r="N3070" t="s">
        <v>36</v>
      </c>
      <c r="O3070" s="3" t="s">
        <v>28</v>
      </c>
      <c r="P3070" t="s">
        <v>51</v>
      </c>
      <c r="Q3070" t="s">
        <v>24</v>
      </c>
      <c r="R3070">
        <v>3</v>
      </c>
      <c r="S3070" t="s">
        <v>67</v>
      </c>
      <c r="T3070" s="4">
        <f t="shared" si="239"/>
        <v>207439.6</v>
      </c>
      <c r="U3070" s="4" t="str">
        <f t="shared" si="240"/>
        <v>Average</v>
      </c>
      <c r="V3070" s="4" t="str">
        <f t="shared" si="236"/>
        <v>Excellent</v>
      </c>
      <c r="W3070" s="4"/>
      <c r="X3070" s="4"/>
      <c r="AJ3070" s="4"/>
    </row>
    <row r="3071" spans="1:36">
      <c r="A3071" t="str">
        <f t="shared" si="237"/>
        <v>Reen313070</v>
      </c>
      <c r="B3071">
        <v>3070</v>
      </c>
      <c r="C3071">
        <v>1</v>
      </c>
      <c r="D3071">
        <v>3</v>
      </c>
      <c r="E3071">
        <v>2024</v>
      </c>
      <c r="F3071" s="1">
        <f t="shared" si="238"/>
        <v>45352</v>
      </c>
      <c r="G3071" s="1" t="s">
        <v>475</v>
      </c>
      <c r="H3071" s="2">
        <v>47547</v>
      </c>
      <c r="I3071" t="s">
        <v>19</v>
      </c>
      <c r="J3071">
        <v>8</v>
      </c>
      <c r="K3071">
        <v>28155.53</v>
      </c>
      <c r="L3071" t="s">
        <v>968</v>
      </c>
      <c r="M3071">
        <v>31</v>
      </c>
      <c r="N3071" t="s">
        <v>21</v>
      </c>
      <c r="O3071" s="3" t="s">
        <v>22</v>
      </c>
      <c r="P3071" t="s">
        <v>29</v>
      </c>
      <c r="Q3071" t="s">
        <v>41</v>
      </c>
      <c r="R3071">
        <v>4</v>
      </c>
      <c r="S3071" t="s">
        <v>37</v>
      </c>
      <c r="T3071" s="4">
        <f t="shared" si="239"/>
        <v>225244.24</v>
      </c>
      <c r="U3071" s="4" t="str">
        <f t="shared" si="240"/>
        <v>Good</v>
      </c>
      <c r="V3071" s="4" t="str">
        <f t="shared" si="236"/>
        <v>Excellent</v>
      </c>
      <c r="W3071" s="4"/>
      <c r="X3071" s="4"/>
      <c r="AJ3071" s="4"/>
    </row>
    <row r="3072" spans="1:36">
      <c r="A3072" t="str">
        <f t="shared" si="237"/>
        <v>Kira513071</v>
      </c>
      <c r="B3072">
        <v>3071</v>
      </c>
      <c r="C3072">
        <v>1</v>
      </c>
      <c r="D3072">
        <v>3</v>
      </c>
      <c r="E3072">
        <v>2024</v>
      </c>
      <c r="F3072" s="1">
        <f t="shared" si="238"/>
        <v>45352</v>
      </c>
      <c r="G3072" s="1" t="s">
        <v>475</v>
      </c>
      <c r="H3072" s="2">
        <v>47548</v>
      </c>
      <c r="I3072" t="s">
        <v>38</v>
      </c>
      <c r="J3072">
        <v>1</v>
      </c>
      <c r="K3072">
        <v>26126.880000000001</v>
      </c>
      <c r="L3072" t="s">
        <v>297</v>
      </c>
      <c r="M3072">
        <v>51</v>
      </c>
      <c r="N3072" t="s">
        <v>61</v>
      </c>
      <c r="O3072" s="3" t="s">
        <v>28</v>
      </c>
      <c r="P3072" t="s">
        <v>29</v>
      </c>
      <c r="Q3072" t="s">
        <v>30</v>
      </c>
      <c r="R3072">
        <v>3</v>
      </c>
      <c r="S3072" t="s">
        <v>48</v>
      </c>
      <c r="T3072" s="4">
        <f t="shared" si="239"/>
        <v>26126.880000000001</v>
      </c>
      <c r="U3072" s="4" t="str">
        <f t="shared" si="240"/>
        <v>Average</v>
      </c>
      <c r="V3072" s="4" t="str">
        <f t="shared" si="236"/>
        <v>Low</v>
      </c>
      <c r="W3072" s="4"/>
      <c r="X3072" s="4"/>
      <c r="AJ3072" s="4"/>
    </row>
    <row r="3073" spans="1:36">
      <c r="A3073" t="str">
        <f t="shared" si="237"/>
        <v>Gita253072</v>
      </c>
      <c r="B3073">
        <v>3072</v>
      </c>
      <c r="C3073">
        <v>2</v>
      </c>
      <c r="D3073">
        <v>3</v>
      </c>
      <c r="E3073">
        <v>2024</v>
      </c>
      <c r="F3073" s="1">
        <f t="shared" si="238"/>
        <v>45353</v>
      </c>
      <c r="G3073" s="1" t="s">
        <v>475</v>
      </c>
      <c r="H3073" s="2">
        <v>47549</v>
      </c>
      <c r="I3073" t="s">
        <v>38</v>
      </c>
      <c r="J3073">
        <v>8</v>
      </c>
      <c r="K3073">
        <v>41934.75</v>
      </c>
      <c r="L3073" t="s">
        <v>795</v>
      </c>
      <c r="M3073">
        <v>25</v>
      </c>
      <c r="N3073" t="s">
        <v>36</v>
      </c>
      <c r="O3073" s="3" t="s">
        <v>28</v>
      </c>
      <c r="P3073" t="s">
        <v>33</v>
      </c>
      <c r="Q3073" t="s">
        <v>41</v>
      </c>
      <c r="R3073">
        <v>3</v>
      </c>
      <c r="S3073" t="s">
        <v>42</v>
      </c>
      <c r="T3073" s="4">
        <f t="shared" si="239"/>
        <v>335478</v>
      </c>
      <c r="U3073" s="4" t="str">
        <f t="shared" si="240"/>
        <v>Average</v>
      </c>
      <c r="V3073" s="4" t="str">
        <f t="shared" ref="V3073:V3136" si="241">IF(T3073&gt;200000,"Excellent",IF(T3073&gt;100000,"Good",IF(T3073&gt;50000,"Average","Low")))</f>
        <v>Excellent</v>
      </c>
      <c r="W3073" s="4"/>
      <c r="X3073" s="4"/>
      <c r="AJ3073" s="4"/>
    </row>
    <row r="3074" spans="1:36">
      <c r="A3074" t="str">
        <f t="shared" ref="A3074:A3137" si="242">LEFT(L3074,4)&amp;M3074&amp;B3074</f>
        <v>Raje593073</v>
      </c>
      <c r="B3074">
        <v>3073</v>
      </c>
      <c r="C3074">
        <v>2</v>
      </c>
      <c r="D3074">
        <v>3</v>
      </c>
      <c r="E3074">
        <v>2024</v>
      </c>
      <c r="F3074" s="1">
        <f t="shared" si="238"/>
        <v>45353</v>
      </c>
      <c r="G3074" s="1" t="s">
        <v>475</v>
      </c>
      <c r="H3074" s="2">
        <v>47550</v>
      </c>
      <c r="I3074" t="s">
        <v>19</v>
      </c>
      <c r="J3074">
        <v>6</v>
      </c>
      <c r="K3074">
        <v>46411.59</v>
      </c>
      <c r="L3074" t="s">
        <v>552</v>
      </c>
      <c r="M3074">
        <v>59</v>
      </c>
      <c r="N3074" t="s">
        <v>61</v>
      </c>
      <c r="O3074" s="3" t="s">
        <v>55</v>
      </c>
      <c r="P3074" t="s">
        <v>150</v>
      </c>
      <c r="Q3074" t="s">
        <v>24</v>
      </c>
      <c r="R3074">
        <v>2</v>
      </c>
      <c r="S3074" t="s">
        <v>25</v>
      </c>
      <c r="T3074" s="4">
        <f t="shared" si="239"/>
        <v>278469.53999999998</v>
      </c>
      <c r="U3074" s="4" t="str">
        <f t="shared" si="240"/>
        <v>Average</v>
      </c>
      <c r="V3074" s="4" t="str">
        <f t="shared" si="241"/>
        <v>Excellent</v>
      </c>
      <c r="W3074" s="4"/>
      <c r="X3074" s="4"/>
      <c r="AJ3074" s="4"/>
    </row>
    <row r="3075" spans="1:36">
      <c r="A3075" t="str">
        <f t="shared" si="242"/>
        <v>Priy243074</v>
      </c>
      <c r="B3075">
        <v>3074</v>
      </c>
      <c r="C3075">
        <v>2</v>
      </c>
      <c r="D3075">
        <v>3</v>
      </c>
      <c r="E3075">
        <v>2024</v>
      </c>
      <c r="F3075" s="1">
        <f t="shared" ref="F3075:F3138" si="243">DATE(E3075,D3075,C3075)</f>
        <v>45353</v>
      </c>
      <c r="G3075" s="1" t="s">
        <v>475</v>
      </c>
      <c r="H3075" s="2">
        <v>47551</v>
      </c>
      <c r="I3075" t="s">
        <v>43</v>
      </c>
      <c r="J3075">
        <v>4</v>
      </c>
      <c r="K3075">
        <v>39326.76</v>
      </c>
      <c r="L3075" t="s">
        <v>358</v>
      </c>
      <c r="M3075">
        <v>24</v>
      </c>
      <c r="N3075" t="s">
        <v>36</v>
      </c>
      <c r="O3075" s="3" t="s">
        <v>55</v>
      </c>
      <c r="P3075" t="s">
        <v>77</v>
      </c>
      <c r="Q3075" t="s">
        <v>56</v>
      </c>
      <c r="R3075">
        <v>1</v>
      </c>
      <c r="S3075" t="s">
        <v>46</v>
      </c>
      <c r="T3075" s="4">
        <f t="shared" ref="T3075:T3138" si="244">J3075*K3075</f>
        <v>157307.04</v>
      </c>
      <c r="U3075" s="4" t="str">
        <f t="shared" ref="U3075:U3138" si="245">IF(R3075&gt;=4,"Good","Average")</f>
        <v>Average</v>
      </c>
      <c r="V3075" s="4" t="str">
        <f t="shared" si="241"/>
        <v>Good</v>
      </c>
      <c r="W3075" s="4"/>
      <c r="X3075" s="4"/>
      <c r="AJ3075" s="4"/>
    </row>
    <row r="3076" spans="1:36">
      <c r="A3076" t="str">
        <f t="shared" si="242"/>
        <v>Sumi303075</v>
      </c>
      <c r="B3076">
        <v>3075</v>
      </c>
      <c r="C3076">
        <v>3</v>
      </c>
      <c r="D3076">
        <v>3</v>
      </c>
      <c r="E3076">
        <v>2024</v>
      </c>
      <c r="F3076" s="1">
        <f t="shared" si="243"/>
        <v>45354</v>
      </c>
      <c r="G3076" s="1" t="s">
        <v>475</v>
      </c>
      <c r="H3076" s="2">
        <v>47552</v>
      </c>
      <c r="I3076" t="s">
        <v>26</v>
      </c>
      <c r="J3076">
        <v>8</v>
      </c>
      <c r="K3076">
        <v>34479.660000000003</v>
      </c>
      <c r="L3076" t="s">
        <v>367</v>
      </c>
      <c r="M3076">
        <v>30</v>
      </c>
      <c r="N3076" t="s">
        <v>36</v>
      </c>
      <c r="O3076" s="3" t="s">
        <v>28</v>
      </c>
      <c r="P3076" t="s">
        <v>117</v>
      </c>
      <c r="Q3076" t="s">
        <v>56</v>
      </c>
      <c r="R3076">
        <v>3</v>
      </c>
      <c r="S3076" t="s">
        <v>34</v>
      </c>
      <c r="T3076" s="4">
        <f t="shared" si="244"/>
        <v>275837.28000000003</v>
      </c>
      <c r="U3076" s="4" t="str">
        <f t="shared" si="245"/>
        <v>Average</v>
      </c>
      <c r="V3076" s="4" t="str">
        <f t="shared" si="241"/>
        <v>Excellent</v>
      </c>
      <c r="W3076" s="4"/>
      <c r="X3076" s="4"/>
      <c r="AJ3076" s="4"/>
    </row>
    <row r="3077" spans="1:36">
      <c r="A3077" t="str">
        <f t="shared" si="242"/>
        <v>Priy383076</v>
      </c>
      <c r="B3077">
        <v>3076</v>
      </c>
      <c r="C3077">
        <v>3</v>
      </c>
      <c r="D3077">
        <v>3</v>
      </c>
      <c r="E3077">
        <v>2024</v>
      </c>
      <c r="F3077" s="1">
        <f t="shared" si="243"/>
        <v>45354</v>
      </c>
      <c r="G3077" s="1" t="s">
        <v>475</v>
      </c>
      <c r="H3077" s="2">
        <v>47553</v>
      </c>
      <c r="I3077" t="s">
        <v>26</v>
      </c>
      <c r="J3077">
        <v>3</v>
      </c>
      <c r="K3077">
        <v>22677.1</v>
      </c>
      <c r="L3077" t="s">
        <v>560</v>
      </c>
      <c r="M3077">
        <v>38</v>
      </c>
      <c r="N3077" t="s">
        <v>21</v>
      </c>
      <c r="O3077" s="3" t="s">
        <v>28</v>
      </c>
      <c r="P3077" t="s">
        <v>150</v>
      </c>
      <c r="Q3077" t="s">
        <v>30</v>
      </c>
      <c r="R3077">
        <v>3</v>
      </c>
      <c r="S3077" t="s">
        <v>34</v>
      </c>
      <c r="T3077" s="4">
        <f t="shared" si="244"/>
        <v>68031.299999999988</v>
      </c>
      <c r="U3077" s="4" t="str">
        <f t="shared" si="245"/>
        <v>Average</v>
      </c>
      <c r="V3077" s="4" t="str">
        <f t="shared" si="241"/>
        <v>Average</v>
      </c>
      <c r="W3077" s="4"/>
      <c r="X3077" s="4"/>
      <c r="AJ3077" s="4"/>
    </row>
    <row r="3078" spans="1:36">
      <c r="A3078" t="str">
        <f t="shared" si="242"/>
        <v>Bhav493077</v>
      </c>
      <c r="B3078">
        <v>3077</v>
      </c>
      <c r="C3078">
        <v>3</v>
      </c>
      <c r="D3078">
        <v>3</v>
      </c>
      <c r="E3078">
        <v>2024</v>
      </c>
      <c r="F3078" s="1">
        <f t="shared" si="243"/>
        <v>45354</v>
      </c>
      <c r="G3078" s="1" t="s">
        <v>475</v>
      </c>
      <c r="H3078" s="2">
        <v>47554</v>
      </c>
      <c r="I3078" t="s">
        <v>38</v>
      </c>
      <c r="J3078">
        <v>4</v>
      </c>
      <c r="K3078">
        <v>38950.339999999997</v>
      </c>
      <c r="L3078" t="s">
        <v>223</v>
      </c>
      <c r="M3078">
        <v>49</v>
      </c>
      <c r="N3078" t="s">
        <v>61</v>
      </c>
      <c r="O3078" s="3" t="s">
        <v>22</v>
      </c>
      <c r="P3078" t="s">
        <v>29</v>
      </c>
      <c r="Q3078" t="s">
        <v>30</v>
      </c>
      <c r="R3078">
        <v>4</v>
      </c>
      <c r="S3078" t="s">
        <v>99</v>
      </c>
      <c r="T3078" s="4">
        <f t="shared" si="244"/>
        <v>155801.35999999999</v>
      </c>
      <c r="U3078" s="4" t="str">
        <f t="shared" si="245"/>
        <v>Good</v>
      </c>
      <c r="V3078" s="4" t="str">
        <f t="shared" si="241"/>
        <v>Good</v>
      </c>
      <c r="W3078" s="4"/>
      <c r="X3078" s="4"/>
      <c r="AJ3078" s="4"/>
    </row>
    <row r="3079" spans="1:36">
      <c r="A3079" t="str">
        <f t="shared" si="242"/>
        <v>Hari283078</v>
      </c>
      <c r="B3079">
        <v>3078</v>
      </c>
      <c r="C3079">
        <v>3</v>
      </c>
      <c r="D3079">
        <v>3</v>
      </c>
      <c r="E3079">
        <v>2024</v>
      </c>
      <c r="F3079" s="1">
        <f t="shared" si="243"/>
        <v>45354</v>
      </c>
      <c r="G3079" s="1" t="s">
        <v>475</v>
      </c>
      <c r="H3079" s="2">
        <v>47555</v>
      </c>
      <c r="I3079" t="s">
        <v>26</v>
      </c>
      <c r="J3079">
        <v>6</v>
      </c>
      <c r="K3079">
        <v>30466.16</v>
      </c>
      <c r="L3079" t="s">
        <v>529</v>
      </c>
      <c r="M3079">
        <v>28</v>
      </c>
      <c r="N3079" t="s">
        <v>36</v>
      </c>
      <c r="O3079" s="3" t="s">
        <v>55</v>
      </c>
      <c r="P3079" t="s">
        <v>90</v>
      </c>
      <c r="Q3079" t="s">
        <v>24</v>
      </c>
      <c r="R3079">
        <v>2</v>
      </c>
      <c r="S3079" t="s">
        <v>67</v>
      </c>
      <c r="T3079" s="4">
        <f t="shared" si="244"/>
        <v>182796.96</v>
      </c>
      <c r="U3079" s="4" t="str">
        <f t="shared" si="245"/>
        <v>Average</v>
      </c>
      <c r="V3079" s="4" t="str">
        <f t="shared" si="241"/>
        <v>Good</v>
      </c>
      <c r="W3079" s="4"/>
      <c r="X3079" s="4"/>
      <c r="AJ3079" s="4"/>
    </row>
    <row r="3080" spans="1:36">
      <c r="A3080" t="str">
        <f t="shared" si="242"/>
        <v>Ayes313079</v>
      </c>
      <c r="B3080">
        <v>3079</v>
      </c>
      <c r="C3080">
        <v>4</v>
      </c>
      <c r="D3080">
        <v>3</v>
      </c>
      <c r="E3080">
        <v>2024</v>
      </c>
      <c r="F3080" s="1">
        <f t="shared" si="243"/>
        <v>45355</v>
      </c>
      <c r="G3080" s="1" t="s">
        <v>475</v>
      </c>
      <c r="H3080" s="2">
        <v>47556</v>
      </c>
      <c r="I3080" t="s">
        <v>19</v>
      </c>
      <c r="J3080">
        <v>7</v>
      </c>
      <c r="K3080">
        <v>42495.73</v>
      </c>
      <c r="L3080" t="s">
        <v>1044</v>
      </c>
      <c r="M3080">
        <v>31</v>
      </c>
      <c r="N3080" t="s">
        <v>21</v>
      </c>
      <c r="O3080" s="3" t="s">
        <v>55</v>
      </c>
      <c r="P3080" t="s">
        <v>33</v>
      </c>
      <c r="Q3080" t="s">
        <v>30</v>
      </c>
      <c r="R3080">
        <v>1</v>
      </c>
      <c r="S3080" t="s">
        <v>37</v>
      </c>
      <c r="T3080" s="4">
        <f t="shared" si="244"/>
        <v>297470.11000000004</v>
      </c>
      <c r="U3080" s="4" t="str">
        <f t="shared" si="245"/>
        <v>Average</v>
      </c>
      <c r="V3080" s="4" t="str">
        <f t="shared" si="241"/>
        <v>Excellent</v>
      </c>
      <c r="W3080" s="4"/>
      <c r="X3080" s="4"/>
      <c r="AJ3080" s="4"/>
    </row>
    <row r="3081" spans="1:36">
      <c r="A3081" t="str">
        <f t="shared" si="242"/>
        <v>Suni283080</v>
      </c>
      <c r="B3081">
        <v>3080</v>
      </c>
      <c r="C3081">
        <v>4</v>
      </c>
      <c r="D3081">
        <v>3</v>
      </c>
      <c r="E3081">
        <v>2024</v>
      </c>
      <c r="F3081" s="1">
        <f t="shared" si="243"/>
        <v>45355</v>
      </c>
      <c r="G3081" s="1" t="s">
        <v>475</v>
      </c>
      <c r="H3081" s="2">
        <v>47557</v>
      </c>
      <c r="I3081" t="s">
        <v>43</v>
      </c>
      <c r="J3081">
        <v>4</v>
      </c>
      <c r="K3081">
        <v>50511.360000000001</v>
      </c>
      <c r="L3081" t="s">
        <v>844</v>
      </c>
      <c r="M3081">
        <v>28</v>
      </c>
      <c r="N3081" t="s">
        <v>36</v>
      </c>
      <c r="O3081" s="3" t="s">
        <v>22</v>
      </c>
      <c r="P3081" t="s">
        <v>70</v>
      </c>
      <c r="Q3081" t="s">
        <v>41</v>
      </c>
      <c r="R3081">
        <v>4</v>
      </c>
      <c r="S3081" t="s">
        <v>46</v>
      </c>
      <c r="T3081" s="4">
        <f t="shared" si="244"/>
        <v>202045.44</v>
      </c>
      <c r="U3081" s="4" t="str">
        <f t="shared" si="245"/>
        <v>Good</v>
      </c>
      <c r="V3081" s="4" t="str">
        <f t="shared" si="241"/>
        <v>Excellent</v>
      </c>
      <c r="W3081" s="4"/>
      <c r="X3081" s="4"/>
      <c r="AJ3081" s="4"/>
    </row>
    <row r="3082" spans="1:36">
      <c r="A3082" t="str">
        <f t="shared" si="242"/>
        <v>Adit193081</v>
      </c>
      <c r="B3082">
        <v>3081</v>
      </c>
      <c r="C3082">
        <v>4</v>
      </c>
      <c r="D3082">
        <v>3</v>
      </c>
      <c r="E3082">
        <v>2024</v>
      </c>
      <c r="F3082" s="1">
        <f t="shared" si="243"/>
        <v>45355</v>
      </c>
      <c r="G3082" s="1" t="s">
        <v>475</v>
      </c>
      <c r="H3082" s="2">
        <v>47558</v>
      </c>
      <c r="I3082" t="s">
        <v>19</v>
      </c>
      <c r="J3082">
        <v>4</v>
      </c>
      <c r="K3082">
        <v>47998.73</v>
      </c>
      <c r="L3082" t="s">
        <v>366</v>
      </c>
      <c r="M3082">
        <v>19</v>
      </c>
      <c r="N3082" t="s">
        <v>36</v>
      </c>
      <c r="O3082" s="3" t="s">
        <v>55</v>
      </c>
      <c r="P3082" t="s">
        <v>110</v>
      </c>
      <c r="Q3082" t="s">
        <v>24</v>
      </c>
      <c r="R3082">
        <v>1</v>
      </c>
      <c r="S3082" t="s">
        <v>37</v>
      </c>
      <c r="T3082" s="4">
        <f t="shared" si="244"/>
        <v>191994.92</v>
      </c>
      <c r="U3082" s="4" t="str">
        <f t="shared" si="245"/>
        <v>Average</v>
      </c>
      <c r="V3082" s="4" t="str">
        <f t="shared" si="241"/>
        <v>Good</v>
      </c>
      <c r="W3082" s="4"/>
      <c r="X3082" s="4"/>
      <c r="AJ3082" s="4"/>
    </row>
    <row r="3083" spans="1:36">
      <c r="A3083" t="str">
        <f t="shared" si="242"/>
        <v>Adit513082</v>
      </c>
      <c r="B3083">
        <v>3082</v>
      </c>
      <c r="C3083">
        <v>4</v>
      </c>
      <c r="D3083">
        <v>3</v>
      </c>
      <c r="E3083">
        <v>2024</v>
      </c>
      <c r="F3083" s="1">
        <f t="shared" si="243"/>
        <v>45355</v>
      </c>
      <c r="G3083" s="1" t="s">
        <v>475</v>
      </c>
      <c r="H3083" s="2">
        <v>47559</v>
      </c>
      <c r="I3083" t="s">
        <v>49</v>
      </c>
      <c r="J3083">
        <v>7</v>
      </c>
      <c r="K3083">
        <v>37749.410000000003</v>
      </c>
      <c r="L3083" t="s">
        <v>642</v>
      </c>
      <c r="M3083">
        <v>51</v>
      </c>
      <c r="N3083" t="s">
        <v>61</v>
      </c>
      <c r="O3083" s="3" t="s">
        <v>55</v>
      </c>
      <c r="P3083" t="s">
        <v>40</v>
      </c>
      <c r="Q3083" t="s">
        <v>56</v>
      </c>
      <c r="R3083">
        <v>1</v>
      </c>
      <c r="S3083" t="s">
        <v>52</v>
      </c>
      <c r="T3083" s="4">
        <f t="shared" si="244"/>
        <v>264245.87</v>
      </c>
      <c r="U3083" s="4" t="str">
        <f t="shared" si="245"/>
        <v>Average</v>
      </c>
      <c r="V3083" s="4" t="str">
        <f t="shared" si="241"/>
        <v>Excellent</v>
      </c>
      <c r="W3083" s="4"/>
      <c r="X3083" s="4"/>
      <c r="AJ3083" s="4"/>
    </row>
    <row r="3084" spans="1:36">
      <c r="A3084" t="str">
        <f t="shared" si="242"/>
        <v>Pras343083</v>
      </c>
      <c r="B3084">
        <v>3083</v>
      </c>
      <c r="C3084">
        <v>5</v>
      </c>
      <c r="D3084">
        <v>3</v>
      </c>
      <c r="E3084">
        <v>2024</v>
      </c>
      <c r="F3084" s="1">
        <f t="shared" si="243"/>
        <v>45356</v>
      </c>
      <c r="G3084" s="1" t="s">
        <v>475</v>
      </c>
      <c r="H3084" s="2">
        <v>47560</v>
      </c>
      <c r="I3084" t="s">
        <v>38</v>
      </c>
      <c r="J3084">
        <v>6</v>
      </c>
      <c r="K3084">
        <v>43363.15</v>
      </c>
      <c r="L3084" t="s">
        <v>713</v>
      </c>
      <c r="M3084">
        <v>34</v>
      </c>
      <c r="N3084" t="s">
        <v>21</v>
      </c>
      <c r="O3084" s="3" t="s">
        <v>28</v>
      </c>
      <c r="P3084" t="s">
        <v>40</v>
      </c>
      <c r="Q3084" t="s">
        <v>56</v>
      </c>
      <c r="R3084">
        <v>3</v>
      </c>
      <c r="S3084" t="s">
        <v>42</v>
      </c>
      <c r="T3084" s="4">
        <f t="shared" si="244"/>
        <v>260178.90000000002</v>
      </c>
      <c r="U3084" s="4" t="str">
        <f t="shared" si="245"/>
        <v>Average</v>
      </c>
      <c r="V3084" s="4" t="str">
        <f t="shared" si="241"/>
        <v>Excellent</v>
      </c>
      <c r="W3084" s="4"/>
      <c r="X3084" s="4"/>
      <c r="AJ3084" s="4"/>
    </row>
    <row r="3085" spans="1:36">
      <c r="A3085" t="str">
        <f t="shared" si="242"/>
        <v>Mala313084</v>
      </c>
      <c r="B3085">
        <v>3084</v>
      </c>
      <c r="C3085">
        <v>5</v>
      </c>
      <c r="D3085">
        <v>3</v>
      </c>
      <c r="E3085">
        <v>2024</v>
      </c>
      <c r="F3085" s="1">
        <f t="shared" si="243"/>
        <v>45356</v>
      </c>
      <c r="G3085" s="1" t="s">
        <v>475</v>
      </c>
      <c r="H3085" s="2">
        <v>47561</v>
      </c>
      <c r="I3085" t="s">
        <v>26</v>
      </c>
      <c r="J3085">
        <v>8</v>
      </c>
      <c r="K3085">
        <v>27091.37</v>
      </c>
      <c r="L3085" t="s">
        <v>167</v>
      </c>
      <c r="M3085">
        <v>31</v>
      </c>
      <c r="N3085" t="s">
        <v>21</v>
      </c>
      <c r="O3085" s="3" t="s">
        <v>22</v>
      </c>
      <c r="P3085" t="s">
        <v>110</v>
      </c>
      <c r="Q3085" t="s">
        <v>56</v>
      </c>
      <c r="R3085">
        <v>4</v>
      </c>
      <c r="S3085" t="s">
        <v>31</v>
      </c>
      <c r="T3085" s="4">
        <f t="shared" si="244"/>
        <v>216730.96</v>
      </c>
      <c r="U3085" s="4" t="str">
        <f t="shared" si="245"/>
        <v>Good</v>
      </c>
      <c r="V3085" s="4" t="str">
        <f t="shared" si="241"/>
        <v>Excellent</v>
      </c>
      <c r="W3085" s="4"/>
      <c r="X3085" s="4"/>
      <c r="AJ3085" s="4"/>
    </row>
    <row r="3086" spans="1:36">
      <c r="A3086" t="str">
        <f t="shared" si="242"/>
        <v>Neet423085</v>
      </c>
      <c r="B3086">
        <v>3085</v>
      </c>
      <c r="C3086">
        <v>5</v>
      </c>
      <c r="D3086">
        <v>3</v>
      </c>
      <c r="E3086">
        <v>2024</v>
      </c>
      <c r="F3086" s="1">
        <f t="shared" si="243"/>
        <v>45356</v>
      </c>
      <c r="G3086" s="1" t="s">
        <v>475</v>
      </c>
      <c r="H3086" s="2">
        <v>47562</v>
      </c>
      <c r="I3086" t="s">
        <v>49</v>
      </c>
      <c r="J3086">
        <v>1</v>
      </c>
      <c r="K3086">
        <v>11454.42</v>
      </c>
      <c r="L3086" t="s">
        <v>1042</v>
      </c>
      <c r="M3086">
        <v>42</v>
      </c>
      <c r="N3086" t="s">
        <v>21</v>
      </c>
      <c r="O3086" s="3" t="s">
        <v>28</v>
      </c>
      <c r="P3086" t="s">
        <v>70</v>
      </c>
      <c r="Q3086" t="s">
        <v>30</v>
      </c>
      <c r="R3086">
        <v>3</v>
      </c>
      <c r="S3086" t="s">
        <v>88</v>
      </c>
      <c r="T3086" s="4">
        <f t="shared" si="244"/>
        <v>11454.42</v>
      </c>
      <c r="U3086" s="4" t="str">
        <f t="shared" si="245"/>
        <v>Average</v>
      </c>
      <c r="V3086" s="4" t="str">
        <f t="shared" si="241"/>
        <v>Low</v>
      </c>
      <c r="W3086" s="4"/>
      <c r="X3086" s="4"/>
      <c r="AJ3086" s="4"/>
    </row>
    <row r="3087" spans="1:36">
      <c r="A3087" t="str">
        <f t="shared" si="242"/>
        <v>Vija443086</v>
      </c>
      <c r="B3087">
        <v>3086</v>
      </c>
      <c r="C3087">
        <v>6</v>
      </c>
      <c r="D3087">
        <v>3</v>
      </c>
      <c r="E3087">
        <v>2024</v>
      </c>
      <c r="F3087" s="1">
        <f t="shared" si="243"/>
        <v>45357</v>
      </c>
      <c r="G3087" s="1" t="s">
        <v>475</v>
      </c>
      <c r="H3087" s="2">
        <v>47563</v>
      </c>
      <c r="I3087" t="s">
        <v>26</v>
      </c>
      <c r="J3087">
        <v>7</v>
      </c>
      <c r="K3087">
        <v>47501.17</v>
      </c>
      <c r="L3087" t="s">
        <v>232</v>
      </c>
      <c r="M3087">
        <v>44</v>
      </c>
      <c r="N3087" t="s">
        <v>21</v>
      </c>
      <c r="O3087" s="3" t="s">
        <v>22</v>
      </c>
      <c r="P3087" t="s">
        <v>33</v>
      </c>
      <c r="Q3087" t="s">
        <v>24</v>
      </c>
      <c r="R3087">
        <v>5</v>
      </c>
      <c r="S3087" t="s">
        <v>31</v>
      </c>
      <c r="T3087" s="4">
        <f t="shared" si="244"/>
        <v>332508.19</v>
      </c>
      <c r="U3087" s="4" t="str">
        <f t="shared" si="245"/>
        <v>Good</v>
      </c>
      <c r="V3087" s="4" t="str">
        <f t="shared" si="241"/>
        <v>Excellent</v>
      </c>
      <c r="W3087" s="4"/>
      <c r="X3087" s="4"/>
      <c r="AJ3087" s="4"/>
    </row>
    <row r="3088" spans="1:36">
      <c r="A3088" t="str">
        <f t="shared" si="242"/>
        <v>Isha253087</v>
      </c>
      <c r="B3088">
        <v>3087</v>
      </c>
      <c r="C3088">
        <v>6</v>
      </c>
      <c r="D3088">
        <v>3</v>
      </c>
      <c r="E3088">
        <v>2024</v>
      </c>
      <c r="F3088" s="1">
        <f t="shared" si="243"/>
        <v>45357</v>
      </c>
      <c r="G3088" s="1" t="s">
        <v>475</v>
      </c>
      <c r="H3088" s="2">
        <v>47564</v>
      </c>
      <c r="I3088" t="s">
        <v>43</v>
      </c>
      <c r="J3088">
        <v>7</v>
      </c>
      <c r="K3088">
        <v>25154.11</v>
      </c>
      <c r="L3088" t="s">
        <v>305</v>
      </c>
      <c r="M3088">
        <v>25</v>
      </c>
      <c r="N3088" t="s">
        <v>36</v>
      </c>
      <c r="O3088" s="3" t="s">
        <v>55</v>
      </c>
      <c r="P3088" t="s">
        <v>29</v>
      </c>
      <c r="Q3088" t="s">
        <v>30</v>
      </c>
      <c r="R3088">
        <v>1</v>
      </c>
      <c r="S3088" t="s">
        <v>95</v>
      </c>
      <c r="T3088" s="4">
        <f t="shared" si="244"/>
        <v>176078.77000000002</v>
      </c>
      <c r="U3088" s="4" t="str">
        <f t="shared" si="245"/>
        <v>Average</v>
      </c>
      <c r="V3088" s="4" t="str">
        <f t="shared" si="241"/>
        <v>Good</v>
      </c>
      <c r="W3088" s="4"/>
      <c r="X3088" s="4"/>
      <c r="AJ3088" s="4"/>
    </row>
    <row r="3089" spans="1:36">
      <c r="A3089" t="str">
        <f t="shared" si="242"/>
        <v>Ayes343088</v>
      </c>
      <c r="B3089">
        <v>3088</v>
      </c>
      <c r="C3089">
        <v>6</v>
      </c>
      <c r="D3089">
        <v>3</v>
      </c>
      <c r="E3089">
        <v>2024</v>
      </c>
      <c r="F3089" s="1">
        <f t="shared" si="243"/>
        <v>45357</v>
      </c>
      <c r="G3089" s="1" t="s">
        <v>475</v>
      </c>
      <c r="H3089" s="2">
        <v>47565</v>
      </c>
      <c r="I3089" t="s">
        <v>43</v>
      </c>
      <c r="J3089">
        <v>7</v>
      </c>
      <c r="K3089">
        <v>50137.22</v>
      </c>
      <c r="L3089" t="s">
        <v>164</v>
      </c>
      <c r="M3089">
        <v>34</v>
      </c>
      <c r="N3089" t="s">
        <v>21</v>
      </c>
      <c r="O3089" s="3" t="s">
        <v>22</v>
      </c>
      <c r="P3089" t="s">
        <v>70</v>
      </c>
      <c r="Q3089" t="s">
        <v>41</v>
      </c>
      <c r="R3089">
        <v>4</v>
      </c>
      <c r="S3089" t="s">
        <v>57</v>
      </c>
      <c r="T3089" s="4">
        <f t="shared" si="244"/>
        <v>350960.54000000004</v>
      </c>
      <c r="U3089" s="4" t="str">
        <f t="shared" si="245"/>
        <v>Good</v>
      </c>
      <c r="V3089" s="4" t="str">
        <f t="shared" si="241"/>
        <v>Excellent</v>
      </c>
      <c r="W3089" s="4"/>
      <c r="X3089" s="4"/>
      <c r="AJ3089" s="4"/>
    </row>
    <row r="3090" spans="1:36">
      <c r="A3090" t="str">
        <f t="shared" si="242"/>
        <v>Pras223089</v>
      </c>
      <c r="B3090">
        <v>3089</v>
      </c>
      <c r="C3090">
        <v>7</v>
      </c>
      <c r="D3090">
        <v>3</v>
      </c>
      <c r="E3090">
        <v>2024</v>
      </c>
      <c r="F3090" s="1">
        <f t="shared" si="243"/>
        <v>45358</v>
      </c>
      <c r="G3090" s="1" t="s">
        <v>475</v>
      </c>
      <c r="H3090" s="2">
        <v>47566</v>
      </c>
      <c r="I3090" t="s">
        <v>43</v>
      </c>
      <c r="J3090">
        <v>7</v>
      </c>
      <c r="K3090">
        <v>54820.51</v>
      </c>
      <c r="L3090" t="s">
        <v>777</v>
      </c>
      <c r="M3090">
        <v>22</v>
      </c>
      <c r="N3090" t="s">
        <v>36</v>
      </c>
      <c r="O3090" s="3" t="s">
        <v>55</v>
      </c>
      <c r="P3090" t="s">
        <v>29</v>
      </c>
      <c r="Q3090" t="s">
        <v>24</v>
      </c>
      <c r="R3090">
        <v>2</v>
      </c>
      <c r="S3090" t="s">
        <v>57</v>
      </c>
      <c r="T3090" s="4">
        <f t="shared" si="244"/>
        <v>383743.57</v>
      </c>
      <c r="U3090" s="4" t="str">
        <f t="shared" si="245"/>
        <v>Average</v>
      </c>
      <c r="V3090" s="4" t="str">
        <f t="shared" si="241"/>
        <v>Excellent</v>
      </c>
      <c r="W3090" s="4"/>
      <c r="X3090" s="4"/>
      <c r="AJ3090" s="4"/>
    </row>
    <row r="3091" spans="1:36">
      <c r="A3091" t="str">
        <f t="shared" si="242"/>
        <v>Pooj293090</v>
      </c>
      <c r="B3091">
        <v>3090</v>
      </c>
      <c r="C3091">
        <v>7</v>
      </c>
      <c r="D3091">
        <v>3</v>
      </c>
      <c r="E3091">
        <v>2024</v>
      </c>
      <c r="F3091" s="1">
        <f t="shared" si="243"/>
        <v>45358</v>
      </c>
      <c r="G3091" s="1" t="s">
        <v>475</v>
      </c>
      <c r="H3091" s="2">
        <v>47567</v>
      </c>
      <c r="I3091" t="s">
        <v>26</v>
      </c>
      <c r="J3091">
        <v>8</v>
      </c>
      <c r="K3091">
        <v>64955.66</v>
      </c>
      <c r="L3091" t="s">
        <v>1045</v>
      </c>
      <c r="M3091">
        <v>29</v>
      </c>
      <c r="N3091" t="s">
        <v>36</v>
      </c>
      <c r="O3091" s="3" t="s">
        <v>28</v>
      </c>
      <c r="P3091" t="s">
        <v>93</v>
      </c>
      <c r="Q3091" t="s">
        <v>30</v>
      </c>
      <c r="R3091">
        <v>3</v>
      </c>
      <c r="S3091" t="s">
        <v>67</v>
      </c>
      <c r="T3091" s="4">
        <f t="shared" si="244"/>
        <v>519645.28</v>
      </c>
      <c r="U3091" s="4" t="str">
        <f t="shared" si="245"/>
        <v>Average</v>
      </c>
      <c r="V3091" s="4" t="str">
        <f t="shared" si="241"/>
        <v>Excellent</v>
      </c>
      <c r="W3091" s="4"/>
      <c r="X3091" s="4"/>
      <c r="AJ3091" s="4"/>
    </row>
    <row r="3092" spans="1:36">
      <c r="A3092" t="str">
        <f t="shared" si="242"/>
        <v>Meen553091</v>
      </c>
      <c r="B3092">
        <v>3091</v>
      </c>
      <c r="C3092">
        <v>7</v>
      </c>
      <c r="D3092">
        <v>3</v>
      </c>
      <c r="E3092">
        <v>2024</v>
      </c>
      <c r="F3092" s="1">
        <f t="shared" si="243"/>
        <v>45358</v>
      </c>
      <c r="G3092" s="1" t="s">
        <v>475</v>
      </c>
      <c r="H3092" s="2">
        <v>47568</v>
      </c>
      <c r="I3092" t="s">
        <v>49</v>
      </c>
      <c r="J3092">
        <v>9</v>
      </c>
      <c r="K3092">
        <v>67487.37</v>
      </c>
      <c r="L3092" t="s">
        <v>538</v>
      </c>
      <c r="M3092">
        <v>55</v>
      </c>
      <c r="N3092" t="s">
        <v>61</v>
      </c>
      <c r="O3092" s="3" t="s">
        <v>22</v>
      </c>
      <c r="P3092" t="s">
        <v>110</v>
      </c>
      <c r="Q3092" t="s">
        <v>56</v>
      </c>
      <c r="R3092">
        <v>5</v>
      </c>
      <c r="S3092" t="s">
        <v>52</v>
      </c>
      <c r="T3092" s="4">
        <f t="shared" si="244"/>
        <v>607386.32999999996</v>
      </c>
      <c r="U3092" s="4" t="str">
        <f t="shared" si="245"/>
        <v>Good</v>
      </c>
      <c r="V3092" s="4" t="str">
        <f t="shared" si="241"/>
        <v>Excellent</v>
      </c>
      <c r="W3092" s="4"/>
      <c r="X3092" s="4"/>
      <c r="AJ3092" s="4"/>
    </row>
    <row r="3093" spans="1:36">
      <c r="A3093" t="str">
        <f t="shared" si="242"/>
        <v>Bhav353092</v>
      </c>
      <c r="B3093">
        <v>3092</v>
      </c>
      <c r="C3093">
        <v>8</v>
      </c>
      <c r="D3093">
        <v>3</v>
      </c>
      <c r="E3093">
        <v>2024</v>
      </c>
      <c r="F3093" s="1">
        <f t="shared" si="243"/>
        <v>45359</v>
      </c>
      <c r="G3093" s="1" t="s">
        <v>475</v>
      </c>
      <c r="H3093" s="2">
        <v>47569</v>
      </c>
      <c r="I3093" t="s">
        <v>43</v>
      </c>
      <c r="J3093">
        <v>9</v>
      </c>
      <c r="K3093">
        <v>10631.56</v>
      </c>
      <c r="L3093" t="s">
        <v>86</v>
      </c>
      <c r="M3093">
        <v>35</v>
      </c>
      <c r="N3093" t="s">
        <v>21</v>
      </c>
      <c r="O3093" s="3" t="s">
        <v>22</v>
      </c>
      <c r="P3093" t="s">
        <v>110</v>
      </c>
      <c r="Q3093" t="s">
        <v>56</v>
      </c>
      <c r="R3093">
        <v>5</v>
      </c>
      <c r="S3093" t="s">
        <v>46</v>
      </c>
      <c r="T3093" s="4">
        <f t="shared" si="244"/>
        <v>95684.04</v>
      </c>
      <c r="U3093" s="4" t="str">
        <f t="shared" si="245"/>
        <v>Good</v>
      </c>
      <c r="V3093" s="4" t="str">
        <f t="shared" si="241"/>
        <v>Average</v>
      </c>
      <c r="W3093" s="4"/>
      <c r="X3093" s="4"/>
      <c r="AJ3093" s="4"/>
    </row>
    <row r="3094" spans="1:36">
      <c r="A3094" t="str">
        <f t="shared" si="242"/>
        <v>Vive433093</v>
      </c>
      <c r="B3094">
        <v>3093</v>
      </c>
      <c r="C3094">
        <v>8</v>
      </c>
      <c r="D3094">
        <v>3</v>
      </c>
      <c r="E3094">
        <v>2024</v>
      </c>
      <c r="F3094" s="1">
        <f t="shared" si="243"/>
        <v>45359</v>
      </c>
      <c r="G3094" s="1" t="s">
        <v>475</v>
      </c>
      <c r="H3094" s="2">
        <v>47570</v>
      </c>
      <c r="I3094" t="s">
        <v>49</v>
      </c>
      <c r="J3094">
        <v>2</v>
      </c>
      <c r="K3094">
        <v>69422.45</v>
      </c>
      <c r="L3094" t="s">
        <v>420</v>
      </c>
      <c r="M3094">
        <v>43</v>
      </c>
      <c r="N3094" t="s">
        <v>21</v>
      </c>
      <c r="O3094" s="3" t="s">
        <v>22</v>
      </c>
      <c r="P3094" t="s">
        <v>29</v>
      </c>
      <c r="Q3094" t="s">
        <v>41</v>
      </c>
      <c r="R3094">
        <v>5</v>
      </c>
      <c r="S3094" t="s">
        <v>52</v>
      </c>
      <c r="T3094" s="4">
        <f t="shared" si="244"/>
        <v>138844.9</v>
      </c>
      <c r="U3094" s="4" t="str">
        <f t="shared" si="245"/>
        <v>Good</v>
      </c>
      <c r="V3094" s="4" t="str">
        <f t="shared" si="241"/>
        <v>Good</v>
      </c>
      <c r="W3094" s="4"/>
      <c r="X3094" s="4"/>
      <c r="AJ3094" s="4"/>
    </row>
    <row r="3095" spans="1:36">
      <c r="A3095" t="str">
        <f t="shared" si="242"/>
        <v>Kavi483094</v>
      </c>
      <c r="B3095">
        <v>3094</v>
      </c>
      <c r="C3095">
        <v>8</v>
      </c>
      <c r="D3095">
        <v>3</v>
      </c>
      <c r="E3095">
        <v>2024</v>
      </c>
      <c r="F3095" s="1">
        <f t="shared" si="243"/>
        <v>45359</v>
      </c>
      <c r="G3095" s="1" t="s">
        <v>475</v>
      </c>
      <c r="H3095" s="2">
        <v>47571</v>
      </c>
      <c r="I3095" t="s">
        <v>26</v>
      </c>
      <c r="J3095">
        <v>7</v>
      </c>
      <c r="K3095">
        <v>50981.1</v>
      </c>
      <c r="L3095" t="s">
        <v>230</v>
      </c>
      <c r="M3095">
        <v>48</v>
      </c>
      <c r="N3095" t="s">
        <v>61</v>
      </c>
      <c r="O3095" s="3" t="s">
        <v>28</v>
      </c>
      <c r="P3095" t="s">
        <v>77</v>
      </c>
      <c r="Q3095" t="s">
        <v>41</v>
      </c>
      <c r="R3095">
        <v>3</v>
      </c>
      <c r="S3095" t="s">
        <v>34</v>
      </c>
      <c r="T3095" s="4">
        <f t="shared" si="244"/>
        <v>356867.7</v>
      </c>
      <c r="U3095" s="4" t="str">
        <f t="shared" si="245"/>
        <v>Average</v>
      </c>
      <c r="V3095" s="4" t="str">
        <f t="shared" si="241"/>
        <v>Excellent</v>
      </c>
      <c r="W3095" s="4"/>
      <c r="X3095" s="4"/>
      <c r="AJ3095" s="4"/>
    </row>
    <row r="3096" spans="1:36">
      <c r="A3096" t="str">
        <f t="shared" si="242"/>
        <v>Anja543095</v>
      </c>
      <c r="B3096">
        <v>3095</v>
      </c>
      <c r="C3096">
        <v>8</v>
      </c>
      <c r="D3096">
        <v>3</v>
      </c>
      <c r="E3096">
        <v>2024</v>
      </c>
      <c r="F3096" s="1">
        <f t="shared" si="243"/>
        <v>45359</v>
      </c>
      <c r="G3096" s="1" t="s">
        <v>475</v>
      </c>
      <c r="H3096" s="2">
        <v>47572</v>
      </c>
      <c r="I3096" t="s">
        <v>49</v>
      </c>
      <c r="J3096">
        <v>7</v>
      </c>
      <c r="K3096">
        <v>48611.45</v>
      </c>
      <c r="L3096" t="s">
        <v>958</v>
      </c>
      <c r="M3096">
        <v>54</v>
      </c>
      <c r="N3096" t="s">
        <v>61</v>
      </c>
      <c r="O3096" s="3" t="s">
        <v>55</v>
      </c>
      <c r="P3096" t="s">
        <v>29</v>
      </c>
      <c r="Q3096" t="s">
        <v>41</v>
      </c>
      <c r="R3096">
        <v>2</v>
      </c>
      <c r="S3096" t="s">
        <v>102</v>
      </c>
      <c r="T3096" s="4">
        <f t="shared" si="244"/>
        <v>340280.14999999997</v>
      </c>
      <c r="U3096" s="4" t="str">
        <f t="shared" si="245"/>
        <v>Average</v>
      </c>
      <c r="V3096" s="4" t="str">
        <f t="shared" si="241"/>
        <v>Excellent</v>
      </c>
      <c r="W3096" s="4"/>
      <c r="X3096" s="4"/>
      <c r="AJ3096" s="4"/>
    </row>
    <row r="3097" spans="1:36">
      <c r="A3097" t="str">
        <f t="shared" si="242"/>
        <v>Arun233096</v>
      </c>
      <c r="B3097">
        <v>3096</v>
      </c>
      <c r="C3097">
        <v>9</v>
      </c>
      <c r="D3097">
        <v>3</v>
      </c>
      <c r="E3097">
        <v>2024</v>
      </c>
      <c r="F3097" s="1">
        <f t="shared" si="243"/>
        <v>45360</v>
      </c>
      <c r="G3097" s="1" t="s">
        <v>475</v>
      </c>
      <c r="H3097" s="2">
        <v>47573</v>
      </c>
      <c r="I3097" t="s">
        <v>26</v>
      </c>
      <c r="J3097">
        <v>4</v>
      </c>
      <c r="K3097">
        <v>10912.79</v>
      </c>
      <c r="L3097" t="s">
        <v>382</v>
      </c>
      <c r="M3097">
        <v>23</v>
      </c>
      <c r="N3097" t="s">
        <v>36</v>
      </c>
      <c r="O3097" s="3" t="s">
        <v>22</v>
      </c>
      <c r="P3097" t="s">
        <v>33</v>
      </c>
      <c r="Q3097" t="s">
        <v>56</v>
      </c>
      <c r="R3097">
        <v>4</v>
      </c>
      <c r="S3097" t="s">
        <v>31</v>
      </c>
      <c r="T3097" s="4">
        <f t="shared" si="244"/>
        <v>43651.16</v>
      </c>
      <c r="U3097" s="4" t="str">
        <f t="shared" si="245"/>
        <v>Good</v>
      </c>
      <c r="V3097" s="4" t="str">
        <f t="shared" si="241"/>
        <v>Low</v>
      </c>
      <c r="W3097" s="4"/>
      <c r="X3097" s="4"/>
      <c r="AJ3097" s="4"/>
    </row>
    <row r="3098" spans="1:36">
      <c r="A3098" t="str">
        <f t="shared" si="242"/>
        <v>Meen583097</v>
      </c>
      <c r="B3098">
        <v>3097</v>
      </c>
      <c r="C3098">
        <v>9</v>
      </c>
      <c r="D3098">
        <v>3</v>
      </c>
      <c r="E3098">
        <v>2024</v>
      </c>
      <c r="F3098" s="1">
        <f t="shared" si="243"/>
        <v>45360</v>
      </c>
      <c r="G3098" s="1" t="s">
        <v>475</v>
      </c>
      <c r="H3098" s="2">
        <v>47574</v>
      </c>
      <c r="I3098" t="s">
        <v>26</v>
      </c>
      <c r="J3098">
        <v>9</v>
      </c>
      <c r="K3098">
        <v>61674</v>
      </c>
      <c r="L3098" t="s">
        <v>597</v>
      </c>
      <c r="M3098">
        <v>58</v>
      </c>
      <c r="N3098" t="s">
        <v>61</v>
      </c>
      <c r="O3098" s="3" t="s">
        <v>55</v>
      </c>
      <c r="P3098" t="s">
        <v>77</v>
      </c>
      <c r="Q3098" t="s">
        <v>30</v>
      </c>
      <c r="R3098">
        <v>1</v>
      </c>
      <c r="S3098" t="s">
        <v>34</v>
      </c>
      <c r="T3098" s="4">
        <f t="shared" si="244"/>
        <v>555066</v>
      </c>
      <c r="U3098" s="4" t="str">
        <f t="shared" si="245"/>
        <v>Average</v>
      </c>
      <c r="V3098" s="4" t="str">
        <f t="shared" si="241"/>
        <v>Excellent</v>
      </c>
      <c r="W3098" s="4"/>
      <c r="X3098" s="4"/>
      <c r="AJ3098" s="4"/>
    </row>
    <row r="3099" spans="1:36">
      <c r="A3099" t="str">
        <f t="shared" si="242"/>
        <v>Anit323098</v>
      </c>
      <c r="B3099">
        <v>3098</v>
      </c>
      <c r="C3099">
        <v>9</v>
      </c>
      <c r="D3099">
        <v>3</v>
      </c>
      <c r="E3099">
        <v>2024</v>
      </c>
      <c r="F3099" s="1">
        <f t="shared" si="243"/>
        <v>45360</v>
      </c>
      <c r="G3099" s="1" t="s">
        <v>475</v>
      </c>
      <c r="H3099" s="2">
        <v>47575</v>
      </c>
      <c r="I3099" t="s">
        <v>38</v>
      </c>
      <c r="J3099">
        <v>8</v>
      </c>
      <c r="K3099">
        <v>18729.490000000002</v>
      </c>
      <c r="L3099" t="s">
        <v>766</v>
      </c>
      <c r="M3099">
        <v>32</v>
      </c>
      <c r="N3099" t="s">
        <v>21</v>
      </c>
      <c r="O3099" s="3" t="s">
        <v>55</v>
      </c>
      <c r="P3099" t="s">
        <v>114</v>
      </c>
      <c r="Q3099" t="s">
        <v>56</v>
      </c>
      <c r="R3099">
        <v>2</v>
      </c>
      <c r="S3099" t="s">
        <v>42</v>
      </c>
      <c r="T3099" s="4">
        <f t="shared" si="244"/>
        <v>149835.92000000001</v>
      </c>
      <c r="U3099" s="4" t="str">
        <f t="shared" si="245"/>
        <v>Average</v>
      </c>
      <c r="V3099" s="4" t="str">
        <f t="shared" si="241"/>
        <v>Good</v>
      </c>
      <c r="W3099" s="4"/>
      <c r="X3099" s="4"/>
      <c r="AJ3099" s="4"/>
    </row>
    <row r="3100" spans="1:36">
      <c r="A3100" t="str">
        <f t="shared" si="242"/>
        <v>Priy593099</v>
      </c>
      <c r="B3100">
        <v>3099</v>
      </c>
      <c r="C3100">
        <v>10</v>
      </c>
      <c r="D3100">
        <v>3</v>
      </c>
      <c r="E3100">
        <v>2024</v>
      </c>
      <c r="F3100" s="1">
        <f t="shared" si="243"/>
        <v>45361</v>
      </c>
      <c r="G3100" s="1" t="s">
        <v>475</v>
      </c>
      <c r="H3100" s="2">
        <v>47576</v>
      </c>
      <c r="I3100" t="s">
        <v>26</v>
      </c>
      <c r="J3100">
        <v>1</v>
      </c>
      <c r="K3100">
        <v>60239.81</v>
      </c>
      <c r="L3100" t="s">
        <v>212</v>
      </c>
      <c r="M3100">
        <v>59</v>
      </c>
      <c r="N3100" t="s">
        <v>61</v>
      </c>
      <c r="O3100" s="3" t="s">
        <v>28</v>
      </c>
      <c r="P3100" t="s">
        <v>23</v>
      </c>
      <c r="Q3100" t="s">
        <v>56</v>
      </c>
      <c r="R3100">
        <v>3</v>
      </c>
      <c r="S3100" t="s">
        <v>31</v>
      </c>
      <c r="T3100" s="4">
        <f t="shared" si="244"/>
        <v>60239.81</v>
      </c>
      <c r="U3100" s="4" t="str">
        <f t="shared" si="245"/>
        <v>Average</v>
      </c>
      <c r="V3100" s="4" t="str">
        <f t="shared" si="241"/>
        <v>Average</v>
      </c>
      <c r="W3100" s="4"/>
      <c r="X3100" s="4"/>
      <c r="AJ3100" s="4"/>
    </row>
    <row r="3101" spans="1:36">
      <c r="A3101" t="str">
        <f t="shared" si="242"/>
        <v>Nikh433100</v>
      </c>
      <c r="B3101">
        <v>3100</v>
      </c>
      <c r="C3101">
        <v>10</v>
      </c>
      <c r="D3101">
        <v>3</v>
      </c>
      <c r="E3101">
        <v>2024</v>
      </c>
      <c r="F3101" s="1">
        <f t="shared" si="243"/>
        <v>45361</v>
      </c>
      <c r="G3101" s="1" t="s">
        <v>475</v>
      </c>
      <c r="H3101" s="2">
        <v>47577</v>
      </c>
      <c r="I3101" t="s">
        <v>26</v>
      </c>
      <c r="J3101">
        <v>2</v>
      </c>
      <c r="K3101">
        <v>10933.75</v>
      </c>
      <c r="L3101" t="s">
        <v>162</v>
      </c>
      <c r="M3101">
        <v>43</v>
      </c>
      <c r="N3101" t="s">
        <v>21</v>
      </c>
      <c r="O3101" s="3" t="s">
        <v>22</v>
      </c>
      <c r="P3101" t="s">
        <v>117</v>
      </c>
      <c r="Q3101" t="s">
        <v>56</v>
      </c>
      <c r="R3101">
        <v>4</v>
      </c>
      <c r="S3101" t="s">
        <v>34</v>
      </c>
      <c r="T3101" s="4">
        <f t="shared" si="244"/>
        <v>21867.5</v>
      </c>
      <c r="U3101" s="4" t="str">
        <f t="shared" si="245"/>
        <v>Good</v>
      </c>
      <c r="V3101" s="4" t="str">
        <f t="shared" si="241"/>
        <v>Low</v>
      </c>
      <c r="W3101" s="4"/>
      <c r="X3101" s="4"/>
      <c r="AJ3101" s="4"/>
    </row>
    <row r="3102" spans="1:36">
      <c r="A3102" t="str">
        <f t="shared" si="242"/>
        <v>Ayes293101</v>
      </c>
      <c r="B3102">
        <v>3101</v>
      </c>
      <c r="C3102">
        <v>10</v>
      </c>
      <c r="D3102">
        <v>3</v>
      </c>
      <c r="E3102">
        <v>2024</v>
      </c>
      <c r="F3102" s="1">
        <f t="shared" si="243"/>
        <v>45361</v>
      </c>
      <c r="G3102" s="1" t="s">
        <v>475</v>
      </c>
      <c r="H3102" s="2">
        <v>47578</v>
      </c>
      <c r="I3102" t="s">
        <v>19</v>
      </c>
      <c r="J3102">
        <v>2</v>
      </c>
      <c r="K3102">
        <v>48757.86</v>
      </c>
      <c r="L3102" t="s">
        <v>922</v>
      </c>
      <c r="M3102">
        <v>29</v>
      </c>
      <c r="N3102" t="s">
        <v>36</v>
      </c>
      <c r="O3102" s="3" t="s">
        <v>55</v>
      </c>
      <c r="P3102" t="s">
        <v>114</v>
      </c>
      <c r="Q3102" t="s">
        <v>30</v>
      </c>
      <c r="R3102">
        <v>1</v>
      </c>
      <c r="S3102" t="s">
        <v>84</v>
      </c>
      <c r="T3102" s="4">
        <f t="shared" si="244"/>
        <v>97515.72</v>
      </c>
      <c r="U3102" s="4" t="str">
        <f t="shared" si="245"/>
        <v>Average</v>
      </c>
      <c r="V3102" s="4" t="str">
        <f t="shared" si="241"/>
        <v>Average</v>
      </c>
      <c r="W3102" s="4"/>
      <c r="X3102" s="4"/>
      <c r="AJ3102" s="4"/>
    </row>
    <row r="3103" spans="1:36">
      <c r="A3103" t="str">
        <f t="shared" si="242"/>
        <v>Bhav583102</v>
      </c>
      <c r="B3103">
        <v>3102</v>
      </c>
      <c r="C3103">
        <v>10</v>
      </c>
      <c r="D3103">
        <v>3</v>
      </c>
      <c r="E3103">
        <v>2024</v>
      </c>
      <c r="F3103" s="1">
        <f t="shared" si="243"/>
        <v>45361</v>
      </c>
      <c r="G3103" s="1" t="s">
        <v>475</v>
      </c>
      <c r="H3103" s="2">
        <v>47579</v>
      </c>
      <c r="I3103" t="s">
        <v>43</v>
      </c>
      <c r="J3103">
        <v>8</v>
      </c>
      <c r="K3103">
        <v>36088.089999999997</v>
      </c>
      <c r="L3103" t="s">
        <v>440</v>
      </c>
      <c r="M3103">
        <v>58</v>
      </c>
      <c r="N3103" t="s">
        <v>61</v>
      </c>
      <c r="O3103" s="3" t="s">
        <v>22</v>
      </c>
      <c r="P3103" t="s">
        <v>33</v>
      </c>
      <c r="Q3103" t="s">
        <v>56</v>
      </c>
      <c r="R3103">
        <v>4</v>
      </c>
      <c r="S3103" t="s">
        <v>57</v>
      </c>
      <c r="T3103" s="4">
        <f t="shared" si="244"/>
        <v>288704.71999999997</v>
      </c>
      <c r="U3103" s="4" t="str">
        <f t="shared" si="245"/>
        <v>Good</v>
      </c>
      <c r="V3103" s="4" t="str">
        <f t="shared" si="241"/>
        <v>Excellent</v>
      </c>
      <c r="W3103" s="4"/>
      <c r="X3103" s="4"/>
      <c r="AJ3103" s="4"/>
    </row>
    <row r="3104" spans="1:36">
      <c r="A3104" t="str">
        <f t="shared" si="242"/>
        <v>Sumi313103</v>
      </c>
      <c r="B3104">
        <v>3103</v>
      </c>
      <c r="C3104">
        <v>11</v>
      </c>
      <c r="D3104">
        <v>3</v>
      </c>
      <c r="E3104">
        <v>2024</v>
      </c>
      <c r="F3104" s="1">
        <f t="shared" si="243"/>
        <v>45362</v>
      </c>
      <c r="G3104" s="1" t="s">
        <v>475</v>
      </c>
      <c r="H3104" s="2">
        <v>47580</v>
      </c>
      <c r="I3104" t="s">
        <v>38</v>
      </c>
      <c r="J3104">
        <v>1</v>
      </c>
      <c r="K3104">
        <v>22046</v>
      </c>
      <c r="L3104" t="s">
        <v>1046</v>
      </c>
      <c r="M3104">
        <v>31</v>
      </c>
      <c r="N3104" t="s">
        <v>21</v>
      </c>
      <c r="O3104" s="3" t="s">
        <v>55</v>
      </c>
      <c r="P3104" t="s">
        <v>29</v>
      </c>
      <c r="Q3104" t="s">
        <v>41</v>
      </c>
      <c r="R3104">
        <v>1</v>
      </c>
      <c r="S3104" t="s">
        <v>42</v>
      </c>
      <c r="T3104" s="4">
        <f t="shared" si="244"/>
        <v>22046</v>
      </c>
      <c r="U3104" s="4" t="str">
        <f t="shared" si="245"/>
        <v>Average</v>
      </c>
      <c r="V3104" s="4" t="str">
        <f t="shared" si="241"/>
        <v>Low</v>
      </c>
      <c r="W3104" s="4"/>
      <c r="X3104" s="4"/>
      <c r="AJ3104" s="4"/>
    </row>
    <row r="3105" spans="1:36">
      <c r="A3105" t="str">
        <f t="shared" si="242"/>
        <v>Mano183104</v>
      </c>
      <c r="B3105">
        <v>3104</v>
      </c>
      <c r="C3105">
        <v>11</v>
      </c>
      <c r="D3105">
        <v>3</v>
      </c>
      <c r="E3105">
        <v>2024</v>
      </c>
      <c r="F3105" s="1">
        <f t="shared" si="243"/>
        <v>45362</v>
      </c>
      <c r="G3105" s="1" t="s">
        <v>475</v>
      </c>
      <c r="H3105" s="2">
        <v>47581</v>
      </c>
      <c r="I3105" t="s">
        <v>38</v>
      </c>
      <c r="J3105">
        <v>4</v>
      </c>
      <c r="K3105">
        <v>16453.68</v>
      </c>
      <c r="L3105" t="s">
        <v>450</v>
      </c>
      <c r="M3105">
        <v>18</v>
      </c>
      <c r="N3105" t="s">
        <v>36</v>
      </c>
      <c r="O3105" s="3" t="s">
        <v>55</v>
      </c>
      <c r="P3105" t="s">
        <v>66</v>
      </c>
      <c r="Q3105" t="s">
        <v>41</v>
      </c>
      <c r="R3105">
        <v>1</v>
      </c>
      <c r="S3105" t="s">
        <v>42</v>
      </c>
      <c r="T3105" s="4">
        <f t="shared" si="244"/>
        <v>65814.720000000001</v>
      </c>
      <c r="U3105" s="4" t="str">
        <f t="shared" si="245"/>
        <v>Average</v>
      </c>
      <c r="V3105" s="4" t="str">
        <f t="shared" si="241"/>
        <v>Average</v>
      </c>
      <c r="W3105" s="4"/>
      <c r="X3105" s="4"/>
      <c r="AJ3105" s="4"/>
    </row>
    <row r="3106" spans="1:36">
      <c r="A3106" t="str">
        <f t="shared" si="242"/>
        <v>Shru343105</v>
      </c>
      <c r="B3106">
        <v>3105</v>
      </c>
      <c r="C3106">
        <v>11</v>
      </c>
      <c r="D3106">
        <v>3</v>
      </c>
      <c r="E3106">
        <v>2024</v>
      </c>
      <c r="F3106" s="1">
        <f t="shared" si="243"/>
        <v>45362</v>
      </c>
      <c r="G3106" s="1" t="s">
        <v>475</v>
      </c>
      <c r="H3106" s="2">
        <v>47582</v>
      </c>
      <c r="I3106" t="s">
        <v>38</v>
      </c>
      <c r="J3106">
        <v>5</v>
      </c>
      <c r="K3106">
        <v>36407.660000000003</v>
      </c>
      <c r="L3106" t="s">
        <v>551</v>
      </c>
      <c r="M3106">
        <v>34</v>
      </c>
      <c r="N3106" t="s">
        <v>21</v>
      </c>
      <c r="O3106" s="3" t="s">
        <v>22</v>
      </c>
      <c r="P3106" t="s">
        <v>33</v>
      </c>
      <c r="Q3106" t="s">
        <v>41</v>
      </c>
      <c r="R3106">
        <v>5</v>
      </c>
      <c r="S3106" t="s">
        <v>42</v>
      </c>
      <c r="T3106" s="4">
        <f t="shared" si="244"/>
        <v>182038.30000000002</v>
      </c>
      <c r="U3106" s="4" t="str">
        <f t="shared" si="245"/>
        <v>Good</v>
      </c>
      <c r="V3106" s="4" t="str">
        <f t="shared" si="241"/>
        <v>Good</v>
      </c>
      <c r="W3106" s="4"/>
      <c r="X3106" s="4"/>
      <c r="AJ3106" s="4"/>
    </row>
    <row r="3107" spans="1:36">
      <c r="A3107" t="str">
        <f t="shared" si="242"/>
        <v>Amit503106</v>
      </c>
      <c r="B3107">
        <v>3106</v>
      </c>
      <c r="C3107">
        <v>11</v>
      </c>
      <c r="D3107">
        <v>3</v>
      </c>
      <c r="E3107">
        <v>2024</v>
      </c>
      <c r="F3107" s="1">
        <f t="shared" si="243"/>
        <v>45362</v>
      </c>
      <c r="G3107" s="1" t="s">
        <v>475</v>
      </c>
      <c r="H3107" s="2">
        <v>47583</v>
      </c>
      <c r="I3107" t="s">
        <v>19</v>
      </c>
      <c r="J3107">
        <v>9</v>
      </c>
      <c r="K3107">
        <v>17398.349999999999</v>
      </c>
      <c r="L3107" t="s">
        <v>416</v>
      </c>
      <c r="M3107">
        <v>50</v>
      </c>
      <c r="N3107" t="s">
        <v>61</v>
      </c>
      <c r="O3107" s="3" t="s">
        <v>28</v>
      </c>
      <c r="P3107" t="s">
        <v>150</v>
      </c>
      <c r="Q3107" t="s">
        <v>41</v>
      </c>
      <c r="R3107">
        <v>3</v>
      </c>
      <c r="S3107" t="s">
        <v>25</v>
      </c>
      <c r="T3107" s="4">
        <f t="shared" si="244"/>
        <v>156585.15</v>
      </c>
      <c r="U3107" s="4" t="str">
        <f t="shared" si="245"/>
        <v>Average</v>
      </c>
      <c r="V3107" s="4" t="str">
        <f t="shared" si="241"/>
        <v>Good</v>
      </c>
      <c r="W3107" s="4"/>
      <c r="X3107" s="4"/>
      <c r="AJ3107" s="4"/>
    </row>
    <row r="3108" spans="1:36">
      <c r="A3108" t="str">
        <f t="shared" si="242"/>
        <v>Vive463107</v>
      </c>
      <c r="B3108">
        <v>3107</v>
      </c>
      <c r="C3108">
        <v>12</v>
      </c>
      <c r="D3108">
        <v>3</v>
      </c>
      <c r="E3108">
        <v>2024</v>
      </c>
      <c r="F3108" s="1">
        <f t="shared" si="243"/>
        <v>45363</v>
      </c>
      <c r="G3108" s="1" t="s">
        <v>475</v>
      </c>
      <c r="H3108" s="2">
        <v>47584</v>
      </c>
      <c r="I3108" t="s">
        <v>26</v>
      </c>
      <c r="J3108">
        <v>7</v>
      </c>
      <c r="K3108">
        <v>39186.800000000003</v>
      </c>
      <c r="L3108" t="s">
        <v>469</v>
      </c>
      <c r="M3108">
        <v>46</v>
      </c>
      <c r="N3108" t="s">
        <v>61</v>
      </c>
      <c r="O3108" s="3" t="s">
        <v>55</v>
      </c>
      <c r="P3108" t="s">
        <v>29</v>
      </c>
      <c r="Q3108" t="s">
        <v>56</v>
      </c>
      <c r="R3108">
        <v>2</v>
      </c>
      <c r="S3108" t="s">
        <v>34</v>
      </c>
      <c r="T3108" s="4">
        <f t="shared" si="244"/>
        <v>274307.60000000003</v>
      </c>
      <c r="U3108" s="4" t="str">
        <f t="shared" si="245"/>
        <v>Average</v>
      </c>
      <c r="V3108" s="4" t="str">
        <f t="shared" si="241"/>
        <v>Excellent</v>
      </c>
      <c r="W3108" s="4"/>
      <c r="X3108" s="4"/>
      <c r="AJ3108" s="4"/>
    </row>
    <row r="3109" spans="1:36">
      <c r="A3109" t="str">
        <f t="shared" si="242"/>
        <v>Adit483108</v>
      </c>
      <c r="B3109">
        <v>3108</v>
      </c>
      <c r="C3109">
        <v>12</v>
      </c>
      <c r="D3109">
        <v>3</v>
      </c>
      <c r="E3109">
        <v>2024</v>
      </c>
      <c r="F3109" s="1">
        <f t="shared" si="243"/>
        <v>45363</v>
      </c>
      <c r="G3109" s="1" t="s">
        <v>475</v>
      </c>
      <c r="H3109" s="2">
        <v>47585</v>
      </c>
      <c r="I3109" t="s">
        <v>43</v>
      </c>
      <c r="J3109">
        <v>8</v>
      </c>
      <c r="K3109">
        <v>47513.02</v>
      </c>
      <c r="L3109" t="s">
        <v>602</v>
      </c>
      <c r="M3109">
        <v>48</v>
      </c>
      <c r="N3109" t="s">
        <v>61</v>
      </c>
      <c r="O3109" s="3" t="s">
        <v>22</v>
      </c>
      <c r="P3109" t="s">
        <v>137</v>
      </c>
      <c r="Q3109" t="s">
        <v>56</v>
      </c>
      <c r="R3109">
        <v>5</v>
      </c>
      <c r="S3109" t="s">
        <v>46</v>
      </c>
      <c r="T3109" s="4">
        <f t="shared" si="244"/>
        <v>380104.16</v>
      </c>
      <c r="U3109" s="4" t="str">
        <f t="shared" si="245"/>
        <v>Good</v>
      </c>
      <c r="V3109" s="4" t="str">
        <f t="shared" si="241"/>
        <v>Excellent</v>
      </c>
      <c r="W3109" s="4"/>
      <c r="X3109" s="4"/>
      <c r="AJ3109" s="4"/>
    </row>
    <row r="3110" spans="1:36">
      <c r="A3110" t="str">
        <f t="shared" si="242"/>
        <v>Amit253109</v>
      </c>
      <c r="B3110">
        <v>3109</v>
      </c>
      <c r="C3110">
        <v>12</v>
      </c>
      <c r="D3110">
        <v>3</v>
      </c>
      <c r="E3110">
        <v>2024</v>
      </c>
      <c r="F3110" s="1">
        <f t="shared" si="243"/>
        <v>45363</v>
      </c>
      <c r="G3110" s="1" t="s">
        <v>475</v>
      </c>
      <c r="H3110" s="2">
        <v>47586</v>
      </c>
      <c r="I3110" t="s">
        <v>49</v>
      </c>
      <c r="J3110">
        <v>9</v>
      </c>
      <c r="K3110">
        <v>59643.05</v>
      </c>
      <c r="L3110" t="s">
        <v>568</v>
      </c>
      <c r="M3110">
        <v>25</v>
      </c>
      <c r="N3110" t="s">
        <v>36</v>
      </c>
      <c r="O3110" s="3" t="s">
        <v>22</v>
      </c>
      <c r="P3110" t="s">
        <v>117</v>
      </c>
      <c r="Q3110" t="s">
        <v>56</v>
      </c>
      <c r="R3110">
        <v>5</v>
      </c>
      <c r="S3110" t="s">
        <v>88</v>
      </c>
      <c r="T3110" s="4">
        <f t="shared" si="244"/>
        <v>536787.45000000007</v>
      </c>
      <c r="U3110" s="4" t="str">
        <f t="shared" si="245"/>
        <v>Good</v>
      </c>
      <c r="V3110" s="4" t="str">
        <f t="shared" si="241"/>
        <v>Excellent</v>
      </c>
      <c r="W3110" s="4"/>
      <c r="X3110" s="4"/>
      <c r="AJ3110" s="4"/>
    </row>
    <row r="3111" spans="1:36">
      <c r="A3111" t="str">
        <f t="shared" si="242"/>
        <v>Mala473110</v>
      </c>
      <c r="B3111">
        <v>3110</v>
      </c>
      <c r="C3111">
        <v>13</v>
      </c>
      <c r="D3111">
        <v>3</v>
      </c>
      <c r="E3111">
        <v>2024</v>
      </c>
      <c r="F3111" s="1">
        <f t="shared" si="243"/>
        <v>45364</v>
      </c>
      <c r="G3111" s="1" t="s">
        <v>475</v>
      </c>
      <c r="H3111" s="2">
        <v>47587</v>
      </c>
      <c r="I3111" t="s">
        <v>26</v>
      </c>
      <c r="J3111">
        <v>7</v>
      </c>
      <c r="K3111">
        <v>50718.97</v>
      </c>
      <c r="L3111" t="s">
        <v>118</v>
      </c>
      <c r="M3111">
        <v>47</v>
      </c>
      <c r="N3111" t="s">
        <v>61</v>
      </c>
      <c r="O3111" s="3" t="s">
        <v>22</v>
      </c>
      <c r="P3111" t="s">
        <v>29</v>
      </c>
      <c r="Q3111" t="s">
        <v>41</v>
      </c>
      <c r="R3111">
        <v>4</v>
      </c>
      <c r="S3111" t="s">
        <v>31</v>
      </c>
      <c r="T3111" s="4">
        <f t="shared" si="244"/>
        <v>355032.79000000004</v>
      </c>
      <c r="U3111" s="4" t="str">
        <f t="shared" si="245"/>
        <v>Good</v>
      </c>
      <c r="V3111" s="4" t="str">
        <f t="shared" si="241"/>
        <v>Excellent</v>
      </c>
      <c r="W3111" s="4"/>
      <c r="X3111" s="4"/>
      <c r="AJ3111" s="4"/>
    </row>
    <row r="3112" spans="1:36">
      <c r="A3112" t="str">
        <f t="shared" si="242"/>
        <v>Pank303111</v>
      </c>
      <c r="B3112">
        <v>3111</v>
      </c>
      <c r="C3112">
        <v>13</v>
      </c>
      <c r="D3112">
        <v>3</v>
      </c>
      <c r="E3112">
        <v>2024</v>
      </c>
      <c r="F3112" s="1">
        <f t="shared" si="243"/>
        <v>45364</v>
      </c>
      <c r="G3112" s="1" t="s">
        <v>475</v>
      </c>
      <c r="H3112" s="2">
        <v>47588</v>
      </c>
      <c r="I3112" t="s">
        <v>19</v>
      </c>
      <c r="J3112">
        <v>5</v>
      </c>
      <c r="K3112">
        <v>13911.99</v>
      </c>
      <c r="L3112" t="s">
        <v>789</v>
      </c>
      <c r="M3112">
        <v>30</v>
      </c>
      <c r="N3112" t="s">
        <v>36</v>
      </c>
      <c r="O3112" s="3" t="s">
        <v>55</v>
      </c>
      <c r="P3112" t="s">
        <v>33</v>
      </c>
      <c r="Q3112" t="s">
        <v>30</v>
      </c>
      <c r="R3112">
        <v>1</v>
      </c>
      <c r="S3112" t="s">
        <v>37</v>
      </c>
      <c r="T3112" s="4">
        <f t="shared" si="244"/>
        <v>69559.95</v>
      </c>
      <c r="U3112" s="4" t="str">
        <f t="shared" si="245"/>
        <v>Average</v>
      </c>
      <c r="V3112" s="4" t="str">
        <f t="shared" si="241"/>
        <v>Average</v>
      </c>
      <c r="W3112" s="4"/>
      <c r="X3112" s="4"/>
      <c r="AJ3112" s="4"/>
    </row>
    <row r="3113" spans="1:36">
      <c r="A3113" t="str">
        <f t="shared" si="242"/>
        <v>Deve333112</v>
      </c>
      <c r="B3113">
        <v>3112</v>
      </c>
      <c r="C3113">
        <v>13</v>
      </c>
      <c r="D3113">
        <v>3</v>
      </c>
      <c r="E3113">
        <v>2024</v>
      </c>
      <c r="F3113" s="1">
        <f t="shared" si="243"/>
        <v>45364</v>
      </c>
      <c r="G3113" s="1" t="s">
        <v>475</v>
      </c>
      <c r="H3113" s="2">
        <v>47589</v>
      </c>
      <c r="I3113" t="s">
        <v>26</v>
      </c>
      <c r="J3113">
        <v>5</v>
      </c>
      <c r="K3113">
        <v>28445.95</v>
      </c>
      <c r="L3113" t="s">
        <v>422</v>
      </c>
      <c r="M3113">
        <v>33</v>
      </c>
      <c r="N3113" t="s">
        <v>21</v>
      </c>
      <c r="O3113" s="3" t="s">
        <v>55</v>
      </c>
      <c r="P3113" t="s">
        <v>29</v>
      </c>
      <c r="Q3113" t="s">
        <v>24</v>
      </c>
      <c r="R3113">
        <v>1</v>
      </c>
      <c r="S3113" t="s">
        <v>31</v>
      </c>
      <c r="T3113" s="4">
        <f t="shared" si="244"/>
        <v>142229.75</v>
      </c>
      <c r="U3113" s="4" t="str">
        <f t="shared" si="245"/>
        <v>Average</v>
      </c>
      <c r="V3113" s="4" t="str">
        <f t="shared" si="241"/>
        <v>Good</v>
      </c>
      <c r="W3113" s="4"/>
      <c r="X3113" s="4"/>
      <c r="AJ3113" s="4"/>
    </row>
    <row r="3114" spans="1:36">
      <c r="A3114" t="str">
        <f t="shared" si="242"/>
        <v>Hari193113</v>
      </c>
      <c r="B3114">
        <v>3113</v>
      </c>
      <c r="C3114">
        <v>14</v>
      </c>
      <c r="D3114">
        <v>3</v>
      </c>
      <c r="E3114">
        <v>2024</v>
      </c>
      <c r="F3114" s="1">
        <f t="shared" si="243"/>
        <v>45365</v>
      </c>
      <c r="G3114" s="1" t="s">
        <v>475</v>
      </c>
      <c r="H3114" s="2">
        <v>47590</v>
      </c>
      <c r="I3114" t="s">
        <v>26</v>
      </c>
      <c r="J3114">
        <v>6</v>
      </c>
      <c r="K3114">
        <v>27278.720000000001</v>
      </c>
      <c r="L3114" t="s">
        <v>73</v>
      </c>
      <c r="M3114">
        <v>19</v>
      </c>
      <c r="N3114" t="s">
        <v>36</v>
      </c>
      <c r="O3114" s="3" t="s">
        <v>22</v>
      </c>
      <c r="P3114" t="s">
        <v>77</v>
      </c>
      <c r="Q3114" t="s">
        <v>24</v>
      </c>
      <c r="R3114">
        <v>4</v>
      </c>
      <c r="S3114" t="s">
        <v>67</v>
      </c>
      <c r="T3114" s="4">
        <f t="shared" si="244"/>
        <v>163672.32000000001</v>
      </c>
      <c r="U3114" s="4" t="str">
        <f t="shared" si="245"/>
        <v>Good</v>
      </c>
      <c r="V3114" s="4" t="str">
        <f t="shared" si="241"/>
        <v>Good</v>
      </c>
      <c r="W3114" s="4"/>
      <c r="X3114" s="4"/>
      <c r="AJ3114" s="4"/>
    </row>
    <row r="3115" spans="1:36">
      <c r="A3115" t="str">
        <f t="shared" si="242"/>
        <v>Pank353114</v>
      </c>
      <c r="B3115">
        <v>3114</v>
      </c>
      <c r="C3115">
        <v>14</v>
      </c>
      <c r="D3115">
        <v>3</v>
      </c>
      <c r="E3115">
        <v>2024</v>
      </c>
      <c r="F3115" s="1">
        <f t="shared" si="243"/>
        <v>45365</v>
      </c>
      <c r="G3115" s="1" t="s">
        <v>475</v>
      </c>
      <c r="H3115" s="2">
        <v>47591</v>
      </c>
      <c r="I3115" t="s">
        <v>19</v>
      </c>
      <c r="J3115">
        <v>5</v>
      </c>
      <c r="K3115">
        <v>64901.95</v>
      </c>
      <c r="L3115" t="s">
        <v>53</v>
      </c>
      <c r="M3115">
        <v>35</v>
      </c>
      <c r="N3115" t="s">
        <v>21</v>
      </c>
      <c r="O3115" s="3" t="s">
        <v>28</v>
      </c>
      <c r="P3115" t="s">
        <v>29</v>
      </c>
      <c r="Q3115" t="s">
        <v>24</v>
      </c>
      <c r="R3115">
        <v>3</v>
      </c>
      <c r="S3115" t="s">
        <v>84</v>
      </c>
      <c r="T3115" s="4">
        <f t="shared" si="244"/>
        <v>324509.75</v>
      </c>
      <c r="U3115" s="4" t="str">
        <f t="shared" si="245"/>
        <v>Average</v>
      </c>
      <c r="V3115" s="4" t="str">
        <f t="shared" si="241"/>
        <v>Excellent</v>
      </c>
      <c r="W3115" s="4"/>
      <c r="X3115" s="4"/>
      <c r="AJ3115" s="4"/>
    </row>
    <row r="3116" spans="1:36">
      <c r="A3116" t="str">
        <f t="shared" si="242"/>
        <v>Anit523115</v>
      </c>
      <c r="B3116">
        <v>3115</v>
      </c>
      <c r="C3116">
        <v>14</v>
      </c>
      <c r="D3116">
        <v>3</v>
      </c>
      <c r="E3116">
        <v>2024</v>
      </c>
      <c r="F3116" s="1">
        <f t="shared" si="243"/>
        <v>45365</v>
      </c>
      <c r="G3116" s="1" t="s">
        <v>475</v>
      </c>
      <c r="H3116" s="2">
        <v>47592</v>
      </c>
      <c r="I3116" t="s">
        <v>38</v>
      </c>
      <c r="J3116">
        <v>9</v>
      </c>
      <c r="K3116">
        <v>62066.92</v>
      </c>
      <c r="L3116" t="s">
        <v>869</v>
      </c>
      <c r="M3116">
        <v>52</v>
      </c>
      <c r="N3116" t="s">
        <v>61</v>
      </c>
      <c r="O3116" s="3" t="s">
        <v>55</v>
      </c>
      <c r="P3116" t="s">
        <v>59</v>
      </c>
      <c r="Q3116" t="s">
        <v>30</v>
      </c>
      <c r="R3116">
        <v>1</v>
      </c>
      <c r="S3116" t="s">
        <v>99</v>
      </c>
      <c r="T3116" s="4">
        <f t="shared" si="244"/>
        <v>558602.28</v>
      </c>
      <c r="U3116" s="4" t="str">
        <f t="shared" si="245"/>
        <v>Average</v>
      </c>
      <c r="V3116" s="4" t="str">
        <f t="shared" si="241"/>
        <v>Excellent</v>
      </c>
      <c r="W3116" s="4"/>
      <c r="X3116" s="4"/>
      <c r="AJ3116" s="4"/>
    </row>
    <row r="3117" spans="1:36">
      <c r="A3117" t="str">
        <f t="shared" si="242"/>
        <v>Priy363116</v>
      </c>
      <c r="B3117">
        <v>3116</v>
      </c>
      <c r="C3117">
        <v>14</v>
      </c>
      <c r="D3117">
        <v>3</v>
      </c>
      <c r="E3117">
        <v>2024</v>
      </c>
      <c r="F3117" s="1">
        <f t="shared" si="243"/>
        <v>45365</v>
      </c>
      <c r="G3117" s="1" t="s">
        <v>475</v>
      </c>
      <c r="H3117" s="2">
        <v>47593</v>
      </c>
      <c r="I3117" t="s">
        <v>38</v>
      </c>
      <c r="J3117">
        <v>3</v>
      </c>
      <c r="K3117">
        <v>32208.880000000001</v>
      </c>
      <c r="L3117" t="s">
        <v>719</v>
      </c>
      <c r="M3117">
        <v>36</v>
      </c>
      <c r="N3117" t="s">
        <v>21</v>
      </c>
      <c r="O3117" s="3" t="s">
        <v>22</v>
      </c>
      <c r="P3117" t="s">
        <v>33</v>
      </c>
      <c r="Q3117" t="s">
        <v>56</v>
      </c>
      <c r="R3117">
        <v>5</v>
      </c>
      <c r="S3117" t="s">
        <v>48</v>
      </c>
      <c r="T3117" s="4">
        <f t="shared" si="244"/>
        <v>96626.64</v>
      </c>
      <c r="U3117" s="4" t="str">
        <f t="shared" si="245"/>
        <v>Good</v>
      </c>
      <c r="V3117" s="4" t="str">
        <f t="shared" si="241"/>
        <v>Average</v>
      </c>
      <c r="W3117" s="4"/>
      <c r="X3117" s="4"/>
      <c r="AJ3117" s="4"/>
    </row>
    <row r="3118" spans="1:36">
      <c r="A3118" t="str">
        <f t="shared" si="242"/>
        <v>Priy303117</v>
      </c>
      <c r="B3118">
        <v>3117</v>
      </c>
      <c r="C3118">
        <v>15</v>
      </c>
      <c r="D3118">
        <v>3</v>
      </c>
      <c r="E3118">
        <v>2024</v>
      </c>
      <c r="F3118" s="1">
        <f t="shared" si="243"/>
        <v>45366</v>
      </c>
      <c r="G3118" s="1" t="s">
        <v>475</v>
      </c>
      <c r="H3118" s="2">
        <v>47594</v>
      </c>
      <c r="I3118" t="s">
        <v>43</v>
      </c>
      <c r="J3118">
        <v>3</v>
      </c>
      <c r="K3118">
        <v>14269.32</v>
      </c>
      <c r="L3118" t="s">
        <v>962</v>
      </c>
      <c r="M3118">
        <v>30</v>
      </c>
      <c r="N3118" t="s">
        <v>36</v>
      </c>
      <c r="O3118" s="3" t="s">
        <v>22</v>
      </c>
      <c r="P3118" t="s">
        <v>132</v>
      </c>
      <c r="Q3118" t="s">
        <v>24</v>
      </c>
      <c r="R3118">
        <v>5</v>
      </c>
      <c r="S3118" t="s">
        <v>95</v>
      </c>
      <c r="T3118" s="4">
        <f t="shared" si="244"/>
        <v>42807.96</v>
      </c>
      <c r="U3118" s="4" t="str">
        <f t="shared" si="245"/>
        <v>Good</v>
      </c>
      <c r="V3118" s="4" t="str">
        <f t="shared" si="241"/>
        <v>Low</v>
      </c>
      <c r="W3118" s="4"/>
      <c r="X3118" s="4"/>
      <c r="AJ3118" s="4"/>
    </row>
    <row r="3119" spans="1:36">
      <c r="A3119" t="str">
        <f t="shared" si="242"/>
        <v>Nikh213118</v>
      </c>
      <c r="B3119">
        <v>3118</v>
      </c>
      <c r="C3119">
        <v>15</v>
      </c>
      <c r="D3119">
        <v>3</v>
      </c>
      <c r="E3119">
        <v>2024</v>
      </c>
      <c r="F3119" s="1">
        <f t="shared" si="243"/>
        <v>45366</v>
      </c>
      <c r="G3119" s="1" t="s">
        <v>475</v>
      </c>
      <c r="H3119" s="2">
        <v>47595</v>
      </c>
      <c r="I3119" t="s">
        <v>43</v>
      </c>
      <c r="J3119">
        <v>7</v>
      </c>
      <c r="K3119">
        <v>63646.44</v>
      </c>
      <c r="L3119" t="s">
        <v>447</v>
      </c>
      <c r="M3119">
        <v>21</v>
      </c>
      <c r="N3119" t="s">
        <v>36</v>
      </c>
      <c r="O3119" s="3" t="s">
        <v>55</v>
      </c>
      <c r="P3119" t="s">
        <v>29</v>
      </c>
      <c r="Q3119" t="s">
        <v>24</v>
      </c>
      <c r="R3119">
        <v>1</v>
      </c>
      <c r="S3119" t="s">
        <v>46</v>
      </c>
      <c r="T3119" s="4">
        <f t="shared" si="244"/>
        <v>445525.08</v>
      </c>
      <c r="U3119" s="4" t="str">
        <f t="shared" si="245"/>
        <v>Average</v>
      </c>
      <c r="V3119" s="4" t="str">
        <f t="shared" si="241"/>
        <v>Excellent</v>
      </c>
      <c r="W3119" s="4"/>
      <c r="X3119" s="4"/>
      <c r="AJ3119" s="4"/>
    </row>
    <row r="3120" spans="1:36">
      <c r="A3120" t="str">
        <f t="shared" si="242"/>
        <v>Kavi363119</v>
      </c>
      <c r="B3120">
        <v>3119</v>
      </c>
      <c r="C3120">
        <v>15</v>
      </c>
      <c r="D3120">
        <v>3</v>
      </c>
      <c r="E3120">
        <v>2024</v>
      </c>
      <c r="F3120" s="1">
        <f t="shared" si="243"/>
        <v>45366</v>
      </c>
      <c r="G3120" s="1" t="s">
        <v>475</v>
      </c>
      <c r="H3120" s="2">
        <v>47596</v>
      </c>
      <c r="I3120" t="s">
        <v>38</v>
      </c>
      <c r="J3120">
        <v>7</v>
      </c>
      <c r="K3120">
        <v>63291.4</v>
      </c>
      <c r="L3120" t="s">
        <v>292</v>
      </c>
      <c r="M3120">
        <v>36</v>
      </c>
      <c r="N3120" t="s">
        <v>21</v>
      </c>
      <c r="O3120" s="3" t="s">
        <v>55</v>
      </c>
      <c r="P3120" t="s">
        <v>29</v>
      </c>
      <c r="Q3120" t="s">
        <v>56</v>
      </c>
      <c r="R3120">
        <v>1</v>
      </c>
      <c r="S3120" t="s">
        <v>42</v>
      </c>
      <c r="T3120" s="4">
        <f t="shared" si="244"/>
        <v>443039.8</v>
      </c>
      <c r="U3120" s="4" t="str">
        <f t="shared" si="245"/>
        <v>Average</v>
      </c>
      <c r="V3120" s="4" t="str">
        <f t="shared" si="241"/>
        <v>Excellent</v>
      </c>
      <c r="W3120" s="4"/>
      <c r="X3120" s="4"/>
      <c r="AJ3120" s="4"/>
    </row>
    <row r="3121" spans="1:36">
      <c r="A3121" t="str">
        <f t="shared" si="242"/>
        <v>Roha423120</v>
      </c>
      <c r="B3121">
        <v>3120</v>
      </c>
      <c r="C3121">
        <v>15</v>
      </c>
      <c r="D3121">
        <v>3</v>
      </c>
      <c r="E3121">
        <v>2024</v>
      </c>
      <c r="F3121" s="1">
        <f t="shared" si="243"/>
        <v>45366</v>
      </c>
      <c r="G3121" s="1" t="s">
        <v>475</v>
      </c>
      <c r="H3121" s="2">
        <v>47597</v>
      </c>
      <c r="I3121" t="s">
        <v>49</v>
      </c>
      <c r="J3121">
        <v>6</v>
      </c>
      <c r="K3121">
        <v>61284.77</v>
      </c>
      <c r="L3121" t="s">
        <v>659</v>
      </c>
      <c r="M3121">
        <v>42</v>
      </c>
      <c r="N3121" t="s">
        <v>21</v>
      </c>
      <c r="O3121" s="3" t="s">
        <v>28</v>
      </c>
      <c r="P3121" t="s">
        <v>40</v>
      </c>
      <c r="Q3121" t="s">
        <v>24</v>
      </c>
      <c r="R3121">
        <v>3</v>
      </c>
      <c r="S3121" t="s">
        <v>52</v>
      </c>
      <c r="T3121" s="4">
        <f t="shared" si="244"/>
        <v>367708.62</v>
      </c>
      <c r="U3121" s="4" t="str">
        <f t="shared" si="245"/>
        <v>Average</v>
      </c>
      <c r="V3121" s="4" t="str">
        <f t="shared" si="241"/>
        <v>Excellent</v>
      </c>
      <c r="W3121" s="4"/>
      <c r="X3121" s="4"/>
      <c r="AJ3121" s="4"/>
    </row>
    <row r="3122" spans="1:36">
      <c r="A3122" t="str">
        <f t="shared" si="242"/>
        <v>Nami553121</v>
      </c>
      <c r="B3122">
        <v>3121</v>
      </c>
      <c r="C3122">
        <v>16</v>
      </c>
      <c r="D3122">
        <v>3</v>
      </c>
      <c r="E3122">
        <v>2024</v>
      </c>
      <c r="F3122" s="1">
        <f t="shared" si="243"/>
        <v>45367</v>
      </c>
      <c r="G3122" s="1" t="s">
        <v>475</v>
      </c>
      <c r="H3122" s="2">
        <v>47598</v>
      </c>
      <c r="I3122" t="s">
        <v>26</v>
      </c>
      <c r="J3122">
        <v>3</v>
      </c>
      <c r="K3122">
        <v>60704.9</v>
      </c>
      <c r="L3122" t="s">
        <v>330</v>
      </c>
      <c r="M3122">
        <v>55</v>
      </c>
      <c r="N3122" t="s">
        <v>61</v>
      </c>
      <c r="O3122" s="3" t="s">
        <v>55</v>
      </c>
      <c r="P3122" t="s">
        <v>33</v>
      </c>
      <c r="Q3122" t="s">
        <v>56</v>
      </c>
      <c r="R3122">
        <v>1</v>
      </c>
      <c r="S3122" t="s">
        <v>34</v>
      </c>
      <c r="T3122" s="4">
        <f t="shared" si="244"/>
        <v>182114.7</v>
      </c>
      <c r="U3122" s="4" t="str">
        <f t="shared" si="245"/>
        <v>Average</v>
      </c>
      <c r="V3122" s="4" t="str">
        <f t="shared" si="241"/>
        <v>Good</v>
      </c>
      <c r="W3122" s="4"/>
      <c r="X3122" s="4"/>
      <c r="AJ3122" s="4"/>
    </row>
    <row r="3123" spans="1:36">
      <c r="A3123" t="str">
        <f t="shared" si="242"/>
        <v>Moni483122</v>
      </c>
      <c r="B3123">
        <v>3122</v>
      </c>
      <c r="C3123">
        <v>16</v>
      </c>
      <c r="D3123">
        <v>3</v>
      </c>
      <c r="E3123">
        <v>2024</v>
      </c>
      <c r="F3123" s="1">
        <f t="shared" si="243"/>
        <v>45367</v>
      </c>
      <c r="G3123" s="1" t="s">
        <v>475</v>
      </c>
      <c r="H3123" s="2">
        <v>47599</v>
      </c>
      <c r="I3123" t="s">
        <v>49</v>
      </c>
      <c r="J3123">
        <v>7</v>
      </c>
      <c r="K3123">
        <v>38815.24</v>
      </c>
      <c r="L3123" t="s">
        <v>301</v>
      </c>
      <c r="M3123">
        <v>48</v>
      </c>
      <c r="N3123" t="s">
        <v>61</v>
      </c>
      <c r="O3123" s="3" t="s">
        <v>28</v>
      </c>
      <c r="P3123" t="s">
        <v>29</v>
      </c>
      <c r="Q3123" t="s">
        <v>24</v>
      </c>
      <c r="R3123">
        <v>3</v>
      </c>
      <c r="S3123" t="s">
        <v>102</v>
      </c>
      <c r="T3123" s="4">
        <f t="shared" si="244"/>
        <v>271706.68</v>
      </c>
      <c r="U3123" s="4" t="str">
        <f t="shared" si="245"/>
        <v>Average</v>
      </c>
      <c r="V3123" s="4" t="str">
        <f t="shared" si="241"/>
        <v>Excellent</v>
      </c>
      <c r="W3123" s="4"/>
      <c r="X3123" s="4"/>
      <c r="AJ3123" s="4"/>
    </row>
    <row r="3124" spans="1:36">
      <c r="A3124" t="str">
        <f t="shared" si="242"/>
        <v>Ravi533123</v>
      </c>
      <c r="B3124">
        <v>3123</v>
      </c>
      <c r="C3124">
        <v>16</v>
      </c>
      <c r="D3124">
        <v>3</v>
      </c>
      <c r="E3124">
        <v>2024</v>
      </c>
      <c r="F3124" s="1">
        <f t="shared" si="243"/>
        <v>45367</v>
      </c>
      <c r="G3124" s="1" t="s">
        <v>475</v>
      </c>
      <c r="H3124" s="2">
        <v>47600</v>
      </c>
      <c r="I3124" t="s">
        <v>26</v>
      </c>
      <c r="J3124">
        <v>5</v>
      </c>
      <c r="K3124">
        <v>20645.900000000001</v>
      </c>
      <c r="L3124" t="s">
        <v>385</v>
      </c>
      <c r="M3124">
        <v>53</v>
      </c>
      <c r="N3124" t="s">
        <v>61</v>
      </c>
      <c r="O3124" s="3" t="s">
        <v>22</v>
      </c>
      <c r="P3124" t="s">
        <v>150</v>
      </c>
      <c r="Q3124" t="s">
        <v>56</v>
      </c>
      <c r="R3124">
        <v>5</v>
      </c>
      <c r="S3124" t="s">
        <v>67</v>
      </c>
      <c r="T3124" s="4">
        <f t="shared" si="244"/>
        <v>103229.5</v>
      </c>
      <c r="U3124" s="4" t="str">
        <f t="shared" si="245"/>
        <v>Good</v>
      </c>
      <c r="V3124" s="4" t="str">
        <f t="shared" si="241"/>
        <v>Good</v>
      </c>
      <c r="W3124" s="4"/>
      <c r="X3124" s="4"/>
      <c r="AJ3124" s="4"/>
    </row>
    <row r="3125" spans="1:36">
      <c r="A3125" t="str">
        <f t="shared" si="242"/>
        <v>Anit213124</v>
      </c>
      <c r="B3125">
        <v>3124</v>
      </c>
      <c r="C3125">
        <v>17</v>
      </c>
      <c r="D3125">
        <v>3</v>
      </c>
      <c r="E3125">
        <v>2024</v>
      </c>
      <c r="F3125" s="1">
        <f t="shared" si="243"/>
        <v>45368</v>
      </c>
      <c r="G3125" s="1" t="s">
        <v>475</v>
      </c>
      <c r="H3125" s="2">
        <v>47601</v>
      </c>
      <c r="I3125" t="s">
        <v>38</v>
      </c>
      <c r="J3125">
        <v>7</v>
      </c>
      <c r="K3125">
        <v>38649.279999999999</v>
      </c>
      <c r="L3125" t="s">
        <v>838</v>
      </c>
      <c r="M3125">
        <v>21</v>
      </c>
      <c r="N3125" t="s">
        <v>36</v>
      </c>
      <c r="O3125" s="3" t="s">
        <v>28</v>
      </c>
      <c r="P3125" t="s">
        <v>33</v>
      </c>
      <c r="Q3125" t="s">
        <v>41</v>
      </c>
      <c r="R3125">
        <v>3</v>
      </c>
      <c r="S3125" t="s">
        <v>48</v>
      </c>
      <c r="T3125" s="4">
        <f t="shared" si="244"/>
        <v>270544.95999999996</v>
      </c>
      <c r="U3125" s="4" t="str">
        <f t="shared" si="245"/>
        <v>Average</v>
      </c>
      <c r="V3125" s="4" t="str">
        <f t="shared" si="241"/>
        <v>Excellent</v>
      </c>
      <c r="W3125" s="4"/>
      <c r="X3125" s="4"/>
      <c r="AJ3125" s="4"/>
    </row>
    <row r="3126" spans="1:36">
      <c r="A3126" t="str">
        <f t="shared" si="242"/>
        <v>Priy563125</v>
      </c>
      <c r="B3126">
        <v>3125</v>
      </c>
      <c r="C3126">
        <v>17</v>
      </c>
      <c r="D3126">
        <v>3</v>
      </c>
      <c r="E3126">
        <v>2024</v>
      </c>
      <c r="F3126" s="1">
        <f t="shared" si="243"/>
        <v>45368</v>
      </c>
      <c r="G3126" s="1" t="s">
        <v>475</v>
      </c>
      <c r="H3126" s="2">
        <v>47602</v>
      </c>
      <c r="I3126" t="s">
        <v>43</v>
      </c>
      <c r="J3126">
        <v>2</v>
      </c>
      <c r="K3126">
        <v>39675.870000000003</v>
      </c>
      <c r="L3126" t="s">
        <v>885</v>
      </c>
      <c r="M3126">
        <v>56</v>
      </c>
      <c r="N3126" t="s">
        <v>61</v>
      </c>
      <c r="O3126" s="3" t="s">
        <v>55</v>
      </c>
      <c r="P3126" t="s">
        <v>29</v>
      </c>
      <c r="Q3126" t="s">
        <v>30</v>
      </c>
      <c r="R3126">
        <v>1</v>
      </c>
      <c r="S3126" t="s">
        <v>46</v>
      </c>
      <c r="T3126" s="4">
        <f t="shared" si="244"/>
        <v>79351.740000000005</v>
      </c>
      <c r="U3126" s="4" t="str">
        <f t="shared" si="245"/>
        <v>Average</v>
      </c>
      <c r="V3126" s="4" t="str">
        <f t="shared" si="241"/>
        <v>Average</v>
      </c>
      <c r="W3126" s="4"/>
      <c r="X3126" s="4"/>
      <c r="AJ3126" s="4"/>
    </row>
    <row r="3127" spans="1:36">
      <c r="A3127" t="str">
        <f t="shared" si="242"/>
        <v>Hari243126</v>
      </c>
      <c r="B3127">
        <v>3126</v>
      </c>
      <c r="C3127">
        <v>17</v>
      </c>
      <c r="D3127">
        <v>3</v>
      </c>
      <c r="E3127">
        <v>2024</v>
      </c>
      <c r="F3127" s="1">
        <f t="shared" si="243"/>
        <v>45368</v>
      </c>
      <c r="G3127" s="1" t="s">
        <v>475</v>
      </c>
      <c r="H3127" s="2">
        <v>47603</v>
      </c>
      <c r="I3127" t="s">
        <v>43</v>
      </c>
      <c r="J3127">
        <v>6</v>
      </c>
      <c r="K3127">
        <v>39395.910000000003</v>
      </c>
      <c r="L3127" t="s">
        <v>399</v>
      </c>
      <c r="M3127">
        <v>24</v>
      </c>
      <c r="N3127" t="s">
        <v>36</v>
      </c>
      <c r="O3127" s="3" t="s">
        <v>55</v>
      </c>
      <c r="P3127" t="s">
        <v>45</v>
      </c>
      <c r="Q3127" t="s">
        <v>24</v>
      </c>
      <c r="R3127">
        <v>2</v>
      </c>
      <c r="S3127" t="s">
        <v>46</v>
      </c>
      <c r="T3127" s="4">
        <f t="shared" si="244"/>
        <v>236375.46000000002</v>
      </c>
      <c r="U3127" s="4" t="str">
        <f t="shared" si="245"/>
        <v>Average</v>
      </c>
      <c r="V3127" s="4" t="str">
        <f t="shared" si="241"/>
        <v>Excellent</v>
      </c>
      <c r="W3127" s="4"/>
      <c r="X3127" s="4"/>
      <c r="AJ3127" s="4"/>
    </row>
    <row r="3128" spans="1:36">
      <c r="A3128" t="str">
        <f t="shared" si="242"/>
        <v>Bhav333127</v>
      </c>
      <c r="B3128">
        <v>3127</v>
      </c>
      <c r="C3128">
        <v>18</v>
      </c>
      <c r="D3128">
        <v>3</v>
      </c>
      <c r="E3128">
        <v>2024</v>
      </c>
      <c r="F3128" s="1">
        <f t="shared" si="243"/>
        <v>45369</v>
      </c>
      <c r="G3128" s="1" t="s">
        <v>475</v>
      </c>
      <c r="H3128" s="2">
        <v>47604</v>
      </c>
      <c r="I3128" t="s">
        <v>49</v>
      </c>
      <c r="J3128">
        <v>8</v>
      </c>
      <c r="K3128">
        <v>42326.36</v>
      </c>
      <c r="L3128" t="s">
        <v>822</v>
      </c>
      <c r="M3128">
        <v>33</v>
      </c>
      <c r="N3128" t="s">
        <v>21</v>
      </c>
      <c r="O3128" s="3" t="s">
        <v>55</v>
      </c>
      <c r="P3128" t="s">
        <v>29</v>
      </c>
      <c r="Q3128" t="s">
        <v>56</v>
      </c>
      <c r="R3128">
        <v>1</v>
      </c>
      <c r="S3128" t="s">
        <v>52</v>
      </c>
      <c r="T3128" s="4">
        <f t="shared" si="244"/>
        <v>338610.88</v>
      </c>
      <c r="U3128" s="4" t="str">
        <f t="shared" si="245"/>
        <v>Average</v>
      </c>
      <c r="V3128" s="4" t="str">
        <f t="shared" si="241"/>
        <v>Excellent</v>
      </c>
      <c r="W3128" s="4"/>
      <c r="X3128" s="4"/>
      <c r="AJ3128" s="4"/>
    </row>
    <row r="3129" spans="1:36">
      <c r="A3129" t="str">
        <f t="shared" si="242"/>
        <v>Moni223128</v>
      </c>
      <c r="B3129">
        <v>3128</v>
      </c>
      <c r="C3129">
        <v>18</v>
      </c>
      <c r="D3129">
        <v>3</v>
      </c>
      <c r="E3129">
        <v>2024</v>
      </c>
      <c r="F3129" s="1">
        <f t="shared" si="243"/>
        <v>45369</v>
      </c>
      <c r="G3129" s="1" t="s">
        <v>475</v>
      </c>
      <c r="H3129" s="2">
        <v>47605</v>
      </c>
      <c r="I3129" t="s">
        <v>43</v>
      </c>
      <c r="J3129">
        <v>1</v>
      </c>
      <c r="K3129">
        <v>25459.42</v>
      </c>
      <c r="L3129" t="s">
        <v>210</v>
      </c>
      <c r="M3129">
        <v>22</v>
      </c>
      <c r="N3129" t="s">
        <v>36</v>
      </c>
      <c r="O3129" s="3" t="s">
        <v>55</v>
      </c>
      <c r="P3129" t="s">
        <v>59</v>
      </c>
      <c r="Q3129" t="s">
        <v>41</v>
      </c>
      <c r="R3129">
        <v>2</v>
      </c>
      <c r="S3129" t="s">
        <v>95</v>
      </c>
      <c r="T3129" s="4">
        <f t="shared" si="244"/>
        <v>25459.42</v>
      </c>
      <c r="U3129" s="4" t="str">
        <f t="shared" si="245"/>
        <v>Average</v>
      </c>
      <c r="V3129" s="4" t="str">
        <f t="shared" si="241"/>
        <v>Low</v>
      </c>
      <c r="W3129" s="4"/>
      <c r="X3129" s="4"/>
      <c r="AJ3129" s="4"/>
    </row>
    <row r="3130" spans="1:36">
      <c r="A3130" t="str">
        <f t="shared" si="242"/>
        <v>Vija403129</v>
      </c>
      <c r="B3130">
        <v>3129</v>
      </c>
      <c r="C3130">
        <v>18</v>
      </c>
      <c r="D3130">
        <v>3</v>
      </c>
      <c r="E3130">
        <v>2024</v>
      </c>
      <c r="F3130" s="1">
        <f t="shared" si="243"/>
        <v>45369</v>
      </c>
      <c r="G3130" s="1" t="s">
        <v>475</v>
      </c>
      <c r="H3130" s="2">
        <v>47606</v>
      </c>
      <c r="I3130" t="s">
        <v>38</v>
      </c>
      <c r="J3130">
        <v>4</v>
      </c>
      <c r="K3130">
        <v>31974.47</v>
      </c>
      <c r="L3130" t="s">
        <v>427</v>
      </c>
      <c r="M3130">
        <v>40</v>
      </c>
      <c r="N3130" t="s">
        <v>21</v>
      </c>
      <c r="O3130" s="3" t="s">
        <v>22</v>
      </c>
      <c r="P3130" t="s">
        <v>29</v>
      </c>
      <c r="Q3130" t="s">
        <v>56</v>
      </c>
      <c r="R3130">
        <v>5</v>
      </c>
      <c r="S3130" t="s">
        <v>42</v>
      </c>
      <c r="T3130" s="4">
        <f t="shared" si="244"/>
        <v>127897.88</v>
      </c>
      <c r="U3130" s="4" t="str">
        <f t="shared" si="245"/>
        <v>Good</v>
      </c>
      <c r="V3130" s="4" t="str">
        <f t="shared" si="241"/>
        <v>Good</v>
      </c>
      <c r="W3130" s="4"/>
      <c r="X3130" s="4"/>
      <c r="AJ3130" s="4"/>
    </row>
    <row r="3131" spans="1:36">
      <c r="A3131" t="str">
        <f t="shared" si="242"/>
        <v>Arun533130</v>
      </c>
      <c r="B3131">
        <v>3130</v>
      </c>
      <c r="C3131">
        <v>19</v>
      </c>
      <c r="D3131">
        <v>3</v>
      </c>
      <c r="E3131">
        <v>2024</v>
      </c>
      <c r="F3131" s="1">
        <f t="shared" si="243"/>
        <v>45370</v>
      </c>
      <c r="G3131" s="1" t="s">
        <v>475</v>
      </c>
      <c r="H3131" s="2">
        <v>47607</v>
      </c>
      <c r="I3131" t="s">
        <v>49</v>
      </c>
      <c r="J3131">
        <v>1</v>
      </c>
      <c r="K3131">
        <v>36051.199999999997</v>
      </c>
      <c r="L3131" t="s">
        <v>681</v>
      </c>
      <c r="M3131">
        <v>53</v>
      </c>
      <c r="N3131" t="s">
        <v>61</v>
      </c>
      <c r="O3131" s="3" t="s">
        <v>22</v>
      </c>
      <c r="P3131" t="s">
        <v>59</v>
      </c>
      <c r="Q3131" t="s">
        <v>24</v>
      </c>
      <c r="R3131">
        <v>4</v>
      </c>
      <c r="S3131" t="s">
        <v>52</v>
      </c>
      <c r="T3131" s="4">
        <f t="shared" si="244"/>
        <v>36051.199999999997</v>
      </c>
      <c r="U3131" s="4" t="str">
        <f t="shared" si="245"/>
        <v>Good</v>
      </c>
      <c r="V3131" s="4" t="str">
        <f t="shared" si="241"/>
        <v>Low</v>
      </c>
      <c r="W3131" s="4"/>
      <c r="X3131" s="4"/>
      <c r="AJ3131" s="4"/>
    </row>
    <row r="3132" spans="1:36">
      <c r="A3132" t="str">
        <f t="shared" si="242"/>
        <v>Radh493131</v>
      </c>
      <c r="B3132">
        <v>3131</v>
      </c>
      <c r="C3132">
        <v>19</v>
      </c>
      <c r="D3132">
        <v>3</v>
      </c>
      <c r="E3132">
        <v>2024</v>
      </c>
      <c r="F3132" s="1">
        <f t="shared" si="243"/>
        <v>45370</v>
      </c>
      <c r="G3132" s="1" t="s">
        <v>475</v>
      </c>
      <c r="H3132" s="2">
        <v>47608</v>
      </c>
      <c r="I3132" t="s">
        <v>26</v>
      </c>
      <c r="J3132">
        <v>1</v>
      </c>
      <c r="K3132">
        <v>17867.27</v>
      </c>
      <c r="L3132" t="s">
        <v>649</v>
      </c>
      <c r="M3132">
        <v>49</v>
      </c>
      <c r="N3132" t="s">
        <v>61</v>
      </c>
      <c r="O3132" s="3" t="s">
        <v>22</v>
      </c>
      <c r="P3132" t="s">
        <v>29</v>
      </c>
      <c r="Q3132" t="s">
        <v>24</v>
      </c>
      <c r="R3132">
        <v>5</v>
      </c>
      <c r="S3132" t="s">
        <v>31</v>
      </c>
      <c r="T3132" s="4">
        <f t="shared" si="244"/>
        <v>17867.27</v>
      </c>
      <c r="U3132" s="4" t="str">
        <f t="shared" si="245"/>
        <v>Good</v>
      </c>
      <c r="V3132" s="4" t="str">
        <f t="shared" si="241"/>
        <v>Low</v>
      </c>
      <c r="W3132" s="4"/>
      <c r="X3132" s="4"/>
      <c r="AJ3132" s="4"/>
    </row>
    <row r="3133" spans="1:36">
      <c r="A3133" t="str">
        <f t="shared" si="242"/>
        <v>Nikh413132</v>
      </c>
      <c r="B3133">
        <v>3132</v>
      </c>
      <c r="C3133">
        <v>19</v>
      </c>
      <c r="D3133">
        <v>3</v>
      </c>
      <c r="E3133">
        <v>2024</v>
      </c>
      <c r="F3133" s="1">
        <f t="shared" si="243"/>
        <v>45370</v>
      </c>
      <c r="G3133" s="1" t="s">
        <v>475</v>
      </c>
      <c r="H3133" s="2">
        <v>47609</v>
      </c>
      <c r="I3133" t="s">
        <v>43</v>
      </c>
      <c r="J3133">
        <v>8</v>
      </c>
      <c r="K3133">
        <v>37321.85</v>
      </c>
      <c r="L3133" t="s">
        <v>712</v>
      </c>
      <c r="M3133">
        <v>41</v>
      </c>
      <c r="N3133" t="s">
        <v>21</v>
      </c>
      <c r="O3133" s="3" t="s">
        <v>22</v>
      </c>
      <c r="P3133" t="s">
        <v>93</v>
      </c>
      <c r="Q3133" t="s">
        <v>24</v>
      </c>
      <c r="R3133">
        <v>5</v>
      </c>
      <c r="S3133" t="s">
        <v>95</v>
      </c>
      <c r="T3133" s="4">
        <f t="shared" si="244"/>
        <v>298574.8</v>
      </c>
      <c r="U3133" s="4" t="str">
        <f t="shared" si="245"/>
        <v>Good</v>
      </c>
      <c r="V3133" s="4" t="str">
        <f t="shared" si="241"/>
        <v>Excellent</v>
      </c>
      <c r="W3133" s="4"/>
      <c r="X3133" s="4"/>
      <c r="AJ3133" s="4"/>
    </row>
    <row r="3134" spans="1:36">
      <c r="A3134" t="str">
        <f t="shared" si="242"/>
        <v>Meen423133</v>
      </c>
      <c r="B3134">
        <v>3133</v>
      </c>
      <c r="C3134">
        <v>20</v>
      </c>
      <c r="D3134">
        <v>3</v>
      </c>
      <c r="E3134">
        <v>2024</v>
      </c>
      <c r="F3134" s="1">
        <f t="shared" si="243"/>
        <v>45371</v>
      </c>
      <c r="G3134" s="1" t="s">
        <v>475</v>
      </c>
      <c r="H3134" s="2">
        <v>47610</v>
      </c>
      <c r="I3134" t="s">
        <v>19</v>
      </c>
      <c r="J3134">
        <v>7</v>
      </c>
      <c r="K3134">
        <v>58628.18</v>
      </c>
      <c r="L3134" t="s">
        <v>538</v>
      </c>
      <c r="M3134">
        <v>42</v>
      </c>
      <c r="N3134" t="s">
        <v>21</v>
      </c>
      <c r="O3134" s="3" t="s">
        <v>22</v>
      </c>
      <c r="P3134" t="s">
        <v>33</v>
      </c>
      <c r="Q3134" t="s">
        <v>24</v>
      </c>
      <c r="R3134">
        <v>5</v>
      </c>
      <c r="S3134" t="s">
        <v>25</v>
      </c>
      <c r="T3134" s="4">
        <f t="shared" si="244"/>
        <v>410397.26</v>
      </c>
      <c r="U3134" s="4" t="str">
        <f t="shared" si="245"/>
        <v>Good</v>
      </c>
      <c r="V3134" s="4" t="str">
        <f t="shared" si="241"/>
        <v>Excellent</v>
      </c>
      <c r="W3134" s="4"/>
      <c r="X3134" s="4"/>
      <c r="AJ3134" s="4"/>
    </row>
    <row r="3135" spans="1:36">
      <c r="A3135" t="str">
        <f t="shared" si="242"/>
        <v>Umes453134</v>
      </c>
      <c r="B3135">
        <v>3134</v>
      </c>
      <c r="C3135">
        <v>20</v>
      </c>
      <c r="D3135">
        <v>3</v>
      </c>
      <c r="E3135">
        <v>2024</v>
      </c>
      <c r="F3135" s="1">
        <f t="shared" si="243"/>
        <v>45371</v>
      </c>
      <c r="G3135" s="1" t="s">
        <v>475</v>
      </c>
      <c r="H3135" s="2">
        <v>47611</v>
      </c>
      <c r="I3135" t="s">
        <v>43</v>
      </c>
      <c r="J3135">
        <v>1</v>
      </c>
      <c r="K3135">
        <v>59683.57</v>
      </c>
      <c r="L3135" t="s">
        <v>840</v>
      </c>
      <c r="M3135">
        <v>45</v>
      </c>
      <c r="N3135" t="s">
        <v>21</v>
      </c>
      <c r="O3135" s="3" t="s">
        <v>28</v>
      </c>
      <c r="P3135" t="s">
        <v>29</v>
      </c>
      <c r="Q3135" t="s">
        <v>24</v>
      </c>
      <c r="R3135">
        <v>3</v>
      </c>
      <c r="S3135" t="s">
        <v>95</v>
      </c>
      <c r="T3135" s="4">
        <f t="shared" si="244"/>
        <v>59683.57</v>
      </c>
      <c r="U3135" s="4" t="str">
        <f t="shared" si="245"/>
        <v>Average</v>
      </c>
      <c r="V3135" s="4" t="str">
        <f t="shared" si="241"/>
        <v>Average</v>
      </c>
      <c r="W3135" s="4"/>
      <c r="X3135" s="4"/>
      <c r="AJ3135" s="4"/>
    </row>
    <row r="3136" spans="1:36">
      <c r="A3136" t="str">
        <f t="shared" si="242"/>
        <v>Hari363135</v>
      </c>
      <c r="B3136">
        <v>3135</v>
      </c>
      <c r="C3136">
        <v>20</v>
      </c>
      <c r="D3136">
        <v>3</v>
      </c>
      <c r="E3136">
        <v>2024</v>
      </c>
      <c r="F3136" s="1">
        <f t="shared" si="243"/>
        <v>45371</v>
      </c>
      <c r="G3136" s="1" t="s">
        <v>475</v>
      </c>
      <c r="H3136" s="2">
        <v>47612</v>
      </c>
      <c r="I3136" t="s">
        <v>26</v>
      </c>
      <c r="J3136">
        <v>2</v>
      </c>
      <c r="K3136">
        <v>34693.83</v>
      </c>
      <c r="L3136" t="s">
        <v>559</v>
      </c>
      <c r="M3136">
        <v>36</v>
      </c>
      <c r="N3136" t="s">
        <v>21</v>
      </c>
      <c r="O3136" s="3" t="s">
        <v>22</v>
      </c>
      <c r="P3136" t="s">
        <v>64</v>
      </c>
      <c r="Q3136" t="s">
        <v>41</v>
      </c>
      <c r="R3136">
        <v>5</v>
      </c>
      <c r="S3136" t="s">
        <v>31</v>
      </c>
      <c r="T3136" s="4">
        <f t="shared" si="244"/>
        <v>69387.66</v>
      </c>
      <c r="U3136" s="4" t="str">
        <f t="shared" si="245"/>
        <v>Good</v>
      </c>
      <c r="V3136" s="4" t="str">
        <f t="shared" si="241"/>
        <v>Average</v>
      </c>
      <c r="W3136" s="4"/>
      <c r="X3136" s="4"/>
      <c r="AJ3136" s="4"/>
    </row>
    <row r="3137" spans="1:36">
      <c r="A3137" t="str">
        <f t="shared" si="242"/>
        <v>Suni243136</v>
      </c>
      <c r="B3137">
        <v>3136</v>
      </c>
      <c r="C3137">
        <v>21</v>
      </c>
      <c r="D3137">
        <v>3</v>
      </c>
      <c r="E3137">
        <v>2024</v>
      </c>
      <c r="F3137" s="1">
        <f t="shared" si="243"/>
        <v>45372</v>
      </c>
      <c r="G3137" s="1" t="s">
        <v>475</v>
      </c>
      <c r="H3137" s="2">
        <v>47613</v>
      </c>
      <c r="I3137" t="s">
        <v>49</v>
      </c>
      <c r="J3137">
        <v>4</v>
      </c>
      <c r="K3137">
        <v>41128.5</v>
      </c>
      <c r="L3137" t="s">
        <v>776</v>
      </c>
      <c r="M3137">
        <v>24</v>
      </c>
      <c r="N3137" t="s">
        <v>36</v>
      </c>
      <c r="O3137" s="3" t="s">
        <v>22</v>
      </c>
      <c r="P3137" t="s">
        <v>29</v>
      </c>
      <c r="Q3137" t="s">
        <v>56</v>
      </c>
      <c r="R3137">
        <v>4</v>
      </c>
      <c r="S3137" t="s">
        <v>88</v>
      </c>
      <c r="T3137" s="4">
        <f t="shared" si="244"/>
        <v>164514</v>
      </c>
      <c r="U3137" s="4" t="str">
        <f t="shared" si="245"/>
        <v>Good</v>
      </c>
      <c r="V3137" s="4" t="str">
        <f t="shared" ref="V3137:V3200" si="246">IF(T3137&gt;200000,"Excellent",IF(T3137&gt;100000,"Good",IF(T3137&gt;50000,"Average","Low")))</f>
        <v>Good</v>
      </c>
      <c r="W3137" s="4"/>
      <c r="X3137" s="4"/>
      <c r="AJ3137" s="4"/>
    </row>
    <row r="3138" spans="1:36">
      <c r="A3138" t="str">
        <f t="shared" ref="A3138:A3201" si="247">LEFT(L3138,4)&amp;M3138&amp;B3138</f>
        <v>Nikh583137</v>
      </c>
      <c r="B3138">
        <v>3137</v>
      </c>
      <c r="C3138">
        <v>21</v>
      </c>
      <c r="D3138">
        <v>3</v>
      </c>
      <c r="E3138">
        <v>2024</v>
      </c>
      <c r="F3138" s="1">
        <f t="shared" si="243"/>
        <v>45372</v>
      </c>
      <c r="G3138" s="1" t="s">
        <v>475</v>
      </c>
      <c r="H3138" s="2">
        <v>47614</v>
      </c>
      <c r="I3138" t="s">
        <v>26</v>
      </c>
      <c r="J3138">
        <v>1</v>
      </c>
      <c r="K3138">
        <v>12019.02</v>
      </c>
      <c r="L3138" t="s">
        <v>928</v>
      </c>
      <c r="M3138">
        <v>58</v>
      </c>
      <c r="N3138" t="s">
        <v>61</v>
      </c>
      <c r="O3138" s="3" t="s">
        <v>55</v>
      </c>
      <c r="P3138" t="s">
        <v>132</v>
      </c>
      <c r="Q3138" t="s">
        <v>56</v>
      </c>
      <c r="R3138">
        <v>1</v>
      </c>
      <c r="S3138" t="s">
        <v>34</v>
      </c>
      <c r="T3138" s="4">
        <f t="shared" si="244"/>
        <v>12019.02</v>
      </c>
      <c r="U3138" s="4" t="str">
        <f t="shared" si="245"/>
        <v>Average</v>
      </c>
      <c r="V3138" s="4" t="str">
        <f t="shared" si="246"/>
        <v>Low</v>
      </c>
      <c r="W3138" s="4"/>
      <c r="X3138" s="4"/>
      <c r="AJ3138" s="4"/>
    </row>
    <row r="3139" spans="1:36">
      <c r="A3139" t="str">
        <f t="shared" si="247"/>
        <v>Priy343138</v>
      </c>
      <c r="B3139">
        <v>3138</v>
      </c>
      <c r="C3139">
        <v>21</v>
      </c>
      <c r="D3139">
        <v>3</v>
      </c>
      <c r="E3139">
        <v>2024</v>
      </c>
      <c r="F3139" s="1">
        <f t="shared" ref="F3139:F3202" si="248">DATE(E3139,D3139,C3139)</f>
        <v>45372</v>
      </c>
      <c r="G3139" s="1" t="s">
        <v>475</v>
      </c>
      <c r="H3139" s="2">
        <v>47615</v>
      </c>
      <c r="I3139" t="s">
        <v>19</v>
      </c>
      <c r="J3139">
        <v>3</v>
      </c>
      <c r="K3139">
        <v>50465.95</v>
      </c>
      <c r="L3139" t="s">
        <v>853</v>
      </c>
      <c r="M3139">
        <v>34</v>
      </c>
      <c r="N3139" t="s">
        <v>21</v>
      </c>
      <c r="O3139" s="3" t="s">
        <v>55</v>
      </c>
      <c r="P3139" t="s">
        <v>51</v>
      </c>
      <c r="Q3139" t="s">
        <v>24</v>
      </c>
      <c r="R3139">
        <v>2</v>
      </c>
      <c r="S3139" t="s">
        <v>37</v>
      </c>
      <c r="T3139" s="4">
        <f t="shared" ref="T3139:T3202" si="249">J3139*K3139</f>
        <v>151397.84999999998</v>
      </c>
      <c r="U3139" s="4" t="str">
        <f t="shared" ref="U3139:U3202" si="250">IF(R3139&gt;=4,"Good","Average")</f>
        <v>Average</v>
      </c>
      <c r="V3139" s="4" t="str">
        <f t="shared" si="246"/>
        <v>Good</v>
      </c>
      <c r="W3139" s="4"/>
      <c r="X3139" s="4"/>
      <c r="AJ3139" s="4"/>
    </row>
    <row r="3140" spans="1:36">
      <c r="A3140" t="str">
        <f t="shared" si="247"/>
        <v>Shru193139</v>
      </c>
      <c r="B3140">
        <v>3139</v>
      </c>
      <c r="C3140">
        <v>21</v>
      </c>
      <c r="D3140">
        <v>3</v>
      </c>
      <c r="E3140">
        <v>2024</v>
      </c>
      <c r="F3140" s="1">
        <f t="shared" si="248"/>
        <v>45372</v>
      </c>
      <c r="G3140" s="1" t="s">
        <v>475</v>
      </c>
      <c r="H3140" s="2">
        <v>47616</v>
      </c>
      <c r="I3140" t="s">
        <v>38</v>
      </c>
      <c r="J3140">
        <v>8</v>
      </c>
      <c r="K3140">
        <v>34276.35</v>
      </c>
      <c r="L3140" t="s">
        <v>311</v>
      </c>
      <c r="M3140">
        <v>19</v>
      </c>
      <c r="N3140" t="s">
        <v>36</v>
      </c>
      <c r="O3140" s="3" t="s">
        <v>22</v>
      </c>
      <c r="P3140" t="s">
        <v>33</v>
      </c>
      <c r="Q3140" t="s">
        <v>56</v>
      </c>
      <c r="R3140">
        <v>5</v>
      </c>
      <c r="S3140" t="s">
        <v>48</v>
      </c>
      <c r="T3140" s="4">
        <f t="shared" si="249"/>
        <v>274210.8</v>
      </c>
      <c r="U3140" s="4" t="str">
        <f t="shared" si="250"/>
        <v>Good</v>
      </c>
      <c r="V3140" s="4" t="str">
        <f t="shared" si="246"/>
        <v>Excellent</v>
      </c>
      <c r="W3140" s="4"/>
      <c r="X3140" s="4"/>
      <c r="AJ3140" s="4"/>
    </row>
    <row r="3141" spans="1:36">
      <c r="A3141" t="str">
        <f t="shared" si="247"/>
        <v>Priy333140</v>
      </c>
      <c r="B3141">
        <v>3140</v>
      </c>
      <c r="C3141">
        <v>22</v>
      </c>
      <c r="D3141">
        <v>3</v>
      </c>
      <c r="E3141">
        <v>2024</v>
      </c>
      <c r="F3141" s="1">
        <f t="shared" si="248"/>
        <v>45373</v>
      </c>
      <c r="G3141" s="1" t="s">
        <v>475</v>
      </c>
      <c r="H3141" s="2">
        <v>47617</v>
      </c>
      <c r="I3141" t="s">
        <v>43</v>
      </c>
      <c r="J3141">
        <v>8</v>
      </c>
      <c r="K3141">
        <v>36728.660000000003</v>
      </c>
      <c r="L3141" t="s">
        <v>107</v>
      </c>
      <c r="M3141">
        <v>33</v>
      </c>
      <c r="N3141" t="s">
        <v>21</v>
      </c>
      <c r="O3141" s="3" t="s">
        <v>55</v>
      </c>
      <c r="P3141" t="s">
        <v>29</v>
      </c>
      <c r="Q3141" t="s">
        <v>41</v>
      </c>
      <c r="R3141">
        <v>2</v>
      </c>
      <c r="S3141" t="s">
        <v>46</v>
      </c>
      <c r="T3141" s="4">
        <f t="shared" si="249"/>
        <v>293829.28000000003</v>
      </c>
      <c r="U3141" s="4" t="str">
        <f t="shared" si="250"/>
        <v>Average</v>
      </c>
      <c r="V3141" s="4" t="str">
        <f t="shared" si="246"/>
        <v>Excellent</v>
      </c>
      <c r="W3141" s="4"/>
      <c r="X3141" s="4"/>
      <c r="AJ3141" s="4"/>
    </row>
    <row r="3142" spans="1:36">
      <c r="A3142" t="str">
        <f t="shared" si="247"/>
        <v>Ravi563141</v>
      </c>
      <c r="B3142">
        <v>3141</v>
      </c>
      <c r="C3142">
        <v>22</v>
      </c>
      <c r="D3142">
        <v>3</v>
      </c>
      <c r="E3142">
        <v>2024</v>
      </c>
      <c r="F3142" s="1">
        <f t="shared" si="248"/>
        <v>45373</v>
      </c>
      <c r="G3142" s="1" t="s">
        <v>475</v>
      </c>
      <c r="H3142" s="2">
        <v>47618</v>
      </c>
      <c r="I3142" t="s">
        <v>49</v>
      </c>
      <c r="J3142">
        <v>8</v>
      </c>
      <c r="K3142">
        <v>62420.36</v>
      </c>
      <c r="L3142" t="s">
        <v>262</v>
      </c>
      <c r="M3142">
        <v>56</v>
      </c>
      <c r="N3142" t="s">
        <v>61</v>
      </c>
      <c r="O3142" s="3" t="s">
        <v>22</v>
      </c>
      <c r="P3142" t="s">
        <v>33</v>
      </c>
      <c r="Q3142" t="s">
        <v>24</v>
      </c>
      <c r="R3142">
        <v>5</v>
      </c>
      <c r="S3142" t="s">
        <v>52</v>
      </c>
      <c r="T3142" s="4">
        <f t="shared" si="249"/>
        <v>499362.88</v>
      </c>
      <c r="U3142" s="4" t="str">
        <f t="shared" si="250"/>
        <v>Good</v>
      </c>
      <c r="V3142" s="4" t="str">
        <f t="shared" si="246"/>
        <v>Excellent</v>
      </c>
      <c r="W3142" s="4"/>
      <c r="X3142" s="4"/>
      <c r="AJ3142" s="4"/>
    </row>
    <row r="3143" spans="1:36">
      <c r="A3143" t="str">
        <f t="shared" si="247"/>
        <v>Reen353142</v>
      </c>
      <c r="B3143">
        <v>3142</v>
      </c>
      <c r="C3143">
        <v>22</v>
      </c>
      <c r="D3143">
        <v>3</v>
      </c>
      <c r="E3143">
        <v>2024</v>
      </c>
      <c r="F3143" s="1">
        <f t="shared" si="248"/>
        <v>45373</v>
      </c>
      <c r="G3143" s="1" t="s">
        <v>475</v>
      </c>
      <c r="H3143" s="2">
        <v>47619</v>
      </c>
      <c r="I3143" t="s">
        <v>38</v>
      </c>
      <c r="J3143">
        <v>6</v>
      </c>
      <c r="K3143">
        <v>37710.07</v>
      </c>
      <c r="L3143" t="s">
        <v>228</v>
      </c>
      <c r="M3143">
        <v>35</v>
      </c>
      <c r="N3143" t="s">
        <v>21</v>
      </c>
      <c r="O3143" s="3" t="s">
        <v>28</v>
      </c>
      <c r="P3143" t="s">
        <v>29</v>
      </c>
      <c r="Q3143" t="s">
        <v>30</v>
      </c>
      <c r="R3143">
        <v>3</v>
      </c>
      <c r="S3143" t="s">
        <v>48</v>
      </c>
      <c r="T3143" s="4">
        <f t="shared" si="249"/>
        <v>226260.41999999998</v>
      </c>
      <c r="U3143" s="4" t="str">
        <f t="shared" si="250"/>
        <v>Average</v>
      </c>
      <c r="V3143" s="4" t="str">
        <f t="shared" si="246"/>
        <v>Excellent</v>
      </c>
      <c r="W3143" s="4"/>
      <c r="X3143" s="4"/>
      <c r="AJ3143" s="4"/>
    </row>
    <row r="3144" spans="1:36">
      <c r="A3144" t="str">
        <f t="shared" si="247"/>
        <v>Arun563143</v>
      </c>
      <c r="B3144">
        <v>3143</v>
      </c>
      <c r="C3144">
        <v>22</v>
      </c>
      <c r="D3144">
        <v>3</v>
      </c>
      <c r="E3144">
        <v>2024</v>
      </c>
      <c r="F3144" s="1">
        <f t="shared" si="248"/>
        <v>45373</v>
      </c>
      <c r="G3144" s="1" t="s">
        <v>475</v>
      </c>
      <c r="H3144" s="2">
        <v>47620</v>
      </c>
      <c r="I3144" t="s">
        <v>26</v>
      </c>
      <c r="J3144">
        <v>6</v>
      </c>
      <c r="K3144">
        <v>11271.53</v>
      </c>
      <c r="L3144" t="s">
        <v>426</v>
      </c>
      <c r="M3144">
        <v>56</v>
      </c>
      <c r="N3144" t="s">
        <v>61</v>
      </c>
      <c r="O3144" s="3" t="s">
        <v>55</v>
      </c>
      <c r="P3144" t="s">
        <v>33</v>
      </c>
      <c r="Q3144" t="s">
        <v>41</v>
      </c>
      <c r="R3144">
        <v>2</v>
      </c>
      <c r="S3144" t="s">
        <v>31</v>
      </c>
      <c r="T3144" s="4">
        <f t="shared" si="249"/>
        <v>67629.180000000008</v>
      </c>
      <c r="U3144" s="4" t="str">
        <f t="shared" si="250"/>
        <v>Average</v>
      </c>
      <c r="V3144" s="4" t="str">
        <f t="shared" si="246"/>
        <v>Average</v>
      </c>
      <c r="W3144" s="4"/>
      <c r="X3144" s="4"/>
      <c r="AJ3144" s="4"/>
    </row>
    <row r="3145" spans="1:36">
      <c r="A3145" t="str">
        <f t="shared" si="247"/>
        <v>Hari183144</v>
      </c>
      <c r="B3145">
        <v>3144</v>
      </c>
      <c r="C3145">
        <v>23</v>
      </c>
      <c r="D3145">
        <v>3</v>
      </c>
      <c r="E3145">
        <v>2024</v>
      </c>
      <c r="F3145" s="1">
        <f t="shared" si="248"/>
        <v>45374</v>
      </c>
      <c r="G3145" s="1" t="s">
        <v>475</v>
      </c>
      <c r="H3145" s="2">
        <v>47621</v>
      </c>
      <c r="I3145" t="s">
        <v>49</v>
      </c>
      <c r="J3145">
        <v>5</v>
      </c>
      <c r="K3145">
        <v>23649.45</v>
      </c>
      <c r="L3145" t="s">
        <v>429</v>
      </c>
      <c r="M3145">
        <v>18</v>
      </c>
      <c r="N3145" t="s">
        <v>36</v>
      </c>
      <c r="O3145" s="3" t="s">
        <v>22</v>
      </c>
      <c r="P3145" t="s">
        <v>33</v>
      </c>
      <c r="Q3145" t="s">
        <v>24</v>
      </c>
      <c r="R3145">
        <v>5</v>
      </c>
      <c r="S3145" t="s">
        <v>102</v>
      </c>
      <c r="T3145" s="4">
        <f t="shared" si="249"/>
        <v>118247.25</v>
      </c>
      <c r="U3145" s="4" t="str">
        <f t="shared" si="250"/>
        <v>Good</v>
      </c>
      <c r="V3145" s="4" t="str">
        <f t="shared" si="246"/>
        <v>Good</v>
      </c>
      <c r="W3145" s="4"/>
      <c r="X3145" s="4"/>
      <c r="AJ3145" s="4"/>
    </row>
    <row r="3146" spans="1:36">
      <c r="A3146" t="str">
        <f t="shared" si="247"/>
        <v>Hari203145</v>
      </c>
      <c r="B3146">
        <v>3145</v>
      </c>
      <c r="C3146">
        <v>23</v>
      </c>
      <c r="D3146">
        <v>3</v>
      </c>
      <c r="E3146">
        <v>2024</v>
      </c>
      <c r="F3146" s="1">
        <f t="shared" si="248"/>
        <v>45374</v>
      </c>
      <c r="G3146" s="1" t="s">
        <v>475</v>
      </c>
      <c r="H3146" s="2">
        <v>47622</v>
      </c>
      <c r="I3146" t="s">
        <v>38</v>
      </c>
      <c r="J3146">
        <v>9</v>
      </c>
      <c r="K3146">
        <v>38537.24</v>
      </c>
      <c r="L3146" t="s">
        <v>409</v>
      </c>
      <c r="M3146">
        <v>20</v>
      </c>
      <c r="N3146" t="s">
        <v>36</v>
      </c>
      <c r="O3146" s="3" t="s">
        <v>22</v>
      </c>
      <c r="P3146" t="s">
        <v>29</v>
      </c>
      <c r="Q3146" t="s">
        <v>56</v>
      </c>
      <c r="R3146">
        <v>5</v>
      </c>
      <c r="S3146" t="s">
        <v>42</v>
      </c>
      <c r="T3146" s="4">
        <f t="shared" si="249"/>
        <v>346835.16</v>
      </c>
      <c r="U3146" s="4" t="str">
        <f t="shared" si="250"/>
        <v>Good</v>
      </c>
      <c r="V3146" s="4" t="str">
        <f t="shared" si="246"/>
        <v>Excellent</v>
      </c>
      <c r="W3146" s="4"/>
      <c r="X3146" s="4"/>
      <c r="AJ3146" s="4"/>
    </row>
    <row r="3147" spans="1:36">
      <c r="A3147" t="str">
        <f t="shared" si="247"/>
        <v>Tapa383146</v>
      </c>
      <c r="B3147">
        <v>3146</v>
      </c>
      <c r="C3147">
        <v>23</v>
      </c>
      <c r="D3147">
        <v>3</v>
      </c>
      <c r="E3147">
        <v>2024</v>
      </c>
      <c r="F3147" s="1">
        <f t="shared" si="248"/>
        <v>45374</v>
      </c>
      <c r="G3147" s="1" t="s">
        <v>475</v>
      </c>
      <c r="H3147" s="2">
        <v>47623</v>
      </c>
      <c r="I3147" t="s">
        <v>49</v>
      </c>
      <c r="J3147">
        <v>4</v>
      </c>
      <c r="K3147">
        <v>35463.78</v>
      </c>
      <c r="L3147" t="s">
        <v>925</v>
      </c>
      <c r="M3147">
        <v>38</v>
      </c>
      <c r="N3147" t="s">
        <v>21</v>
      </c>
      <c r="O3147" s="3" t="s">
        <v>22</v>
      </c>
      <c r="P3147" t="s">
        <v>90</v>
      </c>
      <c r="Q3147" t="s">
        <v>41</v>
      </c>
      <c r="R3147">
        <v>4</v>
      </c>
      <c r="S3147" t="s">
        <v>102</v>
      </c>
      <c r="T3147" s="4">
        <f t="shared" si="249"/>
        <v>141855.12</v>
      </c>
      <c r="U3147" s="4" t="str">
        <f t="shared" si="250"/>
        <v>Good</v>
      </c>
      <c r="V3147" s="4" t="str">
        <f t="shared" si="246"/>
        <v>Good</v>
      </c>
      <c r="W3147" s="4"/>
      <c r="X3147" s="4"/>
      <c r="AJ3147" s="4"/>
    </row>
    <row r="3148" spans="1:36">
      <c r="A3148" t="str">
        <f t="shared" si="247"/>
        <v>Raje473147</v>
      </c>
      <c r="B3148">
        <v>3147</v>
      </c>
      <c r="C3148">
        <v>23</v>
      </c>
      <c r="D3148">
        <v>3</v>
      </c>
      <c r="E3148">
        <v>2024</v>
      </c>
      <c r="F3148" s="1">
        <f t="shared" si="248"/>
        <v>45374</v>
      </c>
      <c r="G3148" s="1" t="s">
        <v>475</v>
      </c>
      <c r="H3148" s="2">
        <v>47624</v>
      </c>
      <c r="I3148" t="s">
        <v>19</v>
      </c>
      <c r="J3148">
        <v>7</v>
      </c>
      <c r="K3148">
        <v>61622.21</v>
      </c>
      <c r="L3148" t="s">
        <v>1034</v>
      </c>
      <c r="M3148">
        <v>47</v>
      </c>
      <c r="N3148" t="s">
        <v>61</v>
      </c>
      <c r="O3148" s="3" t="s">
        <v>22</v>
      </c>
      <c r="P3148" t="s">
        <v>66</v>
      </c>
      <c r="Q3148" t="s">
        <v>24</v>
      </c>
      <c r="R3148">
        <v>4</v>
      </c>
      <c r="S3148" t="s">
        <v>84</v>
      </c>
      <c r="T3148" s="4">
        <f t="shared" si="249"/>
        <v>431355.47</v>
      </c>
      <c r="U3148" s="4" t="str">
        <f t="shared" si="250"/>
        <v>Good</v>
      </c>
      <c r="V3148" s="4" t="str">
        <f t="shared" si="246"/>
        <v>Excellent</v>
      </c>
      <c r="W3148" s="4"/>
      <c r="X3148" s="4"/>
      <c r="AJ3148" s="4"/>
    </row>
    <row r="3149" spans="1:36">
      <c r="A3149" t="str">
        <f t="shared" si="247"/>
        <v>Moni283148</v>
      </c>
      <c r="B3149">
        <v>3148</v>
      </c>
      <c r="C3149">
        <v>24</v>
      </c>
      <c r="D3149">
        <v>3</v>
      </c>
      <c r="E3149">
        <v>2024</v>
      </c>
      <c r="F3149" s="1">
        <f t="shared" si="248"/>
        <v>45375</v>
      </c>
      <c r="G3149" s="1" t="s">
        <v>475</v>
      </c>
      <c r="H3149" s="2">
        <v>47625</v>
      </c>
      <c r="I3149" t="s">
        <v>19</v>
      </c>
      <c r="J3149">
        <v>1</v>
      </c>
      <c r="K3149">
        <v>42528.25</v>
      </c>
      <c r="L3149" t="s">
        <v>722</v>
      </c>
      <c r="M3149">
        <v>28</v>
      </c>
      <c r="N3149" t="s">
        <v>36</v>
      </c>
      <c r="O3149" s="3" t="s">
        <v>22</v>
      </c>
      <c r="P3149" t="s">
        <v>29</v>
      </c>
      <c r="Q3149" t="s">
        <v>56</v>
      </c>
      <c r="R3149">
        <v>4</v>
      </c>
      <c r="S3149" t="s">
        <v>25</v>
      </c>
      <c r="T3149" s="4">
        <f t="shared" si="249"/>
        <v>42528.25</v>
      </c>
      <c r="U3149" s="4" t="str">
        <f t="shared" si="250"/>
        <v>Good</v>
      </c>
      <c r="V3149" s="4" t="str">
        <f t="shared" si="246"/>
        <v>Low</v>
      </c>
      <c r="W3149" s="4"/>
      <c r="X3149" s="4"/>
      <c r="AJ3149" s="4"/>
    </row>
    <row r="3150" spans="1:36">
      <c r="A3150" t="str">
        <f t="shared" si="247"/>
        <v>Suni393149</v>
      </c>
      <c r="B3150">
        <v>3149</v>
      </c>
      <c r="C3150">
        <v>24</v>
      </c>
      <c r="D3150">
        <v>3</v>
      </c>
      <c r="E3150">
        <v>2024</v>
      </c>
      <c r="F3150" s="1">
        <f t="shared" si="248"/>
        <v>45375</v>
      </c>
      <c r="G3150" s="1" t="s">
        <v>475</v>
      </c>
      <c r="H3150" s="2">
        <v>47626</v>
      </c>
      <c r="I3150" t="s">
        <v>43</v>
      </c>
      <c r="J3150">
        <v>9</v>
      </c>
      <c r="K3150">
        <v>51378.14</v>
      </c>
      <c r="L3150" t="s">
        <v>260</v>
      </c>
      <c r="M3150">
        <v>39</v>
      </c>
      <c r="N3150" t="s">
        <v>21</v>
      </c>
      <c r="O3150" s="3" t="s">
        <v>28</v>
      </c>
      <c r="P3150" t="s">
        <v>93</v>
      </c>
      <c r="Q3150" t="s">
        <v>56</v>
      </c>
      <c r="R3150">
        <v>3</v>
      </c>
      <c r="S3150" t="s">
        <v>46</v>
      </c>
      <c r="T3150" s="4">
        <f t="shared" si="249"/>
        <v>462403.26</v>
      </c>
      <c r="U3150" s="4" t="str">
        <f t="shared" si="250"/>
        <v>Average</v>
      </c>
      <c r="V3150" s="4" t="str">
        <f t="shared" si="246"/>
        <v>Excellent</v>
      </c>
      <c r="W3150" s="4"/>
      <c r="X3150" s="4"/>
      <c r="AJ3150" s="4"/>
    </row>
    <row r="3151" spans="1:36">
      <c r="A3151" t="str">
        <f t="shared" si="247"/>
        <v>Moni423150</v>
      </c>
      <c r="B3151">
        <v>3150</v>
      </c>
      <c r="C3151">
        <v>24</v>
      </c>
      <c r="D3151">
        <v>3</v>
      </c>
      <c r="E3151">
        <v>2024</v>
      </c>
      <c r="F3151" s="1">
        <f t="shared" si="248"/>
        <v>45375</v>
      </c>
      <c r="G3151" s="1" t="s">
        <v>475</v>
      </c>
      <c r="H3151" s="2">
        <v>47627</v>
      </c>
      <c r="I3151" t="s">
        <v>43</v>
      </c>
      <c r="J3151">
        <v>7</v>
      </c>
      <c r="K3151">
        <v>38159.4</v>
      </c>
      <c r="L3151" t="s">
        <v>586</v>
      </c>
      <c r="M3151">
        <v>42</v>
      </c>
      <c r="N3151" t="s">
        <v>21</v>
      </c>
      <c r="O3151" s="3" t="s">
        <v>55</v>
      </c>
      <c r="P3151" t="s">
        <v>33</v>
      </c>
      <c r="Q3151" t="s">
        <v>24</v>
      </c>
      <c r="R3151">
        <v>2</v>
      </c>
      <c r="S3151" t="s">
        <v>95</v>
      </c>
      <c r="T3151" s="4">
        <f t="shared" si="249"/>
        <v>267115.8</v>
      </c>
      <c r="U3151" s="4" t="str">
        <f t="shared" si="250"/>
        <v>Average</v>
      </c>
      <c r="V3151" s="4" t="str">
        <f t="shared" si="246"/>
        <v>Excellent</v>
      </c>
      <c r="W3151" s="4"/>
      <c r="X3151" s="4"/>
      <c r="AJ3151" s="4"/>
    </row>
    <row r="3152" spans="1:36">
      <c r="A3152" t="str">
        <f t="shared" si="247"/>
        <v>Lali203151</v>
      </c>
      <c r="B3152">
        <v>3151</v>
      </c>
      <c r="C3152">
        <v>24</v>
      </c>
      <c r="D3152">
        <v>3</v>
      </c>
      <c r="E3152">
        <v>2024</v>
      </c>
      <c r="F3152" s="1">
        <f t="shared" si="248"/>
        <v>45375</v>
      </c>
      <c r="G3152" s="1" t="s">
        <v>475</v>
      </c>
      <c r="H3152" s="2">
        <v>47628</v>
      </c>
      <c r="I3152" t="s">
        <v>19</v>
      </c>
      <c r="J3152">
        <v>9</v>
      </c>
      <c r="K3152">
        <v>36379.339999999997</v>
      </c>
      <c r="L3152" t="s">
        <v>20</v>
      </c>
      <c r="M3152">
        <v>20</v>
      </c>
      <c r="N3152" t="s">
        <v>36</v>
      </c>
      <c r="O3152" s="3" t="s">
        <v>28</v>
      </c>
      <c r="P3152" t="s">
        <v>29</v>
      </c>
      <c r="Q3152" t="s">
        <v>41</v>
      </c>
      <c r="R3152">
        <v>3</v>
      </c>
      <c r="S3152" t="s">
        <v>37</v>
      </c>
      <c r="T3152" s="4">
        <f t="shared" si="249"/>
        <v>327414.05999999994</v>
      </c>
      <c r="U3152" s="4" t="str">
        <f t="shared" si="250"/>
        <v>Average</v>
      </c>
      <c r="V3152" s="4" t="str">
        <f t="shared" si="246"/>
        <v>Excellent</v>
      </c>
      <c r="W3152" s="4"/>
      <c r="X3152" s="4"/>
      <c r="AJ3152" s="4"/>
    </row>
    <row r="3153" spans="1:36">
      <c r="A3153" t="str">
        <f t="shared" si="247"/>
        <v>Yoge473152</v>
      </c>
      <c r="B3153">
        <v>3152</v>
      </c>
      <c r="C3153">
        <v>25</v>
      </c>
      <c r="D3153">
        <v>3</v>
      </c>
      <c r="E3153">
        <v>2024</v>
      </c>
      <c r="F3153" s="1">
        <f t="shared" si="248"/>
        <v>45376</v>
      </c>
      <c r="G3153" s="1" t="s">
        <v>475</v>
      </c>
      <c r="H3153" s="2">
        <v>47629</v>
      </c>
      <c r="I3153" t="s">
        <v>49</v>
      </c>
      <c r="J3153">
        <v>7</v>
      </c>
      <c r="K3153">
        <v>36777.199999999997</v>
      </c>
      <c r="L3153" t="s">
        <v>600</v>
      </c>
      <c r="M3153">
        <v>47</v>
      </c>
      <c r="N3153" t="s">
        <v>61</v>
      </c>
      <c r="O3153" s="3" t="s">
        <v>55</v>
      </c>
      <c r="P3153" t="s">
        <v>132</v>
      </c>
      <c r="Q3153" t="s">
        <v>24</v>
      </c>
      <c r="R3153">
        <v>1</v>
      </c>
      <c r="S3153" t="s">
        <v>88</v>
      </c>
      <c r="T3153" s="4">
        <f t="shared" si="249"/>
        <v>257440.39999999997</v>
      </c>
      <c r="U3153" s="4" t="str">
        <f t="shared" si="250"/>
        <v>Average</v>
      </c>
      <c r="V3153" s="4" t="str">
        <f t="shared" si="246"/>
        <v>Excellent</v>
      </c>
      <c r="W3153" s="4"/>
      <c r="X3153" s="4"/>
      <c r="AJ3153" s="4"/>
    </row>
    <row r="3154" spans="1:36">
      <c r="A3154" t="str">
        <f t="shared" si="247"/>
        <v>Adit413153</v>
      </c>
      <c r="B3154">
        <v>3153</v>
      </c>
      <c r="C3154">
        <v>25</v>
      </c>
      <c r="D3154">
        <v>3</v>
      </c>
      <c r="E3154">
        <v>2024</v>
      </c>
      <c r="F3154" s="1">
        <f t="shared" si="248"/>
        <v>45376</v>
      </c>
      <c r="G3154" s="1" t="s">
        <v>475</v>
      </c>
      <c r="H3154" s="2">
        <v>47630</v>
      </c>
      <c r="I3154" t="s">
        <v>19</v>
      </c>
      <c r="J3154">
        <v>2</v>
      </c>
      <c r="K3154">
        <v>34655.29</v>
      </c>
      <c r="L3154" t="s">
        <v>642</v>
      </c>
      <c r="M3154">
        <v>41</v>
      </c>
      <c r="N3154" t="s">
        <v>21</v>
      </c>
      <c r="O3154" s="3" t="s">
        <v>22</v>
      </c>
      <c r="P3154" t="s">
        <v>29</v>
      </c>
      <c r="Q3154" t="s">
        <v>24</v>
      </c>
      <c r="R3154">
        <v>5</v>
      </c>
      <c r="S3154" t="s">
        <v>84</v>
      </c>
      <c r="T3154" s="4">
        <f t="shared" si="249"/>
        <v>69310.58</v>
      </c>
      <c r="U3154" s="4" t="str">
        <f t="shared" si="250"/>
        <v>Good</v>
      </c>
      <c r="V3154" s="4" t="str">
        <f t="shared" si="246"/>
        <v>Average</v>
      </c>
      <c r="W3154" s="4"/>
      <c r="X3154" s="4"/>
      <c r="AJ3154" s="4"/>
    </row>
    <row r="3155" spans="1:36">
      <c r="A3155" t="str">
        <f t="shared" si="247"/>
        <v>Deep533154</v>
      </c>
      <c r="B3155">
        <v>3154</v>
      </c>
      <c r="C3155">
        <v>25</v>
      </c>
      <c r="D3155">
        <v>3</v>
      </c>
      <c r="E3155">
        <v>2024</v>
      </c>
      <c r="F3155" s="1">
        <f t="shared" si="248"/>
        <v>45376</v>
      </c>
      <c r="G3155" s="1" t="s">
        <v>475</v>
      </c>
      <c r="H3155" s="2">
        <v>47631</v>
      </c>
      <c r="I3155" t="s">
        <v>43</v>
      </c>
      <c r="J3155">
        <v>6</v>
      </c>
      <c r="K3155">
        <v>42315</v>
      </c>
      <c r="L3155" t="s">
        <v>321</v>
      </c>
      <c r="M3155">
        <v>53</v>
      </c>
      <c r="N3155" t="s">
        <v>61</v>
      </c>
      <c r="O3155" s="3" t="s">
        <v>22</v>
      </c>
      <c r="P3155" t="s">
        <v>93</v>
      </c>
      <c r="Q3155" t="s">
        <v>24</v>
      </c>
      <c r="R3155">
        <v>5</v>
      </c>
      <c r="S3155" t="s">
        <v>95</v>
      </c>
      <c r="T3155" s="4">
        <f t="shared" si="249"/>
        <v>253890</v>
      </c>
      <c r="U3155" s="4" t="str">
        <f t="shared" si="250"/>
        <v>Good</v>
      </c>
      <c r="V3155" s="4" t="str">
        <f t="shared" si="246"/>
        <v>Excellent</v>
      </c>
      <c r="W3155" s="4"/>
      <c r="X3155" s="4"/>
      <c r="AJ3155" s="4"/>
    </row>
    <row r="3156" spans="1:36">
      <c r="A3156" t="str">
        <f t="shared" si="247"/>
        <v>Deve403155</v>
      </c>
      <c r="B3156">
        <v>3155</v>
      </c>
      <c r="C3156">
        <v>26</v>
      </c>
      <c r="D3156">
        <v>3</v>
      </c>
      <c r="E3156">
        <v>2024</v>
      </c>
      <c r="F3156" s="1">
        <f t="shared" si="248"/>
        <v>45377</v>
      </c>
      <c r="G3156" s="1" t="s">
        <v>475</v>
      </c>
      <c r="H3156" s="2">
        <v>47632</v>
      </c>
      <c r="I3156" t="s">
        <v>19</v>
      </c>
      <c r="J3156">
        <v>4</v>
      </c>
      <c r="K3156">
        <v>25026.6</v>
      </c>
      <c r="L3156" t="s">
        <v>351</v>
      </c>
      <c r="M3156">
        <v>40</v>
      </c>
      <c r="N3156" t="s">
        <v>21</v>
      </c>
      <c r="O3156" s="3" t="s">
        <v>22</v>
      </c>
      <c r="P3156" t="s">
        <v>114</v>
      </c>
      <c r="Q3156" t="s">
        <v>24</v>
      </c>
      <c r="R3156">
        <v>5</v>
      </c>
      <c r="S3156" t="s">
        <v>37</v>
      </c>
      <c r="T3156" s="4">
        <f t="shared" si="249"/>
        <v>100106.4</v>
      </c>
      <c r="U3156" s="4" t="str">
        <f t="shared" si="250"/>
        <v>Good</v>
      </c>
      <c r="V3156" s="4" t="str">
        <f t="shared" si="246"/>
        <v>Good</v>
      </c>
      <c r="W3156" s="4"/>
      <c r="X3156" s="4"/>
      <c r="AJ3156" s="4"/>
    </row>
    <row r="3157" spans="1:36">
      <c r="A3157" t="str">
        <f t="shared" si="247"/>
        <v>Deve253156</v>
      </c>
      <c r="B3157">
        <v>3156</v>
      </c>
      <c r="C3157">
        <v>26</v>
      </c>
      <c r="D3157">
        <v>3</v>
      </c>
      <c r="E3157">
        <v>2024</v>
      </c>
      <c r="F3157" s="1">
        <f t="shared" si="248"/>
        <v>45377</v>
      </c>
      <c r="G3157" s="1" t="s">
        <v>475</v>
      </c>
      <c r="H3157" s="2">
        <v>47633</v>
      </c>
      <c r="I3157" t="s">
        <v>19</v>
      </c>
      <c r="J3157">
        <v>3</v>
      </c>
      <c r="K3157">
        <v>63463.31</v>
      </c>
      <c r="L3157" t="s">
        <v>454</v>
      </c>
      <c r="M3157">
        <v>25</v>
      </c>
      <c r="N3157" t="s">
        <v>36</v>
      </c>
      <c r="O3157" s="3" t="s">
        <v>22</v>
      </c>
      <c r="P3157" t="s">
        <v>33</v>
      </c>
      <c r="Q3157" t="s">
        <v>24</v>
      </c>
      <c r="R3157">
        <v>4</v>
      </c>
      <c r="S3157" t="s">
        <v>25</v>
      </c>
      <c r="T3157" s="4">
        <f t="shared" si="249"/>
        <v>190389.93</v>
      </c>
      <c r="U3157" s="4" t="str">
        <f t="shared" si="250"/>
        <v>Good</v>
      </c>
      <c r="V3157" s="4" t="str">
        <f t="shared" si="246"/>
        <v>Good</v>
      </c>
      <c r="W3157" s="4"/>
      <c r="X3157" s="4"/>
      <c r="AJ3157" s="4"/>
    </row>
    <row r="3158" spans="1:36">
      <c r="A3158" t="str">
        <f t="shared" si="247"/>
        <v>Arun213157</v>
      </c>
      <c r="B3158">
        <v>3157</v>
      </c>
      <c r="C3158">
        <v>26</v>
      </c>
      <c r="D3158">
        <v>3</v>
      </c>
      <c r="E3158">
        <v>2024</v>
      </c>
      <c r="F3158" s="1">
        <f t="shared" si="248"/>
        <v>45377</v>
      </c>
      <c r="G3158" s="1" t="s">
        <v>475</v>
      </c>
      <c r="H3158" s="2">
        <v>47634</v>
      </c>
      <c r="I3158" t="s">
        <v>49</v>
      </c>
      <c r="J3158">
        <v>2</v>
      </c>
      <c r="K3158">
        <v>29985.13</v>
      </c>
      <c r="L3158" t="s">
        <v>428</v>
      </c>
      <c r="M3158">
        <v>21</v>
      </c>
      <c r="N3158" t="s">
        <v>36</v>
      </c>
      <c r="O3158" s="3" t="s">
        <v>22</v>
      </c>
      <c r="P3158" t="s">
        <v>77</v>
      </c>
      <c r="Q3158" t="s">
        <v>56</v>
      </c>
      <c r="R3158">
        <v>5</v>
      </c>
      <c r="S3158" t="s">
        <v>52</v>
      </c>
      <c r="T3158" s="4">
        <f t="shared" si="249"/>
        <v>59970.26</v>
      </c>
      <c r="U3158" s="4" t="str">
        <f t="shared" si="250"/>
        <v>Good</v>
      </c>
      <c r="V3158" s="4" t="str">
        <f t="shared" si="246"/>
        <v>Average</v>
      </c>
      <c r="W3158" s="4"/>
      <c r="X3158" s="4"/>
      <c r="AJ3158" s="4"/>
    </row>
    <row r="3159" spans="1:36">
      <c r="A3159" t="str">
        <f t="shared" si="247"/>
        <v>Bhav563158</v>
      </c>
      <c r="B3159">
        <v>3158</v>
      </c>
      <c r="C3159">
        <v>27</v>
      </c>
      <c r="D3159">
        <v>3</v>
      </c>
      <c r="E3159">
        <v>2024</v>
      </c>
      <c r="F3159" s="1">
        <f t="shared" si="248"/>
        <v>45378</v>
      </c>
      <c r="G3159" s="1" t="s">
        <v>475</v>
      </c>
      <c r="H3159" s="2">
        <v>47635</v>
      </c>
      <c r="I3159" t="s">
        <v>38</v>
      </c>
      <c r="J3159">
        <v>6</v>
      </c>
      <c r="K3159">
        <v>18851.43</v>
      </c>
      <c r="L3159" t="s">
        <v>86</v>
      </c>
      <c r="M3159">
        <v>56</v>
      </c>
      <c r="N3159" t="s">
        <v>61</v>
      </c>
      <c r="O3159" s="3" t="s">
        <v>22</v>
      </c>
      <c r="P3159" t="s">
        <v>33</v>
      </c>
      <c r="Q3159" t="s">
        <v>24</v>
      </c>
      <c r="R3159">
        <v>4</v>
      </c>
      <c r="S3159" t="s">
        <v>48</v>
      </c>
      <c r="T3159" s="4">
        <f t="shared" si="249"/>
        <v>113108.58</v>
      </c>
      <c r="U3159" s="4" t="str">
        <f t="shared" si="250"/>
        <v>Good</v>
      </c>
      <c r="V3159" s="4" t="str">
        <f t="shared" si="246"/>
        <v>Good</v>
      </c>
      <c r="W3159" s="4"/>
      <c r="X3159" s="4"/>
      <c r="AJ3159" s="4"/>
    </row>
    <row r="3160" spans="1:36">
      <c r="A3160" t="str">
        <f t="shared" si="247"/>
        <v>Adit483159</v>
      </c>
      <c r="B3160">
        <v>3159</v>
      </c>
      <c r="C3160">
        <v>27</v>
      </c>
      <c r="D3160">
        <v>3</v>
      </c>
      <c r="E3160">
        <v>2024</v>
      </c>
      <c r="F3160" s="1">
        <f t="shared" si="248"/>
        <v>45378</v>
      </c>
      <c r="G3160" s="1" t="s">
        <v>475</v>
      </c>
      <c r="H3160" s="2">
        <v>47636</v>
      </c>
      <c r="I3160" t="s">
        <v>43</v>
      </c>
      <c r="J3160">
        <v>8</v>
      </c>
      <c r="K3160">
        <v>15793.03</v>
      </c>
      <c r="L3160" t="s">
        <v>366</v>
      </c>
      <c r="M3160">
        <v>48</v>
      </c>
      <c r="N3160" t="s">
        <v>61</v>
      </c>
      <c r="O3160" s="3" t="s">
        <v>55</v>
      </c>
      <c r="P3160" t="s">
        <v>29</v>
      </c>
      <c r="Q3160" t="s">
        <v>41</v>
      </c>
      <c r="R3160">
        <v>1</v>
      </c>
      <c r="S3160" t="s">
        <v>95</v>
      </c>
      <c r="T3160" s="4">
        <f t="shared" si="249"/>
        <v>126344.24</v>
      </c>
      <c r="U3160" s="4" t="str">
        <f t="shared" si="250"/>
        <v>Average</v>
      </c>
      <c r="V3160" s="4" t="str">
        <f t="shared" si="246"/>
        <v>Good</v>
      </c>
      <c r="W3160" s="4"/>
      <c r="X3160" s="4"/>
      <c r="AJ3160" s="4"/>
    </row>
    <row r="3161" spans="1:36">
      <c r="A3161" t="str">
        <f t="shared" si="247"/>
        <v>Moni463160</v>
      </c>
      <c r="B3161">
        <v>3160</v>
      </c>
      <c r="C3161">
        <v>27</v>
      </c>
      <c r="D3161">
        <v>3</v>
      </c>
      <c r="E3161">
        <v>2024</v>
      </c>
      <c r="F3161" s="1">
        <f t="shared" si="248"/>
        <v>45378</v>
      </c>
      <c r="G3161" s="1" t="s">
        <v>475</v>
      </c>
      <c r="H3161" s="2">
        <v>47637</v>
      </c>
      <c r="I3161" t="s">
        <v>49</v>
      </c>
      <c r="J3161">
        <v>6</v>
      </c>
      <c r="K3161">
        <v>10805.37</v>
      </c>
      <c r="L3161" t="s">
        <v>586</v>
      </c>
      <c r="M3161">
        <v>46</v>
      </c>
      <c r="N3161" t="s">
        <v>61</v>
      </c>
      <c r="O3161" s="3" t="s">
        <v>28</v>
      </c>
      <c r="P3161" t="s">
        <v>110</v>
      </c>
      <c r="Q3161" t="s">
        <v>30</v>
      </c>
      <c r="R3161">
        <v>3</v>
      </c>
      <c r="S3161" t="s">
        <v>102</v>
      </c>
      <c r="T3161" s="4">
        <f t="shared" si="249"/>
        <v>64832.22</v>
      </c>
      <c r="U3161" s="4" t="str">
        <f t="shared" si="250"/>
        <v>Average</v>
      </c>
      <c r="V3161" s="4" t="str">
        <f t="shared" si="246"/>
        <v>Average</v>
      </c>
      <c r="W3161" s="4"/>
      <c r="X3161" s="4"/>
      <c r="AJ3161" s="4"/>
    </row>
    <row r="3162" spans="1:36">
      <c r="A3162" t="str">
        <f t="shared" si="247"/>
        <v>Nikh533161</v>
      </c>
      <c r="B3162">
        <v>3161</v>
      </c>
      <c r="C3162">
        <v>28</v>
      </c>
      <c r="D3162">
        <v>3</v>
      </c>
      <c r="E3162">
        <v>2024</v>
      </c>
      <c r="F3162" s="1">
        <f t="shared" si="248"/>
        <v>45379</v>
      </c>
      <c r="G3162" s="1" t="s">
        <v>475</v>
      </c>
      <c r="H3162" s="2">
        <v>47638</v>
      </c>
      <c r="I3162" t="s">
        <v>19</v>
      </c>
      <c r="J3162">
        <v>9</v>
      </c>
      <c r="K3162">
        <v>35371.360000000001</v>
      </c>
      <c r="L3162" t="s">
        <v>215</v>
      </c>
      <c r="M3162">
        <v>53</v>
      </c>
      <c r="N3162" t="s">
        <v>61</v>
      </c>
      <c r="O3162" s="3" t="s">
        <v>28</v>
      </c>
      <c r="P3162" t="s">
        <v>40</v>
      </c>
      <c r="Q3162" t="s">
        <v>24</v>
      </c>
      <c r="R3162">
        <v>3</v>
      </c>
      <c r="S3162" t="s">
        <v>84</v>
      </c>
      <c r="T3162" s="4">
        <f t="shared" si="249"/>
        <v>318342.24</v>
      </c>
      <c r="U3162" s="4" t="str">
        <f t="shared" si="250"/>
        <v>Average</v>
      </c>
      <c r="V3162" s="4" t="str">
        <f t="shared" si="246"/>
        <v>Excellent</v>
      </c>
      <c r="W3162" s="4"/>
      <c r="X3162" s="4"/>
      <c r="AJ3162" s="4"/>
    </row>
    <row r="3163" spans="1:36">
      <c r="A3163" t="str">
        <f t="shared" si="247"/>
        <v>Sneh303162</v>
      </c>
      <c r="B3163">
        <v>3162</v>
      </c>
      <c r="C3163">
        <v>28</v>
      </c>
      <c r="D3163">
        <v>3</v>
      </c>
      <c r="E3163">
        <v>2024</v>
      </c>
      <c r="F3163" s="1">
        <f t="shared" si="248"/>
        <v>45379</v>
      </c>
      <c r="G3163" s="1" t="s">
        <v>475</v>
      </c>
      <c r="H3163" s="2">
        <v>47639</v>
      </c>
      <c r="I3163" t="s">
        <v>19</v>
      </c>
      <c r="J3163">
        <v>5</v>
      </c>
      <c r="K3163">
        <v>21256.66</v>
      </c>
      <c r="L3163" t="s">
        <v>1047</v>
      </c>
      <c r="M3163">
        <v>30</v>
      </c>
      <c r="N3163" t="s">
        <v>36</v>
      </c>
      <c r="O3163" s="3" t="s">
        <v>28</v>
      </c>
      <c r="P3163" t="s">
        <v>40</v>
      </c>
      <c r="Q3163" t="s">
        <v>41</v>
      </c>
      <c r="R3163">
        <v>3</v>
      </c>
      <c r="S3163" t="s">
        <v>37</v>
      </c>
      <c r="T3163" s="4">
        <f t="shared" si="249"/>
        <v>106283.3</v>
      </c>
      <c r="U3163" s="4" t="str">
        <f t="shared" si="250"/>
        <v>Average</v>
      </c>
      <c r="V3163" s="4" t="str">
        <f t="shared" si="246"/>
        <v>Good</v>
      </c>
      <c r="W3163" s="4"/>
      <c r="X3163" s="4"/>
      <c r="AJ3163" s="4"/>
    </row>
    <row r="3164" spans="1:36">
      <c r="A3164" t="str">
        <f t="shared" si="247"/>
        <v>Umes583163</v>
      </c>
      <c r="B3164">
        <v>3163</v>
      </c>
      <c r="C3164">
        <v>28</v>
      </c>
      <c r="D3164">
        <v>3</v>
      </c>
      <c r="E3164">
        <v>2024</v>
      </c>
      <c r="F3164" s="1">
        <f t="shared" si="248"/>
        <v>45379</v>
      </c>
      <c r="G3164" s="1" t="s">
        <v>475</v>
      </c>
      <c r="H3164" s="2">
        <v>47640</v>
      </c>
      <c r="I3164" t="s">
        <v>38</v>
      </c>
      <c r="J3164">
        <v>2</v>
      </c>
      <c r="K3164">
        <v>11298.87</v>
      </c>
      <c r="L3164" t="s">
        <v>253</v>
      </c>
      <c r="M3164">
        <v>58</v>
      </c>
      <c r="N3164" t="s">
        <v>61</v>
      </c>
      <c r="O3164" s="3" t="s">
        <v>22</v>
      </c>
      <c r="P3164" t="s">
        <v>29</v>
      </c>
      <c r="Q3164" t="s">
        <v>30</v>
      </c>
      <c r="R3164">
        <v>4</v>
      </c>
      <c r="S3164" t="s">
        <v>42</v>
      </c>
      <c r="T3164" s="4">
        <f t="shared" si="249"/>
        <v>22597.74</v>
      </c>
      <c r="U3164" s="4" t="str">
        <f t="shared" si="250"/>
        <v>Good</v>
      </c>
      <c r="V3164" s="4" t="str">
        <f t="shared" si="246"/>
        <v>Low</v>
      </c>
      <c r="W3164" s="4"/>
      <c r="X3164" s="4"/>
      <c r="AJ3164" s="4"/>
    </row>
    <row r="3165" spans="1:36">
      <c r="A3165" t="str">
        <f t="shared" si="247"/>
        <v>Arun263164</v>
      </c>
      <c r="B3165">
        <v>3164</v>
      </c>
      <c r="C3165">
        <v>28</v>
      </c>
      <c r="D3165">
        <v>3</v>
      </c>
      <c r="E3165">
        <v>2024</v>
      </c>
      <c r="F3165" s="1">
        <f t="shared" si="248"/>
        <v>45379</v>
      </c>
      <c r="G3165" s="1" t="s">
        <v>475</v>
      </c>
      <c r="H3165" s="2">
        <v>47641</v>
      </c>
      <c r="I3165" t="s">
        <v>43</v>
      </c>
      <c r="J3165">
        <v>8</v>
      </c>
      <c r="K3165">
        <v>41201.17</v>
      </c>
      <c r="L3165" t="s">
        <v>63</v>
      </c>
      <c r="M3165">
        <v>26</v>
      </c>
      <c r="N3165" t="s">
        <v>36</v>
      </c>
      <c r="O3165" s="3" t="s">
        <v>55</v>
      </c>
      <c r="P3165" t="s">
        <v>66</v>
      </c>
      <c r="Q3165" t="s">
        <v>41</v>
      </c>
      <c r="R3165">
        <v>2</v>
      </c>
      <c r="S3165" t="s">
        <v>57</v>
      </c>
      <c r="T3165" s="4">
        <f t="shared" si="249"/>
        <v>329609.36</v>
      </c>
      <c r="U3165" s="4" t="str">
        <f t="shared" si="250"/>
        <v>Average</v>
      </c>
      <c r="V3165" s="4" t="str">
        <f t="shared" si="246"/>
        <v>Excellent</v>
      </c>
      <c r="W3165" s="4"/>
      <c r="X3165" s="4"/>
      <c r="AJ3165" s="4"/>
    </row>
    <row r="3166" spans="1:36">
      <c r="A3166" t="str">
        <f t="shared" si="247"/>
        <v>Anan383165</v>
      </c>
      <c r="B3166">
        <v>3165</v>
      </c>
      <c r="C3166">
        <v>29</v>
      </c>
      <c r="D3166">
        <v>3</v>
      </c>
      <c r="E3166">
        <v>2024</v>
      </c>
      <c r="F3166" s="1">
        <f t="shared" si="248"/>
        <v>45380</v>
      </c>
      <c r="G3166" s="1" t="s">
        <v>475</v>
      </c>
      <c r="H3166" s="2">
        <v>47642</v>
      </c>
      <c r="I3166" t="s">
        <v>43</v>
      </c>
      <c r="J3166">
        <v>9</v>
      </c>
      <c r="K3166">
        <v>50798.71</v>
      </c>
      <c r="L3166" t="s">
        <v>462</v>
      </c>
      <c r="M3166">
        <v>38</v>
      </c>
      <c r="N3166" t="s">
        <v>21</v>
      </c>
      <c r="O3166" s="3" t="s">
        <v>55</v>
      </c>
      <c r="P3166" t="s">
        <v>66</v>
      </c>
      <c r="Q3166" t="s">
        <v>56</v>
      </c>
      <c r="R3166">
        <v>2</v>
      </c>
      <c r="S3166" t="s">
        <v>46</v>
      </c>
      <c r="T3166" s="4">
        <f t="shared" si="249"/>
        <v>457188.39</v>
      </c>
      <c r="U3166" s="4" t="str">
        <f t="shared" si="250"/>
        <v>Average</v>
      </c>
      <c r="V3166" s="4" t="str">
        <f t="shared" si="246"/>
        <v>Excellent</v>
      </c>
      <c r="W3166" s="4"/>
      <c r="X3166" s="4"/>
      <c r="AJ3166" s="4"/>
    </row>
    <row r="3167" spans="1:36">
      <c r="A3167" t="str">
        <f t="shared" si="247"/>
        <v>Kira203166</v>
      </c>
      <c r="B3167">
        <v>3166</v>
      </c>
      <c r="C3167">
        <v>29</v>
      </c>
      <c r="D3167">
        <v>3</v>
      </c>
      <c r="E3167">
        <v>2024</v>
      </c>
      <c r="F3167" s="1">
        <f t="shared" si="248"/>
        <v>45380</v>
      </c>
      <c r="G3167" s="1" t="s">
        <v>475</v>
      </c>
      <c r="H3167" s="2">
        <v>47643</v>
      </c>
      <c r="I3167" t="s">
        <v>26</v>
      </c>
      <c r="J3167">
        <v>4</v>
      </c>
      <c r="K3167">
        <v>15145.06</v>
      </c>
      <c r="L3167" t="s">
        <v>187</v>
      </c>
      <c r="M3167">
        <v>20</v>
      </c>
      <c r="N3167" t="s">
        <v>36</v>
      </c>
      <c r="O3167" s="3" t="s">
        <v>55</v>
      </c>
      <c r="P3167" t="s">
        <v>29</v>
      </c>
      <c r="Q3167" t="s">
        <v>56</v>
      </c>
      <c r="R3167">
        <v>1</v>
      </c>
      <c r="S3167" t="s">
        <v>31</v>
      </c>
      <c r="T3167" s="4">
        <f t="shared" si="249"/>
        <v>60580.24</v>
      </c>
      <c r="U3167" s="4" t="str">
        <f t="shared" si="250"/>
        <v>Average</v>
      </c>
      <c r="V3167" s="4" t="str">
        <f t="shared" si="246"/>
        <v>Average</v>
      </c>
      <c r="W3167" s="4"/>
      <c r="X3167" s="4"/>
      <c r="AJ3167" s="4"/>
    </row>
    <row r="3168" spans="1:36">
      <c r="A3168" t="str">
        <f t="shared" si="247"/>
        <v>Rame423167</v>
      </c>
      <c r="B3168">
        <v>3167</v>
      </c>
      <c r="C3168">
        <v>29</v>
      </c>
      <c r="D3168">
        <v>3</v>
      </c>
      <c r="E3168">
        <v>2024</v>
      </c>
      <c r="F3168" s="1">
        <f t="shared" si="248"/>
        <v>45380</v>
      </c>
      <c r="G3168" s="1" t="s">
        <v>475</v>
      </c>
      <c r="H3168" s="2">
        <v>47644</v>
      </c>
      <c r="I3168" t="s">
        <v>43</v>
      </c>
      <c r="J3168">
        <v>6</v>
      </c>
      <c r="K3168">
        <v>37655.25</v>
      </c>
      <c r="L3168" t="s">
        <v>677</v>
      </c>
      <c r="M3168">
        <v>42</v>
      </c>
      <c r="N3168" t="s">
        <v>21</v>
      </c>
      <c r="O3168" s="3" t="s">
        <v>55</v>
      </c>
      <c r="P3168" t="s">
        <v>51</v>
      </c>
      <c r="Q3168" t="s">
        <v>30</v>
      </c>
      <c r="R3168">
        <v>2</v>
      </c>
      <c r="S3168" t="s">
        <v>95</v>
      </c>
      <c r="T3168" s="4">
        <f t="shared" si="249"/>
        <v>225931.5</v>
      </c>
      <c r="U3168" s="4" t="str">
        <f t="shared" si="250"/>
        <v>Average</v>
      </c>
      <c r="V3168" s="4" t="str">
        <f t="shared" si="246"/>
        <v>Excellent</v>
      </c>
      <c r="W3168" s="4"/>
      <c r="X3168" s="4"/>
      <c r="AJ3168" s="4"/>
    </row>
    <row r="3169" spans="1:36">
      <c r="A3169" t="str">
        <f t="shared" si="247"/>
        <v>Lali423168</v>
      </c>
      <c r="B3169">
        <v>3168</v>
      </c>
      <c r="C3169">
        <v>29</v>
      </c>
      <c r="D3169">
        <v>3</v>
      </c>
      <c r="E3169">
        <v>2024</v>
      </c>
      <c r="F3169" s="1">
        <f t="shared" si="248"/>
        <v>45380</v>
      </c>
      <c r="G3169" s="1" t="s">
        <v>475</v>
      </c>
      <c r="H3169" s="2">
        <v>47645</v>
      </c>
      <c r="I3169" t="s">
        <v>38</v>
      </c>
      <c r="J3169">
        <v>8</v>
      </c>
      <c r="K3169">
        <v>54617.72</v>
      </c>
      <c r="L3169" t="s">
        <v>698</v>
      </c>
      <c r="M3169">
        <v>42</v>
      </c>
      <c r="N3169" t="s">
        <v>21</v>
      </c>
      <c r="O3169" s="3" t="s">
        <v>55</v>
      </c>
      <c r="P3169" t="s">
        <v>150</v>
      </c>
      <c r="Q3169" t="s">
        <v>30</v>
      </c>
      <c r="R3169">
        <v>1</v>
      </c>
      <c r="S3169" t="s">
        <v>99</v>
      </c>
      <c r="T3169" s="4">
        <f t="shared" si="249"/>
        <v>436941.76</v>
      </c>
      <c r="U3169" s="4" t="str">
        <f t="shared" si="250"/>
        <v>Average</v>
      </c>
      <c r="V3169" s="4" t="str">
        <f t="shared" si="246"/>
        <v>Excellent</v>
      </c>
      <c r="W3169" s="4"/>
      <c r="X3169" s="4"/>
      <c r="AJ3169" s="4"/>
    </row>
    <row r="3170" spans="1:36">
      <c r="A3170" t="str">
        <f t="shared" si="247"/>
        <v>Kira293169</v>
      </c>
      <c r="B3170">
        <v>3169</v>
      </c>
      <c r="C3170">
        <v>30</v>
      </c>
      <c r="D3170">
        <v>3</v>
      </c>
      <c r="E3170">
        <v>2024</v>
      </c>
      <c r="F3170" s="1">
        <f t="shared" si="248"/>
        <v>45381</v>
      </c>
      <c r="G3170" s="1" t="s">
        <v>475</v>
      </c>
      <c r="H3170" s="2">
        <v>47646</v>
      </c>
      <c r="I3170" t="s">
        <v>26</v>
      </c>
      <c r="J3170">
        <v>9</v>
      </c>
      <c r="K3170">
        <v>69148.41</v>
      </c>
      <c r="L3170" t="s">
        <v>143</v>
      </c>
      <c r="M3170">
        <v>29</v>
      </c>
      <c r="N3170" t="s">
        <v>36</v>
      </c>
      <c r="O3170" s="3" t="s">
        <v>22</v>
      </c>
      <c r="P3170" t="s">
        <v>29</v>
      </c>
      <c r="Q3170" t="s">
        <v>30</v>
      </c>
      <c r="R3170">
        <v>5</v>
      </c>
      <c r="S3170" t="s">
        <v>67</v>
      </c>
      <c r="T3170" s="4">
        <f t="shared" si="249"/>
        <v>622335.69000000006</v>
      </c>
      <c r="U3170" s="4" t="str">
        <f t="shared" si="250"/>
        <v>Good</v>
      </c>
      <c r="V3170" s="4" t="str">
        <f t="shared" si="246"/>
        <v>Excellent</v>
      </c>
      <c r="W3170" s="4"/>
      <c r="X3170" s="4"/>
      <c r="AJ3170" s="4"/>
    </row>
    <row r="3171" spans="1:36">
      <c r="A3171" t="str">
        <f t="shared" si="247"/>
        <v>Bhav463170</v>
      </c>
      <c r="B3171">
        <v>3170</v>
      </c>
      <c r="C3171">
        <v>30</v>
      </c>
      <c r="D3171">
        <v>3</v>
      </c>
      <c r="E3171">
        <v>2024</v>
      </c>
      <c r="F3171" s="1">
        <f t="shared" si="248"/>
        <v>45381</v>
      </c>
      <c r="G3171" s="1" t="s">
        <v>475</v>
      </c>
      <c r="H3171" s="2">
        <v>47647</v>
      </c>
      <c r="I3171" t="s">
        <v>26</v>
      </c>
      <c r="J3171">
        <v>5</v>
      </c>
      <c r="K3171">
        <v>50031.42</v>
      </c>
      <c r="L3171" t="s">
        <v>355</v>
      </c>
      <c r="M3171">
        <v>46</v>
      </c>
      <c r="N3171" t="s">
        <v>61</v>
      </c>
      <c r="O3171" s="3" t="s">
        <v>28</v>
      </c>
      <c r="P3171" t="s">
        <v>45</v>
      </c>
      <c r="Q3171" t="s">
        <v>56</v>
      </c>
      <c r="R3171">
        <v>3</v>
      </c>
      <c r="S3171" t="s">
        <v>67</v>
      </c>
      <c r="T3171" s="4">
        <f t="shared" si="249"/>
        <v>250157.09999999998</v>
      </c>
      <c r="U3171" s="4" t="str">
        <f t="shared" si="250"/>
        <v>Average</v>
      </c>
      <c r="V3171" s="4" t="str">
        <f t="shared" si="246"/>
        <v>Excellent</v>
      </c>
      <c r="W3171" s="4"/>
      <c r="X3171" s="4"/>
      <c r="AJ3171" s="4"/>
    </row>
    <row r="3172" spans="1:36">
      <c r="A3172" t="str">
        <f t="shared" si="247"/>
        <v>Nikh283171</v>
      </c>
      <c r="B3172">
        <v>3171</v>
      </c>
      <c r="C3172">
        <v>30</v>
      </c>
      <c r="D3172">
        <v>3</v>
      </c>
      <c r="E3172">
        <v>2024</v>
      </c>
      <c r="F3172" s="1">
        <f t="shared" si="248"/>
        <v>45381</v>
      </c>
      <c r="G3172" s="1" t="s">
        <v>475</v>
      </c>
      <c r="H3172" s="2">
        <v>47648</v>
      </c>
      <c r="I3172" t="s">
        <v>19</v>
      </c>
      <c r="J3172">
        <v>6</v>
      </c>
      <c r="K3172">
        <v>24690.37</v>
      </c>
      <c r="L3172" t="s">
        <v>138</v>
      </c>
      <c r="M3172">
        <v>28</v>
      </c>
      <c r="N3172" t="s">
        <v>36</v>
      </c>
      <c r="O3172" s="3" t="s">
        <v>22</v>
      </c>
      <c r="P3172" t="s">
        <v>33</v>
      </c>
      <c r="Q3172" t="s">
        <v>56</v>
      </c>
      <c r="R3172">
        <v>4</v>
      </c>
      <c r="S3172" t="s">
        <v>25</v>
      </c>
      <c r="T3172" s="4">
        <f t="shared" si="249"/>
        <v>148142.22</v>
      </c>
      <c r="U3172" s="4" t="str">
        <f t="shared" si="250"/>
        <v>Good</v>
      </c>
      <c r="V3172" s="4" t="str">
        <f t="shared" si="246"/>
        <v>Good</v>
      </c>
      <c r="W3172" s="4"/>
      <c r="X3172" s="4"/>
      <c r="AJ3172" s="4"/>
    </row>
    <row r="3173" spans="1:36">
      <c r="A3173" t="str">
        <f t="shared" si="247"/>
        <v>Pooj283172</v>
      </c>
      <c r="B3173">
        <v>3172</v>
      </c>
      <c r="C3173">
        <v>31</v>
      </c>
      <c r="D3173">
        <v>3</v>
      </c>
      <c r="E3173">
        <v>2024</v>
      </c>
      <c r="F3173" s="1">
        <f t="shared" si="248"/>
        <v>45382</v>
      </c>
      <c r="G3173" s="1" t="s">
        <v>475</v>
      </c>
      <c r="H3173" s="2">
        <v>47649</v>
      </c>
      <c r="I3173" t="s">
        <v>19</v>
      </c>
      <c r="J3173">
        <v>4</v>
      </c>
      <c r="K3173">
        <v>52993.22</v>
      </c>
      <c r="L3173" t="s">
        <v>816</v>
      </c>
      <c r="M3173">
        <v>28</v>
      </c>
      <c r="N3173" t="s">
        <v>36</v>
      </c>
      <c r="O3173" s="3" t="s">
        <v>55</v>
      </c>
      <c r="P3173" t="s">
        <v>29</v>
      </c>
      <c r="Q3173" t="s">
        <v>41</v>
      </c>
      <c r="R3173">
        <v>1</v>
      </c>
      <c r="S3173" t="s">
        <v>25</v>
      </c>
      <c r="T3173" s="4">
        <f t="shared" si="249"/>
        <v>211972.88</v>
      </c>
      <c r="U3173" s="4" t="str">
        <f t="shared" si="250"/>
        <v>Average</v>
      </c>
      <c r="V3173" s="4" t="str">
        <f t="shared" si="246"/>
        <v>Excellent</v>
      </c>
      <c r="W3173" s="4"/>
      <c r="X3173" s="4"/>
      <c r="AJ3173" s="4"/>
    </row>
    <row r="3174" spans="1:36">
      <c r="A3174" t="str">
        <f t="shared" si="247"/>
        <v>Mano433173</v>
      </c>
      <c r="B3174">
        <v>3173</v>
      </c>
      <c r="C3174">
        <v>31</v>
      </c>
      <c r="D3174">
        <v>3</v>
      </c>
      <c r="E3174">
        <v>2024</v>
      </c>
      <c r="F3174" s="1">
        <f t="shared" si="248"/>
        <v>45382</v>
      </c>
      <c r="G3174" s="1" t="s">
        <v>475</v>
      </c>
      <c r="H3174" s="2">
        <v>47650</v>
      </c>
      <c r="I3174" t="s">
        <v>43</v>
      </c>
      <c r="J3174">
        <v>5</v>
      </c>
      <c r="K3174">
        <v>45875.77</v>
      </c>
      <c r="L3174" t="s">
        <v>105</v>
      </c>
      <c r="M3174">
        <v>43</v>
      </c>
      <c r="N3174" t="s">
        <v>21</v>
      </c>
      <c r="O3174" s="3" t="s">
        <v>22</v>
      </c>
      <c r="P3174" t="s">
        <v>29</v>
      </c>
      <c r="Q3174" t="s">
        <v>56</v>
      </c>
      <c r="R3174">
        <v>4</v>
      </c>
      <c r="S3174" t="s">
        <v>57</v>
      </c>
      <c r="T3174" s="4">
        <f t="shared" si="249"/>
        <v>229378.84999999998</v>
      </c>
      <c r="U3174" s="4" t="str">
        <f t="shared" si="250"/>
        <v>Good</v>
      </c>
      <c r="V3174" s="4" t="str">
        <f t="shared" si="246"/>
        <v>Excellent</v>
      </c>
      <c r="W3174" s="4"/>
      <c r="X3174" s="4"/>
      <c r="AJ3174" s="4"/>
    </row>
    <row r="3175" spans="1:36">
      <c r="A3175" t="str">
        <f t="shared" si="247"/>
        <v>Adit313174</v>
      </c>
      <c r="B3175">
        <v>3174</v>
      </c>
      <c r="C3175">
        <v>31</v>
      </c>
      <c r="D3175">
        <v>3</v>
      </c>
      <c r="E3175">
        <v>2024</v>
      </c>
      <c r="F3175" s="1">
        <f t="shared" si="248"/>
        <v>45382</v>
      </c>
      <c r="G3175" s="1" t="s">
        <v>475</v>
      </c>
      <c r="H3175" s="2">
        <v>47651</v>
      </c>
      <c r="I3175" t="s">
        <v>26</v>
      </c>
      <c r="J3175">
        <v>7</v>
      </c>
      <c r="K3175">
        <v>22707.96</v>
      </c>
      <c r="L3175" t="s">
        <v>641</v>
      </c>
      <c r="M3175">
        <v>31</v>
      </c>
      <c r="N3175" t="s">
        <v>21</v>
      </c>
      <c r="O3175" s="3" t="s">
        <v>22</v>
      </c>
      <c r="P3175" t="s">
        <v>51</v>
      </c>
      <c r="Q3175" t="s">
        <v>30</v>
      </c>
      <c r="R3175">
        <v>4</v>
      </c>
      <c r="S3175" t="s">
        <v>31</v>
      </c>
      <c r="T3175" s="4">
        <f t="shared" si="249"/>
        <v>158955.72</v>
      </c>
      <c r="U3175" s="4" t="str">
        <f t="shared" si="250"/>
        <v>Good</v>
      </c>
      <c r="V3175" s="4" t="str">
        <f t="shared" si="246"/>
        <v>Good</v>
      </c>
      <c r="W3175" s="4"/>
      <c r="X3175" s="4"/>
      <c r="AJ3175" s="4"/>
    </row>
    <row r="3176" spans="1:36">
      <c r="A3176" t="str">
        <f t="shared" si="247"/>
        <v>Jyot333175</v>
      </c>
      <c r="B3176">
        <v>3175</v>
      </c>
      <c r="C3176">
        <v>1</v>
      </c>
      <c r="D3176">
        <v>4</v>
      </c>
      <c r="E3176">
        <v>2024</v>
      </c>
      <c r="F3176" s="1">
        <f t="shared" si="248"/>
        <v>45383</v>
      </c>
      <c r="G3176" s="1" t="s">
        <v>537</v>
      </c>
      <c r="H3176" s="2">
        <v>47652</v>
      </c>
      <c r="I3176" t="s">
        <v>19</v>
      </c>
      <c r="J3176">
        <v>9</v>
      </c>
      <c r="K3176">
        <v>61066.65</v>
      </c>
      <c r="L3176" t="s">
        <v>965</v>
      </c>
      <c r="M3176">
        <v>33</v>
      </c>
      <c r="N3176" t="s">
        <v>21</v>
      </c>
      <c r="O3176" s="3" t="s">
        <v>28</v>
      </c>
      <c r="P3176" t="s">
        <v>59</v>
      </c>
      <c r="Q3176" t="s">
        <v>24</v>
      </c>
      <c r="R3176">
        <v>3</v>
      </c>
      <c r="S3176" t="s">
        <v>37</v>
      </c>
      <c r="T3176" s="4">
        <f t="shared" si="249"/>
        <v>549599.85</v>
      </c>
      <c r="U3176" s="4" t="str">
        <f t="shared" si="250"/>
        <v>Average</v>
      </c>
      <c r="V3176" s="4" t="str">
        <f t="shared" si="246"/>
        <v>Excellent</v>
      </c>
      <c r="W3176" s="4"/>
      <c r="X3176" s="4"/>
      <c r="AJ3176" s="4"/>
    </row>
    <row r="3177" spans="1:36">
      <c r="A3177" t="str">
        <f t="shared" si="247"/>
        <v>Nami273176</v>
      </c>
      <c r="B3177">
        <v>3176</v>
      </c>
      <c r="C3177">
        <v>1</v>
      </c>
      <c r="D3177">
        <v>4</v>
      </c>
      <c r="E3177">
        <v>2024</v>
      </c>
      <c r="F3177" s="1">
        <f t="shared" si="248"/>
        <v>45383</v>
      </c>
      <c r="G3177" s="1" t="s">
        <v>537</v>
      </c>
      <c r="H3177" s="2">
        <v>47653</v>
      </c>
      <c r="I3177" t="s">
        <v>38</v>
      </c>
      <c r="J3177">
        <v>6</v>
      </c>
      <c r="K3177">
        <v>35644.269999999997</v>
      </c>
      <c r="L3177" t="s">
        <v>614</v>
      </c>
      <c r="M3177">
        <v>27</v>
      </c>
      <c r="N3177" t="s">
        <v>36</v>
      </c>
      <c r="O3177" s="3" t="s">
        <v>22</v>
      </c>
      <c r="P3177" t="s">
        <v>93</v>
      </c>
      <c r="Q3177" t="s">
        <v>24</v>
      </c>
      <c r="R3177">
        <v>5</v>
      </c>
      <c r="S3177" t="s">
        <v>48</v>
      </c>
      <c r="T3177" s="4">
        <f t="shared" si="249"/>
        <v>213865.62</v>
      </c>
      <c r="U3177" s="4" t="str">
        <f t="shared" si="250"/>
        <v>Good</v>
      </c>
      <c r="V3177" s="4" t="str">
        <f t="shared" si="246"/>
        <v>Excellent</v>
      </c>
      <c r="W3177" s="4"/>
      <c r="X3177" s="4"/>
      <c r="AJ3177" s="4"/>
    </row>
    <row r="3178" spans="1:36">
      <c r="A3178" t="str">
        <f t="shared" si="247"/>
        <v>Reen483177</v>
      </c>
      <c r="B3178">
        <v>3177</v>
      </c>
      <c r="C3178">
        <v>1</v>
      </c>
      <c r="D3178">
        <v>4</v>
      </c>
      <c r="E3178">
        <v>2024</v>
      </c>
      <c r="F3178" s="1">
        <f t="shared" si="248"/>
        <v>45383</v>
      </c>
      <c r="G3178" s="1" t="s">
        <v>537</v>
      </c>
      <c r="H3178" s="2">
        <v>47654</v>
      </c>
      <c r="I3178" t="s">
        <v>19</v>
      </c>
      <c r="J3178">
        <v>6</v>
      </c>
      <c r="K3178">
        <v>67718.66</v>
      </c>
      <c r="L3178" t="s">
        <v>221</v>
      </c>
      <c r="M3178">
        <v>48</v>
      </c>
      <c r="N3178" t="s">
        <v>61</v>
      </c>
      <c r="O3178" s="3" t="s">
        <v>22</v>
      </c>
      <c r="P3178" t="s">
        <v>29</v>
      </c>
      <c r="Q3178" t="s">
        <v>30</v>
      </c>
      <c r="R3178">
        <v>5</v>
      </c>
      <c r="S3178" t="s">
        <v>25</v>
      </c>
      <c r="T3178" s="4">
        <f t="shared" si="249"/>
        <v>406311.96</v>
      </c>
      <c r="U3178" s="4" t="str">
        <f t="shared" si="250"/>
        <v>Good</v>
      </c>
      <c r="V3178" s="4" t="str">
        <f t="shared" si="246"/>
        <v>Excellent</v>
      </c>
      <c r="W3178" s="4"/>
      <c r="X3178" s="4"/>
      <c r="AJ3178" s="4"/>
    </row>
    <row r="3179" spans="1:36">
      <c r="A3179" t="str">
        <f t="shared" si="247"/>
        <v>Tanu483178</v>
      </c>
      <c r="B3179">
        <v>3178</v>
      </c>
      <c r="C3179">
        <v>1</v>
      </c>
      <c r="D3179">
        <v>4</v>
      </c>
      <c r="E3179">
        <v>2024</v>
      </c>
      <c r="F3179" s="1">
        <f t="shared" si="248"/>
        <v>45383</v>
      </c>
      <c r="G3179" s="1" t="s">
        <v>537</v>
      </c>
      <c r="H3179" s="2">
        <v>47655</v>
      </c>
      <c r="I3179" t="s">
        <v>19</v>
      </c>
      <c r="J3179">
        <v>8</v>
      </c>
      <c r="K3179">
        <v>53374.06</v>
      </c>
      <c r="L3179" t="s">
        <v>129</v>
      </c>
      <c r="M3179">
        <v>48</v>
      </c>
      <c r="N3179" t="s">
        <v>61</v>
      </c>
      <c r="O3179" s="3" t="s">
        <v>55</v>
      </c>
      <c r="P3179" t="s">
        <v>29</v>
      </c>
      <c r="Q3179" t="s">
        <v>56</v>
      </c>
      <c r="R3179">
        <v>2</v>
      </c>
      <c r="S3179" t="s">
        <v>25</v>
      </c>
      <c r="T3179" s="4">
        <f t="shared" si="249"/>
        <v>426992.48</v>
      </c>
      <c r="U3179" s="4" t="str">
        <f t="shared" si="250"/>
        <v>Average</v>
      </c>
      <c r="V3179" s="4" t="str">
        <f t="shared" si="246"/>
        <v>Excellent</v>
      </c>
      <c r="W3179" s="4"/>
      <c r="X3179" s="4"/>
      <c r="AJ3179" s="4"/>
    </row>
    <row r="3180" spans="1:36">
      <c r="A3180" t="str">
        <f t="shared" si="247"/>
        <v>Neet533179</v>
      </c>
      <c r="B3180">
        <v>3179</v>
      </c>
      <c r="C3180">
        <v>2</v>
      </c>
      <c r="D3180">
        <v>4</v>
      </c>
      <c r="E3180">
        <v>2024</v>
      </c>
      <c r="F3180" s="1">
        <f t="shared" si="248"/>
        <v>45384</v>
      </c>
      <c r="G3180" s="1" t="s">
        <v>537</v>
      </c>
      <c r="H3180" s="2">
        <v>47656</v>
      </c>
      <c r="I3180" t="s">
        <v>26</v>
      </c>
      <c r="J3180">
        <v>4</v>
      </c>
      <c r="K3180">
        <v>48673.79</v>
      </c>
      <c r="L3180" t="s">
        <v>1042</v>
      </c>
      <c r="M3180">
        <v>53</v>
      </c>
      <c r="N3180" t="s">
        <v>61</v>
      </c>
      <c r="O3180" s="3" t="s">
        <v>22</v>
      </c>
      <c r="P3180" t="s">
        <v>33</v>
      </c>
      <c r="Q3180" t="s">
        <v>30</v>
      </c>
      <c r="R3180">
        <v>5</v>
      </c>
      <c r="S3180" t="s">
        <v>67</v>
      </c>
      <c r="T3180" s="4">
        <f t="shared" si="249"/>
        <v>194695.16</v>
      </c>
      <c r="U3180" s="4" t="str">
        <f t="shared" si="250"/>
        <v>Good</v>
      </c>
      <c r="V3180" s="4" t="str">
        <f t="shared" si="246"/>
        <v>Good</v>
      </c>
      <c r="W3180" s="4"/>
      <c r="X3180" s="4"/>
      <c r="AJ3180" s="4"/>
    </row>
    <row r="3181" spans="1:36">
      <c r="A3181" t="str">
        <f t="shared" si="247"/>
        <v>Mala273180</v>
      </c>
      <c r="B3181">
        <v>3180</v>
      </c>
      <c r="C3181">
        <v>2</v>
      </c>
      <c r="D3181">
        <v>4</v>
      </c>
      <c r="E3181">
        <v>2024</v>
      </c>
      <c r="F3181" s="1">
        <f t="shared" si="248"/>
        <v>45384</v>
      </c>
      <c r="G3181" s="1" t="s">
        <v>537</v>
      </c>
      <c r="H3181" s="2">
        <v>47657</v>
      </c>
      <c r="I3181" t="s">
        <v>26</v>
      </c>
      <c r="J3181">
        <v>3</v>
      </c>
      <c r="K3181">
        <v>53701.17</v>
      </c>
      <c r="L3181" t="s">
        <v>542</v>
      </c>
      <c r="M3181">
        <v>27</v>
      </c>
      <c r="N3181" t="s">
        <v>36</v>
      </c>
      <c r="O3181" s="3" t="s">
        <v>28</v>
      </c>
      <c r="P3181" t="s">
        <v>51</v>
      </c>
      <c r="Q3181" t="s">
        <v>56</v>
      </c>
      <c r="R3181">
        <v>3</v>
      </c>
      <c r="S3181" t="s">
        <v>67</v>
      </c>
      <c r="T3181" s="4">
        <f t="shared" si="249"/>
        <v>161103.51</v>
      </c>
      <c r="U3181" s="4" t="str">
        <f t="shared" si="250"/>
        <v>Average</v>
      </c>
      <c r="V3181" s="4" t="str">
        <f t="shared" si="246"/>
        <v>Good</v>
      </c>
      <c r="W3181" s="4"/>
      <c r="X3181" s="4"/>
      <c r="AJ3181" s="4"/>
    </row>
    <row r="3182" spans="1:36">
      <c r="A3182" t="str">
        <f t="shared" si="247"/>
        <v>Vino433181</v>
      </c>
      <c r="B3182">
        <v>3181</v>
      </c>
      <c r="C3182">
        <v>2</v>
      </c>
      <c r="D3182">
        <v>4</v>
      </c>
      <c r="E3182">
        <v>2024</v>
      </c>
      <c r="F3182" s="1">
        <f t="shared" si="248"/>
        <v>45384</v>
      </c>
      <c r="G3182" s="1" t="s">
        <v>537</v>
      </c>
      <c r="H3182" s="2">
        <v>47658</v>
      </c>
      <c r="I3182" t="s">
        <v>49</v>
      </c>
      <c r="J3182">
        <v>7</v>
      </c>
      <c r="K3182">
        <v>38685.82</v>
      </c>
      <c r="L3182" t="s">
        <v>91</v>
      </c>
      <c r="M3182">
        <v>43</v>
      </c>
      <c r="N3182" t="s">
        <v>21</v>
      </c>
      <c r="O3182" s="3" t="s">
        <v>22</v>
      </c>
      <c r="P3182" t="s">
        <v>23</v>
      </c>
      <c r="Q3182" t="s">
        <v>24</v>
      </c>
      <c r="R3182">
        <v>4</v>
      </c>
      <c r="S3182" t="s">
        <v>88</v>
      </c>
      <c r="T3182" s="4">
        <f t="shared" si="249"/>
        <v>270800.74</v>
      </c>
      <c r="U3182" s="4" t="str">
        <f t="shared" si="250"/>
        <v>Good</v>
      </c>
      <c r="V3182" s="4" t="str">
        <f t="shared" si="246"/>
        <v>Excellent</v>
      </c>
      <c r="W3182" s="4"/>
      <c r="X3182" s="4"/>
      <c r="AJ3182" s="4"/>
    </row>
    <row r="3183" spans="1:36">
      <c r="A3183" t="str">
        <f t="shared" si="247"/>
        <v>Umes373182</v>
      </c>
      <c r="B3183">
        <v>3182</v>
      </c>
      <c r="C3183">
        <v>2</v>
      </c>
      <c r="D3183">
        <v>4</v>
      </c>
      <c r="E3183">
        <v>2024</v>
      </c>
      <c r="F3183" s="1">
        <f t="shared" si="248"/>
        <v>45384</v>
      </c>
      <c r="G3183" s="1" t="s">
        <v>537</v>
      </c>
      <c r="H3183" s="2">
        <v>47659</v>
      </c>
      <c r="I3183" t="s">
        <v>38</v>
      </c>
      <c r="J3183">
        <v>5</v>
      </c>
      <c r="K3183">
        <v>40313.589999999997</v>
      </c>
      <c r="L3183" t="s">
        <v>989</v>
      </c>
      <c r="M3183">
        <v>37</v>
      </c>
      <c r="N3183" t="s">
        <v>21</v>
      </c>
      <c r="O3183" s="3" t="s">
        <v>55</v>
      </c>
      <c r="P3183" t="s">
        <v>90</v>
      </c>
      <c r="Q3183" t="s">
        <v>41</v>
      </c>
      <c r="R3183">
        <v>1</v>
      </c>
      <c r="S3183" t="s">
        <v>99</v>
      </c>
      <c r="T3183" s="4">
        <f t="shared" si="249"/>
        <v>201567.94999999998</v>
      </c>
      <c r="U3183" s="4" t="str">
        <f t="shared" si="250"/>
        <v>Average</v>
      </c>
      <c r="V3183" s="4" t="str">
        <f t="shared" si="246"/>
        <v>Excellent</v>
      </c>
      <c r="W3183" s="4"/>
      <c r="X3183" s="4"/>
      <c r="AJ3183" s="4"/>
    </row>
    <row r="3184" spans="1:36">
      <c r="A3184" t="str">
        <f t="shared" si="247"/>
        <v>Pooj263183</v>
      </c>
      <c r="B3184">
        <v>3183</v>
      </c>
      <c r="C3184">
        <v>3</v>
      </c>
      <c r="D3184">
        <v>4</v>
      </c>
      <c r="E3184">
        <v>2024</v>
      </c>
      <c r="F3184" s="1">
        <f t="shared" si="248"/>
        <v>45385</v>
      </c>
      <c r="G3184" s="1" t="s">
        <v>537</v>
      </c>
      <c r="H3184" s="2">
        <v>47660</v>
      </c>
      <c r="I3184" t="s">
        <v>26</v>
      </c>
      <c r="J3184">
        <v>2</v>
      </c>
      <c r="K3184">
        <v>61072.44</v>
      </c>
      <c r="L3184" t="s">
        <v>752</v>
      </c>
      <c r="M3184">
        <v>26</v>
      </c>
      <c r="N3184" t="s">
        <v>36</v>
      </c>
      <c r="O3184" s="3" t="s">
        <v>55</v>
      </c>
      <c r="P3184" t="s">
        <v>40</v>
      </c>
      <c r="Q3184" t="s">
        <v>56</v>
      </c>
      <c r="R3184">
        <v>1</v>
      </c>
      <c r="S3184" t="s">
        <v>67</v>
      </c>
      <c r="T3184" s="4">
        <f t="shared" si="249"/>
        <v>122144.88</v>
      </c>
      <c r="U3184" s="4" t="str">
        <f t="shared" si="250"/>
        <v>Average</v>
      </c>
      <c r="V3184" s="4" t="str">
        <f t="shared" si="246"/>
        <v>Good</v>
      </c>
      <c r="W3184" s="4"/>
      <c r="X3184" s="4"/>
      <c r="AJ3184" s="4"/>
    </row>
    <row r="3185" spans="1:36">
      <c r="A3185" t="str">
        <f t="shared" si="247"/>
        <v>Sumi323184</v>
      </c>
      <c r="B3185">
        <v>3184</v>
      </c>
      <c r="C3185">
        <v>3</v>
      </c>
      <c r="D3185">
        <v>4</v>
      </c>
      <c r="E3185">
        <v>2024</v>
      </c>
      <c r="F3185" s="1">
        <f t="shared" si="248"/>
        <v>45385</v>
      </c>
      <c r="G3185" s="1" t="s">
        <v>537</v>
      </c>
      <c r="H3185" s="2">
        <v>47661</v>
      </c>
      <c r="I3185" t="s">
        <v>43</v>
      </c>
      <c r="J3185">
        <v>2</v>
      </c>
      <c r="K3185">
        <v>50855.71</v>
      </c>
      <c r="L3185" t="s">
        <v>1046</v>
      </c>
      <c r="M3185">
        <v>32</v>
      </c>
      <c r="N3185" t="s">
        <v>21</v>
      </c>
      <c r="O3185" s="3" t="s">
        <v>22</v>
      </c>
      <c r="P3185" t="s">
        <v>114</v>
      </c>
      <c r="Q3185" t="s">
        <v>41</v>
      </c>
      <c r="R3185">
        <v>5</v>
      </c>
      <c r="S3185" t="s">
        <v>95</v>
      </c>
      <c r="T3185" s="4">
        <f t="shared" si="249"/>
        <v>101711.42</v>
      </c>
      <c r="U3185" s="4" t="str">
        <f t="shared" si="250"/>
        <v>Good</v>
      </c>
      <c r="V3185" s="4" t="str">
        <f t="shared" si="246"/>
        <v>Good</v>
      </c>
      <c r="W3185" s="4"/>
      <c r="X3185" s="4"/>
      <c r="AJ3185" s="4"/>
    </row>
    <row r="3186" spans="1:36">
      <c r="A3186" t="str">
        <f t="shared" si="247"/>
        <v>Nikh263185</v>
      </c>
      <c r="B3186">
        <v>3185</v>
      </c>
      <c r="C3186">
        <v>3</v>
      </c>
      <c r="D3186">
        <v>4</v>
      </c>
      <c r="E3186">
        <v>2024</v>
      </c>
      <c r="F3186" s="1">
        <f t="shared" si="248"/>
        <v>45385</v>
      </c>
      <c r="G3186" s="1" t="s">
        <v>537</v>
      </c>
      <c r="H3186" s="2">
        <v>47662</v>
      </c>
      <c r="I3186" t="s">
        <v>38</v>
      </c>
      <c r="J3186">
        <v>6</v>
      </c>
      <c r="K3186">
        <v>63834.6</v>
      </c>
      <c r="L3186" t="s">
        <v>447</v>
      </c>
      <c r="M3186">
        <v>26</v>
      </c>
      <c r="N3186" t="s">
        <v>36</v>
      </c>
      <c r="O3186" s="3" t="s">
        <v>55</v>
      </c>
      <c r="P3186" t="s">
        <v>29</v>
      </c>
      <c r="Q3186" t="s">
        <v>24</v>
      </c>
      <c r="R3186">
        <v>2</v>
      </c>
      <c r="S3186" t="s">
        <v>42</v>
      </c>
      <c r="T3186" s="4">
        <f t="shared" si="249"/>
        <v>383007.6</v>
      </c>
      <c r="U3186" s="4" t="str">
        <f t="shared" si="250"/>
        <v>Average</v>
      </c>
      <c r="V3186" s="4" t="str">
        <f t="shared" si="246"/>
        <v>Excellent</v>
      </c>
      <c r="W3186" s="4"/>
      <c r="X3186" s="4"/>
      <c r="AJ3186" s="4"/>
    </row>
    <row r="3187" spans="1:36">
      <c r="A3187" t="str">
        <f t="shared" si="247"/>
        <v>Sumi243186</v>
      </c>
      <c r="B3187">
        <v>3186</v>
      </c>
      <c r="C3187">
        <v>4</v>
      </c>
      <c r="D3187">
        <v>4</v>
      </c>
      <c r="E3187">
        <v>2024</v>
      </c>
      <c r="F3187" s="1">
        <f t="shared" si="248"/>
        <v>45386</v>
      </c>
      <c r="G3187" s="1" t="s">
        <v>537</v>
      </c>
      <c r="H3187" s="2">
        <v>47663</v>
      </c>
      <c r="I3187" t="s">
        <v>38</v>
      </c>
      <c r="J3187">
        <v>8</v>
      </c>
      <c r="K3187">
        <v>63449.61</v>
      </c>
      <c r="L3187" t="s">
        <v>1046</v>
      </c>
      <c r="M3187">
        <v>24</v>
      </c>
      <c r="N3187" t="s">
        <v>36</v>
      </c>
      <c r="O3187" s="3" t="s">
        <v>55</v>
      </c>
      <c r="P3187" t="s">
        <v>70</v>
      </c>
      <c r="Q3187" t="s">
        <v>41</v>
      </c>
      <c r="R3187">
        <v>1</v>
      </c>
      <c r="S3187" t="s">
        <v>99</v>
      </c>
      <c r="T3187" s="4">
        <f t="shared" si="249"/>
        <v>507596.88</v>
      </c>
      <c r="U3187" s="4" t="str">
        <f t="shared" si="250"/>
        <v>Average</v>
      </c>
      <c r="V3187" s="4" t="str">
        <f t="shared" si="246"/>
        <v>Excellent</v>
      </c>
      <c r="W3187" s="4"/>
      <c r="X3187" s="4"/>
      <c r="AJ3187" s="4"/>
    </row>
    <row r="3188" spans="1:36">
      <c r="A3188" t="str">
        <f t="shared" si="247"/>
        <v>Adit433187</v>
      </c>
      <c r="B3188">
        <v>3187</v>
      </c>
      <c r="C3188">
        <v>4</v>
      </c>
      <c r="D3188">
        <v>4</v>
      </c>
      <c r="E3188">
        <v>2024</v>
      </c>
      <c r="F3188" s="1">
        <f t="shared" si="248"/>
        <v>45386</v>
      </c>
      <c r="G3188" s="1" t="s">
        <v>537</v>
      </c>
      <c r="H3188" s="2">
        <v>47664</v>
      </c>
      <c r="I3188" t="s">
        <v>26</v>
      </c>
      <c r="J3188">
        <v>1</v>
      </c>
      <c r="K3188">
        <v>68589.399999999994</v>
      </c>
      <c r="L3188" t="s">
        <v>1048</v>
      </c>
      <c r="M3188">
        <v>43</v>
      </c>
      <c r="N3188" t="s">
        <v>21</v>
      </c>
      <c r="O3188" s="3" t="s">
        <v>55</v>
      </c>
      <c r="P3188" t="s">
        <v>29</v>
      </c>
      <c r="Q3188" t="s">
        <v>41</v>
      </c>
      <c r="R3188">
        <v>2</v>
      </c>
      <c r="S3188" t="s">
        <v>31</v>
      </c>
      <c r="T3188" s="4">
        <f t="shared" si="249"/>
        <v>68589.399999999994</v>
      </c>
      <c r="U3188" s="4" t="str">
        <f t="shared" si="250"/>
        <v>Average</v>
      </c>
      <c r="V3188" s="4" t="str">
        <f t="shared" si="246"/>
        <v>Average</v>
      </c>
      <c r="W3188" s="4"/>
      <c r="X3188" s="4"/>
      <c r="AJ3188" s="4"/>
    </row>
    <row r="3189" spans="1:36">
      <c r="A3189" t="str">
        <f t="shared" si="247"/>
        <v>Bhav413188</v>
      </c>
      <c r="B3189">
        <v>3188</v>
      </c>
      <c r="C3189">
        <v>4</v>
      </c>
      <c r="D3189">
        <v>4</v>
      </c>
      <c r="E3189">
        <v>2024</v>
      </c>
      <c r="F3189" s="1">
        <f t="shared" si="248"/>
        <v>45386</v>
      </c>
      <c r="G3189" s="1" t="s">
        <v>537</v>
      </c>
      <c r="H3189" s="2">
        <v>47665</v>
      </c>
      <c r="I3189" t="s">
        <v>38</v>
      </c>
      <c r="J3189">
        <v>6</v>
      </c>
      <c r="K3189">
        <v>52012.88</v>
      </c>
      <c r="L3189" t="s">
        <v>593</v>
      </c>
      <c r="M3189">
        <v>41</v>
      </c>
      <c r="N3189" t="s">
        <v>21</v>
      </c>
      <c r="O3189" s="3" t="s">
        <v>55</v>
      </c>
      <c r="P3189" t="s">
        <v>70</v>
      </c>
      <c r="Q3189" t="s">
        <v>30</v>
      </c>
      <c r="R3189">
        <v>1</v>
      </c>
      <c r="S3189" t="s">
        <v>48</v>
      </c>
      <c r="T3189" s="4">
        <f t="shared" si="249"/>
        <v>312077.27999999997</v>
      </c>
      <c r="U3189" s="4" t="str">
        <f t="shared" si="250"/>
        <v>Average</v>
      </c>
      <c r="V3189" s="4" t="str">
        <f t="shared" si="246"/>
        <v>Excellent</v>
      </c>
      <c r="W3189" s="4"/>
      <c r="X3189" s="4"/>
      <c r="AJ3189" s="4"/>
    </row>
    <row r="3190" spans="1:36">
      <c r="A3190" t="str">
        <f t="shared" si="247"/>
        <v>Kavi293189</v>
      </c>
      <c r="B3190">
        <v>3189</v>
      </c>
      <c r="C3190">
        <v>5</v>
      </c>
      <c r="D3190">
        <v>4</v>
      </c>
      <c r="E3190">
        <v>2024</v>
      </c>
      <c r="F3190" s="1">
        <f t="shared" si="248"/>
        <v>45387</v>
      </c>
      <c r="G3190" s="1" t="s">
        <v>537</v>
      </c>
      <c r="H3190" s="2">
        <v>47666</v>
      </c>
      <c r="I3190" t="s">
        <v>26</v>
      </c>
      <c r="J3190">
        <v>2</v>
      </c>
      <c r="K3190">
        <v>40138.1</v>
      </c>
      <c r="L3190" t="s">
        <v>876</v>
      </c>
      <c r="M3190">
        <v>29</v>
      </c>
      <c r="N3190" t="s">
        <v>36</v>
      </c>
      <c r="O3190" s="3" t="s">
        <v>55</v>
      </c>
      <c r="P3190" t="s">
        <v>33</v>
      </c>
      <c r="Q3190" t="s">
        <v>41</v>
      </c>
      <c r="R3190">
        <v>2</v>
      </c>
      <c r="S3190" t="s">
        <v>31</v>
      </c>
      <c r="T3190" s="4">
        <f t="shared" si="249"/>
        <v>80276.2</v>
      </c>
      <c r="U3190" s="4" t="str">
        <f t="shared" si="250"/>
        <v>Average</v>
      </c>
      <c r="V3190" s="4" t="str">
        <f t="shared" si="246"/>
        <v>Average</v>
      </c>
      <c r="W3190" s="4"/>
      <c r="X3190" s="4"/>
      <c r="AJ3190" s="4"/>
    </row>
    <row r="3191" spans="1:36">
      <c r="A3191" t="str">
        <f t="shared" si="247"/>
        <v>Arun373190</v>
      </c>
      <c r="B3191">
        <v>3190</v>
      </c>
      <c r="C3191">
        <v>5</v>
      </c>
      <c r="D3191">
        <v>4</v>
      </c>
      <c r="E3191">
        <v>2024</v>
      </c>
      <c r="F3191" s="1">
        <f t="shared" si="248"/>
        <v>45387</v>
      </c>
      <c r="G3191" s="1" t="s">
        <v>537</v>
      </c>
      <c r="H3191" s="2">
        <v>47667</v>
      </c>
      <c r="I3191" t="s">
        <v>19</v>
      </c>
      <c r="J3191">
        <v>2</v>
      </c>
      <c r="K3191">
        <v>19978.7</v>
      </c>
      <c r="L3191" t="s">
        <v>929</v>
      </c>
      <c r="M3191">
        <v>37</v>
      </c>
      <c r="N3191" t="s">
        <v>21</v>
      </c>
      <c r="O3191" s="3" t="s">
        <v>55</v>
      </c>
      <c r="P3191" t="s">
        <v>33</v>
      </c>
      <c r="Q3191" t="s">
        <v>24</v>
      </c>
      <c r="R3191">
        <v>2</v>
      </c>
      <c r="S3191" t="s">
        <v>37</v>
      </c>
      <c r="T3191" s="4">
        <f t="shared" si="249"/>
        <v>39957.4</v>
      </c>
      <c r="U3191" s="4" t="str">
        <f t="shared" si="250"/>
        <v>Average</v>
      </c>
      <c r="V3191" s="4" t="str">
        <f t="shared" si="246"/>
        <v>Low</v>
      </c>
      <c r="W3191" s="4"/>
      <c r="X3191" s="4"/>
      <c r="AJ3191" s="4"/>
    </row>
    <row r="3192" spans="1:36">
      <c r="A3192" t="str">
        <f t="shared" si="247"/>
        <v>Pooj313191</v>
      </c>
      <c r="B3192">
        <v>3191</v>
      </c>
      <c r="C3192">
        <v>5</v>
      </c>
      <c r="D3192">
        <v>4</v>
      </c>
      <c r="E3192">
        <v>2024</v>
      </c>
      <c r="F3192" s="1">
        <f t="shared" si="248"/>
        <v>45387</v>
      </c>
      <c r="G3192" s="1" t="s">
        <v>537</v>
      </c>
      <c r="H3192" s="2">
        <v>47668</v>
      </c>
      <c r="I3192" t="s">
        <v>49</v>
      </c>
      <c r="J3192">
        <v>7</v>
      </c>
      <c r="K3192">
        <v>52322.83</v>
      </c>
      <c r="L3192" t="s">
        <v>340</v>
      </c>
      <c r="M3192">
        <v>31</v>
      </c>
      <c r="N3192" t="s">
        <v>21</v>
      </c>
      <c r="O3192" s="3" t="s">
        <v>22</v>
      </c>
      <c r="P3192" t="s">
        <v>150</v>
      </c>
      <c r="Q3192" t="s">
        <v>56</v>
      </c>
      <c r="R3192">
        <v>4</v>
      </c>
      <c r="S3192" t="s">
        <v>52</v>
      </c>
      <c r="T3192" s="4">
        <f t="shared" si="249"/>
        <v>366259.81</v>
      </c>
      <c r="U3192" s="4" t="str">
        <f t="shared" si="250"/>
        <v>Good</v>
      </c>
      <c r="V3192" s="4" t="str">
        <f t="shared" si="246"/>
        <v>Excellent</v>
      </c>
      <c r="W3192" s="4"/>
      <c r="X3192" s="4"/>
      <c r="AJ3192" s="4"/>
    </row>
    <row r="3193" spans="1:36">
      <c r="A3193" t="str">
        <f t="shared" si="247"/>
        <v>Anit393192</v>
      </c>
      <c r="B3193">
        <v>3192</v>
      </c>
      <c r="C3193">
        <v>5</v>
      </c>
      <c r="D3193">
        <v>4</v>
      </c>
      <c r="E3193">
        <v>2024</v>
      </c>
      <c r="F3193" s="1">
        <f t="shared" si="248"/>
        <v>45387</v>
      </c>
      <c r="G3193" s="1" t="s">
        <v>537</v>
      </c>
      <c r="H3193" s="2">
        <v>47669</v>
      </c>
      <c r="I3193" t="s">
        <v>19</v>
      </c>
      <c r="J3193">
        <v>1</v>
      </c>
      <c r="K3193">
        <v>27494.66</v>
      </c>
      <c r="L3193" t="s">
        <v>310</v>
      </c>
      <c r="M3193">
        <v>39</v>
      </c>
      <c r="N3193" t="s">
        <v>21</v>
      </c>
      <c r="O3193" s="3" t="s">
        <v>28</v>
      </c>
      <c r="P3193" t="s">
        <v>33</v>
      </c>
      <c r="Q3193" t="s">
        <v>41</v>
      </c>
      <c r="R3193">
        <v>3</v>
      </c>
      <c r="S3193" t="s">
        <v>37</v>
      </c>
      <c r="T3193" s="4">
        <f t="shared" si="249"/>
        <v>27494.66</v>
      </c>
      <c r="U3193" s="4" t="str">
        <f t="shared" si="250"/>
        <v>Average</v>
      </c>
      <c r="V3193" s="4" t="str">
        <f t="shared" si="246"/>
        <v>Low</v>
      </c>
      <c r="W3193" s="4"/>
      <c r="X3193" s="4"/>
      <c r="AJ3193" s="4"/>
    </row>
    <row r="3194" spans="1:36">
      <c r="A3194" t="str">
        <f t="shared" si="247"/>
        <v>Shru333193</v>
      </c>
      <c r="B3194">
        <v>3193</v>
      </c>
      <c r="C3194">
        <v>6</v>
      </c>
      <c r="D3194">
        <v>4</v>
      </c>
      <c r="E3194">
        <v>2024</v>
      </c>
      <c r="F3194" s="1">
        <f t="shared" si="248"/>
        <v>45388</v>
      </c>
      <c r="G3194" s="1" t="s">
        <v>537</v>
      </c>
      <c r="H3194" s="2">
        <v>47670</v>
      </c>
      <c r="I3194" t="s">
        <v>26</v>
      </c>
      <c r="J3194">
        <v>6</v>
      </c>
      <c r="K3194">
        <v>26976.85</v>
      </c>
      <c r="L3194" t="s">
        <v>377</v>
      </c>
      <c r="M3194">
        <v>33</v>
      </c>
      <c r="N3194" t="s">
        <v>21</v>
      </c>
      <c r="O3194" s="3" t="s">
        <v>55</v>
      </c>
      <c r="P3194" t="s">
        <v>33</v>
      </c>
      <c r="Q3194" t="s">
        <v>56</v>
      </c>
      <c r="R3194">
        <v>1</v>
      </c>
      <c r="S3194" t="s">
        <v>67</v>
      </c>
      <c r="T3194" s="4">
        <f t="shared" si="249"/>
        <v>161861.09999999998</v>
      </c>
      <c r="U3194" s="4" t="str">
        <f t="shared" si="250"/>
        <v>Average</v>
      </c>
      <c r="V3194" s="4" t="str">
        <f t="shared" si="246"/>
        <v>Good</v>
      </c>
      <c r="W3194" s="4"/>
      <c r="X3194" s="4"/>
      <c r="AJ3194" s="4"/>
    </row>
    <row r="3195" spans="1:36">
      <c r="A3195" t="str">
        <f t="shared" si="247"/>
        <v>Lali463194</v>
      </c>
      <c r="B3195">
        <v>3194</v>
      </c>
      <c r="C3195">
        <v>6</v>
      </c>
      <c r="D3195">
        <v>4</v>
      </c>
      <c r="E3195">
        <v>2024</v>
      </c>
      <c r="F3195" s="1">
        <f t="shared" si="248"/>
        <v>45388</v>
      </c>
      <c r="G3195" s="1" t="s">
        <v>537</v>
      </c>
      <c r="H3195" s="2">
        <v>47671</v>
      </c>
      <c r="I3195" t="s">
        <v>26</v>
      </c>
      <c r="J3195">
        <v>7</v>
      </c>
      <c r="K3195">
        <v>24297.27</v>
      </c>
      <c r="L3195" t="s">
        <v>698</v>
      </c>
      <c r="M3195">
        <v>46</v>
      </c>
      <c r="N3195" t="s">
        <v>61</v>
      </c>
      <c r="O3195" s="3" t="s">
        <v>22</v>
      </c>
      <c r="P3195" t="s">
        <v>59</v>
      </c>
      <c r="Q3195" t="s">
        <v>30</v>
      </c>
      <c r="R3195">
        <v>5</v>
      </c>
      <c r="S3195" t="s">
        <v>34</v>
      </c>
      <c r="T3195" s="4">
        <f t="shared" si="249"/>
        <v>170080.89</v>
      </c>
      <c r="U3195" s="4" t="str">
        <f t="shared" si="250"/>
        <v>Good</v>
      </c>
      <c r="V3195" s="4" t="str">
        <f t="shared" si="246"/>
        <v>Good</v>
      </c>
      <c r="W3195" s="4"/>
      <c r="X3195" s="4"/>
      <c r="AJ3195" s="4"/>
    </row>
    <row r="3196" spans="1:36">
      <c r="A3196" t="str">
        <f t="shared" si="247"/>
        <v>Suni493195</v>
      </c>
      <c r="B3196">
        <v>3195</v>
      </c>
      <c r="C3196">
        <v>6</v>
      </c>
      <c r="D3196">
        <v>4</v>
      </c>
      <c r="E3196">
        <v>2024</v>
      </c>
      <c r="F3196" s="1">
        <f t="shared" si="248"/>
        <v>45388</v>
      </c>
      <c r="G3196" s="1" t="s">
        <v>537</v>
      </c>
      <c r="H3196" s="2">
        <v>47672</v>
      </c>
      <c r="I3196" t="s">
        <v>19</v>
      </c>
      <c r="J3196">
        <v>8</v>
      </c>
      <c r="K3196">
        <v>62507.32</v>
      </c>
      <c r="L3196" t="s">
        <v>615</v>
      </c>
      <c r="M3196">
        <v>49</v>
      </c>
      <c r="N3196" t="s">
        <v>61</v>
      </c>
      <c r="O3196" s="3" t="s">
        <v>28</v>
      </c>
      <c r="P3196" t="s">
        <v>45</v>
      </c>
      <c r="Q3196" t="s">
        <v>24</v>
      </c>
      <c r="R3196">
        <v>3</v>
      </c>
      <c r="S3196" t="s">
        <v>25</v>
      </c>
      <c r="T3196" s="4">
        <f t="shared" si="249"/>
        <v>500058.56</v>
      </c>
      <c r="U3196" s="4" t="str">
        <f t="shared" si="250"/>
        <v>Average</v>
      </c>
      <c r="V3196" s="4" t="str">
        <f t="shared" si="246"/>
        <v>Excellent</v>
      </c>
      <c r="W3196" s="4"/>
      <c r="X3196" s="4"/>
      <c r="AJ3196" s="4"/>
    </row>
    <row r="3197" spans="1:36">
      <c r="A3197" t="str">
        <f t="shared" si="247"/>
        <v>Navi363196</v>
      </c>
      <c r="B3197">
        <v>3196</v>
      </c>
      <c r="C3197">
        <v>7</v>
      </c>
      <c r="D3197">
        <v>4</v>
      </c>
      <c r="E3197">
        <v>2024</v>
      </c>
      <c r="F3197" s="1">
        <f t="shared" si="248"/>
        <v>45389</v>
      </c>
      <c r="G3197" s="1" t="s">
        <v>537</v>
      </c>
      <c r="H3197" s="2">
        <v>47673</v>
      </c>
      <c r="I3197" t="s">
        <v>43</v>
      </c>
      <c r="J3197">
        <v>7</v>
      </c>
      <c r="K3197">
        <v>62077.87</v>
      </c>
      <c r="L3197" t="s">
        <v>421</v>
      </c>
      <c r="M3197">
        <v>36</v>
      </c>
      <c r="N3197" t="s">
        <v>21</v>
      </c>
      <c r="O3197" s="3" t="s">
        <v>22</v>
      </c>
      <c r="P3197" t="s">
        <v>33</v>
      </c>
      <c r="Q3197" t="s">
        <v>24</v>
      </c>
      <c r="R3197">
        <v>4</v>
      </c>
      <c r="S3197" t="s">
        <v>57</v>
      </c>
      <c r="T3197" s="4">
        <f t="shared" si="249"/>
        <v>434545.09</v>
      </c>
      <c r="U3197" s="4" t="str">
        <f t="shared" si="250"/>
        <v>Good</v>
      </c>
      <c r="V3197" s="4" t="str">
        <f t="shared" si="246"/>
        <v>Excellent</v>
      </c>
      <c r="W3197" s="4"/>
      <c r="X3197" s="4"/>
      <c r="AJ3197" s="4"/>
    </row>
    <row r="3198" spans="1:36">
      <c r="A3198" t="str">
        <f t="shared" si="247"/>
        <v>Rame523197</v>
      </c>
      <c r="B3198">
        <v>3197</v>
      </c>
      <c r="C3198">
        <v>7</v>
      </c>
      <c r="D3198">
        <v>4</v>
      </c>
      <c r="E3198">
        <v>2024</v>
      </c>
      <c r="F3198" s="1">
        <f t="shared" si="248"/>
        <v>45389</v>
      </c>
      <c r="G3198" s="1" t="s">
        <v>537</v>
      </c>
      <c r="H3198" s="2">
        <v>47674</v>
      </c>
      <c r="I3198" t="s">
        <v>43</v>
      </c>
      <c r="J3198">
        <v>6</v>
      </c>
      <c r="K3198">
        <v>47858.23</v>
      </c>
      <c r="L3198" t="s">
        <v>458</v>
      </c>
      <c r="M3198">
        <v>52</v>
      </c>
      <c r="N3198" t="s">
        <v>61</v>
      </c>
      <c r="O3198" s="3" t="s">
        <v>22</v>
      </c>
      <c r="P3198" t="s">
        <v>33</v>
      </c>
      <c r="Q3198" t="s">
        <v>56</v>
      </c>
      <c r="R3198">
        <v>4</v>
      </c>
      <c r="S3198" t="s">
        <v>46</v>
      </c>
      <c r="T3198" s="4">
        <f t="shared" si="249"/>
        <v>287149.38</v>
      </c>
      <c r="U3198" s="4" t="str">
        <f t="shared" si="250"/>
        <v>Good</v>
      </c>
      <c r="V3198" s="4" t="str">
        <f t="shared" si="246"/>
        <v>Excellent</v>
      </c>
      <c r="W3198" s="4"/>
      <c r="X3198" s="4"/>
      <c r="AJ3198" s="4"/>
    </row>
    <row r="3199" spans="1:36">
      <c r="A3199" t="str">
        <f t="shared" si="247"/>
        <v>Vive493198</v>
      </c>
      <c r="B3199">
        <v>3198</v>
      </c>
      <c r="C3199">
        <v>7</v>
      </c>
      <c r="D3199">
        <v>4</v>
      </c>
      <c r="E3199">
        <v>2024</v>
      </c>
      <c r="F3199" s="1">
        <f t="shared" si="248"/>
        <v>45389</v>
      </c>
      <c r="G3199" s="1" t="s">
        <v>537</v>
      </c>
      <c r="H3199" s="2">
        <v>47675</v>
      </c>
      <c r="I3199" t="s">
        <v>43</v>
      </c>
      <c r="J3199">
        <v>9</v>
      </c>
      <c r="K3199">
        <v>38378.86</v>
      </c>
      <c r="L3199" t="s">
        <v>629</v>
      </c>
      <c r="M3199">
        <v>49</v>
      </c>
      <c r="N3199" t="s">
        <v>61</v>
      </c>
      <c r="O3199" s="3" t="s">
        <v>22</v>
      </c>
      <c r="P3199" t="s">
        <v>64</v>
      </c>
      <c r="Q3199" t="s">
        <v>24</v>
      </c>
      <c r="R3199">
        <v>4</v>
      </c>
      <c r="S3199" t="s">
        <v>57</v>
      </c>
      <c r="T3199" s="4">
        <f t="shared" si="249"/>
        <v>345409.74</v>
      </c>
      <c r="U3199" s="4" t="str">
        <f t="shared" si="250"/>
        <v>Good</v>
      </c>
      <c r="V3199" s="4" t="str">
        <f t="shared" si="246"/>
        <v>Excellent</v>
      </c>
      <c r="W3199" s="4"/>
      <c r="X3199" s="4"/>
      <c r="AJ3199" s="4"/>
    </row>
    <row r="3200" spans="1:36">
      <c r="A3200" t="str">
        <f t="shared" si="247"/>
        <v>Navi373199</v>
      </c>
      <c r="B3200">
        <v>3199</v>
      </c>
      <c r="C3200">
        <v>8</v>
      </c>
      <c r="D3200">
        <v>4</v>
      </c>
      <c r="E3200">
        <v>2024</v>
      </c>
      <c r="F3200" s="1">
        <f t="shared" si="248"/>
        <v>45390</v>
      </c>
      <c r="G3200" s="1" t="s">
        <v>537</v>
      </c>
      <c r="H3200" s="2">
        <v>47676</v>
      </c>
      <c r="I3200" t="s">
        <v>26</v>
      </c>
      <c r="J3200">
        <v>3</v>
      </c>
      <c r="K3200">
        <v>50326.87</v>
      </c>
      <c r="L3200" t="s">
        <v>582</v>
      </c>
      <c r="M3200">
        <v>37</v>
      </c>
      <c r="N3200" t="s">
        <v>21</v>
      </c>
      <c r="O3200" s="3" t="s">
        <v>22</v>
      </c>
      <c r="P3200" t="s">
        <v>66</v>
      </c>
      <c r="Q3200" t="s">
        <v>30</v>
      </c>
      <c r="R3200">
        <v>5</v>
      </c>
      <c r="S3200" t="s">
        <v>67</v>
      </c>
      <c r="T3200" s="4">
        <f t="shared" si="249"/>
        <v>150980.61000000002</v>
      </c>
      <c r="U3200" s="4" t="str">
        <f t="shared" si="250"/>
        <v>Good</v>
      </c>
      <c r="V3200" s="4" t="str">
        <f t="shared" si="246"/>
        <v>Good</v>
      </c>
      <c r="W3200" s="4"/>
      <c r="X3200" s="4"/>
      <c r="AJ3200" s="4"/>
    </row>
    <row r="3201" spans="1:36">
      <c r="A3201" t="str">
        <f t="shared" si="247"/>
        <v>Raje573200</v>
      </c>
      <c r="B3201">
        <v>3200</v>
      </c>
      <c r="C3201">
        <v>8</v>
      </c>
      <c r="D3201">
        <v>4</v>
      </c>
      <c r="E3201">
        <v>2024</v>
      </c>
      <c r="F3201" s="1">
        <f t="shared" si="248"/>
        <v>45390</v>
      </c>
      <c r="G3201" s="1" t="s">
        <v>537</v>
      </c>
      <c r="H3201" s="2">
        <v>47677</v>
      </c>
      <c r="I3201" t="s">
        <v>38</v>
      </c>
      <c r="J3201">
        <v>6</v>
      </c>
      <c r="K3201">
        <v>46433.77</v>
      </c>
      <c r="L3201" t="s">
        <v>520</v>
      </c>
      <c r="M3201">
        <v>57</v>
      </c>
      <c r="N3201" t="s">
        <v>61</v>
      </c>
      <c r="O3201" s="3" t="s">
        <v>55</v>
      </c>
      <c r="P3201" t="s">
        <v>23</v>
      </c>
      <c r="Q3201" t="s">
        <v>56</v>
      </c>
      <c r="R3201">
        <v>1</v>
      </c>
      <c r="S3201" t="s">
        <v>99</v>
      </c>
      <c r="T3201" s="4">
        <f t="shared" si="249"/>
        <v>278602.62</v>
      </c>
      <c r="U3201" s="4" t="str">
        <f t="shared" si="250"/>
        <v>Average</v>
      </c>
      <c r="V3201" s="4" t="str">
        <f t="shared" ref="V3201:V3264" si="251">IF(T3201&gt;200000,"Excellent",IF(T3201&gt;100000,"Good",IF(T3201&gt;50000,"Average","Low")))</f>
        <v>Excellent</v>
      </c>
      <c r="W3201" s="4"/>
      <c r="X3201" s="4"/>
      <c r="AJ3201" s="4"/>
    </row>
    <row r="3202" spans="1:36">
      <c r="A3202" t="str">
        <f t="shared" ref="A3202:A3265" si="252">LEFT(L3202,4)&amp;M3202&amp;B3202</f>
        <v>Raje373201</v>
      </c>
      <c r="B3202">
        <v>3201</v>
      </c>
      <c r="C3202">
        <v>8</v>
      </c>
      <c r="D3202">
        <v>4</v>
      </c>
      <c r="E3202">
        <v>2024</v>
      </c>
      <c r="F3202" s="1">
        <f t="shared" si="248"/>
        <v>45390</v>
      </c>
      <c r="G3202" s="1" t="s">
        <v>537</v>
      </c>
      <c r="H3202" s="2">
        <v>47678</v>
      </c>
      <c r="I3202" t="s">
        <v>26</v>
      </c>
      <c r="J3202">
        <v>4</v>
      </c>
      <c r="K3202">
        <v>34944.050000000003</v>
      </c>
      <c r="L3202" t="s">
        <v>780</v>
      </c>
      <c r="M3202">
        <v>37</v>
      </c>
      <c r="N3202" t="s">
        <v>21</v>
      </c>
      <c r="O3202" s="3" t="s">
        <v>55</v>
      </c>
      <c r="P3202" t="s">
        <v>29</v>
      </c>
      <c r="Q3202" t="s">
        <v>24</v>
      </c>
      <c r="R3202">
        <v>1</v>
      </c>
      <c r="S3202" t="s">
        <v>31</v>
      </c>
      <c r="T3202" s="4">
        <f t="shared" si="249"/>
        <v>139776.20000000001</v>
      </c>
      <c r="U3202" s="4" t="str">
        <f t="shared" si="250"/>
        <v>Average</v>
      </c>
      <c r="V3202" s="4" t="str">
        <f t="shared" si="251"/>
        <v>Good</v>
      </c>
      <c r="W3202" s="4"/>
      <c r="X3202" s="4"/>
      <c r="AJ3202" s="4"/>
    </row>
    <row r="3203" spans="1:36">
      <c r="A3203" t="str">
        <f t="shared" si="252"/>
        <v>Pank253202</v>
      </c>
      <c r="B3203">
        <v>3202</v>
      </c>
      <c r="C3203">
        <v>9</v>
      </c>
      <c r="D3203">
        <v>4</v>
      </c>
      <c r="E3203">
        <v>2024</v>
      </c>
      <c r="F3203" s="1">
        <f t="shared" ref="F3203:F3266" si="253">DATE(E3203,D3203,C3203)</f>
        <v>45391</v>
      </c>
      <c r="G3203" s="1" t="s">
        <v>537</v>
      </c>
      <c r="H3203" s="2">
        <v>47679</v>
      </c>
      <c r="I3203" t="s">
        <v>38</v>
      </c>
      <c r="J3203">
        <v>2</v>
      </c>
      <c r="K3203">
        <v>32777.85</v>
      </c>
      <c r="L3203" t="s">
        <v>424</v>
      </c>
      <c r="M3203">
        <v>25</v>
      </c>
      <c r="N3203" t="s">
        <v>36</v>
      </c>
      <c r="O3203" s="3" t="s">
        <v>55</v>
      </c>
      <c r="P3203" t="s">
        <v>29</v>
      </c>
      <c r="Q3203" t="s">
        <v>30</v>
      </c>
      <c r="R3203">
        <v>2</v>
      </c>
      <c r="S3203" t="s">
        <v>42</v>
      </c>
      <c r="T3203" s="4">
        <f t="shared" ref="T3203:T3266" si="254">J3203*K3203</f>
        <v>65555.7</v>
      </c>
      <c r="U3203" s="4" t="str">
        <f t="shared" ref="U3203:U3266" si="255">IF(R3203&gt;=4,"Good","Average")</f>
        <v>Average</v>
      </c>
      <c r="V3203" s="4" t="str">
        <f t="shared" si="251"/>
        <v>Average</v>
      </c>
      <c r="W3203" s="4"/>
      <c r="X3203" s="4"/>
      <c r="AJ3203" s="4"/>
    </row>
    <row r="3204" spans="1:36">
      <c r="A3204" t="str">
        <f t="shared" si="252"/>
        <v>Mano523203</v>
      </c>
      <c r="B3204">
        <v>3203</v>
      </c>
      <c r="C3204">
        <v>9</v>
      </c>
      <c r="D3204">
        <v>4</v>
      </c>
      <c r="E3204">
        <v>2024</v>
      </c>
      <c r="F3204" s="1">
        <f t="shared" si="253"/>
        <v>45391</v>
      </c>
      <c r="G3204" s="1" t="s">
        <v>537</v>
      </c>
      <c r="H3204" s="2">
        <v>47680</v>
      </c>
      <c r="I3204" t="s">
        <v>19</v>
      </c>
      <c r="J3204">
        <v>1</v>
      </c>
      <c r="K3204">
        <v>32967.660000000003</v>
      </c>
      <c r="L3204" t="s">
        <v>235</v>
      </c>
      <c r="M3204">
        <v>52</v>
      </c>
      <c r="N3204" t="s">
        <v>61</v>
      </c>
      <c r="O3204" s="3" t="s">
        <v>55</v>
      </c>
      <c r="P3204" t="s">
        <v>29</v>
      </c>
      <c r="Q3204" t="s">
        <v>30</v>
      </c>
      <c r="R3204">
        <v>2</v>
      </c>
      <c r="S3204" t="s">
        <v>37</v>
      </c>
      <c r="T3204" s="4">
        <f t="shared" si="254"/>
        <v>32967.660000000003</v>
      </c>
      <c r="U3204" s="4" t="str">
        <f t="shared" si="255"/>
        <v>Average</v>
      </c>
      <c r="V3204" s="4" t="str">
        <f t="shared" si="251"/>
        <v>Low</v>
      </c>
      <c r="W3204" s="4"/>
      <c r="X3204" s="4"/>
      <c r="AJ3204" s="4"/>
    </row>
    <row r="3205" spans="1:36">
      <c r="A3205" t="str">
        <f t="shared" si="252"/>
        <v>Nami593204</v>
      </c>
      <c r="B3205">
        <v>3204</v>
      </c>
      <c r="C3205">
        <v>9</v>
      </c>
      <c r="D3205">
        <v>4</v>
      </c>
      <c r="E3205">
        <v>2024</v>
      </c>
      <c r="F3205" s="1">
        <f t="shared" si="253"/>
        <v>45391</v>
      </c>
      <c r="G3205" s="1" t="s">
        <v>537</v>
      </c>
      <c r="H3205" s="2">
        <v>47681</v>
      </c>
      <c r="I3205" t="s">
        <v>49</v>
      </c>
      <c r="J3205">
        <v>1</v>
      </c>
      <c r="K3205">
        <v>45348</v>
      </c>
      <c r="L3205" t="s">
        <v>60</v>
      </c>
      <c r="M3205">
        <v>59</v>
      </c>
      <c r="N3205" t="s">
        <v>61</v>
      </c>
      <c r="O3205" s="3" t="s">
        <v>55</v>
      </c>
      <c r="P3205" t="s">
        <v>132</v>
      </c>
      <c r="Q3205" t="s">
        <v>41</v>
      </c>
      <c r="R3205">
        <v>2</v>
      </c>
      <c r="S3205" t="s">
        <v>52</v>
      </c>
      <c r="T3205" s="4">
        <f t="shared" si="254"/>
        <v>45348</v>
      </c>
      <c r="U3205" s="4" t="str">
        <f t="shared" si="255"/>
        <v>Average</v>
      </c>
      <c r="V3205" s="4" t="str">
        <f t="shared" si="251"/>
        <v>Low</v>
      </c>
      <c r="W3205" s="4"/>
      <c r="X3205" s="4"/>
      <c r="AJ3205" s="4"/>
    </row>
    <row r="3206" spans="1:36">
      <c r="A3206" t="str">
        <f t="shared" si="252"/>
        <v>Sumi303205</v>
      </c>
      <c r="B3206">
        <v>3205</v>
      </c>
      <c r="C3206">
        <v>9</v>
      </c>
      <c r="D3206">
        <v>4</v>
      </c>
      <c r="E3206">
        <v>2024</v>
      </c>
      <c r="F3206" s="1">
        <f t="shared" si="253"/>
        <v>45391</v>
      </c>
      <c r="G3206" s="1" t="s">
        <v>537</v>
      </c>
      <c r="H3206" s="2">
        <v>47682</v>
      </c>
      <c r="I3206" t="s">
        <v>38</v>
      </c>
      <c r="J3206">
        <v>3</v>
      </c>
      <c r="K3206">
        <v>48860.160000000003</v>
      </c>
      <c r="L3206" t="s">
        <v>813</v>
      </c>
      <c r="M3206">
        <v>30</v>
      </c>
      <c r="N3206" t="s">
        <v>36</v>
      </c>
      <c r="O3206" s="3" t="s">
        <v>22</v>
      </c>
      <c r="P3206" t="s">
        <v>29</v>
      </c>
      <c r="Q3206" t="s">
        <v>24</v>
      </c>
      <c r="R3206">
        <v>5</v>
      </c>
      <c r="S3206" t="s">
        <v>48</v>
      </c>
      <c r="T3206" s="4">
        <f t="shared" si="254"/>
        <v>146580.48000000001</v>
      </c>
      <c r="U3206" s="4" t="str">
        <f t="shared" si="255"/>
        <v>Good</v>
      </c>
      <c r="V3206" s="4" t="str">
        <f t="shared" si="251"/>
        <v>Good</v>
      </c>
      <c r="W3206" s="4"/>
      <c r="X3206" s="4"/>
      <c r="AJ3206" s="4"/>
    </row>
    <row r="3207" spans="1:36">
      <c r="A3207" t="str">
        <f t="shared" si="252"/>
        <v>Radh583206</v>
      </c>
      <c r="B3207">
        <v>3206</v>
      </c>
      <c r="C3207">
        <v>10</v>
      </c>
      <c r="D3207">
        <v>4</v>
      </c>
      <c r="E3207">
        <v>2024</v>
      </c>
      <c r="F3207" s="1">
        <f t="shared" si="253"/>
        <v>45392</v>
      </c>
      <c r="G3207" s="1" t="s">
        <v>537</v>
      </c>
      <c r="H3207" s="2">
        <v>47683</v>
      </c>
      <c r="I3207" t="s">
        <v>43</v>
      </c>
      <c r="J3207">
        <v>4</v>
      </c>
      <c r="K3207">
        <v>37104.51</v>
      </c>
      <c r="L3207" t="s">
        <v>624</v>
      </c>
      <c r="M3207">
        <v>58</v>
      </c>
      <c r="N3207" t="s">
        <v>61</v>
      </c>
      <c r="O3207" s="3" t="s">
        <v>28</v>
      </c>
      <c r="P3207" t="s">
        <v>29</v>
      </c>
      <c r="Q3207" t="s">
        <v>56</v>
      </c>
      <c r="R3207">
        <v>3</v>
      </c>
      <c r="S3207" t="s">
        <v>57</v>
      </c>
      <c r="T3207" s="4">
        <f t="shared" si="254"/>
        <v>148418.04</v>
      </c>
      <c r="U3207" s="4" t="str">
        <f t="shared" si="255"/>
        <v>Average</v>
      </c>
      <c r="V3207" s="4" t="str">
        <f t="shared" si="251"/>
        <v>Good</v>
      </c>
      <c r="W3207" s="4"/>
      <c r="X3207" s="4"/>
      <c r="AJ3207" s="4"/>
    </row>
    <row r="3208" spans="1:36">
      <c r="A3208" t="str">
        <f t="shared" si="252"/>
        <v>Kris233207</v>
      </c>
      <c r="B3208">
        <v>3207</v>
      </c>
      <c r="C3208">
        <v>10</v>
      </c>
      <c r="D3208">
        <v>4</v>
      </c>
      <c r="E3208">
        <v>2024</v>
      </c>
      <c r="F3208" s="1">
        <f t="shared" si="253"/>
        <v>45392</v>
      </c>
      <c r="G3208" s="1" t="s">
        <v>537</v>
      </c>
      <c r="H3208" s="2">
        <v>47684</v>
      </c>
      <c r="I3208" t="s">
        <v>26</v>
      </c>
      <c r="J3208">
        <v>2</v>
      </c>
      <c r="K3208">
        <v>68121.490000000005</v>
      </c>
      <c r="L3208" t="s">
        <v>194</v>
      </c>
      <c r="M3208">
        <v>23</v>
      </c>
      <c r="N3208" t="s">
        <v>36</v>
      </c>
      <c r="O3208" s="3" t="s">
        <v>55</v>
      </c>
      <c r="P3208" t="s">
        <v>29</v>
      </c>
      <c r="Q3208" t="s">
        <v>41</v>
      </c>
      <c r="R3208">
        <v>1</v>
      </c>
      <c r="S3208" t="s">
        <v>31</v>
      </c>
      <c r="T3208" s="4">
        <f t="shared" si="254"/>
        <v>136242.98000000001</v>
      </c>
      <c r="U3208" s="4" t="str">
        <f t="shared" si="255"/>
        <v>Average</v>
      </c>
      <c r="V3208" s="4" t="str">
        <f t="shared" si="251"/>
        <v>Good</v>
      </c>
      <c r="W3208" s="4"/>
      <c r="X3208" s="4"/>
      <c r="AJ3208" s="4"/>
    </row>
    <row r="3209" spans="1:36">
      <c r="A3209" t="str">
        <f t="shared" si="252"/>
        <v>Sach333208</v>
      </c>
      <c r="B3209">
        <v>3208</v>
      </c>
      <c r="C3209">
        <v>10</v>
      </c>
      <c r="D3209">
        <v>4</v>
      </c>
      <c r="E3209">
        <v>2024</v>
      </c>
      <c r="F3209" s="1">
        <f t="shared" si="253"/>
        <v>45392</v>
      </c>
      <c r="G3209" s="1" t="s">
        <v>537</v>
      </c>
      <c r="H3209" s="2">
        <v>47685</v>
      </c>
      <c r="I3209" t="s">
        <v>19</v>
      </c>
      <c r="J3209">
        <v>1</v>
      </c>
      <c r="K3209">
        <v>15030.74</v>
      </c>
      <c r="L3209" t="s">
        <v>483</v>
      </c>
      <c r="M3209">
        <v>33</v>
      </c>
      <c r="N3209" t="s">
        <v>21</v>
      </c>
      <c r="O3209" s="3" t="s">
        <v>55</v>
      </c>
      <c r="P3209" t="s">
        <v>77</v>
      </c>
      <c r="Q3209" t="s">
        <v>56</v>
      </c>
      <c r="R3209">
        <v>2</v>
      </c>
      <c r="S3209" t="s">
        <v>25</v>
      </c>
      <c r="T3209" s="4">
        <f t="shared" si="254"/>
        <v>15030.74</v>
      </c>
      <c r="U3209" s="4" t="str">
        <f t="shared" si="255"/>
        <v>Average</v>
      </c>
      <c r="V3209" s="4" t="str">
        <f t="shared" si="251"/>
        <v>Low</v>
      </c>
      <c r="W3209" s="4"/>
      <c r="X3209" s="4"/>
      <c r="AJ3209" s="4"/>
    </row>
    <row r="3210" spans="1:36">
      <c r="A3210" t="str">
        <f t="shared" si="252"/>
        <v>Sumi223209</v>
      </c>
      <c r="B3210">
        <v>3209</v>
      </c>
      <c r="C3210">
        <v>10</v>
      </c>
      <c r="D3210">
        <v>4</v>
      </c>
      <c r="E3210">
        <v>2024</v>
      </c>
      <c r="F3210" s="1">
        <f t="shared" si="253"/>
        <v>45392</v>
      </c>
      <c r="G3210" s="1" t="s">
        <v>537</v>
      </c>
      <c r="H3210" s="2">
        <v>47686</v>
      </c>
      <c r="I3210" t="s">
        <v>43</v>
      </c>
      <c r="J3210">
        <v>4</v>
      </c>
      <c r="K3210">
        <v>30822.82</v>
      </c>
      <c r="L3210" t="s">
        <v>256</v>
      </c>
      <c r="M3210">
        <v>22</v>
      </c>
      <c r="N3210" t="s">
        <v>36</v>
      </c>
      <c r="O3210" s="3" t="s">
        <v>22</v>
      </c>
      <c r="P3210" t="s">
        <v>70</v>
      </c>
      <c r="Q3210" t="s">
        <v>41</v>
      </c>
      <c r="R3210">
        <v>5</v>
      </c>
      <c r="S3210" t="s">
        <v>95</v>
      </c>
      <c r="T3210" s="4">
        <f t="shared" si="254"/>
        <v>123291.28</v>
      </c>
      <c r="U3210" s="4" t="str">
        <f t="shared" si="255"/>
        <v>Good</v>
      </c>
      <c r="V3210" s="4" t="str">
        <f t="shared" si="251"/>
        <v>Good</v>
      </c>
      <c r="W3210" s="4"/>
      <c r="X3210" s="4"/>
      <c r="AJ3210" s="4"/>
    </row>
    <row r="3211" spans="1:36">
      <c r="A3211" t="str">
        <f t="shared" si="252"/>
        <v>Pank513210</v>
      </c>
      <c r="B3211">
        <v>3210</v>
      </c>
      <c r="C3211">
        <v>11</v>
      </c>
      <c r="D3211">
        <v>4</v>
      </c>
      <c r="E3211">
        <v>2024</v>
      </c>
      <c r="F3211" s="1">
        <f t="shared" si="253"/>
        <v>45393</v>
      </c>
      <c r="G3211" s="1" t="s">
        <v>537</v>
      </c>
      <c r="H3211" s="2">
        <v>47687</v>
      </c>
      <c r="I3211" t="s">
        <v>19</v>
      </c>
      <c r="J3211">
        <v>7</v>
      </c>
      <c r="K3211">
        <v>35144.480000000003</v>
      </c>
      <c r="L3211" t="s">
        <v>657</v>
      </c>
      <c r="M3211">
        <v>51</v>
      </c>
      <c r="N3211" t="s">
        <v>61</v>
      </c>
      <c r="O3211" s="3" t="s">
        <v>22</v>
      </c>
      <c r="P3211" t="s">
        <v>29</v>
      </c>
      <c r="Q3211" t="s">
        <v>30</v>
      </c>
      <c r="R3211">
        <v>5</v>
      </c>
      <c r="S3211" t="s">
        <v>84</v>
      </c>
      <c r="T3211" s="4">
        <f t="shared" si="254"/>
        <v>246011.36000000002</v>
      </c>
      <c r="U3211" s="4" t="str">
        <f t="shared" si="255"/>
        <v>Good</v>
      </c>
      <c r="V3211" s="4" t="str">
        <f t="shared" si="251"/>
        <v>Excellent</v>
      </c>
      <c r="W3211" s="4"/>
      <c r="X3211" s="4"/>
      <c r="AJ3211" s="4"/>
    </row>
    <row r="3212" spans="1:36">
      <c r="A3212" t="str">
        <f t="shared" si="252"/>
        <v>Deep233211</v>
      </c>
      <c r="B3212">
        <v>3211</v>
      </c>
      <c r="C3212">
        <v>11</v>
      </c>
      <c r="D3212">
        <v>4</v>
      </c>
      <c r="E3212">
        <v>2024</v>
      </c>
      <c r="F3212" s="1">
        <f t="shared" si="253"/>
        <v>45393</v>
      </c>
      <c r="G3212" s="1" t="s">
        <v>537</v>
      </c>
      <c r="H3212" s="2">
        <v>47688</v>
      </c>
      <c r="I3212" t="s">
        <v>49</v>
      </c>
      <c r="J3212">
        <v>6</v>
      </c>
      <c r="K3212">
        <v>11015.28</v>
      </c>
      <c r="L3212" t="s">
        <v>321</v>
      </c>
      <c r="M3212">
        <v>23</v>
      </c>
      <c r="N3212" t="s">
        <v>36</v>
      </c>
      <c r="O3212" s="3" t="s">
        <v>55</v>
      </c>
      <c r="P3212" t="s">
        <v>93</v>
      </c>
      <c r="Q3212" t="s">
        <v>41</v>
      </c>
      <c r="R3212">
        <v>2</v>
      </c>
      <c r="S3212" t="s">
        <v>52</v>
      </c>
      <c r="T3212" s="4">
        <f t="shared" si="254"/>
        <v>66091.680000000008</v>
      </c>
      <c r="U3212" s="4" t="str">
        <f t="shared" si="255"/>
        <v>Average</v>
      </c>
      <c r="V3212" s="4" t="str">
        <f t="shared" si="251"/>
        <v>Average</v>
      </c>
      <c r="W3212" s="4"/>
      <c r="X3212" s="4"/>
      <c r="AJ3212" s="4"/>
    </row>
    <row r="3213" spans="1:36">
      <c r="A3213" t="str">
        <f t="shared" si="252"/>
        <v>Lata503212</v>
      </c>
      <c r="B3213">
        <v>3212</v>
      </c>
      <c r="C3213">
        <v>11</v>
      </c>
      <c r="D3213">
        <v>4</v>
      </c>
      <c r="E3213">
        <v>2024</v>
      </c>
      <c r="F3213" s="1">
        <f t="shared" si="253"/>
        <v>45393</v>
      </c>
      <c r="G3213" s="1" t="s">
        <v>537</v>
      </c>
      <c r="H3213" s="2">
        <v>47689</v>
      </c>
      <c r="I3213" t="s">
        <v>26</v>
      </c>
      <c r="J3213">
        <v>6</v>
      </c>
      <c r="K3213">
        <v>31897.43</v>
      </c>
      <c r="L3213" t="s">
        <v>774</v>
      </c>
      <c r="M3213">
        <v>50</v>
      </c>
      <c r="N3213" t="s">
        <v>61</v>
      </c>
      <c r="O3213" s="3" t="s">
        <v>22</v>
      </c>
      <c r="P3213" t="s">
        <v>90</v>
      </c>
      <c r="Q3213" t="s">
        <v>41</v>
      </c>
      <c r="R3213">
        <v>4</v>
      </c>
      <c r="S3213" t="s">
        <v>31</v>
      </c>
      <c r="T3213" s="4">
        <f t="shared" si="254"/>
        <v>191384.58000000002</v>
      </c>
      <c r="U3213" s="4" t="str">
        <f t="shared" si="255"/>
        <v>Good</v>
      </c>
      <c r="V3213" s="4" t="str">
        <f t="shared" si="251"/>
        <v>Good</v>
      </c>
      <c r="W3213" s="4"/>
      <c r="X3213" s="4"/>
      <c r="AJ3213" s="4"/>
    </row>
    <row r="3214" spans="1:36">
      <c r="A3214" t="str">
        <f t="shared" si="252"/>
        <v>Meen323213</v>
      </c>
      <c r="B3214">
        <v>3213</v>
      </c>
      <c r="C3214">
        <v>11</v>
      </c>
      <c r="D3214">
        <v>4</v>
      </c>
      <c r="E3214">
        <v>2024</v>
      </c>
      <c r="F3214" s="1">
        <f t="shared" si="253"/>
        <v>45393</v>
      </c>
      <c r="G3214" s="1" t="s">
        <v>537</v>
      </c>
      <c r="H3214" s="2">
        <v>47690</v>
      </c>
      <c r="I3214" t="s">
        <v>26</v>
      </c>
      <c r="J3214">
        <v>9</v>
      </c>
      <c r="K3214">
        <v>26422.6</v>
      </c>
      <c r="L3214" t="s">
        <v>771</v>
      </c>
      <c r="M3214">
        <v>32</v>
      </c>
      <c r="N3214" t="s">
        <v>21</v>
      </c>
      <c r="O3214" s="3" t="s">
        <v>22</v>
      </c>
      <c r="P3214" t="s">
        <v>117</v>
      </c>
      <c r="Q3214" t="s">
        <v>41</v>
      </c>
      <c r="R3214">
        <v>4</v>
      </c>
      <c r="S3214" t="s">
        <v>31</v>
      </c>
      <c r="T3214" s="4">
        <f t="shared" si="254"/>
        <v>237803.4</v>
      </c>
      <c r="U3214" s="4" t="str">
        <f t="shared" si="255"/>
        <v>Good</v>
      </c>
      <c r="V3214" s="4" t="str">
        <f t="shared" si="251"/>
        <v>Excellent</v>
      </c>
      <c r="W3214" s="4"/>
      <c r="X3214" s="4"/>
      <c r="AJ3214" s="4"/>
    </row>
    <row r="3215" spans="1:36">
      <c r="A3215" t="str">
        <f t="shared" si="252"/>
        <v>Pras323214</v>
      </c>
      <c r="B3215">
        <v>3214</v>
      </c>
      <c r="C3215">
        <v>12</v>
      </c>
      <c r="D3215">
        <v>4</v>
      </c>
      <c r="E3215">
        <v>2024</v>
      </c>
      <c r="F3215" s="1">
        <f t="shared" si="253"/>
        <v>45394</v>
      </c>
      <c r="G3215" s="1" t="s">
        <v>537</v>
      </c>
      <c r="H3215" s="2">
        <v>47691</v>
      </c>
      <c r="I3215" t="s">
        <v>49</v>
      </c>
      <c r="J3215">
        <v>2</v>
      </c>
      <c r="K3215">
        <v>40362.18</v>
      </c>
      <c r="L3215" t="s">
        <v>710</v>
      </c>
      <c r="M3215">
        <v>32</v>
      </c>
      <c r="N3215" t="s">
        <v>21</v>
      </c>
      <c r="O3215" s="3" t="s">
        <v>22</v>
      </c>
      <c r="P3215" t="s">
        <v>29</v>
      </c>
      <c r="Q3215" t="s">
        <v>24</v>
      </c>
      <c r="R3215">
        <v>4</v>
      </c>
      <c r="S3215" t="s">
        <v>88</v>
      </c>
      <c r="T3215" s="4">
        <f t="shared" si="254"/>
        <v>80724.36</v>
      </c>
      <c r="U3215" s="4" t="str">
        <f t="shared" si="255"/>
        <v>Good</v>
      </c>
      <c r="V3215" s="4" t="str">
        <f t="shared" si="251"/>
        <v>Average</v>
      </c>
      <c r="W3215" s="4"/>
      <c r="X3215" s="4"/>
      <c r="AJ3215" s="4"/>
    </row>
    <row r="3216" spans="1:36">
      <c r="A3216" t="str">
        <f t="shared" si="252"/>
        <v>Hari313215</v>
      </c>
      <c r="B3216">
        <v>3215</v>
      </c>
      <c r="C3216">
        <v>12</v>
      </c>
      <c r="D3216">
        <v>4</v>
      </c>
      <c r="E3216">
        <v>2024</v>
      </c>
      <c r="F3216" s="1">
        <f t="shared" si="253"/>
        <v>45394</v>
      </c>
      <c r="G3216" s="1" t="s">
        <v>537</v>
      </c>
      <c r="H3216" s="2">
        <v>47692</v>
      </c>
      <c r="I3216" t="s">
        <v>26</v>
      </c>
      <c r="J3216">
        <v>4</v>
      </c>
      <c r="K3216">
        <v>30184.63</v>
      </c>
      <c r="L3216" t="s">
        <v>73</v>
      </c>
      <c r="M3216">
        <v>31</v>
      </c>
      <c r="N3216" t="s">
        <v>21</v>
      </c>
      <c r="O3216" s="3" t="s">
        <v>55</v>
      </c>
      <c r="P3216" t="s">
        <v>77</v>
      </c>
      <c r="Q3216" t="s">
        <v>41</v>
      </c>
      <c r="R3216">
        <v>2</v>
      </c>
      <c r="S3216" t="s">
        <v>67</v>
      </c>
      <c r="T3216" s="4">
        <f t="shared" si="254"/>
        <v>120738.52</v>
      </c>
      <c r="U3216" s="4" t="str">
        <f t="shared" si="255"/>
        <v>Average</v>
      </c>
      <c r="V3216" s="4" t="str">
        <f t="shared" si="251"/>
        <v>Good</v>
      </c>
      <c r="W3216" s="4"/>
      <c r="X3216" s="4"/>
      <c r="AJ3216" s="4"/>
    </row>
    <row r="3217" spans="1:36">
      <c r="A3217" t="str">
        <f t="shared" si="252"/>
        <v>Nikh563216</v>
      </c>
      <c r="B3217">
        <v>3216</v>
      </c>
      <c r="C3217">
        <v>12</v>
      </c>
      <c r="D3217">
        <v>4</v>
      </c>
      <c r="E3217">
        <v>2024</v>
      </c>
      <c r="F3217" s="1">
        <f t="shared" si="253"/>
        <v>45394</v>
      </c>
      <c r="G3217" s="1" t="s">
        <v>537</v>
      </c>
      <c r="H3217" s="2">
        <v>47693</v>
      </c>
      <c r="I3217" t="s">
        <v>38</v>
      </c>
      <c r="J3217">
        <v>5</v>
      </c>
      <c r="K3217">
        <v>53570.93</v>
      </c>
      <c r="L3217" t="s">
        <v>497</v>
      </c>
      <c r="M3217">
        <v>56</v>
      </c>
      <c r="N3217" t="s">
        <v>61</v>
      </c>
      <c r="O3217" s="3" t="s">
        <v>22</v>
      </c>
      <c r="P3217" t="s">
        <v>66</v>
      </c>
      <c r="Q3217" t="s">
        <v>30</v>
      </c>
      <c r="R3217">
        <v>5</v>
      </c>
      <c r="S3217" t="s">
        <v>99</v>
      </c>
      <c r="T3217" s="4">
        <f t="shared" si="254"/>
        <v>267854.65000000002</v>
      </c>
      <c r="U3217" s="4" t="str">
        <f t="shared" si="255"/>
        <v>Good</v>
      </c>
      <c r="V3217" s="4" t="str">
        <f t="shared" si="251"/>
        <v>Excellent</v>
      </c>
      <c r="W3217" s="4"/>
      <c r="X3217" s="4"/>
      <c r="AJ3217" s="4"/>
    </row>
    <row r="3218" spans="1:36">
      <c r="A3218" t="str">
        <f t="shared" si="252"/>
        <v>Pank223217</v>
      </c>
      <c r="B3218">
        <v>3217</v>
      </c>
      <c r="C3218">
        <v>12</v>
      </c>
      <c r="D3218">
        <v>4</v>
      </c>
      <c r="E3218">
        <v>2024</v>
      </c>
      <c r="F3218" s="1">
        <f t="shared" si="253"/>
        <v>45394</v>
      </c>
      <c r="G3218" s="1" t="s">
        <v>537</v>
      </c>
      <c r="H3218" s="2">
        <v>47694</v>
      </c>
      <c r="I3218" t="s">
        <v>19</v>
      </c>
      <c r="J3218">
        <v>1</v>
      </c>
      <c r="K3218">
        <v>40595.949999999997</v>
      </c>
      <c r="L3218" t="s">
        <v>1040</v>
      </c>
      <c r="M3218">
        <v>22</v>
      </c>
      <c r="N3218" t="s">
        <v>36</v>
      </c>
      <c r="O3218" s="3" t="s">
        <v>22</v>
      </c>
      <c r="P3218" t="s">
        <v>132</v>
      </c>
      <c r="Q3218" t="s">
        <v>56</v>
      </c>
      <c r="R3218">
        <v>5</v>
      </c>
      <c r="S3218" t="s">
        <v>37</v>
      </c>
      <c r="T3218" s="4">
        <f t="shared" si="254"/>
        <v>40595.949999999997</v>
      </c>
      <c r="U3218" s="4" t="str">
        <f t="shared" si="255"/>
        <v>Good</v>
      </c>
      <c r="V3218" s="4" t="str">
        <f t="shared" si="251"/>
        <v>Low</v>
      </c>
      <c r="W3218" s="4"/>
      <c r="X3218" s="4"/>
      <c r="AJ3218" s="4"/>
    </row>
    <row r="3219" spans="1:36">
      <c r="A3219" t="str">
        <f t="shared" si="252"/>
        <v>Priy433218</v>
      </c>
      <c r="B3219">
        <v>3218</v>
      </c>
      <c r="C3219">
        <v>13</v>
      </c>
      <c r="D3219">
        <v>4</v>
      </c>
      <c r="E3219">
        <v>2024</v>
      </c>
      <c r="F3219" s="1">
        <f t="shared" si="253"/>
        <v>45395</v>
      </c>
      <c r="G3219" s="1" t="s">
        <v>537</v>
      </c>
      <c r="H3219" s="2">
        <v>47695</v>
      </c>
      <c r="I3219" t="s">
        <v>43</v>
      </c>
      <c r="J3219">
        <v>8</v>
      </c>
      <c r="K3219">
        <v>17785.73</v>
      </c>
      <c r="L3219" t="s">
        <v>332</v>
      </c>
      <c r="M3219">
        <v>43</v>
      </c>
      <c r="N3219" t="s">
        <v>21</v>
      </c>
      <c r="O3219" s="3" t="s">
        <v>55</v>
      </c>
      <c r="P3219" t="s">
        <v>33</v>
      </c>
      <c r="Q3219" t="s">
        <v>24</v>
      </c>
      <c r="R3219">
        <v>1</v>
      </c>
      <c r="S3219" t="s">
        <v>46</v>
      </c>
      <c r="T3219" s="4">
        <f t="shared" si="254"/>
        <v>142285.84</v>
      </c>
      <c r="U3219" s="4" t="str">
        <f t="shared" si="255"/>
        <v>Average</v>
      </c>
      <c r="V3219" s="4" t="str">
        <f t="shared" si="251"/>
        <v>Good</v>
      </c>
      <c r="W3219" s="4"/>
      <c r="X3219" s="4"/>
      <c r="AJ3219" s="4"/>
    </row>
    <row r="3220" spans="1:36">
      <c r="A3220" t="str">
        <f t="shared" si="252"/>
        <v>Bina343219</v>
      </c>
      <c r="B3220">
        <v>3219</v>
      </c>
      <c r="C3220">
        <v>13</v>
      </c>
      <c r="D3220">
        <v>4</v>
      </c>
      <c r="E3220">
        <v>2024</v>
      </c>
      <c r="F3220" s="1">
        <f t="shared" si="253"/>
        <v>45395</v>
      </c>
      <c r="G3220" s="1" t="s">
        <v>537</v>
      </c>
      <c r="H3220" s="2">
        <v>47696</v>
      </c>
      <c r="I3220" t="s">
        <v>49</v>
      </c>
      <c r="J3220">
        <v>8</v>
      </c>
      <c r="K3220">
        <v>55003.68</v>
      </c>
      <c r="L3220" t="s">
        <v>902</v>
      </c>
      <c r="M3220">
        <v>34</v>
      </c>
      <c r="N3220" t="s">
        <v>21</v>
      </c>
      <c r="O3220" s="3" t="s">
        <v>22</v>
      </c>
      <c r="P3220" t="s">
        <v>33</v>
      </c>
      <c r="Q3220" t="s">
        <v>30</v>
      </c>
      <c r="R3220">
        <v>4</v>
      </c>
      <c r="S3220" t="s">
        <v>52</v>
      </c>
      <c r="T3220" s="4">
        <f t="shared" si="254"/>
        <v>440029.44</v>
      </c>
      <c r="U3220" s="4" t="str">
        <f t="shared" si="255"/>
        <v>Good</v>
      </c>
      <c r="V3220" s="4" t="str">
        <f t="shared" si="251"/>
        <v>Excellent</v>
      </c>
      <c r="W3220" s="4"/>
      <c r="X3220" s="4"/>
      <c r="AJ3220" s="4"/>
    </row>
    <row r="3221" spans="1:36">
      <c r="A3221" t="str">
        <f t="shared" si="252"/>
        <v>Adit333220</v>
      </c>
      <c r="B3221">
        <v>3220</v>
      </c>
      <c r="C3221">
        <v>13</v>
      </c>
      <c r="D3221">
        <v>4</v>
      </c>
      <c r="E3221">
        <v>2024</v>
      </c>
      <c r="F3221" s="1">
        <f t="shared" si="253"/>
        <v>45395</v>
      </c>
      <c r="G3221" s="1" t="s">
        <v>537</v>
      </c>
      <c r="H3221" s="2">
        <v>47697</v>
      </c>
      <c r="I3221" t="s">
        <v>38</v>
      </c>
      <c r="J3221">
        <v>6</v>
      </c>
      <c r="K3221">
        <v>15953.73</v>
      </c>
      <c r="L3221" t="s">
        <v>589</v>
      </c>
      <c r="M3221">
        <v>33</v>
      </c>
      <c r="N3221" t="s">
        <v>21</v>
      </c>
      <c r="O3221" s="3" t="s">
        <v>55</v>
      </c>
      <c r="P3221" t="s">
        <v>132</v>
      </c>
      <c r="Q3221" t="s">
        <v>24</v>
      </c>
      <c r="R3221">
        <v>2</v>
      </c>
      <c r="S3221" t="s">
        <v>48</v>
      </c>
      <c r="T3221" s="4">
        <f t="shared" si="254"/>
        <v>95722.38</v>
      </c>
      <c r="U3221" s="4" t="str">
        <f t="shared" si="255"/>
        <v>Average</v>
      </c>
      <c r="V3221" s="4" t="str">
        <f t="shared" si="251"/>
        <v>Average</v>
      </c>
      <c r="W3221" s="4"/>
      <c r="X3221" s="4"/>
      <c r="AJ3221" s="4"/>
    </row>
    <row r="3222" spans="1:36">
      <c r="A3222" t="str">
        <f t="shared" si="252"/>
        <v>Pooj523221</v>
      </c>
      <c r="B3222">
        <v>3221</v>
      </c>
      <c r="C3222">
        <v>13</v>
      </c>
      <c r="D3222">
        <v>4</v>
      </c>
      <c r="E3222">
        <v>2024</v>
      </c>
      <c r="F3222" s="1">
        <f t="shared" si="253"/>
        <v>45395</v>
      </c>
      <c r="G3222" s="1" t="s">
        <v>537</v>
      </c>
      <c r="H3222" s="2">
        <v>47698</v>
      </c>
      <c r="I3222" t="s">
        <v>43</v>
      </c>
      <c r="J3222">
        <v>5</v>
      </c>
      <c r="K3222">
        <v>60342.95</v>
      </c>
      <c r="L3222" t="s">
        <v>340</v>
      </c>
      <c r="M3222">
        <v>52</v>
      </c>
      <c r="N3222" t="s">
        <v>61</v>
      </c>
      <c r="O3222" s="3" t="s">
        <v>55</v>
      </c>
      <c r="P3222" t="s">
        <v>33</v>
      </c>
      <c r="Q3222" t="s">
        <v>56</v>
      </c>
      <c r="R3222">
        <v>1</v>
      </c>
      <c r="S3222" t="s">
        <v>57</v>
      </c>
      <c r="T3222" s="4">
        <f t="shared" si="254"/>
        <v>301714.75</v>
      </c>
      <c r="U3222" s="4" t="str">
        <f t="shared" si="255"/>
        <v>Average</v>
      </c>
      <c r="V3222" s="4" t="str">
        <f t="shared" si="251"/>
        <v>Excellent</v>
      </c>
      <c r="W3222" s="4"/>
      <c r="X3222" s="4"/>
      <c r="AJ3222" s="4"/>
    </row>
    <row r="3223" spans="1:36">
      <c r="A3223" t="str">
        <f t="shared" si="252"/>
        <v>Isha553222</v>
      </c>
      <c r="B3223">
        <v>3222</v>
      </c>
      <c r="C3223">
        <v>14</v>
      </c>
      <c r="D3223">
        <v>4</v>
      </c>
      <c r="E3223">
        <v>2024</v>
      </c>
      <c r="F3223" s="1">
        <f t="shared" si="253"/>
        <v>45396</v>
      </c>
      <c r="G3223" s="1" t="s">
        <v>537</v>
      </c>
      <c r="H3223" s="2">
        <v>47699</v>
      </c>
      <c r="I3223" t="s">
        <v>43</v>
      </c>
      <c r="J3223">
        <v>8</v>
      </c>
      <c r="K3223">
        <v>65885.33</v>
      </c>
      <c r="L3223" t="s">
        <v>782</v>
      </c>
      <c r="M3223">
        <v>55</v>
      </c>
      <c r="N3223" t="s">
        <v>61</v>
      </c>
      <c r="O3223" s="3" t="s">
        <v>22</v>
      </c>
      <c r="P3223" t="s">
        <v>29</v>
      </c>
      <c r="Q3223" t="s">
        <v>56</v>
      </c>
      <c r="R3223">
        <v>5</v>
      </c>
      <c r="S3223" t="s">
        <v>46</v>
      </c>
      <c r="T3223" s="4">
        <f t="shared" si="254"/>
        <v>527082.64</v>
      </c>
      <c r="U3223" s="4" t="str">
        <f t="shared" si="255"/>
        <v>Good</v>
      </c>
      <c r="V3223" s="4" t="str">
        <f t="shared" si="251"/>
        <v>Excellent</v>
      </c>
      <c r="W3223" s="4"/>
      <c r="X3223" s="4"/>
      <c r="AJ3223" s="4"/>
    </row>
    <row r="3224" spans="1:36">
      <c r="A3224" t="str">
        <f t="shared" si="252"/>
        <v>Tapa403223</v>
      </c>
      <c r="B3224">
        <v>3223</v>
      </c>
      <c r="C3224">
        <v>14</v>
      </c>
      <c r="D3224">
        <v>4</v>
      </c>
      <c r="E3224">
        <v>2024</v>
      </c>
      <c r="F3224" s="1">
        <f t="shared" si="253"/>
        <v>45396</v>
      </c>
      <c r="G3224" s="1" t="s">
        <v>537</v>
      </c>
      <c r="H3224" s="2">
        <v>47700</v>
      </c>
      <c r="I3224" t="s">
        <v>49</v>
      </c>
      <c r="J3224">
        <v>3</v>
      </c>
      <c r="K3224">
        <v>29346.720000000001</v>
      </c>
      <c r="L3224" t="s">
        <v>312</v>
      </c>
      <c r="M3224">
        <v>40</v>
      </c>
      <c r="N3224" t="s">
        <v>21</v>
      </c>
      <c r="O3224" s="3" t="s">
        <v>55</v>
      </c>
      <c r="P3224" t="s">
        <v>40</v>
      </c>
      <c r="Q3224" t="s">
        <v>56</v>
      </c>
      <c r="R3224">
        <v>1</v>
      </c>
      <c r="S3224" t="s">
        <v>88</v>
      </c>
      <c r="T3224" s="4">
        <f t="shared" si="254"/>
        <v>88040.16</v>
      </c>
      <c r="U3224" s="4" t="str">
        <f t="shared" si="255"/>
        <v>Average</v>
      </c>
      <c r="V3224" s="4" t="str">
        <f t="shared" si="251"/>
        <v>Average</v>
      </c>
      <c r="W3224" s="4"/>
      <c r="X3224" s="4"/>
      <c r="AJ3224" s="4"/>
    </row>
    <row r="3225" spans="1:36">
      <c r="A3225" t="str">
        <f t="shared" si="252"/>
        <v>Rame303224</v>
      </c>
      <c r="B3225">
        <v>3224</v>
      </c>
      <c r="C3225">
        <v>14</v>
      </c>
      <c r="D3225">
        <v>4</v>
      </c>
      <c r="E3225">
        <v>2024</v>
      </c>
      <c r="F3225" s="1">
        <f t="shared" si="253"/>
        <v>45396</v>
      </c>
      <c r="G3225" s="1" t="s">
        <v>537</v>
      </c>
      <c r="H3225" s="2">
        <v>47701</v>
      </c>
      <c r="I3225" t="s">
        <v>38</v>
      </c>
      <c r="J3225">
        <v>3</v>
      </c>
      <c r="K3225">
        <v>65568.56</v>
      </c>
      <c r="L3225" t="s">
        <v>975</v>
      </c>
      <c r="M3225">
        <v>30</v>
      </c>
      <c r="N3225" t="s">
        <v>36</v>
      </c>
      <c r="O3225" s="3" t="s">
        <v>22</v>
      </c>
      <c r="P3225" t="s">
        <v>70</v>
      </c>
      <c r="Q3225" t="s">
        <v>24</v>
      </c>
      <c r="R3225">
        <v>4</v>
      </c>
      <c r="S3225" t="s">
        <v>99</v>
      </c>
      <c r="T3225" s="4">
        <f t="shared" si="254"/>
        <v>196705.68</v>
      </c>
      <c r="U3225" s="4" t="str">
        <f t="shared" si="255"/>
        <v>Good</v>
      </c>
      <c r="V3225" s="4" t="str">
        <f t="shared" si="251"/>
        <v>Good</v>
      </c>
      <c r="W3225" s="4"/>
      <c r="X3225" s="4"/>
      <c r="AJ3225" s="4"/>
    </row>
    <row r="3226" spans="1:36">
      <c r="A3226" t="str">
        <f t="shared" si="252"/>
        <v>Suni503225</v>
      </c>
      <c r="B3226">
        <v>3225</v>
      </c>
      <c r="C3226">
        <v>14</v>
      </c>
      <c r="D3226">
        <v>4</v>
      </c>
      <c r="E3226">
        <v>2024</v>
      </c>
      <c r="F3226" s="1">
        <f t="shared" si="253"/>
        <v>45396</v>
      </c>
      <c r="G3226" s="1" t="s">
        <v>537</v>
      </c>
      <c r="H3226" s="2">
        <v>47702</v>
      </c>
      <c r="I3226" t="s">
        <v>43</v>
      </c>
      <c r="J3226">
        <v>2</v>
      </c>
      <c r="K3226">
        <v>57580.49</v>
      </c>
      <c r="L3226" t="s">
        <v>139</v>
      </c>
      <c r="M3226">
        <v>50</v>
      </c>
      <c r="N3226" t="s">
        <v>61</v>
      </c>
      <c r="O3226" s="3" t="s">
        <v>28</v>
      </c>
      <c r="P3226" t="s">
        <v>70</v>
      </c>
      <c r="Q3226" t="s">
        <v>24</v>
      </c>
      <c r="R3226">
        <v>3</v>
      </c>
      <c r="S3226" t="s">
        <v>46</v>
      </c>
      <c r="T3226" s="4">
        <f t="shared" si="254"/>
        <v>115160.98</v>
      </c>
      <c r="U3226" s="4" t="str">
        <f t="shared" si="255"/>
        <v>Average</v>
      </c>
      <c r="V3226" s="4" t="str">
        <f t="shared" si="251"/>
        <v>Good</v>
      </c>
      <c r="W3226" s="4"/>
      <c r="X3226" s="4"/>
      <c r="AJ3226" s="4"/>
    </row>
    <row r="3227" spans="1:36">
      <c r="A3227" t="str">
        <f t="shared" si="252"/>
        <v>Tanu463226</v>
      </c>
      <c r="B3227">
        <v>3226</v>
      </c>
      <c r="C3227">
        <v>15</v>
      </c>
      <c r="D3227">
        <v>4</v>
      </c>
      <c r="E3227">
        <v>2024</v>
      </c>
      <c r="F3227" s="1">
        <f t="shared" si="253"/>
        <v>45397</v>
      </c>
      <c r="G3227" s="1" t="s">
        <v>537</v>
      </c>
      <c r="H3227" s="2">
        <v>47703</v>
      </c>
      <c r="I3227" t="s">
        <v>43</v>
      </c>
      <c r="J3227">
        <v>5</v>
      </c>
      <c r="K3227">
        <v>65346.14</v>
      </c>
      <c r="L3227" t="s">
        <v>1049</v>
      </c>
      <c r="M3227">
        <v>46</v>
      </c>
      <c r="N3227" t="s">
        <v>61</v>
      </c>
      <c r="O3227" s="3" t="s">
        <v>22</v>
      </c>
      <c r="P3227" t="s">
        <v>150</v>
      </c>
      <c r="Q3227" t="s">
        <v>56</v>
      </c>
      <c r="R3227">
        <v>4</v>
      </c>
      <c r="S3227" t="s">
        <v>95</v>
      </c>
      <c r="T3227" s="4">
        <f t="shared" si="254"/>
        <v>326730.7</v>
      </c>
      <c r="U3227" s="4" t="str">
        <f t="shared" si="255"/>
        <v>Good</v>
      </c>
      <c r="V3227" s="4" t="str">
        <f t="shared" si="251"/>
        <v>Excellent</v>
      </c>
      <c r="W3227" s="4"/>
      <c r="X3227" s="4"/>
      <c r="AJ3227" s="4"/>
    </row>
    <row r="3228" spans="1:36">
      <c r="A3228" t="str">
        <f t="shared" si="252"/>
        <v>Lali513227</v>
      </c>
      <c r="B3228">
        <v>3227</v>
      </c>
      <c r="C3228">
        <v>15</v>
      </c>
      <c r="D3228">
        <v>4</v>
      </c>
      <c r="E3228">
        <v>2024</v>
      </c>
      <c r="F3228" s="1">
        <f t="shared" si="253"/>
        <v>45397</v>
      </c>
      <c r="G3228" s="1" t="s">
        <v>537</v>
      </c>
      <c r="H3228" s="2">
        <v>47704</v>
      </c>
      <c r="I3228" t="s">
        <v>38</v>
      </c>
      <c r="J3228">
        <v>3</v>
      </c>
      <c r="K3228">
        <v>49976.21</v>
      </c>
      <c r="L3228" t="s">
        <v>263</v>
      </c>
      <c r="M3228">
        <v>51</v>
      </c>
      <c r="N3228" t="s">
        <v>61</v>
      </c>
      <c r="O3228" s="3" t="s">
        <v>22</v>
      </c>
      <c r="P3228" t="s">
        <v>90</v>
      </c>
      <c r="Q3228" t="s">
        <v>56</v>
      </c>
      <c r="R3228">
        <v>4</v>
      </c>
      <c r="S3228" t="s">
        <v>99</v>
      </c>
      <c r="T3228" s="4">
        <f t="shared" si="254"/>
        <v>149928.63</v>
      </c>
      <c r="U3228" s="4" t="str">
        <f t="shared" si="255"/>
        <v>Good</v>
      </c>
      <c r="V3228" s="4" t="str">
        <f t="shared" si="251"/>
        <v>Good</v>
      </c>
      <c r="W3228" s="4"/>
      <c r="X3228" s="4"/>
      <c r="AJ3228" s="4"/>
    </row>
    <row r="3229" spans="1:36">
      <c r="A3229" t="str">
        <f t="shared" si="252"/>
        <v>Pank513228</v>
      </c>
      <c r="B3229">
        <v>3228</v>
      </c>
      <c r="C3229">
        <v>15</v>
      </c>
      <c r="D3229">
        <v>4</v>
      </c>
      <c r="E3229">
        <v>2024</v>
      </c>
      <c r="F3229" s="1">
        <f t="shared" si="253"/>
        <v>45397</v>
      </c>
      <c r="G3229" s="1" t="s">
        <v>537</v>
      </c>
      <c r="H3229" s="2">
        <v>47705</v>
      </c>
      <c r="I3229" t="s">
        <v>26</v>
      </c>
      <c r="J3229">
        <v>3</v>
      </c>
      <c r="K3229">
        <v>24138.639999999999</v>
      </c>
      <c r="L3229" t="s">
        <v>1041</v>
      </c>
      <c r="M3229">
        <v>51</v>
      </c>
      <c r="N3229" t="s">
        <v>61</v>
      </c>
      <c r="O3229" s="3" t="s">
        <v>55</v>
      </c>
      <c r="P3229" t="s">
        <v>51</v>
      </c>
      <c r="Q3229" t="s">
        <v>30</v>
      </c>
      <c r="R3229">
        <v>2</v>
      </c>
      <c r="S3229" t="s">
        <v>31</v>
      </c>
      <c r="T3229" s="4">
        <f t="shared" si="254"/>
        <v>72415.92</v>
      </c>
      <c r="U3229" s="4" t="str">
        <f t="shared" si="255"/>
        <v>Average</v>
      </c>
      <c r="V3229" s="4" t="str">
        <f t="shared" si="251"/>
        <v>Average</v>
      </c>
      <c r="W3229" s="4"/>
      <c r="X3229" s="4"/>
      <c r="AJ3229" s="4"/>
    </row>
    <row r="3230" spans="1:36">
      <c r="A3230" t="str">
        <f t="shared" si="252"/>
        <v>Mala443229</v>
      </c>
      <c r="B3230">
        <v>3229</v>
      </c>
      <c r="C3230">
        <v>15</v>
      </c>
      <c r="D3230">
        <v>4</v>
      </c>
      <c r="E3230">
        <v>2024</v>
      </c>
      <c r="F3230" s="1">
        <f t="shared" si="253"/>
        <v>45397</v>
      </c>
      <c r="G3230" s="1" t="s">
        <v>537</v>
      </c>
      <c r="H3230" s="2">
        <v>47706</v>
      </c>
      <c r="I3230" t="s">
        <v>43</v>
      </c>
      <c r="J3230">
        <v>6</v>
      </c>
      <c r="K3230">
        <v>63671.39</v>
      </c>
      <c r="L3230" t="s">
        <v>1050</v>
      </c>
      <c r="M3230">
        <v>44</v>
      </c>
      <c r="N3230" t="s">
        <v>21</v>
      </c>
      <c r="O3230" s="3" t="s">
        <v>28</v>
      </c>
      <c r="P3230" t="s">
        <v>117</v>
      </c>
      <c r="Q3230" t="s">
        <v>56</v>
      </c>
      <c r="R3230">
        <v>3</v>
      </c>
      <c r="S3230" t="s">
        <v>95</v>
      </c>
      <c r="T3230" s="4">
        <f t="shared" si="254"/>
        <v>382028.33999999997</v>
      </c>
      <c r="U3230" s="4" t="str">
        <f t="shared" si="255"/>
        <v>Average</v>
      </c>
      <c r="V3230" s="4" t="str">
        <f t="shared" si="251"/>
        <v>Excellent</v>
      </c>
      <c r="W3230" s="4"/>
      <c r="X3230" s="4"/>
      <c r="AJ3230" s="4"/>
    </row>
    <row r="3231" spans="1:36">
      <c r="A3231" t="str">
        <f t="shared" si="252"/>
        <v>Priy323230</v>
      </c>
      <c r="B3231">
        <v>3230</v>
      </c>
      <c r="C3231">
        <v>16</v>
      </c>
      <c r="D3231">
        <v>4</v>
      </c>
      <c r="E3231">
        <v>2024</v>
      </c>
      <c r="F3231" s="1">
        <f t="shared" si="253"/>
        <v>45398</v>
      </c>
      <c r="G3231" s="1" t="s">
        <v>537</v>
      </c>
      <c r="H3231" s="2">
        <v>47707</v>
      </c>
      <c r="I3231" t="s">
        <v>19</v>
      </c>
      <c r="J3231">
        <v>8</v>
      </c>
      <c r="K3231">
        <v>21055.9</v>
      </c>
      <c r="L3231" t="s">
        <v>358</v>
      </c>
      <c r="M3231">
        <v>32</v>
      </c>
      <c r="N3231" t="s">
        <v>21</v>
      </c>
      <c r="O3231" s="3" t="s">
        <v>28</v>
      </c>
      <c r="P3231" t="s">
        <v>110</v>
      </c>
      <c r="Q3231" t="s">
        <v>41</v>
      </c>
      <c r="R3231">
        <v>3</v>
      </c>
      <c r="S3231" t="s">
        <v>25</v>
      </c>
      <c r="T3231" s="4">
        <f t="shared" si="254"/>
        <v>168447.2</v>
      </c>
      <c r="U3231" s="4" t="str">
        <f t="shared" si="255"/>
        <v>Average</v>
      </c>
      <c r="V3231" s="4" t="str">
        <f t="shared" si="251"/>
        <v>Good</v>
      </c>
      <c r="W3231" s="4"/>
      <c r="X3231" s="4"/>
      <c r="AJ3231" s="4"/>
    </row>
    <row r="3232" spans="1:36">
      <c r="A3232" t="str">
        <f t="shared" si="252"/>
        <v>Deep263231</v>
      </c>
      <c r="B3232">
        <v>3231</v>
      </c>
      <c r="C3232">
        <v>16</v>
      </c>
      <c r="D3232">
        <v>4</v>
      </c>
      <c r="E3232">
        <v>2024</v>
      </c>
      <c r="F3232" s="1">
        <f t="shared" si="253"/>
        <v>45398</v>
      </c>
      <c r="G3232" s="1" t="s">
        <v>537</v>
      </c>
      <c r="H3232" s="2">
        <v>47708</v>
      </c>
      <c r="I3232" t="s">
        <v>38</v>
      </c>
      <c r="J3232">
        <v>2</v>
      </c>
      <c r="K3232">
        <v>22783.63</v>
      </c>
      <c r="L3232" t="s">
        <v>664</v>
      </c>
      <c r="M3232">
        <v>26</v>
      </c>
      <c r="N3232" t="s">
        <v>36</v>
      </c>
      <c r="O3232" s="3" t="s">
        <v>28</v>
      </c>
      <c r="P3232" t="s">
        <v>110</v>
      </c>
      <c r="Q3232" t="s">
        <v>24</v>
      </c>
      <c r="R3232">
        <v>3</v>
      </c>
      <c r="S3232" t="s">
        <v>48</v>
      </c>
      <c r="T3232" s="4">
        <f t="shared" si="254"/>
        <v>45567.26</v>
      </c>
      <c r="U3232" s="4" t="str">
        <f t="shared" si="255"/>
        <v>Average</v>
      </c>
      <c r="V3232" s="4" t="str">
        <f t="shared" si="251"/>
        <v>Low</v>
      </c>
      <c r="W3232" s="4"/>
      <c r="X3232" s="4"/>
      <c r="AJ3232" s="4"/>
    </row>
    <row r="3233" spans="1:36">
      <c r="A3233" t="str">
        <f t="shared" si="252"/>
        <v>Radh433232</v>
      </c>
      <c r="B3233">
        <v>3232</v>
      </c>
      <c r="C3233">
        <v>16</v>
      </c>
      <c r="D3233">
        <v>4</v>
      </c>
      <c r="E3233">
        <v>2024</v>
      </c>
      <c r="F3233" s="1">
        <f t="shared" si="253"/>
        <v>45398</v>
      </c>
      <c r="G3233" s="1" t="s">
        <v>537</v>
      </c>
      <c r="H3233" s="2">
        <v>47709</v>
      </c>
      <c r="I3233" t="s">
        <v>43</v>
      </c>
      <c r="J3233">
        <v>4</v>
      </c>
      <c r="K3233">
        <v>26263.78</v>
      </c>
      <c r="L3233" t="s">
        <v>126</v>
      </c>
      <c r="M3233">
        <v>43</v>
      </c>
      <c r="N3233" t="s">
        <v>21</v>
      </c>
      <c r="O3233" s="3" t="s">
        <v>22</v>
      </c>
      <c r="P3233" t="s">
        <v>33</v>
      </c>
      <c r="Q3233" t="s">
        <v>30</v>
      </c>
      <c r="R3233">
        <v>5</v>
      </c>
      <c r="S3233" t="s">
        <v>95</v>
      </c>
      <c r="T3233" s="4">
        <f t="shared" si="254"/>
        <v>105055.12</v>
      </c>
      <c r="U3233" s="4" t="str">
        <f t="shared" si="255"/>
        <v>Good</v>
      </c>
      <c r="V3233" s="4" t="str">
        <f t="shared" si="251"/>
        <v>Good</v>
      </c>
      <c r="W3233" s="4"/>
      <c r="X3233" s="4"/>
      <c r="AJ3233" s="4"/>
    </row>
    <row r="3234" spans="1:36">
      <c r="A3234" t="str">
        <f t="shared" si="252"/>
        <v>Lali203233</v>
      </c>
      <c r="B3234">
        <v>3233</v>
      </c>
      <c r="C3234">
        <v>17</v>
      </c>
      <c r="D3234">
        <v>4</v>
      </c>
      <c r="E3234">
        <v>2024</v>
      </c>
      <c r="F3234" s="1">
        <f t="shared" si="253"/>
        <v>45399</v>
      </c>
      <c r="G3234" s="1" t="s">
        <v>537</v>
      </c>
      <c r="H3234" s="2">
        <v>47710</v>
      </c>
      <c r="I3234" t="s">
        <v>49</v>
      </c>
      <c r="J3234">
        <v>7</v>
      </c>
      <c r="K3234">
        <v>28254.78</v>
      </c>
      <c r="L3234" t="s">
        <v>583</v>
      </c>
      <c r="M3234">
        <v>20</v>
      </c>
      <c r="N3234" t="s">
        <v>36</v>
      </c>
      <c r="O3234" s="3" t="s">
        <v>55</v>
      </c>
      <c r="P3234" t="s">
        <v>59</v>
      </c>
      <c r="Q3234" t="s">
        <v>24</v>
      </c>
      <c r="R3234">
        <v>1</v>
      </c>
      <c r="S3234" t="s">
        <v>102</v>
      </c>
      <c r="T3234" s="4">
        <f t="shared" si="254"/>
        <v>197783.46</v>
      </c>
      <c r="U3234" s="4" t="str">
        <f t="shared" si="255"/>
        <v>Average</v>
      </c>
      <c r="V3234" s="4" t="str">
        <f t="shared" si="251"/>
        <v>Good</v>
      </c>
      <c r="W3234" s="4"/>
      <c r="X3234" s="4"/>
      <c r="AJ3234" s="4"/>
    </row>
    <row r="3235" spans="1:36">
      <c r="A3235" t="str">
        <f t="shared" si="252"/>
        <v>Pras533234</v>
      </c>
      <c r="B3235">
        <v>3234</v>
      </c>
      <c r="C3235">
        <v>17</v>
      </c>
      <c r="D3235">
        <v>4</v>
      </c>
      <c r="E3235">
        <v>2024</v>
      </c>
      <c r="F3235" s="1">
        <f t="shared" si="253"/>
        <v>45399</v>
      </c>
      <c r="G3235" s="1" t="s">
        <v>537</v>
      </c>
      <c r="H3235" s="2">
        <v>47711</v>
      </c>
      <c r="I3235" t="s">
        <v>19</v>
      </c>
      <c r="J3235">
        <v>1</v>
      </c>
      <c r="K3235">
        <v>40868.78</v>
      </c>
      <c r="L3235" t="s">
        <v>1029</v>
      </c>
      <c r="M3235">
        <v>53</v>
      </c>
      <c r="N3235" t="s">
        <v>61</v>
      </c>
      <c r="O3235" s="3" t="s">
        <v>22</v>
      </c>
      <c r="P3235" t="s">
        <v>23</v>
      </c>
      <c r="Q3235" t="s">
        <v>56</v>
      </c>
      <c r="R3235">
        <v>5</v>
      </c>
      <c r="S3235" t="s">
        <v>25</v>
      </c>
      <c r="T3235" s="4">
        <f t="shared" si="254"/>
        <v>40868.78</v>
      </c>
      <c r="U3235" s="4" t="str">
        <f t="shared" si="255"/>
        <v>Good</v>
      </c>
      <c r="V3235" s="4" t="str">
        <f t="shared" si="251"/>
        <v>Low</v>
      </c>
      <c r="W3235" s="4"/>
      <c r="X3235" s="4"/>
      <c r="AJ3235" s="4"/>
    </row>
    <row r="3236" spans="1:36">
      <c r="A3236" t="str">
        <f t="shared" si="252"/>
        <v>Ravi223235</v>
      </c>
      <c r="B3236">
        <v>3235</v>
      </c>
      <c r="C3236">
        <v>17</v>
      </c>
      <c r="D3236">
        <v>4</v>
      </c>
      <c r="E3236">
        <v>2024</v>
      </c>
      <c r="F3236" s="1">
        <f t="shared" si="253"/>
        <v>45399</v>
      </c>
      <c r="G3236" s="1" t="s">
        <v>537</v>
      </c>
      <c r="H3236" s="2">
        <v>47712</v>
      </c>
      <c r="I3236" t="s">
        <v>43</v>
      </c>
      <c r="J3236">
        <v>1</v>
      </c>
      <c r="K3236">
        <v>52807.44</v>
      </c>
      <c r="L3236" t="s">
        <v>678</v>
      </c>
      <c r="M3236">
        <v>22</v>
      </c>
      <c r="N3236" t="s">
        <v>36</v>
      </c>
      <c r="O3236" s="3" t="s">
        <v>28</v>
      </c>
      <c r="P3236" t="s">
        <v>33</v>
      </c>
      <c r="Q3236" t="s">
        <v>41</v>
      </c>
      <c r="R3236">
        <v>3</v>
      </c>
      <c r="S3236" t="s">
        <v>95</v>
      </c>
      <c r="T3236" s="4">
        <f t="shared" si="254"/>
        <v>52807.44</v>
      </c>
      <c r="U3236" s="4" t="str">
        <f t="shared" si="255"/>
        <v>Average</v>
      </c>
      <c r="V3236" s="4" t="str">
        <f t="shared" si="251"/>
        <v>Average</v>
      </c>
      <c r="W3236" s="4"/>
      <c r="X3236" s="4"/>
      <c r="AJ3236" s="4"/>
    </row>
    <row r="3237" spans="1:36">
      <c r="A3237" t="str">
        <f t="shared" si="252"/>
        <v>Ravi373236</v>
      </c>
      <c r="B3237">
        <v>3236</v>
      </c>
      <c r="C3237">
        <v>18</v>
      </c>
      <c r="D3237">
        <v>4</v>
      </c>
      <c r="E3237">
        <v>2024</v>
      </c>
      <c r="F3237" s="1">
        <f t="shared" si="253"/>
        <v>45400</v>
      </c>
      <c r="G3237" s="1" t="s">
        <v>537</v>
      </c>
      <c r="H3237" s="2">
        <v>47713</v>
      </c>
      <c r="I3237" t="s">
        <v>19</v>
      </c>
      <c r="J3237">
        <v>7</v>
      </c>
      <c r="K3237">
        <v>65572.490000000005</v>
      </c>
      <c r="L3237" t="s">
        <v>678</v>
      </c>
      <c r="M3237">
        <v>37</v>
      </c>
      <c r="N3237" t="s">
        <v>21</v>
      </c>
      <c r="O3237" s="3" t="s">
        <v>55</v>
      </c>
      <c r="P3237" t="s">
        <v>77</v>
      </c>
      <c r="Q3237" t="s">
        <v>56</v>
      </c>
      <c r="R3237">
        <v>2</v>
      </c>
      <c r="S3237" t="s">
        <v>84</v>
      </c>
      <c r="T3237" s="4">
        <f t="shared" si="254"/>
        <v>459007.43000000005</v>
      </c>
      <c r="U3237" s="4" t="str">
        <f t="shared" si="255"/>
        <v>Average</v>
      </c>
      <c r="V3237" s="4" t="str">
        <f t="shared" si="251"/>
        <v>Excellent</v>
      </c>
      <c r="W3237" s="4"/>
      <c r="X3237" s="4"/>
      <c r="AJ3237" s="4"/>
    </row>
    <row r="3238" spans="1:36">
      <c r="A3238" t="str">
        <f t="shared" si="252"/>
        <v>Kavi373237</v>
      </c>
      <c r="B3238">
        <v>3237</v>
      </c>
      <c r="C3238">
        <v>18</v>
      </c>
      <c r="D3238">
        <v>4</v>
      </c>
      <c r="E3238">
        <v>2024</v>
      </c>
      <c r="F3238" s="1">
        <f t="shared" si="253"/>
        <v>45400</v>
      </c>
      <c r="G3238" s="1" t="s">
        <v>537</v>
      </c>
      <c r="H3238" s="2">
        <v>47714</v>
      </c>
      <c r="I3238" t="s">
        <v>19</v>
      </c>
      <c r="J3238">
        <v>7</v>
      </c>
      <c r="K3238">
        <v>15306.26</v>
      </c>
      <c r="L3238" t="s">
        <v>859</v>
      </c>
      <c r="M3238">
        <v>37</v>
      </c>
      <c r="N3238" t="s">
        <v>21</v>
      </c>
      <c r="O3238" s="3" t="s">
        <v>22</v>
      </c>
      <c r="P3238" t="s">
        <v>66</v>
      </c>
      <c r="Q3238" t="s">
        <v>24</v>
      </c>
      <c r="R3238">
        <v>4</v>
      </c>
      <c r="S3238" t="s">
        <v>25</v>
      </c>
      <c r="T3238" s="4">
        <f t="shared" si="254"/>
        <v>107143.82</v>
      </c>
      <c r="U3238" s="4" t="str">
        <f t="shared" si="255"/>
        <v>Good</v>
      </c>
      <c r="V3238" s="4" t="str">
        <f t="shared" si="251"/>
        <v>Good</v>
      </c>
      <c r="W3238" s="4"/>
      <c r="X3238" s="4"/>
      <c r="AJ3238" s="4"/>
    </row>
    <row r="3239" spans="1:36">
      <c r="A3239" t="str">
        <f t="shared" si="252"/>
        <v>Vino223238</v>
      </c>
      <c r="B3239">
        <v>3238</v>
      </c>
      <c r="C3239">
        <v>18</v>
      </c>
      <c r="D3239">
        <v>4</v>
      </c>
      <c r="E3239">
        <v>2024</v>
      </c>
      <c r="F3239" s="1">
        <f t="shared" si="253"/>
        <v>45400</v>
      </c>
      <c r="G3239" s="1" t="s">
        <v>537</v>
      </c>
      <c r="H3239" s="2">
        <v>47715</v>
      </c>
      <c r="I3239" t="s">
        <v>26</v>
      </c>
      <c r="J3239">
        <v>1</v>
      </c>
      <c r="K3239">
        <v>67262.16</v>
      </c>
      <c r="L3239" t="s">
        <v>480</v>
      </c>
      <c r="M3239">
        <v>22</v>
      </c>
      <c r="N3239" t="s">
        <v>36</v>
      </c>
      <c r="O3239" s="3" t="s">
        <v>22</v>
      </c>
      <c r="P3239" t="s">
        <v>150</v>
      </c>
      <c r="Q3239" t="s">
        <v>30</v>
      </c>
      <c r="R3239">
        <v>4</v>
      </c>
      <c r="S3239" t="s">
        <v>31</v>
      </c>
      <c r="T3239" s="4">
        <f t="shared" si="254"/>
        <v>67262.16</v>
      </c>
      <c r="U3239" s="4" t="str">
        <f t="shared" si="255"/>
        <v>Good</v>
      </c>
      <c r="V3239" s="4" t="str">
        <f t="shared" si="251"/>
        <v>Average</v>
      </c>
      <c r="W3239" s="4"/>
      <c r="X3239" s="4"/>
      <c r="AJ3239" s="4"/>
    </row>
    <row r="3240" spans="1:36">
      <c r="A3240" t="str">
        <f t="shared" si="252"/>
        <v>Ayes273239</v>
      </c>
      <c r="B3240">
        <v>3239</v>
      </c>
      <c r="C3240">
        <v>19</v>
      </c>
      <c r="D3240">
        <v>4</v>
      </c>
      <c r="E3240">
        <v>2024</v>
      </c>
      <c r="F3240" s="1">
        <f t="shared" si="253"/>
        <v>45401</v>
      </c>
      <c r="G3240" s="1" t="s">
        <v>537</v>
      </c>
      <c r="H3240" s="2">
        <v>47716</v>
      </c>
      <c r="I3240" t="s">
        <v>19</v>
      </c>
      <c r="J3240">
        <v>1</v>
      </c>
      <c r="K3240">
        <v>65279.38</v>
      </c>
      <c r="L3240" t="s">
        <v>689</v>
      </c>
      <c r="M3240">
        <v>27</v>
      </c>
      <c r="N3240" t="s">
        <v>36</v>
      </c>
      <c r="O3240" s="3" t="s">
        <v>22</v>
      </c>
      <c r="P3240" t="s">
        <v>59</v>
      </c>
      <c r="Q3240" t="s">
        <v>24</v>
      </c>
      <c r="R3240">
        <v>5</v>
      </c>
      <c r="S3240" t="s">
        <v>37</v>
      </c>
      <c r="T3240" s="4">
        <f t="shared" si="254"/>
        <v>65279.38</v>
      </c>
      <c r="U3240" s="4" t="str">
        <f t="shared" si="255"/>
        <v>Good</v>
      </c>
      <c r="V3240" s="4" t="str">
        <f t="shared" si="251"/>
        <v>Average</v>
      </c>
      <c r="W3240" s="4"/>
      <c r="X3240" s="4"/>
      <c r="AJ3240" s="4"/>
    </row>
    <row r="3241" spans="1:36">
      <c r="A3241" t="str">
        <f t="shared" si="252"/>
        <v>Jyot333240</v>
      </c>
      <c r="B3241">
        <v>3240</v>
      </c>
      <c r="C3241">
        <v>19</v>
      </c>
      <c r="D3241">
        <v>4</v>
      </c>
      <c r="E3241">
        <v>2024</v>
      </c>
      <c r="F3241" s="1">
        <f t="shared" si="253"/>
        <v>45401</v>
      </c>
      <c r="G3241" s="1" t="s">
        <v>537</v>
      </c>
      <c r="H3241" s="2">
        <v>47717</v>
      </c>
      <c r="I3241" t="s">
        <v>26</v>
      </c>
      <c r="J3241">
        <v>4</v>
      </c>
      <c r="K3241">
        <v>13239.96</v>
      </c>
      <c r="L3241" t="s">
        <v>404</v>
      </c>
      <c r="M3241">
        <v>33</v>
      </c>
      <c r="N3241" t="s">
        <v>21</v>
      </c>
      <c r="O3241" s="3" t="s">
        <v>22</v>
      </c>
      <c r="P3241" t="s">
        <v>64</v>
      </c>
      <c r="Q3241" t="s">
        <v>30</v>
      </c>
      <c r="R3241">
        <v>5</v>
      </c>
      <c r="S3241" t="s">
        <v>31</v>
      </c>
      <c r="T3241" s="4">
        <f t="shared" si="254"/>
        <v>52959.839999999997</v>
      </c>
      <c r="U3241" s="4" t="str">
        <f t="shared" si="255"/>
        <v>Good</v>
      </c>
      <c r="V3241" s="4" t="str">
        <f t="shared" si="251"/>
        <v>Average</v>
      </c>
      <c r="W3241" s="4"/>
      <c r="X3241" s="4"/>
      <c r="AJ3241" s="4"/>
    </row>
    <row r="3242" spans="1:36">
      <c r="A3242" t="str">
        <f t="shared" si="252"/>
        <v>Mano423241</v>
      </c>
      <c r="B3242">
        <v>3241</v>
      </c>
      <c r="C3242">
        <v>19</v>
      </c>
      <c r="D3242">
        <v>4</v>
      </c>
      <c r="E3242">
        <v>2024</v>
      </c>
      <c r="F3242" s="1">
        <f t="shared" si="253"/>
        <v>45401</v>
      </c>
      <c r="G3242" s="1" t="s">
        <v>537</v>
      </c>
      <c r="H3242" s="2">
        <v>47718</v>
      </c>
      <c r="I3242" t="s">
        <v>38</v>
      </c>
      <c r="J3242">
        <v>5</v>
      </c>
      <c r="K3242">
        <v>31619.27</v>
      </c>
      <c r="L3242" t="s">
        <v>284</v>
      </c>
      <c r="M3242">
        <v>42</v>
      </c>
      <c r="N3242" t="s">
        <v>21</v>
      </c>
      <c r="O3242" s="3" t="s">
        <v>55</v>
      </c>
      <c r="P3242" t="s">
        <v>93</v>
      </c>
      <c r="Q3242" t="s">
        <v>41</v>
      </c>
      <c r="R3242">
        <v>2</v>
      </c>
      <c r="S3242" t="s">
        <v>42</v>
      </c>
      <c r="T3242" s="4">
        <f t="shared" si="254"/>
        <v>158096.35</v>
      </c>
      <c r="U3242" s="4" t="str">
        <f t="shared" si="255"/>
        <v>Average</v>
      </c>
      <c r="V3242" s="4" t="str">
        <f t="shared" si="251"/>
        <v>Good</v>
      </c>
      <c r="W3242" s="4"/>
      <c r="X3242" s="4"/>
      <c r="AJ3242" s="4"/>
    </row>
    <row r="3243" spans="1:36">
      <c r="A3243" t="str">
        <f t="shared" si="252"/>
        <v>Nami423242</v>
      </c>
      <c r="B3243">
        <v>3242</v>
      </c>
      <c r="C3243">
        <v>20</v>
      </c>
      <c r="D3243">
        <v>4</v>
      </c>
      <c r="E3243">
        <v>2024</v>
      </c>
      <c r="F3243" s="1">
        <f t="shared" si="253"/>
        <v>45402</v>
      </c>
      <c r="G3243" s="1" t="s">
        <v>537</v>
      </c>
      <c r="H3243" s="2">
        <v>47719</v>
      </c>
      <c r="I3243" t="s">
        <v>26</v>
      </c>
      <c r="J3243">
        <v>5</v>
      </c>
      <c r="K3243">
        <v>58788.6</v>
      </c>
      <c r="L3243" t="s">
        <v>471</v>
      </c>
      <c r="M3243">
        <v>42</v>
      </c>
      <c r="N3243" t="s">
        <v>21</v>
      </c>
      <c r="O3243" s="3" t="s">
        <v>22</v>
      </c>
      <c r="P3243" t="s">
        <v>29</v>
      </c>
      <c r="Q3243" t="s">
        <v>56</v>
      </c>
      <c r="R3243">
        <v>4</v>
      </c>
      <c r="S3243" t="s">
        <v>67</v>
      </c>
      <c r="T3243" s="4">
        <f t="shared" si="254"/>
        <v>293943</v>
      </c>
      <c r="U3243" s="4" t="str">
        <f t="shared" si="255"/>
        <v>Good</v>
      </c>
      <c r="V3243" s="4" t="str">
        <f t="shared" si="251"/>
        <v>Excellent</v>
      </c>
      <c r="W3243" s="4"/>
      <c r="X3243" s="4"/>
      <c r="AJ3243" s="4"/>
    </row>
    <row r="3244" spans="1:36">
      <c r="A3244" t="str">
        <f t="shared" si="252"/>
        <v>Nikh473243</v>
      </c>
      <c r="B3244">
        <v>3243</v>
      </c>
      <c r="C3244">
        <v>20</v>
      </c>
      <c r="D3244">
        <v>4</v>
      </c>
      <c r="E3244">
        <v>2024</v>
      </c>
      <c r="F3244" s="1">
        <f t="shared" si="253"/>
        <v>45402</v>
      </c>
      <c r="G3244" s="1" t="s">
        <v>537</v>
      </c>
      <c r="H3244" s="2">
        <v>47720</v>
      </c>
      <c r="I3244" t="s">
        <v>49</v>
      </c>
      <c r="J3244">
        <v>4</v>
      </c>
      <c r="K3244">
        <v>46694.59</v>
      </c>
      <c r="L3244" t="s">
        <v>169</v>
      </c>
      <c r="M3244">
        <v>47</v>
      </c>
      <c r="N3244" t="s">
        <v>61</v>
      </c>
      <c r="O3244" s="3" t="s">
        <v>22</v>
      </c>
      <c r="P3244" t="s">
        <v>64</v>
      </c>
      <c r="Q3244" t="s">
        <v>56</v>
      </c>
      <c r="R3244">
        <v>5</v>
      </c>
      <c r="S3244" t="s">
        <v>102</v>
      </c>
      <c r="T3244" s="4">
        <f t="shared" si="254"/>
        <v>186778.36</v>
      </c>
      <c r="U3244" s="4" t="str">
        <f t="shared" si="255"/>
        <v>Good</v>
      </c>
      <c r="V3244" s="4" t="str">
        <f t="shared" si="251"/>
        <v>Good</v>
      </c>
      <c r="W3244" s="4"/>
      <c r="X3244" s="4"/>
      <c r="AJ3244" s="4"/>
    </row>
    <row r="3245" spans="1:36">
      <c r="A3245" t="str">
        <f t="shared" si="252"/>
        <v>Pooj313244</v>
      </c>
      <c r="B3245">
        <v>3244</v>
      </c>
      <c r="C3245">
        <v>20</v>
      </c>
      <c r="D3245">
        <v>4</v>
      </c>
      <c r="E3245">
        <v>2024</v>
      </c>
      <c r="F3245" s="1">
        <f t="shared" si="253"/>
        <v>45402</v>
      </c>
      <c r="G3245" s="1" t="s">
        <v>537</v>
      </c>
      <c r="H3245" s="2">
        <v>47721</v>
      </c>
      <c r="I3245" t="s">
        <v>43</v>
      </c>
      <c r="J3245">
        <v>8</v>
      </c>
      <c r="K3245">
        <v>56745.64</v>
      </c>
      <c r="L3245" t="s">
        <v>300</v>
      </c>
      <c r="M3245">
        <v>31</v>
      </c>
      <c r="N3245" t="s">
        <v>21</v>
      </c>
      <c r="O3245" s="3" t="s">
        <v>55</v>
      </c>
      <c r="P3245" t="s">
        <v>66</v>
      </c>
      <c r="Q3245" t="s">
        <v>41</v>
      </c>
      <c r="R3245">
        <v>1</v>
      </c>
      <c r="S3245" t="s">
        <v>95</v>
      </c>
      <c r="T3245" s="4">
        <f t="shared" si="254"/>
        <v>453965.12</v>
      </c>
      <c r="U3245" s="4" t="str">
        <f t="shared" si="255"/>
        <v>Average</v>
      </c>
      <c r="V3245" s="4" t="str">
        <f t="shared" si="251"/>
        <v>Excellent</v>
      </c>
      <c r="W3245" s="4"/>
      <c r="X3245" s="4"/>
      <c r="AJ3245" s="4"/>
    </row>
    <row r="3246" spans="1:36">
      <c r="A3246" t="str">
        <f t="shared" si="252"/>
        <v>Sumi393245</v>
      </c>
      <c r="B3246">
        <v>3245</v>
      </c>
      <c r="C3246">
        <v>21</v>
      </c>
      <c r="D3246">
        <v>4</v>
      </c>
      <c r="E3246">
        <v>2024</v>
      </c>
      <c r="F3246" s="1">
        <f t="shared" si="253"/>
        <v>45403</v>
      </c>
      <c r="G3246" s="1" t="s">
        <v>537</v>
      </c>
      <c r="H3246" s="2">
        <v>47722</v>
      </c>
      <c r="I3246" t="s">
        <v>38</v>
      </c>
      <c r="J3246">
        <v>7</v>
      </c>
      <c r="K3246">
        <v>53142</v>
      </c>
      <c r="L3246" t="s">
        <v>156</v>
      </c>
      <c r="M3246">
        <v>39</v>
      </c>
      <c r="N3246" t="s">
        <v>21</v>
      </c>
      <c r="O3246" s="3" t="s">
        <v>22</v>
      </c>
      <c r="P3246" t="s">
        <v>23</v>
      </c>
      <c r="Q3246" t="s">
        <v>24</v>
      </c>
      <c r="R3246">
        <v>5</v>
      </c>
      <c r="S3246" t="s">
        <v>48</v>
      </c>
      <c r="T3246" s="4">
        <f t="shared" si="254"/>
        <v>371994</v>
      </c>
      <c r="U3246" s="4" t="str">
        <f t="shared" si="255"/>
        <v>Good</v>
      </c>
      <c r="V3246" s="4" t="str">
        <f t="shared" si="251"/>
        <v>Excellent</v>
      </c>
      <c r="W3246" s="4"/>
      <c r="X3246" s="4"/>
      <c r="AJ3246" s="4"/>
    </row>
    <row r="3247" spans="1:36">
      <c r="A3247" t="str">
        <f t="shared" si="252"/>
        <v>Kris453246</v>
      </c>
      <c r="B3247">
        <v>3246</v>
      </c>
      <c r="C3247">
        <v>21</v>
      </c>
      <c r="D3247">
        <v>4</v>
      </c>
      <c r="E3247">
        <v>2024</v>
      </c>
      <c r="F3247" s="1">
        <f t="shared" si="253"/>
        <v>45403</v>
      </c>
      <c r="G3247" s="1" t="s">
        <v>537</v>
      </c>
      <c r="H3247" s="2">
        <v>47723</v>
      </c>
      <c r="I3247" t="s">
        <v>38</v>
      </c>
      <c r="J3247">
        <v>9</v>
      </c>
      <c r="K3247">
        <v>39806.21</v>
      </c>
      <c r="L3247" t="s">
        <v>163</v>
      </c>
      <c r="M3247">
        <v>45</v>
      </c>
      <c r="N3247" t="s">
        <v>21</v>
      </c>
      <c r="O3247" s="3" t="s">
        <v>22</v>
      </c>
      <c r="P3247" t="s">
        <v>33</v>
      </c>
      <c r="Q3247" t="s">
        <v>41</v>
      </c>
      <c r="R3247">
        <v>5</v>
      </c>
      <c r="S3247" t="s">
        <v>48</v>
      </c>
      <c r="T3247" s="4">
        <f t="shared" si="254"/>
        <v>358255.89</v>
      </c>
      <c r="U3247" s="4" t="str">
        <f t="shared" si="255"/>
        <v>Good</v>
      </c>
      <c r="V3247" s="4" t="str">
        <f t="shared" si="251"/>
        <v>Excellent</v>
      </c>
      <c r="W3247" s="4"/>
      <c r="X3247" s="4"/>
      <c r="AJ3247" s="4"/>
    </row>
    <row r="3248" spans="1:36">
      <c r="A3248" t="str">
        <f t="shared" si="252"/>
        <v>Ayes473247</v>
      </c>
      <c r="B3248">
        <v>3247</v>
      </c>
      <c r="C3248">
        <v>21</v>
      </c>
      <c r="D3248">
        <v>4</v>
      </c>
      <c r="E3248">
        <v>2024</v>
      </c>
      <c r="F3248" s="1">
        <f t="shared" si="253"/>
        <v>45403</v>
      </c>
      <c r="G3248" s="1" t="s">
        <v>537</v>
      </c>
      <c r="H3248" s="2">
        <v>47724</v>
      </c>
      <c r="I3248" t="s">
        <v>49</v>
      </c>
      <c r="J3248">
        <v>7</v>
      </c>
      <c r="K3248">
        <v>12473.08</v>
      </c>
      <c r="L3248" t="s">
        <v>690</v>
      </c>
      <c r="M3248">
        <v>47</v>
      </c>
      <c r="N3248" t="s">
        <v>61</v>
      </c>
      <c r="O3248" s="3" t="s">
        <v>28</v>
      </c>
      <c r="P3248" t="s">
        <v>33</v>
      </c>
      <c r="Q3248" t="s">
        <v>56</v>
      </c>
      <c r="R3248">
        <v>3</v>
      </c>
      <c r="S3248" t="s">
        <v>88</v>
      </c>
      <c r="T3248" s="4">
        <f t="shared" si="254"/>
        <v>87311.56</v>
      </c>
      <c r="U3248" s="4" t="str">
        <f t="shared" si="255"/>
        <v>Average</v>
      </c>
      <c r="V3248" s="4" t="str">
        <f t="shared" si="251"/>
        <v>Average</v>
      </c>
      <c r="W3248" s="4"/>
      <c r="X3248" s="4"/>
      <c r="AJ3248" s="4"/>
    </row>
    <row r="3249" spans="1:36">
      <c r="A3249" t="str">
        <f t="shared" si="252"/>
        <v>Vive363248</v>
      </c>
      <c r="B3249">
        <v>3248</v>
      </c>
      <c r="C3249">
        <v>22</v>
      </c>
      <c r="D3249">
        <v>4</v>
      </c>
      <c r="E3249">
        <v>2024</v>
      </c>
      <c r="F3249" s="1">
        <f t="shared" si="253"/>
        <v>45404</v>
      </c>
      <c r="G3249" s="1" t="s">
        <v>537</v>
      </c>
      <c r="H3249" s="2">
        <v>47725</v>
      </c>
      <c r="I3249" t="s">
        <v>26</v>
      </c>
      <c r="J3249">
        <v>1</v>
      </c>
      <c r="K3249">
        <v>45056.09</v>
      </c>
      <c r="L3249" t="s">
        <v>585</v>
      </c>
      <c r="M3249">
        <v>36</v>
      </c>
      <c r="N3249" t="s">
        <v>21</v>
      </c>
      <c r="O3249" s="3" t="s">
        <v>55</v>
      </c>
      <c r="P3249" t="s">
        <v>23</v>
      </c>
      <c r="Q3249" t="s">
        <v>30</v>
      </c>
      <c r="R3249">
        <v>1</v>
      </c>
      <c r="S3249" t="s">
        <v>34</v>
      </c>
      <c r="T3249" s="4">
        <f t="shared" si="254"/>
        <v>45056.09</v>
      </c>
      <c r="U3249" s="4" t="str">
        <f t="shared" si="255"/>
        <v>Average</v>
      </c>
      <c r="V3249" s="4" t="str">
        <f t="shared" si="251"/>
        <v>Low</v>
      </c>
      <c r="W3249" s="4"/>
      <c r="X3249" s="4"/>
      <c r="AJ3249" s="4"/>
    </row>
    <row r="3250" spans="1:36">
      <c r="A3250" t="str">
        <f t="shared" si="252"/>
        <v>Priy553249</v>
      </c>
      <c r="B3250">
        <v>3249</v>
      </c>
      <c r="C3250">
        <v>22</v>
      </c>
      <c r="D3250">
        <v>4</v>
      </c>
      <c r="E3250">
        <v>2024</v>
      </c>
      <c r="F3250" s="1">
        <f t="shared" si="253"/>
        <v>45404</v>
      </c>
      <c r="G3250" s="1" t="s">
        <v>537</v>
      </c>
      <c r="H3250" s="2">
        <v>47726</v>
      </c>
      <c r="I3250" t="s">
        <v>43</v>
      </c>
      <c r="J3250">
        <v>7</v>
      </c>
      <c r="K3250">
        <v>12914</v>
      </c>
      <c r="L3250" t="s">
        <v>1051</v>
      </c>
      <c r="M3250">
        <v>55</v>
      </c>
      <c r="N3250" t="s">
        <v>61</v>
      </c>
      <c r="O3250" s="3" t="s">
        <v>55</v>
      </c>
      <c r="P3250" t="s">
        <v>29</v>
      </c>
      <c r="Q3250" t="s">
        <v>56</v>
      </c>
      <c r="R3250">
        <v>1</v>
      </c>
      <c r="S3250" t="s">
        <v>46</v>
      </c>
      <c r="T3250" s="4">
        <f t="shared" si="254"/>
        <v>90398</v>
      </c>
      <c r="U3250" s="4" t="str">
        <f t="shared" si="255"/>
        <v>Average</v>
      </c>
      <c r="V3250" s="4" t="str">
        <f t="shared" si="251"/>
        <v>Average</v>
      </c>
      <c r="W3250" s="4"/>
      <c r="X3250" s="4"/>
      <c r="AJ3250" s="4"/>
    </row>
    <row r="3251" spans="1:36">
      <c r="A3251" t="str">
        <f t="shared" si="252"/>
        <v>Vija593250</v>
      </c>
      <c r="B3251">
        <v>3250</v>
      </c>
      <c r="C3251">
        <v>22</v>
      </c>
      <c r="D3251">
        <v>4</v>
      </c>
      <c r="E3251">
        <v>2024</v>
      </c>
      <c r="F3251" s="1">
        <f t="shared" si="253"/>
        <v>45404</v>
      </c>
      <c r="G3251" s="1" t="s">
        <v>537</v>
      </c>
      <c r="H3251" s="2">
        <v>47727</v>
      </c>
      <c r="I3251" t="s">
        <v>26</v>
      </c>
      <c r="J3251">
        <v>1</v>
      </c>
      <c r="K3251">
        <v>46223.6</v>
      </c>
      <c r="L3251" t="s">
        <v>903</v>
      </c>
      <c r="M3251">
        <v>59</v>
      </c>
      <c r="N3251" t="s">
        <v>61</v>
      </c>
      <c r="O3251" s="3" t="s">
        <v>55</v>
      </c>
      <c r="P3251" t="s">
        <v>33</v>
      </c>
      <c r="Q3251" t="s">
        <v>24</v>
      </c>
      <c r="R3251">
        <v>2</v>
      </c>
      <c r="S3251" t="s">
        <v>67</v>
      </c>
      <c r="T3251" s="4">
        <f t="shared" si="254"/>
        <v>46223.6</v>
      </c>
      <c r="U3251" s="4" t="str">
        <f t="shared" si="255"/>
        <v>Average</v>
      </c>
      <c r="V3251" s="4" t="str">
        <f t="shared" si="251"/>
        <v>Low</v>
      </c>
      <c r="W3251" s="4"/>
      <c r="X3251" s="4"/>
      <c r="AJ3251" s="4"/>
    </row>
    <row r="3252" spans="1:36">
      <c r="A3252" t="str">
        <f t="shared" si="252"/>
        <v>Priy373251</v>
      </c>
      <c r="B3252">
        <v>3251</v>
      </c>
      <c r="C3252">
        <v>23</v>
      </c>
      <c r="D3252">
        <v>4</v>
      </c>
      <c r="E3252">
        <v>2024</v>
      </c>
      <c r="F3252" s="1">
        <f t="shared" si="253"/>
        <v>45405</v>
      </c>
      <c r="G3252" s="1" t="s">
        <v>537</v>
      </c>
      <c r="H3252" s="2">
        <v>47728</v>
      </c>
      <c r="I3252" t="s">
        <v>19</v>
      </c>
      <c r="J3252">
        <v>7</v>
      </c>
      <c r="K3252">
        <v>58024.65</v>
      </c>
      <c r="L3252" t="s">
        <v>1051</v>
      </c>
      <c r="M3252">
        <v>37</v>
      </c>
      <c r="N3252" t="s">
        <v>21</v>
      </c>
      <c r="O3252" s="3" t="s">
        <v>28</v>
      </c>
      <c r="P3252" t="s">
        <v>114</v>
      </c>
      <c r="Q3252" t="s">
        <v>30</v>
      </c>
      <c r="R3252">
        <v>3</v>
      </c>
      <c r="S3252" t="s">
        <v>84</v>
      </c>
      <c r="T3252" s="4">
        <f t="shared" si="254"/>
        <v>406172.55</v>
      </c>
      <c r="U3252" s="4" t="str">
        <f t="shared" si="255"/>
        <v>Average</v>
      </c>
      <c r="V3252" s="4" t="str">
        <f t="shared" si="251"/>
        <v>Excellent</v>
      </c>
      <c r="W3252" s="4"/>
      <c r="X3252" s="4"/>
      <c r="AJ3252" s="4"/>
    </row>
    <row r="3253" spans="1:36">
      <c r="A3253" t="str">
        <f t="shared" si="252"/>
        <v>Lata523252</v>
      </c>
      <c r="B3253">
        <v>3252</v>
      </c>
      <c r="C3253">
        <v>23</v>
      </c>
      <c r="D3253">
        <v>4</v>
      </c>
      <c r="E3253">
        <v>2024</v>
      </c>
      <c r="F3253" s="1">
        <f t="shared" si="253"/>
        <v>45405</v>
      </c>
      <c r="G3253" s="1" t="s">
        <v>537</v>
      </c>
      <c r="H3253" s="2">
        <v>47729</v>
      </c>
      <c r="I3253" t="s">
        <v>26</v>
      </c>
      <c r="J3253">
        <v>8</v>
      </c>
      <c r="K3253">
        <v>45099.5</v>
      </c>
      <c r="L3253" t="s">
        <v>314</v>
      </c>
      <c r="M3253">
        <v>52</v>
      </c>
      <c r="N3253" t="s">
        <v>61</v>
      </c>
      <c r="O3253" s="3" t="s">
        <v>55</v>
      </c>
      <c r="P3253" t="s">
        <v>66</v>
      </c>
      <c r="Q3253" t="s">
        <v>24</v>
      </c>
      <c r="R3253">
        <v>1</v>
      </c>
      <c r="S3253" t="s">
        <v>31</v>
      </c>
      <c r="T3253" s="4">
        <f t="shared" si="254"/>
        <v>360796</v>
      </c>
      <c r="U3253" s="4" t="str">
        <f t="shared" si="255"/>
        <v>Average</v>
      </c>
      <c r="V3253" s="4" t="str">
        <f t="shared" si="251"/>
        <v>Excellent</v>
      </c>
      <c r="W3253" s="4"/>
      <c r="X3253" s="4"/>
      <c r="AJ3253" s="4"/>
    </row>
    <row r="3254" spans="1:36">
      <c r="A3254" t="str">
        <f t="shared" si="252"/>
        <v>Pras393253</v>
      </c>
      <c r="B3254">
        <v>3253</v>
      </c>
      <c r="C3254">
        <v>23</v>
      </c>
      <c r="D3254">
        <v>4</v>
      </c>
      <c r="E3254">
        <v>2024</v>
      </c>
      <c r="F3254" s="1">
        <f t="shared" si="253"/>
        <v>45405</v>
      </c>
      <c r="G3254" s="1" t="s">
        <v>537</v>
      </c>
      <c r="H3254" s="2">
        <v>47730</v>
      </c>
      <c r="I3254" t="s">
        <v>38</v>
      </c>
      <c r="J3254">
        <v>9</v>
      </c>
      <c r="K3254">
        <v>69821.31</v>
      </c>
      <c r="L3254" t="s">
        <v>710</v>
      </c>
      <c r="M3254">
        <v>39</v>
      </c>
      <c r="N3254" t="s">
        <v>21</v>
      </c>
      <c r="O3254" s="3" t="s">
        <v>28</v>
      </c>
      <c r="P3254" t="s">
        <v>40</v>
      </c>
      <c r="Q3254" t="s">
        <v>56</v>
      </c>
      <c r="R3254">
        <v>3</v>
      </c>
      <c r="S3254" t="s">
        <v>48</v>
      </c>
      <c r="T3254" s="4">
        <f t="shared" si="254"/>
        <v>628391.79</v>
      </c>
      <c r="U3254" s="4" t="str">
        <f t="shared" si="255"/>
        <v>Average</v>
      </c>
      <c r="V3254" s="4" t="str">
        <f t="shared" si="251"/>
        <v>Excellent</v>
      </c>
      <c r="W3254" s="4"/>
      <c r="X3254" s="4"/>
      <c r="AJ3254" s="4"/>
    </row>
    <row r="3255" spans="1:36">
      <c r="A3255" t="str">
        <f t="shared" si="252"/>
        <v>Suni323254</v>
      </c>
      <c r="B3255">
        <v>3254</v>
      </c>
      <c r="C3255">
        <v>23</v>
      </c>
      <c r="D3255">
        <v>4</v>
      </c>
      <c r="E3255">
        <v>2024</v>
      </c>
      <c r="F3255" s="1">
        <f t="shared" si="253"/>
        <v>45405</v>
      </c>
      <c r="G3255" s="1" t="s">
        <v>537</v>
      </c>
      <c r="H3255" s="2">
        <v>47731</v>
      </c>
      <c r="I3255" t="s">
        <v>43</v>
      </c>
      <c r="J3255">
        <v>3</v>
      </c>
      <c r="K3255">
        <v>37351.99</v>
      </c>
      <c r="L3255" t="s">
        <v>148</v>
      </c>
      <c r="M3255">
        <v>32</v>
      </c>
      <c r="N3255" t="s">
        <v>21</v>
      </c>
      <c r="O3255" s="3" t="s">
        <v>28</v>
      </c>
      <c r="P3255" t="s">
        <v>93</v>
      </c>
      <c r="Q3255" t="s">
        <v>56</v>
      </c>
      <c r="R3255">
        <v>3</v>
      </c>
      <c r="S3255" t="s">
        <v>95</v>
      </c>
      <c r="T3255" s="4">
        <f t="shared" si="254"/>
        <v>112055.97</v>
      </c>
      <c r="U3255" s="4" t="str">
        <f t="shared" si="255"/>
        <v>Average</v>
      </c>
      <c r="V3255" s="4" t="str">
        <f t="shared" si="251"/>
        <v>Good</v>
      </c>
      <c r="W3255" s="4"/>
      <c r="X3255" s="4"/>
      <c r="AJ3255" s="4"/>
    </row>
    <row r="3256" spans="1:36">
      <c r="A3256" t="str">
        <f t="shared" si="252"/>
        <v>Bhav283255</v>
      </c>
      <c r="B3256">
        <v>3255</v>
      </c>
      <c r="C3256">
        <v>24</v>
      </c>
      <c r="D3256">
        <v>4</v>
      </c>
      <c r="E3256">
        <v>2024</v>
      </c>
      <c r="F3256" s="1">
        <f t="shared" si="253"/>
        <v>45406</v>
      </c>
      <c r="G3256" s="1" t="s">
        <v>537</v>
      </c>
      <c r="H3256" s="2">
        <v>47732</v>
      </c>
      <c r="I3256" t="s">
        <v>26</v>
      </c>
      <c r="J3256">
        <v>4</v>
      </c>
      <c r="K3256">
        <v>54929.65</v>
      </c>
      <c r="L3256" t="s">
        <v>251</v>
      </c>
      <c r="M3256">
        <v>28</v>
      </c>
      <c r="N3256" t="s">
        <v>36</v>
      </c>
      <c r="O3256" s="3" t="s">
        <v>22</v>
      </c>
      <c r="P3256" t="s">
        <v>70</v>
      </c>
      <c r="Q3256" t="s">
        <v>30</v>
      </c>
      <c r="R3256">
        <v>4</v>
      </c>
      <c r="S3256" t="s">
        <v>34</v>
      </c>
      <c r="T3256" s="4">
        <f t="shared" si="254"/>
        <v>219718.6</v>
      </c>
      <c r="U3256" s="4" t="str">
        <f t="shared" si="255"/>
        <v>Good</v>
      </c>
      <c r="V3256" s="4" t="str">
        <f t="shared" si="251"/>
        <v>Excellent</v>
      </c>
      <c r="W3256" s="4"/>
      <c r="X3256" s="4"/>
      <c r="AJ3256" s="4"/>
    </row>
    <row r="3257" spans="1:36">
      <c r="A3257" t="str">
        <f t="shared" si="252"/>
        <v>Rame513256</v>
      </c>
      <c r="B3257">
        <v>3256</v>
      </c>
      <c r="C3257">
        <v>24</v>
      </c>
      <c r="D3257">
        <v>4</v>
      </c>
      <c r="E3257">
        <v>2024</v>
      </c>
      <c r="F3257" s="1">
        <f t="shared" si="253"/>
        <v>45406</v>
      </c>
      <c r="G3257" s="1" t="s">
        <v>537</v>
      </c>
      <c r="H3257" s="2">
        <v>47733</v>
      </c>
      <c r="I3257" t="s">
        <v>43</v>
      </c>
      <c r="J3257">
        <v>4</v>
      </c>
      <c r="K3257">
        <v>50032.800000000003</v>
      </c>
      <c r="L3257" t="s">
        <v>269</v>
      </c>
      <c r="M3257">
        <v>51</v>
      </c>
      <c r="N3257" t="s">
        <v>61</v>
      </c>
      <c r="O3257" s="3" t="s">
        <v>55</v>
      </c>
      <c r="P3257" t="s">
        <v>33</v>
      </c>
      <c r="Q3257" t="s">
        <v>24</v>
      </c>
      <c r="R3257">
        <v>1</v>
      </c>
      <c r="S3257" t="s">
        <v>57</v>
      </c>
      <c r="T3257" s="4">
        <f t="shared" si="254"/>
        <v>200131.20000000001</v>
      </c>
      <c r="U3257" s="4" t="str">
        <f t="shared" si="255"/>
        <v>Average</v>
      </c>
      <c r="V3257" s="4" t="str">
        <f t="shared" si="251"/>
        <v>Excellent</v>
      </c>
      <c r="W3257" s="4"/>
      <c r="X3257" s="4"/>
      <c r="AJ3257" s="4"/>
    </row>
    <row r="3258" spans="1:36">
      <c r="A3258" t="str">
        <f t="shared" si="252"/>
        <v>Gita413257</v>
      </c>
      <c r="B3258">
        <v>3257</v>
      </c>
      <c r="C3258">
        <v>24</v>
      </c>
      <c r="D3258">
        <v>4</v>
      </c>
      <c r="E3258">
        <v>2024</v>
      </c>
      <c r="F3258" s="1">
        <f t="shared" si="253"/>
        <v>45406</v>
      </c>
      <c r="G3258" s="1" t="s">
        <v>537</v>
      </c>
      <c r="H3258" s="2">
        <v>47734</v>
      </c>
      <c r="I3258" t="s">
        <v>43</v>
      </c>
      <c r="J3258">
        <v>9</v>
      </c>
      <c r="K3258">
        <v>69485.899999999994</v>
      </c>
      <c r="L3258" t="s">
        <v>547</v>
      </c>
      <c r="M3258">
        <v>41</v>
      </c>
      <c r="N3258" t="s">
        <v>21</v>
      </c>
      <c r="O3258" s="3" t="s">
        <v>22</v>
      </c>
      <c r="P3258" t="s">
        <v>29</v>
      </c>
      <c r="Q3258" t="s">
        <v>30</v>
      </c>
      <c r="R3258">
        <v>4</v>
      </c>
      <c r="S3258" t="s">
        <v>57</v>
      </c>
      <c r="T3258" s="4">
        <f t="shared" si="254"/>
        <v>625373.1</v>
      </c>
      <c r="U3258" s="4" t="str">
        <f t="shared" si="255"/>
        <v>Good</v>
      </c>
      <c r="V3258" s="4" t="str">
        <f t="shared" si="251"/>
        <v>Excellent</v>
      </c>
      <c r="W3258" s="4"/>
      <c r="X3258" s="4"/>
      <c r="AJ3258" s="4"/>
    </row>
    <row r="3259" spans="1:36">
      <c r="A3259" t="str">
        <f t="shared" si="252"/>
        <v>Isha233258</v>
      </c>
      <c r="B3259">
        <v>3258</v>
      </c>
      <c r="C3259">
        <v>24</v>
      </c>
      <c r="D3259">
        <v>4</v>
      </c>
      <c r="E3259">
        <v>2024</v>
      </c>
      <c r="F3259" s="1">
        <f t="shared" si="253"/>
        <v>45406</v>
      </c>
      <c r="G3259" s="1" t="s">
        <v>537</v>
      </c>
      <c r="H3259" s="2">
        <v>47735</v>
      </c>
      <c r="I3259" t="s">
        <v>19</v>
      </c>
      <c r="J3259">
        <v>7</v>
      </c>
      <c r="K3259">
        <v>52793.14</v>
      </c>
      <c r="L3259" t="s">
        <v>948</v>
      </c>
      <c r="M3259">
        <v>23</v>
      </c>
      <c r="N3259" t="s">
        <v>36</v>
      </c>
      <c r="O3259" s="3" t="s">
        <v>22</v>
      </c>
      <c r="P3259" t="s">
        <v>150</v>
      </c>
      <c r="Q3259" t="s">
        <v>30</v>
      </c>
      <c r="R3259">
        <v>5</v>
      </c>
      <c r="S3259" t="s">
        <v>84</v>
      </c>
      <c r="T3259" s="4">
        <f t="shared" si="254"/>
        <v>369551.98</v>
      </c>
      <c r="U3259" s="4" t="str">
        <f t="shared" si="255"/>
        <v>Good</v>
      </c>
      <c r="V3259" s="4" t="str">
        <f t="shared" si="251"/>
        <v>Excellent</v>
      </c>
      <c r="W3259" s="4"/>
      <c r="X3259" s="4"/>
      <c r="AJ3259" s="4"/>
    </row>
    <row r="3260" spans="1:36">
      <c r="A3260" t="str">
        <f t="shared" si="252"/>
        <v>Kira343259</v>
      </c>
      <c r="B3260">
        <v>3259</v>
      </c>
      <c r="C3260">
        <v>25</v>
      </c>
      <c r="D3260">
        <v>4</v>
      </c>
      <c r="E3260">
        <v>2024</v>
      </c>
      <c r="F3260" s="1">
        <f t="shared" si="253"/>
        <v>45407</v>
      </c>
      <c r="G3260" s="1" t="s">
        <v>537</v>
      </c>
      <c r="H3260" s="2">
        <v>47736</v>
      </c>
      <c r="I3260" t="s">
        <v>19</v>
      </c>
      <c r="J3260">
        <v>3</v>
      </c>
      <c r="K3260">
        <v>19841.84</v>
      </c>
      <c r="L3260" t="s">
        <v>786</v>
      </c>
      <c r="M3260">
        <v>34</v>
      </c>
      <c r="N3260" t="s">
        <v>21</v>
      </c>
      <c r="O3260" s="3" t="s">
        <v>22</v>
      </c>
      <c r="P3260" t="s">
        <v>29</v>
      </c>
      <c r="Q3260" t="s">
        <v>24</v>
      </c>
      <c r="R3260">
        <v>5</v>
      </c>
      <c r="S3260" t="s">
        <v>25</v>
      </c>
      <c r="T3260" s="4">
        <f t="shared" si="254"/>
        <v>59525.520000000004</v>
      </c>
      <c r="U3260" s="4" t="str">
        <f t="shared" si="255"/>
        <v>Good</v>
      </c>
      <c r="V3260" s="4" t="str">
        <f t="shared" si="251"/>
        <v>Average</v>
      </c>
      <c r="W3260" s="4"/>
      <c r="X3260" s="4"/>
      <c r="AJ3260" s="4"/>
    </row>
    <row r="3261" spans="1:36">
      <c r="A3261" t="str">
        <f t="shared" si="252"/>
        <v>Mano453260</v>
      </c>
      <c r="B3261">
        <v>3260</v>
      </c>
      <c r="C3261">
        <v>25</v>
      </c>
      <c r="D3261">
        <v>4</v>
      </c>
      <c r="E3261">
        <v>2024</v>
      </c>
      <c r="F3261" s="1">
        <f t="shared" si="253"/>
        <v>45407</v>
      </c>
      <c r="G3261" s="1" t="s">
        <v>537</v>
      </c>
      <c r="H3261" s="2">
        <v>47737</v>
      </c>
      <c r="I3261" t="s">
        <v>38</v>
      </c>
      <c r="J3261">
        <v>5</v>
      </c>
      <c r="K3261">
        <v>67331.06</v>
      </c>
      <c r="L3261" t="s">
        <v>65</v>
      </c>
      <c r="M3261">
        <v>45</v>
      </c>
      <c r="N3261" t="s">
        <v>21</v>
      </c>
      <c r="O3261" s="3" t="s">
        <v>22</v>
      </c>
      <c r="P3261" t="s">
        <v>90</v>
      </c>
      <c r="Q3261" t="s">
        <v>30</v>
      </c>
      <c r="R3261">
        <v>4</v>
      </c>
      <c r="S3261" t="s">
        <v>99</v>
      </c>
      <c r="T3261" s="4">
        <f t="shared" si="254"/>
        <v>336655.3</v>
      </c>
      <c r="U3261" s="4" t="str">
        <f t="shared" si="255"/>
        <v>Good</v>
      </c>
      <c r="V3261" s="4" t="str">
        <f t="shared" si="251"/>
        <v>Excellent</v>
      </c>
      <c r="W3261" s="4"/>
      <c r="X3261" s="4"/>
      <c r="AJ3261" s="4"/>
    </row>
    <row r="3262" spans="1:36">
      <c r="A3262" t="str">
        <f t="shared" si="252"/>
        <v>Mala483261</v>
      </c>
      <c r="B3262">
        <v>3261</v>
      </c>
      <c r="C3262">
        <v>25</v>
      </c>
      <c r="D3262">
        <v>4</v>
      </c>
      <c r="E3262">
        <v>2024</v>
      </c>
      <c r="F3262" s="1">
        <f t="shared" si="253"/>
        <v>45407</v>
      </c>
      <c r="G3262" s="1" t="s">
        <v>537</v>
      </c>
      <c r="H3262" s="2">
        <v>47738</v>
      </c>
      <c r="I3262" t="s">
        <v>49</v>
      </c>
      <c r="J3262">
        <v>7</v>
      </c>
      <c r="K3262">
        <v>50066.63</v>
      </c>
      <c r="L3262" t="s">
        <v>748</v>
      </c>
      <c r="M3262">
        <v>48</v>
      </c>
      <c r="N3262" t="s">
        <v>61</v>
      </c>
      <c r="O3262" s="3" t="s">
        <v>22</v>
      </c>
      <c r="P3262" t="s">
        <v>33</v>
      </c>
      <c r="Q3262" t="s">
        <v>41</v>
      </c>
      <c r="R3262">
        <v>5</v>
      </c>
      <c r="S3262" t="s">
        <v>88</v>
      </c>
      <c r="T3262" s="4">
        <f t="shared" si="254"/>
        <v>350466.41</v>
      </c>
      <c r="U3262" s="4" t="str">
        <f t="shared" si="255"/>
        <v>Good</v>
      </c>
      <c r="V3262" s="4" t="str">
        <f t="shared" si="251"/>
        <v>Excellent</v>
      </c>
      <c r="W3262" s="4"/>
      <c r="X3262" s="4"/>
      <c r="AJ3262" s="4"/>
    </row>
    <row r="3263" spans="1:36">
      <c r="A3263" t="str">
        <f t="shared" si="252"/>
        <v>Mala533262</v>
      </c>
      <c r="B3263">
        <v>3262</v>
      </c>
      <c r="C3263">
        <v>26</v>
      </c>
      <c r="D3263">
        <v>4</v>
      </c>
      <c r="E3263">
        <v>2024</v>
      </c>
      <c r="F3263" s="1">
        <f t="shared" si="253"/>
        <v>45408</v>
      </c>
      <c r="G3263" s="1" t="s">
        <v>537</v>
      </c>
      <c r="H3263" s="2">
        <v>47739</v>
      </c>
      <c r="I3263" t="s">
        <v>43</v>
      </c>
      <c r="J3263">
        <v>8</v>
      </c>
      <c r="K3263">
        <v>13560.29</v>
      </c>
      <c r="L3263" t="s">
        <v>383</v>
      </c>
      <c r="M3263">
        <v>53</v>
      </c>
      <c r="N3263" t="s">
        <v>61</v>
      </c>
      <c r="O3263" s="3" t="s">
        <v>22</v>
      </c>
      <c r="P3263" t="s">
        <v>117</v>
      </c>
      <c r="Q3263" t="s">
        <v>30</v>
      </c>
      <c r="R3263">
        <v>4</v>
      </c>
      <c r="S3263" t="s">
        <v>46</v>
      </c>
      <c r="T3263" s="4">
        <f t="shared" si="254"/>
        <v>108482.32</v>
      </c>
      <c r="U3263" s="4" t="str">
        <f t="shared" si="255"/>
        <v>Good</v>
      </c>
      <c r="V3263" s="4" t="str">
        <f t="shared" si="251"/>
        <v>Good</v>
      </c>
      <c r="W3263" s="4"/>
      <c r="X3263" s="4"/>
      <c r="AJ3263" s="4"/>
    </row>
    <row r="3264" spans="1:36">
      <c r="A3264" t="str">
        <f t="shared" si="252"/>
        <v>Nikh263263</v>
      </c>
      <c r="B3264">
        <v>3263</v>
      </c>
      <c r="C3264">
        <v>26</v>
      </c>
      <c r="D3264">
        <v>4</v>
      </c>
      <c r="E3264">
        <v>2024</v>
      </c>
      <c r="F3264" s="1">
        <f t="shared" si="253"/>
        <v>45408</v>
      </c>
      <c r="G3264" s="1" t="s">
        <v>537</v>
      </c>
      <c r="H3264" s="2">
        <v>47740</v>
      </c>
      <c r="I3264" t="s">
        <v>49</v>
      </c>
      <c r="J3264">
        <v>1</v>
      </c>
      <c r="K3264">
        <v>49454.1</v>
      </c>
      <c r="L3264" t="s">
        <v>447</v>
      </c>
      <c r="M3264">
        <v>26</v>
      </c>
      <c r="N3264" t="s">
        <v>36</v>
      </c>
      <c r="O3264" s="3" t="s">
        <v>55</v>
      </c>
      <c r="P3264" t="s">
        <v>40</v>
      </c>
      <c r="Q3264" t="s">
        <v>56</v>
      </c>
      <c r="R3264">
        <v>2</v>
      </c>
      <c r="S3264" t="s">
        <v>52</v>
      </c>
      <c r="T3264" s="4">
        <f t="shared" si="254"/>
        <v>49454.1</v>
      </c>
      <c r="U3264" s="4" t="str">
        <f t="shared" si="255"/>
        <v>Average</v>
      </c>
      <c r="V3264" s="4" t="str">
        <f t="shared" si="251"/>
        <v>Low</v>
      </c>
      <c r="W3264" s="4"/>
      <c r="X3264" s="4"/>
      <c r="AJ3264" s="4"/>
    </row>
    <row r="3265" spans="1:36">
      <c r="A3265" t="str">
        <f t="shared" si="252"/>
        <v>Meen273264</v>
      </c>
      <c r="B3265">
        <v>3264</v>
      </c>
      <c r="C3265">
        <v>26</v>
      </c>
      <c r="D3265">
        <v>4</v>
      </c>
      <c r="E3265">
        <v>2024</v>
      </c>
      <c r="F3265" s="1">
        <f t="shared" si="253"/>
        <v>45408</v>
      </c>
      <c r="G3265" s="1" t="s">
        <v>537</v>
      </c>
      <c r="H3265" s="2">
        <v>47741</v>
      </c>
      <c r="I3265" t="s">
        <v>38</v>
      </c>
      <c r="J3265">
        <v>2</v>
      </c>
      <c r="K3265">
        <v>62987.16</v>
      </c>
      <c r="L3265" t="s">
        <v>87</v>
      </c>
      <c r="M3265">
        <v>27</v>
      </c>
      <c r="N3265" t="s">
        <v>36</v>
      </c>
      <c r="O3265" s="3" t="s">
        <v>28</v>
      </c>
      <c r="P3265" t="s">
        <v>33</v>
      </c>
      <c r="Q3265" t="s">
        <v>24</v>
      </c>
      <c r="R3265">
        <v>3</v>
      </c>
      <c r="S3265" t="s">
        <v>42</v>
      </c>
      <c r="T3265" s="4">
        <f t="shared" si="254"/>
        <v>125974.32</v>
      </c>
      <c r="U3265" s="4" t="str">
        <f t="shared" si="255"/>
        <v>Average</v>
      </c>
      <c r="V3265" s="4" t="str">
        <f t="shared" ref="V3265:V3328" si="256">IF(T3265&gt;200000,"Excellent",IF(T3265&gt;100000,"Good",IF(T3265&gt;50000,"Average","Low")))</f>
        <v>Good</v>
      </c>
      <c r="W3265" s="4"/>
      <c r="X3265" s="4"/>
      <c r="AJ3265" s="4"/>
    </row>
    <row r="3266" spans="1:36">
      <c r="A3266" t="str">
        <f t="shared" ref="A3266:A3329" si="257">LEFT(L3266,4)&amp;M3266&amp;B3266</f>
        <v>Kira383265</v>
      </c>
      <c r="B3266">
        <v>3265</v>
      </c>
      <c r="C3266">
        <v>27</v>
      </c>
      <c r="D3266">
        <v>4</v>
      </c>
      <c r="E3266">
        <v>2024</v>
      </c>
      <c r="F3266" s="1">
        <f t="shared" si="253"/>
        <v>45409</v>
      </c>
      <c r="G3266" s="1" t="s">
        <v>537</v>
      </c>
      <c r="H3266" s="2">
        <v>47742</v>
      </c>
      <c r="I3266" t="s">
        <v>43</v>
      </c>
      <c r="J3266">
        <v>7</v>
      </c>
      <c r="K3266">
        <v>44622.51</v>
      </c>
      <c r="L3266" t="s">
        <v>501</v>
      </c>
      <c r="M3266">
        <v>38</v>
      </c>
      <c r="N3266" t="s">
        <v>21</v>
      </c>
      <c r="O3266" s="3" t="s">
        <v>55</v>
      </c>
      <c r="P3266" t="s">
        <v>137</v>
      </c>
      <c r="Q3266" t="s">
        <v>56</v>
      </c>
      <c r="R3266">
        <v>2</v>
      </c>
      <c r="S3266" t="s">
        <v>57</v>
      </c>
      <c r="T3266" s="4">
        <f t="shared" si="254"/>
        <v>312357.57</v>
      </c>
      <c r="U3266" s="4" t="str">
        <f t="shared" si="255"/>
        <v>Average</v>
      </c>
      <c r="V3266" s="4" t="str">
        <f t="shared" si="256"/>
        <v>Excellent</v>
      </c>
      <c r="W3266" s="4"/>
      <c r="X3266" s="4"/>
      <c r="AJ3266" s="4"/>
    </row>
    <row r="3267" spans="1:36">
      <c r="A3267" t="str">
        <f t="shared" si="257"/>
        <v>Priy513266</v>
      </c>
      <c r="B3267">
        <v>3266</v>
      </c>
      <c r="C3267">
        <v>27</v>
      </c>
      <c r="D3267">
        <v>4</v>
      </c>
      <c r="E3267">
        <v>2024</v>
      </c>
      <c r="F3267" s="1">
        <f t="shared" ref="F3267:F3330" si="258">DATE(E3267,D3267,C3267)</f>
        <v>45409</v>
      </c>
      <c r="G3267" s="1" t="s">
        <v>537</v>
      </c>
      <c r="H3267" s="2">
        <v>47743</v>
      </c>
      <c r="I3267" t="s">
        <v>43</v>
      </c>
      <c r="J3267">
        <v>2</v>
      </c>
      <c r="K3267">
        <v>31241.18</v>
      </c>
      <c r="L3267" t="s">
        <v>435</v>
      </c>
      <c r="M3267">
        <v>51</v>
      </c>
      <c r="N3267" t="s">
        <v>61</v>
      </c>
      <c r="O3267" s="3" t="s">
        <v>55</v>
      </c>
      <c r="P3267" t="s">
        <v>59</v>
      </c>
      <c r="Q3267" t="s">
        <v>41</v>
      </c>
      <c r="R3267">
        <v>1</v>
      </c>
      <c r="S3267" t="s">
        <v>46</v>
      </c>
      <c r="T3267" s="4">
        <f t="shared" ref="T3267:T3330" si="259">J3267*K3267</f>
        <v>62482.36</v>
      </c>
      <c r="U3267" s="4" t="str">
        <f t="shared" ref="U3267:U3330" si="260">IF(R3267&gt;=4,"Good","Average")</f>
        <v>Average</v>
      </c>
      <c r="V3267" s="4" t="str">
        <f t="shared" si="256"/>
        <v>Average</v>
      </c>
      <c r="W3267" s="4"/>
      <c r="X3267" s="4"/>
      <c r="AJ3267" s="4"/>
    </row>
    <row r="3268" spans="1:36">
      <c r="A3268" t="str">
        <f t="shared" si="257"/>
        <v>Nikh483267</v>
      </c>
      <c r="B3268">
        <v>3267</v>
      </c>
      <c r="C3268">
        <v>27</v>
      </c>
      <c r="D3268">
        <v>4</v>
      </c>
      <c r="E3268">
        <v>2024</v>
      </c>
      <c r="F3268" s="1">
        <f t="shared" si="258"/>
        <v>45409</v>
      </c>
      <c r="G3268" s="1" t="s">
        <v>537</v>
      </c>
      <c r="H3268" s="2">
        <v>47744</v>
      </c>
      <c r="I3268" t="s">
        <v>49</v>
      </c>
      <c r="J3268">
        <v>7</v>
      </c>
      <c r="K3268">
        <v>59254.58</v>
      </c>
      <c r="L3268" t="s">
        <v>749</v>
      </c>
      <c r="M3268">
        <v>48</v>
      </c>
      <c r="N3268" t="s">
        <v>61</v>
      </c>
      <c r="O3268" s="3" t="s">
        <v>55</v>
      </c>
      <c r="P3268" t="s">
        <v>29</v>
      </c>
      <c r="Q3268" t="s">
        <v>41</v>
      </c>
      <c r="R3268">
        <v>2</v>
      </c>
      <c r="S3268" t="s">
        <v>88</v>
      </c>
      <c r="T3268" s="4">
        <f t="shared" si="259"/>
        <v>414782.06</v>
      </c>
      <c r="U3268" s="4" t="str">
        <f t="shared" si="260"/>
        <v>Average</v>
      </c>
      <c r="V3268" s="4" t="str">
        <f t="shared" si="256"/>
        <v>Excellent</v>
      </c>
      <c r="W3268" s="4"/>
      <c r="X3268" s="4"/>
      <c r="AJ3268" s="4"/>
    </row>
    <row r="3269" spans="1:36">
      <c r="A3269" t="str">
        <f t="shared" si="257"/>
        <v>Ayes463268</v>
      </c>
      <c r="B3269">
        <v>3268</v>
      </c>
      <c r="C3269">
        <v>27</v>
      </c>
      <c r="D3269">
        <v>4</v>
      </c>
      <c r="E3269">
        <v>2024</v>
      </c>
      <c r="F3269" s="1">
        <f t="shared" si="258"/>
        <v>45409</v>
      </c>
      <c r="G3269" s="1" t="s">
        <v>537</v>
      </c>
      <c r="H3269" s="2">
        <v>47745</v>
      </c>
      <c r="I3269" t="s">
        <v>26</v>
      </c>
      <c r="J3269">
        <v>9</v>
      </c>
      <c r="K3269">
        <v>56950.720000000001</v>
      </c>
      <c r="L3269" t="s">
        <v>835</v>
      </c>
      <c r="M3269">
        <v>46</v>
      </c>
      <c r="N3269" t="s">
        <v>61</v>
      </c>
      <c r="O3269" s="3" t="s">
        <v>55</v>
      </c>
      <c r="P3269" t="s">
        <v>150</v>
      </c>
      <c r="Q3269" t="s">
        <v>30</v>
      </c>
      <c r="R3269">
        <v>2</v>
      </c>
      <c r="S3269" t="s">
        <v>67</v>
      </c>
      <c r="T3269" s="4">
        <f t="shared" si="259"/>
        <v>512556.48</v>
      </c>
      <c r="U3269" s="4" t="str">
        <f t="shared" si="260"/>
        <v>Average</v>
      </c>
      <c r="V3269" s="4" t="str">
        <f t="shared" si="256"/>
        <v>Excellent</v>
      </c>
      <c r="W3269" s="4"/>
      <c r="X3269" s="4"/>
      <c r="AJ3269" s="4"/>
    </row>
    <row r="3270" spans="1:36">
      <c r="A3270" t="str">
        <f t="shared" si="257"/>
        <v>Suni283269</v>
      </c>
      <c r="B3270">
        <v>3269</v>
      </c>
      <c r="C3270">
        <v>28</v>
      </c>
      <c r="D3270">
        <v>4</v>
      </c>
      <c r="E3270">
        <v>2024</v>
      </c>
      <c r="F3270" s="1">
        <f t="shared" si="258"/>
        <v>45410</v>
      </c>
      <c r="G3270" s="1" t="s">
        <v>537</v>
      </c>
      <c r="H3270" s="2">
        <v>47746</v>
      </c>
      <c r="I3270" t="s">
        <v>19</v>
      </c>
      <c r="J3270">
        <v>2</v>
      </c>
      <c r="K3270">
        <v>42650.93</v>
      </c>
      <c r="L3270" t="s">
        <v>791</v>
      </c>
      <c r="M3270">
        <v>28</v>
      </c>
      <c r="N3270" t="s">
        <v>36</v>
      </c>
      <c r="O3270" s="3" t="s">
        <v>22</v>
      </c>
      <c r="P3270" t="s">
        <v>117</v>
      </c>
      <c r="Q3270" t="s">
        <v>56</v>
      </c>
      <c r="R3270">
        <v>5</v>
      </c>
      <c r="S3270" t="s">
        <v>84</v>
      </c>
      <c r="T3270" s="4">
        <f t="shared" si="259"/>
        <v>85301.86</v>
      </c>
      <c r="U3270" s="4" t="str">
        <f t="shared" si="260"/>
        <v>Good</v>
      </c>
      <c r="V3270" s="4" t="str">
        <f t="shared" si="256"/>
        <v>Average</v>
      </c>
      <c r="W3270" s="4"/>
      <c r="X3270" s="4"/>
      <c r="AJ3270" s="4"/>
    </row>
    <row r="3271" spans="1:36">
      <c r="A3271" t="str">
        <f t="shared" si="257"/>
        <v>Priy503270</v>
      </c>
      <c r="B3271">
        <v>3270</v>
      </c>
      <c r="C3271">
        <v>28</v>
      </c>
      <c r="D3271">
        <v>4</v>
      </c>
      <c r="E3271">
        <v>2024</v>
      </c>
      <c r="F3271" s="1">
        <f t="shared" si="258"/>
        <v>45410</v>
      </c>
      <c r="G3271" s="1" t="s">
        <v>537</v>
      </c>
      <c r="H3271" s="2">
        <v>47747</v>
      </c>
      <c r="I3271" t="s">
        <v>26</v>
      </c>
      <c r="J3271">
        <v>7</v>
      </c>
      <c r="K3271">
        <v>19261.71</v>
      </c>
      <c r="L3271" t="s">
        <v>673</v>
      </c>
      <c r="M3271">
        <v>50</v>
      </c>
      <c r="N3271" t="s">
        <v>61</v>
      </c>
      <c r="O3271" s="3" t="s">
        <v>22</v>
      </c>
      <c r="P3271" t="s">
        <v>29</v>
      </c>
      <c r="Q3271" t="s">
        <v>30</v>
      </c>
      <c r="R3271">
        <v>4</v>
      </c>
      <c r="S3271" t="s">
        <v>34</v>
      </c>
      <c r="T3271" s="4">
        <f t="shared" si="259"/>
        <v>134831.97</v>
      </c>
      <c r="U3271" s="4" t="str">
        <f t="shared" si="260"/>
        <v>Good</v>
      </c>
      <c r="V3271" s="4" t="str">
        <f t="shared" si="256"/>
        <v>Good</v>
      </c>
      <c r="W3271" s="4"/>
      <c r="X3271" s="4"/>
      <c r="AJ3271" s="4"/>
    </row>
    <row r="3272" spans="1:36">
      <c r="A3272" t="str">
        <f t="shared" si="257"/>
        <v>Anit183271</v>
      </c>
      <c r="B3272">
        <v>3271</v>
      </c>
      <c r="C3272">
        <v>28</v>
      </c>
      <c r="D3272">
        <v>4</v>
      </c>
      <c r="E3272">
        <v>2024</v>
      </c>
      <c r="F3272" s="1">
        <f t="shared" si="258"/>
        <v>45410</v>
      </c>
      <c r="G3272" s="1" t="s">
        <v>537</v>
      </c>
      <c r="H3272" s="2">
        <v>47748</v>
      </c>
      <c r="I3272" t="s">
        <v>49</v>
      </c>
      <c r="J3272">
        <v>4</v>
      </c>
      <c r="K3272">
        <v>25059.19</v>
      </c>
      <c r="L3272" t="s">
        <v>879</v>
      </c>
      <c r="M3272">
        <v>18</v>
      </c>
      <c r="N3272" t="s">
        <v>36</v>
      </c>
      <c r="O3272" s="3" t="s">
        <v>55</v>
      </c>
      <c r="P3272" t="s">
        <v>110</v>
      </c>
      <c r="Q3272" t="s">
        <v>30</v>
      </c>
      <c r="R3272">
        <v>1</v>
      </c>
      <c r="S3272" t="s">
        <v>102</v>
      </c>
      <c r="T3272" s="4">
        <f t="shared" si="259"/>
        <v>100236.76</v>
      </c>
      <c r="U3272" s="4" t="str">
        <f t="shared" si="260"/>
        <v>Average</v>
      </c>
      <c r="V3272" s="4" t="str">
        <f t="shared" si="256"/>
        <v>Good</v>
      </c>
      <c r="W3272" s="4"/>
      <c r="X3272" s="4"/>
      <c r="AJ3272" s="4"/>
    </row>
    <row r="3273" spans="1:36">
      <c r="A3273" t="str">
        <f t="shared" si="257"/>
        <v>Anit383272</v>
      </c>
      <c r="B3273">
        <v>3272</v>
      </c>
      <c r="C3273">
        <v>29</v>
      </c>
      <c r="D3273">
        <v>4</v>
      </c>
      <c r="E3273">
        <v>2024</v>
      </c>
      <c r="F3273" s="1">
        <f t="shared" si="258"/>
        <v>45411</v>
      </c>
      <c r="G3273" s="1" t="s">
        <v>537</v>
      </c>
      <c r="H3273" s="2">
        <v>47749</v>
      </c>
      <c r="I3273" t="s">
        <v>19</v>
      </c>
      <c r="J3273">
        <v>2</v>
      </c>
      <c r="K3273">
        <v>54309.04</v>
      </c>
      <c r="L3273" t="s">
        <v>837</v>
      </c>
      <c r="M3273">
        <v>38</v>
      </c>
      <c r="N3273" t="s">
        <v>21</v>
      </c>
      <c r="O3273" s="3" t="s">
        <v>22</v>
      </c>
      <c r="P3273" t="s">
        <v>51</v>
      </c>
      <c r="Q3273" t="s">
        <v>56</v>
      </c>
      <c r="R3273">
        <v>5</v>
      </c>
      <c r="S3273" t="s">
        <v>25</v>
      </c>
      <c r="T3273" s="4">
        <f t="shared" si="259"/>
        <v>108618.08</v>
      </c>
      <c r="U3273" s="4" t="str">
        <f t="shared" si="260"/>
        <v>Good</v>
      </c>
      <c r="V3273" s="4" t="str">
        <f t="shared" si="256"/>
        <v>Good</v>
      </c>
      <c r="W3273" s="4"/>
      <c r="X3273" s="4"/>
      <c r="AJ3273" s="4"/>
    </row>
    <row r="3274" spans="1:36">
      <c r="A3274" t="str">
        <f t="shared" si="257"/>
        <v>Suni403273</v>
      </c>
      <c r="B3274">
        <v>3273</v>
      </c>
      <c r="C3274">
        <v>29</v>
      </c>
      <c r="D3274">
        <v>4</v>
      </c>
      <c r="E3274">
        <v>2024</v>
      </c>
      <c r="F3274" s="1">
        <f t="shared" si="258"/>
        <v>45411</v>
      </c>
      <c r="G3274" s="1" t="s">
        <v>537</v>
      </c>
      <c r="H3274" s="2">
        <v>47750</v>
      </c>
      <c r="I3274" t="s">
        <v>26</v>
      </c>
      <c r="J3274">
        <v>7</v>
      </c>
      <c r="K3274">
        <v>58364.93</v>
      </c>
      <c r="L3274" t="s">
        <v>791</v>
      </c>
      <c r="M3274">
        <v>40</v>
      </c>
      <c r="N3274" t="s">
        <v>21</v>
      </c>
      <c r="O3274" s="3" t="s">
        <v>55</v>
      </c>
      <c r="P3274" t="s">
        <v>132</v>
      </c>
      <c r="Q3274" t="s">
        <v>41</v>
      </c>
      <c r="R3274">
        <v>1</v>
      </c>
      <c r="S3274" t="s">
        <v>34</v>
      </c>
      <c r="T3274" s="4">
        <f t="shared" si="259"/>
        <v>408554.51</v>
      </c>
      <c r="U3274" s="4" t="str">
        <f t="shared" si="260"/>
        <v>Average</v>
      </c>
      <c r="V3274" s="4" t="str">
        <f t="shared" si="256"/>
        <v>Excellent</v>
      </c>
      <c r="W3274" s="4"/>
      <c r="X3274" s="4"/>
      <c r="AJ3274" s="4"/>
    </row>
    <row r="3275" spans="1:36">
      <c r="A3275" t="str">
        <f t="shared" si="257"/>
        <v>Pank263274</v>
      </c>
      <c r="B3275">
        <v>3274</v>
      </c>
      <c r="C3275">
        <v>29</v>
      </c>
      <c r="D3275">
        <v>4</v>
      </c>
      <c r="E3275">
        <v>2024</v>
      </c>
      <c r="F3275" s="1">
        <f t="shared" si="258"/>
        <v>45411</v>
      </c>
      <c r="G3275" s="1" t="s">
        <v>537</v>
      </c>
      <c r="H3275" s="2">
        <v>47751</v>
      </c>
      <c r="I3275" t="s">
        <v>19</v>
      </c>
      <c r="J3275">
        <v>5</v>
      </c>
      <c r="K3275">
        <v>26755.919999999998</v>
      </c>
      <c r="L3275" t="s">
        <v>796</v>
      </c>
      <c r="M3275">
        <v>26</v>
      </c>
      <c r="N3275" t="s">
        <v>36</v>
      </c>
      <c r="O3275" s="3" t="s">
        <v>28</v>
      </c>
      <c r="P3275" t="s">
        <v>64</v>
      </c>
      <c r="Q3275" t="s">
        <v>41</v>
      </c>
      <c r="R3275">
        <v>3</v>
      </c>
      <c r="S3275" t="s">
        <v>84</v>
      </c>
      <c r="T3275" s="4">
        <f t="shared" si="259"/>
        <v>133779.59999999998</v>
      </c>
      <c r="U3275" s="4" t="str">
        <f t="shared" si="260"/>
        <v>Average</v>
      </c>
      <c r="V3275" s="4" t="str">
        <f t="shared" si="256"/>
        <v>Good</v>
      </c>
      <c r="W3275" s="4"/>
      <c r="X3275" s="4"/>
      <c r="AJ3275" s="4"/>
    </row>
    <row r="3276" spans="1:36">
      <c r="A3276" t="str">
        <f t="shared" si="257"/>
        <v>Mano183275</v>
      </c>
      <c r="B3276">
        <v>3275</v>
      </c>
      <c r="C3276">
        <v>30</v>
      </c>
      <c r="D3276">
        <v>4</v>
      </c>
      <c r="E3276">
        <v>2024</v>
      </c>
      <c r="F3276" s="1">
        <f t="shared" si="258"/>
        <v>45412</v>
      </c>
      <c r="G3276" s="1" t="s">
        <v>537</v>
      </c>
      <c r="H3276" s="2">
        <v>47752</v>
      </c>
      <c r="I3276" t="s">
        <v>43</v>
      </c>
      <c r="J3276">
        <v>1</v>
      </c>
      <c r="K3276">
        <v>32079.1</v>
      </c>
      <c r="L3276" t="s">
        <v>105</v>
      </c>
      <c r="M3276">
        <v>18</v>
      </c>
      <c r="N3276" t="s">
        <v>36</v>
      </c>
      <c r="O3276" s="3" t="s">
        <v>22</v>
      </c>
      <c r="P3276" t="s">
        <v>70</v>
      </c>
      <c r="Q3276" t="s">
        <v>41</v>
      </c>
      <c r="R3276">
        <v>4</v>
      </c>
      <c r="S3276" t="s">
        <v>57</v>
      </c>
      <c r="T3276" s="4">
        <f t="shared" si="259"/>
        <v>32079.1</v>
      </c>
      <c r="U3276" s="4" t="str">
        <f t="shared" si="260"/>
        <v>Good</v>
      </c>
      <c r="V3276" s="4" t="str">
        <f t="shared" si="256"/>
        <v>Low</v>
      </c>
      <c r="W3276" s="4"/>
      <c r="X3276" s="4"/>
      <c r="AJ3276" s="4"/>
    </row>
    <row r="3277" spans="1:36">
      <c r="A3277" t="str">
        <f t="shared" si="257"/>
        <v>Bhav383276</v>
      </c>
      <c r="B3277">
        <v>3276</v>
      </c>
      <c r="C3277">
        <v>30</v>
      </c>
      <c r="D3277">
        <v>4</v>
      </c>
      <c r="E3277">
        <v>2024</v>
      </c>
      <c r="F3277" s="1">
        <f t="shared" si="258"/>
        <v>45412</v>
      </c>
      <c r="G3277" s="1" t="s">
        <v>537</v>
      </c>
      <c r="H3277" s="2">
        <v>47753</v>
      </c>
      <c r="I3277" t="s">
        <v>26</v>
      </c>
      <c r="J3277">
        <v>5</v>
      </c>
      <c r="K3277">
        <v>14657.91</v>
      </c>
      <c r="L3277" t="s">
        <v>706</v>
      </c>
      <c r="M3277">
        <v>38</v>
      </c>
      <c r="N3277" t="s">
        <v>21</v>
      </c>
      <c r="O3277" s="3" t="s">
        <v>22</v>
      </c>
      <c r="P3277" t="s">
        <v>29</v>
      </c>
      <c r="Q3277" t="s">
        <v>24</v>
      </c>
      <c r="R3277">
        <v>5</v>
      </c>
      <c r="S3277" t="s">
        <v>31</v>
      </c>
      <c r="T3277" s="4">
        <f t="shared" si="259"/>
        <v>73289.55</v>
      </c>
      <c r="U3277" s="4" t="str">
        <f t="shared" si="260"/>
        <v>Good</v>
      </c>
      <c r="V3277" s="4" t="str">
        <f t="shared" si="256"/>
        <v>Average</v>
      </c>
      <c r="W3277" s="4"/>
      <c r="X3277" s="4"/>
      <c r="AJ3277" s="4"/>
    </row>
    <row r="3278" spans="1:36">
      <c r="A3278" t="str">
        <f t="shared" si="257"/>
        <v>Raje393277</v>
      </c>
      <c r="B3278">
        <v>3277</v>
      </c>
      <c r="C3278">
        <v>30</v>
      </c>
      <c r="D3278">
        <v>4</v>
      </c>
      <c r="E3278">
        <v>2024</v>
      </c>
      <c r="F3278" s="1">
        <f t="shared" si="258"/>
        <v>45412</v>
      </c>
      <c r="G3278" s="1" t="s">
        <v>537</v>
      </c>
      <c r="H3278" s="2">
        <v>47754</v>
      </c>
      <c r="I3278" t="s">
        <v>19</v>
      </c>
      <c r="J3278">
        <v>3</v>
      </c>
      <c r="K3278">
        <v>52807.72</v>
      </c>
      <c r="L3278" t="s">
        <v>981</v>
      </c>
      <c r="M3278">
        <v>39</v>
      </c>
      <c r="N3278" t="s">
        <v>21</v>
      </c>
      <c r="O3278" s="3" t="s">
        <v>55</v>
      </c>
      <c r="P3278" t="s">
        <v>33</v>
      </c>
      <c r="Q3278" t="s">
        <v>24</v>
      </c>
      <c r="R3278">
        <v>2</v>
      </c>
      <c r="S3278" t="s">
        <v>25</v>
      </c>
      <c r="T3278" s="4">
        <f t="shared" si="259"/>
        <v>158423.16</v>
      </c>
      <c r="U3278" s="4" t="str">
        <f t="shared" si="260"/>
        <v>Average</v>
      </c>
      <c r="V3278" s="4" t="str">
        <f t="shared" si="256"/>
        <v>Good</v>
      </c>
      <c r="W3278" s="4"/>
      <c r="X3278" s="4"/>
      <c r="AJ3278" s="4"/>
    </row>
    <row r="3279" spans="1:36">
      <c r="A3279" t="str">
        <f t="shared" si="257"/>
        <v>Nami213278</v>
      </c>
      <c r="B3279">
        <v>3278</v>
      </c>
      <c r="C3279">
        <v>30</v>
      </c>
      <c r="D3279">
        <v>4</v>
      </c>
      <c r="E3279">
        <v>2024</v>
      </c>
      <c r="F3279" s="1">
        <f t="shared" si="258"/>
        <v>45412</v>
      </c>
      <c r="G3279" s="1" t="s">
        <v>537</v>
      </c>
      <c r="H3279" s="2">
        <v>47755</v>
      </c>
      <c r="I3279" t="s">
        <v>19</v>
      </c>
      <c r="J3279">
        <v>7</v>
      </c>
      <c r="K3279">
        <v>10214.65</v>
      </c>
      <c r="L3279" t="s">
        <v>614</v>
      </c>
      <c r="M3279">
        <v>21</v>
      </c>
      <c r="N3279" t="s">
        <v>36</v>
      </c>
      <c r="O3279" s="3" t="s">
        <v>28</v>
      </c>
      <c r="P3279" t="s">
        <v>29</v>
      </c>
      <c r="Q3279" t="s">
        <v>30</v>
      </c>
      <c r="R3279">
        <v>3</v>
      </c>
      <c r="S3279" t="s">
        <v>84</v>
      </c>
      <c r="T3279" s="4">
        <f t="shared" si="259"/>
        <v>71502.55</v>
      </c>
      <c r="U3279" s="4" t="str">
        <f t="shared" si="260"/>
        <v>Average</v>
      </c>
      <c r="V3279" s="4" t="str">
        <f t="shared" si="256"/>
        <v>Average</v>
      </c>
      <c r="W3279" s="4"/>
      <c r="X3279" s="4"/>
      <c r="AJ3279" s="4"/>
    </row>
    <row r="3280" spans="1:36">
      <c r="A3280" t="str">
        <f t="shared" si="257"/>
        <v>Neet183279</v>
      </c>
      <c r="B3280">
        <v>3279</v>
      </c>
      <c r="C3280">
        <v>1</v>
      </c>
      <c r="D3280">
        <v>5</v>
      </c>
      <c r="E3280">
        <v>2024</v>
      </c>
      <c r="F3280" s="1">
        <f t="shared" si="258"/>
        <v>45413</v>
      </c>
      <c r="G3280" s="1" t="s">
        <v>592</v>
      </c>
      <c r="H3280" s="2">
        <v>47756</v>
      </c>
      <c r="I3280" t="s">
        <v>19</v>
      </c>
      <c r="J3280">
        <v>6</v>
      </c>
      <c r="K3280">
        <v>12792.49</v>
      </c>
      <c r="L3280" t="s">
        <v>858</v>
      </c>
      <c r="M3280">
        <v>18</v>
      </c>
      <c r="N3280" t="s">
        <v>36</v>
      </c>
      <c r="O3280" s="3" t="s">
        <v>55</v>
      </c>
      <c r="P3280" t="s">
        <v>33</v>
      </c>
      <c r="Q3280" t="s">
        <v>24</v>
      </c>
      <c r="R3280">
        <v>2</v>
      </c>
      <c r="S3280" t="s">
        <v>84</v>
      </c>
      <c r="T3280" s="4">
        <f t="shared" si="259"/>
        <v>76754.94</v>
      </c>
      <c r="U3280" s="4" t="str">
        <f t="shared" si="260"/>
        <v>Average</v>
      </c>
      <c r="V3280" s="4" t="str">
        <f t="shared" si="256"/>
        <v>Average</v>
      </c>
      <c r="W3280" s="4"/>
      <c r="X3280" s="4"/>
      <c r="AJ3280" s="4"/>
    </row>
    <row r="3281" spans="1:36">
      <c r="A3281" t="str">
        <f t="shared" si="257"/>
        <v>Raje273280</v>
      </c>
      <c r="B3281">
        <v>3280</v>
      </c>
      <c r="C3281">
        <v>1</v>
      </c>
      <c r="D3281">
        <v>5</v>
      </c>
      <c r="E3281">
        <v>2024</v>
      </c>
      <c r="F3281" s="1">
        <f t="shared" si="258"/>
        <v>45413</v>
      </c>
      <c r="G3281" s="1" t="s">
        <v>592</v>
      </c>
      <c r="H3281" s="2">
        <v>47757</v>
      </c>
      <c r="I3281" t="s">
        <v>26</v>
      </c>
      <c r="J3281">
        <v>8</v>
      </c>
      <c r="K3281">
        <v>10260.64</v>
      </c>
      <c r="L3281" t="s">
        <v>1032</v>
      </c>
      <c r="M3281">
        <v>27</v>
      </c>
      <c r="N3281" t="s">
        <v>36</v>
      </c>
      <c r="O3281" s="3" t="s">
        <v>55</v>
      </c>
      <c r="P3281" t="s">
        <v>150</v>
      </c>
      <c r="Q3281" t="s">
        <v>24</v>
      </c>
      <c r="R3281">
        <v>1</v>
      </c>
      <c r="S3281" t="s">
        <v>34</v>
      </c>
      <c r="T3281" s="4">
        <f t="shared" si="259"/>
        <v>82085.119999999995</v>
      </c>
      <c r="U3281" s="4" t="str">
        <f t="shared" si="260"/>
        <v>Average</v>
      </c>
      <c r="V3281" s="4" t="str">
        <f t="shared" si="256"/>
        <v>Average</v>
      </c>
      <c r="W3281" s="4"/>
      <c r="X3281" s="4"/>
      <c r="AJ3281" s="4"/>
    </row>
    <row r="3282" spans="1:36">
      <c r="A3282" t="str">
        <f t="shared" si="257"/>
        <v>Suni323281</v>
      </c>
      <c r="B3282">
        <v>3281</v>
      </c>
      <c r="C3282">
        <v>1</v>
      </c>
      <c r="D3282">
        <v>5</v>
      </c>
      <c r="E3282">
        <v>2024</v>
      </c>
      <c r="F3282" s="1">
        <f t="shared" si="258"/>
        <v>45413</v>
      </c>
      <c r="G3282" s="1" t="s">
        <v>592</v>
      </c>
      <c r="H3282" s="2">
        <v>47758</v>
      </c>
      <c r="I3282" t="s">
        <v>38</v>
      </c>
      <c r="J3282">
        <v>5</v>
      </c>
      <c r="K3282">
        <v>48719.18</v>
      </c>
      <c r="L3282" t="s">
        <v>860</v>
      </c>
      <c r="M3282">
        <v>32</v>
      </c>
      <c r="N3282" t="s">
        <v>21</v>
      </c>
      <c r="O3282" s="3" t="s">
        <v>28</v>
      </c>
      <c r="P3282" t="s">
        <v>66</v>
      </c>
      <c r="Q3282" t="s">
        <v>56</v>
      </c>
      <c r="R3282">
        <v>3</v>
      </c>
      <c r="S3282" t="s">
        <v>42</v>
      </c>
      <c r="T3282" s="4">
        <f t="shared" si="259"/>
        <v>243595.9</v>
      </c>
      <c r="U3282" s="4" t="str">
        <f t="shared" si="260"/>
        <v>Average</v>
      </c>
      <c r="V3282" s="4" t="str">
        <f t="shared" si="256"/>
        <v>Excellent</v>
      </c>
      <c r="W3282" s="4"/>
      <c r="X3282" s="4"/>
      <c r="AJ3282" s="4"/>
    </row>
    <row r="3283" spans="1:36">
      <c r="A3283" t="str">
        <f t="shared" si="257"/>
        <v>Kris533282</v>
      </c>
      <c r="B3283">
        <v>3282</v>
      </c>
      <c r="C3283">
        <v>2</v>
      </c>
      <c r="D3283">
        <v>5</v>
      </c>
      <c r="E3283">
        <v>2024</v>
      </c>
      <c r="F3283" s="1">
        <f t="shared" si="258"/>
        <v>45414</v>
      </c>
      <c r="G3283" s="1" t="s">
        <v>592</v>
      </c>
      <c r="H3283" s="2">
        <v>47759</v>
      </c>
      <c r="I3283" t="s">
        <v>26</v>
      </c>
      <c r="J3283">
        <v>2</v>
      </c>
      <c r="K3283">
        <v>35043.230000000003</v>
      </c>
      <c r="L3283" t="s">
        <v>1021</v>
      </c>
      <c r="M3283">
        <v>53</v>
      </c>
      <c r="N3283" t="s">
        <v>61</v>
      </c>
      <c r="O3283" s="3" t="s">
        <v>22</v>
      </c>
      <c r="P3283" t="s">
        <v>33</v>
      </c>
      <c r="Q3283" t="s">
        <v>30</v>
      </c>
      <c r="R3283">
        <v>5</v>
      </c>
      <c r="S3283" t="s">
        <v>31</v>
      </c>
      <c r="T3283" s="4">
        <f t="shared" si="259"/>
        <v>70086.460000000006</v>
      </c>
      <c r="U3283" s="4" t="str">
        <f t="shared" si="260"/>
        <v>Good</v>
      </c>
      <c r="V3283" s="4" t="str">
        <f t="shared" si="256"/>
        <v>Average</v>
      </c>
      <c r="W3283" s="4"/>
      <c r="X3283" s="4"/>
      <c r="AJ3283" s="4"/>
    </row>
    <row r="3284" spans="1:36">
      <c r="A3284" t="str">
        <f t="shared" si="257"/>
        <v>Vija463283</v>
      </c>
      <c r="B3284">
        <v>3283</v>
      </c>
      <c r="C3284">
        <v>2</v>
      </c>
      <c r="D3284">
        <v>5</v>
      </c>
      <c r="E3284">
        <v>2024</v>
      </c>
      <c r="F3284" s="1">
        <f t="shared" si="258"/>
        <v>45414</v>
      </c>
      <c r="G3284" s="1" t="s">
        <v>592</v>
      </c>
      <c r="H3284" s="2">
        <v>47760</v>
      </c>
      <c r="I3284" t="s">
        <v>49</v>
      </c>
      <c r="J3284">
        <v>9</v>
      </c>
      <c r="K3284">
        <v>27852.81</v>
      </c>
      <c r="L3284" t="s">
        <v>679</v>
      </c>
      <c r="M3284">
        <v>46</v>
      </c>
      <c r="N3284" t="s">
        <v>61</v>
      </c>
      <c r="O3284" s="3" t="s">
        <v>55</v>
      </c>
      <c r="P3284" t="s">
        <v>29</v>
      </c>
      <c r="Q3284" t="s">
        <v>30</v>
      </c>
      <c r="R3284">
        <v>2</v>
      </c>
      <c r="S3284" t="s">
        <v>102</v>
      </c>
      <c r="T3284" s="4">
        <f t="shared" si="259"/>
        <v>250675.29</v>
      </c>
      <c r="U3284" s="4" t="str">
        <f t="shared" si="260"/>
        <v>Average</v>
      </c>
      <c r="V3284" s="4" t="str">
        <f t="shared" si="256"/>
        <v>Excellent</v>
      </c>
      <c r="W3284" s="4"/>
      <c r="X3284" s="4"/>
      <c r="AJ3284" s="4"/>
    </row>
    <row r="3285" spans="1:36">
      <c r="A3285" t="str">
        <f t="shared" si="257"/>
        <v>Suni223284</v>
      </c>
      <c r="B3285">
        <v>3284</v>
      </c>
      <c r="C3285">
        <v>2</v>
      </c>
      <c r="D3285">
        <v>5</v>
      </c>
      <c r="E3285">
        <v>2024</v>
      </c>
      <c r="F3285" s="1">
        <f t="shared" si="258"/>
        <v>45414</v>
      </c>
      <c r="G3285" s="1" t="s">
        <v>592</v>
      </c>
      <c r="H3285" s="2">
        <v>47761</v>
      </c>
      <c r="I3285" t="s">
        <v>26</v>
      </c>
      <c r="J3285">
        <v>8</v>
      </c>
      <c r="K3285">
        <v>64762.06</v>
      </c>
      <c r="L3285" t="s">
        <v>260</v>
      </c>
      <c r="M3285">
        <v>22</v>
      </c>
      <c r="N3285" t="s">
        <v>36</v>
      </c>
      <c r="O3285" s="3" t="s">
        <v>55</v>
      </c>
      <c r="P3285" t="s">
        <v>33</v>
      </c>
      <c r="Q3285" t="s">
        <v>56</v>
      </c>
      <c r="R3285">
        <v>2</v>
      </c>
      <c r="S3285" t="s">
        <v>34</v>
      </c>
      <c r="T3285" s="4">
        <f t="shared" si="259"/>
        <v>518096.48</v>
      </c>
      <c r="U3285" s="4" t="str">
        <f t="shared" si="260"/>
        <v>Average</v>
      </c>
      <c r="V3285" s="4" t="str">
        <f t="shared" si="256"/>
        <v>Excellent</v>
      </c>
      <c r="W3285" s="4"/>
      <c r="X3285" s="4"/>
      <c r="AJ3285" s="4"/>
    </row>
    <row r="3286" spans="1:36">
      <c r="A3286" t="str">
        <f t="shared" si="257"/>
        <v>Deve463285</v>
      </c>
      <c r="B3286">
        <v>3285</v>
      </c>
      <c r="C3286">
        <v>2</v>
      </c>
      <c r="D3286">
        <v>5</v>
      </c>
      <c r="E3286">
        <v>2024</v>
      </c>
      <c r="F3286" s="1">
        <f t="shared" si="258"/>
        <v>45414</v>
      </c>
      <c r="G3286" s="1" t="s">
        <v>592</v>
      </c>
      <c r="H3286" s="2">
        <v>47762</v>
      </c>
      <c r="I3286" t="s">
        <v>19</v>
      </c>
      <c r="J3286">
        <v>6</v>
      </c>
      <c r="K3286">
        <v>21568.17</v>
      </c>
      <c r="L3286" t="s">
        <v>702</v>
      </c>
      <c r="M3286">
        <v>46</v>
      </c>
      <c r="N3286" t="s">
        <v>61</v>
      </c>
      <c r="O3286" s="3" t="s">
        <v>55</v>
      </c>
      <c r="P3286" t="s">
        <v>29</v>
      </c>
      <c r="Q3286" t="s">
        <v>41</v>
      </c>
      <c r="R3286">
        <v>1</v>
      </c>
      <c r="S3286" t="s">
        <v>84</v>
      </c>
      <c r="T3286" s="4">
        <f t="shared" si="259"/>
        <v>129409.01999999999</v>
      </c>
      <c r="U3286" s="4" t="str">
        <f t="shared" si="260"/>
        <v>Average</v>
      </c>
      <c r="V3286" s="4" t="str">
        <f t="shared" si="256"/>
        <v>Good</v>
      </c>
      <c r="W3286" s="4"/>
      <c r="X3286" s="4"/>
      <c r="AJ3286" s="4"/>
    </row>
    <row r="3287" spans="1:36">
      <c r="A3287" t="str">
        <f t="shared" si="257"/>
        <v>Nami443286</v>
      </c>
      <c r="B3287">
        <v>3286</v>
      </c>
      <c r="C3287">
        <v>3</v>
      </c>
      <c r="D3287">
        <v>5</v>
      </c>
      <c r="E3287">
        <v>2024</v>
      </c>
      <c r="F3287" s="1">
        <f t="shared" si="258"/>
        <v>45415</v>
      </c>
      <c r="G3287" s="1" t="s">
        <v>592</v>
      </c>
      <c r="H3287" s="2">
        <v>47763</v>
      </c>
      <c r="I3287" t="s">
        <v>43</v>
      </c>
      <c r="J3287">
        <v>7</v>
      </c>
      <c r="K3287">
        <v>33362.080000000002</v>
      </c>
      <c r="L3287" t="s">
        <v>727</v>
      </c>
      <c r="M3287">
        <v>44</v>
      </c>
      <c r="N3287" t="s">
        <v>21</v>
      </c>
      <c r="O3287" s="3" t="s">
        <v>55</v>
      </c>
      <c r="P3287" t="s">
        <v>66</v>
      </c>
      <c r="Q3287" t="s">
        <v>56</v>
      </c>
      <c r="R3287">
        <v>1</v>
      </c>
      <c r="S3287" t="s">
        <v>46</v>
      </c>
      <c r="T3287" s="4">
        <f t="shared" si="259"/>
        <v>233534.56</v>
      </c>
      <c r="U3287" s="4" t="str">
        <f t="shared" si="260"/>
        <v>Average</v>
      </c>
      <c r="V3287" s="4" t="str">
        <f t="shared" si="256"/>
        <v>Excellent</v>
      </c>
      <c r="W3287" s="4"/>
      <c r="X3287" s="4"/>
      <c r="AJ3287" s="4"/>
    </row>
    <row r="3288" spans="1:36">
      <c r="A3288" t="str">
        <f t="shared" si="257"/>
        <v>Kira423287</v>
      </c>
      <c r="B3288">
        <v>3287</v>
      </c>
      <c r="C3288">
        <v>3</v>
      </c>
      <c r="D3288">
        <v>5</v>
      </c>
      <c r="E3288">
        <v>2024</v>
      </c>
      <c r="F3288" s="1">
        <f t="shared" si="258"/>
        <v>45415</v>
      </c>
      <c r="G3288" s="1" t="s">
        <v>592</v>
      </c>
      <c r="H3288" s="2">
        <v>47764</v>
      </c>
      <c r="I3288" t="s">
        <v>26</v>
      </c>
      <c r="J3288">
        <v>9</v>
      </c>
      <c r="K3288">
        <v>66418.710000000006</v>
      </c>
      <c r="L3288" t="s">
        <v>1025</v>
      </c>
      <c r="M3288">
        <v>42</v>
      </c>
      <c r="N3288" t="s">
        <v>21</v>
      </c>
      <c r="O3288" s="3" t="s">
        <v>22</v>
      </c>
      <c r="P3288" t="s">
        <v>110</v>
      </c>
      <c r="Q3288" t="s">
        <v>41</v>
      </c>
      <c r="R3288">
        <v>4</v>
      </c>
      <c r="S3288" t="s">
        <v>31</v>
      </c>
      <c r="T3288" s="4">
        <f t="shared" si="259"/>
        <v>597768.39</v>
      </c>
      <c r="U3288" s="4" t="str">
        <f t="shared" si="260"/>
        <v>Good</v>
      </c>
      <c r="V3288" s="4" t="str">
        <f t="shared" si="256"/>
        <v>Excellent</v>
      </c>
      <c r="W3288" s="4"/>
      <c r="X3288" s="4"/>
      <c r="AJ3288" s="4"/>
    </row>
    <row r="3289" spans="1:36">
      <c r="A3289" t="str">
        <f t="shared" si="257"/>
        <v>Adit333288</v>
      </c>
      <c r="B3289">
        <v>3288</v>
      </c>
      <c r="C3289">
        <v>3</v>
      </c>
      <c r="D3289">
        <v>5</v>
      </c>
      <c r="E3289">
        <v>2024</v>
      </c>
      <c r="F3289" s="1">
        <f t="shared" si="258"/>
        <v>45415</v>
      </c>
      <c r="G3289" s="1" t="s">
        <v>592</v>
      </c>
      <c r="H3289" s="2">
        <v>47765</v>
      </c>
      <c r="I3289" t="s">
        <v>26</v>
      </c>
      <c r="J3289">
        <v>7</v>
      </c>
      <c r="K3289">
        <v>35626.39</v>
      </c>
      <c r="L3289" t="s">
        <v>1028</v>
      </c>
      <c r="M3289">
        <v>33</v>
      </c>
      <c r="N3289" t="s">
        <v>21</v>
      </c>
      <c r="O3289" s="3" t="s">
        <v>22</v>
      </c>
      <c r="P3289" t="s">
        <v>45</v>
      </c>
      <c r="Q3289" t="s">
        <v>30</v>
      </c>
      <c r="R3289">
        <v>4</v>
      </c>
      <c r="S3289" t="s">
        <v>31</v>
      </c>
      <c r="T3289" s="4">
        <f t="shared" si="259"/>
        <v>249384.72999999998</v>
      </c>
      <c r="U3289" s="4" t="str">
        <f t="shared" si="260"/>
        <v>Good</v>
      </c>
      <c r="V3289" s="4" t="str">
        <f t="shared" si="256"/>
        <v>Excellent</v>
      </c>
      <c r="W3289" s="4"/>
      <c r="X3289" s="4"/>
      <c r="AJ3289" s="4"/>
    </row>
    <row r="3290" spans="1:36">
      <c r="A3290" t="str">
        <f t="shared" si="257"/>
        <v>Priy333289</v>
      </c>
      <c r="B3290">
        <v>3289</v>
      </c>
      <c r="C3290">
        <v>4</v>
      </c>
      <c r="D3290">
        <v>5</v>
      </c>
      <c r="E3290">
        <v>2024</v>
      </c>
      <c r="F3290" s="1">
        <f t="shared" si="258"/>
        <v>45416</v>
      </c>
      <c r="G3290" s="1" t="s">
        <v>592</v>
      </c>
      <c r="H3290" s="2">
        <v>47766</v>
      </c>
      <c r="I3290" t="s">
        <v>19</v>
      </c>
      <c r="J3290">
        <v>3</v>
      </c>
      <c r="K3290">
        <v>43281.62</v>
      </c>
      <c r="L3290" t="s">
        <v>1052</v>
      </c>
      <c r="M3290">
        <v>33</v>
      </c>
      <c r="N3290" t="s">
        <v>21</v>
      </c>
      <c r="O3290" s="3" t="s">
        <v>55</v>
      </c>
      <c r="P3290" t="s">
        <v>64</v>
      </c>
      <c r="Q3290" t="s">
        <v>30</v>
      </c>
      <c r="R3290">
        <v>1</v>
      </c>
      <c r="S3290" t="s">
        <v>84</v>
      </c>
      <c r="T3290" s="4">
        <f t="shared" si="259"/>
        <v>129844.86000000002</v>
      </c>
      <c r="U3290" s="4" t="str">
        <f t="shared" si="260"/>
        <v>Average</v>
      </c>
      <c r="V3290" s="4" t="str">
        <f t="shared" si="256"/>
        <v>Good</v>
      </c>
      <c r="W3290" s="4"/>
      <c r="X3290" s="4"/>
      <c r="AJ3290" s="4"/>
    </row>
    <row r="3291" spans="1:36">
      <c r="A3291" t="str">
        <f t="shared" si="257"/>
        <v>Pank533290</v>
      </c>
      <c r="B3291">
        <v>3290</v>
      </c>
      <c r="C3291">
        <v>4</v>
      </c>
      <c r="D3291">
        <v>5</v>
      </c>
      <c r="E3291">
        <v>2024</v>
      </c>
      <c r="F3291" s="1">
        <f t="shared" si="258"/>
        <v>45416</v>
      </c>
      <c r="G3291" s="1" t="s">
        <v>592</v>
      </c>
      <c r="H3291" s="2">
        <v>47767</v>
      </c>
      <c r="I3291" t="s">
        <v>43</v>
      </c>
      <c r="J3291">
        <v>6</v>
      </c>
      <c r="K3291">
        <v>14820.21</v>
      </c>
      <c r="L3291" t="s">
        <v>353</v>
      </c>
      <c r="M3291">
        <v>53</v>
      </c>
      <c r="N3291" t="s">
        <v>61</v>
      </c>
      <c r="O3291" s="3" t="s">
        <v>22</v>
      </c>
      <c r="P3291" t="s">
        <v>29</v>
      </c>
      <c r="Q3291" t="s">
        <v>24</v>
      </c>
      <c r="R3291">
        <v>4</v>
      </c>
      <c r="S3291" t="s">
        <v>57</v>
      </c>
      <c r="T3291" s="4">
        <f t="shared" si="259"/>
        <v>88921.26</v>
      </c>
      <c r="U3291" s="4" t="str">
        <f t="shared" si="260"/>
        <v>Good</v>
      </c>
      <c r="V3291" s="4" t="str">
        <f t="shared" si="256"/>
        <v>Average</v>
      </c>
      <c r="W3291" s="4"/>
      <c r="X3291" s="4"/>
      <c r="AJ3291" s="4"/>
    </row>
    <row r="3292" spans="1:36">
      <c r="A3292" t="str">
        <f t="shared" si="257"/>
        <v>Suni423291</v>
      </c>
      <c r="B3292">
        <v>3291</v>
      </c>
      <c r="C3292">
        <v>4</v>
      </c>
      <c r="D3292">
        <v>5</v>
      </c>
      <c r="E3292">
        <v>2024</v>
      </c>
      <c r="F3292" s="1">
        <f t="shared" si="258"/>
        <v>45416</v>
      </c>
      <c r="G3292" s="1" t="s">
        <v>592</v>
      </c>
      <c r="H3292" s="2">
        <v>47768</v>
      </c>
      <c r="I3292" t="s">
        <v>43</v>
      </c>
      <c r="J3292">
        <v>7</v>
      </c>
      <c r="K3292">
        <v>57409.98</v>
      </c>
      <c r="L3292" t="s">
        <v>1053</v>
      </c>
      <c r="M3292">
        <v>42</v>
      </c>
      <c r="N3292" t="s">
        <v>21</v>
      </c>
      <c r="O3292" s="3" t="s">
        <v>55</v>
      </c>
      <c r="P3292" t="s">
        <v>90</v>
      </c>
      <c r="Q3292" t="s">
        <v>24</v>
      </c>
      <c r="R3292">
        <v>2</v>
      </c>
      <c r="S3292" t="s">
        <v>46</v>
      </c>
      <c r="T3292" s="4">
        <f t="shared" si="259"/>
        <v>401869.86000000004</v>
      </c>
      <c r="U3292" s="4" t="str">
        <f t="shared" si="260"/>
        <v>Average</v>
      </c>
      <c r="V3292" s="4" t="str">
        <f t="shared" si="256"/>
        <v>Excellent</v>
      </c>
      <c r="W3292" s="4"/>
      <c r="X3292" s="4"/>
      <c r="AJ3292" s="4"/>
    </row>
    <row r="3293" spans="1:36">
      <c r="A3293" t="str">
        <f t="shared" si="257"/>
        <v>Radh583292</v>
      </c>
      <c r="B3293">
        <v>3292</v>
      </c>
      <c r="C3293">
        <v>4</v>
      </c>
      <c r="D3293">
        <v>5</v>
      </c>
      <c r="E3293">
        <v>2024</v>
      </c>
      <c r="F3293" s="1">
        <f t="shared" si="258"/>
        <v>45416</v>
      </c>
      <c r="G3293" s="1" t="s">
        <v>592</v>
      </c>
      <c r="H3293" s="2">
        <v>47769</v>
      </c>
      <c r="I3293" t="s">
        <v>49</v>
      </c>
      <c r="J3293">
        <v>2</v>
      </c>
      <c r="K3293">
        <v>35365.53</v>
      </c>
      <c r="L3293" t="s">
        <v>845</v>
      </c>
      <c r="M3293">
        <v>58</v>
      </c>
      <c r="N3293" t="s">
        <v>61</v>
      </c>
      <c r="O3293" s="3" t="s">
        <v>55</v>
      </c>
      <c r="P3293" t="s">
        <v>110</v>
      </c>
      <c r="Q3293" t="s">
        <v>56</v>
      </c>
      <c r="R3293">
        <v>1</v>
      </c>
      <c r="S3293" t="s">
        <v>102</v>
      </c>
      <c r="T3293" s="4">
        <f t="shared" si="259"/>
        <v>70731.06</v>
      </c>
      <c r="U3293" s="4" t="str">
        <f t="shared" si="260"/>
        <v>Average</v>
      </c>
      <c r="V3293" s="4" t="str">
        <f t="shared" si="256"/>
        <v>Average</v>
      </c>
      <c r="W3293" s="4"/>
      <c r="X3293" s="4"/>
      <c r="AJ3293" s="4"/>
    </row>
    <row r="3294" spans="1:36">
      <c r="A3294" t="str">
        <f t="shared" si="257"/>
        <v>Arun183293</v>
      </c>
      <c r="B3294">
        <v>3293</v>
      </c>
      <c r="C3294">
        <v>5</v>
      </c>
      <c r="D3294">
        <v>5</v>
      </c>
      <c r="E3294">
        <v>2024</v>
      </c>
      <c r="F3294" s="1">
        <f t="shared" si="258"/>
        <v>45417</v>
      </c>
      <c r="G3294" s="1" t="s">
        <v>592</v>
      </c>
      <c r="H3294" s="2">
        <v>47770</v>
      </c>
      <c r="I3294" t="s">
        <v>26</v>
      </c>
      <c r="J3294">
        <v>3</v>
      </c>
      <c r="K3294">
        <v>58030.91</v>
      </c>
      <c r="L3294" t="s">
        <v>720</v>
      </c>
      <c r="M3294">
        <v>18</v>
      </c>
      <c r="N3294" t="s">
        <v>36</v>
      </c>
      <c r="O3294" s="3" t="s">
        <v>28</v>
      </c>
      <c r="P3294" t="s">
        <v>132</v>
      </c>
      <c r="Q3294" t="s">
        <v>24</v>
      </c>
      <c r="R3294">
        <v>3</v>
      </c>
      <c r="S3294" t="s">
        <v>67</v>
      </c>
      <c r="T3294" s="4">
        <f t="shared" si="259"/>
        <v>174092.73</v>
      </c>
      <c r="U3294" s="4" t="str">
        <f t="shared" si="260"/>
        <v>Average</v>
      </c>
      <c r="V3294" s="4" t="str">
        <f t="shared" si="256"/>
        <v>Good</v>
      </c>
      <c r="W3294" s="4"/>
      <c r="X3294" s="4"/>
      <c r="AJ3294" s="4"/>
    </row>
    <row r="3295" spans="1:36">
      <c r="A3295" t="str">
        <f t="shared" si="257"/>
        <v>Reen223294</v>
      </c>
      <c r="B3295">
        <v>3294</v>
      </c>
      <c r="C3295">
        <v>5</v>
      </c>
      <c r="D3295">
        <v>5</v>
      </c>
      <c r="E3295">
        <v>2024</v>
      </c>
      <c r="F3295" s="1">
        <f t="shared" si="258"/>
        <v>45417</v>
      </c>
      <c r="G3295" s="1" t="s">
        <v>592</v>
      </c>
      <c r="H3295" s="2">
        <v>47771</v>
      </c>
      <c r="I3295" t="s">
        <v>43</v>
      </c>
      <c r="J3295">
        <v>4</v>
      </c>
      <c r="K3295">
        <v>25227.86</v>
      </c>
      <c r="L3295" t="s">
        <v>201</v>
      </c>
      <c r="M3295">
        <v>22</v>
      </c>
      <c r="N3295" t="s">
        <v>36</v>
      </c>
      <c r="O3295" s="3" t="s">
        <v>55</v>
      </c>
      <c r="P3295" t="s">
        <v>33</v>
      </c>
      <c r="Q3295" t="s">
        <v>30</v>
      </c>
      <c r="R3295">
        <v>1</v>
      </c>
      <c r="S3295" t="s">
        <v>57</v>
      </c>
      <c r="T3295" s="4">
        <f t="shared" si="259"/>
        <v>100911.44</v>
      </c>
      <c r="U3295" s="4" t="str">
        <f t="shared" si="260"/>
        <v>Average</v>
      </c>
      <c r="V3295" s="4" t="str">
        <f t="shared" si="256"/>
        <v>Good</v>
      </c>
      <c r="W3295" s="4"/>
      <c r="X3295" s="4"/>
      <c r="AJ3295" s="4"/>
    </row>
    <row r="3296" spans="1:36">
      <c r="A3296" t="str">
        <f t="shared" si="257"/>
        <v>Lata583295</v>
      </c>
      <c r="B3296">
        <v>3295</v>
      </c>
      <c r="C3296">
        <v>5</v>
      </c>
      <c r="D3296">
        <v>5</v>
      </c>
      <c r="E3296">
        <v>2024</v>
      </c>
      <c r="F3296" s="1">
        <f t="shared" si="258"/>
        <v>45417</v>
      </c>
      <c r="G3296" s="1" t="s">
        <v>592</v>
      </c>
      <c r="H3296" s="2">
        <v>47772</v>
      </c>
      <c r="I3296" t="s">
        <v>43</v>
      </c>
      <c r="J3296">
        <v>6</v>
      </c>
      <c r="K3296">
        <v>35348.730000000003</v>
      </c>
      <c r="L3296" t="s">
        <v>774</v>
      </c>
      <c r="M3296">
        <v>58</v>
      </c>
      <c r="N3296" t="s">
        <v>61</v>
      </c>
      <c r="O3296" s="3" t="s">
        <v>22</v>
      </c>
      <c r="P3296" t="s">
        <v>33</v>
      </c>
      <c r="Q3296" t="s">
        <v>30</v>
      </c>
      <c r="R3296">
        <v>5</v>
      </c>
      <c r="S3296" t="s">
        <v>95</v>
      </c>
      <c r="T3296" s="4">
        <f t="shared" si="259"/>
        <v>212092.38</v>
      </c>
      <c r="U3296" s="4" t="str">
        <f t="shared" si="260"/>
        <v>Good</v>
      </c>
      <c r="V3296" s="4" t="str">
        <f t="shared" si="256"/>
        <v>Excellent</v>
      </c>
      <c r="W3296" s="4"/>
      <c r="X3296" s="4"/>
      <c r="AJ3296" s="4"/>
    </row>
    <row r="3297" spans="1:36">
      <c r="A3297" t="str">
        <f t="shared" si="257"/>
        <v>Roha373296</v>
      </c>
      <c r="B3297">
        <v>3296</v>
      </c>
      <c r="C3297">
        <v>5</v>
      </c>
      <c r="D3297">
        <v>5</v>
      </c>
      <c r="E3297">
        <v>2024</v>
      </c>
      <c r="F3297" s="1">
        <f t="shared" si="258"/>
        <v>45417</v>
      </c>
      <c r="G3297" s="1" t="s">
        <v>592</v>
      </c>
      <c r="H3297" s="2">
        <v>47773</v>
      </c>
      <c r="I3297" t="s">
        <v>38</v>
      </c>
      <c r="J3297">
        <v>1</v>
      </c>
      <c r="K3297">
        <v>57192.94</v>
      </c>
      <c r="L3297" t="s">
        <v>620</v>
      </c>
      <c r="M3297">
        <v>37</v>
      </c>
      <c r="N3297" t="s">
        <v>21</v>
      </c>
      <c r="O3297" s="3" t="s">
        <v>22</v>
      </c>
      <c r="P3297" t="s">
        <v>114</v>
      </c>
      <c r="Q3297" t="s">
        <v>41</v>
      </c>
      <c r="R3297">
        <v>5</v>
      </c>
      <c r="S3297" t="s">
        <v>99</v>
      </c>
      <c r="T3297" s="4">
        <f t="shared" si="259"/>
        <v>57192.94</v>
      </c>
      <c r="U3297" s="4" t="str">
        <f t="shared" si="260"/>
        <v>Good</v>
      </c>
      <c r="V3297" s="4" t="str">
        <f t="shared" si="256"/>
        <v>Average</v>
      </c>
      <c r="W3297" s="4"/>
      <c r="X3297" s="4"/>
      <c r="AJ3297" s="4"/>
    </row>
    <row r="3298" spans="1:36">
      <c r="A3298" t="str">
        <f t="shared" si="257"/>
        <v>Kira223297</v>
      </c>
      <c r="B3298">
        <v>3297</v>
      </c>
      <c r="C3298">
        <v>6</v>
      </c>
      <c r="D3298">
        <v>5</v>
      </c>
      <c r="E3298">
        <v>2024</v>
      </c>
      <c r="F3298" s="1">
        <f t="shared" si="258"/>
        <v>45418</v>
      </c>
      <c r="G3298" s="1" t="s">
        <v>592</v>
      </c>
      <c r="H3298" s="2">
        <v>47774</v>
      </c>
      <c r="I3298" t="s">
        <v>38</v>
      </c>
      <c r="J3298">
        <v>9</v>
      </c>
      <c r="K3298">
        <v>68432.67</v>
      </c>
      <c r="L3298" t="s">
        <v>714</v>
      </c>
      <c r="M3298">
        <v>22</v>
      </c>
      <c r="N3298" t="s">
        <v>36</v>
      </c>
      <c r="O3298" s="3" t="s">
        <v>55</v>
      </c>
      <c r="P3298" t="s">
        <v>33</v>
      </c>
      <c r="Q3298" t="s">
        <v>24</v>
      </c>
      <c r="R3298">
        <v>1</v>
      </c>
      <c r="S3298" t="s">
        <v>48</v>
      </c>
      <c r="T3298" s="4">
        <f t="shared" si="259"/>
        <v>615894.03</v>
      </c>
      <c r="U3298" s="4" t="str">
        <f t="shared" si="260"/>
        <v>Average</v>
      </c>
      <c r="V3298" s="4" t="str">
        <f t="shared" si="256"/>
        <v>Excellent</v>
      </c>
      <c r="W3298" s="4"/>
      <c r="X3298" s="4"/>
      <c r="AJ3298" s="4"/>
    </row>
    <row r="3299" spans="1:36">
      <c r="A3299" t="str">
        <f t="shared" si="257"/>
        <v>Amit533298</v>
      </c>
      <c r="B3299">
        <v>3298</v>
      </c>
      <c r="C3299">
        <v>6</v>
      </c>
      <c r="D3299">
        <v>5</v>
      </c>
      <c r="E3299">
        <v>2024</v>
      </c>
      <c r="F3299" s="1">
        <f t="shared" si="258"/>
        <v>45418</v>
      </c>
      <c r="G3299" s="1" t="s">
        <v>592</v>
      </c>
      <c r="H3299" s="2">
        <v>47775</v>
      </c>
      <c r="I3299" t="s">
        <v>43</v>
      </c>
      <c r="J3299">
        <v>5</v>
      </c>
      <c r="K3299">
        <v>13577.53</v>
      </c>
      <c r="L3299" t="s">
        <v>895</v>
      </c>
      <c r="M3299">
        <v>53</v>
      </c>
      <c r="N3299" t="s">
        <v>61</v>
      </c>
      <c r="O3299" s="3" t="s">
        <v>28</v>
      </c>
      <c r="P3299" t="s">
        <v>33</v>
      </c>
      <c r="Q3299" t="s">
        <v>41</v>
      </c>
      <c r="R3299">
        <v>3</v>
      </c>
      <c r="S3299" t="s">
        <v>57</v>
      </c>
      <c r="T3299" s="4">
        <f t="shared" si="259"/>
        <v>67887.650000000009</v>
      </c>
      <c r="U3299" s="4" t="str">
        <f t="shared" si="260"/>
        <v>Average</v>
      </c>
      <c r="V3299" s="4" t="str">
        <f t="shared" si="256"/>
        <v>Average</v>
      </c>
      <c r="W3299" s="4"/>
      <c r="X3299" s="4"/>
      <c r="AJ3299" s="4"/>
    </row>
    <row r="3300" spans="1:36">
      <c r="A3300" t="str">
        <f t="shared" si="257"/>
        <v>Lali463299</v>
      </c>
      <c r="B3300">
        <v>3299</v>
      </c>
      <c r="C3300">
        <v>6</v>
      </c>
      <c r="D3300">
        <v>5</v>
      </c>
      <c r="E3300">
        <v>2024</v>
      </c>
      <c r="F3300" s="1">
        <f t="shared" si="258"/>
        <v>45418</v>
      </c>
      <c r="G3300" s="1" t="s">
        <v>592</v>
      </c>
      <c r="H3300" s="2">
        <v>47776</v>
      </c>
      <c r="I3300" t="s">
        <v>49</v>
      </c>
      <c r="J3300">
        <v>7</v>
      </c>
      <c r="K3300">
        <v>58747.37</v>
      </c>
      <c r="L3300" t="s">
        <v>236</v>
      </c>
      <c r="M3300">
        <v>46</v>
      </c>
      <c r="N3300" t="s">
        <v>61</v>
      </c>
      <c r="O3300" s="3" t="s">
        <v>55</v>
      </c>
      <c r="P3300" t="s">
        <v>29</v>
      </c>
      <c r="Q3300" t="s">
        <v>30</v>
      </c>
      <c r="R3300">
        <v>1</v>
      </c>
      <c r="S3300" t="s">
        <v>52</v>
      </c>
      <c r="T3300" s="4">
        <f t="shared" si="259"/>
        <v>411231.59</v>
      </c>
      <c r="U3300" s="4" t="str">
        <f t="shared" si="260"/>
        <v>Average</v>
      </c>
      <c r="V3300" s="4" t="str">
        <f t="shared" si="256"/>
        <v>Excellent</v>
      </c>
      <c r="W3300" s="4"/>
      <c r="X3300" s="4"/>
      <c r="AJ3300" s="4"/>
    </row>
    <row r="3301" spans="1:36">
      <c r="A3301" t="str">
        <f t="shared" si="257"/>
        <v>Sanj513300</v>
      </c>
      <c r="B3301">
        <v>3300</v>
      </c>
      <c r="C3301">
        <v>6</v>
      </c>
      <c r="D3301">
        <v>5</v>
      </c>
      <c r="E3301">
        <v>2024</v>
      </c>
      <c r="F3301" s="1">
        <f t="shared" si="258"/>
        <v>45418</v>
      </c>
      <c r="G3301" s="1" t="s">
        <v>592</v>
      </c>
      <c r="H3301" s="2">
        <v>47777</v>
      </c>
      <c r="I3301" t="s">
        <v>43</v>
      </c>
      <c r="J3301">
        <v>9</v>
      </c>
      <c r="K3301">
        <v>28041.34</v>
      </c>
      <c r="L3301" t="s">
        <v>460</v>
      </c>
      <c r="M3301">
        <v>51</v>
      </c>
      <c r="N3301" t="s">
        <v>61</v>
      </c>
      <c r="O3301" s="3" t="s">
        <v>28</v>
      </c>
      <c r="P3301" t="s">
        <v>29</v>
      </c>
      <c r="Q3301" t="s">
        <v>24</v>
      </c>
      <c r="R3301">
        <v>3</v>
      </c>
      <c r="S3301" t="s">
        <v>95</v>
      </c>
      <c r="T3301" s="4">
        <f t="shared" si="259"/>
        <v>252372.06</v>
      </c>
      <c r="U3301" s="4" t="str">
        <f t="shared" si="260"/>
        <v>Average</v>
      </c>
      <c r="V3301" s="4" t="str">
        <f t="shared" si="256"/>
        <v>Excellent</v>
      </c>
      <c r="W3301" s="4"/>
      <c r="X3301" s="4"/>
      <c r="AJ3301" s="4"/>
    </row>
    <row r="3302" spans="1:36">
      <c r="A3302" t="str">
        <f t="shared" si="257"/>
        <v>Pank353301</v>
      </c>
      <c r="B3302">
        <v>3301</v>
      </c>
      <c r="C3302">
        <v>7</v>
      </c>
      <c r="D3302">
        <v>5</v>
      </c>
      <c r="E3302">
        <v>2024</v>
      </c>
      <c r="F3302" s="1">
        <f t="shared" si="258"/>
        <v>45419</v>
      </c>
      <c r="G3302" s="1" t="s">
        <v>592</v>
      </c>
      <c r="H3302" s="2">
        <v>47778</v>
      </c>
      <c r="I3302" t="s">
        <v>19</v>
      </c>
      <c r="J3302">
        <v>9</v>
      </c>
      <c r="K3302">
        <v>43044.6</v>
      </c>
      <c r="L3302" t="s">
        <v>473</v>
      </c>
      <c r="M3302">
        <v>35</v>
      </c>
      <c r="N3302" t="s">
        <v>21</v>
      </c>
      <c r="O3302" s="3" t="s">
        <v>55</v>
      </c>
      <c r="P3302" t="s">
        <v>29</v>
      </c>
      <c r="Q3302" t="s">
        <v>41</v>
      </c>
      <c r="R3302">
        <v>2</v>
      </c>
      <c r="S3302" t="s">
        <v>25</v>
      </c>
      <c r="T3302" s="4">
        <f t="shared" si="259"/>
        <v>387401.39999999997</v>
      </c>
      <c r="U3302" s="4" t="str">
        <f t="shared" si="260"/>
        <v>Average</v>
      </c>
      <c r="V3302" s="4" t="str">
        <f t="shared" si="256"/>
        <v>Excellent</v>
      </c>
      <c r="W3302" s="4"/>
      <c r="X3302" s="4"/>
      <c r="AJ3302" s="4"/>
    </row>
    <row r="3303" spans="1:36">
      <c r="A3303" t="str">
        <f t="shared" si="257"/>
        <v>Anja193302</v>
      </c>
      <c r="B3303">
        <v>3302</v>
      </c>
      <c r="C3303">
        <v>7</v>
      </c>
      <c r="D3303">
        <v>5</v>
      </c>
      <c r="E3303">
        <v>2024</v>
      </c>
      <c r="F3303" s="1">
        <f t="shared" si="258"/>
        <v>45419</v>
      </c>
      <c r="G3303" s="1" t="s">
        <v>592</v>
      </c>
      <c r="H3303" s="2">
        <v>47779</v>
      </c>
      <c r="I3303" t="s">
        <v>26</v>
      </c>
      <c r="J3303">
        <v>1</v>
      </c>
      <c r="K3303">
        <v>27405.54</v>
      </c>
      <c r="L3303" t="s">
        <v>280</v>
      </c>
      <c r="M3303">
        <v>19</v>
      </c>
      <c r="N3303" t="s">
        <v>36</v>
      </c>
      <c r="O3303" s="3" t="s">
        <v>55</v>
      </c>
      <c r="P3303" t="s">
        <v>59</v>
      </c>
      <c r="Q3303" t="s">
        <v>30</v>
      </c>
      <c r="R3303">
        <v>2</v>
      </c>
      <c r="S3303" t="s">
        <v>67</v>
      </c>
      <c r="T3303" s="4">
        <f t="shared" si="259"/>
        <v>27405.54</v>
      </c>
      <c r="U3303" s="4" t="str">
        <f t="shared" si="260"/>
        <v>Average</v>
      </c>
      <c r="V3303" s="4" t="str">
        <f t="shared" si="256"/>
        <v>Low</v>
      </c>
      <c r="W3303" s="4"/>
      <c r="X3303" s="4"/>
      <c r="AJ3303" s="4"/>
    </row>
    <row r="3304" spans="1:36">
      <c r="A3304" t="str">
        <f t="shared" si="257"/>
        <v>Moni333303</v>
      </c>
      <c r="B3304">
        <v>3303</v>
      </c>
      <c r="C3304">
        <v>7</v>
      </c>
      <c r="D3304">
        <v>5</v>
      </c>
      <c r="E3304">
        <v>2024</v>
      </c>
      <c r="F3304" s="1">
        <f t="shared" si="258"/>
        <v>45419</v>
      </c>
      <c r="G3304" s="1" t="s">
        <v>592</v>
      </c>
      <c r="H3304" s="2">
        <v>47780</v>
      </c>
      <c r="I3304" t="s">
        <v>49</v>
      </c>
      <c r="J3304">
        <v>1</v>
      </c>
      <c r="K3304">
        <v>46806.73</v>
      </c>
      <c r="L3304" t="s">
        <v>307</v>
      </c>
      <c r="M3304">
        <v>33</v>
      </c>
      <c r="N3304" t="s">
        <v>21</v>
      </c>
      <c r="O3304" s="3" t="s">
        <v>28</v>
      </c>
      <c r="P3304" t="s">
        <v>40</v>
      </c>
      <c r="Q3304" t="s">
        <v>41</v>
      </c>
      <c r="R3304">
        <v>3</v>
      </c>
      <c r="S3304" t="s">
        <v>88</v>
      </c>
      <c r="T3304" s="4">
        <f t="shared" si="259"/>
        <v>46806.73</v>
      </c>
      <c r="U3304" s="4" t="str">
        <f t="shared" si="260"/>
        <v>Average</v>
      </c>
      <c r="V3304" s="4" t="str">
        <f t="shared" si="256"/>
        <v>Low</v>
      </c>
      <c r="W3304" s="4"/>
      <c r="X3304" s="4"/>
      <c r="AJ3304" s="4"/>
    </row>
    <row r="3305" spans="1:36">
      <c r="A3305" t="str">
        <f t="shared" si="257"/>
        <v>Meen463304</v>
      </c>
      <c r="B3305">
        <v>3304</v>
      </c>
      <c r="C3305">
        <v>8</v>
      </c>
      <c r="D3305">
        <v>5</v>
      </c>
      <c r="E3305">
        <v>2024</v>
      </c>
      <c r="F3305" s="1">
        <f t="shared" si="258"/>
        <v>45420</v>
      </c>
      <c r="G3305" s="1" t="s">
        <v>592</v>
      </c>
      <c r="H3305" s="2">
        <v>47781</v>
      </c>
      <c r="I3305" t="s">
        <v>19</v>
      </c>
      <c r="J3305">
        <v>3</v>
      </c>
      <c r="K3305">
        <v>31228.17</v>
      </c>
      <c r="L3305" t="s">
        <v>1054</v>
      </c>
      <c r="M3305">
        <v>46</v>
      </c>
      <c r="N3305" t="s">
        <v>61</v>
      </c>
      <c r="O3305" s="3" t="s">
        <v>22</v>
      </c>
      <c r="P3305" t="s">
        <v>77</v>
      </c>
      <c r="Q3305" t="s">
        <v>24</v>
      </c>
      <c r="R3305">
        <v>4</v>
      </c>
      <c r="S3305" t="s">
        <v>37</v>
      </c>
      <c r="T3305" s="4">
        <f t="shared" si="259"/>
        <v>93684.51</v>
      </c>
      <c r="U3305" s="4" t="str">
        <f t="shared" si="260"/>
        <v>Good</v>
      </c>
      <c r="V3305" s="4" t="str">
        <f t="shared" si="256"/>
        <v>Average</v>
      </c>
      <c r="W3305" s="4"/>
      <c r="X3305" s="4"/>
      <c r="AJ3305" s="4"/>
    </row>
    <row r="3306" spans="1:36">
      <c r="A3306" t="str">
        <f t="shared" si="257"/>
        <v>Sach503305</v>
      </c>
      <c r="B3306">
        <v>3305</v>
      </c>
      <c r="C3306">
        <v>8</v>
      </c>
      <c r="D3306">
        <v>5</v>
      </c>
      <c r="E3306">
        <v>2024</v>
      </c>
      <c r="F3306" s="1">
        <f t="shared" si="258"/>
        <v>45420</v>
      </c>
      <c r="G3306" s="1" t="s">
        <v>592</v>
      </c>
      <c r="H3306" s="2">
        <v>47782</v>
      </c>
      <c r="I3306" t="s">
        <v>49</v>
      </c>
      <c r="J3306">
        <v>6</v>
      </c>
      <c r="K3306">
        <v>30016.89</v>
      </c>
      <c r="L3306" t="s">
        <v>476</v>
      </c>
      <c r="M3306">
        <v>50</v>
      </c>
      <c r="N3306" t="s">
        <v>61</v>
      </c>
      <c r="O3306" s="3" t="s">
        <v>55</v>
      </c>
      <c r="P3306" t="s">
        <v>45</v>
      </c>
      <c r="Q3306" t="s">
        <v>41</v>
      </c>
      <c r="R3306">
        <v>2</v>
      </c>
      <c r="S3306" t="s">
        <v>102</v>
      </c>
      <c r="T3306" s="4">
        <f t="shared" si="259"/>
        <v>180101.34</v>
      </c>
      <c r="U3306" s="4" t="str">
        <f t="shared" si="260"/>
        <v>Average</v>
      </c>
      <c r="V3306" s="4" t="str">
        <f t="shared" si="256"/>
        <v>Good</v>
      </c>
      <c r="W3306" s="4"/>
      <c r="X3306" s="4"/>
      <c r="AJ3306" s="4"/>
    </row>
    <row r="3307" spans="1:36">
      <c r="A3307" t="str">
        <f t="shared" si="257"/>
        <v>Sanj333306</v>
      </c>
      <c r="B3307">
        <v>3306</v>
      </c>
      <c r="C3307">
        <v>8</v>
      </c>
      <c r="D3307">
        <v>5</v>
      </c>
      <c r="E3307">
        <v>2024</v>
      </c>
      <c r="F3307" s="1">
        <f t="shared" si="258"/>
        <v>45420</v>
      </c>
      <c r="G3307" s="1" t="s">
        <v>592</v>
      </c>
      <c r="H3307" s="2">
        <v>47783</v>
      </c>
      <c r="I3307" t="s">
        <v>19</v>
      </c>
      <c r="J3307">
        <v>2</v>
      </c>
      <c r="K3307">
        <v>12276.3</v>
      </c>
      <c r="L3307" t="s">
        <v>543</v>
      </c>
      <c r="M3307">
        <v>33</v>
      </c>
      <c r="N3307" t="s">
        <v>21</v>
      </c>
      <c r="O3307" s="3" t="s">
        <v>22</v>
      </c>
      <c r="P3307" t="s">
        <v>29</v>
      </c>
      <c r="Q3307" t="s">
        <v>41</v>
      </c>
      <c r="R3307">
        <v>5</v>
      </c>
      <c r="S3307" t="s">
        <v>37</v>
      </c>
      <c r="T3307" s="4">
        <f t="shared" si="259"/>
        <v>24552.6</v>
      </c>
      <c r="U3307" s="4" t="str">
        <f t="shared" si="260"/>
        <v>Good</v>
      </c>
      <c r="V3307" s="4" t="str">
        <f t="shared" si="256"/>
        <v>Low</v>
      </c>
      <c r="W3307" s="4"/>
      <c r="X3307" s="4"/>
      <c r="AJ3307" s="4"/>
    </row>
    <row r="3308" spans="1:36">
      <c r="A3308" t="str">
        <f t="shared" si="257"/>
        <v>Vive523307</v>
      </c>
      <c r="B3308">
        <v>3307</v>
      </c>
      <c r="C3308">
        <v>8</v>
      </c>
      <c r="D3308">
        <v>5</v>
      </c>
      <c r="E3308">
        <v>2024</v>
      </c>
      <c r="F3308" s="1">
        <f t="shared" si="258"/>
        <v>45420</v>
      </c>
      <c r="G3308" s="1" t="s">
        <v>592</v>
      </c>
      <c r="H3308" s="2">
        <v>47784</v>
      </c>
      <c r="I3308" t="s">
        <v>26</v>
      </c>
      <c r="J3308">
        <v>1</v>
      </c>
      <c r="K3308">
        <v>18817.62</v>
      </c>
      <c r="L3308" t="s">
        <v>1055</v>
      </c>
      <c r="M3308">
        <v>52</v>
      </c>
      <c r="N3308" t="s">
        <v>61</v>
      </c>
      <c r="O3308" s="3" t="s">
        <v>55</v>
      </c>
      <c r="P3308" t="s">
        <v>45</v>
      </c>
      <c r="Q3308" t="s">
        <v>30</v>
      </c>
      <c r="R3308">
        <v>1</v>
      </c>
      <c r="S3308" t="s">
        <v>67</v>
      </c>
      <c r="T3308" s="4">
        <f t="shared" si="259"/>
        <v>18817.62</v>
      </c>
      <c r="U3308" s="4" t="str">
        <f t="shared" si="260"/>
        <v>Average</v>
      </c>
      <c r="V3308" s="4" t="str">
        <f t="shared" si="256"/>
        <v>Low</v>
      </c>
      <c r="W3308" s="4"/>
      <c r="X3308" s="4"/>
      <c r="AJ3308" s="4"/>
    </row>
    <row r="3309" spans="1:36">
      <c r="A3309" t="str">
        <f t="shared" si="257"/>
        <v>Anja593308</v>
      </c>
      <c r="B3309">
        <v>3308</v>
      </c>
      <c r="C3309">
        <v>9</v>
      </c>
      <c r="D3309">
        <v>5</v>
      </c>
      <c r="E3309">
        <v>2024</v>
      </c>
      <c r="F3309" s="1">
        <f t="shared" si="258"/>
        <v>45421</v>
      </c>
      <c r="G3309" s="1" t="s">
        <v>592</v>
      </c>
      <c r="H3309" s="2">
        <v>47785</v>
      </c>
      <c r="I3309" t="s">
        <v>26</v>
      </c>
      <c r="J3309">
        <v>1</v>
      </c>
      <c r="K3309">
        <v>65024.69</v>
      </c>
      <c r="L3309" t="s">
        <v>231</v>
      </c>
      <c r="M3309">
        <v>59</v>
      </c>
      <c r="N3309" t="s">
        <v>61</v>
      </c>
      <c r="O3309" s="3" t="s">
        <v>22</v>
      </c>
      <c r="P3309" t="s">
        <v>77</v>
      </c>
      <c r="Q3309" t="s">
        <v>24</v>
      </c>
      <c r="R3309">
        <v>4</v>
      </c>
      <c r="S3309" t="s">
        <v>31</v>
      </c>
      <c r="T3309" s="4">
        <f t="shared" si="259"/>
        <v>65024.69</v>
      </c>
      <c r="U3309" s="4" t="str">
        <f t="shared" si="260"/>
        <v>Good</v>
      </c>
      <c r="V3309" s="4" t="str">
        <f t="shared" si="256"/>
        <v>Average</v>
      </c>
      <c r="W3309" s="4"/>
      <c r="X3309" s="4"/>
      <c r="AJ3309" s="4"/>
    </row>
    <row r="3310" spans="1:36">
      <c r="A3310" t="str">
        <f t="shared" si="257"/>
        <v>Bhav343309</v>
      </c>
      <c r="B3310">
        <v>3309</v>
      </c>
      <c r="C3310">
        <v>9</v>
      </c>
      <c r="D3310">
        <v>5</v>
      </c>
      <c r="E3310">
        <v>2024</v>
      </c>
      <c r="F3310" s="1">
        <f t="shared" si="258"/>
        <v>45421</v>
      </c>
      <c r="G3310" s="1" t="s">
        <v>592</v>
      </c>
      <c r="H3310" s="2">
        <v>47786</v>
      </c>
      <c r="I3310" t="s">
        <v>38</v>
      </c>
      <c r="J3310">
        <v>5</v>
      </c>
      <c r="K3310">
        <v>69896.649999999994</v>
      </c>
      <c r="L3310" t="s">
        <v>355</v>
      </c>
      <c r="M3310">
        <v>34</v>
      </c>
      <c r="N3310" t="s">
        <v>21</v>
      </c>
      <c r="O3310" s="3" t="s">
        <v>22</v>
      </c>
      <c r="P3310" t="s">
        <v>29</v>
      </c>
      <c r="Q3310" t="s">
        <v>56</v>
      </c>
      <c r="R3310">
        <v>5</v>
      </c>
      <c r="S3310" t="s">
        <v>42</v>
      </c>
      <c r="T3310" s="4">
        <f t="shared" si="259"/>
        <v>349483.25</v>
      </c>
      <c r="U3310" s="4" t="str">
        <f t="shared" si="260"/>
        <v>Good</v>
      </c>
      <c r="V3310" s="4" t="str">
        <f t="shared" si="256"/>
        <v>Excellent</v>
      </c>
      <c r="W3310" s="4"/>
      <c r="X3310" s="4"/>
      <c r="AJ3310" s="4"/>
    </row>
    <row r="3311" spans="1:36">
      <c r="A3311" t="str">
        <f t="shared" si="257"/>
        <v>Radh213310</v>
      </c>
      <c r="B3311">
        <v>3310</v>
      </c>
      <c r="C3311">
        <v>9</v>
      </c>
      <c r="D3311">
        <v>5</v>
      </c>
      <c r="E3311">
        <v>2024</v>
      </c>
      <c r="F3311" s="1">
        <f t="shared" si="258"/>
        <v>45421</v>
      </c>
      <c r="G3311" s="1" t="s">
        <v>592</v>
      </c>
      <c r="H3311" s="2">
        <v>47787</v>
      </c>
      <c r="I3311" t="s">
        <v>19</v>
      </c>
      <c r="J3311">
        <v>4</v>
      </c>
      <c r="K3311">
        <v>56831.23</v>
      </c>
      <c r="L3311" t="s">
        <v>58</v>
      </c>
      <c r="M3311">
        <v>21</v>
      </c>
      <c r="N3311" t="s">
        <v>36</v>
      </c>
      <c r="O3311" s="3" t="s">
        <v>55</v>
      </c>
      <c r="P3311" t="s">
        <v>150</v>
      </c>
      <c r="Q3311" t="s">
        <v>56</v>
      </c>
      <c r="R3311">
        <v>1</v>
      </c>
      <c r="S3311" t="s">
        <v>25</v>
      </c>
      <c r="T3311" s="4">
        <f t="shared" si="259"/>
        <v>227324.92</v>
      </c>
      <c r="U3311" s="4" t="str">
        <f t="shared" si="260"/>
        <v>Average</v>
      </c>
      <c r="V3311" s="4" t="str">
        <f t="shared" si="256"/>
        <v>Excellent</v>
      </c>
      <c r="W3311" s="4"/>
      <c r="X3311" s="4"/>
      <c r="AJ3311" s="4"/>
    </row>
    <row r="3312" spans="1:36">
      <c r="A3312" t="str">
        <f t="shared" si="257"/>
        <v>Yoge213311</v>
      </c>
      <c r="B3312">
        <v>3311</v>
      </c>
      <c r="C3312">
        <v>10</v>
      </c>
      <c r="D3312">
        <v>5</v>
      </c>
      <c r="E3312">
        <v>2024</v>
      </c>
      <c r="F3312" s="1">
        <f t="shared" si="258"/>
        <v>45422</v>
      </c>
      <c r="G3312" s="1" t="s">
        <v>592</v>
      </c>
      <c r="H3312" s="2">
        <v>47788</v>
      </c>
      <c r="I3312" t="s">
        <v>38</v>
      </c>
      <c r="J3312">
        <v>1</v>
      </c>
      <c r="K3312">
        <v>27208.76</v>
      </c>
      <c r="L3312" t="s">
        <v>1056</v>
      </c>
      <c r="M3312">
        <v>21</v>
      </c>
      <c r="N3312" t="s">
        <v>36</v>
      </c>
      <c r="O3312" s="3" t="s">
        <v>22</v>
      </c>
      <c r="P3312" t="s">
        <v>33</v>
      </c>
      <c r="Q3312" t="s">
        <v>41</v>
      </c>
      <c r="R3312">
        <v>5</v>
      </c>
      <c r="S3312" t="s">
        <v>99</v>
      </c>
      <c r="T3312" s="4">
        <f t="shared" si="259"/>
        <v>27208.76</v>
      </c>
      <c r="U3312" s="4" t="str">
        <f t="shared" si="260"/>
        <v>Good</v>
      </c>
      <c r="V3312" s="4" t="str">
        <f t="shared" si="256"/>
        <v>Low</v>
      </c>
      <c r="W3312" s="4"/>
      <c r="X3312" s="4"/>
      <c r="AJ3312" s="4"/>
    </row>
    <row r="3313" spans="1:36">
      <c r="A3313" t="str">
        <f t="shared" si="257"/>
        <v>Tapa423312</v>
      </c>
      <c r="B3313">
        <v>3312</v>
      </c>
      <c r="C3313">
        <v>10</v>
      </c>
      <c r="D3313">
        <v>5</v>
      </c>
      <c r="E3313">
        <v>2024</v>
      </c>
      <c r="F3313" s="1">
        <f t="shared" si="258"/>
        <v>45422</v>
      </c>
      <c r="G3313" s="1" t="s">
        <v>592</v>
      </c>
      <c r="H3313" s="2">
        <v>47789</v>
      </c>
      <c r="I3313" t="s">
        <v>19</v>
      </c>
      <c r="J3313">
        <v>4</v>
      </c>
      <c r="K3313">
        <v>34146.71</v>
      </c>
      <c r="L3313" t="s">
        <v>847</v>
      </c>
      <c r="M3313">
        <v>42</v>
      </c>
      <c r="N3313" t="s">
        <v>21</v>
      </c>
      <c r="O3313" s="3" t="s">
        <v>22</v>
      </c>
      <c r="P3313" t="s">
        <v>23</v>
      </c>
      <c r="Q3313" t="s">
        <v>30</v>
      </c>
      <c r="R3313">
        <v>4</v>
      </c>
      <c r="S3313" t="s">
        <v>37</v>
      </c>
      <c r="T3313" s="4">
        <f t="shared" si="259"/>
        <v>136586.84</v>
      </c>
      <c r="U3313" s="4" t="str">
        <f t="shared" si="260"/>
        <v>Good</v>
      </c>
      <c r="V3313" s="4" t="str">
        <f t="shared" si="256"/>
        <v>Good</v>
      </c>
      <c r="W3313" s="4"/>
      <c r="X3313" s="4"/>
      <c r="AJ3313" s="4"/>
    </row>
    <row r="3314" spans="1:36">
      <c r="A3314" t="str">
        <f t="shared" si="257"/>
        <v>Mano503313</v>
      </c>
      <c r="B3314">
        <v>3313</v>
      </c>
      <c r="C3314">
        <v>10</v>
      </c>
      <c r="D3314">
        <v>5</v>
      </c>
      <c r="E3314">
        <v>2024</v>
      </c>
      <c r="F3314" s="1">
        <f t="shared" si="258"/>
        <v>45422</v>
      </c>
      <c r="G3314" s="1" t="s">
        <v>592</v>
      </c>
      <c r="H3314" s="2">
        <v>47790</v>
      </c>
      <c r="I3314" t="s">
        <v>38</v>
      </c>
      <c r="J3314">
        <v>3</v>
      </c>
      <c r="K3314">
        <v>54370.21</v>
      </c>
      <c r="L3314" t="s">
        <v>357</v>
      </c>
      <c r="M3314">
        <v>50</v>
      </c>
      <c r="N3314" t="s">
        <v>61</v>
      </c>
      <c r="O3314" s="3" t="s">
        <v>28</v>
      </c>
      <c r="P3314" t="s">
        <v>33</v>
      </c>
      <c r="Q3314" t="s">
        <v>24</v>
      </c>
      <c r="R3314">
        <v>3</v>
      </c>
      <c r="S3314" t="s">
        <v>99</v>
      </c>
      <c r="T3314" s="4">
        <f t="shared" si="259"/>
        <v>163110.63</v>
      </c>
      <c r="U3314" s="4" t="str">
        <f t="shared" si="260"/>
        <v>Average</v>
      </c>
      <c r="V3314" s="4" t="str">
        <f t="shared" si="256"/>
        <v>Good</v>
      </c>
      <c r="W3314" s="4"/>
      <c r="X3314" s="4"/>
      <c r="AJ3314" s="4"/>
    </row>
    <row r="3315" spans="1:36">
      <c r="A3315" t="str">
        <f t="shared" si="257"/>
        <v>Nami313314</v>
      </c>
      <c r="B3315">
        <v>3314</v>
      </c>
      <c r="C3315">
        <v>11</v>
      </c>
      <c r="D3315">
        <v>5</v>
      </c>
      <c r="E3315">
        <v>2024</v>
      </c>
      <c r="F3315" s="1">
        <f t="shared" si="258"/>
        <v>45423</v>
      </c>
      <c r="G3315" s="1" t="s">
        <v>592</v>
      </c>
      <c r="H3315" s="2">
        <v>47791</v>
      </c>
      <c r="I3315" t="s">
        <v>26</v>
      </c>
      <c r="J3315">
        <v>2</v>
      </c>
      <c r="K3315">
        <v>68110.81</v>
      </c>
      <c r="L3315" t="s">
        <v>697</v>
      </c>
      <c r="M3315">
        <v>31</v>
      </c>
      <c r="N3315" t="s">
        <v>21</v>
      </c>
      <c r="O3315" s="3" t="s">
        <v>55</v>
      </c>
      <c r="P3315" t="s">
        <v>33</v>
      </c>
      <c r="Q3315" t="s">
        <v>30</v>
      </c>
      <c r="R3315">
        <v>1</v>
      </c>
      <c r="S3315" t="s">
        <v>34</v>
      </c>
      <c r="T3315" s="4">
        <f t="shared" si="259"/>
        <v>136221.62</v>
      </c>
      <c r="U3315" s="4" t="str">
        <f t="shared" si="260"/>
        <v>Average</v>
      </c>
      <c r="V3315" s="4" t="str">
        <f t="shared" si="256"/>
        <v>Good</v>
      </c>
      <c r="W3315" s="4"/>
      <c r="X3315" s="4"/>
      <c r="AJ3315" s="4"/>
    </row>
    <row r="3316" spans="1:36">
      <c r="A3316" t="str">
        <f t="shared" si="257"/>
        <v>Hari413315</v>
      </c>
      <c r="B3316">
        <v>3315</v>
      </c>
      <c r="C3316">
        <v>11</v>
      </c>
      <c r="D3316">
        <v>5</v>
      </c>
      <c r="E3316">
        <v>2024</v>
      </c>
      <c r="F3316" s="1">
        <f t="shared" si="258"/>
        <v>45423</v>
      </c>
      <c r="G3316" s="1" t="s">
        <v>592</v>
      </c>
      <c r="H3316" s="2">
        <v>47792</v>
      </c>
      <c r="I3316" t="s">
        <v>49</v>
      </c>
      <c r="J3316">
        <v>9</v>
      </c>
      <c r="K3316">
        <v>37328.269999999997</v>
      </c>
      <c r="L3316" t="s">
        <v>655</v>
      </c>
      <c r="M3316">
        <v>41</v>
      </c>
      <c r="N3316" t="s">
        <v>21</v>
      </c>
      <c r="O3316" s="3" t="s">
        <v>22</v>
      </c>
      <c r="P3316" t="s">
        <v>137</v>
      </c>
      <c r="Q3316" t="s">
        <v>24</v>
      </c>
      <c r="R3316">
        <v>5</v>
      </c>
      <c r="S3316" t="s">
        <v>52</v>
      </c>
      <c r="T3316" s="4">
        <f t="shared" si="259"/>
        <v>335954.43</v>
      </c>
      <c r="U3316" s="4" t="str">
        <f t="shared" si="260"/>
        <v>Good</v>
      </c>
      <c r="V3316" s="4" t="str">
        <f t="shared" si="256"/>
        <v>Excellent</v>
      </c>
      <c r="W3316" s="4"/>
      <c r="X3316" s="4"/>
      <c r="AJ3316" s="4"/>
    </row>
    <row r="3317" spans="1:36">
      <c r="A3317" t="str">
        <f t="shared" si="257"/>
        <v>Pank283316</v>
      </c>
      <c r="B3317">
        <v>3316</v>
      </c>
      <c r="C3317">
        <v>11</v>
      </c>
      <c r="D3317">
        <v>5</v>
      </c>
      <c r="E3317">
        <v>2024</v>
      </c>
      <c r="F3317" s="1">
        <f t="shared" si="258"/>
        <v>45423</v>
      </c>
      <c r="G3317" s="1" t="s">
        <v>592</v>
      </c>
      <c r="H3317" s="2">
        <v>47793</v>
      </c>
      <c r="I3317" t="s">
        <v>38</v>
      </c>
      <c r="J3317">
        <v>1</v>
      </c>
      <c r="K3317">
        <v>59771.34</v>
      </c>
      <c r="L3317" t="s">
        <v>796</v>
      </c>
      <c r="M3317">
        <v>28</v>
      </c>
      <c r="N3317" t="s">
        <v>36</v>
      </c>
      <c r="O3317" s="3" t="s">
        <v>22</v>
      </c>
      <c r="P3317" t="s">
        <v>51</v>
      </c>
      <c r="Q3317" t="s">
        <v>30</v>
      </c>
      <c r="R3317">
        <v>5</v>
      </c>
      <c r="S3317" t="s">
        <v>48</v>
      </c>
      <c r="T3317" s="4">
        <f t="shared" si="259"/>
        <v>59771.34</v>
      </c>
      <c r="U3317" s="4" t="str">
        <f t="shared" si="260"/>
        <v>Good</v>
      </c>
      <c r="V3317" s="4" t="str">
        <f t="shared" si="256"/>
        <v>Average</v>
      </c>
      <c r="W3317" s="4"/>
      <c r="X3317" s="4"/>
      <c r="AJ3317" s="4"/>
    </row>
    <row r="3318" spans="1:36">
      <c r="A3318" t="str">
        <f t="shared" si="257"/>
        <v>Adit423317</v>
      </c>
      <c r="B3318">
        <v>3317</v>
      </c>
      <c r="C3318">
        <v>12</v>
      </c>
      <c r="D3318">
        <v>5</v>
      </c>
      <c r="E3318">
        <v>2024</v>
      </c>
      <c r="F3318" s="1">
        <f t="shared" si="258"/>
        <v>45424</v>
      </c>
      <c r="G3318" s="1" t="s">
        <v>592</v>
      </c>
      <c r="H3318" s="2">
        <v>47794</v>
      </c>
      <c r="I3318" t="s">
        <v>19</v>
      </c>
      <c r="J3318">
        <v>7</v>
      </c>
      <c r="K3318">
        <v>68504.14</v>
      </c>
      <c r="L3318" t="s">
        <v>406</v>
      </c>
      <c r="M3318">
        <v>42</v>
      </c>
      <c r="N3318" t="s">
        <v>21</v>
      </c>
      <c r="O3318" s="3" t="s">
        <v>22</v>
      </c>
      <c r="P3318" t="s">
        <v>29</v>
      </c>
      <c r="Q3318" t="s">
        <v>56</v>
      </c>
      <c r="R3318">
        <v>4</v>
      </c>
      <c r="S3318" t="s">
        <v>37</v>
      </c>
      <c r="T3318" s="4">
        <f t="shared" si="259"/>
        <v>479528.98</v>
      </c>
      <c r="U3318" s="4" t="str">
        <f t="shared" si="260"/>
        <v>Good</v>
      </c>
      <c r="V3318" s="4" t="str">
        <f t="shared" si="256"/>
        <v>Excellent</v>
      </c>
      <c r="W3318" s="4"/>
      <c r="X3318" s="4"/>
      <c r="AJ3318" s="4"/>
    </row>
    <row r="3319" spans="1:36">
      <c r="A3319" t="str">
        <f t="shared" si="257"/>
        <v>Vija453318</v>
      </c>
      <c r="B3319">
        <v>3318</v>
      </c>
      <c r="C3319">
        <v>12</v>
      </c>
      <c r="D3319">
        <v>5</v>
      </c>
      <c r="E3319">
        <v>2024</v>
      </c>
      <c r="F3319" s="1">
        <f t="shared" si="258"/>
        <v>45424</v>
      </c>
      <c r="G3319" s="1" t="s">
        <v>592</v>
      </c>
      <c r="H3319" s="2">
        <v>47795</v>
      </c>
      <c r="I3319" t="s">
        <v>19</v>
      </c>
      <c r="J3319">
        <v>4</v>
      </c>
      <c r="K3319">
        <v>62408.39</v>
      </c>
      <c r="L3319" t="s">
        <v>290</v>
      </c>
      <c r="M3319">
        <v>45</v>
      </c>
      <c r="N3319" t="s">
        <v>21</v>
      </c>
      <c r="O3319" s="3" t="s">
        <v>22</v>
      </c>
      <c r="P3319" t="s">
        <v>29</v>
      </c>
      <c r="Q3319" t="s">
        <v>56</v>
      </c>
      <c r="R3319">
        <v>4</v>
      </c>
      <c r="S3319" t="s">
        <v>84</v>
      </c>
      <c r="T3319" s="4">
        <f t="shared" si="259"/>
        <v>249633.56</v>
      </c>
      <c r="U3319" s="4" t="str">
        <f t="shared" si="260"/>
        <v>Good</v>
      </c>
      <c r="V3319" s="4" t="str">
        <f t="shared" si="256"/>
        <v>Excellent</v>
      </c>
      <c r="W3319" s="4"/>
      <c r="X3319" s="4"/>
      <c r="AJ3319" s="4"/>
    </row>
    <row r="3320" spans="1:36">
      <c r="A3320" t="str">
        <f t="shared" si="257"/>
        <v>Arun243319</v>
      </c>
      <c r="B3320">
        <v>3319</v>
      </c>
      <c r="C3320">
        <v>12</v>
      </c>
      <c r="D3320">
        <v>5</v>
      </c>
      <c r="E3320">
        <v>2024</v>
      </c>
      <c r="F3320" s="1">
        <f t="shared" si="258"/>
        <v>45424</v>
      </c>
      <c r="G3320" s="1" t="s">
        <v>592</v>
      </c>
      <c r="H3320" s="2">
        <v>47796</v>
      </c>
      <c r="I3320" t="s">
        <v>26</v>
      </c>
      <c r="J3320">
        <v>5</v>
      </c>
      <c r="K3320">
        <v>23628.98</v>
      </c>
      <c r="L3320" t="s">
        <v>909</v>
      </c>
      <c r="M3320">
        <v>24</v>
      </c>
      <c r="N3320" t="s">
        <v>36</v>
      </c>
      <c r="O3320" s="3" t="s">
        <v>22</v>
      </c>
      <c r="P3320" t="s">
        <v>40</v>
      </c>
      <c r="Q3320" t="s">
        <v>56</v>
      </c>
      <c r="R3320">
        <v>4</v>
      </c>
      <c r="S3320" t="s">
        <v>34</v>
      </c>
      <c r="T3320" s="4">
        <f t="shared" si="259"/>
        <v>118144.9</v>
      </c>
      <c r="U3320" s="4" t="str">
        <f t="shared" si="260"/>
        <v>Good</v>
      </c>
      <c r="V3320" s="4" t="str">
        <f t="shared" si="256"/>
        <v>Good</v>
      </c>
      <c r="W3320" s="4"/>
      <c r="X3320" s="4"/>
      <c r="AJ3320" s="4"/>
    </row>
    <row r="3321" spans="1:36">
      <c r="A3321" t="str">
        <f t="shared" si="257"/>
        <v>Tapa533320</v>
      </c>
      <c r="B3321">
        <v>3320</v>
      </c>
      <c r="C3321">
        <v>13</v>
      </c>
      <c r="D3321">
        <v>5</v>
      </c>
      <c r="E3321">
        <v>2024</v>
      </c>
      <c r="F3321" s="1">
        <f t="shared" si="258"/>
        <v>45425</v>
      </c>
      <c r="G3321" s="1" t="s">
        <v>592</v>
      </c>
      <c r="H3321" s="2">
        <v>47797</v>
      </c>
      <c r="I3321" t="s">
        <v>19</v>
      </c>
      <c r="J3321">
        <v>5</v>
      </c>
      <c r="K3321">
        <v>10481.91</v>
      </c>
      <c r="L3321" t="s">
        <v>304</v>
      </c>
      <c r="M3321">
        <v>53</v>
      </c>
      <c r="N3321" t="s">
        <v>61</v>
      </c>
      <c r="O3321" s="3" t="s">
        <v>28</v>
      </c>
      <c r="P3321" t="s">
        <v>33</v>
      </c>
      <c r="Q3321" t="s">
        <v>30</v>
      </c>
      <c r="R3321">
        <v>3</v>
      </c>
      <c r="S3321" t="s">
        <v>37</v>
      </c>
      <c r="T3321" s="4">
        <f t="shared" si="259"/>
        <v>52409.55</v>
      </c>
      <c r="U3321" s="4" t="str">
        <f t="shared" si="260"/>
        <v>Average</v>
      </c>
      <c r="V3321" s="4" t="str">
        <f t="shared" si="256"/>
        <v>Average</v>
      </c>
      <c r="W3321" s="4"/>
      <c r="X3321" s="4"/>
      <c r="AJ3321" s="4"/>
    </row>
    <row r="3322" spans="1:36">
      <c r="A3322" t="str">
        <f t="shared" si="257"/>
        <v>Sumi273321</v>
      </c>
      <c r="B3322">
        <v>3321</v>
      </c>
      <c r="C3322">
        <v>13</v>
      </c>
      <c r="D3322">
        <v>5</v>
      </c>
      <c r="E3322">
        <v>2024</v>
      </c>
      <c r="F3322" s="1">
        <f t="shared" si="258"/>
        <v>45425</v>
      </c>
      <c r="G3322" s="1" t="s">
        <v>592</v>
      </c>
      <c r="H3322" s="2">
        <v>47798</v>
      </c>
      <c r="I3322" t="s">
        <v>43</v>
      </c>
      <c r="J3322">
        <v>1</v>
      </c>
      <c r="K3322">
        <v>39524.9</v>
      </c>
      <c r="L3322" t="s">
        <v>156</v>
      </c>
      <c r="M3322">
        <v>27</v>
      </c>
      <c r="N3322" t="s">
        <v>36</v>
      </c>
      <c r="O3322" s="3" t="s">
        <v>55</v>
      </c>
      <c r="P3322" t="s">
        <v>77</v>
      </c>
      <c r="Q3322" t="s">
        <v>30</v>
      </c>
      <c r="R3322">
        <v>2</v>
      </c>
      <c r="S3322" t="s">
        <v>46</v>
      </c>
      <c r="T3322" s="4">
        <f t="shared" si="259"/>
        <v>39524.9</v>
      </c>
      <c r="U3322" s="4" t="str">
        <f t="shared" si="260"/>
        <v>Average</v>
      </c>
      <c r="V3322" s="4" t="str">
        <f t="shared" si="256"/>
        <v>Low</v>
      </c>
      <c r="W3322" s="4"/>
      <c r="X3322" s="4"/>
      <c r="AJ3322" s="4"/>
    </row>
    <row r="3323" spans="1:36">
      <c r="A3323" t="str">
        <f t="shared" si="257"/>
        <v>Anit533322</v>
      </c>
      <c r="B3323">
        <v>3322</v>
      </c>
      <c r="C3323">
        <v>13</v>
      </c>
      <c r="D3323">
        <v>5</v>
      </c>
      <c r="E3323">
        <v>2024</v>
      </c>
      <c r="F3323" s="1">
        <f t="shared" si="258"/>
        <v>45425</v>
      </c>
      <c r="G3323" s="1" t="s">
        <v>592</v>
      </c>
      <c r="H3323" s="2">
        <v>47799</v>
      </c>
      <c r="I3323" t="s">
        <v>49</v>
      </c>
      <c r="J3323">
        <v>6</v>
      </c>
      <c r="K3323">
        <v>41881.65</v>
      </c>
      <c r="L3323" t="s">
        <v>914</v>
      </c>
      <c r="M3323">
        <v>53</v>
      </c>
      <c r="N3323" t="s">
        <v>61</v>
      </c>
      <c r="O3323" s="3" t="s">
        <v>22</v>
      </c>
      <c r="P3323" t="s">
        <v>45</v>
      </c>
      <c r="Q3323" t="s">
        <v>41</v>
      </c>
      <c r="R3323">
        <v>5</v>
      </c>
      <c r="S3323" t="s">
        <v>52</v>
      </c>
      <c r="T3323" s="4">
        <f t="shared" si="259"/>
        <v>251289.90000000002</v>
      </c>
      <c r="U3323" s="4" t="str">
        <f t="shared" si="260"/>
        <v>Good</v>
      </c>
      <c r="V3323" s="4" t="str">
        <f t="shared" si="256"/>
        <v>Excellent</v>
      </c>
      <c r="W3323" s="4"/>
      <c r="X3323" s="4"/>
      <c r="AJ3323" s="4"/>
    </row>
    <row r="3324" spans="1:36">
      <c r="A3324" t="str">
        <f t="shared" si="257"/>
        <v>Pras483323</v>
      </c>
      <c r="B3324">
        <v>3323</v>
      </c>
      <c r="C3324">
        <v>13</v>
      </c>
      <c r="D3324">
        <v>5</v>
      </c>
      <c r="E3324">
        <v>2024</v>
      </c>
      <c r="F3324" s="1">
        <f t="shared" si="258"/>
        <v>45425</v>
      </c>
      <c r="G3324" s="1" t="s">
        <v>592</v>
      </c>
      <c r="H3324" s="2">
        <v>47800</v>
      </c>
      <c r="I3324" t="s">
        <v>38</v>
      </c>
      <c r="J3324">
        <v>9</v>
      </c>
      <c r="K3324">
        <v>22075.02</v>
      </c>
      <c r="L3324" t="s">
        <v>777</v>
      </c>
      <c r="M3324">
        <v>48</v>
      </c>
      <c r="N3324" t="s">
        <v>61</v>
      </c>
      <c r="O3324" s="3" t="s">
        <v>28</v>
      </c>
      <c r="P3324" t="s">
        <v>77</v>
      </c>
      <c r="Q3324" t="s">
        <v>56</v>
      </c>
      <c r="R3324">
        <v>3</v>
      </c>
      <c r="S3324" t="s">
        <v>42</v>
      </c>
      <c r="T3324" s="4">
        <f t="shared" si="259"/>
        <v>198675.18</v>
      </c>
      <c r="U3324" s="4" t="str">
        <f t="shared" si="260"/>
        <v>Average</v>
      </c>
      <c r="V3324" s="4" t="str">
        <f t="shared" si="256"/>
        <v>Good</v>
      </c>
      <c r="W3324" s="4"/>
      <c r="X3324" s="4"/>
      <c r="AJ3324" s="4"/>
    </row>
    <row r="3325" spans="1:36">
      <c r="A3325" t="str">
        <f t="shared" si="257"/>
        <v>Amit363324</v>
      </c>
      <c r="B3325">
        <v>3324</v>
      </c>
      <c r="C3325">
        <v>14</v>
      </c>
      <c r="D3325">
        <v>5</v>
      </c>
      <c r="E3325">
        <v>2024</v>
      </c>
      <c r="F3325" s="1">
        <f t="shared" si="258"/>
        <v>45426</v>
      </c>
      <c r="G3325" s="1" t="s">
        <v>592</v>
      </c>
      <c r="H3325" s="2">
        <v>47801</v>
      </c>
      <c r="I3325" t="s">
        <v>49</v>
      </c>
      <c r="J3325">
        <v>2</v>
      </c>
      <c r="K3325">
        <v>27080.46</v>
      </c>
      <c r="L3325" t="s">
        <v>871</v>
      </c>
      <c r="M3325">
        <v>36</v>
      </c>
      <c r="N3325" t="s">
        <v>21</v>
      </c>
      <c r="O3325" s="3" t="s">
        <v>22</v>
      </c>
      <c r="P3325" t="s">
        <v>137</v>
      </c>
      <c r="Q3325" t="s">
        <v>41</v>
      </c>
      <c r="R3325">
        <v>5</v>
      </c>
      <c r="S3325" t="s">
        <v>88</v>
      </c>
      <c r="T3325" s="4">
        <f t="shared" si="259"/>
        <v>54160.92</v>
      </c>
      <c r="U3325" s="4" t="str">
        <f t="shared" si="260"/>
        <v>Good</v>
      </c>
      <c r="V3325" s="4" t="str">
        <f t="shared" si="256"/>
        <v>Average</v>
      </c>
      <c r="W3325" s="4"/>
      <c r="X3325" s="4"/>
      <c r="AJ3325" s="4"/>
    </row>
    <row r="3326" spans="1:36">
      <c r="A3326" t="str">
        <f t="shared" si="257"/>
        <v>Sanj353325</v>
      </c>
      <c r="B3326">
        <v>3325</v>
      </c>
      <c r="C3326">
        <v>14</v>
      </c>
      <c r="D3326">
        <v>5</v>
      </c>
      <c r="E3326">
        <v>2024</v>
      </c>
      <c r="F3326" s="1">
        <f t="shared" si="258"/>
        <v>45426</v>
      </c>
      <c r="G3326" s="1" t="s">
        <v>592</v>
      </c>
      <c r="H3326" s="2">
        <v>47802</v>
      </c>
      <c r="I3326" t="s">
        <v>26</v>
      </c>
      <c r="J3326">
        <v>7</v>
      </c>
      <c r="K3326">
        <v>55909.19</v>
      </c>
      <c r="L3326" t="s">
        <v>395</v>
      </c>
      <c r="M3326">
        <v>35</v>
      </c>
      <c r="N3326" t="s">
        <v>21</v>
      </c>
      <c r="O3326" s="3" t="s">
        <v>28</v>
      </c>
      <c r="P3326" t="s">
        <v>114</v>
      </c>
      <c r="Q3326" t="s">
        <v>30</v>
      </c>
      <c r="R3326">
        <v>3</v>
      </c>
      <c r="S3326" t="s">
        <v>31</v>
      </c>
      <c r="T3326" s="4">
        <f t="shared" si="259"/>
        <v>391364.33</v>
      </c>
      <c r="U3326" s="4" t="str">
        <f t="shared" si="260"/>
        <v>Average</v>
      </c>
      <c r="V3326" s="4" t="str">
        <f t="shared" si="256"/>
        <v>Excellent</v>
      </c>
      <c r="W3326" s="4"/>
      <c r="X3326" s="4"/>
      <c r="AJ3326" s="4"/>
    </row>
    <row r="3327" spans="1:36">
      <c r="A3327" t="str">
        <f t="shared" si="257"/>
        <v>Yoge233326</v>
      </c>
      <c r="B3327">
        <v>3326</v>
      </c>
      <c r="C3327">
        <v>14</v>
      </c>
      <c r="D3327">
        <v>5</v>
      </c>
      <c r="E3327">
        <v>2024</v>
      </c>
      <c r="F3327" s="1">
        <f t="shared" si="258"/>
        <v>45426</v>
      </c>
      <c r="G3327" s="1" t="s">
        <v>592</v>
      </c>
      <c r="H3327" s="2">
        <v>47803</v>
      </c>
      <c r="I3327" t="s">
        <v>38</v>
      </c>
      <c r="J3327">
        <v>6</v>
      </c>
      <c r="K3327">
        <v>38220.839999999997</v>
      </c>
      <c r="L3327" t="s">
        <v>652</v>
      </c>
      <c r="M3327">
        <v>23</v>
      </c>
      <c r="N3327" t="s">
        <v>36</v>
      </c>
      <c r="O3327" s="3" t="s">
        <v>55</v>
      </c>
      <c r="P3327" t="s">
        <v>132</v>
      </c>
      <c r="Q3327" t="s">
        <v>24</v>
      </c>
      <c r="R3327">
        <v>1</v>
      </c>
      <c r="S3327" t="s">
        <v>42</v>
      </c>
      <c r="T3327" s="4">
        <f t="shared" si="259"/>
        <v>229325.03999999998</v>
      </c>
      <c r="U3327" s="4" t="str">
        <f t="shared" si="260"/>
        <v>Average</v>
      </c>
      <c r="V3327" s="4" t="str">
        <f t="shared" si="256"/>
        <v>Excellent</v>
      </c>
      <c r="W3327" s="4"/>
      <c r="X3327" s="4"/>
      <c r="AJ3327" s="4"/>
    </row>
    <row r="3328" spans="1:36">
      <c r="A3328" t="str">
        <f t="shared" si="257"/>
        <v>Tanu453327</v>
      </c>
      <c r="B3328">
        <v>3327</v>
      </c>
      <c r="C3328">
        <v>14</v>
      </c>
      <c r="D3328">
        <v>5</v>
      </c>
      <c r="E3328">
        <v>2024</v>
      </c>
      <c r="F3328" s="1">
        <f t="shared" si="258"/>
        <v>45426</v>
      </c>
      <c r="G3328" s="1" t="s">
        <v>592</v>
      </c>
      <c r="H3328" s="2">
        <v>47804</v>
      </c>
      <c r="I3328" t="s">
        <v>38</v>
      </c>
      <c r="J3328">
        <v>5</v>
      </c>
      <c r="K3328">
        <v>29041.25</v>
      </c>
      <c r="L3328" t="s">
        <v>195</v>
      </c>
      <c r="M3328">
        <v>45</v>
      </c>
      <c r="N3328" t="s">
        <v>21</v>
      </c>
      <c r="O3328" s="3" t="s">
        <v>55</v>
      </c>
      <c r="P3328" t="s">
        <v>114</v>
      </c>
      <c r="Q3328" t="s">
        <v>56</v>
      </c>
      <c r="R3328">
        <v>2</v>
      </c>
      <c r="S3328" t="s">
        <v>42</v>
      </c>
      <c r="T3328" s="4">
        <f t="shared" si="259"/>
        <v>145206.25</v>
      </c>
      <c r="U3328" s="4" t="str">
        <f t="shared" si="260"/>
        <v>Average</v>
      </c>
      <c r="V3328" s="4" t="str">
        <f t="shared" si="256"/>
        <v>Good</v>
      </c>
      <c r="W3328" s="4"/>
      <c r="X3328" s="4"/>
      <c r="AJ3328" s="4"/>
    </row>
    <row r="3329" spans="1:36">
      <c r="A3329" t="str">
        <f t="shared" si="257"/>
        <v>Tapa243328</v>
      </c>
      <c r="B3329">
        <v>3328</v>
      </c>
      <c r="C3329">
        <v>15</v>
      </c>
      <c r="D3329">
        <v>5</v>
      </c>
      <c r="E3329">
        <v>2024</v>
      </c>
      <c r="F3329" s="1">
        <f t="shared" si="258"/>
        <v>45427</v>
      </c>
      <c r="G3329" s="1" t="s">
        <v>592</v>
      </c>
      <c r="H3329" s="2">
        <v>47805</v>
      </c>
      <c r="I3329" t="s">
        <v>43</v>
      </c>
      <c r="J3329">
        <v>4</v>
      </c>
      <c r="K3329">
        <v>47357.56</v>
      </c>
      <c r="L3329" t="s">
        <v>857</v>
      </c>
      <c r="M3329">
        <v>24</v>
      </c>
      <c r="N3329" t="s">
        <v>36</v>
      </c>
      <c r="O3329" s="3" t="s">
        <v>22</v>
      </c>
      <c r="P3329" t="s">
        <v>45</v>
      </c>
      <c r="Q3329" t="s">
        <v>56</v>
      </c>
      <c r="R3329">
        <v>5</v>
      </c>
      <c r="S3329" t="s">
        <v>57</v>
      </c>
      <c r="T3329" s="4">
        <f t="shared" si="259"/>
        <v>189430.24</v>
      </c>
      <c r="U3329" s="4" t="str">
        <f t="shared" si="260"/>
        <v>Good</v>
      </c>
      <c r="V3329" s="4" t="str">
        <f t="shared" ref="V3329:V3392" si="261">IF(T3329&gt;200000,"Excellent",IF(T3329&gt;100000,"Good",IF(T3329&gt;50000,"Average","Low")))</f>
        <v>Good</v>
      </c>
      <c r="W3329" s="4"/>
      <c r="X3329" s="4"/>
      <c r="AJ3329" s="4"/>
    </row>
    <row r="3330" spans="1:36">
      <c r="A3330" t="str">
        <f t="shared" ref="A3330:A3393" si="262">LEFT(L3330,4)&amp;M3330&amp;B3330</f>
        <v>Pank553329</v>
      </c>
      <c r="B3330">
        <v>3329</v>
      </c>
      <c r="C3330">
        <v>15</v>
      </c>
      <c r="D3330">
        <v>5</v>
      </c>
      <c r="E3330">
        <v>2024</v>
      </c>
      <c r="F3330" s="1">
        <f t="shared" si="258"/>
        <v>45427</v>
      </c>
      <c r="G3330" s="1" t="s">
        <v>592</v>
      </c>
      <c r="H3330" s="2">
        <v>47806</v>
      </c>
      <c r="I3330" t="s">
        <v>26</v>
      </c>
      <c r="J3330">
        <v>4</v>
      </c>
      <c r="K3330">
        <v>49165.59</v>
      </c>
      <c r="L3330" t="s">
        <v>657</v>
      </c>
      <c r="M3330">
        <v>55</v>
      </c>
      <c r="N3330" t="s">
        <v>61</v>
      </c>
      <c r="O3330" s="3" t="s">
        <v>22</v>
      </c>
      <c r="P3330" t="s">
        <v>93</v>
      </c>
      <c r="Q3330" t="s">
        <v>56</v>
      </c>
      <c r="R3330">
        <v>4</v>
      </c>
      <c r="S3330" t="s">
        <v>34</v>
      </c>
      <c r="T3330" s="4">
        <f t="shared" si="259"/>
        <v>196662.36</v>
      </c>
      <c r="U3330" s="4" t="str">
        <f t="shared" si="260"/>
        <v>Good</v>
      </c>
      <c r="V3330" s="4" t="str">
        <f t="shared" si="261"/>
        <v>Good</v>
      </c>
      <c r="W3330" s="4"/>
      <c r="X3330" s="4"/>
      <c r="AJ3330" s="4"/>
    </row>
    <row r="3331" spans="1:36">
      <c r="A3331" t="str">
        <f t="shared" si="262"/>
        <v>Umes293330</v>
      </c>
      <c r="B3331">
        <v>3330</v>
      </c>
      <c r="C3331">
        <v>15</v>
      </c>
      <c r="D3331">
        <v>5</v>
      </c>
      <c r="E3331">
        <v>2024</v>
      </c>
      <c r="F3331" s="1">
        <f t="shared" ref="F3331:F3394" si="263">DATE(E3331,D3331,C3331)</f>
        <v>45427</v>
      </c>
      <c r="G3331" s="1" t="s">
        <v>592</v>
      </c>
      <c r="H3331" s="2">
        <v>47807</v>
      </c>
      <c r="I3331" t="s">
        <v>19</v>
      </c>
      <c r="J3331">
        <v>6</v>
      </c>
      <c r="K3331">
        <v>56163.75</v>
      </c>
      <c r="L3331" t="s">
        <v>1038</v>
      </c>
      <c r="M3331">
        <v>29</v>
      </c>
      <c r="N3331" t="s">
        <v>36</v>
      </c>
      <c r="O3331" s="3" t="s">
        <v>55</v>
      </c>
      <c r="P3331" t="s">
        <v>33</v>
      </c>
      <c r="Q3331" t="s">
        <v>56</v>
      </c>
      <c r="R3331">
        <v>2</v>
      </c>
      <c r="S3331" t="s">
        <v>84</v>
      </c>
      <c r="T3331" s="4">
        <f t="shared" ref="T3331:T3394" si="264">J3331*K3331</f>
        <v>336982.5</v>
      </c>
      <c r="U3331" s="4" t="str">
        <f t="shared" ref="U3331:U3394" si="265">IF(R3331&gt;=4,"Good","Average")</f>
        <v>Average</v>
      </c>
      <c r="V3331" s="4" t="str">
        <f t="shared" si="261"/>
        <v>Excellent</v>
      </c>
      <c r="W3331" s="4"/>
      <c r="X3331" s="4"/>
      <c r="AJ3331" s="4"/>
    </row>
    <row r="3332" spans="1:36">
      <c r="A3332" t="str">
        <f t="shared" si="262"/>
        <v>Radh583331</v>
      </c>
      <c r="B3332">
        <v>3331</v>
      </c>
      <c r="C3332">
        <v>16</v>
      </c>
      <c r="D3332">
        <v>5</v>
      </c>
      <c r="E3332">
        <v>2024</v>
      </c>
      <c r="F3332" s="1">
        <f t="shared" si="263"/>
        <v>45428</v>
      </c>
      <c r="G3332" s="1" t="s">
        <v>592</v>
      </c>
      <c r="H3332" s="2">
        <v>47808</v>
      </c>
      <c r="I3332" t="s">
        <v>43</v>
      </c>
      <c r="J3332">
        <v>4</v>
      </c>
      <c r="K3332">
        <v>19402.560000000001</v>
      </c>
      <c r="L3332" t="s">
        <v>999</v>
      </c>
      <c r="M3332">
        <v>58</v>
      </c>
      <c r="N3332" t="s">
        <v>61</v>
      </c>
      <c r="O3332" s="3" t="s">
        <v>22</v>
      </c>
      <c r="P3332" t="s">
        <v>29</v>
      </c>
      <c r="Q3332" t="s">
        <v>56</v>
      </c>
      <c r="R3332">
        <v>5</v>
      </c>
      <c r="S3332" t="s">
        <v>46</v>
      </c>
      <c r="T3332" s="4">
        <f t="shared" si="264"/>
        <v>77610.240000000005</v>
      </c>
      <c r="U3332" s="4" t="str">
        <f t="shared" si="265"/>
        <v>Good</v>
      </c>
      <c r="V3332" s="4" t="str">
        <f t="shared" si="261"/>
        <v>Average</v>
      </c>
      <c r="W3332" s="4"/>
      <c r="X3332" s="4"/>
      <c r="AJ3332" s="4"/>
    </row>
    <row r="3333" spans="1:36">
      <c r="A3333" t="str">
        <f t="shared" si="262"/>
        <v>Lata513332</v>
      </c>
      <c r="B3333">
        <v>3332</v>
      </c>
      <c r="C3333">
        <v>16</v>
      </c>
      <c r="D3333">
        <v>5</v>
      </c>
      <c r="E3333">
        <v>2024</v>
      </c>
      <c r="F3333" s="1">
        <f t="shared" si="263"/>
        <v>45428</v>
      </c>
      <c r="G3333" s="1" t="s">
        <v>592</v>
      </c>
      <c r="H3333" s="2">
        <v>47809</v>
      </c>
      <c r="I3333" t="s">
        <v>43</v>
      </c>
      <c r="J3333">
        <v>5</v>
      </c>
      <c r="K3333">
        <v>54491.040000000001</v>
      </c>
      <c r="L3333" t="s">
        <v>905</v>
      </c>
      <c r="M3333">
        <v>51</v>
      </c>
      <c r="N3333" t="s">
        <v>61</v>
      </c>
      <c r="O3333" s="3" t="s">
        <v>55</v>
      </c>
      <c r="P3333" t="s">
        <v>93</v>
      </c>
      <c r="Q3333" t="s">
        <v>30</v>
      </c>
      <c r="R3333">
        <v>1</v>
      </c>
      <c r="S3333" t="s">
        <v>95</v>
      </c>
      <c r="T3333" s="4">
        <f t="shared" si="264"/>
        <v>272455.2</v>
      </c>
      <c r="U3333" s="4" t="str">
        <f t="shared" si="265"/>
        <v>Average</v>
      </c>
      <c r="V3333" s="4" t="str">
        <f t="shared" si="261"/>
        <v>Excellent</v>
      </c>
      <c r="W3333" s="4"/>
      <c r="X3333" s="4"/>
      <c r="AJ3333" s="4"/>
    </row>
    <row r="3334" spans="1:36">
      <c r="A3334" t="str">
        <f t="shared" si="262"/>
        <v>Isha423333</v>
      </c>
      <c r="B3334">
        <v>3333</v>
      </c>
      <c r="C3334">
        <v>16</v>
      </c>
      <c r="D3334">
        <v>5</v>
      </c>
      <c r="E3334">
        <v>2024</v>
      </c>
      <c r="F3334" s="1">
        <f t="shared" si="263"/>
        <v>45428</v>
      </c>
      <c r="G3334" s="1" t="s">
        <v>592</v>
      </c>
      <c r="H3334" s="2">
        <v>47810</v>
      </c>
      <c r="I3334" t="s">
        <v>49</v>
      </c>
      <c r="J3334">
        <v>6</v>
      </c>
      <c r="K3334">
        <v>45965.7</v>
      </c>
      <c r="L3334" t="s">
        <v>325</v>
      </c>
      <c r="M3334">
        <v>42</v>
      </c>
      <c r="N3334" t="s">
        <v>21</v>
      </c>
      <c r="O3334" s="3" t="s">
        <v>22</v>
      </c>
      <c r="P3334" t="s">
        <v>117</v>
      </c>
      <c r="Q3334" t="s">
        <v>56</v>
      </c>
      <c r="R3334">
        <v>5</v>
      </c>
      <c r="S3334" t="s">
        <v>52</v>
      </c>
      <c r="T3334" s="4">
        <f t="shared" si="264"/>
        <v>275794.19999999995</v>
      </c>
      <c r="U3334" s="4" t="str">
        <f t="shared" si="265"/>
        <v>Good</v>
      </c>
      <c r="V3334" s="4" t="str">
        <f t="shared" si="261"/>
        <v>Excellent</v>
      </c>
      <c r="W3334" s="4"/>
      <c r="X3334" s="4"/>
      <c r="AJ3334" s="4"/>
    </row>
    <row r="3335" spans="1:36">
      <c r="A3335" t="str">
        <f t="shared" si="262"/>
        <v>Arun343334</v>
      </c>
      <c r="B3335">
        <v>3334</v>
      </c>
      <c r="C3335">
        <v>17</v>
      </c>
      <c r="D3335">
        <v>5</v>
      </c>
      <c r="E3335">
        <v>2024</v>
      </c>
      <c r="F3335" s="1">
        <f t="shared" si="263"/>
        <v>45429</v>
      </c>
      <c r="G3335" s="1" t="s">
        <v>592</v>
      </c>
      <c r="H3335" s="2">
        <v>47811</v>
      </c>
      <c r="I3335" t="s">
        <v>49</v>
      </c>
      <c r="J3335">
        <v>5</v>
      </c>
      <c r="K3335">
        <v>13454.31</v>
      </c>
      <c r="L3335" t="s">
        <v>909</v>
      </c>
      <c r="M3335">
        <v>34</v>
      </c>
      <c r="N3335" t="s">
        <v>21</v>
      </c>
      <c r="O3335" s="3" t="s">
        <v>22</v>
      </c>
      <c r="P3335" t="s">
        <v>29</v>
      </c>
      <c r="Q3335" t="s">
        <v>56</v>
      </c>
      <c r="R3335">
        <v>5</v>
      </c>
      <c r="S3335" t="s">
        <v>52</v>
      </c>
      <c r="T3335" s="4">
        <f t="shared" si="264"/>
        <v>67271.55</v>
      </c>
      <c r="U3335" s="4" t="str">
        <f t="shared" si="265"/>
        <v>Good</v>
      </c>
      <c r="V3335" s="4" t="str">
        <f t="shared" si="261"/>
        <v>Average</v>
      </c>
      <c r="W3335" s="4"/>
      <c r="X3335" s="4"/>
      <c r="AJ3335" s="4"/>
    </row>
    <row r="3336" spans="1:36">
      <c r="A3336" t="str">
        <f t="shared" si="262"/>
        <v>Mano503335</v>
      </c>
      <c r="B3336">
        <v>3335</v>
      </c>
      <c r="C3336">
        <v>17</v>
      </c>
      <c r="D3336">
        <v>5</v>
      </c>
      <c r="E3336">
        <v>2024</v>
      </c>
      <c r="F3336" s="1">
        <f t="shared" si="263"/>
        <v>45429</v>
      </c>
      <c r="G3336" s="1" t="s">
        <v>592</v>
      </c>
      <c r="H3336" s="2">
        <v>47812</v>
      </c>
      <c r="I3336" t="s">
        <v>49</v>
      </c>
      <c r="J3336">
        <v>7</v>
      </c>
      <c r="K3336">
        <v>56646.74</v>
      </c>
      <c r="L3336" t="s">
        <v>609</v>
      </c>
      <c r="M3336">
        <v>50</v>
      </c>
      <c r="N3336" t="s">
        <v>61</v>
      </c>
      <c r="O3336" s="3" t="s">
        <v>22</v>
      </c>
      <c r="P3336" t="s">
        <v>33</v>
      </c>
      <c r="Q3336" t="s">
        <v>41</v>
      </c>
      <c r="R3336">
        <v>5</v>
      </c>
      <c r="S3336" t="s">
        <v>88</v>
      </c>
      <c r="T3336" s="4">
        <f t="shared" si="264"/>
        <v>396527.18</v>
      </c>
      <c r="U3336" s="4" t="str">
        <f t="shared" si="265"/>
        <v>Good</v>
      </c>
      <c r="V3336" s="4" t="str">
        <f t="shared" si="261"/>
        <v>Excellent</v>
      </c>
      <c r="W3336" s="4"/>
      <c r="X3336" s="4"/>
      <c r="AJ3336" s="4"/>
    </row>
    <row r="3337" spans="1:36">
      <c r="A3337" t="str">
        <f t="shared" si="262"/>
        <v>Kris403336</v>
      </c>
      <c r="B3337">
        <v>3336</v>
      </c>
      <c r="C3337">
        <v>17</v>
      </c>
      <c r="D3337">
        <v>5</v>
      </c>
      <c r="E3337">
        <v>2024</v>
      </c>
      <c r="F3337" s="1">
        <f t="shared" si="263"/>
        <v>45429</v>
      </c>
      <c r="G3337" s="1" t="s">
        <v>592</v>
      </c>
      <c r="H3337" s="2">
        <v>47813</v>
      </c>
      <c r="I3337" t="s">
        <v>43</v>
      </c>
      <c r="J3337">
        <v>9</v>
      </c>
      <c r="K3337">
        <v>32984.82</v>
      </c>
      <c r="L3337" t="s">
        <v>723</v>
      </c>
      <c r="M3337">
        <v>40</v>
      </c>
      <c r="N3337" t="s">
        <v>21</v>
      </c>
      <c r="O3337" s="3" t="s">
        <v>55</v>
      </c>
      <c r="P3337" t="s">
        <v>110</v>
      </c>
      <c r="Q3337" t="s">
        <v>24</v>
      </c>
      <c r="R3337">
        <v>2</v>
      </c>
      <c r="S3337" t="s">
        <v>46</v>
      </c>
      <c r="T3337" s="4">
        <f t="shared" si="264"/>
        <v>296863.38</v>
      </c>
      <c r="U3337" s="4" t="str">
        <f t="shared" si="265"/>
        <v>Average</v>
      </c>
      <c r="V3337" s="4" t="str">
        <f t="shared" si="261"/>
        <v>Excellent</v>
      </c>
      <c r="W3337" s="4"/>
      <c r="X3337" s="4"/>
      <c r="AJ3337" s="4"/>
    </row>
    <row r="3338" spans="1:36">
      <c r="A3338" t="str">
        <f t="shared" si="262"/>
        <v>Suni263337</v>
      </c>
      <c r="B3338">
        <v>3337</v>
      </c>
      <c r="C3338">
        <v>17</v>
      </c>
      <c r="D3338">
        <v>5</v>
      </c>
      <c r="E3338">
        <v>2024</v>
      </c>
      <c r="F3338" s="1">
        <f t="shared" si="263"/>
        <v>45429</v>
      </c>
      <c r="G3338" s="1" t="s">
        <v>592</v>
      </c>
      <c r="H3338" s="2">
        <v>47814</v>
      </c>
      <c r="I3338" t="s">
        <v>19</v>
      </c>
      <c r="J3338">
        <v>7</v>
      </c>
      <c r="K3338">
        <v>29822.86</v>
      </c>
      <c r="L3338" t="s">
        <v>983</v>
      </c>
      <c r="M3338">
        <v>26</v>
      </c>
      <c r="N3338" t="s">
        <v>36</v>
      </c>
      <c r="O3338" s="3" t="s">
        <v>22</v>
      </c>
      <c r="P3338" t="s">
        <v>132</v>
      </c>
      <c r="Q3338" t="s">
        <v>56</v>
      </c>
      <c r="R3338">
        <v>5</v>
      </c>
      <c r="S3338" t="s">
        <v>84</v>
      </c>
      <c r="T3338" s="4">
        <f t="shared" si="264"/>
        <v>208760.02000000002</v>
      </c>
      <c r="U3338" s="4" t="str">
        <f t="shared" si="265"/>
        <v>Good</v>
      </c>
      <c r="V3338" s="4" t="str">
        <f t="shared" si="261"/>
        <v>Excellent</v>
      </c>
      <c r="W3338" s="4"/>
      <c r="X3338" s="4"/>
      <c r="AJ3338" s="4"/>
    </row>
    <row r="3339" spans="1:36">
      <c r="A3339" t="str">
        <f t="shared" si="262"/>
        <v>Neet233338</v>
      </c>
      <c r="B3339">
        <v>3338</v>
      </c>
      <c r="C3339">
        <v>18</v>
      </c>
      <c r="D3339">
        <v>5</v>
      </c>
      <c r="E3339">
        <v>2024</v>
      </c>
      <c r="F3339" s="1">
        <f t="shared" si="263"/>
        <v>45430</v>
      </c>
      <c r="G3339" s="1" t="s">
        <v>592</v>
      </c>
      <c r="H3339" s="2">
        <v>47815</v>
      </c>
      <c r="I3339" t="s">
        <v>38</v>
      </c>
      <c r="J3339">
        <v>7</v>
      </c>
      <c r="K3339">
        <v>36884.51</v>
      </c>
      <c r="L3339" t="s">
        <v>496</v>
      </c>
      <c r="M3339">
        <v>23</v>
      </c>
      <c r="N3339" t="s">
        <v>36</v>
      </c>
      <c r="O3339" s="3" t="s">
        <v>22</v>
      </c>
      <c r="P3339" t="s">
        <v>77</v>
      </c>
      <c r="Q3339" t="s">
        <v>41</v>
      </c>
      <c r="R3339">
        <v>4</v>
      </c>
      <c r="S3339" t="s">
        <v>48</v>
      </c>
      <c r="T3339" s="4">
        <f t="shared" si="264"/>
        <v>258191.57</v>
      </c>
      <c r="U3339" s="4" t="str">
        <f t="shared" si="265"/>
        <v>Good</v>
      </c>
      <c r="V3339" s="4" t="str">
        <f t="shared" si="261"/>
        <v>Excellent</v>
      </c>
      <c r="W3339" s="4"/>
      <c r="X3339" s="4"/>
      <c r="AJ3339" s="4"/>
    </row>
    <row r="3340" spans="1:36">
      <c r="A3340" t="str">
        <f t="shared" si="262"/>
        <v>Radh193339</v>
      </c>
      <c r="B3340">
        <v>3339</v>
      </c>
      <c r="C3340">
        <v>18</v>
      </c>
      <c r="D3340">
        <v>5</v>
      </c>
      <c r="E3340">
        <v>2024</v>
      </c>
      <c r="F3340" s="1">
        <f t="shared" si="263"/>
        <v>45430</v>
      </c>
      <c r="G3340" s="1" t="s">
        <v>592</v>
      </c>
      <c r="H3340" s="2">
        <v>47816</v>
      </c>
      <c r="I3340" t="s">
        <v>49</v>
      </c>
      <c r="J3340">
        <v>4</v>
      </c>
      <c r="K3340">
        <v>30770.5</v>
      </c>
      <c r="L3340" t="s">
        <v>999</v>
      </c>
      <c r="M3340">
        <v>19</v>
      </c>
      <c r="N3340" t="s">
        <v>36</v>
      </c>
      <c r="O3340" s="3" t="s">
        <v>28</v>
      </c>
      <c r="P3340" t="s">
        <v>110</v>
      </c>
      <c r="Q3340" t="s">
        <v>30</v>
      </c>
      <c r="R3340">
        <v>3</v>
      </c>
      <c r="S3340" t="s">
        <v>102</v>
      </c>
      <c r="T3340" s="4">
        <f t="shared" si="264"/>
        <v>123082</v>
      </c>
      <c r="U3340" s="4" t="str">
        <f t="shared" si="265"/>
        <v>Average</v>
      </c>
      <c r="V3340" s="4" t="str">
        <f t="shared" si="261"/>
        <v>Good</v>
      </c>
      <c r="W3340" s="4"/>
      <c r="X3340" s="4"/>
      <c r="AJ3340" s="4"/>
    </row>
    <row r="3341" spans="1:36">
      <c r="A3341" t="str">
        <f t="shared" si="262"/>
        <v>Deep553340</v>
      </c>
      <c r="B3341">
        <v>3340</v>
      </c>
      <c r="C3341">
        <v>18</v>
      </c>
      <c r="D3341">
        <v>5</v>
      </c>
      <c r="E3341">
        <v>2024</v>
      </c>
      <c r="F3341" s="1">
        <f t="shared" si="263"/>
        <v>45430</v>
      </c>
      <c r="G3341" s="1" t="s">
        <v>592</v>
      </c>
      <c r="H3341" s="2">
        <v>47817</v>
      </c>
      <c r="I3341" t="s">
        <v>19</v>
      </c>
      <c r="J3341">
        <v>1</v>
      </c>
      <c r="K3341">
        <v>30297.14</v>
      </c>
      <c r="L3341" t="s">
        <v>500</v>
      </c>
      <c r="M3341">
        <v>55</v>
      </c>
      <c r="N3341" t="s">
        <v>61</v>
      </c>
      <c r="O3341" s="3" t="s">
        <v>22</v>
      </c>
      <c r="P3341" t="s">
        <v>33</v>
      </c>
      <c r="Q3341" t="s">
        <v>41</v>
      </c>
      <c r="R3341">
        <v>4</v>
      </c>
      <c r="S3341" t="s">
        <v>37</v>
      </c>
      <c r="T3341" s="4">
        <f t="shared" si="264"/>
        <v>30297.14</v>
      </c>
      <c r="U3341" s="4" t="str">
        <f t="shared" si="265"/>
        <v>Good</v>
      </c>
      <c r="V3341" s="4" t="str">
        <f t="shared" si="261"/>
        <v>Low</v>
      </c>
      <c r="W3341" s="4"/>
      <c r="X3341" s="4"/>
      <c r="AJ3341" s="4"/>
    </row>
    <row r="3342" spans="1:36">
      <c r="A3342" t="str">
        <f t="shared" si="262"/>
        <v>Radh263341</v>
      </c>
      <c r="B3342">
        <v>3341</v>
      </c>
      <c r="C3342">
        <v>19</v>
      </c>
      <c r="D3342">
        <v>5</v>
      </c>
      <c r="E3342">
        <v>2024</v>
      </c>
      <c r="F3342" s="1">
        <f t="shared" si="263"/>
        <v>45431</v>
      </c>
      <c r="G3342" s="1" t="s">
        <v>592</v>
      </c>
      <c r="H3342" s="2">
        <v>47818</v>
      </c>
      <c r="I3342" t="s">
        <v>26</v>
      </c>
      <c r="J3342">
        <v>8</v>
      </c>
      <c r="K3342">
        <v>58484.66</v>
      </c>
      <c r="L3342" t="s">
        <v>58</v>
      </c>
      <c r="M3342">
        <v>26</v>
      </c>
      <c r="N3342" t="s">
        <v>36</v>
      </c>
      <c r="O3342" s="3" t="s">
        <v>55</v>
      </c>
      <c r="P3342" t="s">
        <v>29</v>
      </c>
      <c r="Q3342" t="s">
        <v>56</v>
      </c>
      <c r="R3342">
        <v>1</v>
      </c>
      <c r="S3342" t="s">
        <v>34</v>
      </c>
      <c r="T3342" s="4">
        <f t="shared" si="264"/>
        <v>467877.28</v>
      </c>
      <c r="U3342" s="4" t="str">
        <f t="shared" si="265"/>
        <v>Average</v>
      </c>
      <c r="V3342" s="4" t="str">
        <f t="shared" si="261"/>
        <v>Excellent</v>
      </c>
      <c r="W3342" s="4"/>
      <c r="X3342" s="4"/>
      <c r="AJ3342" s="4"/>
    </row>
    <row r="3343" spans="1:36">
      <c r="A3343" t="str">
        <f t="shared" si="262"/>
        <v>Hari203342</v>
      </c>
      <c r="B3343">
        <v>3342</v>
      </c>
      <c r="C3343">
        <v>19</v>
      </c>
      <c r="D3343">
        <v>5</v>
      </c>
      <c r="E3343">
        <v>2024</v>
      </c>
      <c r="F3343" s="1">
        <f t="shared" si="263"/>
        <v>45431</v>
      </c>
      <c r="G3343" s="1" t="s">
        <v>592</v>
      </c>
      <c r="H3343" s="2">
        <v>47819</v>
      </c>
      <c r="I3343" t="s">
        <v>49</v>
      </c>
      <c r="J3343">
        <v>4</v>
      </c>
      <c r="K3343">
        <v>17470.32</v>
      </c>
      <c r="L3343" t="s">
        <v>399</v>
      </c>
      <c r="M3343">
        <v>20</v>
      </c>
      <c r="N3343" t="s">
        <v>36</v>
      </c>
      <c r="O3343" s="3" t="s">
        <v>55</v>
      </c>
      <c r="P3343" t="s">
        <v>33</v>
      </c>
      <c r="Q3343" t="s">
        <v>41</v>
      </c>
      <c r="R3343">
        <v>2</v>
      </c>
      <c r="S3343" t="s">
        <v>102</v>
      </c>
      <c r="T3343" s="4">
        <f t="shared" si="264"/>
        <v>69881.279999999999</v>
      </c>
      <c r="U3343" s="4" t="str">
        <f t="shared" si="265"/>
        <v>Average</v>
      </c>
      <c r="V3343" s="4" t="str">
        <f t="shared" si="261"/>
        <v>Average</v>
      </c>
      <c r="W3343" s="4"/>
      <c r="X3343" s="4"/>
      <c r="AJ3343" s="4"/>
    </row>
    <row r="3344" spans="1:36">
      <c r="A3344" t="str">
        <f t="shared" si="262"/>
        <v>Nikh333343</v>
      </c>
      <c r="B3344">
        <v>3343</v>
      </c>
      <c r="C3344">
        <v>19</v>
      </c>
      <c r="D3344">
        <v>5</v>
      </c>
      <c r="E3344">
        <v>2024</v>
      </c>
      <c r="F3344" s="1">
        <f t="shared" si="263"/>
        <v>45431</v>
      </c>
      <c r="G3344" s="1" t="s">
        <v>592</v>
      </c>
      <c r="H3344" s="2">
        <v>47820</v>
      </c>
      <c r="I3344" t="s">
        <v>38</v>
      </c>
      <c r="J3344">
        <v>1</v>
      </c>
      <c r="K3344">
        <v>68236</v>
      </c>
      <c r="L3344" t="s">
        <v>756</v>
      </c>
      <c r="M3344">
        <v>33</v>
      </c>
      <c r="N3344" t="s">
        <v>21</v>
      </c>
      <c r="O3344" s="3" t="s">
        <v>28</v>
      </c>
      <c r="P3344" t="s">
        <v>90</v>
      </c>
      <c r="Q3344" t="s">
        <v>41</v>
      </c>
      <c r="R3344">
        <v>3</v>
      </c>
      <c r="S3344" t="s">
        <v>48</v>
      </c>
      <c r="T3344" s="4">
        <f t="shared" si="264"/>
        <v>68236</v>
      </c>
      <c r="U3344" s="4" t="str">
        <f t="shared" si="265"/>
        <v>Average</v>
      </c>
      <c r="V3344" s="4" t="str">
        <f t="shared" si="261"/>
        <v>Average</v>
      </c>
      <c r="W3344" s="4"/>
      <c r="X3344" s="4"/>
      <c r="AJ3344" s="4"/>
    </row>
    <row r="3345" spans="1:36">
      <c r="A3345" t="str">
        <f t="shared" si="262"/>
        <v>Navi423344</v>
      </c>
      <c r="B3345">
        <v>3344</v>
      </c>
      <c r="C3345">
        <v>19</v>
      </c>
      <c r="D3345">
        <v>5</v>
      </c>
      <c r="E3345">
        <v>2024</v>
      </c>
      <c r="F3345" s="1">
        <f t="shared" si="263"/>
        <v>45431</v>
      </c>
      <c r="G3345" s="1" t="s">
        <v>592</v>
      </c>
      <c r="H3345" s="2">
        <v>47821</v>
      </c>
      <c r="I3345" t="s">
        <v>26</v>
      </c>
      <c r="J3345">
        <v>5</v>
      </c>
      <c r="K3345">
        <v>43295.9</v>
      </c>
      <c r="L3345" t="s">
        <v>582</v>
      </c>
      <c r="M3345">
        <v>42</v>
      </c>
      <c r="N3345" t="s">
        <v>21</v>
      </c>
      <c r="O3345" s="3" t="s">
        <v>55</v>
      </c>
      <c r="P3345" t="s">
        <v>29</v>
      </c>
      <c r="Q3345" t="s">
        <v>30</v>
      </c>
      <c r="R3345">
        <v>2</v>
      </c>
      <c r="S3345" t="s">
        <v>67</v>
      </c>
      <c r="T3345" s="4">
        <f t="shared" si="264"/>
        <v>216479.5</v>
      </c>
      <c r="U3345" s="4" t="str">
        <f t="shared" si="265"/>
        <v>Average</v>
      </c>
      <c r="V3345" s="4" t="str">
        <f t="shared" si="261"/>
        <v>Excellent</v>
      </c>
      <c r="W3345" s="4"/>
      <c r="X3345" s="4"/>
      <c r="AJ3345" s="4"/>
    </row>
    <row r="3346" spans="1:36">
      <c r="A3346" t="str">
        <f t="shared" si="262"/>
        <v>Ayes413345</v>
      </c>
      <c r="B3346">
        <v>3345</v>
      </c>
      <c r="C3346">
        <v>20</v>
      </c>
      <c r="D3346">
        <v>5</v>
      </c>
      <c r="E3346">
        <v>2024</v>
      </c>
      <c r="F3346" s="1">
        <f t="shared" si="263"/>
        <v>45432</v>
      </c>
      <c r="G3346" s="1" t="s">
        <v>592</v>
      </c>
      <c r="H3346" s="2">
        <v>47822</v>
      </c>
      <c r="I3346" t="s">
        <v>26</v>
      </c>
      <c r="J3346">
        <v>8</v>
      </c>
      <c r="K3346">
        <v>20975.439999999999</v>
      </c>
      <c r="L3346" t="s">
        <v>509</v>
      </c>
      <c r="M3346">
        <v>41</v>
      </c>
      <c r="N3346" t="s">
        <v>21</v>
      </c>
      <c r="O3346" s="3" t="s">
        <v>55</v>
      </c>
      <c r="P3346" t="s">
        <v>150</v>
      </c>
      <c r="Q3346" t="s">
        <v>41</v>
      </c>
      <c r="R3346">
        <v>2</v>
      </c>
      <c r="S3346" t="s">
        <v>31</v>
      </c>
      <c r="T3346" s="4">
        <f t="shared" si="264"/>
        <v>167803.51999999999</v>
      </c>
      <c r="U3346" s="4" t="str">
        <f t="shared" si="265"/>
        <v>Average</v>
      </c>
      <c r="V3346" s="4" t="str">
        <f t="shared" si="261"/>
        <v>Good</v>
      </c>
      <c r="W3346" s="4"/>
      <c r="X3346" s="4"/>
      <c r="AJ3346" s="4"/>
    </row>
    <row r="3347" spans="1:36">
      <c r="A3347" t="str">
        <f t="shared" si="262"/>
        <v>Tanu463346</v>
      </c>
      <c r="B3347">
        <v>3346</v>
      </c>
      <c r="C3347">
        <v>20</v>
      </c>
      <c r="D3347">
        <v>5</v>
      </c>
      <c r="E3347">
        <v>2024</v>
      </c>
      <c r="F3347" s="1">
        <f t="shared" si="263"/>
        <v>45432</v>
      </c>
      <c r="G3347" s="1" t="s">
        <v>592</v>
      </c>
      <c r="H3347" s="2">
        <v>47823</v>
      </c>
      <c r="I3347" t="s">
        <v>38</v>
      </c>
      <c r="J3347">
        <v>4</v>
      </c>
      <c r="K3347">
        <v>17872.93</v>
      </c>
      <c r="L3347" t="s">
        <v>1049</v>
      </c>
      <c r="M3347">
        <v>46</v>
      </c>
      <c r="N3347" t="s">
        <v>61</v>
      </c>
      <c r="O3347" s="3" t="s">
        <v>22</v>
      </c>
      <c r="P3347" t="s">
        <v>23</v>
      </c>
      <c r="Q3347" t="s">
        <v>30</v>
      </c>
      <c r="R3347">
        <v>5</v>
      </c>
      <c r="S3347" t="s">
        <v>42</v>
      </c>
      <c r="T3347" s="4">
        <f t="shared" si="264"/>
        <v>71491.72</v>
      </c>
      <c r="U3347" s="4" t="str">
        <f t="shared" si="265"/>
        <v>Good</v>
      </c>
      <c r="V3347" s="4" t="str">
        <f t="shared" si="261"/>
        <v>Average</v>
      </c>
      <c r="W3347" s="4"/>
      <c r="X3347" s="4"/>
      <c r="AJ3347" s="4"/>
    </row>
    <row r="3348" spans="1:36">
      <c r="A3348" t="str">
        <f t="shared" si="262"/>
        <v>Radh573347</v>
      </c>
      <c r="B3348">
        <v>3347</v>
      </c>
      <c r="C3348">
        <v>20</v>
      </c>
      <c r="D3348">
        <v>5</v>
      </c>
      <c r="E3348">
        <v>2024</v>
      </c>
      <c r="F3348" s="1">
        <f t="shared" si="263"/>
        <v>45432</v>
      </c>
      <c r="G3348" s="1" t="s">
        <v>592</v>
      </c>
      <c r="H3348" s="2">
        <v>47824</v>
      </c>
      <c r="I3348" t="s">
        <v>49</v>
      </c>
      <c r="J3348">
        <v>8</v>
      </c>
      <c r="K3348">
        <v>45490.57</v>
      </c>
      <c r="L3348" t="s">
        <v>832</v>
      </c>
      <c r="M3348">
        <v>57</v>
      </c>
      <c r="N3348" t="s">
        <v>61</v>
      </c>
      <c r="O3348" s="3" t="s">
        <v>22</v>
      </c>
      <c r="P3348" t="s">
        <v>132</v>
      </c>
      <c r="Q3348" t="s">
        <v>30</v>
      </c>
      <c r="R3348">
        <v>4</v>
      </c>
      <c r="S3348" t="s">
        <v>102</v>
      </c>
      <c r="T3348" s="4">
        <f t="shared" si="264"/>
        <v>363924.56</v>
      </c>
      <c r="U3348" s="4" t="str">
        <f t="shared" si="265"/>
        <v>Good</v>
      </c>
      <c r="V3348" s="4" t="str">
        <f t="shared" si="261"/>
        <v>Excellent</v>
      </c>
      <c r="W3348" s="4"/>
      <c r="X3348" s="4"/>
      <c r="AJ3348" s="4"/>
    </row>
    <row r="3349" spans="1:36">
      <c r="A3349" t="str">
        <f t="shared" si="262"/>
        <v>Priy433348</v>
      </c>
      <c r="B3349">
        <v>3348</v>
      </c>
      <c r="C3349">
        <v>21</v>
      </c>
      <c r="D3349">
        <v>5</v>
      </c>
      <c r="E3349">
        <v>2024</v>
      </c>
      <c r="F3349" s="1">
        <f t="shared" si="263"/>
        <v>45433</v>
      </c>
      <c r="G3349" s="1" t="s">
        <v>592</v>
      </c>
      <c r="H3349" s="2">
        <v>47825</v>
      </c>
      <c r="I3349" t="s">
        <v>43</v>
      </c>
      <c r="J3349">
        <v>8</v>
      </c>
      <c r="K3349">
        <v>47979.97</v>
      </c>
      <c r="L3349" t="s">
        <v>853</v>
      </c>
      <c r="M3349">
        <v>43</v>
      </c>
      <c r="N3349" t="s">
        <v>21</v>
      </c>
      <c r="O3349" s="3" t="s">
        <v>28</v>
      </c>
      <c r="P3349" t="s">
        <v>90</v>
      </c>
      <c r="Q3349" t="s">
        <v>41</v>
      </c>
      <c r="R3349">
        <v>3</v>
      </c>
      <c r="S3349" t="s">
        <v>57</v>
      </c>
      <c r="T3349" s="4">
        <f t="shared" si="264"/>
        <v>383839.76</v>
      </c>
      <c r="U3349" s="4" t="str">
        <f t="shared" si="265"/>
        <v>Average</v>
      </c>
      <c r="V3349" s="4" t="str">
        <f t="shared" si="261"/>
        <v>Excellent</v>
      </c>
      <c r="W3349" s="4"/>
      <c r="X3349" s="4"/>
      <c r="AJ3349" s="4"/>
    </row>
    <row r="3350" spans="1:36">
      <c r="A3350" t="str">
        <f t="shared" si="262"/>
        <v>Priy553349</v>
      </c>
      <c r="B3350">
        <v>3349</v>
      </c>
      <c r="C3350">
        <v>21</v>
      </c>
      <c r="D3350">
        <v>5</v>
      </c>
      <c r="E3350">
        <v>2024</v>
      </c>
      <c r="F3350" s="1">
        <f t="shared" si="263"/>
        <v>45433</v>
      </c>
      <c r="G3350" s="1" t="s">
        <v>592</v>
      </c>
      <c r="H3350" s="2">
        <v>47826</v>
      </c>
      <c r="I3350" t="s">
        <v>38</v>
      </c>
      <c r="J3350">
        <v>3</v>
      </c>
      <c r="K3350">
        <v>13181.55</v>
      </c>
      <c r="L3350" t="s">
        <v>719</v>
      </c>
      <c r="M3350">
        <v>55</v>
      </c>
      <c r="N3350" t="s">
        <v>61</v>
      </c>
      <c r="O3350" s="3" t="s">
        <v>22</v>
      </c>
      <c r="P3350" t="s">
        <v>33</v>
      </c>
      <c r="Q3350" t="s">
        <v>56</v>
      </c>
      <c r="R3350">
        <v>5</v>
      </c>
      <c r="S3350" t="s">
        <v>48</v>
      </c>
      <c r="T3350" s="4">
        <f t="shared" si="264"/>
        <v>39544.649999999994</v>
      </c>
      <c r="U3350" s="4" t="str">
        <f t="shared" si="265"/>
        <v>Good</v>
      </c>
      <c r="V3350" s="4" t="str">
        <f t="shared" si="261"/>
        <v>Low</v>
      </c>
      <c r="W3350" s="4"/>
      <c r="X3350" s="4"/>
      <c r="AJ3350" s="4"/>
    </row>
    <row r="3351" spans="1:36">
      <c r="A3351" t="str">
        <f t="shared" si="262"/>
        <v>Umes523350</v>
      </c>
      <c r="B3351">
        <v>3350</v>
      </c>
      <c r="C3351">
        <v>21</v>
      </c>
      <c r="D3351">
        <v>5</v>
      </c>
      <c r="E3351">
        <v>2024</v>
      </c>
      <c r="F3351" s="1">
        <f t="shared" si="263"/>
        <v>45433</v>
      </c>
      <c r="G3351" s="1" t="s">
        <v>592</v>
      </c>
      <c r="H3351" s="2">
        <v>47827</v>
      </c>
      <c r="I3351" t="s">
        <v>38</v>
      </c>
      <c r="J3351">
        <v>9</v>
      </c>
      <c r="K3351">
        <v>24580.11</v>
      </c>
      <c r="L3351" t="s">
        <v>989</v>
      </c>
      <c r="M3351">
        <v>52</v>
      </c>
      <c r="N3351" t="s">
        <v>61</v>
      </c>
      <c r="O3351" s="3" t="s">
        <v>28</v>
      </c>
      <c r="P3351" t="s">
        <v>77</v>
      </c>
      <c r="Q3351" t="s">
        <v>24</v>
      </c>
      <c r="R3351">
        <v>3</v>
      </c>
      <c r="S3351" t="s">
        <v>48</v>
      </c>
      <c r="T3351" s="4">
        <f t="shared" si="264"/>
        <v>221220.99</v>
      </c>
      <c r="U3351" s="4" t="str">
        <f t="shared" si="265"/>
        <v>Average</v>
      </c>
      <c r="V3351" s="4" t="str">
        <f t="shared" si="261"/>
        <v>Excellent</v>
      </c>
      <c r="W3351" s="4"/>
      <c r="X3351" s="4"/>
      <c r="AJ3351" s="4"/>
    </row>
    <row r="3352" spans="1:36">
      <c r="A3352" t="str">
        <f t="shared" si="262"/>
        <v>Pras403351</v>
      </c>
      <c r="B3352">
        <v>3351</v>
      </c>
      <c r="C3352">
        <v>22</v>
      </c>
      <c r="D3352">
        <v>5</v>
      </c>
      <c r="E3352">
        <v>2024</v>
      </c>
      <c r="F3352" s="1">
        <f t="shared" si="263"/>
        <v>45434</v>
      </c>
      <c r="G3352" s="1" t="s">
        <v>592</v>
      </c>
      <c r="H3352" s="2">
        <v>47828</v>
      </c>
      <c r="I3352" t="s">
        <v>38</v>
      </c>
      <c r="J3352">
        <v>3</v>
      </c>
      <c r="K3352">
        <v>57727.72</v>
      </c>
      <c r="L3352" t="s">
        <v>803</v>
      </c>
      <c r="M3352">
        <v>40</v>
      </c>
      <c r="N3352" t="s">
        <v>21</v>
      </c>
      <c r="O3352" s="3" t="s">
        <v>22</v>
      </c>
      <c r="P3352" t="s">
        <v>114</v>
      </c>
      <c r="Q3352" t="s">
        <v>41</v>
      </c>
      <c r="R3352">
        <v>4</v>
      </c>
      <c r="S3352" t="s">
        <v>48</v>
      </c>
      <c r="T3352" s="4">
        <f t="shared" si="264"/>
        <v>173183.16</v>
      </c>
      <c r="U3352" s="4" t="str">
        <f t="shared" si="265"/>
        <v>Good</v>
      </c>
      <c r="V3352" s="4" t="str">
        <f t="shared" si="261"/>
        <v>Good</v>
      </c>
      <c r="W3352" s="4"/>
      <c r="X3352" s="4"/>
      <c r="AJ3352" s="4"/>
    </row>
    <row r="3353" spans="1:36">
      <c r="A3353" t="str">
        <f t="shared" si="262"/>
        <v>Vino213352</v>
      </c>
      <c r="B3353">
        <v>3352</v>
      </c>
      <c r="C3353">
        <v>22</v>
      </c>
      <c r="D3353">
        <v>5</v>
      </c>
      <c r="E3353">
        <v>2024</v>
      </c>
      <c r="F3353" s="1">
        <f t="shared" si="263"/>
        <v>45434</v>
      </c>
      <c r="G3353" s="1" t="s">
        <v>592</v>
      </c>
      <c r="H3353" s="2">
        <v>47829</v>
      </c>
      <c r="I3353" t="s">
        <v>26</v>
      </c>
      <c r="J3353">
        <v>1</v>
      </c>
      <c r="K3353">
        <v>12977.48</v>
      </c>
      <c r="L3353" t="s">
        <v>656</v>
      </c>
      <c r="M3353">
        <v>21</v>
      </c>
      <c r="N3353" t="s">
        <v>36</v>
      </c>
      <c r="O3353" s="3" t="s">
        <v>22</v>
      </c>
      <c r="P3353" t="s">
        <v>77</v>
      </c>
      <c r="Q3353" t="s">
        <v>41</v>
      </c>
      <c r="R3353">
        <v>5</v>
      </c>
      <c r="S3353" t="s">
        <v>34</v>
      </c>
      <c r="T3353" s="4">
        <f t="shared" si="264"/>
        <v>12977.48</v>
      </c>
      <c r="U3353" s="4" t="str">
        <f t="shared" si="265"/>
        <v>Good</v>
      </c>
      <c r="V3353" s="4" t="str">
        <f t="shared" si="261"/>
        <v>Low</v>
      </c>
      <c r="W3353" s="4"/>
      <c r="X3353" s="4"/>
      <c r="AJ3353" s="4"/>
    </row>
    <row r="3354" spans="1:36">
      <c r="A3354" t="str">
        <f t="shared" si="262"/>
        <v>Anja593353</v>
      </c>
      <c r="B3354">
        <v>3353</v>
      </c>
      <c r="C3354">
        <v>22</v>
      </c>
      <c r="D3354">
        <v>5</v>
      </c>
      <c r="E3354">
        <v>2024</v>
      </c>
      <c r="F3354" s="1">
        <f t="shared" si="263"/>
        <v>45434</v>
      </c>
      <c r="G3354" s="1" t="s">
        <v>592</v>
      </c>
      <c r="H3354" s="2">
        <v>47830</v>
      </c>
      <c r="I3354" t="s">
        <v>19</v>
      </c>
      <c r="J3354">
        <v>2</v>
      </c>
      <c r="K3354">
        <v>61305.32</v>
      </c>
      <c r="L3354" t="s">
        <v>280</v>
      </c>
      <c r="M3354">
        <v>59</v>
      </c>
      <c r="N3354" t="s">
        <v>61</v>
      </c>
      <c r="O3354" s="3" t="s">
        <v>28</v>
      </c>
      <c r="P3354" t="s">
        <v>33</v>
      </c>
      <c r="Q3354" t="s">
        <v>41</v>
      </c>
      <c r="R3354">
        <v>3</v>
      </c>
      <c r="S3354" t="s">
        <v>84</v>
      </c>
      <c r="T3354" s="4">
        <f t="shared" si="264"/>
        <v>122610.64</v>
      </c>
      <c r="U3354" s="4" t="str">
        <f t="shared" si="265"/>
        <v>Average</v>
      </c>
      <c r="V3354" s="4" t="str">
        <f t="shared" si="261"/>
        <v>Good</v>
      </c>
      <c r="W3354" s="4"/>
      <c r="X3354" s="4"/>
      <c r="AJ3354" s="4"/>
    </row>
    <row r="3355" spans="1:36">
      <c r="A3355" t="str">
        <f t="shared" si="262"/>
        <v>Radh313354</v>
      </c>
      <c r="B3355">
        <v>3354</v>
      </c>
      <c r="C3355">
        <v>22</v>
      </c>
      <c r="D3355">
        <v>5</v>
      </c>
      <c r="E3355">
        <v>2024</v>
      </c>
      <c r="F3355" s="1">
        <f t="shared" si="263"/>
        <v>45434</v>
      </c>
      <c r="G3355" s="1" t="s">
        <v>592</v>
      </c>
      <c r="H3355" s="2">
        <v>47831</v>
      </c>
      <c r="I3355" t="s">
        <v>43</v>
      </c>
      <c r="J3355">
        <v>6</v>
      </c>
      <c r="K3355">
        <v>49489.75</v>
      </c>
      <c r="L3355" t="s">
        <v>624</v>
      </c>
      <c r="M3355">
        <v>31</v>
      </c>
      <c r="N3355" t="s">
        <v>21</v>
      </c>
      <c r="O3355" s="3" t="s">
        <v>22</v>
      </c>
      <c r="P3355" t="s">
        <v>66</v>
      </c>
      <c r="Q3355" t="s">
        <v>24</v>
      </c>
      <c r="R3355">
        <v>5</v>
      </c>
      <c r="S3355" t="s">
        <v>46</v>
      </c>
      <c r="T3355" s="4">
        <f t="shared" si="264"/>
        <v>296938.5</v>
      </c>
      <c r="U3355" s="4" t="str">
        <f t="shared" si="265"/>
        <v>Good</v>
      </c>
      <c r="V3355" s="4" t="str">
        <f t="shared" si="261"/>
        <v>Excellent</v>
      </c>
      <c r="W3355" s="4"/>
      <c r="X3355" s="4"/>
      <c r="AJ3355" s="4"/>
    </row>
    <row r="3356" spans="1:36">
      <c r="A3356" t="str">
        <f t="shared" si="262"/>
        <v>Ravi563355</v>
      </c>
      <c r="B3356">
        <v>3355</v>
      </c>
      <c r="C3356">
        <v>23</v>
      </c>
      <c r="D3356">
        <v>5</v>
      </c>
      <c r="E3356">
        <v>2024</v>
      </c>
      <c r="F3356" s="1">
        <f t="shared" si="263"/>
        <v>45435</v>
      </c>
      <c r="G3356" s="1" t="s">
        <v>592</v>
      </c>
      <c r="H3356" s="2">
        <v>47832</v>
      </c>
      <c r="I3356" t="s">
        <v>49</v>
      </c>
      <c r="J3356">
        <v>2</v>
      </c>
      <c r="K3356">
        <v>36065.4</v>
      </c>
      <c r="L3356" t="s">
        <v>581</v>
      </c>
      <c r="M3356">
        <v>56</v>
      </c>
      <c r="N3356" t="s">
        <v>61</v>
      </c>
      <c r="O3356" s="3" t="s">
        <v>55</v>
      </c>
      <c r="P3356" t="s">
        <v>33</v>
      </c>
      <c r="Q3356" t="s">
        <v>24</v>
      </c>
      <c r="R3356">
        <v>2</v>
      </c>
      <c r="S3356" t="s">
        <v>102</v>
      </c>
      <c r="T3356" s="4">
        <f t="shared" si="264"/>
        <v>72130.8</v>
      </c>
      <c r="U3356" s="4" t="str">
        <f t="shared" si="265"/>
        <v>Average</v>
      </c>
      <c r="V3356" s="4" t="str">
        <f t="shared" si="261"/>
        <v>Average</v>
      </c>
      <c r="W3356" s="4"/>
      <c r="X3356" s="4"/>
      <c r="AJ3356" s="4"/>
    </row>
    <row r="3357" spans="1:36">
      <c r="A3357" t="str">
        <f t="shared" si="262"/>
        <v>Ravi243356</v>
      </c>
      <c r="B3357">
        <v>3356</v>
      </c>
      <c r="C3357">
        <v>23</v>
      </c>
      <c r="D3357">
        <v>5</v>
      </c>
      <c r="E3357">
        <v>2024</v>
      </c>
      <c r="F3357" s="1">
        <f t="shared" si="263"/>
        <v>45435</v>
      </c>
      <c r="G3357" s="1" t="s">
        <v>592</v>
      </c>
      <c r="H3357" s="2">
        <v>47833</v>
      </c>
      <c r="I3357" t="s">
        <v>49</v>
      </c>
      <c r="J3357">
        <v>6</v>
      </c>
      <c r="K3357">
        <v>30785.97</v>
      </c>
      <c r="L3357" t="s">
        <v>696</v>
      </c>
      <c r="M3357">
        <v>24</v>
      </c>
      <c r="N3357" t="s">
        <v>36</v>
      </c>
      <c r="O3357" s="3" t="s">
        <v>55</v>
      </c>
      <c r="P3357" t="s">
        <v>23</v>
      </c>
      <c r="Q3357" t="s">
        <v>30</v>
      </c>
      <c r="R3357">
        <v>1</v>
      </c>
      <c r="S3357" t="s">
        <v>52</v>
      </c>
      <c r="T3357" s="4">
        <f t="shared" si="264"/>
        <v>184715.82</v>
      </c>
      <c r="U3357" s="4" t="str">
        <f t="shared" si="265"/>
        <v>Average</v>
      </c>
      <c r="V3357" s="4" t="str">
        <f t="shared" si="261"/>
        <v>Good</v>
      </c>
      <c r="W3357" s="4"/>
      <c r="X3357" s="4"/>
      <c r="AJ3357" s="4"/>
    </row>
    <row r="3358" spans="1:36">
      <c r="A3358" t="str">
        <f t="shared" si="262"/>
        <v>Lali253357</v>
      </c>
      <c r="B3358">
        <v>3357</v>
      </c>
      <c r="C3358">
        <v>23</v>
      </c>
      <c r="D3358">
        <v>5</v>
      </c>
      <c r="E3358">
        <v>2024</v>
      </c>
      <c r="F3358" s="1">
        <f t="shared" si="263"/>
        <v>45435</v>
      </c>
      <c r="G3358" s="1" t="s">
        <v>592</v>
      </c>
      <c r="H3358" s="2">
        <v>47834</v>
      </c>
      <c r="I3358" t="s">
        <v>19</v>
      </c>
      <c r="J3358">
        <v>1</v>
      </c>
      <c r="K3358">
        <v>11154.94</v>
      </c>
      <c r="L3358" t="s">
        <v>20</v>
      </c>
      <c r="M3358">
        <v>25</v>
      </c>
      <c r="N3358" t="s">
        <v>36</v>
      </c>
      <c r="O3358" s="3" t="s">
        <v>28</v>
      </c>
      <c r="P3358" t="s">
        <v>51</v>
      </c>
      <c r="Q3358" t="s">
        <v>24</v>
      </c>
      <c r="R3358">
        <v>3</v>
      </c>
      <c r="S3358" t="s">
        <v>37</v>
      </c>
      <c r="T3358" s="4">
        <f t="shared" si="264"/>
        <v>11154.94</v>
      </c>
      <c r="U3358" s="4" t="str">
        <f t="shared" si="265"/>
        <v>Average</v>
      </c>
      <c r="V3358" s="4" t="str">
        <f t="shared" si="261"/>
        <v>Low</v>
      </c>
      <c r="W3358" s="4"/>
      <c r="X3358" s="4"/>
      <c r="AJ3358" s="4"/>
    </row>
    <row r="3359" spans="1:36">
      <c r="A3359" t="str">
        <f t="shared" si="262"/>
        <v>Priy593358</v>
      </c>
      <c r="B3359">
        <v>3358</v>
      </c>
      <c r="C3359">
        <v>24</v>
      </c>
      <c r="D3359">
        <v>5</v>
      </c>
      <c r="E3359">
        <v>2024</v>
      </c>
      <c r="F3359" s="1">
        <f t="shared" si="263"/>
        <v>45436</v>
      </c>
      <c r="G3359" s="1" t="s">
        <v>592</v>
      </c>
      <c r="H3359" s="2">
        <v>47835</v>
      </c>
      <c r="I3359" t="s">
        <v>38</v>
      </c>
      <c r="J3359">
        <v>1</v>
      </c>
      <c r="K3359">
        <v>59512.9</v>
      </c>
      <c r="L3359" t="s">
        <v>354</v>
      </c>
      <c r="M3359">
        <v>59</v>
      </c>
      <c r="N3359" t="s">
        <v>61</v>
      </c>
      <c r="O3359" s="3" t="s">
        <v>22</v>
      </c>
      <c r="P3359" t="s">
        <v>77</v>
      </c>
      <c r="Q3359" t="s">
        <v>24</v>
      </c>
      <c r="R3359">
        <v>4</v>
      </c>
      <c r="S3359" t="s">
        <v>99</v>
      </c>
      <c r="T3359" s="4">
        <f t="shared" si="264"/>
        <v>59512.9</v>
      </c>
      <c r="U3359" s="4" t="str">
        <f t="shared" si="265"/>
        <v>Good</v>
      </c>
      <c r="V3359" s="4" t="str">
        <f t="shared" si="261"/>
        <v>Average</v>
      </c>
      <c r="W3359" s="4"/>
      <c r="X3359" s="4"/>
      <c r="AJ3359" s="4"/>
    </row>
    <row r="3360" spans="1:36">
      <c r="A3360" t="str">
        <f t="shared" si="262"/>
        <v>Vino363359</v>
      </c>
      <c r="B3360">
        <v>3359</v>
      </c>
      <c r="C3360">
        <v>24</v>
      </c>
      <c r="D3360">
        <v>5</v>
      </c>
      <c r="E3360">
        <v>2024</v>
      </c>
      <c r="F3360" s="1">
        <f t="shared" si="263"/>
        <v>45436</v>
      </c>
      <c r="G3360" s="1" t="s">
        <v>592</v>
      </c>
      <c r="H3360" s="2">
        <v>47836</v>
      </c>
      <c r="I3360" t="s">
        <v>43</v>
      </c>
      <c r="J3360">
        <v>5</v>
      </c>
      <c r="K3360">
        <v>18563.310000000001</v>
      </c>
      <c r="L3360" t="s">
        <v>1017</v>
      </c>
      <c r="M3360">
        <v>36</v>
      </c>
      <c r="N3360" t="s">
        <v>21</v>
      </c>
      <c r="O3360" s="3" t="s">
        <v>28</v>
      </c>
      <c r="P3360" t="s">
        <v>117</v>
      </c>
      <c r="Q3360" t="s">
        <v>41</v>
      </c>
      <c r="R3360">
        <v>3</v>
      </c>
      <c r="S3360" t="s">
        <v>95</v>
      </c>
      <c r="T3360" s="4">
        <f t="shared" si="264"/>
        <v>92816.55</v>
      </c>
      <c r="U3360" s="4" t="str">
        <f t="shared" si="265"/>
        <v>Average</v>
      </c>
      <c r="V3360" s="4" t="str">
        <f t="shared" si="261"/>
        <v>Average</v>
      </c>
      <c r="W3360" s="4"/>
      <c r="X3360" s="4"/>
      <c r="AJ3360" s="4"/>
    </row>
    <row r="3361" spans="1:36">
      <c r="A3361" t="str">
        <f t="shared" si="262"/>
        <v>Anit193360</v>
      </c>
      <c r="B3361">
        <v>3360</v>
      </c>
      <c r="C3361">
        <v>24</v>
      </c>
      <c r="D3361">
        <v>5</v>
      </c>
      <c r="E3361">
        <v>2024</v>
      </c>
      <c r="F3361" s="1">
        <f t="shared" si="263"/>
        <v>45436</v>
      </c>
      <c r="G3361" s="1" t="s">
        <v>592</v>
      </c>
      <c r="H3361" s="2">
        <v>47837</v>
      </c>
      <c r="I3361" t="s">
        <v>49</v>
      </c>
      <c r="J3361">
        <v>9</v>
      </c>
      <c r="K3361">
        <v>28572.52</v>
      </c>
      <c r="L3361" t="s">
        <v>291</v>
      </c>
      <c r="M3361">
        <v>19</v>
      </c>
      <c r="N3361" t="s">
        <v>36</v>
      </c>
      <c r="O3361" s="3" t="s">
        <v>55</v>
      </c>
      <c r="P3361" t="s">
        <v>29</v>
      </c>
      <c r="Q3361" t="s">
        <v>30</v>
      </c>
      <c r="R3361">
        <v>1</v>
      </c>
      <c r="S3361" t="s">
        <v>52</v>
      </c>
      <c r="T3361" s="4">
        <f t="shared" si="264"/>
        <v>257152.68</v>
      </c>
      <c r="U3361" s="4" t="str">
        <f t="shared" si="265"/>
        <v>Average</v>
      </c>
      <c r="V3361" s="4" t="str">
        <f t="shared" si="261"/>
        <v>Excellent</v>
      </c>
      <c r="W3361" s="4"/>
      <c r="X3361" s="4"/>
      <c r="AJ3361" s="4"/>
    </row>
    <row r="3362" spans="1:36">
      <c r="A3362" t="str">
        <f t="shared" si="262"/>
        <v>Neet183361</v>
      </c>
      <c r="B3362">
        <v>3361</v>
      </c>
      <c r="C3362">
        <v>24</v>
      </c>
      <c r="D3362">
        <v>5</v>
      </c>
      <c r="E3362">
        <v>2024</v>
      </c>
      <c r="F3362" s="1">
        <f t="shared" si="263"/>
        <v>45436</v>
      </c>
      <c r="G3362" s="1" t="s">
        <v>592</v>
      </c>
      <c r="H3362" s="2">
        <v>47838</v>
      </c>
      <c r="I3362" t="s">
        <v>49</v>
      </c>
      <c r="J3362">
        <v>8</v>
      </c>
      <c r="K3362">
        <v>44146.42</v>
      </c>
      <c r="L3362" t="s">
        <v>252</v>
      </c>
      <c r="M3362">
        <v>18</v>
      </c>
      <c r="N3362" t="s">
        <v>36</v>
      </c>
      <c r="O3362" s="3" t="s">
        <v>28</v>
      </c>
      <c r="P3362" t="s">
        <v>70</v>
      </c>
      <c r="Q3362" t="s">
        <v>56</v>
      </c>
      <c r="R3362">
        <v>3</v>
      </c>
      <c r="S3362" t="s">
        <v>88</v>
      </c>
      <c r="T3362" s="4">
        <f t="shared" si="264"/>
        <v>353171.36</v>
      </c>
      <c r="U3362" s="4" t="str">
        <f t="shared" si="265"/>
        <v>Average</v>
      </c>
      <c r="V3362" s="4" t="str">
        <f t="shared" si="261"/>
        <v>Excellent</v>
      </c>
      <c r="W3362" s="4"/>
      <c r="X3362" s="4"/>
      <c r="AJ3362" s="4"/>
    </row>
    <row r="3363" spans="1:36">
      <c r="A3363" t="str">
        <f t="shared" si="262"/>
        <v>Gita593362</v>
      </c>
      <c r="B3363">
        <v>3362</v>
      </c>
      <c r="C3363">
        <v>25</v>
      </c>
      <c r="D3363">
        <v>5</v>
      </c>
      <c r="E3363">
        <v>2024</v>
      </c>
      <c r="F3363" s="1">
        <f t="shared" si="263"/>
        <v>45437</v>
      </c>
      <c r="G3363" s="1" t="s">
        <v>592</v>
      </c>
      <c r="H3363" s="2">
        <v>47839</v>
      </c>
      <c r="I3363" t="s">
        <v>38</v>
      </c>
      <c r="J3363">
        <v>3</v>
      </c>
      <c r="K3363">
        <v>24759.56</v>
      </c>
      <c r="L3363" t="s">
        <v>758</v>
      </c>
      <c r="M3363">
        <v>59</v>
      </c>
      <c r="N3363" t="s">
        <v>61</v>
      </c>
      <c r="O3363" s="3" t="s">
        <v>28</v>
      </c>
      <c r="P3363" t="s">
        <v>66</v>
      </c>
      <c r="Q3363" t="s">
        <v>30</v>
      </c>
      <c r="R3363">
        <v>3</v>
      </c>
      <c r="S3363" t="s">
        <v>42</v>
      </c>
      <c r="T3363" s="4">
        <f t="shared" si="264"/>
        <v>74278.680000000008</v>
      </c>
      <c r="U3363" s="4" t="str">
        <f t="shared" si="265"/>
        <v>Average</v>
      </c>
      <c r="V3363" s="4" t="str">
        <f t="shared" si="261"/>
        <v>Average</v>
      </c>
      <c r="W3363" s="4"/>
      <c r="X3363" s="4"/>
      <c r="AJ3363" s="4"/>
    </row>
    <row r="3364" spans="1:36">
      <c r="A3364" t="str">
        <f t="shared" si="262"/>
        <v>Nikh553363</v>
      </c>
      <c r="B3364">
        <v>3363</v>
      </c>
      <c r="C3364">
        <v>25</v>
      </c>
      <c r="D3364">
        <v>5</v>
      </c>
      <c r="E3364">
        <v>2024</v>
      </c>
      <c r="F3364" s="1">
        <f t="shared" si="263"/>
        <v>45437</v>
      </c>
      <c r="G3364" s="1" t="s">
        <v>592</v>
      </c>
      <c r="H3364" s="2">
        <v>47840</v>
      </c>
      <c r="I3364" t="s">
        <v>19</v>
      </c>
      <c r="J3364">
        <v>3</v>
      </c>
      <c r="K3364">
        <v>39828.43</v>
      </c>
      <c r="L3364" t="s">
        <v>138</v>
      </c>
      <c r="M3364">
        <v>55</v>
      </c>
      <c r="N3364" t="s">
        <v>61</v>
      </c>
      <c r="O3364" s="3" t="s">
        <v>28</v>
      </c>
      <c r="P3364" t="s">
        <v>29</v>
      </c>
      <c r="Q3364" t="s">
        <v>24</v>
      </c>
      <c r="R3364">
        <v>3</v>
      </c>
      <c r="S3364" t="s">
        <v>25</v>
      </c>
      <c r="T3364" s="4">
        <f t="shared" si="264"/>
        <v>119485.29000000001</v>
      </c>
      <c r="U3364" s="4" t="str">
        <f t="shared" si="265"/>
        <v>Average</v>
      </c>
      <c r="V3364" s="4" t="str">
        <f t="shared" si="261"/>
        <v>Good</v>
      </c>
      <c r="W3364" s="4"/>
      <c r="X3364" s="4"/>
      <c r="AJ3364" s="4"/>
    </row>
    <row r="3365" spans="1:36">
      <c r="A3365" t="str">
        <f t="shared" si="262"/>
        <v>Umes303364</v>
      </c>
      <c r="B3365">
        <v>3364</v>
      </c>
      <c r="C3365">
        <v>25</v>
      </c>
      <c r="D3365">
        <v>5</v>
      </c>
      <c r="E3365">
        <v>2024</v>
      </c>
      <c r="F3365" s="1">
        <f t="shared" si="263"/>
        <v>45437</v>
      </c>
      <c r="G3365" s="1" t="s">
        <v>592</v>
      </c>
      <c r="H3365" s="2">
        <v>47841</v>
      </c>
      <c r="I3365" t="s">
        <v>43</v>
      </c>
      <c r="J3365">
        <v>1</v>
      </c>
      <c r="K3365">
        <v>58560.57</v>
      </c>
      <c r="L3365" t="s">
        <v>253</v>
      </c>
      <c r="M3365">
        <v>30</v>
      </c>
      <c r="N3365" t="s">
        <v>36</v>
      </c>
      <c r="O3365" s="3" t="s">
        <v>22</v>
      </c>
      <c r="P3365" t="s">
        <v>93</v>
      </c>
      <c r="Q3365" t="s">
        <v>24</v>
      </c>
      <c r="R3365">
        <v>4</v>
      </c>
      <c r="S3365" t="s">
        <v>46</v>
      </c>
      <c r="T3365" s="4">
        <f t="shared" si="264"/>
        <v>58560.57</v>
      </c>
      <c r="U3365" s="4" t="str">
        <f t="shared" si="265"/>
        <v>Good</v>
      </c>
      <c r="V3365" s="4" t="str">
        <f t="shared" si="261"/>
        <v>Average</v>
      </c>
      <c r="W3365" s="4"/>
      <c r="X3365" s="4"/>
      <c r="AJ3365" s="4"/>
    </row>
    <row r="3366" spans="1:36">
      <c r="A3366" t="str">
        <f t="shared" si="262"/>
        <v>Jyot593365</v>
      </c>
      <c r="B3366">
        <v>3365</v>
      </c>
      <c r="C3366">
        <v>26</v>
      </c>
      <c r="D3366">
        <v>5</v>
      </c>
      <c r="E3366">
        <v>2024</v>
      </c>
      <c r="F3366" s="1">
        <f t="shared" si="263"/>
        <v>45438</v>
      </c>
      <c r="G3366" s="1" t="s">
        <v>592</v>
      </c>
      <c r="H3366" s="2">
        <v>47842</v>
      </c>
      <c r="I3366" t="s">
        <v>19</v>
      </c>
      <c r="J3366">
        <v>3</v>
      </c>
      <c r="K3366">
        <v>38232.28</v>
      </c>
      <c r="L3366" t="s">
        <v>1037</v>
      </c>
      <c r="M3366">
        <v>59</v>
      </c>
      <c r="N3366" t="s">
        <v>61</v>
      </c>
      <c r="O3366" s="3" t="s">
        <v>55</v>
      </c>
      <c r="P3366" t="s">
        <v>29</v>
      </c>
      <c r="Q3366" t="s">
        <v>41</v>
      </c>
      <c r="R3366">
        <v>1</v>
      </c>
      <c r="S3366" t="s">
        <v>84</v>
      </c>
      <c r="T3366" s="4">
        <f t="shared" si="264"/>
        <v>114696.84</v>
      </c>
      <c r="U3366" s="4" t="str">
        <f t="shared" si="265"/>
        <v>Average</v>
      </c>
      <c r="V3366" s="4" t="str">
        <f t="shared" si="261"/>
        <v>Good</v>
      </c>
      <c r="W3366" s="4"/>
      <c r="X3366" s="4"/>
      <c r="AJ3366" s="4"/>
    </row>
    <row r="3367" spans="1:36">
      <c r="A3367" t="str">
        <f t="shared" si="262"/>
        <v>Jyot413366</v>
      </c>
      <c r="B3367">
        <v>3366</v>
      </c>
      <c r="C3367">
        <v>26</v>
      </c>
      <c r="D3367">
        <v>5</v>
      </c>
      <c r="E3367">
        <v>2024</v>
      </c>
      <c r="F3367" s="1">
        <f t="shared" si="263"/>
        <v>45438</v>
      </c>
      <c r="G3367" s="1" t="s">
        <v>592</v>
      </c>
      <c r="H3367" s="2">
        <v>47843</v>
      </c>
      <c r="I3367" t="s">
        <v>19</v>
      </c>
      <c r="J3367">
        <v>1</v>
      </c>
      <c r="K3367">
        <v>66938.64</v>
      </c>
      <c r="L3367" t="s">
        <v>103</v>
      </c>
      <c r="M3367">
        <v>41</v>
      </c>
      <c r="N3367" t="s">
        <v>21</v>
      </c>
      <c r="O3367" s="3" t="s">
        <v>55</v>
      </c>
      <c r="P3367" t="s">
        <v>90</v>
      </c>
      <c r="Q3367" t="s">
        <v>56</v>
      </c>
      <c r="R3367">
        <v>1</v>
      </c>
      <c r="S3367" t="s">
        <v>25</v>
      </c>
      <c r="T3367" s="4">
        <f t="shared" si="264"/>
        <v>66938.64</v>
      </c>
      <c r="U3367" s="4" t="str">
        <f t="shared" si="265"/>
        <v>Average</v>
      </c>
      <c r="V3367" s="4" t="str">
        <f t="shared" si="261"/>
        <v>Average</v>
      </c>
      <c r="W3367" s="4"/>
      <c r="X3367" s="4"/>
      <c r="AJ3367" s="4"/>
    </row>
    <row r="3368" spans="1:36">
      <c r="A3368" t="str">
        <f t="shared" si="262"/>
        <v>Kris493367</v>
      </c>
      <c r="B3368">
        <v>3367</v>
      </c>
      <c r="C3368">
        <v>26</v>
      </c>
      <c r="D3368">
        <v>5</v>
      </c>
      <c r="E3368">
        <v>2024</v>
      </c>
      <c r="F3368" s="1">
        <f t="shared" si="263"/>
        <v>45438</v>
      </c>
      <c r="G3368" s="1" t="s">
        <v>592</v>
      </c>
      <c r="H3368" s="2">
        <v>47844</v>
      </c>
      <c r="I3368" t="s">
        <v>43</v>
      </c>
      <c r="J3368">
        <v>8</v>
      </c>
      <c r="K3368">
        <v>60850.04</v>
      </c>
      <c r="L3368" t="s">
        <v>723</v>
      </c>
      <c r="M3368">
        <v>49</v>
      </c>
      <c r="N3368" t="s">
        <v>61</v>
      </c>
      <c r="O3368" s="3" t="s">
        <v>22</v>
      </c>
      <c r="P3368" t="s">
        <v>33</v>
      </c>
      <c r="Q3368" t="s">
        <v>56</v>
      </c>
      <c r="R3368">
        <v>4</v>
      </c>
      <c r="S3368" t="s">
        <v>57</v>
      </c>
      <c r="T3368" s="4">
        <f t="shared" si="264"/>
        <v>486800.32</v>
      </c>
      <c r="U3368" s="4" t="str">
        <f t="shared" si="265"/>
        <v>Good</v>
      </c>
      <c r="V3368" s="4" t="str">
        <f t="shared" si="261"/>
        <v>Excellent</v>
      </c>
      <c r="W3368" s="4"/>
      <c r="X3368" s="4"/>
      <c r="AJ3368" s="4"/>
    </row>
    <row r="3369" spans="1:36">
      <c r="A3369" t="str">
        <f t="shared" si="262"/>
        <v>Tanu473368</v>
      </c>
      <c r="B3369">
        <v>3368</v>
      </c>
      <c r="C3369">
        <v>27</v>
      </c>
      <c r="D3369">
        <v>5</v>
      </c>
      <c r="E3369">
        <v>2024</v>
      </c>
      <c r="F3369" s="1">
        <f t="shared" si="263"/>
        <v>45439</v>
      </c>
      <c r="G3369" s="1" t="s">
        <v>592</v>
      </c>
      <c r="H3369" s="2">
        <v>47845</v>
      </c>
      <c r="I3369" t="s">
        <v>43</v>
      </c>
      <c r="J3369">
        <v>1</v>
      </c>
      <c r="K3369">
        <v>29982.35</v>
      </c>
      <c r="L3369" t="s">
        <v>1043</v>
      </c>
      <c r="M3369">
        <v>47</v>
      </c>
      <c r="N3369" t="s">
        <v>61</v>
      </c>
      <c r="O3369" s="3" t="s">
        <v>28</v>
      </c>
      <c r="P3369" t="s">
        <v>90</v>
      </c>
      <c r="Q3369" t="s">
        <v>56</v>
      </c>
      <c r="R3369">
        <v>3</v>
      </c>
      <c r="S3369" t="s">
        <v>57</v>
      </c>
      <c r="T3369" s="4">
        <f t="shared" si="264"/>
        <v>29982.35</v>
      </c>
      <c r="U3369" s="4" t="str">
        <f t="shared" si="265"/>
        <v>Average</v>
      </c>
      <c r="V3369" s="4" t="str">
        <f t="shared" si="261"/>
        <v>Low</v>
      </c>
      <c r="W3369" s="4"/>
      <c r="X3369" s="4"/>
      <c r="AJ3369" s="4"/>
    </row>
    <row r="3370" spans="1:36">
      <c r="A3370" t="str">
        <f t="shared" si="262"/>
        <v>Tapa233369</v>
      </c>
      <c r="B3370">
        <v>3369</v>
      </c>
      <c r="C3370">
        <v>27</v>
      </c>
      <c r="D3370">
        <v>5</v>
      </c>
      <c r="E3370">
        <v>2024</v>
      </c>
      <c r="F3370" s="1">
        <f t="shared" si="263"/>
        <v>45439</v>
      </c>
      <c r="G3370" s="1" t="s">
        <v>592</v>
      </c>
      <c r="H3370" s="2">
        <v>47846</v>
      </c>
      <c r="I3370" t="s">
        <v>49</v>
      </c>
      <c r="J3370">
        <v>5</v>
      </c>
      <c r="K3370">
        <v>33997.730000000003</v>
      </c>
      <c r="L3370" t="s">
        <v>380</v>
      </c>
      <c r="M3370">
        <v>23</v>
      </c>
      <c r="N3370" t="s">
        <v>36</v>
      </c>
      <c r="O3370" s="3" t="s">
        <v>28</v>
      </c>
      <c r="P3370" t="s">
        <v>110</v>
      </c>
      <c r="Q3370" t="s">
        <v>24</v>
      </c>
      <c r="R3370">
        <v>3</v>
      </c>
      <c r="S3370" t="s">
        <v>52</v>
      </c>
      <c r="T3370" s="4">
        <f t="shared" si="264"/>
        <v>169988.65000000002</v>
      </c>
      <c r="U3370" s="4" t="str">
        <f t="shared" si="265"/>
        <v>Average</v>
      </c>
      <c r="V3370" s="4" t="str">
        <f t="shared" si="261"/>
        <v>Good</v>
      </c>
      <c r="W3370" s="4"/>
      <c r="X3370" s="4"/>
      <c r="AJ3370" s="4"/>
    </row>
    <row r="3371" spans="1:36">
      <c r="A3371" t="str">
        <f t="shared" si="262"/>
        <v>Adit553370</v>
      </c>
      <c r="B3371">
        <v>3370</v>
      </c>
      <c r="C3371">
        <v>27</v>
      </c>
      <c r="D3371">
        <v>5</v>
      </c>
      <c r="E3371">
        <v>2024</v>
      </c>
      <c r="F3371" s="1">
        <f t="shared" si="263"/>
        <v>45439</v>
      </c>
      <c r="G3371" s="1" t="s">
        <v>592</v>
      </c>
      <c r="H3371" s="2">
        <v>47847</v>
      </c>
      <c r="I3371" t="s">
        <v>49</v>
      </c>
      <c r="J3371">
        <v>9</v>
      </c>
      <c r="K3371">
        <v>35399.599999999999</v>
      </c>
      <c r="L3371" t="s">
        <v>897</v>
      </c>
      <c r="M3371">
        <v>55</v>
      </c>
      <c r="N3371" t="s">
        <v>61</v>
      </c>
      <c r="O3371" s="3" t="s">
        <v>55</v>
      </c>
      <c r="P3371" t="s">
        <v>59</v>
      </c>
      <c r="Q3371" t="s">
        <v>24</v>
      </c>
      <c r="R3371">
        <v>1</v>
      </c>
      <c r="S3371" t="s">
        <v>52</v>
      </c>
      <c r="T3371" s="4">
        <f t="shared" si="264"/>
        <v>318596.39999999997</v>
      </c>
      <c r="U3371" s="4" t="str">
        <f t="shared" si="265"/>
        <v>Average</v>
      </c>
      <c r="V3371" s="4" t="str">
        <f t="shared" si="261"/>
        <v>Excellent</v>
      </c>
      <c r="W3371" s="4"/>
      <c r="X3371" s="4"/>
      <c r="AJ3371" s="4"/>
    </row>
    <row r="3372" spans="1:36">
      <c r="A3372" t="str">
        <f t="shared" si="262"/>
        <v>Yoge503371</v>
      </c>
      <c r="B3372">
        <v>3371</v>
      </c>
      <c r="C3372">
        <v>28</v>
      </c>
      <c r="D3372">
        <v>5</v>
      </c>
      <c r="E3372">
        <v>2024</v>
      </c>
      <c r="F3372" s="1">
        <f t="shared" si="263"/>
        <v>45440</v>
      </c>
      <c r="G3372" s="1" t="s">
        <v>592</v>
      </c>
      <c r="H3372" s="2">
        <v>47848</v>
      </c>
      <c r="I3372" t="s">
        <v>43</v>
      </c>
      <c r="J3372">
        <v>7</v>
      </c>
      <c r="K3372">
        <v>47570.77</v>
      </c>
      <c r="L3372" t="s">
        <v>578</v>
      </c>
      <c r="M3372">
        <v>50</v>
      </c>
      <c r="N3372" t="s">
        <v>61</v>
      </c>
      <c r="O3372" s="3" t="s">
        <v>28</v>
      </c>
      <c r="P3372" t="s">
        <v>66</v>
      </c>
      <c r="Q3372" t="s">
        <v>30</v>
      </c>
      <c r="R3372">
        <v>3</v>
      </c>
      <c r="S3372" t="s">
        <v>95</v>
      </c>
      <c r="T3372" s="4">
        <f t="shared" si="264"/>
        <v>332995.38999999996</v>
      </c>
      <c r="U3372" s="4" t="str">
        <f t="shared" si="265"/>
        <v>Average</v>
      </c>
      <c r="V3372" s="4" t="str">
        <f t="shared" si="261"/>
        <v>Excellent</v>
      </c>
      <c r="W3372" s="4"/>
      <c r="X3372" s="4"/>
      <c r="AJ3372" s="4"/>
    </row>
    <row r="3373" spans="1:36">
      <c r="A3373" t="str">
        <f t="shared" si="262"/>
        <v>Vive403372</v>
      </c>
      <c r="B3373">
        <v>3372</v>
      </c>
      <c r="C3373">
        <v>28</v>
      </c>
      <c r="D3373">
        <v>5</v>
      </c>
      <c r="E3373">
        <v>2024</v>
      </c>
      <c r="F3373" s="1">
        <f t="shared" si="263"/>
        <v>45440</v>
      </c>
      <c r="G3373" s="1" t="s">
        <v>592</v>
      </c>
      <c r="H3373" s="2">
        <v>47849</v>
      </c>
      <c r="I3373" t="s">
        <v>26</v>
      </c>
      <c r="J3373">
        <v>4</v>
      </c>
      <c r="K3373">
        <v>27207.74</v>
      </c>
      <c r="L3373" t="s">
        <v>233</v>
      </c>
      <c r="M3373">
        <v>40</v>
      </c>
      <c r="N3373" t="s">
        <v>21</v>
      </c>
      <c r="O3373" s="3" t="s">
        <v>55</v>
      </c>
      <c r="P3373" t="s">
        <v>59</v>
      </c>
      <c r="Q3373" t="s">
        <v>24</v>
      </c>
      <c r="R3373">
        <v>2</v>
      </c>
      <c r="S3373" t="s">
        <v>67</v>
      </c>
      <c r="T3373" s="4">
        <f t="shared" si="264"/>
        <v>108830.96</v>
      </c>
      <c r="U3373" s="4" t="str">
        <f t="shared" si="265"/>
        <v>Average</v>
      </c>
      <c r="V3373" s="4" t="str">
        <f t="shared" si="261"/>
        <v>Good</v>
      </c>
      <c r="W3373" s="4"/>
      <c r="X3373" s="4"/>
      <c r="AJ3373" s="4"/>
    </row>
    <row r="3374" spans="1:36">
      <c r="A3374" t="str">
        <f t="shared" si="262"/>
        <v>Nami273373</v>
      </c>
      <c r="B3374">
        <v>3373</v>
      </c>
      <c r="C3374">
        <v>28</v>
      </c>
      <c r="D3374">
        <v>5</v>
      </c>
      <c r="E3374">
        <v>2024</v>
      </c>
      <c r="F3374" s="1">
        <f t="shared" si="263"/>
        <v>45440</v>
      </c>
      <c r="G3374" s="1" t="s">
        <v>592</v>
      </c>
      <c r="H3374" s="2">
        <v>47850</v>
      </c>
      <c r="I3374" t="s">
        <v>49</v>
      </c>
      <c r="J3374">
        <v>9</v>
      </c>
      <c r="K3374">
        <v>68154.95</v>
      </c>
      <c r="L3374" t="s">
        <v>727</v>
      </c>
      <c r="M3374">
        <v>27</v>
      </c>
      <c r="N3374" t="s">
        <v>36</v>
      </c>
      <c r="O3374" s="3" t="s">
        <v>28</v>
      </c>
      <c r="P3374" t="s">
        <v>29</v>
      </c>
      <c r="Q3374" t="s">
        <v>56</v>
      </c>
      <c r="R3374">
        <v>3</v>
      </c>
      <c r="S3374" t="s">
        <v>88</v>
      </c>
      <c r="T3374" s="4">
        <f t="shared" si="264"/>
        <v>613394.54999999993</v>
      </c>
      <c r="U3374" s="4" t="str">
        <f t="shared" si="265"/>
        <v>Average</v>
      </c>
      <c r="V3374" s="4" t="str">
        <f t="shared" si="261"/>
        <v>Excellent</v>
      </c>
      <c r="W3374" s="4"/>
      <c r="X3374" s="4"/>
      <c r="AJ3374" s="4"/>
    </row>
    <row r="3375" spans="1:36">
      <c r="A3375" t="str">
        <f t="shared" si="262"/>
        <v>Isha323374</v>
      </c>
      <c r="B3375">
        <v>3374</v>
      </c>
      <c r="C3375">
        <v>28</v>
      </c>
      <c r="D3375">
        <v>5</v>
      </c>
      <c r="E3375">
        <v>2024</v>
      </c>
      <c r="F3375" s="1">
        <f t="shared" si="263"/>
        <v>45440</v>
      </c>
      <c r="G3375" s="1" t="s">
        <v>592</v>
      </c>
      <c r="H3375" s="2">
        <v>47851</v>
      </c>
      <c r="I3375" t="s">
        <v>26</v>
      </c>
      <c r="J3375">
        <v>9</v>
      </c>
      <c r="K3375">
        <v>46521.05</v>
      </c>
      <c r="L3375" t="s">
        <v>1057</v>
      </c>
      <c r="M3375">
        <v>32</v>
      </c>
      <c r="N3375" t="s">
        <v>21</v>
      </c>
      <c r="O3375" s="3" t="s">
        <v>28</v>
      </c>
      <c r="P3375" t="s">
        <v>33</v>
      </c>
      <c r="Q3375" t="s">
        <v>56</v>
      </c>
      <c r="R3375">
        <v>3</v>
      </c>
      <c r="S3375" t="s">
        <v>31</v>
      </c>
      <c r="T3375" s="4">
        <f t="shared" si="264"/>
        <v>418689.45</v>
      </c>
      <c r="U3375" s="4" t="str">
        <f t="shared" si="265"/>
        <v>Average</v>
      </c>
      <c r="V3375" s="4" t="str">
        <f t="shared" si="261"/>
        <v>Excellent</v>
      </c>
      <c r="W3375" s="4"/>
      <c r="X3375" s="4"/>
      <c r="AJ3375" s="4"/>
    </row>
    <row r="3376" spans="1:36">
      <c r="A3376" t="str">
        <f t="shared" si="262"/>
        <v>Pras403375</v>
      </c>
      <c r="B3376">
        <v>3375</v>
      </c>
      <c r="C3376">
        <v>29</v>
      </c>
      <c r="D3376">
        <v>5</v>
      </c>
      <c r="E3376">
        <v>2024</v>
      </c>
      <c r="F3376" s="1">
        <f t="shared" si="263"/>
        <v>45441</v>
      </c>
      <c r="G3376" s="1" t="s">
        <v>592</v>
      </c>
      <c r="H3376" s="2">
        <v>47852</v>
      </c>
      <c r="I3376" t="s">
        <v>43</v>
      </c>
      <c r="J3376">
        <v>2</v>
      </c>
      <c r="K3376">
        <v>33964.1</v>
      </c>
      <c r="L3376" t="s">
        <v>778</v>
      </c>
      <c r="M3376">
        <v>40</v>
      </c>
      <c r="N3376" t="s">
        <v>21</v>
      </c>
      <c r="O3376" s="3" t="s">
        <v>22</v>
      </c>
      <c r="P3376" t="s">
        <v>137</v>
      </c>
      <c r="Q3376" t="s">
        <v>56</v>
      </c>
      <c r="R3376">
        <v>5</v>
      </c>
      <c r="S3376" t="s">
        <v>57</v>
      </c>
      <c r="T3376" s="4">
        <f t="shared" si="264"/>
        <v>67928.2</v>
      </c>
      <c r="U3376" s="4" t="str">
        <f t="shared" si="265"/>
        <v>Good</v>
      </c>
      <c r="V3376" s="4" t="str">
        <f t="shared" si="261"/>
        <v>Average</v>
      </c>
      <c r="W3376" s="4"/>
      <c r="X3376" s="4"/>
      <c r="AJ3376" s="4"/>
    </row>
    <row r="3377" spans="1:36">
      <c r="A3377" t="str">
        <f t="shared" si="262"/>
        <v>Vive533376</v>
      </c>
      <c r="B3377">
        <v>3376</v>
      </c>
      <c r="C3377">
        <v>29</v>
      </c>
      <c r="D3377">
        <v>5</v>
      </c>
      <c r="E3377">
        <v>2024</v>
      </c>
      <c r="F3377" s="1">
        <f t="shared" si="263"/>
        <v>45441</v>
      </c>
      <c r="G3377" s="1" t="s">
        <v>592</v>
      </c>
      <c r="H3377" s="2">
        <v>47853</v>
      </c>
      <c r="I3377" t="s">
        <v>49</v>
      </c>
      <c r="J3377">
        <v>6</v>
      </c>
      <c r="K3377">
        <v>48700.59</v>
      </c>
      <c r="L3377" t="s">
        <v>401</v>
      </c>
      <c r="M3377">
        <v>53</v>
      </c>
      <c r="N3377" t="s">
        <v>61</v>
      </c>
      <c r="O3377" s="3" t="s">
        <v>55</v>
      </c>
      <c r="P3377" t="s">
        <v>64</v>
      </c>
      <c r="Q3377" t="s">
        <v>41</v>
      </c>
      <c r="R3377">
        <v>1</v>
      </c>
      <c r="S3377" t="s">
        <v>88</v>
      </c>
      <c r="T3377" s="4">
        <f t="shared" si="264"/>
        <v>292203.53999999998</v>
      </c>
      <c r="U3377" s="4" t="str">
        <f t="shared" si="265"/>
        <v>Average</v>
      </c>
      <c r="V3377" s="4" t="str">
        <f t="shared" si="261"/>
        <v>Excellent</v>
      </c>
      <c r="W3377" s="4"/>
      <c r="X3377" s="4"/>
      <c r="AJ3377" s="4"/>
    </row>
    <row r="3378" spans="1:36">
      <c r="A3378" t="str">
        <f t="shared" si="262"/>
        <v>Reen183377</v>
      </c>
      <c r="B3378">
        <v>3377</v>
      </c>
      <c r="C3378">
        <v>29</v>
      </c>
      <c r="D3378">
        <v>5</v>
      </c>
      <c r="E3378">
        <v>2024</v>
      </c>
      <c r="F3378" s="1">
        <f t="shared" si="263"/>
        <v>45441</v>
      </c>
      <c r="G3378" s="1" t="s">
        <v>592</v>
      </c>
      <c r="H3378" s="2">
        <v>47854</v>
      </c>
      <c r="I3378" t="s">
        <v>19</v>
      </c>
      <c r="J3378">
        <v>4</v>
      </c>
      <c r="K3378">
        <v>33724.300000000003</v>
      </c>
      <c r="L3378" t="s">
        <v>161</v>
      </c>
      <c r="M3378">
        <v>18</v>
      </c>
      <c r="N3378" t="s">
        <v>36</v>
      </c>
      <c r="O3378" s="3" t="s">
        <v>55</v>
      </c>
      <c r="P3378" t="s">
        <v>110</v>
      </c>
      <c r="Q3378" t="s">
        <v>30</v>
      </c>
      <c r="R3378">
        <v>1</v>
      </c>
      <c r="S3378" t="s">
        <v>84</v>
      </c>
      <c r="T3378" s="4">
        <f t="shared" si="264"/>
        <v>134897.20000000001</v>
      </c>
      <c r="U3378" s="4" t="str">
        <f t="shared" si="265"/>
        <v>Average</v>
      </c>
      <c r="V3378" s="4" t="str">
        <f t="shared" si="261"/>
        <v>Good</v>
      </c>
      <c r="W3378" s="4"/>
      <c r="X3378" s="4"/>
      <c r="AJ3378" s="4"/>
    </row>
    <row r="3379" spans="1:36">
      <c r="A3379" t="str">
        <f t="shared" si="262"/>
        <v>Deep253378</v>
      </c>
      <c r="B3379">
        <v>3378</v>
      </c>
      <c r="C3379">
        <v>30</v>
      </c>
      <c r="D3379">
        <v>5</v>
      </c>
      <c r="E3379">
        <v>2024</v>
      </c>
      <c r="F3379" s="1">
        <f t="shared" si="263"/>
        <v>45442</v>
      </c>
      <c r="G3379" s="1" t="s">
        <v>592</v>
      </c>
      <c r="H3379" s="2">
        <v>47855</v>
      </c>
      <c r="I3379" t="s">
        <v>43</v>
      </c>
      <c r="J3379">
        <v>8</v>
      </c>
      <c r="K3379">
        <v>59067.74</v>
      </c>
      <c r="L3379" t="s">
        <v>664</v>
      </c>
      <c r="M3379">
        <v>25</v>
      </c>
      <c r="N3379" t="s">
        <v>36</v>
      </c>
      <c r="O3379" s="3" t="s">
        <v>55</v>
      </c>
      <c r="P3379" t="s">
        <v>29</v>
      </c>
      <c r="Q3379" t="s">
        <v>30</v>
      </c>
      <c r="R3379">
        <v>2</v>
      </c>
      <c r="S3379" t="s">
        <v>95</v>
      </c>
      <c r="T3379" s="4">
        <f t="shared" si="264"/>
        <v>472541.92</v>
      </c>
      <c r="U3379" s="4" t="str">
        <f t="shared" si="265"/>
        <v>Average</v>
      </c>
      <c r="V3379" s="4" t="str">
        <f t="shared" si="261"/>
        <v>Excellent</v>
      </c>
      <c r="W3379" s="4"/>
      <c r="X3379" s="4"/>
      <c r="AJ3379" s="4"/>
    </row>
    <row r="3380" spans="1:36">
      <c r="A3380" t="str">
        <f t="shared" si="262"/>
        <v>Roha203379</v>
      </c>
      <c r="B3380">
        <v>3379</v>
      </c>
      <c r="C3380">
        <v>30</v>
      </c>
      <c r="D3380">
        <v>5</v>
      </c>
      <c r="E3380">
        <v>2024</v>
      </c>
      <c r="F3380" s="1">
        <f t="shared" si="263"/>
        <v>45442</v>
      </c>
      <c r="G3380" s="1" t="s">
        <v>592</v>
      </c>
      <c r="H3380" s="2">
        <v>47856</v>
      </c>
      <c r="I3380" t="s">
        <v>38</v>
      </c>
      <c r="J3380">
        <v>7</v>
      </c>
      <c r="K3380">
        <v>44070.46</v>
      </c>
      <c r="L3380" t="s">
        <v>1058</v>
      </c>
      <c r="M3380">
        <v>20</v>
      </c>
      <c r="N3380" t="s">
        <v>36</v>
      </c>
      <c r="O3380" s="3" t="s">
        <v>55</v>
      </c>
      <c r="P3380" t="s">
        <v>70</v>
      </c>
      <c r="Q3380" t="s">
        <v>24</v>
      </c>
      <c r="R3380">
        <v>2</v>
      </c>
      <c r="S3380" t="s">
        <v>42</v>
      </c>
      <c r="T3380" s="4">
        <f t="shared" si="264"/>
        <v>308493.21999999997</v>
      </c>
      <c r="U3380" s="4" t="str">
        <f t="shared" si="265"/>
        <v>Average</v>
      </c>
      <c r="V3380" s="4" t="str">
        <f t="shared" si="261"/>
        <v>Excellent</v>
      </c>
      <c r="W3380" s="4"/>
      <c r="X3380" s="4"/>
      <c r="AJ3380" s="4"/>
    </row>
    <row r="3381" spans="1:36">
      <c r="A3381" t="str">
        <f t="shared" si="262"/>
        <v>Adit313380</v>
      </c>
      <c r="B3381">
        <v>3380</v>
      </c>
      <c r="C3381">
        <v>30</v>
      </c>
      <c r="D3381">
        <v>5</v>
      </c>
      <c r="E3381">
        <v>2024</v>
      </c>
      <c r="F3381" s="1">
        <f t="shared" si="263"/>
        <v>45442</v>
      </c>
      <c r="G3381" s="1" t="s">
        <v>592</v>
      </c>
      <c r="H3381" s="2">
        <v>47857</v>
      </c>
      <c r="I3381" t="s">
        <v>26</v>
      </c>
      <c r="J3381">
        <v>7</v>
      </c>
      <c r="K3381">
        <v>12518.23</v>
      </c>
      <c r="L3381" t="s">
        <v>474</v>
      </c>
      <c r="M3381">
        <v>31</v>
      </c>
      <c r="N3381" t="s">
        <v>21</v>
      </c>
      <c r="O3381" s="3" t="s">
        <v>55</v>
      </c>
      <c r="P3381" t="s">
        <v>110</v>
      </c>
      <c r="Q3381" t="s">
        <v>41</v>
      </c>
      <c r="R3381">
        <v>2</v>
      </c>
      <c r="S3381" t="s">
        <v>31</v>
      </c>
      <c r="T3381" s="4">
        <f t="shared" si="264"/>
        <v>87627.61</v>
      </c>
      <c r="U3381" s="4" t="str">
        <f t="shared" si="265"/>
        <v>Average</v>
      </c>
      <c r="V3381" s="4" t="str">
        <f t="shared" si="261"/>
        <v>Average</v>
      </c>
      <c r="W3381" s="4"/>
      <c r="X3381" s="4"/>
      <c r="AJ3381" s="4"/>
    </row>
    <row r="3382" spans="1:36">
      <c r="A3382" t="str">
        <f t="shared" si="262"/>
        <v>Priy343381</v>
      </c>
      <c r="B3382">
        <v>3381</v>
      </c>
      <c r="C3382">
        <v>31</v>
      </c>
      <c r="D3382">
        <v>5</v>
      </c>
      <c r="E3382">
        <v>2024</v>
      </c>
      <c r="F3382" s="1">
        <f t="shared" si="263"/>
        <v>45443</v>
      </c>
      <c r="G3382" s="1" t="s">
        <v>592</v>
      </c>
      <c r="H3382" s="2">
        <v>47858</v>
      </c>
      <c r="I3382" t="s">
        <v>43</v>
      </c>
      <c r="J3382">
        <v>9</v>
      </c>
      <c r="K3382">
        <v>20605.41</v>
      </c>
      <c r="L3382" t="s">
        <v>259</v>
      </c>
      <c r="M3382">
        <v>34</v>
      </c>
      <c r="N3382" t="s">
        <v>21</v>
      </c>
      <c r="O3382" s="3" t="s">
        <v>55</v>
      </c>
      <c r="P3382" t="s">
        <v>29</v>
      </c>
      <c r="Q3382" t="s">
        <v>30</v>
      </c>
      <c r="R3382">
        <v>1</v>
      </c>
      <c r="S3382" t="s">
        <v>46</v>
      </c>
      <c r="T3382" s="4">
        <f t="shared" si="264"/>
        <v>185448.69</v>
      </c>
      <c r="U3382" s="4" t="str">
        <f t="shared" si="265"/>
        <v>Average</v>
      </c>
      <c r="V3382" s="4" t="str">
        <f t="shared" si="261"/>
        <v>Good</v>
      </c>
      <c r="W3382" s="4"/>
      <c r="X3382" s="4"/>
      <c r="AJ3382" s="4"/>
    </row>
    <row r="3383" spans="1:36">
      <c r="A3383" t="str">
        <f t="shared" si="262"/>
        <v>Pooj513382</v>
      </c>
      <c r="B3383">
        <v>3382</v>
      </c>
      <c r="C3383">
        <v>31</v>
      </c>
      <c r="D3383">
        <v>5</v>
      </c>
      <c r="E3383">
        <v>2024</v>
      </c>
      <c r="F3383" s="1">
        <f t="shared" si="263"/>
        <v>45443</v>
      </c>
      <c r="G3383" s="1" t="s">
        <v>592</v>
      </c>
      <c r="H3383" s="2">
        <v>47859</v>
      </c>
      <c r="I3383" t="s">
        <v>43</v>
      </c>
      <c r="J3383">
        <v>5</v>
      </c>
      <c r="K3383">
        <v>61899.64</v>
      </c>
      <c r="L3383" t="s">
        <v>951</v>
      </c>
      <c r="M3383">
        <v>51</v>
      </c>
      <c r="N3383" t="s">
        <v>61</v>
      </c>
      <c r="O3383" s="3" t="s">
        <v>22</v>
      </c>
      <c r="P3383" t="s">
        <v>66</v>
      </c>
      <c r="Q3383" t="s">
        <v>41</v>
      </c>
      <c r="R3383">
        <v>5</v>
      </c>
      <c r="S3383" t="s">
        <v>46</v>
      </c>
      <c r="T3383" s="4">
        <f t="shared" si="264"/>
        <v>309498.2</v>
      </c>
      <c r="U3383" s="4" t="str">
        <f t="shared" si="265"/>
        <v>Good</v>
      </c>
      <c r="V3383" s="4" t="str">
        <f t="shared" si="261"/>
        <v>Excellent</v>
      </c>
      <c r="W3383" s="4"/>
      <c r="X3383" s="4"/>
      <c r="AJ3383" s="4"/>
    </row>
    <row r="3384" spans="1:36">
      <c r="A3384" t="str">
        <f t="shared" si="262"/>
        <v>Priy233383</v>
      </c>
      <c r="B3384">
        <v>3383</v>
      </c>
      <c r="C3384">
        <v>31</v>
      </c>
      <c r="D3384">
        <v>5</v>
      </c>
      <c r="E3384">
        <v>2024</v>
      </c>
      <c r="F3384" s="1">
        <f t="shared" si="263"/>
        <v>45443</v>
      </c>
      <c r="G3384" s="1" t="s">
        <v>592</v>
      </c>
      <c r="H3384" s="2">
        <v>47860</v>
      </c>
      <c r="I3384" t="s">
        <v>49</v>
      </c>
      <c r="J3384">
        <v>6</v>
      </c>
      <c r="K3384">
        <v>43773.99</v>
      </c>
      <c r="L3384" t="s">
        <v>506</v>
      </c>
      <c r="M3384">
        <v>23</v>
      </c>
      <c r="N3384" t="s">
        <v>36</v>
      </c>
      <c r="O3384" s="3" t="s">
        <v>22</v>
      </c>
      <c r="P3384" t="s">
        <v>59</v>
      </c>
      <c r="Q3384" t="s">
        <v>41</v>
      </c>
      <c r="R3384">
        <v>5</v>
      </c>
      <c r="S3384" t="s">
        <v>88</v>
      </c>
      <c r="T3384" s="4">
        <f t="shared" si="264"/>
        <v>262643.94</v>
      </c>
      <c r="U3384" s="4" t="str">
        <f t="shared" si="265"/>
        <v>Good</v>
      </c>
      <c r="V3384" s="4" t="str">
        <f t="shared" si="261"/>
        <v>Excellent</v>
      </c>
      <c r="W3384" s="4"/>
      <c r="X3384" s="4"/>
      <c r="AJ3384" s="4"/>
    </row>
    <row r="3385" spans="1:36">
      <c r="A3385" t="str">
        <f t="shared" si="262"/>
        <v>Mala223384</v>
      </c>
      <c r="B3385">
        <v>3384</v>
      </c>
      <c r="C3385">
        <v>1</v>
      </c>
      <c r="D3385">
        <v>6</v>
      </c>
      <c r="E3385">
        <v>2024</v>
      </c>
      <c r="F3385" s="1">
        <f t="shared" si="263"/>
        <v>45444</v>
      </c>
      <c r="G3385" s="1" t="s">
        <v>643</v>
      </c>
      <c r="H3385" s="2">
        <v>47861</v>
      </c>
      <c r="I3385" t="s">
        <v>49</v>
      </c>
      <c r="J3385">
        <v>1</v>
      </c>
      <c r="K3385">
        <v>67020.61</v>
      </c>
      <c r="L3385" t="s">
        <v>1009</v>
      </c>
      <c r="M3385">
        <v>22</v>
      </c>
      <c r="N3385" t="s">
        <v>36</v>
      </c>
      <c r="O3385" s="3" t="s">
        <v>22</v>
      </c>
      <c r="P3385" t="s">
        <v>33</v>
      </c>
      <c r="Q3385" t="s">
        <v>24</v>
      </c>
      <c r="R3385">
        <v>4</v>
      </c>
      <c r="S3385" t="s">
        <v>102</v>
      </c>
      <c r="T3385" s="4">
        <f t="shared" si="264"/>
        <v>67020.61</v>
      </c>
      <c r="U3385" s="4" t="str">
        <f t="shared" si="265"/>
        <v>Good</v>
      </c>
      <c r="V3385" s="4" t="str">
        <f t="shared" si="261"/>
        <v>Average</v>
      </c>
      <c r="W3385" s="4"/>
      <c r="X3385" s="4"/>
      <c r="AJ3385" s="4"/>
    </row>
    <row r="3386" spans="1:36">
      <c r="A3386" t="str">
        <f t="shared" si="262"/>
        <v>Radh583385</v>
      </c>
      <c r="B3386">
        <v>3385</v>
      </c>
      <c r="C3386">
        <v>1</v>
      </c>
      <c r="D3386">
        <v>6</v>
      </c>
      <c r="E3386">
        <v>2024</v>
      </c>
      <c r="F3386" s="1">
        <f t="shared" si="263"/>
        <v>45444</v>
      </c>
      <c r="G3386" s="1" t="s">
        <v>643</v>
      </c>
      <c r="H3386" s="2">
        <v>47862</v>
      </c>
      <c r="I3386" t="s">
        <v>49</v>
      </c>
      <c r="J3386">
        <v>6</v>
      </c>
      <c r="K3386">
        <v>14345.34</v>
      </c>
      <c r="L3386" t="s">
        <v>743</v>
      </c>
      <c r="M3386">
        <v>58</v>
      </c>
      <c r="N3386" t="s">
        <v>61</v>
      </c>
      <c r="O3386" s="3" t="s">
        <v>55</v>
      </c>
      <c r="P3386" t="s">
        <v>40</v>
      </c>
      <c r="Q3386" t="s">
        <v>41</v>
      </c>
      <c r="R3386">
        <v>1</v>
      </c>
      <c r="S3386" t="s">
        <v>88</v>
      </c>
      <c r="T3386" s="4">
        <f t="shared" si="264"/>
        <v>86072.040000000008</v>
      </c>
      <c r="U3386" s="4" t="str">
        <f t="shared" si="265"/>
        <v>Average</v>
      </c>
      <c r="V3386" s="4" t="str">
        <f t="shared" si="261"/>
        <v>Average</v>
      </c>
      <c r="W3386" s="4"/>
      <c r="X3386" s="4"/>
      <c r="AJ3386" s="4"/>
    </row>
    <row r="3387" spans="1:36">
      <c r="A3387" t="str">
        <f t="shared" si="262"/>
        <v>Priy573386</v>
      </c>
      <c r="B3387">
        <v>3386</v>
      </c>
      <c r="C3387">
        <v>1</v>
      </c>
      <c r="D3387">
        <v>6</v>
      </c>
      <c r="E3387">
        <v>2024</v>
      </c>
      <c r="F3387" s="1">
        <f t="shared" si="263"/>
        <v>45444</v>
      </c>
      <c r="G3387" s="1" t="s">
        <v>643</v>
      </c>
      <c r="H3387" s="2">
        <v>47863</v>
      </c>
      <c r="I3387" t="s">
        <v>38</v>
      </c>
      <c r="J3387">
        <v>2</v>
      </c>
      <c r="K3387">
        <v>27715.64</v>
      </c>
      <c r="L3387" t="s">
        <v>812</v>
      </c>
      <c r="M3387">
        <v>57</v>
      </c>
      <c r="N3387" t="s">
        <v>61</v>
      </c>
      <c r="O3387" s="3" t="s">
        <v>22</v>
      </c>
      <c r="P3387" t="s">
        <v>110</v>
      </c>
      <c r="Q3387" t="s">
        <v>30</v>
      </c>
      <c r="R3387">
        <v>4</v>
      </c>
      <c r="S3387" t="s">
        <v>42</v>
      </c>
      <c r="T3387" s="4">
        <f t="shared" si="264"/>
        <v>55431.28</v>
      </c>
      <c r="U3387" s="4" t="str">
        <f t="shared" si="265"/>
        <v>Good</v>
      </c>
      <c r="V3387" s="4" t="str">
        <f t="shared" si="261"/>
        <v>Average</v>
      </c>
      <c r="W3387" s="4"/>
      <c r="X3387" s="4"/>
      <c r="AJ3387" s="4"/>
    </row>
    <row r="3388" spans="1:36">
      <c r="A3388" t="str">
        <f t="shared" si="262"/>
        <v>Ayes463387</v>
      </c>
      <c r="B3388">
        <v>3387</v>
      </c>
      <c r="C3388">
        <v>2</v>
      </c>
      <c r="D3388">
        <v>6</v>
      </c>
      <c r="E3388">
        <v>2024</v>
      </c>
      <c r="F3388" s="1">
        <f t="shared" si="263"/>
        <v>45445</v>
      </c>
      <c r="G3388" s="1" t="s">
        <v>643</v>
      </c>
      <c r="H3388" s="2">
        <v>47864</v>
      </c>
      <c r="I3388" t="s">
        <v>49</v>
      </c>
      <c r="J3388">
        <v>6</v>
      </c>
      <c r="K3388">
        <v>21612.6</v>
      </c>
      <c r="L3388" t="s">
        <v>1044</v>
      </c>
      <c r="M3388">
        <v>46</v>
      </c>
      <c r="N3388" t="s">
        <v>61</v>
      </c>
      <c r="O3388" s="3" t="s">
        <v>28</v>
      </c>
      <c r="P3388" t="s">
        <v>33</v>
      </c>
      <c r="Q3388" t="s">
        <v>24</v>
      </c>
      <c r="R3388">
        <v>3</v>
      </c>
      <c r="S3388" t="s">
        <v>88</v>
      </c>
      <c r="T3388" s="4">
        <f t="shared" si="264"/>
        <v>129675.59999999999</v>
      </c>
      <c r="U3388" s="4" t="str">
        <f t="shared" si="265"/>
        <v>Average</v>
      </c>
      <c r="V3388" s="4" t="str">
        <f t="shared" si="261"/>
        <v>Good</v>
      </c>
      <c r="W3388" s="4"/>
      <c r="X3388" s="4"/>
      <c r="AJ3388" s="4"/>
    </row>
    <row r="3389" spans="1:36">
      <c r="A3389" t="str">
        <f t="shared" si="262"/>
        <v>Nikh523388</v>
      </c>
      <c r="B3389">
        <v>3388</v>
      </c>
      <c r="C3389">
        <v>2</v>
      </c>
      <c r="D3389">
        <v>6</v>
      </c>
      <c r="E3389">
        <v>2024</v>
      </c>
      <c r="F3389" s="1">
        <f t="shared" si="263"/>
        <v>45445</v>
      </c>
      <c r="G3389" s="1" t="s">
        <v>643</v>
      </c>
      <c r="H3389" s="2">
        <v>47865</v>
      </c>
      <c r="I3389" t="s">
        <v>43</v>
      </c>
      <c r="J3389">
        <v>9</v>
      </c>
      <c r="K3389">
        <v>43230.42</v>
      </c>
      <c r="L3389" t="s">
        <v>613</v>
      </c>
      <c r="M3389">
        <v>52</v>
      </c>
      <c r="N3389" t="s">
        <v>61</v>
      </c>
      <c r="O3389" s="3" t="s">
        <v>55</v>
      </c>
      <c r="P3389" t="s">
        <v>23</v>
      </c>
      <c r="Q3389" t="s">
        <v>30</v>
      </c>
      <c r="R3389">
        <v>2</v>
      </c>
      <c r="S3389" t="s">
        <v>95</v>
      </c>
      <c r="T3389" s="4">
        <f t="shared" si="264"/>
        <v>389073.77999999997</v>
      </c>
      <c r="U3389" s="4" t="str">
        <f t="shared" si="265"/>
        <v>Average</v>
      </c>
      <c r="V3389" s="4" t="str">
        <f t="shared" si="261"/>
        <v>Excellent</v>
      </c>
      <c r="W3389" s="4"/>
      <c r="X3389" s="4"/>
      <c r="AJ3389" s="4"/>
    </row>
    <row r="3390" spans="1:36">
      <c r="A3390" t="str">
        <f t="shared" si="262"/>
        <v>Vive353389</v>
      </c>
      <c r="B3390">
        <v>3389</v>
      </c>
      <c r="C3390">
        <v>2</v>
      </c>
      <c r="D3390">
        <v>6</v>
      </c>
      <c r="E3390">
        <v>2024</v>
      </c>
      <c r="F3390" s="1">
        <f t="shared" si="263"/>
        <v>45445</v>
      </c>
      <c r="G3390" s="1" t="s">
        <v>643</v>
      </c>
      <c r="H3390" s="2">
        <v>47866</v>
      </c>
      <c r="I3390" t="s">
        <v>49</v>
      </c>
      <c r="J3390">
        <v>8</v>
      </c>
      <c r="K3390">
        <v>32967.57</v>
      </c>
      <c r="L3390" t="s">
        <v>374</v>
      </c>
      <c r="M3390">
        <v>35</v>
      </c>
      <c r="N3390" t="s">
        <v>21</v>
      </c>
      <c r="O3390" s="3" t="s">
        <v>22</v>
      </c>
      <c r="P3390" t="s">
        <v>117</v>
      </c>
      <c r="Q3390" t="s">
        <v>41</v>
      </c>
      <c r="R3390">
        <v>4</v>
      </c>
      <c r="S3390" t="s">
        <v>52</v>
      </c>
      <c r="T3390" s="4">
        <f t="shared" si="264"/>
        <v>263740.56</v>
      </c>
      <c r="U3390" s="4" t="str">
        <f t="shared" si="265"/>
        <v>Good</v>
      </c>
      <c r="V3390" s="4" t="str">
        <f t="shared" si="261"/>
        <v>Excellent</v>
      </c>
      <c r="W3390" s="4"/>
      <c r="X3390" s="4"/>
      <c r="AJ3390" s="4"/>
    </row>
    <row r="3391" spans="1:36">
      <c r="A3391" t="str">
        <f t="shared" si="262"/>
        <v>Ravi573390</v>
      </c>
      <c r="B3391">
        <v>3390</v>
      </c>
      <c r="C3391">
        <v>2</v>
      </c>
      <c r="D3391">
        <v>6</v>
      </c>
      <c r="E3391">
        <v>2024</v>
      </c>
      <c r="F3391" s="1">
        <f t="shared" si="263"/>
        <v>45445</v>
      </c>
      <c r="G3391" s="1" t="s">
        <v>643</v>
      </c>
      <c r="H3391" s="2">
        <v>47867</v>
      </c>
      <c r="I3391" t="s">
        <v>19</v>
      </c>
      <c r="J3391">
        <v>9</v>
      </c>
      <c r="K3391">
        <v>19436.41</v>
      </c>
      <c r="L3391" t="s">
        <v>874</v>
      </c>
      <c r="M3391">
        <v>57</v>
      </c>
      <c r="N3391" t="s">
        <v>61</v>
      </c>
      <c r="O3391" s="3" t="s">
        <v>22</v>
      </c>
      <c r="P3391" t="s">
        <v>29</v>
      </c>
      <c r="Q3391" t="s">
        <v>41</v>
      </c>
      <c r="R3391">
        <v>4</v>
      </c>
      <c r="S3391" t="s">
        <v>37</v>
      </c>
      <c r="T3391" s="4">
        <f t="shared" si="264"/>
        <v>174927.69</v>
      </c>
      <c r="U3391" s="4" t="str">
        <f t="shared" si="265"/>
        <v>Good</v>
      </c>
      <c r="V3391" s="4" t="str">
        <f t="shared" si="261"/>
        <v>Good</v>
      </c>
      <c r="W3391" s="4"/>
      <c r="X3391" s="4"/>
      <c r="AJ3391" s="4"/>
    </row>
    <row r="3392" spans="1:36">
      <c r="A3392" t="str">
        <f t="shared" si="262"/>
        <v>Neet473391</v>
      </c>
      <c r="B3392">
        <v>3391</v>
      </c>
      <c r="C3392">
        <v>3</v>
      </c>
      <c r="D3392">
        <v>6</v>
      </c>
      <c r="E3392">
        <v>2024</v>
      </c>
      <c r="F3392" s="1">
        <f t="shared" si="263"/>
        <v>45446</v>
      </c>
      <c r="G3392" s="1" t="s">
        <v>643</v>
      </c>
      <c r="H3392" s="2">
        <v>47868</v>
      </c>
      <c r="I3392" t="s">
        <v>49</v>
      </c>
      <c r="J3392">
        <v>8</v>
      </c>
      <c r="K3392">
        <v>48565.11</v>
      </c>
      <c r="L3392" t="s">
        <v>155</v>
      </c>
      <c r="M3392">
        <v>47</v>
      </c>
      <c r="N3392" t="s">
        <v>61</v>
      </c>
      <c r="O3392" s="3" t="s">
        <v>22</v>
      </c>
      <c r="P3392" t="s">
        <v>137</v>
      </c>
      <c r="Q3392" t="s">
        <v>56</v>
      </c>
      <c r="R3392">
        <v>5</v>
      </c>
      <c r="S3392" t="s">
        <v>52</v>
      </c>
      <c r="T3392" s="4">
        <f t="shared" si="264"/>
        <v>388520.88</v>
      </c>
      <c r="U3392" s="4" t="str">
        <f t="shared" si="265"/>
        <v>Good</v>
      </c>
      <c r="V3392" s="4" t="str">
        <f t="shared" si="261"/>
        <v>Excellent</v>
      </c>
      <c r="W3392" s="4"/>
      <c r="X3392" s="4"/>
      <c r="AJ3392" s="4"/>
    </row>
    <row r="3393" spans="1:36">
      <c r="A3393" t="str">
        <f t="shared" si="262"/>
        <v>Sach323392</v>
      </c>
      <c r="B3393">
        <v>3392</v>
      </c>
      <c r="C3393">
        <v>3</v>
      </c>
      <c r="D3393">
        <v>6</v>
      </c>
      <c r="E3393">
        <v>2024</v>
      </c>
      <c r="F3393" s="1">
        <f t="shared" si="263"/>
        <v>45446</v>
      </c>
      <c r="G3393" s="1" t="s">
        <v>643</v>
      </c>
      <c r="H3393" s="2">
        <v>47869</v>
      </c>
      <c r="I3393" t="s">
        <v>38</v>
      </c>
      <c r="J3393">
        <v>3</v>
      </c>
      <c r="K3393">
        <v>42177.9</v>
      </c>
      <c r="L3393" t="s">
        <v>631</v>
      </c>
      <c r="M3393">
        <v>32</v>
      </c>
      <c r="N3393" t="s">
        <v>21</v>
      </c>
      <c r="O3393" s="3" t="s">
        <v>55</v>
      </c>
      <c r="P3393" t="s">
        <v>51</v>
      </c>
      <c r="Q3393" t="s">
        <v>24</v>
      </c>
      <c r="R3393">
        <v>2</v>
      </c>
      <c r="S3393" t="s">
        <v>99</v>
      </c>
      <c r="T3393" s="4">
        <f t="shared" si="264"/>
        <v>126533.70000000001</v>
      </c>
      <c r="U3393" s="4" t="str">
        <f t="shared" si="265"/>
        <v>Average</v>
      </c>
      <c r="V3393" s="4" t="str">
        <f t="shared" ref="V3393:V3456" si="266">IF(T3393&gt;200000,"Excellent",IF(T3393&gt;100000,"Good",IF(T3393&gt;50000,"Average","Low")))</f>
        <v>Good</v>
      </c>
      <c r="W3393" s="4"/>
      <c r="X3393" s="4"/>
      <c r="AJ3393" s="4"/>
    </row>
    <row r="3394" spans="1:36">
      <c r="A3394" t="str">
        <f t="shared" ref="A3394:A3457" si="267">LEFT(L3394,4)&amp;M3394&amp;B3394</f>
        <v>Sanj323393</v>
      </c>
      <c r="B3394">
        <v>3393</v>
      </c>
      <c r="C3394">
        <v>3</v>
      </c>
      <c r="D3394">
        <v>6</v>
      </c>
      <c r="E3394">
        <v>2024</v>
      </c>
      <c r="F3394" s="1">
        <f t="shared" si="263"/>
        <v>45446</v>
      </c>
      <c r="G3394" s="1" t="s">
        <v>643</v>
      </c>
      <c r="H3394" s="2">
        <v>47870</v>
      </c>
      <c r="I3394" t="s">
        <v>19</v>
      </c>
      <c r="J3394">
        <v>8</v>
      </c>
      <c r="K3394">
        <v>26484.18</v>
      </c>
      <c r="L3394" t="s">
        <v>543</v>
      </c>
      <c r="M3394">
        <v>32</v>
      </c>
      <c r="N3394" t="s">
        <v>21</v>
      </c>
      <c r="O3394" s="3" t="s">
        <v>55</v>
      </c>
      <c r="P3394" t="s">
        <v>29</v>
      </c>
      <c r="Q3394" t="s">
        <v>24</v>
      </c>
      <c r="R3394">
        <v>2</v>
      </c>
      <c r="S3394" t="s">
        <v>37</v>
      </c>
      <c r="T3394" s="4">
        <f t="shared" si="264"/>
        <v>211873.44</v>
      </c>
      <c r="U3394" s="4" t="str">
        <f t="shared" si="265"/>
        <v>Average</v>
      </c>
      <c r="V3394" s="4" t="str">
        <f t="shared" si="266"/>
        <v>Excellent</v>
      </c>
      <c r="W3394" s="4"/>
      <c r="X3394" s="4"/>
      <c r="AJ3394" s="4"/>
    </row>
    <row r="3395" spans="1:36">
      <c r="A3395" t="str">
        <f t="shared" si="267"/>
        <v>Vive333394</v>
      </c>
      <c r="B3395">
        <v>3394</v>
      </c>
      <c r="C3395">
        <v>3</v>
      </c>
      <c r="D3395">
        <v>6</v>
      </c>
      <c r="E3395">
        <v>2024</v>
      </c>
      <c r="F3395" s="1">
        <f t="shared" ref="F3395:F3458" si="268">DATE(E3395,D3395,C3395)</f>
        <v>45446</v>
      </c>
      <c r="G3395" s="1" t="s">
        <v>643</v>
      </c>
      <c r="H3395" s="2">
        <v>47871</v>
      </c>
      <c r="I3395" t="s">
        <v>43</v>
      </c>
      <c r="J3395">
        <v>6</v>
      </c>
      <c r="K3395">
        <v>38786.28</v>
      </c>
      <c r="L3395" t="s">
        <v>801</v>
      </c>
      <c r="M3395">
        <v>33</v>
      </c>
      <c r="N3395" t="s">
        <v>21</v>
      </c>
      <c r="O3395" s="3" t="s">
        <v>22</v>
      </c>
      <c r="P3395" t="s">
        <v>33</v>
      </c>
      <c r="Q3395" t="s">
        <v>56</v>
      </c>
      <c r="R3395">
        <v>5</v>
      </c>
      <c r="S3395" t="s">
        <v>46</v>
      </c>
      <c r="T3395" s="4">
        <f t="shared" ref="T3395:T3458" si="269">J3395*K3395</f>
        <v>232717.68</v>
      </c>
      <c r="U3395" s="4" t="str">
        <f t="shared" ref="U3395:U3458" si="270">IF(R3395&gt;=4,"Good","Average")</f>
        <v>Good</v>
      </c>
      <c r="V3395" s="4" t="str">
        <f t="shared" si="266"/>
        <v>Excellent</v>
      </c>
      <c r="W3395" s="4"/>
      <c r="X3395" s="4"/>
      <c r="AJ3395" s="4"/>
    </row>
    <row r="3396" spans="1:36">
      <c r="A3396" t="str">
        <f t="shared" si="267"/>
        <v>Kavi503395</v>
      </c>
      <c r="B3396">
        <v>3395</v>
      </c>
      <c r="C3396">
        <v>4</v>
      </c>
      <c r="D3396">
        <v>6</v>
      </c>
      <c r="E3396">
        <v>2024</v>
      </c>
      <c r="F3396" s="1">
        <f t="shared" si="268"/>
        <v>45447</v>
      </c>
      <c r="G3396" s="1" t="s">
        <v>643</v>
      </c>
      <c r="H3396" s="2">
        <v>47872</v>
      </c>
      <c r="I3396" t="s">
        <v>43</v>
      </c>
      <c r="J3396">
        <v>6</v>
      </c>
      <c r="K3396">
        <v>54744.3</v>
      </c>
      <c r="L3396" t="s">
        <v>785</v>
      </c>
      <c r="M3396">
        <v>50</v>
      </c>
      <c r="N3396" t="s">
        <v>61</v>
      </c>
      <c r="O3396" s="3" t="s">
        <v>22</v>
      </c>
      <c r="P3396" t="s">
        <v>29</v>
      </c>
      <c r="Q3396" t="s">
        <v>30</v>
      </c>
      <c r="R3396">
        <v>4</v>
      </c>
      <c r="S3396" t="s">
        <v>57</v>
      </c>
      <c r="T3396" s="4">
        <f t="shared" si="269"/>
        <v>328465.80000000005</v>
      </c>
      <c r="U3396" s="4" t="str">
        <f t="shared" si="270"/>
        <v>Good</v>
      </c>
      <c r="V3396" s="4" t="str">
        <f t="shared" si="266"/>
        <v>Excellent</v>
      </c>
      <c r="W3396" s="4"/>
      <c r="X3396" s="4"/>
      <c r="AJ3396" s="4"/>
    </row>
    <row r="3397" spans="1:36">
      <c r="A3397" t="str">
        <f t="shared" si="267"/>
        <v>Bina273396</v>
      </c>
      <c r="B3397">
        <v>3396</v>
      </c>
      <c r="C3397">
        <v>4</v>
      </c>
      <c r="D3397">
        <v>6</v>
      </c>
      <c r="E3397">
        <v>2024</v>
      </c>
      <c r="F3397" s="1">
        <f t="shared" si="268"/>
        <v>45447</v>
      </c>
      <c r="G3397" s="1" t="s">
        <v>643</v>
      </c>
      <c r="H3397" s="2">
        <v>47873</v>
      </c>
      <c r="I3397" t="s">
        <v>26</v>
      </c>
      <c r="J3397">
        <v>6</v>
      </c>
      <c r="K3397">
        <v>22316.3</v>
      </c>
      <c r="L3397" t="s">
        <v>913</v>
      </c>
      <c r="M3397">
        <v>27</v>
      </c>
      <c r="N3397" t="s">
        <v>36</v>
      </c>
      <c r="O3397" s="3" t="s">
        <v>22</v>
      </c>
      <c r="P3397" t="s">
        <v>110</v>
      </c>
      <c r="Q3397" t="s">
        <v>30</v>
      </c>
      <c r="R3397">
        <v>5</v>
      </c>
      <c r="S3397" t="s">
        <v>31</v>
      </c>
      <c r="T3397" s="4">
        <f t="shared" si="269"/>
        <v>133897.79999999999</v>
      </c>
      <c r="U3397" s="4" t="str">
        <f t="shared" si="270"/>
        <v>Good</v>
      </c>
      <c r="V3397" s="4" t="str">
        <f t="shared" si="266"/>
        <v>Good</v>
      </c>
      <c r="W3397" s="4"/>
      <c r="X3397" s="4"/>
      <c r="AJ3397" s="4"/>
    </row>
    <row r="3398" spans="1:36">
      <c r="A3398" t="str">
        <f t="shared" si="267"/>
        <v>Amit363397</v>
      </c>
      <c r="B3398">
        <v>3397</v>
      </c>
      <c r="C3398">
        <v>4</v>
      </c>
      <c r="D3398">
        <v>6</v>
      </c>
      <c r="E3398">
        <v>2024</v>
      </c>
      <c r="F3398" s="1">
        <f t="shared" si="268"/>
        <v>45447</v>
      </c>
      <c r="G3398" s="1" t="s">
        <v>643</v>
      </c>
      <c r="H3398" s="2">
        <v>47874</v>
      </c>
      <c r="I3398" t="s">
        <v>19</v>
      </c>
      <c r="J3398">
        <v>3</v>
      </c>
      <c r="K3398">
        <v>27574.34</v>
      </c>
      <c r="L3398" t="s">
        <v>523</v>
      </c>
      <c r="M3398">
        <v>36</v>
      </c>
      <c r="N3398" t="s">
        <v>21</v>
      </c>
      <c r="O3398" s="3" t="s">
        <v>22</v>
      </c>
      <c r="P3398" t="s">
        <v>132</v>
      </c>
      <c r="Q3398" t="s">
        <v>41</v>
      </c>
      <c r="R3398">
        <v>4</v>
      </c>
      <c r="S3398" t="s">
        <v>37</v>
      </c>
      <c r="T3398" s="4">
        <f t="shared" si="269"/>
        <v>82723.02</v>
      </c>
      <c r="U3398" s="4" t="str">
        <f t="shared" si="270"/>
        <v>Good</v>
      </c>
      <c r="V3398" s="4" t="str">
        <f t="shared" si="266"/>
        <v>Average</v>
      </c>
      <c r="W3398" s="4"/>
      <c r="X3398" s="4"/>
      <c r="AJ3398" s="4"/>
    </row>
    <row r="3399" spans="1:36">
      <c r="A3399" t="str">
        <f t="shared" si="267"/>
        <v>Sach543398</v>
      </c>
      <c r="B3399">
        <v>3398</v>
      </c>
      <c r="C3399">
        <v>5</v>
      </c>
      <c r="D3399">
        <v>6</v>
      </c>
      <c r="E3399">
        <v>2024</v>
      </c>
      <c r="F3399" s="1">
        <f t="shared" si="268"/>
        <v>45448</v>
      </c>
      <c r="G3399" s="1" t="s">
        <v>643</v>
      </c>
      <c r="H3399" s="2">
        <v>47875</v>
      </c>
      <c r="I3399" t="s">
        <v>26</v>
      </c>
      <c r="J3399">
        <v>1</v>
      </c>
      <c r="K3399">
        <v>30766.66</v>
      </c>
      <c r="L3399" t="s">
        <v>877</v>
      </c>
      <c r="M3399">
        <v>54</v>
      </c>
      <c r="N3399" t="s">
        <v>61</v>
      </c>
      <c r="O3399" s="3" t="s">
        <v>22</v>
      </c>
      <c r="P3399" t="s">
        <v>29</v>
      </c>
      <c r="Q3399" t="s">
        <v>24</v>
      </c>
      <c r="R3399">
        <v>5</v>
      </c>
      <c r="S3399" t="s">
        <v>67</v>
      </c>
      <c r="T3399" s="4">
        <f t="shared" si="269"/>
        <v>30766.66</v>
      </c>
      <c r="U3399" s="4" t="str">
        <f t="shared" si="270"/>
        <v>Good</v>
      </c>
      <c r="V3399" s="4" t="str">
        <f t="shared" si="266"/>
        <v>Low</v>
      </c>
      <c r="W3399" s="4"/>
      <c r="X3399" s="4"/>
      <c r="AJ3399" s="4"/>
    </row>
    <row r="3400" spans="1:36">
      <c r="A3400" t="str">
        <f t="shared" si="267"/>
        <v>Moni203399</v>
      </c>
      <c r="B3400">
        <v>3399</v>
      </c>
      <c r="C3400">
        <v>5</v>
      </c>
      <c r="D3400">
        <v>6</v>
      </c>
      <c r="E3400">
        <v>2024</v>
      </c>
      <c r="F3400" s="1">
        <f t="shared" si="268"/>
        <v>45448</v>
      </c>
      <c r="G3400" s="1" t="s">
        <v>643</v>
      </c>
      <c r="H3400" s="2">
        <v>47876</v>
      </c>
      <c r="I3400" t="s">
        <v>19</v>
      </c>
      <c r="J3400">
        <v>4</v>
      </c>
      <c r="K3400">
        <v>54803.59</v>
      </c>
      <c r="L3400" t="s">
        <v>722</v>
      </c>
      <c r="M3400">
        <v>20</v>
      </c>
      <c r="N3400" t="s">
        <v>36</v>
      </c>
      <c r="O3400" s="3" t="s">
        <v>22</v>
      </c>
      <c r="P3400" t="s">
        <v>33</v>
      </c>
      <c r="Q3400" t="s">
        <v>41</v>
      </c>
      <c r="R3400">
        <v>5</v>
      </c>
      <c r="S3400" t="s">
        <v>84</v>
      </c>
      <c r="T3400" s="4">
        <f t="shared" si="269"/>
        <v>219214.36</v>
      </c>
      <c r="U3400" s="4" t="str">
        <f t="shared" si="270"/>
        <v>Good</v>
      </c>
      <c r="V3400" s="4" t="str">
        <f t="shared" si="266"/>
        <v>Excellent</v>
      </c>
      <c r="W3400" s="4"/>
      <c r="X3400" s="4"/>
      <c r="AJ3400" s="4"/>
    </row>
    <row r="3401" spans="1:36">
      <c r="A3401" t="str">
        <f t="shared" si="267"/>
        <v>Lali533400</v>
      </c>
      <c r="B3401">
        <v>3400</v>
      </c>
      <c r="C3401">
        <v>5</v>
      </c>
      <c r="D3401">
        <v>6</v>
      </c>
      <c r="E3401">
        <v>2024</v>
      </c>
      <c r="F3401" s="1">
        <f t="shared" si="268"/>
        <v>45448</v>
      </c>
      <c r="G3401" s="1" t="s">
        <v>643</v>
      </c>
      <c r="H3401" s="2">
        <v>47877</v>
      </c>
      <c r="I3401" t="s">
        <v>19</v>
      </c>
      <c r="J3401">
        <v>6</v>
      </c>
      <c r="K3401">
        <v>60815.360000000001</v>
      </c>
      <c r="L3401" t="s">
        <v>807</v>
      </c>
      <c r="M3401">
        <v>53</v>
      </c>
      <c r="N3401" t="s">
        <v>61</v>
      </c>
      <c r="O3401" s="3" t="s">
        <v>28</v>
      </c>
      <c r="P3401" t="s">
        <v>33</v>
      </c>
      <c r="Q3401" t="s">
        <v>56</v>
      </c>
      <c r="R3401">
        <v>3</v>
      </c>
      <c r="S3401" t="s">
        <v>37</v>
      </c>
      <c r="T3401" s="4">
        <f t="shared" si="269"/>
        <v>364892.16000000003</v>
      </c>
      <c r="U3401" s="4" t="str">
        <f t="shared" si="270"/>
        <v>Average</v>
      </c>
      <c r="V3401" s="4" t="str">
        <f t="shared" si="266"/>
        <v>Excellent</v>
      </c>
      <c r="W3401" s="4"/>
      <c r="X3401" s="4"/>
      <c r="AJ3401" s="4"/>
    </row>
    <row r="3402" spans="1:36">
      <c r="A3402" t="str">
        <f t="shared" si="267"/>
        <v>Nami213401</v>
      </c>
      <c r="B3402">
        <v>3401</v>
      </c>
      <c r="C3402">
        <v>5</v>
      </c>
      <c r="D3402">
        <v>6</v>
      </c>
      <c r="E3402">
        <v>2024</v>
      </c>
      <c r="F3402" s="1">
        <f t="shared" si="268"/>
        <v>45448</v>
      </c>
      <c r="G3402" s="1" t="s">
        <v>643</v>
      </c>
      <c r="H3402" s="2">
        <v>47878</v>
      </c>
      <c r="I3402" t="s">
        <v>38</v>
      </c>
      <c r="J3402">
        <v>2</v>
      </c>
      <c r="K3402">
        <v>32583.31</v>
      </c>
      <c r="L3402" t="s">
        <v>694</v>
      </c>
      <c r="M3402">
        <v>21</v>
      </c>
      <c r="N3402" t="s">
        <v>36</v>
      </c>
      <c r="O3402" s="3" t="s">
        <v>22</v>
      </c>
      <c r="P3402" t="s">
        <v>90</v>
      </c>
      <c r="Q3402" t="s">
        <v>41</v>
      </c>
      <c r="R3402">
        <v>4</v>
      </c>
      <c r="S3402" t="s">
        <v>99</v>
      </c>
      <c r="T3402" s="4">
        <f t="shared" si="269"/>
        <v>65166.62</v>
      </c>
      <c r="U3402" s="4" t="str">
        <f t="shared" si="270"/>
        <v>Good</v>
      </c>
      <c r="V3402" s="4" t="str">
        <f t="shared" si="266"/>
        <v>Average</v>
      </c>
      <c r="W3402" s="4"/>
      <c r="X3402" s="4"/>
      <c r="AJ3402" s="4"/>
    </row>
    <row r="3403" spans="1:36">
      <c r="A3403" t="str">
        <f t="shared" si="267"/>
        <v>Kavi283402</v>
      </c>
      <c r="B3403">
        <v>3402</v>
      </c>
      <c r="C3403">
        <v>6</v>
      </c>
      <c r="D3403">
        <v>6</v>
      </c>
      <c r="E3403">
        <v>2024</v>
      </c>
      <c r="F3403" s="1">
        <f t="shared" si="268"/>
        <v>45449</v>
      </c>
      <c r="G3403" s="1" t="s">
        <v>643</v>
      </c>
      <c r="H3403" s="2">
        <v>47879</v>
      </c>
      <c r="I3403" t="s">
        <v>26</v>
      </c>
      <c r="J3403">
        <v>7</v>
      </c>
      <c r="K3403">
        <v>27797.25</v>
      </c>
      <c r="L3403" t="s">
        <v>348</v>
      </c>
      <c r="M3403">
        <v>28</v>
      </c>
      <c r="N3403" t="s">
        <v>36</v>
      </c>
      <c r="O3403" s="3" t="s">
        <v>22</v>
      </c>
      <c r="P3403" t="s">
        <v>29</v>
      </c>
      <c r="Q3403" t="s">
        <v>30</v>
      </c>
      <c r="R3403">
        <v>4</v>
      </c>
      <c r="S3403" t="s">
        <v>31</v>
      </c>
      <c r="T3403" s="4">
        <f t="shared" si="269"/>
        <v>194580.75</v>
      </c>
      <c r="U3403" s="4" t="str">
        <f t="shared" si="270"/>
        <v>Good</v>
      </c>
      <c r="V3403" s="4" t="str">
        <f t="shared" si="266"/>
        <v>Good</v>
      </c>
      <c r="W3403" s="4"/>
      <c r="X3403" s="4"/>
      <c r="AJ3403" s="4"/>
    </row>
    <row r="3404" spans="1:36">
      <c r="A3404" t="str">
        <f t="shared" si="267"/>
        <v>Mala583403</v>
      </c>
      <c r="B3404">
        <v>3403</v>
      </c>
      <c r="C3404">
        <v>6</v>
      </c>
      <c r="D3404">
        <v>6</v>
      </c>
      <c r="E3404">
        <v>2024</v>
      </c>
      <c r="F3404" s="1">
        <f t="shared" si="268"/>
        <v>45449</v>
      </c>
      <c r="G3404" s="1" t="s">
        <v>643</v>
      </c>
      <c r="H3404" s="2">
        <v>47880</v>
      </c>
      <c r="I3404" t="s">
        <v>38</v>
      </c>
      <c r="J3404">
        <v>7</v>
      </c>
      <c r="K3404">
        <v>63366.81</v>
      </c>
      <c r="L3404" t="s">
        <v>1050</v>
      </c>
      <c r="M3404">
        <v>58</v>
      </c>
      <c r="N3404" t="s">
        <v>61</v>
      </c>
      <c r="O3404" s="3" t="s">
        <v>55</v>
      </c>
      <c r="P3404" t="s">
        <v>117</v>
      </c>
      <c r="Q3404" t="s">
        <v>30</v>
      </c>
      <c r="R3404">
        <v>2</v>
      </c>
      <c r="S3404" t="s">
        <v>42</v>
      </c>
      <c r="T3404" s="4">
        <f t="shared" si="269"/>
        <v>443567.67</v>
      </c>
      <c r="U3404" s="4" t="str">
        <f t="shared" si="270"/>
        <v>Average</v>
      </c>
      <c r="V3404" s="4" t="str">
        <f t="shared" si="266"/>
        <v>Excellent</v>
      </c>
      <c r="W3404" s="4"/>
      <c r="X3404" s="4"/>
      <c r="AJ3404" s="4"/>
    </row>
    <row r="3405" spans="1:36">
      <c r="A3405" t="str">
        <f t="shared" si="267"/>
        <v>Deve503404</v>
      </c>
      <c r="B3405">
        <v>3404</v>
      </c>
      <c r="C3405">
        <v>6</v>
      </c>
      <c r="D3405">
        <v>6</v>
      </c>
      <c r="E3405">
        <v>2024</v>
      </c>
      <c r="F3405" s="1">
        <f t="shared" si="268"/>
        <v>45449</v>
      </c>
      <c r="G3405" s="1" t="s">
        <v>643</v>
      </c>
      <c r="H3405" s="2">
        <v>47881</v>
      </c>
      <c r="I3405" t="s">
        <v>19</v>
      </c>
      <c r="J3405">
        <v>4</v>
      </c>
      <c r="K3405">
        <v>69961.899999999994</v>
      </c>
      <c r="L3405" t="s">
        <v>351</v>
      </c>
      <c r="M3405">
        <v>50</v>
      </c>
      <c r="N3405" t="s">
        <v>61</v>
      </c>
      <c r="O3405" s="3" t="s">
        <v>55</v>
      </c>
      <c r="P3405" t="s">
        <v>77</v>
      </c>
      <c r="Q3405" t="s">
        <v>56</v>
      </c>
      <c r="R3405">
        <v>2</v>
      </c>
      <c r="S3405" t="s">
        <v>25</v>
      </c>
      <c r="T3405" s="4">
        <f t="shared" si="269"/>
        <v>279847.59999999998</v>
      </c>
      <c r="U3405" s="4" t="str">
        <f t="shared" si="270"/>
        <v>Average</v>
      </c>
      <c r="V3405" s="4" t="str">
        <f t="shared" si="266"/>
        <v>Excellent</v>
      </c>
      <c r="W3405" s="4"/>
      <c r="X3405" s="4"/>
      <c r="AJ3405" s="4"/>
    </row>
    <row r="3406" spans="1:36">
      <c r="A3406" t="str">
        <f t="shared" si="267"/>
        <v>Vija453405</v>
      </c>
      <c r="B3406">
        <v>3405</v>
      </c>
      <c r="C3406">
        <v>7</v>
      </c>
      <c r="D3406">
        <v>6</v>
      </c>
      <c r="E3406">
        <v>2024</v>
      </c>
      <c r="F3406" s="1">
        <f t="shared" si="268"/>
        <v>45450</v>
      </c>
      <c r="G3406" s="1" t="s">
        <v>643</v>
      </c>
      <c r="H3406" s="2">
        <v>47882</v>
      </c>
      <c r="I3406" t="s">
        <v>43</v>
      </c>
      <c r="J3406">
        <v>4</v>
      </c>
      <c r="K3406">
        <v>50221.22</v>
      </c>
      <c r="L3406" t="s">
        <v>272</v>
      </c>
      <c r="M3406">
        <v>45</v>
      </c>
      <c r="N3406" t="s">
        <v>21</v>
      </c>
      <c r="O3406" s="3" t="s">
        <v>22</v>
      </c>
      <c r="P3406" t="s">
        <v>90</v>
      </c>
      <c r="Q3406" t="s">
        <v>30</v>
      </c>
      <c r="R3406">
        <v>5</v>
      </c>
      <c r="S3406" t="s">
        <v>95</v>
      </c>
      <c r="T3406" s="4">
        <f t="shared" si="269"/>
        <v>200884.88</v>
      </c>
      <c r="U3406" s="4" t="str">
        <f t="shared" si="270"/>
        <v>Good</v>
      </c>
      <c r="V3406" s="4" t="str">
        <f t="shared" si="266"/>
        <v>Excellent</v>
      </c>
      <c r="W3406" s="4"/>
      <c r="X3406" s="4"/>
      <c r="AJ3406" s="4"/>
    </row>
    <row r="3407" spans="1:36">
      <c r="A3407" t="str">
        <f t="shared" si="267"/>
        <v>Pras493406</v>
      </c>
      <c r="B3407">
        <v>3406</v>
      </c>
      <c r="C3407">
        <v>7</v>
      </c>
      <c r="D3407">
        <v>6</v>
      </c>
      <c r="E3407">
        <v>2024</v>
      </c>
      <c r="F3407" s="1">
        <f t="shared" si="268"/>
        <v>45450</v>
      </c>
      <c r="G3407" s="1" t="s">
        <v>643</v>
      </c>
      <c r="H3407" s="2">
        <v>47883</v>
      </c>
      <c r="I3407" t="s">
        <v>19</v>
      </c>
      <c r="J3407">
        <v>1</v>
      </c>
      <c r="K3407">
        <v>69398.84</v>
      </c>
      <c r="L3407" t="s">
        <v>778</v>
      </c>
      <c r="M3407">
        <v>49</v>
      </c>
      <c r="N3407" t="s">
        <v>61</v>
      </c>
      <c r="O3407" s="3" t="s">
        <v>28</v>
      </c>
      <c r="P3407" t="s">
        <v>150</v>
      </c>
      <c r="Q3407" t="s">
        <v>56</v>
      </c>
      <c r="R3407">
        <v>3</v>
      </c>
      <c r="S3407" t="s">
        <v>37</v>
      </c>
      <c r="T3407" s="4">
        <f t="shared" si="269"/>
        <v>69398.84</v>
      </c>
      <c r="U3407" s="4" t="str">
        <f t="shared" si="270"/>
        <v>Average</v>
      </c>
      <c r="V3407" s="4" t="str">
        <f t="shared" si="266"/>
        <v>Average</v>
      </c>
      <c r="W3407" s="4"/>
      <c r="X3407" s="4"/>
      <c r="AJ3407" s="4"/>
    </row>
    <row r="3408" spans="1:36">
      <c r="A3408" t="str">
        <f t="shared" si="267"/>
        <v>Suni333407</v>
      </c>
      <c r="B3408">
        <v>3407</v>
      </c>
      <c r="C3408">
        <v>7</v>
      </c>
      <c r="D3408">
        <v>6</v>
      </c>
      <c r="E3408">
        <v>2024</v>
      </c>
      <c r="F3408" s="1">
        <f t="shared" si="268"/>
        <v>45450</v>
      </c>
      <c r="G3408" s="1" t="s">
        <v>643</v>
      </c>
      <c r="H3408" s="2">
        <v>47884</v>
      </c>
      <c r="I3408" t="s">
        <v>38</v>
      </c>
      <c r="J3408">
        <v>2</v>
      </c>
      <c r="K3408">
        <v>49597.98</v>
      </c>
      <c r="L3408" t="s">
        <v>244</v>
      </c>
      <c r="M3408">
        <v>33</v>
      </c>
      <c r="N3408" t="s">
        <v>21</v>
      </c>
      <c r="O3408" s="3" t="s">
        <v>22</v>
      </c>
      <c r="P3408" t="s">
        <v>29</v>
      </c>
      <c r="Q3408" t="s">
        <v>24</v>
      </c>
      <c r="R3408">
        <v>5</v>
      </c>
      <c r="S3408" t="s">
        <v>99</v>
      </c>
      <c r="T3408" s="4">
        <f t="shared" si="269"/>
        <v>99195.96</v>
      </c>
      <c r="U3408" s="4" t="str">
        <f t="shared" si="270"/>
        <v>Good</v>
      </c>
      <c r="V3408" s="4" t="str">
        <f t="shared" si="266"/>
        <v>Average</v>
      </c>
      <c r="W3408" s="4"/>
      <c r="X3408" s="4"/>
      <c r="AJ3408" s="4"/>
    </row>
    <row r="3409" spans="1:36">
      <c r="A3409" t="str">
        <f t="shared" si="267"/>
        <v>Nikh263408</v>
      </c>
      <c r="B3409">
        <v>3408</v>
      </c>
      <c r="C3409">
        <v>8</v>
      </c>
      <c r="D3409">
        <v>6</v>
      </c>
      <c r="E3409">
        <v>2024</v>
      </c>
      <c r="F3409" s="1">
        <f t="shared" si="268"/>
        <v>45451</v>
      </c>
      <c r="G3409" s="1" t="s">
        <v>643</v>
      </c>
      <c r="H3409" s="2">
        <v>47885</v>
      </c>
      <c r="I3409" t="s">
        <v>26</v>
      </c>
      <c r="J3409">
        <v>9</v>
      </c>
      <c r="K3409">
        <v>54007.62</v>
      </c>
      <c r="L3409" t="s">
        <v>162</v>
      </c>
      <c r="M3409">
        <v>26</v>
      </c>
      <c r="N3409" t="s">
        <v>36</v>
      </c>
      <c r="O3409" s="3" t="s">
        <v>22</v>
      </c>
      <c r="P3409" t="s">
        <v>66</v>
      </c>
      <c r="Q3409" t="s">
        <v>56</v>
      </c>
      <c r="R3409">
        <v>4</v>
      </c>
      <c r="S3409" t="s">
        <v>31</v>
      </c>
      <c r="T3409" s="4">
        <f t="shared" si="269"/>
        <v>486068.58</v>
      </c>
      <c r="U3409" s="4" t="str">
        <f t="shared" si="270"/>
        <v>Good</v>
      </c>
      <c r="V3409" s="4" t="str">
        <f t="shared" si="266"/>
        <v>Excellent</v>
      </c>
      <c r="W3409" s="4"/>
      <c r="X3409" s="4"/>
      <c r="AJ3409" s="4"/>
    </row>
    <row r="3410" spans="1:36">
      <c r="A3410" t="str">
        <f t="shared" si="267"/>
        <v>Gita283409</v>
      </c>
      <c r="B3410">
        <v>3409</v>
      </c>
      <c r="C3410">
        <v>8</v>
      </c>
      <c r="D3410">
        <v>6</v>
      </c>
      <c r="E3410">
        <v>2024</v>
      </c>
      <c r="F3410" s="1">
        <f t="shared" si="268"/>
        <v>45451</v>
      </c>
      <c r="G3410" s="1" t="s">
        <v>643</v>
      </c>
      <c r="H3410" s="2">
        <v>47886</v>
      </c>
      <c r="I3410" t="s">
        <v>26</v>
      </c>
      <c r="J3410">
        <v>8</v>
      </c>
      <c r="K3410">
        <v>33319.360000000001</v>
      </c>
      <c r="L3410" t="s">
        <v>459</v>
      </c>
      <c r="M3410">
        <v>28</v>
      </c>
      <c r="N3410" t="s">
        <v>36</v>
      </c>
      <c r="O3410" s="3" t="s">
        <v>22</v>
      </c>
      <c r="P3410" t="s">
        <v>23</v>
      </c>
      <c r="Q3410" t="s">
        <v>56</v>
      </c>
      <c r="R3410">
        <v>5</v>
      </c>
      <c r="S3410" t="s">
        <v>31</v>
      </c>
      <c r="T3410" s="4">
        <f t="shared" si="269"/>
        <v>266554.88</v>
      </c>
      <c r="U3410" s="4" t="str">
        <f t="shared" si="270"/>
        <v>Good</v>
      </c>
      <c r="V3410" s="4" t="str">
        <f t="shared" si="266"/>
        <v>Excellent</v>
      </c>
      <c r="W3410" s="4"/>
      <c r="X3410" s="4"/>
      <c r="AJ3410" s="4"/>
    </row>
    <row r="3411" spans="1:36">
      <c r="A3411" t="str">
        <f t="shared" si="267"/>
        <v>Jyot233410</v>
      </c>
      <c r="B3411">
        <v>3410</v>
      </c>
      <c r="C3411">
        <v>8</v>
      </c>
      <c r="D3411">
        <v>6</v>
      </c>
      <c r="E3411">
        <v>2024</v>
      </c>
      <c r="F3411" s="1">
        <f t="shared" si="268"/>
        <v>45451</v>
      </c>
      <c r="G3411" s="1" t="s">
        <v>643</v>
      </c>
      <c r="H3411" s="2">
        <v>47887</v>
      </c>
      <c r="I3411" t="s">
        <v>38</v>
      </c>
      <c r="J3411">
        <v>8</v>
      </c>
      <c r="K3411">
        <v>35978.050000000003</v>
      </c>
      <c r="L3411" t="s">
        <v>912</v>
      </c>
      <c r="M3411">
        <v>23</v>
      </c>
      <c r="N3411" t="s">
        <v>36</v>
      </c>
      <c r="O3411" s="3" t="s">
        <v>28</v>
      </c>
      <c r="P3411" t="s">
        <v>59</v>
      </c>
      <c r="Q3411" t="s">
        <v>56</v>
      </c>
      <c r="R3411">
        <v>3</v>
      </c>
      <c r="S3411" t="s">
        <v>99</v>
      </c>
      <c r="T3411" s="4">
        <f t="shared" si="269"/>
        <v>287824.40000000002</v>
      </c>
      <c r="U3411" s="4" t="str">
        <f t="shared" si="270"/>
        <v>Average</v>
      </c>
      <c r="V3411" s="4" t="str">
        <f t="shared" si="266"/>
        <v>Excellent</v>
      </c>
      <c r="W3411" s="4"/>
      <c r="X3411" s="4"/>
      <c r="AJ3411" s="4"/>
    </row>
    <row r="3412" spans="1:36">
      <c r="A3412" t="str">
        <f t="shared" si="267"/>
        <v>Shru443411</v>
      </c>
      <c r="B3412">
        <v>3411</v>
      </c>
      <c r="C3412">
        <v>9</v>
      </c>
      <c r="D3412">
        <v>6</v>
      </c>
      <c r="E3412">
        <v>2024</v>
      </c>
      <c r="F3412" s="1">
        <f t="shared" si="268"/>
        <v>45452</v>
      </c>
      <c r="G3412" s="1" t="s">
        <v>643</v>
      </c>
      <c r="H3412" s="2">
        <v>47888</v>
      </c>
      <c r="I3412" t="s">
        <v>26</v>
      </c>
      <c r="J3412">
        <v>9</v>
      </c>
      <c r="K3412">
        <v>18648.14</v>
      </c>
      <c r="L3412" t="s">
        <v>92</v>
      </c>
      <c r="M3412">
        <v>44</v>
      </c>
      <c r="N3412" t="s">
        <v>21</v>
      </c>
      <c r="O3412" s="3" t="s">
        <v>55</v>
      </c>
      <c r="P3412" t="s">
        <v>93</v>
      </c>
      <c r="Q3412" t="s">
        <v>30</v>
      </c>
      <c r="R3412">
        <v>2</v>
      </c>
      <c r="S3412" t="s">
        <v>67</v>
      </c>
      <c r="T3412" s="4">
        <f t="shared" si="269"/>
        <v>167833.26</v>
      </c>
      <c r="U3412" s="4" t="str">
        <f t="shared" si="270"/>
        <v>Average</v>
      </c>
      <c r="V3412" s="4" t="str">
        <f t="shared" si="266"/>
        <v>Good</v>
      </c>
      <c r="W3412" s="4"/>
      <c r="X3412" s="4"/>
      <c r="AJ3412" s="4"/>
    </row>
    <row r="3413" spans="1:36">
      <c r="A3413" t="str">
        <f t="shared" si="267"/>
        <v>Kira293412</v>
      </c>
      <c r="B3413">
        <v>3412</v>
      </c>
      <c r="C3413">
        <v>9</v>
      </c>
      <c r="D3413">
        <v>6</v>
      </c>
      <c r="E3413">
        <v>2024</v>
      </c>
      <c r="F3413" s="1">
        <f t="shared" si="268"/>
        <v>45452</v>
      </c>
      <c r="G3413" s="1" t="s">
        <v>643</v>
      </c>
      <c r="H3413" s="2">
        <v>47889</v>
      </c>
      <c r="I3413" t="s">
        <v>49</v>
      </c>
      <c r="J3413">
        <v>7</v>
      </c>
      <c r="K3413">
        <v>59365</v>
      </c>
      <c r="L3413" t="s">
        <v>143</v>
      </c>
      <c r="M3413">
        <v>29</v>
      </c>
      <c r="N3413" t="s">
        <v>36</v>
      </c>
      <c r="O3413" s="3" t="s">
        <v>28</v>
      </c>
      <c r="P3413" t="s">
        <v>66</v>
      </c>
      <c r="Q3413" t="s">
        <v>24</v>
      </c>
      <c r="R3413">
        <v>3</v>
      </c>
      <c r="S3413" t="s">
        <v>102</v>
      </c>
      <c r="T3413" s="4">
        <f t="shared" si="269"/>
        <v>415555</v>
      </c>
      <c r="U3413" s="4" t="str">
        <f t="shared" si="270"/>
        <v>Average</v>
      </c>
      <c r="V3413" s="4" t="str">
        <f t="shared" si="266"/>
        <v>Excellent</v>
      </c>
      <c r="W3413" s="4"/>
      <c r="X3413" s="4"/>
      <c r="AJ3413" s="4"/>
    </row>
    <row r="3414" spans="1:36">
      <c r="A3414" t="str">
        <f t="shared" si="267"/>
        <v>Isha393413</v>
      </c>
      <c r="B3414">
        <v>3413</v>
      </c>
      <c r="C3414">
        <v>9</v>
      </c>
      <c r="D3414">
        <v>6</v>
      </c>
      <c r="E3414">
        <v>2024</v>
      </c>
      <c r="F3414" s="1">
        <f t="shared" si="268"/>
        <v>45452</v>
      </c>
      <c r="G3414" s="1" t="s">
        <v>643</v>
      </c>
      <c r="H3414" s="2">
        <v>47890</v>
      </c>
      <c r="I3414" t="s">
        <v>43</v>
      </c>
      <c r="J3414">
        <v>9</v>
      </c>
      <c r="K3414">
        <v>65863.539999999994</v>
      </c>
      <c r="L3414" t="s">
        <v>906</v>
      </c>
      <c r="M3414">
        <v>39</v>
      </c>
      <c r="N3414" t="s">
        <v>21</v>
      </c>
      <c r="O3414" s="3" t="s">
        <v>22</v>
      </c>
      <c r="P3414" t="s">
        <v>33</v>
      </c>
      <c r="Q3414" t="s">
        <v>41</v>
      </c>
      <c r="R3414">
        <v>5</v>
      </c>
      <c r="S3414" t="s">
        <v>57</v>
      </c>
      <c r="T3414" s="4">
        <f t="shared" si="269"/>
        <v>592771.86</v>
      </c>
      <c r="U3414" s="4" t="str">
        <f t="shared" si="270"/>
        <v>Good</v>
      </c>
      <c r="V3414" s="4" t="str">
        <f t="shared" si="266"/>
        <v>Excellent</v>
      </c>
      <c r="W3414" s="4"/>
      <c r="X3414" s="4"/>
      <c r="AJ3414" s="4"/>
    </row>
    <row r="3415" spans="1:36">
      <c r="A3415" t="str">
        <f t="shared" si="267"/>
        <v>Isha573414</v>
      </c>
      <c r="B3415">
        <v>3414</v>
      </c>
      <c r="C3415">
        <v>9</v>
      </c>
      <c r="D3415">
        <v>6</v>
      </c>
      <c r="E3415">
        <v>2024</v>
      </c>
      <c r="F3415" s="1">
        <f t="shared" si="268"/>
        <v>45452</v>
      </c>
      <c r="G3415" s="1" t="s">
        <v>643</v>
      </c>
      <c r="H3415" s="2">
        <v>47891</v>
      </c>
      <c r="I3415" t="s">
        <v>43</v>
      </c>
      <c r="J3415">
        <v>2</v>
      </c>
      <c r="K3415">
        <v>47406.29</v>
      </c>
      <c r="L3415" t="s">
        <v>1057</v>
      </c>
      <c r="M3415">
        <v>57</v>
      </c>
      <c r="N3415" t="s">
        <v>61</v>
      </c>
      <c r="O3415" s="3" t="s">
        <v>22</v>
      </c>
      <c r="P3415" t="s">
        <v>45</v>
      </c>
      <c r="Q3415" t="s">
        <v>24</v>
      </c>
      <c r="R3415">
        <v>5</v>
      </c>
      <c r="S3415" t="s">
        <v>46</v>
      </c>
      <c r="T3415" s="4">
        <f t="shared" si="269"/>
        <v>94812.58</v>
      </c>
      <c r="U3415" s="4" t="str">
        <f t="shared" si="270"/>
        <v>Good</v>
      </c>
      <c r="V3415" s="4" t="str">
        <f t="shared" si="266"/>
        <v>Average</v>
      </c>
      <c r="W3415" s="4"/>
      <c r="X3415" s="4"/>
      <c r="AJ3415" s="4"/>
    </row>
    <row r="3416" spans="1:36">
      <c r="A3416" t="str">
        <f t="shared" si="267"/>
        <v>Meen543415</v>
      </c>
      <c r="B3416">
        <v>3415</v>
      </c>
      <c r="C3416">
        <v>10</v>
      </c>
      <c r="D3416">
        <v>6</v>
      </c>
      <c r="E3416">
        <v>2024</v>
      </c>
      <c r="F3416" s="1">
        <f t="shared" si="268"/>
        <v>45453</v>
      </c>
      <c r="G3416" s="1" t="s">
        <v>643</v>
      </c>
      <c r="H3416" s="2">
        <v>47892</v>
      </c>
      <c r="I3416" t="s">
        <v>43</v>
      </c>
      <c r="J3416">
        <v>6</v>
      </c>
      <c r="K3416">
        <v>30618.84</v>
      </c>
      <c r="L3416" t="s">
        <v>755</v>
      </c>
      <c r="M3416">
        <v>54</v>
      </c>
      <c r="N3416" t="s">
        <v>61</v>
      </c>
      <c r="O3416" s="3" t="s">
        <v>55</v>
      </c>
      <c r="P3416" t="s">
        <v>132</v>
      </c>
      <c r="Q3416" t="s">
        <v>30</v>
      </c>
      <c r="R3416">
        <v>2</v>
      </c>
      <c r="S3416" t="s">
        <v>95</v>
      </c>
      <c r="T3416" s="4">
        <f t="shared" si="269"/>
        <v>183713.04</v>
      </c>
      <c r="U3416" s="4" t="str">
        <f t="shared" si="270"/>
        <v>Average</v>
      </c>
      <c r="V3416" s="4" t="str">
        <f t="shared" si="266"/>
        <v>Good</v>
      </c>
      <c r="W3416" s="4"/>
      <c r="X3416" s="4"/>
      <c r="AJ3416" s="4"/>
    </row>
    <row r="3417" spans="1:36">
      <c r="A3417" t="str">
        <f t="shared" si="267"/>
        <v>Lali383416</v>
      </c>
      <c r="B3417">
        <v>3416</v>
      </c>
      <c r="C3417">
        <v>10</v>
      </c>
      <c r="D3417">
        <v>6</v>
      </c>
      <c r="E3417">
        <v>2024</v>
      </c>
      <c r="F3417" s="1">
        <f t="shared" si="268"/>
        <v>45453</v>
      </c>
      <c r="G3417" s="1" t="s">
        <v>643</v>
      </c>
      <c r="H3417" s="2">
        <v>47893</v>
      </c>
      <c r="I3417" t="s">
        <v>26</v>
      </c>
      <c r="J3417">
        <v>3</v>
      </c>
      <c r="K3417">
        <v>19240.98</v>
      </c>
      <c r="L3417" t="s">
        <v>583</v>
      </c>
      <c r="M3417">
        <v>38</v>
      </c>
      <c r="N3417" t="s">
        <v>21</v>
      </c>
      <c r="O3417" s="3" t="s">
        <v>55</v>
      </c>
      <c r="P3417" t="s">
        <v>64</v>
      </c>
      <c r="Q3417" t="s">
        <v>24</v>
      </c>
      <c r="R3417">
        <v>2</v>
      </c>
      <c r="S3417" t="s">
        <v>31</v>
      </c>
      <c r="T3417" s="4">
        <f t="shared" si="269"/>
        <v>57722.94</v>
      </c>
      <c r="U3417" s="4" t="str">
        <f t="shared" si="270"/>
        <v>Average</v>
      </c>
      <c r="V3417" s="4" t="str">
        <f t="shared" si="266"/>
        <v>Average</v>
      </c>
      <c r="W3417" s="4"/>
      <c r="X3417" s="4"/>
      <c r="AJ3417" s="4"/>
    </row>
    <row r="3418" spans="1:36">
      <c r="A3418" t="str">
        <f t="shared" si="267"/>
        <v>Sanj503417</v>
      </c>
      <c r="B3418">
        <v>3417</v>
      </c>
      <c r="C3418">
        <v>10</v>
      </c>
      <c r="D3418">
        <v>6</v>
      </c>
      <c r="E3418">
        <v>2024</v>
      </c>
      <c r="F3418" s="1">
        <f t="shared" si="268"/>
        <v>45453</v>
      </c>
      <c r="G3418" s="1" t="s">
        <v>643</v>
      </c>
      <c r="H3418" s="2">
        <v>47894</v>
      </c>
      <c r="I3418" t="s">
        <v>26</v>
      </c>
      <c r="J3418">
        <v>6</v>
      </c>
      <c r="K3418">
        <v>25909.37</v>
      </c>
      <c r="L3418" t="s">
        <v>1059</v>
      </c>
      <c r="M3418">
        <v>50</v>
      </c>
      <c r="N3418" t="s">
        <v>61</v>
      </c>
      <c r="O3418" s="3" t="s">
        <v>22</v>
      </c>
      <c r="P3418" t="s">
        <v>137</v>
      </c>
      <c r="Q3418" t="s">
        <v>24</v>
      </c>
      <c r="R3418">
        <v>5</v>
      </c>
      <c r="S3418" t="s">
        <v>34</v>
      </c>
      <c r="T3418" s="4">
        <f t="shared" si="269"/>
        <v>155456.22</v>
      </c>
      <c r="U3418" s="4" t="str">
        <f t="shared" si="270"/>
        <v>Good</v>
      </c>
      <c r="V3418" s="4" t="str">
        <f t="shared" si="266"/>
        <v>Good</v>
      </c>
      <c r="W3418" s="4"/>
      <c r="X3418" s="4"/>
      <c r="AJ3418" s="4"/>
    </row>
    <row r="3419" spans="1:36">
      <c r="A3419" t="str">
        <f t="shared" si="267"/>
        <v>Mano343418</v>
      </c>
      <c r="B3419">
        <v>3418</v>
      </c>
      <c r="C3419">
        <v>10</v>
      </c>
      <c r="D3419">
        <v>6</v>
      </c>
      <c r="E3419">
        <v>2024</v>
      </c>
      <c r="F3419" s="1">
        <f t="shared" si="268"/>
        <v>45453</v>
      </c>
      <c r="G3419" s="1" t="s">
        <v>643</v>
      </c>
      <c r="H3419" s="2">
        <v>47895</v>
      </c>
      <c r="I3419" t="s">
        <v>19</v>
      </c>
      <c r="J3419">
        <v>3</v>
      </c>
      <c r="K3419">
        <v>25324.63</v>
      </c>
      <c r="L3419" t="s">
        <v>916</v>
      </c>
      <c r="M3419">
        <v>34</v>
      </c>
      <c r="N3419" t="s">
        <v>21</v>
      </c>
      <c r="O3419" s="3" t="s">
        <v>55</v>
      </c>
      <c r="P3419" t="s">
        <v>33</v>
      </c>
      <c r="Q3419" t="s">
        <v>56</v>
      </c>
      <c r="R3419">
        <v>2</v>
      </c>
      <c r="S3419" t="s">
        <v>37</v>
      </c>
      <c r="T3419" s="4">
        <f t="shared" si="269"/>
        <v>75973.89</v>
      </c>
      <c r="U3419" s="4" t="str">
        <f t="shared" si="270"/>
        <v>Average</v>
      </c>
      <c r="V3419" s="4" t="str">
        <f t="shared" si="266"/>
        <v>Average</v>
      </c>
      <c r="W3419" s="4"/>
      <c r="X3419" s="4"/>
      <c r="AJ3419" s="4"/>
    </row>
    <row r="3420" spans="1:36">
      <c r="A3420" t="str">
        <f t="shared" si="267"/>
        <v>Anit463419</v>
      </c>
      <c r="B3420">
        <v>3419</v>
      </c>
      <c r="C3420">
        <v>11</v>
      </c>
      <c r="D3420">
        <v>6</v>
      </c>
      <c r="E3420">
        <v>2024</v>
      </c>
      <c r="F3420" s="1">
        <f t="shared" si="268"/>
        <v>45454</v>
      </c>
      <c r="G3420" s="1" t="s">
        <v>643</v>
      </c>
      <c r="H3420" s="2">
        <v>47896</v>
      </c>
      <c r="I3420" t="s">
        <v>19</v>
      </c>
      <c r="J3420">
        <v>8</v>
      </c>
      <c r="K3420">
        <v>46811.67</v>
      </c>
      <c r="L3420" t="s">
        <v>322</v>
      </c>
      <c r="M3420">
        <v>46</v>
      </c>
      <c r="N3420" t="s">
        <v>61</v>
      </c>
      <c r="O3420" s="3" t="s">
        <v>22</v>
      </c>
      <c r="P3420" t="s">
        <v>117</v>
      </c>
      <c r="Q3420" t="s">
        <v>56</v>
      </c>
      <c r="R3420">
        <v>5</v>
      </c>
      <c r="S3420" t="s">
        <v>84</v>
      </c>
      <c r="T3420" s="4">
        <f t="shared" si="269"/>
        <v>374493.36</v>
      </c>
      <c r="U3420" s="4" t="str">
        <f t="shared" si="270"/>
        <v>Good</v>
      </c>
      <c r="V3420" s="4" t="str">
        <f t="shared" si="266"/>
        <v>Excellent</v>
      </c>
      <c r="W3420" s="4"/>
      <c r="X3420" s="4"/>
      <c r="AJ3420" s="4"/>
    </row>
    <row r="3421" spans="1:36">
      <c r="A3421" t="str">
        <f t="shared" si="267"/>
        <v>Anan573420</v>
      </c>
      <c r="B3421">
        <v>3420</v>
      </c>
      <c r="C3421">
        <v>11</v>
      </c>
      <c r="D3421">
        <v>6</v>
      </c>
      <c r="E3421">
        <v>2024</v>
      </c>
      <c r="F3421" s="1">
        <f t="shared" si="268"/>
        <v>45454</v>
      </c>
      <c r="G3421" s="1" t="s">
        <v>643</v>
      </c>
      <c r="H3421" s="2">
        <v>47897</v>
      </c>
      <c r="I3421" t="s">
        <v>43</v>
      </c>
      <c r="J3421">
        <v>4</v>
      </c>
      <c r="K3421">
        <v>66702.25</v>
      </c>
      <c r="L3421" t="s">
        <v>112</v>
      </c>
      <c r="M3421">
        <v>57</v>
      </c>
      <c r="N3421" t="s">
        <v>61</v>
      </c>
      <c r="O3421" s="3" t="s">
        <v>55</v>
      </c>
      <c r="P3421" t="s">
        <v>132</v>
      </c>
      <c r="Q3421" t="s">
        <v>30</v>
      </c>
      <c r="R3421">
        <v>2</v>
      </c>
      <c r="S3421" t="s">
        <v>57</v>
      </c>
      <c r="T3421" s="4">
        <f t="shared" si="269"/>
        <v>266809</v>
      </c>
      <c r="U3421" s="4" t="str">
        <f t="shared" si="270"/>
        <v>Average</v>
      </c>
      <c r="V3421" s="4" t="str">
        <f t="shared" si="266"/>
        <v>Excellent</v>
      </c>
      <c r="W3421" s="4"/>
      <c r="X3421" s="4"/>
      <c r="AJ3421" s="4"/>
    </row>
    <row r="3422" spans="1:36">
      <c r="A3422" t="str">
        <f t="shared" si="267"/>
        <v>Sumi273421</v>
      </c>
      <c r="B3422">
        <v>3421</v>
      </c>
      <c r="C3422">
        <v>11</v>
      </c>
      <c r="D3422">
        <v>6</v>
      </c>
      <c r="E3422">
        <v>2024</v>
      </c>
      <c r="F3422" s="1">
        <f t="shared" si="268"/>
        <v>45454</v>
      </c>
      <c r="G3422" s="1" t="s">
        <v>643</v>
      </c>
      <c r="H3422" s="2">
        <v>47898</v>
      </c>
      <c r="I3422" t="s">
        <v>49</v>
      </c>
      <c r="J3422">
        <v>6</v>
      </c>
      <c r="K3422">
        <v>12896.31</v>
      </c>
      <c r="L3422" t="s">
        <v>1046</v>
      </c>
      <c r="M3422">
        <v>27</v>
      </c>
      <c r="N3422" t="s">
        <v>36</v>
      </c>
      <c r="O3422" s="3" t="s">
        <v>22</v>
      </c>
      <c r="P3422" t="s">
        <v>29</v>
      </c>
      <c r="Q3422" t="s">
        <v>56</v>
      </c>
      <c r="R3422">
        <v>4</v>
      </c>
      <c r="S3422" t="s">
        <v>52</v>
      </c>
      <c r="T3422" s="4">
        <f t="shared" si="269"/>
        <v>77377.86</v>
      </c>
      <c r="U3422" s="4" t="str">
        <f t="shared" si="270"/>
        <v>Good</v>
      </c>
      <c r="V3422" s="4" t="str">
        <f t="shared" si="266"/>
        <v>Average</v>
      </c>
      <c r="W3422" s="4"/>
      <c r="X3422" s="4"/>
      <c r="AJ3422" s="4"/>
    </row>
    <row r="3423" spans="1:36">
      <c r="A3423" t="str">
        <f t="shared" si="267"/>
        <v>Anja353422</v>
      </c>
      <c r="B3423">
        <v>3422</v>
      </c>
      <c r="C3423">
        <v>11</v>
      </c>
      <c r="D3423">
        <v>6</v>
      </c>
      <c r="E3423">
        <v>2024</v>
      </c>
      <c r="F3423" s="1">
        <f t="shared" si="268"/>
        <v>45454</v>
      </c>
      <c r="G3423" s="1" t="s">
        <v>643</v>
      </c>
      <c r="H3423" s="2">
        <v>47899</v>
      </c>
      <c r="I3423" t="s">
        <v>19</v>
      </c>
      <c r="J3423">
        <v>9</v>
      </c>
      <c r="K3423">
        <v>10061.34</v>
      </c>
      <c r="L3423" t="s">
        <v>179</v>
      </c>
      <c r="M3423">
        <v>35</v>
      </c>
      <c r="N3423" t="s">
        <v>21</v>
      </c>
      <c r="O3423" s="3" t="s">
        <v>28</v>
      </c>
      <c r="P3423" t="s">
        <v>29</v>
      </c>
      <c r="Q3423" t="s">
        <v>30</v>
      </c>
      <c r="R3423">
        <v>3</v>
      </c>
      <c r="S3423" t="s">
        <v>84</v>
      </c>
      <c r="T3423" s="4">
        <f t="shared" si="269"/>
        <v>90552.06</v>
      </c>
      <c r="U3423" s="4" t="str">
        <f t="shared" si="270"/>
        <v>Average</v>
      </c>
      <c r="V3423" s="4" t="str">
        <f t="shared" si="266"/>
        <v>Average</v>
      </c>
      <c r="W3423" s="4"/>
      <c r="X3423" s="4"/>
      <c r="AJ3423" s="4"/>
    </row>
    <row r="3424" spans="1:36">
      <c r="A3424" t="str">
        <f t="shared" si="267"/>
        <v>Pras303423</v>
      </c>
      <c r="B3424">
        <v>3423</v>
      </c>
      <c r="C3424">
        <v>12</v>
      </c>
      <c r="D3424">
        <v>6</v>
      </c>
      <c r="E3424">
        <v>2024</v>
      </c>
      <c r="F3424" s="1">
        <f t="shared" si="268"/>
        <v>45455</v>
      </c>
      <c r="G3424" s="1" t="s">
        <v>643</v>
      </c>
      <c r="H3424" s="2">
        <v>47900</v>
      </c>
      <c r="I3424" t="s">
        <v>19</v>
      </c>
      <c r="J3424">
        <v>2</v>
      </c>
      <c r="K3424">
        <v>46010.92</v>
      </c>
      <c r="L3424" t="s">
        <v>734</v>
      </c>
      <c r="M3424">
        <v>30</v>
      </c>
      <c r="N3424" t="s">
        <v>36</v>
      </c>
      <c r="O3424" s="3" t="s">
        <v>22</v>
      </c>
      <c r="P3424" t="s">
        <v>33</v>
      </c>
      <c r="Q3424" t="s">
        <v>41</v>
      </c>
      <c r="R3424">
        <v>5</v>
      </c>
      <c r="S3424" t="s">
        <v>37</v>
      </c>
      <c r="T3424" s="4">
        <f t="shared" si="269"/>
        <v>92021.84</v>
      </c>
      <c r="U3424" s="4" t="str">
        <f t="shared" si="270"/>
        <v>Good</v>
      </c>
      <c r="V3424" s="4" t="str">
        <f t="shared" si="266"/>
        <v>Average</v>
      </c>
      <c r="W3424" s="4"/>
      <c r="X3424" s="4"/>
      <c r="AJ3424" s="4"/>
    </row>
    <row r="3425" spans="1:36">
      <c r="A3425" t="str">
        <f t="shared" si="267"/>
        <v>Kavi443424</v>
      </c>
      <c r="B3425">
        <v>3424</v>
      </c>
      <c r="C3425">
        <v>12</v>
      </c>
      <c r="D3425">
        <v>6</v>
      </c>
      <c r="E3425">
        <v>2024</v>
      </c>
      <c r="F3425" s="1">
        <f t="shared" si="268"/>
        <v>45455</v>
      </c>
      <c r="G3425" s="1" t="s">
        <v>643</v>
      </c>
      <c r="H3425" s="2">
        <v>47901</v>
      </c>
      <c r="I3425" t="s">
        <v>26</v>
      </c>
      <c r="J3425">
        <v>2</v>
      </c>
      <c r="K3425">
        <v>27043.63</v>
      </c>
      <c r="L3425" t="s">
        <v>785</v>
      </c>
      <c r="M3425">
        <v>44</v>
      </c>
      <c r="N3425" t="s">
        <v>21</v>
      </c>
      <c r="O3425" s="3" t="s">
        <v>22</v>
      </c>
      <c r="P3425" t="s">
        <v>150</v>
      </c>
      <c r="Q3425" t="s">
        <v>24</v>
      </c>
      <c r="R3425">
        <v>5</v>
      </c>
      <c r="S3425" t="s">
        <v>34</v>
      </c>
      <c r="T3425" s="4">
        <f t="shared" si="269"/>
        <v>54087.26</v>
      </c>
      <c r="U3425" s="4" t="str">
        <f t="shared" si="270"/>
        <v>Good</v>
      </c>
      <c r="V3425" s="4" t="str">
        <f t="shared" si="266"/>
        <v>Average</v>
      </c>
      <c r="W3425" s="4"/>
      <c r="X3425" s="4"/>
      <c r="AJ3425" s="4"/>
    </row>
    <row r="3426" spans="1:36">
      <c r="A3426" t="str">
        <f t="shared" si="267"/>
        <v>Anit273425</v>
      </c>
      <c r="B3426">
        <v>3425</v>
      </c>
      <c r="C3426">
        <v>12</v>
      </c>
      <c r="D3426">
        <v>6</v>
      </c>
      <c r="E3426">
        <v>2024</v>
      </c>
      <c r="F3426" s="1">
        <f t="shared" si="268"/>
        <v>45455</v>
      </c>
      <c r="G3426" s="1" t="s">
        <v>643</v>
      </c>
      <c r="H3426" s="2">
        <v>47902</v>
      </c>
      <c r="I3426" t="s">
        <v>49</v>
      </c>
      <c r="J3426">
        <v>7</v>
      </c>
      <c r="K3426">
        <v>62832.9</v>
      </c>
      <c r="L3426" t="s">
        <v>327</v>
      </c>
      <c r="M3426">
        <v>27</v>
      </c>
      <c r="N3426" t="s">
        <v>36</v>
      </c>
      <c r="O3426" s="3" t="s">
        <v>22</v>
      </c>
      <c r="P3426" t="s">
        <v>51</v>
      </c>
      <c r="Q3426" t="s">
        <v>41</v>
      </c>
      <c r="R3426">
        <v>5</v>
      </c>
      <c r="S3426" t="s">
        <v>102</v>
      </c>
      <c r="T3426" s="4">
        <f t="shared" si="269"/>
        <v>439830.3</v>
      </c>
      <c r="U3426" s="4" t="str">
        <f t="shared" si="270"/>
        <v>Good</v>
      </c>
      <c r="V3426" s="4" t="str">
        <f t="shared" si="266"/>
        <v>Excellent</v>
      </c>
      <c r="W3426" s="4"/>
      <c r="X3426" s="4"/>
      <c r="AJ3426" s="4"/>
    </row>
    <row r="3427" spans="1:36">
      <c r="A3427" t="str">
        <f t="shared" si="267"/>
        <v>Jyot493426</v>
      </c>
      <c r="B3427">
        <v>3426</v>
      </c>
      <c r="C3427">
        <v>12</v>
      </c>
      <c r="D3427">
        <v>6</v>
      </c>
      <c r="E3427">
        <v>2024</v>
      </c>
      <c r="F3427" s="1">
        <f t="shared" si="268"/>
        <v>45455</v>
      </c>
      <c r="G3427" s="1" t="s">
        <v>643</v>
      </c>
      <c r="H3427" s="2">
        <v>47903</v>
      </c>
      <c r="I3427" t="s">
        <v>43</v>
      </c>
      <c r="J3427">
        <v>2</v>
      </c>
      <c r="K3427">
        <v>29635.02</v>
      </c>
      <c r="L3427" t="s">
        <v>965</v>
      </c>
      <c r="M3427">
        <v>49</v>
      </c>
      <c r="N3427" t="s">
        <v>61</v>
      </c>
      <c r="O3427" s="3" t="s">
        <v>22</v>
      </c>
      <c r="P3427" t="s">
        <v>23</v>
      </c>
      <c r="Q3427" t="s">
        <v>41</v>
      </c>
      <c r="R3427">
        <v>4</v>
      </c>
      <c r="S3427" t="s">
        <v>46</v>
      </c>
      <c r="T3427" s="4">
        <f t="shared" si="269"/>
        <v>59270.04</v>
      </c>
      <c r="U3427" s="4" t="str">
        <f t="shared" si="270"/>
        <v>Good</v>
      </c>
      <c r="V3427" s="4" t="str">
        <f t="shared" si="266"/>
        <v>Average</v>
      </c>
      <c r="W3427" s="4"/>
      <c r="X3427" s="4"/>
      <c r="AJ3427" s="4"/>
    </row>
    <row r="3428" spans="1:36">
      <c r="A3428" t="str">
        <f t="shared" si="267"/>
        <v>Yoge583427</v>
      </c>
      <c r="B3428">
        <v>3427</v>
      </c>
      <c r="C3428">
        <v>13</v>
      </c>
      <c r="D3428">
        <v>6</v>
      </c>
      <c r="E3428">
        <v>2024</v>
      </c>
      <c r="F3428" s="1">
        <f t="shared" si="268"/>
        <v>45456</v>
      </c>
      <c r="G3428" s="1" t="s">
        <v>643</v>
      </c>
      <c r="H3428" s="2">
        <v>47904</v>
      </c>
      <c r="I3428" t="s">
        <v>19</v>
      </c>
      <c r="J3428">
        <v>2</v>
      </c>
      <c r="K3428">
        <v>27384.26</v>
      </c>
      <c r="L3428" t="s">
        <v>978</v>
      </c>
      <c r="M3428">
        <v>58</v>
      </c>
      <c r="N3428" t="s">
        <v>61</v>
      </c>
      <c r="O3428" s="3" t="s">
        <v>55</v>
      </c>
      <c r="P3428" t="s">
        <v>137</v>
      </c>
      <c r="Q3428" t="s">
        <v>24</v>
      </c>
      <c r="R3428">
        <v>2</v>
      </c>
      <c r="S3428" t="s">
        <v>37</v>
      </c>
      <c r="T3428" s="4">
        <f t="shared" si="269"/>
        <v>54768.52</v>
      </c>
      <c r="U3428" s="4" t="str">
        <f t="shared" si="270"/>
        <v>Average</v>
      </c>
      <c r="V3428" s="4" t="str">
        <f t="shared" si="266"/>
        <v>Average</v>
      </c>
      <c r="W3428" s="4"/>
      <c r="X3428" s="4"/>
      <c r="AJ3428" s="4"/>
    </row>
    <row r="3429" spans="1:36">
      <c r="A3429" t="str">
        <f t="shared" si="267"/>
        <v>Neet203428</v>
      </c>
      <c r="B3429">
        <v>3428</v>
      </c>
      <c r="C3429">
        <v>13</v>
      </c>
      <c r="D3429">
        <v>6</v>
      </c>
      <c r="E3429">
        <v>2024</v>
      </c>
      <c r="F3429" s="1">
        <f t="shared" si="268"/>
        <v>45456</v>
      </c>
      <c r="G3429" s="1" t="s">
        <v>643</v>
      </c>
      <c r="H3429" s="2">
        <v>47905</v>
      </c>
      <c r="I3429" t="s">
        <v>49</v>
      </c>
      <c r="J3429">
        <v>4</v>
      </c>
      <c r="K3429">
        <v>26170.639999999999</v>
      </c>
      <c r="L3429" t="s">
        <v>525</v>
      </c>
      <c r="M3429">
        <v>20</v>
      </c>
      <c r="N3429" t="s">
        <v>36</v>
      </c>
      <c r="O3429" s="3" t="s">
        <v>55</v>
      </c>
      <c r="P3429" t="s">
        <v>40</v>
      </c>
      <c r="Q3429" t="s">
        <v>56</v>
      </c>
      <c r="R3429">
        <v>2</v>
      </c>
      <c r="S3429" t="s">
        <v>102</v>
      </c>
      <c r="T3429" s="4">
        <f t="shared" si="269"/>
        <v>104682.56</v>
      </c>
      <c r="U3429" s="4" t="str">
        <f t="shared" si="270"/>
        <v>Average</v>
      </c>
      <c r="V3429" s="4" t="str">
        <f t="shared" si="266"/>
        <v>Good</v>
      </c>
      <c r="W3429" s="4"/>
      <c r="X3429" s="4"/>
      <c r="AJ3429" s="4"/>
    </row>
    <row r="3430" spans="1:36">
      <c r="A3430" t="str">
        <f t="shared" si="267"/>
        <v>Isha393429</v>
      </c>
      <c r="B3430">
        <v>3429</v>
      </c>
      <c r="C3430">
        <v>13</v>
      </c>
      <c r="D3430">
        <v>6</v>
      </c>
      <c r="E3430">
        <v>2024</v>
      </c>
      <c r="F3430" s="1">
        <f t="shared" si="268"/>
        <v>45456</v>
      </c>
      <c r="G3430" s="1" t="s">
        <v>643</v>
      </c>
      <c r="H3430" s="2">
        <v>47906</v>
      </c>
      <c r="I3430" t="s">
        <v>49</v>
      </c>
      <c r="J3430">
        <v>9</v>
      </c>
      <c r="K3430">
        <v>18691.169999999998</v>
      </c>
      <c r="L3430" t="s">
        <v>277</v>
      </c>
      <c r="M3430">
        <v>39</v>
      </c>
      <c r="N3430" t="s">
        <v>21</v>
      </c>
      <c r="O3430" s="3" t="s">
        <v>22</v>
      </c>
      <c r="P3430" t="s">
        <v>40</v>
      </c>
      <c r="Q3430" t="s">
        <v>41</v>
      </c>
      <c r="R3430">
        <v>5</v>
      </c>
      <c r="S3430" t="s">
        <v>52</v>
      </c>
      <c r="T3430" s="4">
        <f t="shared" si="269"/>
        <v>168220.52999999997</v>
      </c>
      <c r="U3430" s="4" t="str">
        <f t="shared" si="270"/>
        <v>Good</v>
      </c>
      <c r="V3430" s="4" t="str">
        <f t="shared" si="266"/>
        <v>Good</v>
      </c>
      <c r="W3430" s="4"/>
      <c r="X3430" s="4"/>
      <c r="AJ3430" s="4"/>
    </row>
    <row r="3431" spans="1:36">
      <c r="A3431" t="str">
        <f t="shared" si="267"/>
        <v>Navi443430</v>
      </c>
      <c r="B3431">
        <v>3430</v>
      </c>
      <c r="C3431">
        <v>13</v>
      </c>
      <c r="D3431">
        <v>6</v>
      </c>
      <c r="E3431">
        <v>2024</v>
      </c>
      <c r="F3431" s="1">
        <f t="shared" si="268"/>
        <v>45456</v>
      </c>
      <c r="G3431" s="1" t="s">
        <v>643</v>
      </c>
      <c r="H3431" s="2">
        <v>47907</v>
      </c>
      <c r="I3431" t="s">
        <v>43</v>
      </c>
      <c r="J3431">
        <v>8</v>
      </c>
      <c r="K3431">
        <v>44891.83</v>
      </c>
      <c r="L3431" t="s">
        <v>582</v>
      </c>
      <c r="M3431">
        <v>44</v>
      </c>
      <c r="N3431" t="s">
        <v>21</v>
      </c>
      <c r="O3431" s="3" t="s">
        <v>55</v>
      </c>
      <c r="P3431" t="s">
        <v>150</v>
      </c>
      <c r="Q3431" t="s">
        <v>24</v>
      </c>
      <c r="R3431">
        <v>2</v>
      </c>
      <c r="S3431" t="s">
        <v>46</v>
      </c>
      <c r="T3431" s="4">
        <f t="shared" si="269"/>
        <v>359134.64</v>
      </c>
      <c r="U3431" s="4" t="str">
        <f t="shared" si="270"/>
        <v>Average</v>
      </c>
      <c r="V3431" s="4" t="str">
        <f t="shared" si="266"/>
        <v>Excellent</v>
      </c>
      <c r="W3431" s="4"/>
      <c r="X3431" s="4"/>
      <c r="AJ3431" s="4"/>
    </row>
    <row r="3432" spans="1:36">
      <c r="A3432" t="str">
        <f t="shared" si="267"/>
        <v>Sanj203431</v>
      </c>
      <c r="B3432">
        <v>3431</v>
      </c>
      <c r="C3432">
        <v>14</v>
      </c>
      <c r="D3432">
        <v>6</v>
      </c>
      <c r="E3432">
        <v>2024</v>
      </c>
      <c r="F3432" s="1">
        <f t="shared" si="268"/>
        <v>45457</v>
      </c>
      <c r="G3432" s="1" t="s">
        <v>643</v>
      </c>
      <c r="H3432" s="2">
        <v>47908</v>
      </c>
      <c r="I3432" t="s">
        <v>49</v>
      </c>
      <c r="J3432">
        <v>2</v>
      </c>
      <c r="K3432">
        <v>20092.82</v>
      </c>
      <c r="L3432" t="s">
        <v>247</v>
      </c>
      <c r="M3432">
        <v>20</v>
      </c>
      <c r="N3432" t="s">
        <v>36</v>
      </c>
      <c r="O3432" s="3" t="s">
        <v>55</v>
      </c>
      <c r="P3432" t="s">
        <v>23</v>
      </c>
      <c r="Q3432" t="s">
        <v>41</v>
      </c>
      <c r="R3432">
        <v>2</v>
      </c>
      <c r="S3432" t="s">
        <v>52</v>
      </c>
      <c r="T3432" s="4">
        <f t="shared" si="269"/>
        <v>40185.64</v>
      </c>
      <c r="U3432" s="4" t="str">
        <f t="shared" si="270"/>
        <v>Average</v>
      </c>
      <c r="V3432" s="4" t="str">
        <f t="shared" si="266"/>
        <v>Low</v>
      </c>
      <c r="W3432" s="4"/>
      <c r="X3432" s="4"/>
      <c r="AJ3432" s="4"/>
    </row>
    <row r="3433" spans="1:36">
      <c r="A3433" t="str">
        <f t="shared" si="267"/>
        <v>Kavi503432</v>
      </c>
      <c r="B3433">
        <v>3432</v>
      </c>
      <c r="C3433">
        <v>14</v>
      </c>
      <c r="D3433">
        <v>6</v>
      </c>
      <c r="E3433">
        <v>2024</v>
      </c>
      <c r="F3433" s="1">
        <f t="shared" si="268"/>
        <v>45457</v>
      </c>
      <c r="G3433" s="1" t="s">
        <v>643</v>
      </c>
      <c r="H3433" s="2">
        <v>47909</v>
      </c>
      <c r="I3433" t="s">
        <v>49</v>
      </c>
      <c r="J3433">
        <v>8</v>
      </c>
      <c r="K3433">
        <v>35477.870000000003</v>
      </c>
      <c r="L3433" t="s">
        <v>211</v>
      </c>
      <c r="M3433">
        <v>50</v>
      </c>
      <c r="N3433" t="s">
        <v>61</v>
      </c>
      <c r="O3433" s="3" t="s">
        <v>22</v>
      </c>
      <c r="P3433" t="s">
        <v>45</v>
      </c>
      <c r="Q3433" t="s">
        <v>41</v>
      </c>
      <c r="R3433">
        <v>4</v>
      </c>
      <c r="S3433" t="s">
        <v>88</v>
      </c>
      <c r="T3433" s="4">
        <f t="shared" si="269"/>
        <v>283822.96000000002</v>
      </c>
      <c r="U3433" s="4" t="str">
        <f t="shared" si="270"/>
        <v>Good</v>
      </c>
      <c r="V3433" s="4" t="str">
        <f t="shared" si="266"/>
        <v>Excellent</v>
      </c>
      <c r="W3433" s="4"/>
      <c r="X3433" s="4"/>
      <c r="AJ3433" s="4"/>
    </row>
    <row r="3434" spans="1:36">
      <c r="A3434" t="str">
        <f t="shared" si="267"/>
        <v>Shru193433</v>
      </c>
      <c r="B3434">
        <v>3433</v>
      </c>
      <c r="C3434">
        <v>14</v>
      </c>
      <c r="D3434">
        <v>6</v>
      </c>
      <c r="E3434">
        <v>2024</v>
      </c>
      <c r="F3434" s="1">
        <f t="shared" si="268"/>
        <v>45457</v>
      </c>
      <c r="G3434" s="1" t="s">
        <v>643</v>
      </c>
      <c r="H3434" s="2">
        <v>47910</v>
      </c>
      <c r="I3434" t="s">
        <v>49</v>
      </c>
      <c r="J3434">
        <v>4</v>
      </c>
      <c r="K3434">
        <v>37658.32</v>
      </c>
      <c r="L3434" t="s">
        <v>457</v>
      </c>
      <c r="M3434">
        <v>19</v>
      </c>
      <c r="N3434" t="s">
        <v>36</v>
      </c>
      <c r="O3434" s="3" t="s">
        <v>22</v>
      </c>
      <c r="P3434" t="s">
        <v>33</v>
      </c>
      <c r="Q3434" t="s">
        <v>24</v>
      </c>
      <c r="R3434">
        <v>5</v>
      </c>
      <c r="S3434" t="s">
        <v>102</v>
      </c>
      <c r="T3434" s="4">
        <f t="shared" si="269"/>
        <v>150633.28</v>
      </c>
      <c r="U3434" s="4" t="str">
        <f t="shared" si="270"/>
        <v>Good</v>
      </c>
      <c r="V3434" s="4" t="str">
        <f t="shared" si="266"/>
        <v>Good</v>
      </c>
      <c r="W3434" s="4"/>
      <c r="X3434" s="4"/>
      <c r="AJ3434" s="4"/>
    </row>
    <row r="3435" spans="1:36">
      <c r="A3435" t="str">
        <f t="shared" si="267"/>
        <v>Kavi283434</v>
      </c>
      <c r="B3435">
        <v>3434</v>
      </c>
      <c r="C3435">
        <v>14</v>
      </c>
      <c r="D3435">
        <v>6</v>
      </c>
      <c r="E3435">
        <v>2024</v>
      </c>
      <c r="F3435" s="1">
        <f t="shared" si="268"/>
        <v>45457</v>
      </c>
      <c r="G3435" s="1" t="s">
        <v>643</v>
      </c>
      <c r="H3435" s="2">
        <v>47911</v>
      </c>
      <c r="I3435" t="s">
        <v>19</v>
      </c>
      <c r="J3435">
        <v>2</v>
      </c>
      <c r="K3435">
        <v>11229.52</v>
      </c>
      <c r="L3435" t="s">
        <v>468</v>
      </c>
      <c r="M3435">
        <v>28</v>
      </c>
      <c r="N3435" t="s">
        <v>36</v>
      </c>
      <c r="O3435" s="3" t="s">
        <v>28</v>
      </c>
      <c r="P3435" t="s">
        <v>117</v>
      </c>
      <c r="Q3435" t="s">
        <v>56</v>
      </c>
      <c r="R3435">
        <v>3</v>
      </c>
      <c r="S3435" t="s">
        <v>84</v>
      </c>
      <c r="T3435" s="4">
        <f t="shared" si="269"/>
        <v>22459.040000000001</v>
      </c>
      <c r="U3435" s="4" t="str">
        <f t="shared" si="270"/>
        <v>Average</v>
      </c>
      <c r="V3435" s="4" t="str">
        <f t="shared" si="266"/>
        <v>Low</v>
      </c>
      <c r="W3435" s="4"/>
      <c r="X3435" s="4"/>
      <c r="AJ3435" s="4"/>
    </row>
    <row r="3436" spans="1:36">
      <c r="A3436" t="str">
        <f t="shared" si="267"/>
        <v>Raje273435</v>
      </c>
      <c r="B3436">
        <v>3435</v>
      </c>
      <c r="C3436">
        <v>15</v>
      </c>
      <c r="D3436">
        <v>6</v>
      </c>
      <c r="E3436">
        <v>2024</v>
      </c>
      <c r="F3436" s="1">
        <f t="shared" si="268"/>
        <v>45458</v>
      </c>
      <c r="G3436" s="1" t="s">
        <v>643</v>
      </c>
      <c r="H3436" s="2">
        <v>47912</v>
      </c>
      <c r="I3436" t="s">
        <v>43</v>
      </c>
      <c r="J3436">
        <v>7</v>
      </c>
      <c r="K3436">
        <v>11008.44</v>
      </c>
      <c r="L3436" t="s">
        <v>1032</v>
      </c>
      <c r="M3436">
        <v>27</v>
      </c>
      <c r="N3436" t="s">
        <v>36</v>
      </c>
      <c r="O3436" s="3" t="s">
        <v>22</v>
      </c>
      <c r="P3436" t="s">
        <v>45</v>
      </c>
      <c r="Q3436" t="s">
        <v>30</v>
      </c>
      <c r="R3436">
        <v>5</v>
      </c>
      <c r="S3436" t="s">
        <v>95</v>
      </c>
      <c r="T3436" s="4">
        <f t="shared" si="269"/>
        <v>77059.08</v>
      </c>
      <c r="U3436" s="4" t="str">
        <f t="shared" si="270"/>
        <v>Good</v>
      </c>
      <c r="V3436" s="4" t="str">
        <f t="shared" si="266"/>
        <v>Average</v>
      </c>
      <c r="W3436" s="4"/>
      <c r="X3436" s="4"/>
      <c r="AJ3436" s="4"/>
    </row>
    <row r="3437" spans="1:36">
      <c r="A3437" t="str">
        <f t="shared" si="267"/>
        <v>Deve563436</v>
      </c>
      <c r="B3437">
        <v>3436</v>
      </c>
      <c r="C3437">
        <v>15</v>
      </c>
      <c r="D3437">
        <v>6</v>
      </c>
      <c r="E3437">
        <v>2024</v>
      </c>
      <c r="F3437" s="1">
        <f t="shared" si="268"/>
        <v>45458</v>
      </c>
      <c r="G3437" s="1" t="s">
        <v>643</v>
      </c>
      <c r="H3437" s="2">
        <v>47913</v>
      </c>
      <c r="I3437" t="s">
        <v>49</v>
      </c>
      <c r="J3437">
        <v>6</v>
      </c>
      <c r="K3437">
        <v>41212.76</v>
      </c>
      <c r="L3437" t="s">
        <v>548</v>
      </c>
      <c r="M3437">
        <v>56</v>
      </c>
      <c r="N3437" t="s">
        <v>61</v>
      </c>
      <c r="O3437" s="3" t="s">
        <v>22</v>
      </c>
      <c r="P3437" t="s">
        <v>93</v>
      </c>
      <c r="Q3437" t="s">
        <v>24</v>
      </c>
      <c r="R3437">
        <v>5</v>
      </c>
      <c r="S3437" t="s">
        <v>102</v>
      </c>
      <c r="T3437" s="4">
        <f t="shared" si="269"/>
        <v>247276.56</v>
      </c>
      <c r="U3437" s="4" t="str">
        <f t="shared" si="270"/>
        <v>Good</v>
      </c>
      <c r="V3437" s="4" t="str">
        <f t="shared" si="266"/>
        <v>Excellent</v>
      </c>
      <c r="W3437" s="4"/>
      <c r="X3437" s="4"/>
      <c r="AJ3437" s="4"/>
    </row>
    <row r="3438" spans="1:36">
      <c r="A3438" t="str">
        <f t="shared" si="267"/>
        <v>Sneh503437</v>
      </c>
      <c r="B3438">
        <v>3437</v>
      </c>
      <c r="C3438">
        <v>15</v>
      </c>
      <c r="D3438">
        <v>6</v>
      </c>
      <c r="E3438">
        <v>2024</v>
      </c>
      <c r="F3438" s="1">
        <f t="shared" si="268"/>
        <v>45458</v>
      </c>
      <c r="G3438" s="1" t="s">
        <v>643</v>
      </c>
      <c r="H3438" s="2">
        <v>47914</v>
      </c>
      <c r="I3438" t="s">
        <v>49</v>
      </c>
      <c r="J3438">
        <v>5</v>
      </c>
      <c r="K3438">
        <v>51762.080000000002</v>
      </c>
      <c r="L3438" t="s">
        <v>517</v>
      </c>
      <c r="M3438">
        <v>50</v>
      </c>
      <c r="N3438" t="s">
        <v>61</v>
      </c>
      <c r="O3438" s="3" t="s">
        <v>28</v>
      </c>
      <c r="P3438" t="s">
        <v>33</v>
      </c>
      <c r="Q3438" t="s">
        <v>30</v>
      </c>
      <c r="R3438">
        <v>3</v>
      </c>
      <c r="S3438" t="s">
        <v>102</v>
      </c>
      <c r="T3438" s="4">
        <f t="shared" si="269"/>
        <v>258810.40000000002</v>
      </c>
      <c r="U3438" s="4" t="str">
        <f t="shared" si="270"/>
        <v>Average</v>
      </c>
      <c r="V3438" s="4" t="str">
        <f t="shared" si="266"/>
        <v>Excellent</v>
      </c>
      <c r="W3438" s="4"/>
      <c r="X3438" s="4"/>
      <c r="AJ3438" s="4"/>
    </row>
    <row r="3439" spans="1:36">
      <c r="A3439" t="str">
        <f t="shared" si="267"/>
        <v>Mala243438</v>
      </c>
      <c r="B3439">
        <v>3438</v>
      </c>
      <c r="C3439">
        <v>15</v>
      </c>
      <c r="D3439">
        <v>6</v>
      </c>
      <c r="E3439">
        <v>2024</v>
      </c>
      <c r="F3439" s="1">
        <f t="shared" si="268"/>
        <v>45458</v>
      </c>
      <c r="G3439" s="1" t="s">
        <v>643</v>
      </c>
      <c r="H3439" s="2">
        <v>47915</v>
      </c>
      <c r="I3439" t="s">
        <v>19</v>
      </c>
      <c r="J3439">
        <v>1</v>
      </c>
      <c r="K3439">
        <v>66528.55</v>
      </c>
      <c r="L3439" t="s">
        <v>167</v>
      </c>
      <c r="M3439">
        <v>24</v>
      </c>
      <c r="N3439" t="s">
        <v>36</v>
      </c>
      <c r="O3439" s="3" t="s">
        <v>22</v>
      </c>
      <c r="P3439" t="s">
        <v>51</v>
      </c>
      <c r="Q3439" t="s">
        <v>24</v>
      </c>
      <c r="R3439">
        <v>5</v>
      </c>
      <c r="S3439" t="s">
        <v>25</v>
      </c>
      <c r="T3439" s="4">
        <f t="shared" si="269"/>
        <v>66528.55</v>
      </c>
      <c r="U3439" s="4" t="str">
        <f t="shared" si="270"/>
        <v>Good</v>
      </c>
      <c r="V3439" s="4" t="str">
        <f t="shared" si="266"/>
        <v>Average</v>
      </c>
      <c r="W3439" s="4"/>
      <c r="X3439" s="4"/>
      <c r="AJ3439" s="4"/>
    </row>
    <row r="3440" spans="1:36">
      <c r="A3440" t="str">
        <f t="shared" si="267"/>
        <v>Bina323439</v>
      </c>
      <c r="B3440">
        <v>3439</v>
      </c>
      <c r="C3440">
        <v>16</v>
      </c>
      <c r="D3440">
        <v>6</v>
      </c>
      <c r="E3440">
        <v>2024</v>
      </c>
      <c r="F3440" s="1">
        <f t="shared" si="268"/>
        <v>45459</v>
      </c>
      <c r="G3440" s="1" t="s">
        <v>643</v>
      </c>
      <c r="H3440" s="2">
        <v>47916</v>
      </c>
      <c r="I3440" t="s">
        <v>43</v>
      </c>
      <c r="J3440">
        <v>2</v>
      </c>
      <c r="K3440">
        <v>20747.16</v>
      </c>
      <c r="L3440" t="s">
        <v>572</v>
      </c>
      <c r="M3440">
        <v>32</v>
      </c>
      <c r="N3440" t="s">
        <v>21</v>
      </c>
      <c r="O3440" s="3" t="s">
        <v>22</v>
      </c>
      <c r="P3440" t="s">
        <v>29</v>
      </c>
      <c r="Q3440" t="s">
        <v>24</v>
      </c>
      <c r="R3440">
        <v>5</v>
      </c>
      <c r="S3440" t="s">
        <v>57</v>
      </c>
      <c r="T3440" s="4">
        <f t="shared" si="269"/>
        <v>41494.32</v>
      </c>
      <c r="U3440" s="4" t="str">
        <f t="shared" si="270"/>
        <v>Good</v>
      </c>
      <c r="V3440" s="4" t="str">
        <f t="shared" si="266"/>
        <v>Low</v>
      </c>
      <c r="W3440" s="4"/>
      <c r="X3440" s="4"/>
      <c r="AJ3440" s="4"/>
    </row>
    <row r="3441" spans="1:36">
      <c r="A3441" t="str">
        <f t="shared" si="267"/>
        <v>Pank433440</v>
      </c>
      <c r="B3441">
        <v>3440</v>
      </c>
      <c r="C3441">
        <v>16</v>
      </c>
      <c r="D3441">
        <v>6</v>
      </c>
      <c r="E3441">
        <v>2024</v>
      </c>
      <c r="F3441" s="1">
        <f t="shared" si="268"/>
        <v>45459</v>
      </c>
      <c r="G3441" s="1" t="s">
        <v>643</v>
      </c>
      <c r="H3441" s="2">
        <v>47917</v>
      </c>
      <c r="I3441" t="s">
        <v>26</v>
      </c>
      <c r="J3441">
        <v>8</v>
      </c>
      <c r="K3441">
        <v>16195.53</v>
      </c>
      <c r="L3441" t="s">
        <v>178</v>
      </c>
      <c r="M3441">
        <v>43</v>
      </c>
      <c r="N3441" t="s">
        <v>21</v>
      </c>
      <c r="O3441" s="3" t="s">
        <v>22</v>
      </c>
      <c r="P3441" t="s">
        <v>110</v>
      </c>
      <c r="Q3441" t="s">
        <v>30</v>
      </c>
      <c r="R3441">
        <v>4</v>
      </c>
      <c r="S3441" t="s">
        <v>67</v>
      </c>
      <c r="T3441" s="4">
        <f t="shared" si="269"/>
        <v>129564.24</v>
      </c>
      <c r="U3441" s="4" t="str">
        <f t="shared" si="270"/>
        <v>Good</v>
      </c>
      <c r="V3441" s="4" t="str">
        <f t="shared" si="266"/>
        <v>Good</v>
      </c>
      <c r="W3441" s="4"/>
      <c r="X3441" s="4"/>
      <c r="AJ3441" s="4"/>
    </row>
    <row r="3442" spans="1:36">
      <c r="A3442" t="str">
        <f t="shared" si="267"/>
        <v>Lata283441</v>
      </c>
      <c r="B3442">
        <v>3441</v>
      </c>
      <c r="C3442">
        <v>16</v>
      </c>
      <c r="D3442">
        <v>6</v>
      </c>
      <c r="E3442">
        <v>2024</v>
      </c>
      <c r="F3442" s="1">
        <f t="shared" si="268"/>
        <v>45459</v>
      </c>
      <c r="G3442" s="1" t="s">
        <v>643</v>
      </c>
      <c r="H3442" s="2">
        <v>47918</v>
      </c>
      <c r="I3442" t="s">
        <v>19</v>
      </c>
      <c r="J3442">
        <v>1</v>
      </c>
      <c r="K3442">
        <v>13125.27</v>
      </c>
      <c r="L3442" t="s">
        <v>764</v>
      </c>
      <c r="M3442">
        <v>28</v>
      </c>
      <c r="N3442" t="s">
        <v>36</v>
      </c>
      <c r="O3442" s="3" t="s">
        <v>22</v>
      </c>
      <c r="P3442" t="s">
        <v>66</v>
      </c>
      <c r="Q3442" t="s">
        <v>30</v>
      </c>
      <c r="R3442">
        <v>4</v>
      </c>
      <c r="S3442" t="s">
        <v>84</v>
      </c>
      <c r="T3442" s="4">
        <f t="shared" si="269"/>
        <v>13125.27</v>
      </c>
      <c r="U3442" s="4" t="str">
        <f t="shared" si="270"/>
        <v>Good</v>
      </c>
      <c r="V3442" s="4" t="str">
        <f t="shared" si="266"/>
        <v>Low</v>
      </c>
      <c r="W3442" s="4"/>
      <c r="X3442" s="4"/>
      <c r="AJ3442" s="4"/>
    </row>
    <row r="3443" spans="1:36">
      <c r="A3443" t="str">
        <f t="shared" si="267"/>
        <v>Neet553442</v>
      </c>
      <c r="B3443">
        <v>3442</v>
      </c>
      <c r="C3443">
        <v>16</v>
      </c>
      <c r="D3443">
        <v>6</v>
      </c>
      <c r="E3443">
        <v>2024</v>
      </c>
      <c r="F3443" s="1">
        <f t="shared" si="268"/>
        <v>45459</v>
      </c>
      <c r="G3443" s="1" t="s">
        <v>643</v>
      </c>
      <c r="H3443" s="2">
        <v>47919</v>
      </c>
      <c r="I3443" t="s">
        <v>43</v>
      </c>
      <c r="J3443">
        <v>3</v>
      </c>
      <c r="K3443">
        <v>36162.49</v>
      </c>
      <c r="L3443" t="s">
        <v>828</v>
      </c>
      <c r="M3443">
        <v>55</v>
      </c>
      <c r="N3443" t="s">
        <v>61</v>
      </c>
      <c r="O3443" s="3" t="s">
        <v>22</v>
      </c>
      <c r="P3443" t="s">
        <v>150</v>
      </c>
      <c r="Q3443" t="s">
        <v>56</v>
      </c>
      <c r="R3443">
        <v>4</v>
      </c>
      <c r="S3443" t="s">
        <v>57</v>
      </c>
      <c r="T3443" s="4">
        <f t="shared" si="269"/>
        <v>108487.47</v>
      </c>
      <c r="U3443" s="4" t="str">
        <f t="shared" si="270"/>
        <v>Good</v>
      </c>
      <c r="V3443" s="4" t="str">
        <f t="shared" si="266"/>
        <v>Good</v>
      </c>
      <c r="W3443" s="4"/>
      <c r="X3443" s="4"/>
      <c r="AJ3443" s="4"/>
    </row>
    <row r="3444" spans="1:36">
      <c r="A3444" t="str">
        <f t="shared" si="267"/>
        <v>Lata443443</v>
      </c>
      <c r="B3444">
        <v>3443</v>
      </c>
      <c r="C3444">
        <v>17</v>
      </c>
      <c r="D3444">
        <v>6</v>
      </c>
      <c r="E3444">
        <v>2024</v>
      </c>
      <c r="F3444" s="1">
        <f t="shared" si="268"/>
        <v>45460</v>
      </c>
      <c r="G3444" s="1" t="s">
        <v>643</v>
      </c>
      <c r="H3444" s="2">
        <v>47920</v>
      </c>
      <c r="I3444" t="s">
        <v>49</v>
      </c>
      <c r="J3444">
        <v>2</v>
      </c>
      <c r="K3444">
        <v>47388.84</v>
      </c>
      <c r="L3444" t="s">
        <v>127</v>
      </c>
      <c r="M3444">
        <v>44</v>
      </c>
      <c r="N3444" t="s">
        <v>21</v>
      </c>
      <c r="O3444" s="3" t="s">
        <v>22</v>
      </c>
      <c r="P3444" t="s">
        <v>93</v>
      </c>
      <c r="Q3444" t="s">
        <v>24</v>
      </c>
      <c r="R3444">
        <v>5</v>
      </c>
      <c r="S3444" t="s">
        <v>88</v>
      </c>
      <c r="T3444" s="4">
        <f t="shared" si="269"/>
        <v>94777.68</v>
      </c>
      <c r="U3444" s="4" t="str">
        <f t="shared" si="270"/>
        <v>Good</v>
      </c>
      <c r="V3444" s="4" t="str">
        <f t="shared" si="266"/>
        <v>Average</v>
      </c>
      <c r="W3444" s="4"/>
      <c r="X3444" s="4"/>
      <c r="AJ3444" s="4"/>
    </row>
    <row r="3445" spans="1:36">
      <c r="A3445" t="str">
        <f t="shared" si="267"/>
        <v>Radh563444</v>
      </c>
      <c r="B3445">
        <v>3444</v>
      </c>
      <c r="C3445">
        <v>17</v>
      </c>
      <c r="D3445">
        <v>6</v>
      </c>
      <c r="E3445">
        <v>2024</v>
      </c>
      <c r="F3445" s="1">
        <f t="shared" si="268"/>
        <v>45460</v>
      </c>
      <c r="G3445" s="1" t="s">
        <v>643</v>
      </c>
      <c r="H3445" s="2">
        <v>47921</v>
      </c>
      <c r="I3445" t="s">
        <v>43</v>
      </c>
      <c r="J3445">
        <v>5</v>
      </c>
      <c r="K3445">
        <v>60433.2</v>
      </c>
      <c r="L3445" t="s">
        <v>217</v>
      </c>
      <c r="M3445">
        <v>56</v>
      </c>
      <c r="N3445" t="s">
        <v>61</v>
      </c>
      <c r="O3445" s="3" t="s">
        <v>22</v>
      </c>
      <c r="P3445" t="s">
        <v>66</v>
      </c>
      <c r="Q3445" t="s">
        <v>24</v>
      </c>
      <c r="R3445">
        <v>5</v>
      </c>
      <c r="S3445" t="s">
        <v>46</v>
      </c>
      <c r="T3445" s="4">
        <f t="shared" si="269"/>
        <v>302166</v>
      </c>
      <c r="U3445" s="4" t="str">
        <f t="shared" si="270"/>
        <v>Good</v>
      </c>
      <c r="V3445" s="4" t="str">
        <f t="shared" si="266"/>
        <v>Excellent</v>
      </c>
      <c r="W3445" s="4"/>
      <c r="X3445" s="4"/>
      <c r="AJ3445" s="4"/>
    </row>
    <row r="3446" spans="1:36">
      <c r="A3446" t="str">
        <f t="shared" si="267"/>
        <v>Mano243445</v>
      </c>
      <c r="B3446">
        <v>3445</v>
      </c>
      <c r="C3446">
        <v>17</v>
      </c>
      <c r="D3446">
        <v>6</v>
      </c>
      <c r="E3446">
        <v>2024</v>
      </c>
      <c r="F3446" s="1">
        <f t="shared" si="268"/>
        <v>45460</v>
      </c>
      <c r="G3446" s="1" t="s">
        <v>643</v>
      </c>
      <c r="H3446" s="2">
        <v>47922</v>
      </c>
      <c r="I3446" t="s">
        <v>43</v>
      </c>
      <c r="J3446">
        <v>4</v>
      </c>
      <c r="K3446">
        <v>50958.69</v>
      </c>
      <c r="L3446" t="s">
        <v>450</v>
      </c>
      <c r="M3446">
        <v>24</v>
      </c>
      <c r="N3446" t="s">
        <v>36</v>
      </c>
      <c r="O3446" s="3" t="s">
        <v>55</v>
      </c>
      <c r="P3446" t="s">
        <v>40</v>
      </c>
      <c r="Q3446" t="s">
        <v>24</v>
      </c>
      <c r="R3446">
        <v>2</v>
      </c>
      <c r="S3446" t="s">
        <v>95</v>
      </c>
      <c r="T3446" s="4">
        <f t="shared" si="269"/>
        <v>203834.76</v>
      </c>
      <c r="U3446" s="4" t="str">
        <f t="shared" si="270"/>
        <v>Average</v>
      </c>
      <c r="V3446" s="4" t="str">
        <f t="shared" si="266"/>
        <v>Excellent</v>
      </c>
      <c r="W3446" s="4"/>
      <c r="X3446" s="4"/>
      <c r="AJ3446" s="4"/>
    </row>
    <row r="3447" spans="1:36">
      <c r="A3447" t="str">
        <f t="shared" si="267"/>
        <v>Raje183446</v>
      </c>
      <c r="B3447">
        <v>3446</v>
      </c>
      <c r="C3447">
        <v>17</v>
      </c>
      <c r="D3447">
        <v>6</v>
      </c>
      <c r="E3447">
        <v>2024</v>
      </c>
      <c r="F3447" s="1">
        <f t="shared" si="268"/>
        <v>45460</v>
      </c>
      <c r="G3447" s="1" t="s">
        <v>643</v>
      </c>
      <c r="H3447" s="2">
        <v>47923</v>
      </c>
      <c r="I3447" t="s">
        <v>43</v>
      </c>
      <c r="J3447">
        <v>7</v>
      </c>
      <c r="K3447">
        <v>22501.65</v>
      </c>
      <c r="L3447" t="s">
        <v>491</v>
      </c>
      <c r="M3447">
        <v>18</v>
      </c>
      <c r="N3447" t="s">
        <v>36</v>
      </c>
      <c r="O3447" s="3" t="s">
        <v>55</v>
      </c>
      <c r="P3447" t="s">
        <v>59</v>
      </c>
      <c r="Q3447" t="s">
        <v>56</v>
      </c>
      <c r="R3447">
        <v>2</v>
      </c>
      <c r="S3447" t="s">
        <v>46</v>
      </c>
      <c r="T3447" s="4">
        <f t="shared" si="269"/>
        <v>157511.55000000002</v>
      </c>
      <c r="U3447" s="4" t="str">
        <f t="shared" si="270"/>
        <v>Average</v>
      </c>
      <c r="V3447" s="4" t="str">
        <f t="shared" si="266"/>
        <v>Good</v>
      </c>
      <c r="W3447" s="4"/>
      <c r="X3447" s="4"/>
      <c r="AJ3447" s="4"/>
    </row>
    <row r="3448" spans="1:36">
      <c r="A3448" t="str">
        <f t="shared" si="267"/>
        <v>Nikh273447</v>
      </c>
      <c r="B3448">
        <v>3447</v>
      </c>
      <c r="C3448">
        <v>18</v>
      </c>
      <c r="D3448">
        <v>6</v>
      </c>
      <c r="E3448">
        <v>2024</v>
      </c>
      <c r="F3448" s="1">
        <f t="shared" si="268"/>
        <v>45461</v>
      </c>
      <c r="G3448" s="1" t="s">
        <v>643</v>
      </c>
      <c r="H3448" s="2">
        <v>47924</v>
      </c>
      <c r="I3448" t="s">
        <v>26</v>
      </c>
      <c r="J3448">
        <v>5</v>
      </c>
      <c r="K3448">
        <v>37706.22</v>
      </c>
      <c r="L3448" t="s">
        <v>237</v>
      </c>
      <c r="M3448">
        <v>27</v>
      </c>
      <c r="N3448" t="s">
        <v>36</v>
      </c>
      <c r="O3448" s="3" t="s">
        <v>22</v>
      </c>
      <c r="P3448" t="s">
        <v>59</v>
      </c>
      <c r="Q3448" t="s">
        <v>30</v>
      </c>
      <c r="R3448">
        <v>4</v>
      </c>
      <c r="S3448" t="s">
        <v>67</v>
      </c>
      <c r="T3448" s="4">
        <f t="shared" si="269"/>
        <v>188531.1</v>
      </c>
      <c r="U3448" s="4" t="str">
        <f t="shared" si="270"/>
        <v>Good</v>
      </c>
      <c r="V3448" s="4" t="str">
        <f t="shared" si="266"/>
        <v>Good</v>
      </c>
      <c r="W3448" s="4"/>
      <c r="X3448" s="4"/>
      <c r="AJ3448" s="4"/>
    </row>
    <row r="3449" spans="1:36">
      <c r="A3449" t="str">
        <f t="shared" si="267"/>
        <v>Isha383448</v>
      </c>
      <c r="B3449">
        <v>3448</v>
      </c>
      <c r="C3449">
        <v>18</v>
      </c>
      <c r="D3449">
        <v>6</v>
      </c>
      <c r="E3449">
        <v>2024</v>
      </c>
      <c r="F3449" s="1">
        <f t="shared" si="268"/>
        <v>45461</v>
      </c>
      <c r="G3449" s="1" t="s">
        <v>643</v>
      </c>
      <c r="H3449" s="2">
        <v>47925</v>
      </c>
      <c r="I3449" t="s">
        <v>43</v>
      </c>
      <c r="J3449">
        <v>8</v>
      </c>
      <c r="K3449">
        <v>64620.78</v>
      </c>
      <c r="L3449" t="s">
        <v>274</v>
      </c>
      <c r="M3449">
        <v>38</v>
      </c>
      <c r="N3449" t="s">
        <v>21</v>
      </c>
      <c r="O3449" s="3" t="s">
        <v>22</v>
      </c>
      <c r="P3449" t="s">
        <v>33</v>
      </c>
      <c r="Q3449" t="s">
        <v>24</v>
      </c>
      <c r="R3449">
        <v>5</v>
      </c>
      <c r="S3449" t="s">
        <v>57</v>
      </c>
      <c r="T3449" s="4">
        <f t="shared" si="269"/>
        <v>516966.24</v>
      </c>
      <c r="U3449" s="4" t="str">
        <f t="shared" si="270"/>
        <v>Good</v>
      </c>
      <c r="V3449" s="4" t="str">
        <f t="shared" si="266"/>
        <v>Excellent</v>
      </c>
      <c r="W3449" s="4"/>
      <c r="X3449" s="4"/>
      <c r="AJ3449" s="4"/>
    </row>
    <row r="3450" spans="1:36">
      <c r="A3450" t="str">
        <f t="shared" si="267"/>
        <v>Pank323449</v>
      </c>
      <c r="B3450">
        <v>3449</v>
      </c>
      <c r="C3450">
        <v>18</v>
      </c>
      <c r="D3450">
        <v>6</v>
      </c>
      <c r="E3450">
        <v>2024</v>
      </c>
      <c r="F3450" s="1">
        <f t="shared" si="268"/>
        <v>45461</v>
      </c>
      <c r="G3450" s="1" t="s">
        <v>643</v>
      </c>
      <c r="H3450" s="2">
        <v>47926</v>
      </c>
      <c r="I3450" t="s">
        <v>26</v>
      </c>
      <c r="J3450">
        <v>4</v>
      </c>
      <c r="K3450">
        <v>29604.46</v>
      </c>
      <c r="L3450" t="s">
        <v>789</v>
      </c>
      <c r="M3450">
        <v>32</v>
      </c>
      <c r="N3450" t="s">
        <v>21</v>
      </c>
      <c r="O3450" s="3" t="s">
        <v>55</v>
      </c>
      <c r="P3450" t="s">
        <v>40</v>
      </c>
      <c r="Q3450" t="s">
        <v>30</v>
      </c>
      <c r="R3450">
        <v>2</v>
      </c>
      <c r="S3450" t="s">
        <v>31</v>
      </c>
      <c r="T3450" s="4">
        <f t="shared" si="269"/>
        <v>118417.84</v>
      </c>
      <c r="U3450" s="4" t="str">
        <f t="shared" si="270"/>
        <v>Average</v>
      </c>
      <c r="V3450" s="4" t="str">
        <f t="shared" si="266"/>
        <v>Good</v>
      </c>
      <c r="W3450" s="4"/>
      <c r="X3450" s="4"/>
      <c r="AJ3450" s="4"/>
    </row>
    <row r="3451" spans="1:36">
      <c r="A3451" t="str">
        <f t="shared" si="267"/>
        <v>Mala473450</v>
      </c>
      <c r="B3451">
        <v>3450</v>
      </c>
      <c r="C3451">
        <v>19</v>
      </c>
      <c r="D3451">
        <v>6</v>
      </c>
      <c r="E3451">
        <v>2024</v>
      </c>
      <c r="F3451" s="1">
        <f t="shared" si="268"/>
        <v>45462</v>
      </c>
      <c r="G3451" s="1" t="s">
        <v>643</v>
      </c>
      <c r="H3451" s="2">
        <v>47927</v>
      </c>
      <c r="I3451" t="s">
        <v>49</v>
      </c>
      <c r="J3451">
        <v>6</v>
      </c>
      <c r="K3451">
        <v>39923.82</v>
      </c>
      <c r="L3451" t="s">
        <v>383</v>
      </c>
      <c r="M3451">
        <v>47</v>
      </c>
      <c r="N3451" t="s">
        <v>61</v>
      </c>
      <c r="O3451" s="3" t="s">
        <v>22</v>
      </c>
      <c r="P3451" t="s">
        <v>29</v>
      </c>
      <c r="Q3451" t="s">
        <v>56</v>
      </c>
      <c r="R3451">
        <v>5</v>
      </c>
      <c r="S3451" t="s">
        <v>102</v>
      </c>
      <c r="T3451" s="4">
        <f t="shared" si="269"/>
        <v>239542.91999999998</v>
      </c>
      <c r="U3451" s="4" t="str">
        <f t="shared" si="270"/>
        <v>Good</v>
      </c>
      <c r="V3451" s="4" t="str">
        <f t="shared" si="266"/>
        <v>Excellent</v>
      </c>
      <c r="W3451" s="4"/>
      <c r="X3451" s="4"/>
      <c r="AJ3451" s="4"/>
    </row>
    <row r="3452" spans="1:36">
      <c r="A3452" t="str">
        <f t="shared" si="267"/>
        <v>Moni473451</v>
      </c>
      <c r="B3452">
        <v>3451</v>
      </c>
      <c r="C3452">
        <v>19</v>
      </c>
      <c r="D3452">
        <v>6</v>
      </c>
      <c r="E3452">
        <v>2024</v>
      </c>
      <c r="F3452" s="1">
        <f t="shared" si="268"/>
        <v>45462</v>
      </c>
      <c r="G3452" s="1" t="s">
        <v>643</v>
      </c>
      <c r="H3452" s="2">
        <v>47928</v>
      </c>
      <c r="I3452" t="s">
        <v>26</v>
      </c>
      <c r="J3452">
        <v>4</v>
      </c>
      <c r="K3452">
        <v>67513.919999999998</v>
      </c>
      <c r="L3452" t="s">
        <v>210</v>
      </c>
      <c r="M3452">
        <v>47</v>
      </c>
      <c r="N3452" t="s">
        <v>61</v>
      </c>
      <c r="O3452" s="3" t="s">
        <v>22</v>
      </c>
      <c r="P3452" t="s">
        <v>29</v>
      </c>
      <c r="Q3452" t="s">
        <v>41</v>
      </c>
      <c r="R3452">
        <v>5</v>
      </c>
      <c r="S3452" t="s">
        <v>31</v>
      </c>
      <c r="T3452" s="4">
        <f t="shared" si="269"/>
        <v>270055.67999999999</v>
      </c>
      <c r="U3452" s="4" t="str">
        <f t="shared" si="270"/>
        <v>Good</v>
      </c>
      <c r="V3452" s="4" t="str">
        <f t="shared" si="266"/>
        <v>Excellent</v>
      </c>
      <c r="W3452" s="4"/>
      <c r="X3452" s="4"/>
      <c r="AJ3452" s="4"/>
    </row>
    <row r="3453" spans="1:36">
      <c r="A3453" t="str">
        <f t="shared" si="267"/>
        <v>Neet253452</v>
      </c>
      <c r="B3453">
        <v>3452</v>
      </c>
      <c r="C3453">
        <v>19</v>
      </c>
      <c r="D3453">
        <v>6</v>
      </c>
      <c r="E3453">
        <v>2024</v>
      </c>
      <c r="F3453" s="1">
        <f t="shared" si="268"/>
        <v>45462</v>
      </c>
      <c r="G3453" s="1" t="s">
        <v>643</v>
      </c>
      <c r="H3453" s="2">
        <v>47929</v>
      </c>
      <c r="I3453" t="s">
        <v>49</v>
      </c>
      <c r="J3453">
        <v>2</v>
      </c>
      <c r="K3453">
        <v>54082.48</v>
      </c>
      <c r="L3453" t="s">
        <v>828</v>
      </c>
      <c r="M3453">
        <v>25</v>
      </c>
      <c r="N3453" t="s">
        <v>36</v>
      </c>
      <c r="O3453" s="3" t="s">
        <v>22</v>
      </c>
      <c r="P3453" t="s">
        <v>29</v>
      </c>
      <c r="Q3453" t="s">
        <v>30</v>
      </c>
      <c r="R3453">
        <v>4</v>
      </c>
      <c r="S3453" t="s">
        <v>88</v>
      </c>
      <c r="T3453" s="4">
        <f t="shared" si="269"/>
        <v>108164.96</v>
      </c>
      <c r="U3453" s="4" t="str">
        <f t="shared" si="270"/>
        <v>Good</v>
      </c>
      <c r="V3453" s="4" t="str">
        <f t="shared" si="266"/>
        <v>Good</v>
      </c>
      <c r="W3453" s="4"/>
      <c r="X3453" s="4"/>
      <c r="AJ3453" s="4"/>
    </row>
    <row r="3454" spans="1:36">
      <c r="A3454" t="str">
        <f t="shared" si="267"/>
        <v>Anja413453</v>
      </c>
      <c r="B3454">
        <v>3453</v>
      </c>
      <c r="C3454">
        <v>19</v>
      </c>
      <c r="D3454">
        <v>6</v>
      </c>
      <c r="E3454">
        <v>2024</v>
      </c>
      <c r="F3454" s="1">
        <f t="shared" si="268"/>
        <v>45462</v>
      </c>
      <c r="G3454" s="1" t="s">
        <v>643</v>
      </c>
      <c r="H3454" s="2">
        <v>47930</v>
      </c>
      <c r="I3454" t="s">
        <v>49</v>
      </c>
      <c r="J3454">
        <v>1</v>
      </c>
      <c r="K3454">
        <v>54864.42</v>
      </c>
      <c r="L3454" t="s">
        <v>754</v>
      </c>
      <c r="M3454">
        <v>41</v>
      </c>
      <c r="N3454" t="s">
        <v>21</v>
      </c>
      <c r="O3454" s="3" t="s">
        <v>28</v>
      </c>
      <c r="P3454" t="s">
        <v>23</v>
      </c>
      <c r="Q3454" t="s">
        <v>56</v>
      </c>
      <c r="R3454">
        <v>3</v>
      </c>
      <c r="S3454" t="s">
        <v>52</v>
      </c>
      <c r="T3454" s="4">
        <f t="shared" si="269"/>
        <v>54864.42</v>
      </c>
      <c r="U3454" s="4" t="str">
        <f t="shared" si="270"/>
        <v>Average</v>
      </c>
      <c r="V3454" s="4" t="str">
        <f t="shared" si="266"/>
        <v>Average</v>
      </c>
      <c r="W3454" s="4"/>
      <c r="X3454" s="4"/>
      <c r="AJ3454" s="4"/>
    </row>
    <row r="3455" spans="1:36">
      <c r="A3455" t="str">
        <f t="shared" si="267"/>
        <v>Gita363454</v>
      </c>
      <c r="B3455">
        <v>3454</v>
      </c>
      <c r="C3455">
        <v>20</v>
      </c>
      <c r="D3455">
        <v>6</v>
      </c>
      <c r="E3455">
        <v>2024</v>
      </c>
      <c r="F3455" s="1">
        <f t="shared" si="268"/>
        <v>45463</v>
      </c>
      <c r="G3455" s="1" t="s">
        <v>643</v>
      </c>
      <c r="H3455" s="2">
        <v>47931</v>
      </c>
      <c r="I3455" t="s">
        <v>26</v>
      </c>
      <c r="J3455">
        <v>1</v>
      </c>
      <c r="K3455">
        <v>25140.04</v>
      </c>
      <c r="L3455" t="s">
        <v>373</v>
      </c>
      <c r="M3455">
        <v>36</v>
      </c>
      <c r="N3455" t="s">
        <v>21</v>
      </c>
      <c r="O3455" s="3" t="s">
        <v>22</v>
      </c>
      <c r="P3455" t="s">
        <v>110</v>
      </c>
      <c r="Q3455" t="s">
        <v>41</v>
      </c>
      <c r="R3455">
        <v>4</v>
      </c>
      <c r="S3455" t="s">
        <v>34</v>
      </c>
      <c r="T3455" s="4">
        <f t="shared" si="269"/>
        <v>25140.04</v>
      </c>
      <c r="U3455" s="4" t="str">
        <f t="shared" si="270"/>
        <v>Good</v>
      </c>
      <c r="V3455" s="4" t="str">
        <f t="shared" si="266"/>
        <v>Low</v>
      </c>
      <c r="W3455" s="4"/>
      <c r="X3455" s="4"/>
      <c r="AJ3455" s="4"/>
    </row>
    <row r="3456" spans="1:36">
      <c r="A3456" t="str">
        <f t="shared" si="267"/>
        <v>Sumi203455</v>
      </c>
      <c r="B3456">
        <v>3455</v>
      </c>
      <c r="C3456">
        <v>20</v>
      </c>
      <c r="D3456">
        <v>6</v>
      </c>
      <c r="E3456">
        <v>2024</v>
      </c>
      <c r="F3456" s="1">
        <f t="shared" si="268"/>
        <v>45463</v>
      </c>
      <c r="G3456" s="1" t="s">
        <v>643</v>
      </c>
      <c r="H3456" s="2">
        <v>47932</v>
      </c>
      <c r="I3456" t="s">
        <v>19</v>
      </c>
      <c r="J3456">
        <v>8</v>
      </c>
      <c r="K3456">
        <v>34881.89</v>
      </c>
      <c r="L3456" t="s">
        <v>256</v>
      </c>
      <c r="M3456">
        <v>20</v>
      </c>
      <c r="N3456" t="s">
        <v>36</v>
      </c>
      <c r="O3456" s="3" t="s">
        <v>28</v>
      </c>
      <c r="P3456" t="s">
        <v>150</v>
      </c>
      <c r="Q3456" t="s">
        <v>24</v>
      </c>
      <c r="R3456">
        <v>3</v>
      </c>
      <c r="S3456" t="s">
        <v>37</v>
      </c>
      <c r="T3456" s="4">
        <f t="shared" si="269"/>
        <v>279055.12</v>
      </c>
      <c r="U3456" s="4" t="str">
        <f t="shared" si="270"/>
        <v>Average</v>
      </c>
      <c r="V3456" s="4" t="str">
        <f t="shared" si="266"/>
        <v>Excellent</v>
      </c>
      <c r="W3456" s="4"/>
      <c r="X3456" s="4"/>
      <c r="AJ3456" s="4"/>
    </row>
    <row r="3457" spans="1:36">
      <c r="A3457" t="str">
        <f t="shared" si="267"/>
        <v>Vive323456</v>
      </c>
      <c r="B3457">
        <v>3456</v>
      </c>
      <c r="C3457">
        <v>20</v>
      </c>
      <c r="D3457">
        <v>6</v>
      </c>
      <c r="E3457">
        <v>2024</v>
      </c>
      <c r="F3457" s="1">
        <f t="shared" si="268"/>
        <v>45463</v>
      </c>
      <c r="G3457" s="1" t="s">
        <v>643</v>
      </c>
      <c r="H3457" s="2">
        <v>47933</v>
      </c>
      <c r="I3457" t="s">
        <v>38</v>
      </c>
      <c r="J3457">
        <v>4</v>
      </c>
      <c r="K3457">
        <v>14940.53</v>
      </c>
      <c r="L3457" t="s">
        <v>401</v>
      </c>
      <c r="M3457">
        <v>32</v>
      </c>
      <c r="N3457" t="s">
        <v>21</v>
      </c>
      <c r="O3457" s="3" t="s">
        <v>55</v>
      </c>
      <c r="P3457" t="s">
        <v>29</v>
      </c>
      <c r="Q3457" t="s">
        <v>24</v>
      </c>
      <c r="R3457">
        <v>2</v>
      </c>
      <c r="S3457" t="s">
        <v>99</v>
      </c>
      <c r="T3457" s="4">
        <f t="shared" si="269"/>
        <v>59762.12</v>
      </c>
      <c r="U3457" s="4" t="str">
        <f t="shared" si="270"/>
        <v>Average</v>
      </c>
      <c r="V3457" s="4" t="str">
        <f t="shared" ref="V3457:V3520" si="271">IF(T3457&gt;200000,"Excellent",IF(T3457&gt;100000,"Good",IF(T3457&gt;50000,"Average","Low")))</f>
        <v>Average</v>
      </c>
      <c r="W3457" s="4"/>
      <c r="X3457" s="4"/>
      <c r="AJ3457" s="4"/>
    </row>
    <row r="3458" spans="1:36">
      <c r="A3458" t="str">
        <f t="shared" ref="A3458:A3521" si="272">LEFT(L3458,4)&amp;M3458&amp;B3458</f>
        <v>Bhav533457</v>
      </c>
      <c r="B3458">
        <v>3457</v>
      </c>
      <c r="C3458">
        <v>20</v>
      </c>
      <c r="D3458">
        <v>6</v>
      </c>
      <c r="E3458">
        <v>2024</v>
      </c>
      <c r="F3458" s="1">
        <f t="shared" si="268"/>
        <v>45463</v>
      </c>
      <c r="G3458" s="1" t="s">
        <v>643</v>
      </c>
      <c r="H3458" s="2">
        <v>47934</v>
      </c>
      <c r="I3458" t="s">
        <v>43</v>
      </c>
      <c r="J3458">
        <v>5</v>
      </c>
      <c r="K3458">
        <v>46391.55</v>
      </c>
      <c r="L3458" t="s">
        <v>504</v>
      </c>
      <c r="M3458">
        <v>53</v>
      </c>
      <c r="N3458" t="s">
        <v>61</v>
      </c>
      <c r="O3458" s="3" t="s">
        <v>28</v>
      </c>
      <c r="P3458" t="s">
        <v>33</v>
      </c>
      <c r="Q3458" t="s">
        <v>30</v>
      </c>
      <c r="R3458">
        <v>3</v>
      </c>
      <c r="S3458" t="s">
        <v>57</v>
      </c>
      <c r="T3458" s="4">
        <f t="shared" si="269"/>
        <v>231957.75</v>
      </c>
      <c r="U3458" s="4" t="str">
        <f t="shared" si="270"/>
        <v>Average</v>
      </c>
      <c r="V3458" s="4" t="str">
        <f t="shared" si="271"/>
        <v>Excellent</v>
      </c>
      <c r="W3458" s="4"/>
      <c r="X3458" s="4"/>
      <c r="AJ3458" s="4"/>
    </row>
    <row r="3459" spans="1:36">
      <c r="A3459" t="str">
        <f t="shared" si="272"/>
        <v>Deve233458</v>
      </c>
      <c r="B3459">
        <v>3458</v>
      </c>
      <c r="C3459">
        <v>21</v>
      </c>
      <c r="D3459">
        <v>6</v>
      </c>
      <c r="E3459">
        <v>2024</v>
      </c>
      <c r="F3459" s="1">
        <f t="shared" ref="F3459:F3522" si="273">DATE(E3459,D3459,C3459)</f>
        <v>45464</v>
      </c>
      <c r="G3459" s="1" t="s">
        <v>643</v>
      </c>
      <c r="H3459" s="2">
        <v>47935</v>
      </c>
      <c r="I3459" t="s">
        <v>38</v>
      </c>
      <c r="J3459">
        <v>8</v>
      </c>
      <c r="K3459">
        <v>16223.81</v>
      </c>
      <c r="L3459" t="s">
        <v>454</v>
      </c>
      <c r="M3459">
        <v>23</v>
      </c>
      <c r="N3459" t="s">
        <v>36</v>
      </c>
      <c r="O3459" s="3" t="s">
        <v>22</v>
      </c>
      <c r="P3459" t="s">
        <v>114</v>
      </c>
      <c r="Q3459" t="s">
        <v>41</v>
      </c>
      <c r="R3459">
        <v>5</v>
      </c>
      <c r="S3459" t="s">
        <v>99</v>
      </c>
      <c r="T3459" s="4">
        <f t="shared" ref="T3459:T3522" si="274">J3459*K3459</f>
        <v>129790.48</v>
      </c>
      <c r="U3459" s="4" t="str">
        <f t="shared" ref="U3459:U3522" si="275">IF(R3459&gt;=4,"Good","Average")</f>
        <v>Good</v>
      </c>
      <c r="V3459" s="4" t="str">
        <f t="shared" si="271"/>
        <v>Good</v>
      </c>
      <c r="W3459" s="4"/>
      <c r="X3459" s="4"/>
      <c r="AJ3459" s="4"/>
    </row>
    <row r="3460" spans="1:36">
      <c r="A3460" t="str">
        <f t="shared" si="272"/>
        <v>Pank593459</v>
      </c>
      <c r="B3460">
        <v>3459</v>
      </c>
      <c r="C3460">
        <v>21</v>
      </c>
      <c r="D3460">
        <v>6</v>
      </c>
      <c r="E3460">
        <v>2024</v>
      </c>
      <c r="F3460" s="1">
        <f t="shared" si="273"/>
        <v>45464</v>
      </c>
      <c r="G3460" s="1" t="s">
        <v>643</v>
      </c>
      <c r="H3460" s="2">
        <v>47936</v>
      </c>
      <c r="I3460" t="s">
        <v>43</v>
      </c>
      <c r="J3460">
        <v>7</v>
      </c>
      <c r="K3460">
        <v>60154.57</v>
      </c>
      <c r="L3460" t="s">
        <v>657</v>
      </c>
      <c r="M3460">
        <v>59</v>
      </c>
      <c r="N3460" t="s">
        <v>61</v>
      </c>
      <c r="O3460" s="3" t="s">
        <v>28</v>
      </c>
      <c r="P3460" t="s">
        <v>114</v>
      </c>
      <c r="Q3460" t="s">
        <v>56</v>
      </c>
      <c r="R3460">
        <v>3</v>
      </c>
      <c r="S3460" t="s">
        <v>46</v>
      </c>
      <c r="T3460" s="4">
        <f t="shared" si="274"/>
        <v>421081.99</v>
      </c>
      <c r="U3460" s="4" t="str">
        <f t="shared" si="275"/>
        <v>Average</v>
      </c>
      <c r="V3460" s="4" t="str">
        <f t="shared" si="271"/>
        <v>Excellent</v>
      </c>
      <c r="W3460" s="4"/>
      <c r="X3460" s="4"/>
      <c r="AJ3460" s="4"/>
    </row>
    <row r="3461" spans="1:36">
      <c r="A3461" t="str">
        <f t="shared" si="272"/>
        <v>Tanu353460</v>
      </c>
      <c r="B3461">
        <v>3460</v>
      </c>
      <c r="C3461">
        <v>21</v>
      </c>
      <c r="D3461">
        <v>6</v>
      </c>
      <c r="E3461">
        <v>2024</v>
      </c>
      <c r="F3461" s="1">
        <f t="shared" si="273"/>
        <v>45464</v>
      </c>
      <c r="G3461" s="1" t="s">
        <v>643</v>
      </c>
      <c r="H3461" s="2">
        <v>47937</v>
      </c>
      <c r="I3461" t="s">
        <v>43</v>
      </c>
      <c r="J3461">
        <v>8</v>
      </c>
      <c r="K3461">
        <v>58873.23</v>
      </c>
      <c r="L3461" t="s">
        <v>920</v>
      </c>
      <c r="M3461">
        <v>35</v>
      </c>
      <c r="N3461" t="s">
        <v>21</v>
      </c>
      <c r="O3461" s="3" t="s">
        <v>55</v>
      </c>
      <c r="P3461" t="s">
        <v>29</v>
      </c>
      <c r="Q3461" t="s">
        <v>24</v>
      </c>
      <c r="R3461">
        <v>2</v>
      </c>
      <c r="S3461" t="s">
        <v>95</v>
      </c>
      <c r="T3461" s="4">
        <f t="shared" si="274"/>
        <v>470985.84</v>
      </c>
      <c r="U3461" s="4" t="str">
        <f t="shared" si="275"/>
        <v>Average</v>
      </c>
      <c r="V3461" s="4" t="str">
        <f t="shared" si="271"/>
        <v>Excellent</v>
      </c>
      <c r="W3461" s="4"/>
      <c r="X3461" s="4"/>
      <c r="AJ3461" s="4"/>
    </row>
    <row r="3462" spans="1:36">
      <c r="A3462" t="str">
        <f t="shared" si="272"/>
        <v>Suni553461</v>
      </c>
      <c r="B3462">
        <v>3461</v>
      </c>
      <c r="C3462">
        <v>21</v>
      </c>
      <c r="D3462">
        <v>6</v>
      </c>
      <c r="E3462">
        <v>2024</v>
      </c>
      <c r="F3462" s="1">
        <f t="shared" si="273"/>
        <v>45464</v>
      </c>
      <c r="G3462" s="1" t="s">
        <v>643</v>
      </c>
      <c r="H3462" s="2">
        <v>47938</v>
      </c>
      <c r="I3462" t="s">
        <v>49</v>
      </c>
      <c r="J3462">
        <v>8</v>
      </c>
      <c r="K3462">
        <v>42016.31</v>
      </c>
      <c r="L3462" t="s">
        <v>566</v>
      </c>
      <c r="M3462">
        <v>55</v>
      </c>
      <c r="N3462" t="s">
        <v>61</v>
      </c>
      <c r="O3462" s="3" t="s">
        <v>55</v>
      </c>
      <c r="P3462" t="s">
        <v>114</v>
      </c>
      <c r="Q3462" t="s">
        <v>24</v>
      </c>
      <c r="R3462">
        <v>2</v>
      </c>
      <c r="S3462" t="s">
        <v>52</v>
      </c>
      <c r="T3462" s="4">
        <f t="shared" si="274"/>
        <v>336130.48</v>
      </c>
      <c r="U3462" s="4" t="str">
        <f t="shared" si="275"/>
        <v>Average</v>
      </c>
      <c r="V3462" s="4" t="str">
        <f t="shared" si="271"/>
        <v>Excellent</v>
      </c>
      <c r="W3462" s="4"/>
      <c r="X3462" s="4"/>
      <c r="AJ3462" s="4"/>
    </row>
    <row r="3463" spans="1:36">
      <c r="A3463" t="str">
        <f t="shared" si="272"/>
        <v>Suni363462</v>
      </c>
      <c r="B3463">
        <v>3462</v>
      </c>
      <c r="C3463">
        <v>22</v>
      </c>
      <c r="D3463">
        <v>6</v>
      </c>
      <c r="E3463">
        <v>2024</v>
      </c>
      <c r="F3463" s="1">
        <f t="shared" si="273"/>
        <v>45465</v>
      </c>
      <c r="G3463" s="1" t="s">
        <v>643</v>
      </c>
      <c r="H3463" s="2">
        <v>47939</v>
      </c>
      <c r="I3463" t="s">
        <v>43</v>
      </c>
      <c r="J3463">
        <v>6</v>
      </c>
      <c r="K3463">
        <v>18469.96</v>
      </c>
      <c r="L3463" t="s">
        <v>464</v>
      </c>
      <c r="M3463">
        <v>36</v>
      </c>
      <c r="N3463" t="s">
        <v>21</v>
      </c>
      <c r="O3463" s="3" t="s">
        <v>22</v>
      </c>
      <c r="P3463" t="s">
        <v>33</v>
      </c>
      <c r="Q3463" t="s">
        <v>41</v>
      </c>
      <c r="R3463">
        <v>4</v>
      </c>
      <c r="S3463" t="s">
        <v>95</v>
      </c>
      <c r="T3463" s="4">
        <f t="shared" si="274"/>
        <v>110819.76</v>
      </c>
      <c r="U3463" s="4" t="str">
        <f t="shared" si="275"/>
        <v>Good</v>
      </c>
      <c r="V3463" s="4" t="str">
        <f t="shared" si="271"/>
        <v>Good</v>
      </c>
      <c r="W3463" s="4"/>
      <c r="X3463" s="4"/>
      <c r="AJ3463" s="4"/>
    </row>
    <row r="3464" spans="1:36">
      <c r="A3464" t="str">
        <f t="shared" si="272"/>
        <v>Anja473463</v>
      </c>
      <c r="B3464">
        <v>3463</v>
      </c>
      <c r="C3464">
        <v>22</v>
      </c>
      <c r="D3464">
        <v>6</v>
      </c>
      <c r="E3464">
        <v>2024</v>
      </c>
      <c r="F3464" s="1">
        <f t="shared" si="273"/>
        <v>45465</v>
      </c>
      <c r="G3464" s="1" t="s">
        <v>643</v>
      </c>
      <c r="H3464" s="2">
        <v>47940</v>
      </c>
      <c r="I3464" t="s">
        <v>43</v>
      </c>
      <c r="J3464">
        <v>2</v>
      </c>
      <c r="K3464">
        <v>11534.74</v>
      </c>
      <c r="L3464" t="s">
        <v>68</v>
      </c>
      <c r="M3464">
        <v>47</v>
      </c>
      <c r="N3464" t="s">
        <v>61</v>
      </c>
      <c r="O3464" s="3" t="s">
        <v>55</v>
      </c>
      <c r="P3464" t="s">
        <v>150</v>
      </c>
      <c r="Q3464" t="s">
        <v>56</v>
      </c>
      <c r="R3464">
        <v>2</v>
      </c>
      <c r="S3464" t="s">
        <v>95</v>
      </c>
      <c r="T3464" s="4">
        <f t="shared" si="274"/>
        <v>23069.48</v>
      </c>
      <c r="U3464" s="4" t="str">
        <f t="shared" si="275"/>
        <v>Average</v>
      </c>
      <c r="V3464" s="4" t="str">
        <f t="shared" si="271"/>
        <v>Low</v>
      </c>
      <c r="W3464" s="4"/>
      <c r="X3464" s="4"/>
      <c r="AJ3464" s="4"/>
    </row>
    <row r="3465" spans="1:36">
      <c r="A3465" t="str">
        <f t="shared" si="272"/>
        <v>Sumi303464</v>
      </c>
      <c r="B3465">
        <v>3464</v>
      </c>
      <c r="C3465">
        <v>22</v>
      </c>
      <c r="D3465">
        <v>6</v>
      </c>
      <c r="E3465">
        <v>2024</v>
      </c>
      <c r="F3465" s="1">
        <f t="shared" si="273"/>
        <v>45465</v>
      </c>
      <c r="G3465" s="1" t="s">
        <v>643</v>
      </c>
      <c r="H3465" s="2">
        <v>47941</v>
      </c>
      <c r="I3465" t="s">
        <v>26</v>
      </c>
      <c r="J3465">
        <v>6</v>
      </c>
      <c r="K3465">
        <v>57802.52</v>
      </c>
      <c r="L3465" t="s">
        <v>1046</v>
      </c>
      <c r="M3465">
        <v>30</v>
      </c>
      <c r="N3465" t="s">
        <v>36</v>
      </c>
      <c r="O3465" s="3" t="s">
        <v>22</v>
      </c>
      <c r="P3465" t="s">
        <v>29</v>
      </c>
      <c r="Q3465" t="s">
        <v>24</v>
      </c>
      <c r="R3465">
        <v>5</v>
      </c>
      <c r="S3465" t="s">
        <v>67</v>
      </c>
      <c r="T3465" s="4">
        <f t="shared" si="274"/>
        <v>346815.12</v>
      </c>
      <c r="U3465" s="4" t="str">
        <f t="shared" si="275"/>
        <v>Good</v>
      </c>
      <c r="V3465" s="4" t="str">
        <f t="shared" si="271"/>
        <v>Excellent</v>
      </c>
      <c r="W3465" s="4"/>
      <c r="X3465" s="4"/>
      <c r="AJ3465" s="4"/>
    </row>
    <row r="3466" spans="1:36">
      <c r="A3466" t="str">
        <f t="shared" si="272"/>
        <v>Roha563465</v>
      </c>
      <c r="B3466">
        <v>3465</v>
      </c>
      <c r="C3466">
        <v>22</v>
      </c>
      <c r="D3466">
        <v>6</v>
      </c>
      <c r="E3466">
        <v>2024</v>
      </c>
      <c r="F3466" s="1">
        <f t="shared" si="273"/>
        <v>45465</v>
      </c>
      <c r="G3466" s="1" t="s">
        <v>643</v>
      </c>
      <c r="H3466" s="2">
        <v>47942</v>
      </c>
      <c r="I3466" t="s">
        <v>38</v>
      </c>
      <c r="J3466">
        <v>1</v>
      </c>
      <c r="K3466">
        <v>46008.43</v>
      </c>
      <c r="L3466" t="s">
        <v>1058</v>
      </c>
      <c r="M3466">
        <v>56</v>
      </c>
      <c r="N3466" t="s">
        <v>61</v>
      </c>
      <c r="O3466" s="3" t="s">
        <v>28</v>
      </c>
      <c r="P3466" t="s">
        <v>117</v>
      </c>
      <c r="Q3466" t="s">
        <v>24</v>
      </c>
      <c r="R3466">
        <v>3</v>
      </c>
      <c r="S3466" t="s">
        <v>42</v>
      </c>
      <c r="T3466" s="4">
        <f t="shared" si="274"/>
        <v>46008.43</v>
      </c>
      <c r="U3466" s="4" t="str">
        <f t="shared" si="275"/>
        <v>Average</v>
      </c>
      <c r="V3466" s="4" t="str">
        <f t="shared" si="271"/>
        <v>Low</v>
      </c>
      <c r="W3466" s="4"/>
      <c r="X3466" s="4"/>
      <c r="AJ3466" s="4"/>
    </row>
    <row r="3467" spans="1:36">
      <c r="A3467" t="str">
        <f t="shared" si="272"/>
        <v>Yoge293466</v>
      </c>
      <c r="B3467">
        <v>3466</v>
      </c>
      <c r="C3467">
        <v>23</v>
      </c>
      <c r="D3467">
        <v>6</v>
      </c>
      <c r="E3467">
        <v>2024</v>
      </c>
      <c r="F3467" s="1">
        <f t="shared" si="273"/>
        <v>45466</v>
      </c>
      <c r="G3467" s="1" t="s">
        <v>643</v>
      </c>
      <c r="H3467" s="2">
        <v>47943</v>
      </c>
      <c r="I3467" t="s">
        <v>26</v>
      </c>
      <c r="J3467">
        <v>1</v>
      </c>
      <c r="K3467">
        <v>52655.78</v>
      </c>
      <c r="L3467" t="s">
        <v>1060</v>
      </c>
      <c r="M3467">
        <v>29</v>
      </c>
      <c r="N3467" t="s">
        <v>36</v>
      </c>
      <c r="O3467" s="3" t="s">
        <v>22</v>
      </c>
      <c r="P3467" t="s">
        <v>33</v>
      </c>
      <c r="Q3467" t="s">
        <v>30</v>
      </c>
      <c r="R3467">
        <v>5</v>
      </c>
      <c r="S3467" t="s">
        <v>31</v>
      </c>
      <c r="T3467" s="4">
        <f t="shared" si="274"/>
        <v>52655.78</v>
      </c>
      <c r="U3467" s="4" t="str">
        <f t="shared" si="275"/>
        <v>Good</v>
      </c>
      <c r="V3467" s="4" t="str">
        <f t="shared" si="271"/>
        <v>Average</v>
      </c>
      <c r="W3467" s="4"/>
      <c r="X3467" s="4"/>
      <c r="AJ3467" s="4"/>
    </row>
    <row r="3468" spans="1:36">
      <c r="A3468" t="str">
        <f t="shared" si="272"/>
        <v>Pank513467</v>
      </c>
      <c r="B3468">
        <v>3467</v>
      </c>
      <c r="C3468">
        <v>23</v>
      </c>
      <c r="D3468">
        <v>6</v>
      </c>
      <c r="E3468">
        <v>2024</v>
      </c>
      <c r="F3468" s="1">
        <f t="shared" si="273"/>
        <v>45466</v>
      </c>
      <c r="G3468" s="1" t="s">
        <v>643</v>
      </c>
      <c r="H3468" s="2">
        <v>47944</v>
      </c>
      <c r="I3468" t="s">
        <v>43</v>
      </c>
      <c r="J3468">
        <v>3</v>
      </c>
      <c r="K3468">
        <v>28228.43</v>
      </c>
      <c r="L3468" t="s">
        <v>657</v>
      </c>
      <c r="M3468">
        <v>51</v>
      </c>
      <c r="N3468" t="s">
        <v>61</v>
      </c>
      <c r="O3468" s="3" t="s">
        <v>55</v>
      </c>
      <c r="P3468" t="s">
        <v>33</v>
      </c>
      <c r="Q3468" t="s">
        <v>56</v>
      </c>
      <c r="R3468">
        <v>2</v>
      </c>
      <c r="S3468" t="s">
        <v>46</v>
      </c>
      <c r="T3468" s="4">
        <f t="shared" si="274"/>
        <v>84685.290000000008</v>
      </c>
      <c r="U3468" s="4" t="str">
        <f t="shared" si="275"/>
        <v>Average</v>
      </c>
      <c r="V3468" s="4" t="str">
        <f t="shared" si="271"/>
        <v>Average</v>
      </c>
      <c r="W3468" s="4"/>
      <c r="X3468" s="4"/>
      <c r="AJ3468" s="4"/>
    </row>
    <row r="3469" spans="1:36">
      <c r="A3469" t="str">
        <f t="shared" si="272"/>
        <v>Kavi293468</v>
      </c>
      <c r="B3469">
        <v>3468</v>
      </c>
      <c r="C3469">
        <v>23</v>
      </c>
      <c r="D3469">
        <v>6</v>
      </c>
      <c r="E3469">
        <v>2024</v>
      </c>
      <c r="F3469" s="1">
        <f t="shared" si="273"/>
        <v>45466</v>
      </c>
      <c r="G3469" s="1" t="s">
        <v>643</v>
      </c>
      <c r="H3469" s="2">
        <v>47945</v>
      </c>
      <c r="I3469" t="s">
        <v>49</v>
      </c>
      <c r="J3469">
        <v>3</v>
      </c>
      <c r="K3469">
        <v>40568.959999999999</v>
      </c>
      <c r="L3469" t="s">
        <v>292</v>
      </c>
      <c r="M3469">
        <v>29</v>
      </c>
      <c r="N3469" t="s">
        <v>36</v>
      </c>
      <c r="O3469" s="3" t="s">
        <v>28</v>
      </c>
      <c r="P3469" t="s">
        <v>117</v>
      </c>
      <c r="Q3469" t="s">
        <v>24</v>
      </c>
      <c r="R3469">
        <v>3</v>
      </c>
      <c r="S3469" t="s">
        <v>52</v>
      </c>
      <c r="T3469" s="4">
        <f t="shared" si="274"/>
        <v>121706.88</v>
      </c>
      <c r="U3469" s="4" t="str">
        <f t="shared" si="275"/>
        <v>Average</v>
      </c>
      <c r="V3469" s="4" t="str">
        <f t="shared" si="271"/>
        <v>Good</v>
      </c>
      <c r="W3469" s="4"/>
      <c r="X3469" s="4"/>
      <c r="AJ3469" s="4"/>
    </row>
    <row r="3470" spans="1:36">
      <c r="A3470" t="str">
        <f t="shared" si="272"/>
        <v>Kris413469</v>
      </c>
      <c r="B3470">
        <v>3469</v>
      </c>
      <c r="C3470">
        <v>23</v>
      </c>
      <c r="D3470">
        <v>6</v>
      </c>
      <c r="E3470">
        <v>2024</v>
      </c>
      <c r="F3470" s="1">
        <f t="shared" si="273"/>
        <v>45466</v>
      </c>
      <c r="G3470" s="1" t="s">
        <v>643</v>
      </c>
      <c r="H3470" s="2">
        <v>47946</v>
      </c>
      <c r="I3470" t="s">
        <v>26</v>
      </c>
      <c r="J3470">
        <v>5</v>
      </c>
      <c r="K3470">
        <v>54830.45</v>
      </c>
      <c r="L3470" t="s">
        <v>717</v>
      </c>
      <c r="M3470">
        <v>41</v>
      </c>
      <c r="N3470" t="s">
        <v>21</v>
      </c>
      <c r="O3470" s="3" t="s">
        <v>22</v>
      </c>
      <c r="P3470" t="s">
        <v>29</v>
      </c>
      <c r="Q3470" t="s">
        <v>41</v>
      </c>
      <c r="R3470">
        <v>4</v>
      </c>
      <c r="S3470" t="s">
        <v>34</v>
      </c>
      <c r="T3470" s="4">
        <f t="shared" si="274"/>
        <v>274152.25</v>
      </c>
      <c r="U3470" s="4" t="str">
        <f t="shared" si="275"/>
        <v>Good</v>
      </c>
      <c r="V3470" s="4" t="str">
        <f t="shared" si="271"/>
        <v>Excellent</v>
      </c>
      <c r="W3470" s="4"/>
      <c r="X3470" s="4"/>
      <c r="AJ3470" s="4"/>
    </row>
    <row r="3471" spans="1:36">
      <c r="A3471" t="str">
        <f t="shared" si="272"/>
        <v>Suni213470</v>
      </c>
      <c r="B3471">
        <v>3470</v>
      </c>
      <c r="C3471">
        <v>24</v>
      </c>
      <c r="D3471">
        <v>6</v>
      </c>
      <c r="E3471">
        <v>2024</v>
      </c>
      <c r="F3471" s="1">
        <f t="shared" si="273"/>
        <v>45467</v>
      </c>
      <c r="G3471" s="1" t="s">
        <v>643</v>
      </c>
      <c r="H3471" s="2">
        <v>47947</v>
      </c>
      <c r="I3471" t="s">
        <v>26</v>
      </c>
      <c r="J3471">
        <v>1</v>
      </c>
      <c r="K3471">
        <v>37753.800000000003</v>
      </c>
      <c r="L3471" t="s">
        <v>648</v>
      </c>
      <c r="M3471">
        <v>21</v>
      </c>
      <c r="N3471" t="s">
        <v>36</v>
      </c>
      <c r="O3471" s="3" t="s">
        <v>22</v>
      </c>
      <c r="P3471" t="s">
        <v>70</v>
      </c>
      <c r="Q3471" t="s">
        <v>24</v>
      </c>
      <c r="R3471">
        <v>5</v>
      </c>
      <c r="S3471" t="s">
        <v>67</v>
      </c>
      <c r="T3471" s="4">
        <f t="shared" si="274"/>
        <v>37753.800000000003</v>
      </c>
      <c r="U3471" s="4" t="str">
        <f t="shared" si="275"/>
        <v>Good</v>
      </c>
      <c r="V3471" s="4" t="str">
        <f t="shared" si="271"/>
        <v>Low</v>
      </c>
      <c r="W3471" s="4"/>
      <c r="X3471" s="4"/>
      <c r="AJ3471" s="4"/>
    </row>
    <row r="3472" spans="1:36">
      <c r="A3472" t="str">
        <f t="shared" si="272"/>
        <v>Lata533471</v>
      </c>
      <c r="B3472">
        <v>3471</v>
      </c>
      <c r="C3472">
        <v>24</v>
      </c>
      <c r="D3472">
        <v>6</v>
      </c>
      <c r="E3472">
        <v>2024</v>
      </c>
      <c r="F3472" s="1">
        <f t="shared" si="273"/>
        <v>45467</v>
      </c>
      <c r="G3472" s="1" t="s">
        <v>643</v>
      </c>
      <c r="H3472" s="2">
        <v>47948</v>
      </c>
      <c r="I3472" t="s">
        <v>19</v>
      </c>
      <c r="J3472">
        <v>6</v>
      </c>
      <c r="K3472">
        <v>46083.05</v>
      </c>
      <c r="L3472" t="s">
        <v>764</v>
      </c>
      <c r="M3472">
        <v>53</v>
      </c>
      <c r="N3472" t="s">
        <v>61</v>
      </c>
      <c r="O3472" s="3" t="s">
        <v>22</v>
      </c>
      <c r="P3472" t="s">
        <v>51</v>
      </c>
      <c r="Q3472" t="s">
        <v>56</v>
      </c>
      <c r="R3472">
        <v>4</v>
      </c>
      <c r="S3472" t="s">
        <v>37</v>
      </c>
      <c r="T3472" s="4">
        <f t="shared" si="274"/>
        <v>276498.30000000005</v>
      </c>
      <c r="U3472" s="4" t="str">
        <f t="shared" si="275"/>
        <v>Good</v>
      </c>
      <c r="V3472" s="4" t="str">
        <f t="shared" si="271"/>
        <v>Excellent</v>
      </c>
      <c r="W3472" s="4"/>
      <c r="X3472" s="4"/>
      <c r="AJ3472" s="4"/>
    </row>
    <row r="3473" spans="1:36">
      <c r="A3473" t="str">
        <f t="shared" si="272"/>
        <v>Rame313472</v>
      </c>
      <c r="B3473">
        <v>3472</v>
      </c>
      <c r="C3473">
        <v>24</v>
      </c>
      <c r="D3473">
        <v>6</v>
      </c>
      <c r="E3473">
        <v>2024</v>
      </c>
      <c r="F3473" s="1">
        <f t="shared" si="273"/>
        <v>45467</v>
      </c>
      <c r="G3473" s="1" t="s">
        <v>643</v>
      </c>
      <c r="H3473" s="2">
        <v>47949</v>
      </c>
      <c r="I3473" t="s">
        <v>43</v>
      </c>
      <c r="J3473">
        <v>7</v>
      </c>
      <c r="K3473">
        <v>57383.7</v>
      </c>
      <c r="L3473" t="s">
        <v>554</v>
      </c>
      <c r="M3473">
        <v>31</v>
      </c>
      <c r="N3473" t="s">
        <v>21</v>
      </c>
      <c r="O3473" s="3" t="s">
        <v>22</v>
      </c>
      <c r="P3473" t="s">
        <v>33</v>
      </c>
      <c r="Q3473" t="s">
        <v>30</v>
      </c>
      <c r="R3473">
        <v>5</v>
      </c>
      <c r="S3473" t="s">
        <v>57</v>
      </c>
      <c r="T3473" s="4">
        <f t="shared" si="274"/>
        <v>401685.89999999997</v>
      </c>
      <c r="U3473" s="4" t="str">
        <f t="shared" si="275"/>
        <v>Good</v>
      </c>
      <c r="V3473" s="4" t="str">
        <f t="shared" si="271"/>
        <v>Excellent</v>
      </c>
      <c r="W3473" s="4"/>
      <c r="X3473" s="4"/>
      <c r="AJ3473" s="4"/>
    </row>
    <row r="3474" spans="1:36">
      <c r="A3474" t="str">
        <f t="shared" si="272"/>
        <v>Kris343473</v>
      </c>
      <c r="B3474">
        <v>3473</v>
      </c>
      <c r="C3474">
        <v>24</v>
      </c>
      <c r="D3474">
        <v>6</v>
      </c>
      <c r="E3474">
        <v>2024</v>
      </c>
      <c r="F3474" s="1">
        <f t="shared" si="273"/>
        <v>45467</v>
      </c>
      <c r="G3474" s="1" t="s">
        <v>643</v>
      </c>
      <c r="H3474" s="2">
        <v>47950</v>
      </c>
      <c r="I3474" t="s">
        <v>49</v>
      </c>
      <c r="J3474">
        <v>3</v>
      </c>
      <c r="K3474">
        <v>22913.24</v>
      </c>
      <c r="L3474" t="s">
        <v>987</v>
      </c>
      <c r="M3474">
        <v>34</v>
      </c>
      <c r="N3474" t="s">
        <v>21</v>
      </c>
      <c r="O3474" s="3" t="s">
        <v>22</v>
      </c>
      <c r="P3474" t="s">
        <v>93</v>
      </c>
      <c r="Q3474" t="s">
        <v>24</v>
      </c>
      <c r="R3474">
        <v>4</v>
      </c>
      <c r="S3474" t="s">
        <v>88</v>
      </c>
      <c r="T3474" s="4">
        <f t="shared" si="274"/>
        <v>68739.72</v>
      </c>
      <c r="U3474" s="4" t="str">
        <f t="shared" si="275"/>
        <v>Good</v>
      </c>
      <c r="V3474" s="4" t="str">
        <f t="shared" si="271"/>
        <v>Average</v>
      </c>
      <c r="W3474" s="4"/>
      <c r="X3474" s="4"/>
      <c r="AJ3474" s="4"/>
    </row>
    <row r="3475" spans="1:36">
      <c r="A3475" t="str">
        <f t="shared" si="272"/>
        <v>Suni203474</v>
      </c>
      <c r="B3475">
        <v>3474</v>
      </c>
      <c r="C3475">
        <v>25</v>
      </c>
      <c r="D3475">
        <v>6</v>
      </c>
      <c r="E3475">
        <v>2024</v>
      </c>
      <c r="F3475" s="1">
        <f t="shared" si="273"/>
        <v>45468</v>
      </c>
      <c r="G3475" s="1" t="s">
        <v>643</v>
      </c>
      <c r="H3475" s="2">
        <v>47951</v>
      </c>
      <c r="I3475" t="s">
        <v>26</v>
      </c>
      <c r="J3475">
        <v>4</v>
      </c>
      <c r="K3475">
        <v>13955.73</v>
      </c>
      <c r="L3475" t="s">
        <v>579</v>
      </c>
      <c r="M3475">
        <v>20</v>
      </c>
      <c r="N3475" t="s">
        <v>36</v>
      </c>
      <c r="O3475" s="3" t="s">
        <v>28</v>
      </c>
      <c r="P3475" t="s">
        <v>93</v>
      </c>
      <c r="Q3475" t="s">
        <v>41</v>
      </c>
      <c r="R3475">
        <v>3</v>
      </c>
      <c r="S3475" t="s">
        <v>34</v>
      </c>
      <c r="T3475" s="4">
        <f t="shared" si="274"/>
        <v>55822.92</v>
      </c>
      <c r="U3475" s="4" t="str">
        <f t="shared" si="275"/>
        <v>Average</v>
      </c>
      <c r="V3475" s="4" t="str">
        <f t="shared" si="271"/>
        <v>Average</v>
      </c>
      <c r="W3475" s="4"/>
      <c r="X3475" s="4"/>
      <c r="AJ3475" s="4"/>
    </row>
    <row r="3476" spans="1:36">
      <c r="A3476" t="str">
        <f t="shared" si="272"/>
        <v>Bhav553475</v>
      </c>
      <c r="B3476">
        <v>3475</v>
      </c>
      <c r="C3476">
        <v>25</v>
      </c>
      <c r="D3476">
        <v>6</v>
      </c>
      <c r="E3476">
        <v>2024</v>
      </c>
      <c r="F3476" s="1">
        <f t="shared" si="273"/>
        <v>45468</v>
      </c>
      <c r="G3476" s="1" t="s">
        <v>643</v>
      </c>
      <c r="H3476" s="2">
        <v>47952</v>
      </c>
      <c r="I3476" t="s">
        <v>26</v>
      </c>
      <c r="J3476">
        <v>3</v>
      </c>
      <c r="K3476">
        <v>41909.410000000003</v>
      </c>
      <c r="L3476" t="s">
        <v>433</v>
      </c>
      <c r="M3476">
        <v>55</v>
      </c>
      <c r="N3476" t="s">
        <v>61</v>
      </c>
      <c r="O3476" s="3" t="s">
        <v>22</v>
      </c>
      <c r="P3476" t="s">
        <v>70</v>
      </c>
      <c r="Q3476" t="s">
        <v>24</v>
      </c>
      <c r="R3476">
        <v>5</v>
      </c>
      <c r="S3476" t="s">
        <v>31</v>
      </c>
      <c r="T3476" s="4">
        <f t="shared" si="274"/>
        <v>125728.23000000001</v>
      </c>
      <c r="U3476" s="4" t="str">
        <f t="shared" si="275"/>
        <v>Good</v>
      </c>
      <c r="V3476" s="4" t="str">
        <f t="shared" si="271"/>
        <v>Good</v>
      </c>
      <c r="W3476" s="4"/>
      <c r="X3476" s="4"/>
      <c r="AJ3476" s="4"/>
    </row>
    <row r="3477" spans="1:36">
      <c r="A3477" t="str">
        <f t="shared" si="272"/>
        <v>Lata403476</v>
      </c>
      <c r="B3477">
        <v>3476</v>
      </c>
      <c r="C3477">
        <v>25</v>
      </c>
      <c r="D3477">
        <v>6</v>
      </c>
      <c r="E3477">
        <v>2024</v>
      </c>
      <c r="F3477" s="1">
        <f t="shared" si="273"/>
        <v>45468</v>
      </c>
      <c r="G3477" s="1" t="s">
        <v>643</v>
      </c>
      <c r="H3477" s="2">
        <v>47953</v>
      </c>
      <c r="I3477" t="s">
        <v>49</v>
      </c>
      <c r="J3477">
        <v>1</v>
      </c>
      <c r="K3477">
        <v>13727.55</v>
      </c>
      <c r="L3477" t="s">
        <v>892</v>
      </c>
      <c r="M3477">
        <v>40</v>
      </c>
      <c r="N3477" t="s">
        <v>21</v>
      </c>
      <c r="O3477" s="3" t="s">
        <v>22</v>
      </c>
      <c r="P3477" t="s">
        <v>70</v>
      </c>
      <c r="Q3477" t="s">
        <v>41</v>
      </c>
      <c r="R3477">
        <v>4</v>
      </c>
      <c r="S3477" t="s">
        <v>88</v>
      </c>
      <c r="T3477" s="4">
        <f t="shared" si="274"/>
        <v>13727.55</v>
      </c>
      <c r="U3477" s="4" t="str">
        <f t="shared" si="275"/>
        <v>Good</v>
      </c>
      <c r="V3477" s="4" t="str">
        <f t="shared" si="271"/>
        <v>Low</v>
      </c>
      <c r="W3477" s="4"/>
      <c r="X3477" s="4"/>
      <c r="AJ3477" s="4"/>
    </row>
    <row r="3478" spans="1:36">
      <c r="A3478" t="str">
        <f t="shared" si="272"/>
        <v>Anja303477</v>
      </c>
      <c r="B3478">
        <v>3477</v>
      </c>
      <c r="C3478">
        <v>25</v>
      </c>
      <c r="D3478">
        <v>6</v>
      </c>
      <c r="E3478">
        <v>2024</v>
      </c>
      <c r="F3478" s="1">
        <f t="shared" si="273"/>
        <v>45468</v>
      </c>
      <c r="G3478" s="1" t="s">
        <v>643</v>
      </c>
      <c r="H3478" s="2">
        <v>47954</v>
      </c>
      <c r="I3478" t="s">
        <v>43</v>
      </c>
      <c r="J3478">
        <v>8</v>
      </c>
      <c r="K3478">
        <v>55993.440000000002</v>
      </c>
      <c r="L3478" t="s">
        <v>954</v>
      </c>
      <c r="M3478">
        <v>30</v>
      </c>
      <c r="N3478" t="s">
        <v>36</v>
      </c>
      <c r="O3478" s="3" t="s">
        <v>22</v>
      </c>
      <c r="P3478" t="s">
        <v>33</v>
      </c>
      <c r="Q3478" t="s">
        <v>56</v>
      </c>
      <c r="R3478">
        <v>4</v>
      </c>
      <c r="S3478" t="s">
        <v>46</v>
      </c>
      <c r="T3478" s="4">
        <f t="shared" si="274"/>
        <v>447947.52000000002</v>
      </c>
      <c r="U3478" s="4" t="str">
        <f t="shared" si="275"/>
        <v>Good</v>
      </c>
      <c r="V3478" s="4" t="str">
        <f t="shared" si="271"/>
        <v>Excellent</v>
      </c>
      <c r="W3478" s="4"/>
      <c r="X3478" s="4"/>
      <c r="AJ3478" s="4"/>
    </row>
    <row r="3479" spans="1:36">
      <c r="A3479" t="str">
        <f t="shared" si="272"/>
        <v>Raje263478</v>
      </c>
      <c r="B3479">
        <v>3478</v>
      </c>
      <c r="C3479">
        <v>26</v>
      </c>
      <c r="D3479">
        <v>6</v>
      </c>
      <c r="E3479">
        <v>2024</v>
      </c>
      <c r="F3479" s="1">
        <f t="shared" si="273"/>
        <v>45469</v>
      </c>
      <c r="G3479" s="1" t="s">
        <v>643</v>
      </c>
      <c r="H3479" s="2">
        <v>47955</v>
      </c>
      <c r="I3479" t="s">
        <v>19</v>
      </c>
      <c r="J3479">
        <v>2</v>
      </c>
      <c r="K3479">
        <v>53152.69</v>
      </c>
      <c r="L3479" t="s">
        <v>323</v>
      </c>
      <c r="M3479">
        <v>26</v>
      </c>
      <c r="N3479" t="s">
        <v>36</v>
      </c>
      <c r="O3479" s="3" t="s">
        <v>22</v>
      </c>
      <c r="P3479" t="s">
        <v>29</v>
      </c>
      <c r="Q3479" t="s">
        <v>30</v>
      </c>
      <c r="R3479">
        <v>5</v>
      </c>
      <c r="S3479" t="s">
        <v>37</v>
      </c>
      <c r="T3479" s="4">
        <f t="shared" si="274"/>
        <v>106305.38</v>
      </c>
      <c r="U3479" s="4" t="str">
        <f t="shared" si="275"/>
        <v>Good</v>
      </c>
      <c r="V3479" s="4" t="str">
        <f t="shared" si="271"/>
        <v>Good</v>
      </c>
      <c r="W3479" s="4"/>
      <c r="X3479" s="4"/>
      <c r="AJ3479" s="4"/>
    </row>
    <row r="3480" spans="1:36">
      <c r="A3480" t="str">
        <f t="shared" si="272"/>
        <v>Nikh383479</v>
      </c>
      <c r="B3480">
        <v>3479</v>
      </c>
      <c r="C3480">
        <v>26</v>
      </c>
      <c r="D3480">
        <v>6</v>
      </c>
      <c r="E3480">
        <v>2024</v>
      </c>
      <c r="F3480" s="1">
        <f t="shared" si="273"/>
        <v>45469</v>
      </c>
      <c r="G3480" s="1" t="s">
        <v>643</v>
      </c>
      <c r="H3480" s="2">
        <v>47956</v>
      </c>
      <c r="I3480" t="s">
        <v>26</v>
      </c>
      <c r="J3480">
        <v>1</v>
      </c>
      <c r="K3480">
        <v>62902.76</v>
      </c>
      <c r="L3480" t="s">
        <v>667</v>
      </c>
      <c r="M3480">
        <v>38</v>
      </c>
      <c r="N3480" t="s">
        <v>21</v>
      </c>
      <c r="O3480" s="3" t="s">
        <v>28</v>
      </c>
      <c r="P3480" t="s">
        <v>132</v>
      </c>
      <c r="Q3480" t="s">
        <v>56</v>
      </c>
      <c r="R3480">
        <v>3</v>
      </c>
      <c r="S3480" t="s">
        <v>67</v>
      </c>
      <c r="T3480" s="4">
        <f t="shared" si="274"/>
        <v>62902.76</v>
      </c>
      <c r="U3480" s="4" t="str">
        <f t="shared" si="275"/>
        <v>Average</v>
      </c>
      <c r="V3480" s="4" t="str">
        <f t="shared" si="271"/>
        <v>Average</v>
      </c>
      <c r="W3480" s="4"/>
      <c r="X3480" s="4"/>
      <c r="AJ3480" s="4"/>
    </row>
    <row r="3481" spans="1:36">
      <c r="A3481" t="str">
        <f t="shared" si="272"/>
        <v>Amit583480</v>
      </c>
      <c r="B3481">
        <v>3480</v>
      </c>
      <c r="C3481">
        <v>26</v>
      </c>
      <c r="D3481">
        <v>6</v>
      </c>
      <c r="E3481">
        <v>2024</v>
      </c>
      <c r="F3481" s="1">
        <f t="shared" si="273"/>
        <v>45469</v>
      </c>
      <c r="G3481" s="1" t="s">
        <v>643</v>
      </c>
      <c r="H3481" s="2">
        <v>47957</v>
      </c>
      <c r="I3481" t="s">
        <v>19</v>
      </c>
      <c r="J3481">
        <v>8</v>
      </c>
      <c r="K3481">
        <v>48373.73</v>
      </c>
      <c r="L3481" t="s">
        <v>296</v>
      </c>
      <c r="M3481">
        <v>58</v>
      </c>
      <c r="N3481" t="s">
        <v>61</v>
      </c>
      <c r="O3481" s="3" t="s">
        <v>22</v>
      </c>
      <c r="P3481" t="s">
        <v>29</v>
      </c>
      <c r="Q3481" t="s">
        <v>24</v>
      </c>
      <c r="R3481">
        <v>4</v>
      </c>
      <c r="S3481" t="s">
        <v>37</v>
      </c>
      <c r="T3481" s="4">
        <f t="shared" si="274"/>
        <v>386989.84</v>
      </c>
      <c r="U3481" s="4" t="str">
        <f t="shared" si="275"/>
        <v>Good</v>
      </c>
      <c r="V3481" s="4" t="str">
        <f t="shared" si="271"/>
        <v>Excellent</v>
      </c>
      <c r="W3481" s="4"/>
      <c r="X3481" s="4"/>
      <c r="AJ3481" s="4"/>
    </row>
    <row r="3482" spans="1:36">
      <c r="A3482" t="str">
        <f t="shared" si="272"/>
        <v>Kira253481</v>
      </c>
      <c r="B3482">
        <v>3481</v>
      </c>
      <c r="C3482">
        <v>26</v>
      </c>
      <c r="D3482">
        <v>6</v>
      </c>
      <c r="E3482">
        <v>2024</v>
      </c>
      <c r="F3482" s="1">
        <f t="shared" si="273"/>
        <v>45469</v>
      </c>
      <c r="G3482" s="1" t="s">
        <v>643</v>
      </c>
      <c r="H3482" s="2">
        <v>47958</v>
      </c>
      <c r="I3482" t="s">
        <v>38</v>
      </c>
      <c r="J3482">
        <v>7</v>
      </c>
      <c r="K3482">
        <v>14031.85</v>
      </c>
      <c r="L3482" t="s">
        <v>839</v>
      </c>
      <c r="M3482">
        <v>25</v>
      </c>
      <c r="N3482" t="s">
        <v>36</v>
      </c>
      <c r="O3482" s="3" t="s">
        <v>28</v>
      </c>
      <c r="P3482" t="s">
        <v>29</v>
      </c>
      <c r="Q3482" t="s">
        <v>24</v>
      </c>
      <c r="R3482">
        <v>3</v>
      </c>
      <c r="S3482" t="s">
        <v>48</v>
      </c>
      <c r="T3482" s="4">
        <f t="shared" si="274"/>
        <v>98222.95</v>
      </c>
      <c r="U3482" s="4" t="str">
        <f t="shared" si="275"/>
        <v>Average</v>
      </c>
      <c r="V3482" s="4" t="str">
        <f t="shared" si="271"/>
        <v>Average</v>
      </c>
      <c r="W3482" s="4"/>
      <c r="X3482" s="4"/>
      <c r="AJ3482" s="4"/>
    </row>
    <row r="3483" spans="1:36">
      <c r="A3483" t="str">
        <f t="shared" si="272"/>
        <v>Anan343482</v>
      </c>
      <c r="B3483">
        <v>3482</v>
      </c>
      <c r="C3483">
        <v>27</v>
      </c>
      <c r="D3483">
        <v>6</v>
      </c>
      <c r="E3483">
        <v>2024</v>
      </c>
      <c r="F3483" s="1">
        <f t="shared" si="273"/>
        <v>45470</v>
      </c>
      <c r="G3483" s="1" t="s">
        <v>643</v>
      </c>
      <c r="H3483" s="2">
        <v>47959</v>
      </c>
      <c r="I3483" t="s">
        <v>43</v>
      </c>
      <c r="J3483">
        <v>7</v>
      </c>
      <c r="K3483">
        <v>25189.13</v>
      </c>
      <c r="L3483" t="s">
        <v>418</v>
      </c>
      <c r="M3483">
        <v>34</v>
      </c>
      <c r="N3483" t="s">
        <v>21</v>
      </c>
      <c r="O3483" s="3" t="s">
        <v>55</v>
      </c>
      <c r="P3483" t="s">
        <v>40</v>
      </c>
      <c r="Q3483" t="s">
        <v>30</v>
      </c>
      <c r="R3483">
        <v>2</v>
      </c>
      <c r="S3483" t="s">
        <v>46</v>
      </c>
      <c r="T3483" s="4">
        <f t="shared" si="274"/>
        <v>176323.91</v>
      </c>
      <c r="U3483" s="4" t="str">
        <f t="shared" si="275"/>
        <v>Average</v>
      </c>
      <c r="V3483" s="4" t="str">
        <f t="shared" si="271"/>
        <v>Good</v>
      </c>
      <c r="W3483" s="4"/>
      <c r="X3483" s="4"/>
      <c r="AJ3483" s="4"/>
    </row>
    <row r="3484" spans="1:36">
      <c r="A3484" t="str">
        <f t="shared" si="272"/>
        <v>Nikh333483</v>
      </c>
      <c r="B3484">
        <v>3483</v>
      </c>
      <c r="C3484">
        <v>27</v>
      </c>
      <c r="D3484">
        <v>6</v>
      </c>
      <c r="E3484">
        <v>2024</v>
      </c>
      <c r="F3484" s="1">
        <f t="shared" si="273"/>
        <v>45470</v>
      </c>
      <c r="G3484" s="1" t="s">
        <v>643</v>
      </c>
      <c r="H3484" s="2">
        <v>47960</v>
      </c>
      <c r="I3484" t="s">
        <v>38</v>
      </c>
      <c r="J3484">
        <v>4</v>
      </c>
      <c r="K3484">
        <v>58475.91</v>
      </c>
      <c r="L3484" t="s">
        <v>447</v>
      </c>
      <c r="M3484">
        <v>33</v>
      </c>
      <c r="N3484" t="s">
        <v>21</v>
      </c>
      <c r="O3484" s="3" t="s">
        <v>22</v>
      </c>
      <c r="P3484" t="s">
        <v>33</v>
      </c>
      <c r="Q3484" t="s">
        <v>41</v>
      </c>
      <c r="R3484">
        <v>5</v>
      </c>
      <c r="S3484" t="s">
        <v>99</v>
      </c>
      <c r="T3484" s="4">
        <f t="shared" si="274"/>
        <v>233903.64</v>
      </c>
      <c r="U3484" s="4" t="str">
        <f t="shared" si="275"/>
        <v>Good</v>
      </c>
      <c r="V3484" s="4" t="str">
        <f t="shared" si="271"/>
        <v>Excellent</v>
      </c>
      <c r="W3484" s="4"/>
      <c r="X3484" s="4"/>
      <c r="AJ3484" s="4"/>
    </row>
    <row r="3485" spans="1:36">
      <c r="A3485" t="str">
        <f t="shared" si="272"/>
        <v>Tapa333484</v>
      </c>
      <c r="B3485">
        <v>3484</v>
      </c>
      <c r="C3485">
        <v>27</v>
      </c>
      <c r="D3485">
        <v>6</v>
      </c>
      <c r="E3485">
        <v>2024</v>
      </c>
      <c r="F3485" s="1">
        <f t="shared" si="273"/>
        <v>45470</v>
      </c>
      <c r="G3485" s="1" t="s">
        <v>643</v>
      </c>
      <c r="H3485" s="2">
        <v>47961</v>
      </c>
      <c r="I3485" t="s">
        <v>38</v>
      </c>
      <c r="J3485">
        <v>9</v>
      </c>
      <c r="K3485">
        <v>20027.95</v>
      </c>
      <c r="L3485" t="s">
        <v>371</v>
      </c>
      <c r="M3485">
        <v>33</v>
      </c>
      <c r="N3485" t="s">
        <v>21</v>
      </c>
      <c r="O3485" s="3" t="s">
        <v>22</v>
      </c>
      <c r="P3485" t="s">
        <v>90</v>
      </c>
      <c r="Q3485" t="s">
        <v>56</v>
      </c>
      <c r="R3485">
        <v>5</v>
      </c>
      <c r="S3485" t="s">
        <v>42</v>
      </c>
      <c r="T3485" s="4">
        <f t="shared" si="274"/>
        <v>180251.55000000002</v>
      </c>
      <c r="U3485" s="4" t="str">
        <f t="shared" si="275"/>
        <v>Good</v>
      </c>
      <c r="V3485" s="4" t="str">
        <f t="shared" si="271"/>
        <v>Good</v>
      </c>
      <c r="W3485" s="4"/>
      <c r="X3485" s="4"/>
      <c r="AJ3485" s="4"/>
    </row>
    <row r="3486" spans="1:36">
      <c r="A3486" t="str">
        <f t="shared" si="272"/>
        <v>Vive453485</v>
      </c>
      <c r="B3486">
        <v>3485</v>
      </c>
      <c r="C3486">
        <v>27</v>
      </c>
      <c r="D3486">
        <v>6</v>
      </c>
      <c r="E3486">
        <v>2024</v>
      </c>
      <c r="F3486" s="1">
        <f t="shared" si="273"/>
        <v>45470</v>
      </c>
      <c r="G3486" s="1" t="s">
        <v>643</v>
      </c>
      <c r="H3486" s="2">
        <v>47962</v>
      </c>
      <c r="I3486" t="s">
        <v>38</v>
      </c>
      <c r="J3486">
        <v>6</v>
      </c>
      <c r="K3486">
        <v>51908.83</v>
      </c>
      <c r="L3486" t="s">
        <v>893</v>
      </c>
      <c r="M3486">
        <v>45</v>
      </c>
      <c r="N3486" t="s">
        <v>21</v>
      </c>
      <c r="O3486" s="3" t="s">
        <v>22</v>
      </c>
      <c r="P3486" t="s">
        <v>33</v>
      </c>
      <c r="Q3486" t="s">
        <v>41</v>
      </c>
      <c r="R3486">
        <v>5</v>
      </c>
      <c r="S3486" t="s">
        <v>42</v>
      </c>
      <c r="T3486" s="4">
        <f t="shared" si="274"/>
        <v>311452.98</v>
      </c>
      <c r="U3486" s="4" t="str">
        <f t="shared" si="275"/>
        <v>Good</v>
      </c>
      <c r="V3486" s="4" t="str">
        <f t="shared" si="271"/>
        <v>Excellent</v>
      </c>
      <c r="W3486" s="4"/>
      <c r="X3486" s="4"/>
      <c r="AJ3486" s="4"/>
    </row>
    <row r="3487" spans="1:36">
      <c r="A3487" t="str">
        <f t="shared" si="272"/>
        <v>Priy333486</v>
      </c>
      <c r="B3487">
        <v>3486</v>
      </c>
      <c r="C3487">
        <v>28</v>
      </c>
      <c r="D3487">
        <v>6</v>
      </c>
      <c r="E3487">
        <v>2024</v>
      </c>
      <c r="F3487" s="1">
        <f t="shared" si="273"/>
        <v>45471</v>
      </c>
      <c r="G3487" s="1" t="s">
        <v>643</v>
      </c>
      <c r="H3487" s="2">
        <v>47963</v>
      </c>
      <c r="I3487" t="s">
        <v>43</v>
      </c>
      <c r="J3487">
        <v>2</v>
      </c>
      <c r="K3487">
        <v>56815.56</v>
      </c>
      <c r="L3487" t="s">
        <v>358</v>
      </c>
      <c r="M3487">
        <v>33</v>
      </c>
      <c r="N3487" t="s">
        <v>21</v>
      </c>
      <c r="O3487" s="3" t="s">
        <v>28</v>
      </c>
      <c r="P3487" t="s">
        <v>77</v>
      </c>
      <c r="Q3487" t="s">
        <v>24</v>
      </c>
      <c r="R3487">
        <v>3</v>
      </c>
      <c r="S3487" t="s">
        <v>46</v>
      </c>
      <c r="T3487" s="4">
        <f t="shared" si="274"/>
        <v>113631.12</v>
      </c>
      <c r="U3487" s="4" t="str">
        <f t="shared" si="275"/>
        <v>Average</v>
      </c>
      <c r="V3487" s="4" t="str">
        <f t="shared" si="271"/>
        <v>Good</v>
      </c>
      <c r="W3487" s="4"/>
      <c r="X3487" s="4"/>
      <c r="AJ3487" s="4"/>
    </row>
    <row r="3488" spans="1:36">
      <c r="A3488" t="str">
        <f t="shared" si="272"/>
        <v>Shru313487</v>
      </c>
      <c r="B3488">
        <v>3487</v>
      </c>
      <c r="C3488">
        <v>28</v>
      </c>
      <c r="D3488">
        <v>6</v>
      </c>
      <c r="E3488">
        <v>2024</v>
      </c>
      <c r="F3488" s="1">
        <f t="shared" si="273"/>
        <v>45471</v>
      </c>
      <c r="G3488" s="1" t="s">
        <v>643</v>
      </c>
      <c r="H3488" s="2">
        <v>47964</v>
      </c>
      <c r="I3488" t="s">
        <v>43</v>
      </c>
      <c r="J3488">
        <v>1</v>
      </c>
      <c r="K3488">
        <v>29806.71</v>
      </c>
      <c r="L3488" t="s">
        <v>872</v>
      </c>
      <c r="M3488">
        <v>31</v>
      </c>
      <c r="N3488" t="s">
        <v>21</v>
      </c>
      <c r="O3488" s="3" t="s">
        <v>22</v>
      </c>
      <c r="P3488" t="s">
        <v>137</v>
      </c>
      <c r="Q3488" t="s">
        <v>41</v>
      </c>
      <c r="R3488">
        <v>4</v>
      </c>
      <c r="S3488" t="s">
        <v>46</v>
      </c>
      <c r="T3488" s="4">
        <f t="shared" si="274"/>
        <v>29806.71</v>
      </c>
      <c r="U3488" s="4" t="str">
        <f t="shared" si="275"/>
        <v>Good</v>
      </c>
      <c r="V3488" s="4" t="str">
        <f t="shared" si="271"/>
        <v>Low</v>
      </c>
      <c r="W3488" s="4"/>
      <c r="X3488" s="4"/>
      <c r="AJ3488" s="4"/>
    </row>
    <row r="3489" spans="1:36">
      <c r="A3489" t="str">
        <f t="shared" si="272"/>
        <v>Sneh553488</v>
      </c>
      <c r="B3489">
        <v>3488</v>
      </c>
      <c r="C3489">
        <v>28</v>
      </c>
      <c r="D3489">
        <v>6</v>
      </c>
      <c r="E3489">
        <v>2024</v>
      </c>
      <c r="F3489" s="1">
        <f t="shared" si="273"/>
        <v>45471</v>
      </c>
      <c r="G3489" s="1" t="s">
        <v>643</v>
      </c>
      <c r="H3489" s="2">
        <v>47965</v>
      </c>
      <c r="I3489" t="s">
        <v>49</v>
      </c>
      <c r="J3489">
        <v>1</v>
      </c>
      <c r="K3489">
        <v>29337.85</v>
      </c>
      <c r="L3489" t="s">
        <v>39</v>
      </c>
      <c r="M3489">
        <v>55</v>
      </c>
      <c r="N3489" t="s">
        <v>61</v>
      </c>
      <c r="O3489" s="3" t="s">
        <v>22</v>
      </c>
      <c r="P3489" t="s">
        <v>64</v>
      </c>
      <c r="Q3489" t="s">
        <v>56</v>
      </c>
      <c r="R3489">
        <v>4</v>
      </c>
      <c r="S3489" t="s">
        <v>102</v>
      </c>
      <c r="T3489" s="4">
        <f t="shared" si="274"/>
        <v>29337.85</v>
      </c>
      <c r="U3489" s="4" t="str">
        <f t="shared" si="275"/>
        <v>Good</v>
      </c>
      <c r="V3489" s="4" t="str">
        <f t="shared" si="271"/>
        <v>Low</v>
      </c>
      <c r="W3489" s="4"/>
      <c r="X3489" s="4"/>
      <c r="AJ3489" s="4"/>
    </row>
    <row r="3490" spans="1:36">
      <c r="A3490" t="str">
        <f t="shared" si="272"/>
        <v>Roha373489</v>
      </c>
      <c r="B3490">
        <v>3489</v>
      </c>
      <c r="C3490">
        <v>28</v>
      </c>
      <c r="D3490">
        <v>6</v>
      </c>
      <c r="E3490">
        <v>2024</v>
      </c>
      <c r="F3490" s="1">
        <f t="shared" si="273"/>
        <v>45471</v>
      </c>
      <c r="G3490" s="1" t="s">
        <v>643</v>
      </c>
      <c r="H3490" s="2">
        <v>47966</v>
      </c>
      <c r="I3490" t="s">
        <v>19</v>
      </c>
      <c r="J3490">
        <v>9</v>
      </c>
      <c r="K3490">
        <v>43468.160000000003</v>
      </c>
      <c r="L3490" t="s">
        <v>963</v>
      </c>
      <c r="M3490">
        <v>37</v>
      </c>
      <c r="N3490" t="s">
        <v>21</v>
      </c>
      <c r="O3490" s="3" t="s">
        <v>28</v>
      </c>
      <c r="P3490" t="s">
        <v>90</v>
      </c>
      <c r="Q3490" t="s">
        <v>41</v>
      </c>
      <c r="R3490">
        <v>3</v>
      </c>
      <c r="S3490" t="s">
        <v>25</v>
      </c>
      <c r="T3490" s="4">
        <f t="shared" si="274"/>
        <v>391213.44000000006</v>
      </c>
      <c r="U3490" s="4" t="str">
        <f t="shared" si="275"/>
        <v>Average</v>
      </c>
      <c r="V3490" s="4" t="str">
        <f t="shared" si="271"/>
        <v>Excellent</v>
      </c>
      <c r="W3490" s="4"/>
      <c r="X3490" s="4"/>
      <c r="AJ3490" s="4"/>
    </row>
    <row r="3491" spans="1:36">
      <c r="A3491" t="str">
        <f t="shared" si="272"/>
        <v>Umes583490</v>
      </c>
      <c r="B3491">
        <v>3490</v>
      </c>
      <c r="C3491">
        <v>29</v>
      </c>
      <c r="D3491">
        <v>6</v>
      </c>
      <c r="E3491">
        <v>2024</v>
      </c>
      <c r="F3491" s="1">
        <f t="shared" si="273"/>
        <v>45472</v>
      </c>
      <c r="G3491" s="1" t="s">
        <v>643</v>
      </c>
      <c r="H3491" s="2">
        <v>47967</v>
      </c>
      <c r="I3491" t="s">
        <v>19</v>
      </c>
      <c r="J3491">
        <v>4</v>
      </c>
      <c r="K3491">
        <v>61677.18</v>
      </c>
      <c r="L3491" t="s">
        <v>98</v>
      </c>
      <c r="M3491">
        <v>58</v>
      </c>
      <c r="N3491" t="s">
        <v>61</v>
      </c>
      <c r="O3491" s="3" t="s">
        <v>28</v>
      </c>
      <c r="P3491" t="s">
        <v>33</v>
      </c>
      <c r="Q3491" t="s">
        <v>24</v>
      </c>
      <c r="R3491">
        <v>3</v>
      </c>
      <c r="S3491" t="s">
        <v>25</v>
      </c>
      <c r="T3491" s="4">
        <f t="shared" si="274"/>
        <v>246708.72</v>
      </c>
      <c r="U3491" s="4" t="str">
        <f t="shared" si="275"/>
        <v>Average</v>
      </c>
      <c r="V3491" s="4" t="str">
        <f t="shared" si="271"/>
        <v>Excellent</v>
      </c>
      <c r="W3491" s="4"/>
      <c r="X3491" s="4"/>
      <c r="AJ3491" s="4"/>
    </row>
    <row r="3492" spans="1:36">
      <c r="A3492" t="str">
        <f t="shared" si="272"/>
        <v>Gita513491</v>
      </c>
      <c r="B3492">
        <v>3491</v>
      </c>
      <c r="C3492">
        <v>29</v>
      </c>
      <c r="D3492">
        <v>6</v>
      </c>
      <c r="E3492">
        <v>2024</v>
      </c>
      <c r="F3492" s="1">
        <f t="shared" si="273"/>
        <v>45472</v>
      </c>
      <c r="G3492" s="1" t="s">
        <v>643</v>
      </c>
      <c r="H3492" s="2">
        <v>47968</v>
      </c>
      <c r="I3492" t="s">
        <v>49</v>
      </c>
      <c r="J3492">
        <v>5</v>
      </c>
      <c r="K3492">
        <v>23434.37</v>
      </c>
      <c r="L3492" t="s">
        <v>397</v>
      </c>
      <c r="M3492">
        <v>51</v>
      </c>
      <c r="N3492" t="s">
        <v>61</v>
      </c>
      <c r="O3492" s="3" t="s">
        <v>55</v>
      </c>
      <c r="P3492" t="s">
        <v>33</v>
      </c>
      <c r="Q3492" t="s">
        <v>56</v>
      </c>
      <c r="R3492">
        <v>2</v>
      </c>
      <c r="S3492" t="s">
        <v>88</v>
      </c>
      <c r="T3492" s="4">
        <f t="shared" si="274"/>
        <v>117171.84999999999</v>
      </c>
      <c r="U3492" s="4" t="str">
        <f t="shared" si="275"/>
        <v>Average</v>
      </c>
      <c r="V3492" s="4" t="str">
        <f t="shared" si="271"/>
        <v>Good</v>
      </c>
      <c r="W3492" s="4"/>
      <c r="X3492" s="4"/>
      <c r="AJ3492" s="4"/>
    </row>
    <row r="3493" spans="1:36">
      <c r="A3493" t="str">
        <f t="shared" si="272"/>
        <v>Deep463492</v>
      </c>
      <c r="B3493">
        <v>3492</v>
      </c>
      <c r="C3493">
        <v>29</v>
      </c>
      <c r="D3493">
        <v>6</v>
      </c>
      <c r="E3493">
        <v>2024</v>
      </c>
      <c r="F3493" s="1">
        <f t="shared" si="273"/>
        <v>45472</v>
      </c>
      <c r="G3493" s="1" t="s">
        <v>643</v>
      </c>
      <c r="H3493" s="2">
        <v>47969</v>
      </c>
      <c r="I3493" t="s">
        <v>49</v>
      </c>
      <c r="J3493">
        <v>3</v>
      </c>
      <c r="K3493">
        <v>66475.490000000005</v>
      </c>
      <c r="L3493" t="s">
        <v>627</v>
      </c>
      <c r="M3493">
        <v>46</v>
      </c>
      <c r="N3493" t="s">
        <v>61</v>
      </c>
      <c r="O3493" s="3" t="s">
        <v>22</v>
      </c>
      <c r="P3493" t="s">
        <v>29</v>
      </c>
      <c r="Q3493" t="s">
        <v>41</v>
      </c>
      <c r="R3493">
        <v>5</v>
      </c>
      <c r="S3493" t="s">
        <v>88</v>
      </c>
      <c r="T3493" s="4">
        <f t="shared" si="274"/>
        <v>199426.47000000003</v>
      </c>
      <c r="U3493" s="4" t="str">
        <f t="shared" si="275"/>
        <v>Good</v>
      </c>
      <c r="V3493" s="4" t="str">
        <f t="shared" si="271"/>
        <v>Good</v>
      </c>
      <c r="W3493" s="4"/>
      <c r="X3493" s="4"/>
      <c r="AJ3493" s="4"/>
    </row>
    <row r="3494" spans="1:36">
      <c r="A3494" t="str">
        <f t="shared" si="272"/>
        <v>Deve203493</v>
      </c>
      <c r="B3494">
        <v>3493</v>
      </c>
      <c r="C3494">
        <v>29</v>
      </c>
      <c r="D3494">
        <v>6</v>
      </c>
      <c r="E3494">
        <v>2024</v>
      </c>
      <c r="F3494" s="1">
        <f t="shared" si="273"/>
        <v>45472</v>
      </c>
      <c r="G3494" s="1" t="s">
        <v>643</v>
      </c>
      <c r="H3494" s="2">
        <v>47970</v>
      </c>
      <c r="I3494" t="s">
        <v>38</v>
      </c>
      <c r="J3494">
        <v>4</v>
      </c>
      <c r="K3494">
        <v>45947.12</v>
      </c>
      <c r="L3494" t="s">
        <v>705</v>
      </c>
      <c r="M3494">
        <v>20</v>
      </c>
      <c r="N3494" t="s">
        <v>36</v>
      </c>
      <c r="O3494" s="3" t="s">
        <v>22</v>
      </c>
      <c r="P3494" t="s">
        <v>114</v>
      </c>
      <c r="Q3494" t="s">
        <v>41</v>
      </c>
      <c r="R3494">
        <v>5</v>
      </c>
      <c r="S3494" t="s">
        <v>48</v>
      </c>
      <c r="T3494" s="4">
        <f t="shared" si="274"/>
        <v>183788.48</v>
      </c>
      <c r="U3494" s="4" t="str">
        <f t="shared" si="275"/>
        <v>Good</v>
      </c>
      <c r="V3494" s="4" t="str">
        <f t="shared" si="271"/>
        <v>Good</v>
      </c>
      <c r="W3494" s="4"/>
      <c r="X3494" s="4"/>
      <c r="AJ3494" s="4"/>
    </row>
    <row r="3495" spans="1:36">
      <c r="A3495" t="str">
        <f t="shared" si="272"/>
        <v>Suni273494</v>
      </c>
      <c r="B3495">
        <v>3494</v>
      </c>
      <c r="C3495">
        <v>30</v>
      </c>
      <c r="D3495">
        <v>6</v>
      </c>
      <c r="E3495">
        <v>2024</v>
      </c>
      <c r="F3495" s="1">
        <f t="shared" si="273"/>
        <v>45473</v>
      </c>
      <c r="G3495" s="1" t="s">
        <v>643</v>
      </c>
      <c r="H3495" s="2">
        <v>47971</v>
      </c>
      <c r="I3495" t="s">
        <v>49</v>
      </c>
      <c r="J3495">
        <v>8</v>
      </c>
      <c r="K3495">
        <v>69527.59</v>
      </c>
      <c r="L3495" t="s">
        <v>579</v>
      </c>
      <c r="M3495">
        <v>27</v>
      </c>
      <c r="N3495" t="s">
        <v>36</v>
      </c>
      <c r="O3495" s="3" t="s">
        <v>22</v>
      </c>
      <c r="P3495" t="s">
        <v>33</v>
      </c>
      <c r="Q3495" t="s">
        <v>56</v>
      </c>
      <c r="R3495">
        <v>5</v>
      </c>
      <c r="S3495" t="s">
        <v>88</v>
      </c>
      <c r="T3495" s="4">
        <f t="shared" si="274"/>
        <v>556220.72</v>
      </c>
      <c r="U3495" s="4" t="str">
        <f t="shared" si="275"/>
        <v>Good</v>
      </c>
      <c r="V3495" s="4" t="str">
        <f t="shared" si="271"/>
        <v>Excellent</v>
      </c>
      <c r="W3495" s="4"/>
      <c r="X3495" s="4"/>
      <c r="AJ3495" s="4"/>
    </row>
    <row r="3496" spans="1:36">
      <c r="A3496" t="str">
        <f t="shared" si="272"/>
        <v>Anit373495</v>
      </c>
      <c r="B3496">
        <v>3495</v>
      </c>
      <c r="C3496">
        <v>30</v>
      </c>
      <c r="D3496">
        <v>6</v>
      </c>
      <c r="E3496">
        <v>2024</v>
      </c>
      <c r="F3496" s="1">
        <f t="shared" si="273"/>
        <v>45473</v>
      </c>
      <c r="G3496" s="1" t="s">
        <v>643</v>
      </c>
      <c r="H3496" s="2">
        <v>47972</v>
      </c>
      <c r="I3496" t="s">
        <v>26</v>
      </c>
      <c r="J3496">
        <v>4</v>
      </c>
      <c r="K3496">
        <v>15376.82</v>
      </c>
      <c r="L3496" t="s">
        <v>587</v>
      </c>
      <c r="M3496">
        <v>37</v>
      </c>
      <c r="N3496" t="s">
        <v>21</v>
      </c>
      <c r="O3496" s="3" t="s">
        <v>22</v>
      </c>
      <c r="P3496" t="s">
        <v>137</v>
      </c>
      <c r="Q3496" t="s">
        <v>24</v>
      </c>
      <c r="R3496">
        <v>4</v>
      </c>
      <c r="S3496" t="s">
        <v>67</v>
      </c>
      <c r="T3496" s="4">
        <f t="shared" si="274"/>
        <v>61507.28</v>
      </c>
      <c r="U3496" s="4" t="str">
        <f t="shared" si="275"/>
        <v>Good</v>
      </c>
      <c r="V3496" s="4" t="str">
        <f t="shared" si="271"/>
        <v>Average</v>
      </c>
      <c r="W3496" s="4"/>
      <c r="X3496" s="4"/>
      <c r="AJ3496" s="4"/>
    </row>
    <row r="3497" spans="1:36">
      <c r="A3497" t="str">
        <f t="shared" si="272"/>
        <v>Sanj193496</v>
      </c>
      <c r="B3497">
        <v>3496</v>
      </c>
      <c r="C3497">
        <v>30</v>
      </c>
      <c r="D3497">
        <v>6</v>
      </c>
      <c r="E3497">
        <v>2024</v>
      </c>
      <c r="F3497" s="1">
        <f t="shared" si="273"/>
        <v>45473</v>
      </c>
      <c r="G3497" s="1" t="s">
        <v>643</v>
      </c>
      <c r="H3497" s="2">
        <v>47973</v>
      </c>
      <c r="I3497" t="s">
        <v>19</v>
      </c>
      <c r="J3497">
        <v>9</v>
      </c>
      <c r="K3497">
        <v>17593.73</v>
      </c>
      <c r="L3497" t="s">
        <v>808</v>
      </c>
      <c r="M3497">
        <v>19</v>
      </c>
      <c r="N3497" t="s">
        <v>36</v>
      </c>
      <c r="O3497" s="3" t="s">
        <v>22</v>
      </c>
      <c r="P3497" t="s">
        <v>29</v>
      </c>
      <c r="Q3497" t="s">
        <v>56</v>
      </c>
      <c r="R3497">
        <v>5</v>
      </c>
      <c r="S3497" t="s">
        <v>25</v>
      </c>
      <c r="T3497" s="4">
        <f t="shared" si="274"/>
        <v>158343.57</v>
      </c>
      <c r="U3497" s="4" t="str">
        <f t="shared" si="275"/>
        <v>Good</v>
      </c>
      <c r="V3497" s="4" t="str">
        <f t="shared" si="271"/>
        <v>Good</v>
      </c>
      <c r="W3497" s="4"/>
      <c r="X3497" s="4"/>
      <c r="AJ3497" s="4"/>
    </row>
    <row r="3498" spans="1:36">
      <c r="A3498" t="str">
        <f t="shared" si="272"/>
        <v>Neet443497</v>
      </c>
      <c r="B3498">
        <v>3497</v>
      </c>
      <c r="C3498">
        <v>1</v>
      </c>
      <c r="D3498">
        <v>7</v>
      </c>
      <c r="E3498">
        <v>2024</v>
      </c>
      <c r="F3498" s="1">
        <f t="shared" si="273"/>
        <v>45474</v>
      </c>
      <c r="G3498" s="1" t="s">
        <v>683</v>
      </c>
      <c r="H3498" s="2">
        <v>47974</v>
      </c>
      <c r="I3498" t="s">
        <v>49</v>
      </c>
      <c r="J3498">
        <v>9</v>
      </c>
      <c r="K3498">
        <v>59598.51</v>
      </c>
      <c r="L3498" t="s">
        <v>525</v>
      </c>
      <c r="M3498">
        <v>44</v>
      </c>
      <c r="N3498" t="s">
        <v>21</v>
      </c>
      <c r="O3498" s="3" t="s">
        <v>22</v>
      </c>
      <c r="P3498" t="s">
        <v>40</v>
      </c>
      <c r="Q3498" t="s">
        <v>24</v>
      </c>
      <c r="R3498">
        <v>4</v>
      </c>
      <c r="S3498" t="s">
        <v>102</v>
      </c>
      <c r="T3498" s="4">
        <f t="shared" si="274"/>
        <v>536386.59</v>
      </c>
      <c r="U3498" s="4" t="str">
        <f t="shared" si="275"/>
        <v>Good</v>
      </c>
      <c r="V3498" s="4" t="str">
        <f t="shared" si="271"/>
        <v>Excellent</v>
      </c>
      <c r="W3498" s="4"/>
      <c r="X3498" s="4"/>
      <c r="AJ3498" s="4"/>
    </row>
    <row r="3499" spans="1:36">
      <c r="A3499" t="str">
        <f t="shared" si="272"/>
        <v>Isha493498</v>
      </c>
      <c r="B3499">
        <v>3498</v>
      </c>
      <c r="C3499">
        <v>1</v>
      </c>
      <c r="D3499">
        <v>7</v>
      </c>
      <c r="E3499">
        <v>2024</v>
      </c>
      <c r="F3499" s="1">
        <f t="shared" si="273"/>
        <v>45474</v>
      </c>
      <c r="G3499" s="1" t="s">
        <v>683</v>
      </c>
      <c r="H3499" s="2">
        <v>47975</v>
      </c>
      <c r="I3499" t="s">
        <v>26</v>
      </c>
      <c r="J3499">
        <v>6</v>
      </c>
      <c r="K3499">
        <v>61885.35</v>
      </c>
      <c r="L3499" t="s">
        <v>948</v>
      </c>
      <c r="M3499">
        <v>49</v>
      </c>
      <c r="N3499" t="s">
        <v>61</v>
      </c>
      <c r="O3499" s="3" t="s">
        <v>22</v>
      </c>
      <c r="P3499" t="s">
        <v>29</v>
      </c>
      <c r="Q3499" t="s">
        <v>41</v>
      </c>
      <c r="R3499">
        <v>4</v>
      </c>
      <c r="S3499" t="s">
        <v>34</v>
      </c>
      <c r="T3499" s="4">
        <f t="shared" si="274"/>
        <v>371312.1</v>
      </c>
      <c r="U3499" s="4" t="str">
        <f t="shared" si="275"/>
        <v>Good</v>
      </c>
      <c r="V3499" s="4" t="str">
        <f t="shared" si="271"/>
        <v>Excellent</v>
      </c>
      <c r="W3499" s="4"/>
      <c r="X3499" s="4"/>
      <c r="AJ3499" s="4"/>
    </row>
    <row r="3500" spans="1:36">
      <c r="A3500" t="str">
        <f t="shared" si="272"/>
        <v>Roha273499</v>
      </c>
      <c r="B3500">
        <v>3499</v>
      </c>
      <c r="C3500">
        <v>1</v>
      </c>
      <c r="D3500">
        <v>7</v>
      </c>
      <c r="E3500">
        <v>2024</v>
      </c>
      <c r="F3500" s="1">
        <f t="shared" si="273"/>
        <v>45474</v>
      </c>
      <c r="G3500" s="1" t="s">
        <v>683</v>
      </c>
      <c r="H3500" s="2">
        <v>47976</v>
      </c>
      <c r="I3500" t="s">
        <v>26</v>
      </c>
      <c r="J3500">
        <v>2</v>
      </c>
      <c r="K3500">
        <v>36727.519999999997</v>
      </c>
      <c r="L3500" t="s">
        <v>659</v>
      </c>
      <c r="M3500">
        <v>27</v>
      </c>
      <c r="N3500" t="s">
        <v>36</v>
      </c>
      <c r="O3500" s="3" t="s">
        <v>55</v>
      </c>
      <c r="P3500" t="s">
        <v>64</v>
      </c>
      <c r="Q3500" t="s">
        <v>56</v>
      </c>
      <c r="R3500">
        <v>2</v>
      </c>
      <c r="S3500" t="s">
        <v>31</v>
      </c>
      <c r="T3500" s="4">
        <f t="shared" si="274"/>
        <v>73455.039999999994</v>
      </c>
      <c r="U3500" s="4" t="str">
        <f t="shared" si="275"/>
        <v>Average</v>
      </c>
      <c r="V3500" s="4" t="str">
        <f t="shared" si="271"/>
        <v>Average</v>
      </c>
      <c r="W3500" s="4"/>
      <c r="X3500" s="4"/>
      <c r="AJ3500" s="4"/>
    </row>
    <row r="3501" spans="1:36">
      <c r="A3501" t="str">
        <f t="shared" si="272"/>
        <v>Umes573500</v>
      </c>
      <c r="B3501">
        <v>3500</v>
      </c>
      <c r="C3501">
        <v>2</v>
      </c>
      <c r="D3501">
        <v>7</v>
      </c>
      <c r="E3501">
        <v>2024</v>
      </c>
      <c r="F3501" s="1">
        <f t="shared" si="273"/>
        <v>45475</v>
      </c>
      <c r="G3501" s="1" t="s">
        <v>683</v>
      </c>
      <c r="H3501" s="2">
        <v>47977</v>
      </c>
      <c r="I3501" t="s">
        <v>26</v>
      </c>
      <c r="J3501">
        <v>7</v>
      </c>
      <c r="K3501">
        <v>52844.27</v>
      </c>
      <c r="L3501" t="s">
        <v>1038</v>
      </c>
      <c r="M3501">
        <v>57</v>
      </c>
      <c r="N3501" t="s">
        <v>61</v>
      </c>
      <c r="O3501" s="3" t="s">
        <v>28</v>
      </c>
      <c r="P3501" t="s">
        <v>23</v>
      </c>
      <c r="Q3501" t="s">
        <v>24</v>
      </c>
      <c r="R3501">
        <v>3</v>
      </c>
      <c r="S3501" t="s">
        <v>31</v>
      </c>
      <c r="T3501" s="4">
        <f t="shared" si="274"/>
        <v>369909.88999999996</v>
      </c>
      <c r="U3501" s="4" t="str">
        <f t="shared" si="275"/>
        <v>Average</v>
      </c>
      <c r="V3501" s="4" t="str">
        <f t="shared" si="271"/>
        <v>Excellent</v>
      </c>
      <c r="W3501" s="4"/>
      <c r="X3501" s="4"/>
      <c r="AJ3501" s="4"/>
    </row>
    <row r="3502" spans="1:36">
      <c r="A3502" t="str">
        <f t="shared" si="272"/>
        <v>Isha343501</v>
      </c>
      <c r="B3502">
        <v>3501</v>
      </c>
      <c r="C3502">
        <v>2</v>
      </c>
      <c r="D3502">
        <v>7</v>
      </c>
      <c r="E3502">
        <v>2024</v>
      </c>
      <c r="F3502" s="1">
        <f t="shared" si="273"/>
        <v>45475</v>
      </c>
      <c r="G3502" s="1" t="s">
        <v>683</v>
      </c>
      <c r="H3502" s="2">
        <v>47978</v>
      </c>
      <c r="I3502" t="s">
        <v>26</v>
      </c>
      <c r="J3502">
        <v>9</v>
      </c>
      <c r="K3502">
        <v>62053.440000000002</v>
      </c>
      <c r="L3502" t="s">
        <v>82</v>
      </c>
      <c r="M3502">
        <v>34</v>
      </c>
      <c r="N3502" t="s">
        <v>21</v>
      </c>
      <c r="O3502" s="3" t="s">
        <v>28</v>
      </c>
      <c r="P3502" t="s">
        <v>29</v>
      </c>
      <c r="Q3502" t="s">
        <v>56</v>
      </c>
      <c r="R3502">
        <v>3</v>
      </c>
      <c r="S3502" t="s">
        <v>67</v>
      </c>
      <c r="T3502" s="4">
        <f t="shared" si="274"/>
        <v>558480.96</v>
      </c>
      <c r="U3502" s="4" t="str">
        <f t="shared" si="275"/>
        <v>Average</v>
      </c>
      <c r="V3502" s="4" t="str">
        <f t="shared" si="271"/>
        <v>Excellent</v>
      </c>
      <c r="W3502" s="4"/>
      <c r="X3502" s="4"/>
      <c r="AJ3502" s="4"/>
    </row>
    <row r="3503" spans="1:36">
      <c r="A3503" t="str">
        <f t="shared" si="272"/>
        <v>Priy503502</v>
      </c>
      <c r="B3503">
        <v>3502</v>
      </c>
      <c r="C3503">
        <v>2</v>
      </c>
      <c r="D3503">
        <v>7</v>
      </c>
      <c r="E3503">
        <v>2024</v>
      </c>
      <c r="F3503" s="1">
        <f t="shared" si="273"/>
        <v>45475</v>
      </c>
      <c r="G3503" s="1" t="s">
        <v>683</v>
      </c>
      <c r="H3503" s="2">
        <v>47979</v>
      </c>
      <c r="I3503" t="s">
        <v>38</v>
      </c>
      <c r="J3503">
        <v>6</v>
      </c>
      <c r="K3503">
        <v>12587.67</v>
      </c>
      <c r="L3503" t="s">
        <v>1061</v>
      </c>
      <c r="M3503">
        <v>50</v>
      </c>
      <c r="N3503" t="s">
        <v>61</v>
      </c>
      <c r="O3503" s="3" t="s">
        <v>28</v>
      </c>
      <c r="P3503" t="s">
        <v>29</v>
      </c>
      <c r="Q3503" t="s">
        <v>41</v>
      </c>
      <c r="R3503">
        <v>3</v>
      </c>
      <c r="S3503" t="s">
        <v>99</v>
      </c>
      <c r="T3503" s="4">
        <f t="shared" si="274"/>
        <v>75526.02</v>
      </c>
      <c r="U3503" s="4" t="str">
        <f t="shared" si="275"/>
        <v>Average</v>
      </c>
      <c r="V3503" s="4" t="str">
        <f t="shared" si="271"/>
        <v>Average</v>
      </c>
      <c r="W3503" s="4"/>
      <c r="X3503" s="4"/>
      <c r="AJ3503" s="4"/>
    </row>
    <row r="3504" spans="1:36">
      <c r="A3504" t="str">
        <f t="shared" si="272"/>
        <v>Moni233503</v>
      </c>
      <c r="B3504">
        <v>3503</v>
      </c>
      <c r="C3504">
        <v>2</v>
      </c>
      <c r="D3504">
        <v>7</v>
      </c>
      <c r="E3504">
        <v>2024</v>
      </c>
      <c r="F3504" s="1">
        <f t="shared" si="273"/>
        <v>45475</v>
      </c>
      <c r="G3504" s="1" t="s">
        <v>683</v>
      </c>
      <c r="H3504" s="2">
        <v>47980</v>
      </c>
      <c r="I3504" t="s">
        <v>26</v>
      </c>
      <c r="J3504">
        <v>3</v>
      </c>
      <c r="K3504">
        <v>44437.03</v>
      </c>
      <c r="L3504" t="s">
        <v>688</v>
      </c>
      <c r="M3504">
        <v>23</v>
      </c>
      <c r="N3504" t="s">
        <v>36</v>
      </c>
      <c r="O3504" s="3" t="s">
        <v>22</v>
      </c>
      <c r="P3504" t="s">
        <v>64</v>
      </c>
      <c r="Q3504" t="s">
        <v>56</v>
      </c>
      <c r="R3504">
        <v>5</v>
      </c>
      <c r="S3504" t="s">
        <v>31</v>
      </c>
      <c r="T3504" s="4">
        <f t="shared" si="274"/>
        <v>133311.09</v>
      </c>
      <c r="U3504" s="4" t="str">
        <f t="shared" si="275"/>
        <v>Good</v>
      </c>
      <c r="V3504" s="4" t="str">
        <f t="shared" si="271"/>
        <v>Good</v>
      </c>
      <c r="W3504" s="4"/>
      <c r="X3504" s="4"/>
      <c r="AJ3504" s="4"/>
    </row>
    <row r="3505" spans="1:36">
      <c r="A3505" t="str">
        <f t="shared" si="272"/>
        <v>Reen563504</v>
      </c>
      <c r="B3505">
        <v>3504</v>
      </c>
      <c r="C3505">
        <v>3</v>
      </c>
      <c r="D3505">
        <v>7</v>
      </c>
      <c r="E3505">
        <v>2024</v>
      </c>
      <c r="F3505" s="1">
        <f t="shared" si="273"/>
        <v>45476</v>
      </c>
      <c r="G3505" s="1" t="s">
        <v>683</v>
      </c>
      <c r="H3505" s="2">
        <v>47981</v>
      </c>
      <c r="I3505" t="s">
        <v>38</v>
      </c>
      <c r="J3505">
        <v>7</v>
      </c>
      <c r="K3505">
        <v>61208.84</v>
      </c>
      <c r="L3505" t="s">
        <v>342</v>
      </c>
      <c r="M3505">
        <v>56</v>
      </c>
      <c r="N3505" t="s">
        <v>61</v>
      </c>
      <c r="O3505" s="3" t="s">
        <v>28</v>
      </c>
      <c r="P3505" t="s">
        <v>33</v>
      </c>
      <c r="Q3505" t="s">
        <v>41</v>
      </c>
      <c r="R3505">
        <v>3</v>
      </c>
      <c r="S3505" t="s">
        <v>42</v>
      </c>
      <c r="T3505" s="4">
        <f t="shared" si="274"/>
        <v>428461.88</v>
      </c>
      <c r="U3505" s="4" t="str">
        <f t="shared" si="275"/>
        <v>Average</v>
      </c>
      <c r="V3505" s="4" t="str">
        <f t="shared" si="271"/>
        <v>Excellent</v>
      </c>
      <c r="W3505" s="4"/>
      <c r="X3505" s="4"/>
      <c r="AJ3505" s="4"/>
    </row>
    <row r="3506" spans="1:36">
      <c r="A3506" t="str">
        <f t="shared" si="272"/>
        <v>Kris353505</v>
      </c>
      <c r="B3506">
        <v>3505</v>
      </c>
      <c r="C3506">
        <v>3</v>
      </c>
      <c r="D3506">
        <v>7</v>
      </c>
      <c r="E3506">
        <v>2024</v>
      </c>
      <c r="F3506" s="1">
        <f t="shared" si="273"/>
        <v>45476</v>
      </c>
      <c r="G3506" s="1" t="s">
        <v>683</v>
      </c>
      <c r="H3506" s="2">
        <v>47982</v>
      </c>
      <c r="I3506" t="s">
        <v>38</v>
      </c>
      <c r="J3506">
        <v>5</v>
      </c>
      <c r="K3506">
        <v>33889.300000000003</v>
      </c>
      <c r="L3506" t="s">
        <v>717</v>
      </c>
      <c r="M3506">
        <v>35</v>
      </c>
      <c r="N3506" t="s">
        <v>21</v>
      </c>
      <c r="O3506" s="3" t="s">
        <v>22</v>
      </c>
      <c r="P3506" t="s">
        <v>150</v>
      </c>
      <c r="Q3506" t="s">
        <v>41</v>
      </c>
      <c r="R3506">
        <v>5</v>
      </c>
      <c r="S3506" t="s">
        <v>42</v>
      </c>
      <c r="T3506" s="4">
        <f t="shared" si="274"/>
        <v>169446.5</v>
      </c>
      <c r="U3506" s="4" t="str">
        <f t="shared" si="275"/>
        <v>Good</v>
      </c>
      <c r="V3506" s="4" t="str">
        <f t="shared" si="271"/>
        <v>Good</v>
      </c>
      <c r="W3506" s="4"/>
      <c r="X3506" s="4"/>
      <c r="AJ3506" s="4"/>
    </row>
    <row r="3507" spans="1:36">
      <c r="A3507" t="str">
        <f t="shared" si="272"/>
        <v>Roha263506</v>
      </c>
      <c r="B3507">
        <v>3506</v>
      </c>
      <c r="C3507">
        <v>3</v>
      </c>
      <c r="D3507">
        <v>7</v>
      </c>
      <c r="E3507">
        <v>2024</v>
      </c>
      <c r="F3507" s="1">
        <f t="shared" si="273"/>
        <v>45476</v>
      </c>
      <c r="G3507" s="1" t="s">
        <v>683</v>
      </c>
      <c r="H3507" s="2">
        <v>47983</v>
      </c>
      <c r="I3507" t="s">
        <v>26</v>
      </c>
      <c r="J3507">
        <v>1</v>
      </c>
      <c r="K3507">
        <v>28143.02</v>
      </c>
      <c r="L3507" t="s">
        <v>620</v>
      </c>
      <c r="M3507">
        <v>26</v>
      </c>
      <c r="N3507" t="s">
        <v>36</v>
      </c>
      <c r="O3507" s="3" t="s">
        <v>22</v>
      </c>
      <c r="P3507" t="s">
        <v>29</v>
      </c>
      <c r="Q3507" t="s">
        <v>41</v>
      </c>
      <c r="R3507">
        <v>5</v>
      </c>
      <c r="S3507" t="s">
        <v>67</v>
      </c>
      <c r="T3507" s="4">
        <f t="shared" si="274"/>
        <v>28143.02</v>
      </c>
      <c r="U3507" s="4" t="str">
        <f t="shared" si="275"/>
        <v>Good</v>
      </c>
      <c r="V3507" s="4" t="str">
        <f t="shared" si="271"/>
        <v>Low</v>
      </c>
      <c r="W3507" s="4"/>
      <c r="X3507" s="4"/>
      <c r="AJ3507" s="4"/>
    </row>
    <row r="3508" spans="1:36">
      <c r="A3508" t="str">
        <f t="shared" si="272"/>
        <v>Navi253507</v>
      </c>
      <c r="B3508">
        <v>3507</v>
      </c>
      <c r="C3508">
        <v>3</v>
      </c>
      <c r="D3508">
        <v>7</v>
      </c>
      <c r="E3508">
        <v>2024</v>
      </c>
      <c r="F3508" s="1">
        <f t="shared" si="273"/>
        <v>45476</v>
      </c>
      <c r="G3508" s="1" t="s">
        <v>683</v>
      </c>
      <c r="H3508" s="2">
        <v>47984</v>
      </c>
      <c r="I3508" t="s">
        <v>19</v>
      </c>
      <c r="J3508">
        <v>3</v>
      </c>
      <c r="K3508">
        <v>57742.400000000001</v>
      </c>
      <c r="L3508" t="s">
        <v>1023</v>
      </c>
      <c r="M3508">
        <v>25</v>
      </c>
      <c r="N3508" t="s">
        <v>36</v>
      </c>
      <c r="O3508" s="3" t="s">
        <v>22</v>
      </c>
      <c r="P3508" t="s">
        <v>70</v>
      </c>
      <c r="Q3508" t="s">
        <v>24</v>
      </c>
      <c r="R3508">
        <v>5</v>
      </c>
      <c r="S3508" t="s">
        <v>25</v>
      </c>
      <c r="T3508" s="4">
        <f t="shared" si="274"/>
        <v>173227.2</v>
      </c>
      <c r="U3508" s="4" t="str">
        <f t="shared" si="275"/>
        <v>Good</v>
      </c>
      <c r="V3508" s="4" t="str">
        <f t="shared" si="271"/>
        <v>Good</v>
      </c>
      <c r="W3508" s="4"/>
      <c r="X3508" s="4"/>
      <c r="AJ3508" s="4"/>
    </row>
    <row r="3509" spans="1:36">
      <c r="A3509" t="str">
        <f t="shared" si="272"/>
        <v>Arun423508</v>
      </c>
      <c r="B3509">
        <v>3508</v>
      </c>
      <c r="C3509">
        <v>4</v>
      </c>
      <c r="D3509">
        <v>7</v>
      </c>
      <c r="E3509">
        <v>2024</v>
      </c>
      <c r="F3509" s="1">
        <f t="shared" si="273"/>
        <v>45477</v>
      </c>
      <c r="G3509" s="1" t="s">
        <v>683</v>
      </c>
      <c r="H3509" s="2">
        <v>47985</v>
      </c>
      <c r="I3509" t="s">
        <v>26</v>
      </c>
      <c r="J3509">
        <v>5</v>
      </c>
      <c r="K3509">
        <v>30147.200000000001</v>
      </c>
      <c r="L3509" t="s">
        <v>1062</v>
      </c>
      <c r="M3509">
        <v>42</v>
      </c>
      <c r="N3509" t="s">
        <v>21</v>
      </c>
      <c r="O3509" s="3" t="s">
        <v>22</v>
      </c>
      <c r="P3509" t="s">
        <v>90</v>
      </c>
      <c r="Q3509" t="s">
        <v>24</v>
      </c>
      <c r="R3509">
        <v>4</v>
      </c>
      <c r="S3509" t="s">
        <v>34</v>
      </c>
      <c r="T3509" s="4">
        <f t="shared" si="274"/>
        <v>150736</v>
      </c>
      <c r="U3509" s="4" t="str">
        <f t="shared" si="275"/>
        <v>Good</v>
      </c>
      <c r="V3509" s="4" t="str">
        <f t="shared" si="271"/>
        <v>Good</v>
      </c>
      <c r="W3509" s="4"/>
      <c r="X3509" s="4"/>
      <c r="AJ3509" s="4"/>
    </row>
    <row r="3510" spans="1:36">
      <c r="A3510" t="str">
        <f t="shared" si="272"/>
        <v>Sach483509</v>
      </c>
      <c r="B3510">
        <v>3509</v>
      </c>
      <c r="C3510">
        <v>4</v>
      </c>
      <c r="D3510">
        <v>7</v>
      </c>
      <c r="E3510">
        <v>2024</v>
      </c>
      <c r="F3510" s="1">
        <f t="shared" si="273"/>
        <v>45477</v>
      </c>
      <c r="G3510" s="1" t="s">
        <v>683</v>
      </c>
      <c r="H3510" s="2">
        <v>47986</v>
      </c>
      <c r="I3510" t="s">
        <v>26</v>
      </c>
      <c r="J3510">
        <v>7</v>
      </c>
      <c r="K3510">
        <v>10190.459999999999</v>
      </c>
      <c r="L3510" t="s">
        <v>536</v>
      </c>
      <c r="M3510">
        <v>48</v>
      </c>
      <c r="N3510" t="s">
        <v>61</v>
      </c>
      <c r="O3510" s="3" t="s">
        <v>55</v>
      </c>
      <c r="P3510" t="s">
        <v>132</v>
      </c>
      <c r="Q3510" t="s">
        <v>30</v>
      </c>
      <c r="R3510">
        <v>2</v>
      </c>
      <c r="S3510" t="s">
        <v>34</v>
      </c>
      <c r="T3510" s="4">
        <f t="shared" si="274"/>
        <v>71333.22</v>
      </c>
      <c r="U3510" s="4" t="str">
        <f t="shared" si="275"/>
        <v>Average</v>
      </c>
      <c r="V3510" s="4" t="str">
        <f t="shared" si="271"/>
        <v>Average</v>
      </c>
      <c r="W3510" s="4"/>
      <c r="X3510" s="4"/>
      <c r="AJ3510" s="4"/>
    </row>
    <row r="3511" spans="1:36">
      <c r="A3511" t="str">
        <f t="shared" si="272"/>
        <v>Roha593510</v>
      </c>
      <c r="B3511">
        <v>3510</v>
      </c>
      <c r="C3511">
        <v>4</v>
      </c>
      <c r="D3511">
        <v>7</v>
      </c>
      <c r="E3511">
        <v>2024</v>
      </c>
      <c r="F3511" s="1">
        <f t="shared" si="273"/>
        <v>45477</v>
      </c>
      <c r="G3511" s="1" t="s">
        <v>683</v>
      </c>
      <c r="H3511" s="2">
        <v>47987</v>
      </c>
      <c r="I3511" t="s">
        <v>26</v>
      </c>
      <c r="J3511">
        <v>3</v>
      </c>
      <c r="K3511">
        <v>67574.36</v>
      </c>
      <c r="L3511" t="s">
        <v>1063</v>
      </c>
      <c r="M3511">
        <v>59</v>
      </c>
      <c r="N3511" t="s">
        <v>61</v>
      </c>
      <c r="O3511" s="3" t="s">
        <v>55</v>
      </c>
      <c r="P3511" t="s">
        <v>23</v>
      </c>
      <c r="Q3511" t="s">
        <v>24</v>
      </c>
      <c r="R3511">
        <v>2</v>
      </c>
      <c r="S3511" t="s">
        <v>34</v>
      </c>
      <c r="T3511" s="4">
        <f t="shared" si="274"/>
        <v>202723.08000000002</v>
      </c>
      <c r="U3511" s="4" t="str">
        <f t="shared" si="275"/>
        <v>Average</v>
      </c>
      <c r="V3511" s="4" t="str">
        <f t="shared" si="271"/>
        <v>Excellent</v>
      </c>
      <c r="W3511" s="4"/>
      <c r="X3511" s="4"/>
      <c r="AJ3511" s="4"/>
    </row>
    <row r="3512" spans="1:36">
      <c r="A3512" t="str">
        <f t="shared" si="272"/>
        <v>Pooj213511</v>
      </c>
      <c r="B3512">
        <v>3511</v>
      </c>
      <c r="C3512">
        <v>5</v>
      </c>
      <c r="D3512">
        <v>7</v>
      </c>
      <c r="E3512">
        <v>2024</v>
      </c>
      <c r="F3512" s="1">
        <f t="shared" si="273"/>
        <v>45478</v>
      </c>
      <c r="G3512" s="1" t="s">
        <v>683</v>
      </c>
      <c r="H3512" s="2">
        <v>47988</v>
      </c>
      <c r="I3512" t="s">
        <v>19</v>
      </c>
      <c r="J3512">
        <v>6</v>
      </c>
      <c r="K3512">
        <v>45527.39</v>
      </c>
      <c r="L3512" t="s">
        <v>108</v>
      </c>
      <c r="M3512">
        <v>21</v>
      </c>
      <c r="N3512" t="s">
        <v>36</v>
      </c>
      <c r="O3512" s="3" t="s">
        <v>22</v>
      </c>
      <c r="P3512" t="s">
        <v>66</v>
      </c>
      <c r="Q3512" t="s">
        <v>30</v>
      </c>
      <c r="R3512">
        <v>4</v>
      </c>
      <c r="S3512" t="s">
        <v>37</v>
      </c>
      <c r="T3512" s="4">
        <f t="shared" si="274"/>
        <v>273164.33999999997</v>
      </c>
      <c r="U3512" s="4" t="str">
        <f t="shared" si="275"/>
        <v>Good</v>
      </c>
      <c r="V3512" s="4" t="str">
        <f t="shared" si="271"/>
        <v>Excellent</v>
      </c>
      <c r="W3512" s="4"/>
      <c r="X3512" s="4"/>
      <c r="AJ3512" s="4"/>
    </row>
    <row r="3513" spans="1:36">
      <c r="A3513" t="str">
        <f t="shared" si="272"/>
        <v>Lata373512</v>
      </c>
      <c r="B3513">
        <v>3512</v>
      </c>
      <c r="C3513">
        <v>5</v>
      </c>
      <c r="D3513">
        <v>7</v>
      </c>
      <c r="E3513">
        <v>2024</v>
      </c>
      <c r="F3513" s="1">
        <f t="shared" si="273"/>
        <v>45478</v>
      </c>
      <c r="G3513" s="1" t="s">
        <v>683</v>
      </c>
      <c r="H3513" s="2">
        <v>47989</v>
      </c>
      <c r="I3513" t="s">
        <v>43</v>
      </c>
      <c r="J3513">
        <v>5</v>
      </c>
      <c r="K3513">
        <v>59171.08</v>
      </c>
      <c r="L3513" t="s">
        <v>127</v>
      </c>
      <c r="M3513">
        <v>37</v>
      </c>
      <c r="N3513" t="s">
        <v>21</v>
      </c>
      <c r="O3513" s="3" t="s">
        <v>22</v>
      </c>
      <c r="P3513" t="s">
        <v>90</v>
      </c>
      <c r="Q3513" t="s">
        <v>56</v>
      </c>
      <c r="R3513">
        <v>5</v>
      </c>
      <c r="S3513" t="s">
        <v>57</v>
      </c>
      <c r="T3513" s="4">
        <f t="shared" si="274"/>
        <v>295855.40000000002</v>
      </c>
      <c r="U3513" s="4" t="str">
        <f t="shared" si="275"/>
        <v>Good</v>
      </c>
      <c r="V3513" s="4" t="str">
        <f t="shared" si="271"/>
        <v>Excellent</v>
      </c>
      <c r="W3513" s="4"/>
      <c r="X3513" s="4"/>
      <c r="AJ3513" s="4"/>
    </row>
    <row r="3514" spans="1:36">
      <c r="A3514" t="str">
        <f t="shared" si="272"/>
        <v>Nikh453513</v>
      </c>
      <c r="B3514">
        <v>3513</v>
      </c>
      <c r="C3514">
        <v>5</v>
      </c>
      <c r="D3514">
        <v>7</v>
      </c>
      <c r="E3514">
        <v>2024</v>
      </c>
      <c r="F3514" s="1">
        <f t="shared" si="273"/>
        <v>45478</v>
      </c>
      <c r="G3514" s="1" t="s">
        <v>683</v>
      </c>
      <c r="H3514" s="2">
        <v>47990</v>
      </c>
      <c r="I3514" t="s">
        <v>43</v>
      </c>
      <c r="J3514">
        <v>1</v>
      </c>
      <c r="K3514">
        <v>59518.09</v>
      </c>
      <c r="L3514" t="s">
        <v>928</v>
      </c>
      <c r="M3514">
        <v>45</v>
      </c>
      <c r="N3514" t="s">
        <v>21</v>
      </c>
      <c r="O3514" s="3" t="s">
        <v>55</v>
      </c>
      <c r="P3514" t="s">
        <v>93</v>
      </c>
      <c r="Q3514" t="s">
        <v>41</v>
      </c>
      <c r="R3514">
        <v>2</v>
      </c>
      <c r="S3514" t="s">
        <v>95</v>
      </c>
      <c r="T3514" s="4">
        <f t="shared" si="274"/>
        <v>59518.09</v>
      </c>
      <c r="U3514" s="4" t="str">
        <f t="shared" si="275"/>
        <v>Average</v>
      </c>
      <c r="V3514" s="4" t="str">
        <f t="shared" si="271"/>
        <v>Average</v>
      </c>
      <c r="W3514" s="4"/>
      <c r="X3514" s="4"/>
      <c r="AJ3514" s="4"/>
    </row>
    <row r="3515" spans="1:36">
      <c r="A3515" t="str">
        <f t="shared" si="272"/>
        <v>Raje573514</v>
      </c>
      <c r="B3515">
        <v>3514</v>
      </c>
      <c r="C3515">
        <v>5</v>
      </c>
      <c r="D3515">
        <v>7</v>
      </c>
      <c r="E3515">
        <v>2024</v>
      </c>
      <c r="F3515" s="1">
        <f t="shared" si="273"/>
        <v>45478</v>
      </c>
      <c r="G3515" s="1" t="s">
        <v>683</v>
      </c>
      <c r="H3515" s="2">
        <v>47991</v>
      </c>
      <c r="I3515" t="s">
        <v>38</v>
      </c>
      <c r="J3515">
        <v>6</v>
      </c>
      <c r="K3515">
        <v>13984.63</v>
      </c>
      <c r="L3515" t="s">
        <v>520</v>
      </c>
      <c r="M3515">
        <v>57</v>
      </c>
      <c r="N3515" t="s">
        <v>61</v>
      </c>
      <c r="O3515" s="3" t="s">
        <v>22</v>
      </c>
      <c r="P3515" t="s">
        <v>132</v>
      </c>
      <c r="Q3515" t="s">
        <v>24</v>
      </c>
      <c r="R3515">
        <v>4</v>
      </c>
      <c r="S3515" t="s">
        <v>48</v>
      </c>
      <c r="T3515" s="4">
        <f t="shared" si="274"/>
        <v>83907.78</v>
      </c>
      <c r="U3515" s="4" t="str">
        <f t="shared" si="275"/>
        <v>Good</v>
      </c>
      <c r="V3515" s="4" t="str">
        <f t="shared" si="271"/>
        <v>Average</v>
      </c>
      <c r="W3515" s="4"/>
      <c r="X3515" s="4"/>
      <c r="AJ3515" s="4"/>
    </row>
    <row r="3516" spans="1:36">
      <c r="A3516" t="str">
        <f t="shared" si="272"/>
        <v>Raje183515</v>
      </c>
      <c r="B3516">
        <v>3515</v>
      </c>
      <c r="C3516">
        <v>6</v>
      </c>
      <c r="D3516">
        <v>7</v>
      </c>
      <c r="E3516">
        <v>2024</v>
      </c>
      <c r="F3516" s="1">
        <f t="shared" si="273"/>
        <v>45479</v>
      </c>
      <c r="G3516" s="1" t="s">
        <v>683</v>
      </c>
      <c r="H3516" s="2">
        <v>47992</v>
      </c>
      <c r="I3516" t="s">
        <v>38</v>
      </c>
      <c r="J3516">
        <v>8</v>
      </c>
      <c r="K3516">
        <v>20251.61</v>
      </c>
      <c r="L3516" t="s">
        <v>848</v>
      </c>
      <c r="M3516">
        <v>18</v>
      </c>
      <c r="N3516" t="s">
        <v>36</v>
      </c>
      <c r="O3516" s="3" t="s">
        <v>55</v>
      </c>
      <c r="P3516" t="s">
        <v>64</v>
      </c>
      <c r="Q3516" t="s">
        <v>41</v>
      </c>
      <c r="R3516">
        <v>2</v>
      </c>
      <c r="S3516" t="s">
        <v>42</v>
      </c>
      <c r="T3516" s="4">
        <f t="shared" si="274"/>
        <v>162012.88</v>
      </c>
      <c r="U3516" s="4" t="str">
        <f t="shared" si="275"/>
        <v>Average</v>
      </c>
      <c r="V3516" s="4" t="str">
        <f t="shared" si="271"/>
        <v>Good</v>
      </c>
      <c r="W3516" s="4"/>
      <c r="X3516" s="4"/>
      <c r="AJ3516" s="4"/>
    </row>
    <row r="3517" spans="1:36">
      <c r="A3517" t="str">
        <f t="shared" si="272"/>
        <v>Anit573516</v>
      </c>
      <c r="B3517">
        <v>3516</v>
      </c>
      <c r="C3517">
        <v>6</v>
      </c>
      <c r="D3517">
        <v>7</v>
      </c>
      <c r="E3517">
        <v>2024</v>
      </c>
      <c r="F3517" s="1">
        <f t="shared" si="273"/>
        <v>45479</v>
      </c>
      <c r="G3517" s="1" t="s">
        <v>683</v>
      </c>
      <c r="H3517" s="2">
        <v>47993</v>
      </c>
      <c r="I3517" t="s">
        <v>19</v>
      </c>
      <c r="J3517">
        <v>1</v>
      </c>
      <c r="K3517">
        <v>28667.24</v>
      </c>
      <c r="L3517" t="s">
        <v>662</v>
      </c>
      <c r="M3517">
        <v>57</v>
      </c>
      <c r="N3517" t="s">
        <v>61</v>
      </c>
      <c r="O3517" s="3" t="s">
        <v>22</v>
      </c>
      <c r="P3517" t="s">
        <v>110</v>
      </c>
      <c r="Q3517" t="s">
        <v>30</v>
      </c>
      <c r="R3517">
        <v>5</v>
      </c>
      <c r="S3517" t="s">
        <v>84</v>
      </c>
      <c r="T3517" s="4">
        <f t="shared" si="274"/>
        <v>28667.24</v>
      </c>
      <c r="U3517" s="4" t="str">
        <f t="shared" si="275"/>
        <v>Good</v>
      </c>
      <c r="V3517" s="4" t="str">
        <f t="shared" si="271"/>
        <v>Low</v>
      </c>
      <c r="W3517" s="4"/>
      <c r="X3517" s="4"/>
      <c r="AJ3517" s="4"/>
    </row>
    <row r="3518" spans="1:36">
      <c r="A3518" t="str">
        <f t="shared" si="272"/>
        <v>Jyot403517</v>
      </c>
      <c r="B3518">
        <v>3517</v>
      </c>
      <c r="C3518">
        <v>6</v>
      </c>
      <c r="D3518">
        <v>7</v>
      </c>
      <c r="E3518">
        <v>2024</v>
      </c>
      <c r="F3518" s="1">
        <f t="shared" si="273"/>
        <v>45479</v>
      </c>
      <c r="G3518" s="1" t="s">
        <v>683</v>
      </c>
      <c r="H3518" s="2">
        <v>47994</v>
      </c>
      <c r="I3518" t="s">
        <v>49</v>
      </c>
      <c r="J3518">
        <v>2</v>
      </c>
      <c r="K3518">
        <v>29241.96</v>
      </c>
      <c r="L3518" t="s">
        <v>950</v>
      </c>
      <c r="M3518">
        <v>40</v>
      </c>
      <c r="N3518" t="s">
        <v>21</v>
      </c>
      <c r="O3518" s="3" t="s">
        <v>55</v>
      </c>
      <c r="P3518" t="s">
        <v>29</v>
      </c>
      <c r="Q3518" t="s">
        <v>24</v>
      </c>
      <c r="R3518">
        <v>2</v>
      </c>
      <c r="S3518" t="s">
        <v>88</v>
      </c>
      <c r="T3518" s="4">
        <f t="shared" si="274"/>
        <v>58483.92</v>
      </c>
      <c r="U3518" s="4" t="str">
        <f t="shared" si="275"/>
        <v>Average</v>
      </c>
      <c r="V3518" s="4" t="str">
        <f t="shared" si="271"/>
        <v>Average</v>
      </c>
      <c r="W3518" s="4"/>
      <c r="X3518" s="4"/>
      <c r="AJ3518" s="4"/>
    </row>
    <row r="3519" spans="1:36">
      <c r="A3519" t="str">
        <f t="shared" si="272"/>
        <v>Vija303518</v>
      </c>
      <c r="B3519">
        <v>3518</v>
      </c>
      <c r="C3519">
        <v>7</v>
      </c>
      <c r="D3519">
        <v>7</v>
      </c>
      <c r="E3519">
        <v>2024</v>
      </c>
      <c r="F3519" s="1">
        <f t="shared" si="273"/>
        <v>45480</v>
      </c>
      <c r="G3519" s="1" t="s">
        <v>683</v>
      </c>
      <c r="H3519" s="2">
        <v>47995</v>
      </c>
      <c r="I3519" t="s">
        <v>43</v>
      </c>
      <c r="J3519">
        <v>4</v>
      </c>
      <c r="K3519">
        <v>49527.17</v>
      </c>
      <c r="L3519" t="s">
        <v>903</v>
      </c>
      <c r="M3519">
        <v>30</v>
      </c>
      <c r="N3519" t="s">
        <v>36</v>
      </c>
      <c r="O3519" s="3" t="s">
        <v>22</v>
      </c>
      <c r="P3519" t="s">
        <v>29</v>
      </c>
      <c r="Q3519" t="s">
        <v>24</v>
      </c>
      <c r="R3519">
        <v>5</v>
      </c>
      <c r="S3519" t="s">
        <v>95</v>
      </c>
      <c r="T3519" s="4">
        <f t="shared" si="274"/>
        <v>198108.68</v>
      </c>
      <c r="U3519" s="4" t="str">
        <f t="shared" si="275"/>
        <v>Good</v>
      </c>
      <c r="V3519" s="4" t="str">
        <f t="shared" si="271"/>
        <v>Good</v>
      </c>
      <c r="W3519" s="4"/>
      <c r="X3519" s="4"/>
      <c r="AJ3519" s="4"/>
    </row>
    <row r="3520" spans="1:36">
      <c r="A3520" t="str">
        <f t="shared" si="272"/>
        <v>Ravi333519</v>
      </c>
      <c r="B3520">
        <v>3519</v>
      </c>
      <c r="C3520">
        <v>7</v>
      </c>
      <c r="D3520">
        <v>7</v>
      </c>
      <c r="E3520">
        <v>2024</v>
      </c>
      <c r="F3520" s="1">
        <f t="shared" si="273"/>
        <v>45480</v>
      </c>
      <c r="G3520" s="1" t="s">
        <v>683</v>
      </c>
      <c r="H3520" s="2">
        <v>47996</v>
      </c>
      <c r="I3520" t="s">
        <v>38</v>
      </c>
      <c r="J3520">
        <v>2</v>
      </c>
      <c r="K3520">
        <v>47387.98</v>
      </c>
      <c r="L3520" t="s">
        <v>849</v>
      </c>
      <c r="M3520">
        <v>33</v>
      </c>
      <c r="N3520" t="s">
        <v>21</v>
      </c>
      <c r="O3520" s="3" t="s">
        <v>22</v>
      </c>
      <c r="P3520" t="s">
        <v>29</v>
      </c>
      <c r="Q3520" t="s">
        <v>24</v>
      </c>
      <c r="R3520">
        <v>5</v>
      </c>
      <c r="S3520" t="s">
        <v>42</v>
      </c>
      <c r="T3520" s="4">
        <f t="shared" si="274"/>
        <v>94775.96</v>
      </c>
      <c r="U3520" s="4" t="str">
        <f t="shared" si="275"/>
        <v>Good</v>
      </c>
      <c r="V3520" s="4" t="str">
        <f t="shared" si="271"/>
        <v>Average</v>
      </c>
      <c r="W3520" s="4"/>
      <c r="X3520" s="4"/>
      <c r="AJ3520" s="4"/>
    </row>
    <row r="3521" spans="1:36">
      <c r="A3521" t="str">
        <f t="shared" si="272"/>
        <v>Vive433520</v>
      </c>
      <c r="B3521">
        <v>3520</v>
      </c>
      <c r="C3521">
        <v>7</v>
      </c>
      <c r="D3521">
        <v>7</v>
      </c>
      <c r="E3521">
        <v>2024</v>
      </c>
      <c r="F3521" s="1">
        <f t="shared" si="273"/>
        <v>45480</v>
      </c>
      <c r="G3521" s="1" t="s">
        <v>683</v>
      </c>
      <c r="H3521" s="2">
        <v>47997</v>
      </c>
      <c r="I3521" t="s">
        <v>43</v>
      </c>
      <c r="J3521">
        <v>9</v>
      </c>
      <c r="K3521">
        <v>39675.39</v>
      </c>
      <c r="L3521" t="s">
        <v>413</v>
      </c>
      <c r="M3521">
        <v>43</v>
      </c>
      <c r="N3521" t="s">
        <v>21</v>
      </c>
      <c r="O3521" s="3" t="s">
        <v>55</v>
      </c>
      <c r="P3521" t="s">
        <v>114</v>
      </c>
      <c r="Q3521" t="s">
        <v>24</v>
      </c>
      <c r="R3521">
        <v>2</v>
      </c>
      <c r="S3521" t="s">
        <v>46</v>
      </c>
      <c r="T3521" s="4">
        <f t="shared" si="274"/>
        <v>357078.51</v>
      </c>
      <c r="U3521" s="4" t="str">
        <f t="shared" si="275"/>
        <v>Average</v>
      </c>
      <c r="V3521" s="4" t="str">
        <f t="shared" ref="V3521:V3584" si="276">IF(T3521&gt;200000,"Excellent",IF(T3521&gt;100000,"Good",IF(T3521&gt;50000,"Average","Low")))</f>
        <v>Excellent</v>
      </c>
      <c r="W3521" s="4"/>
      <c r="X3521" s="4"/>
      <c r="AJ3521" s="4"/>
    </row>
    <row r="3522" spans="1:36">
      <c r="A3522" t="str">
        <f t="shared" ref="A3522:A3585" si="277">LEFT(L3522,4)&amp;M3522&amp;B3522</f>
        <v>Mano483521</v>
      </c>
      <c r="B3522">
        <v>3521</v>
      </c>
      <c r="C3522">
        <v>8</v>
      </c>
      <c r="D3522">
        <v>7</v>
      </c>
      <c r="E3522">
        <v>2024</v>
      </c>
      <c r="F3522" s="1">
        <f t="shared" si="273"/>
        <v>45481</v>
      </c>
      <c r="G3522" s="1" t="s">
        <v>683</v>
      </c>
      <c r="H3522" s="2">
        <v>47998</v>
      </c>
      <c r="I3522" t="s">
        <v>19</v>
      </c>
      <c r="J3522">
        <v>8</v>
      </c>
      <c r="K3522">
        <v>22675.82</v>
      </c>
      <c r="L3522" t="s">
        <v>74</v>
      </c>
      <c r="M3522">
        <v>48</v>
      </c>
      <c r="N3522" t="s">
        <v>61</v>
      </c>
      <c r="O3522" s="3" t="s">
        <v>55</v>
      </c>
      <c r="P3522" t="s">
        <v>77</v>
      </c>
      <c r="Q3522" t="s">
        <v>41</v>
      </c>
      <c r="R3522">
        <v>2</v>
      </c>
      <c r="S3522" t="s">
        <v>37</v>
      </c>
      <c r="T3522" s="4">
        <f t="shared" si="274"/>
        <v>181406.56</v>
      </c>
      <c r="U3522" s="4" t="str">
        <f t="shared" si="275"/>
        <v>Average</v>
      </c>
      <c r="V3522" s="4" t="str">
        <f t="shared" si="276"/>
        <v>Good</v>
      </c>
      <c r="W3522" s="4"/>
      <c r="X3522" s="4"/>
      <c r="AJ3522" s="4"/>
    </row>
    <row r="3523" spans="1:36">
      <c r="A3523" t="str">
        <f t="shared" si="277"/>
        <v>Vive183522</v>
      </c>
      <c r="B3523">
        <v>3522</v>
      </c>
      <c r="C3523">
        <v>8</v>
      </c>
      <c r="D3523">
        <v>7</v>
      </c>
      <c r="E3523">
        <v>2024</v>
      </c>
      <c r="F3523" s="1">
        <f t="shared" ref="F3523:F3586" si="278">DATE(E3523,D3523,C3523)</f>
        <v>45481</v>
      </c>
      <c r="G3523" s="1" t="s">
        <v>683</v>
      </c>
      <c r="H3523" s="2">
        <v>47999</v>
      </c>
      <c r="I3523" t="s">
        <v>19</v>
      </c>
      <c r="J3523">
        <v>8</v>
      </c>
      <c r="K3523">
        <v>32919.01</v>
      </c>
      <c r="L3523" t="s">
        <v>750</v>
      </c>
      <c r="M3523">
        <v>18</v>
      </c>
      <c r="N3523" t="s">
        <v>36</v>
      </c>
      <c r="O3523" s="3" t="s">
        <v>22</v>
      </c>
      <c r="P3523" t="s">
        <v>64</v>
      </c>
      <c r="Q3523" t="s">
        <v>24</v>
      </c>
      <c r="R3523">
        <v>5</v>
      </c>
      <c r="S3523" t="s">
        <v>37</v>
      </c>
      <c r="T3523" s="4">
        <f t="shared" ref="T3523:T3586" si="279">J3523*K3523</f>
        <v>263352.08</v>
      </c>
      <c r="U3523" s="4" t="str">
        <f t="shared" ref="U3523:U3586" si="280">IF(R3523&gt;=4,"Good","Average")</f>
        <v>Good</v>
      </c>
      <c r="V3523" s="4" t="str">
        <f t="shared" si="276"/>
        <v>Excellent</v>
      </c>
      <c r="W3523" s="4"/>
      <c r="X3523" s="4"/>
      <c r="AJ3523" s="4"/>
    </row>
    <row r="3524" spans="1:36">
      <c r="A3524" t="str">
        <f t="shared" si="277"/>
        <v>Bina343523</v>
      </c>
      <c r="B3524">
        <v>3523</v>
      </c>
      <c r="C3524">
        <v>8</v>
      </c>
      <c r="D3524">
        <v>7</v>
      </c>
      <c r="E3524">
        <v>2024</v>
      </c>
      <c r="F3524" s="1">
        <f t="shared" si="278"/>
        <v>45481</v>
      </c>
      <c r="G3524" s="1" t="s">
        <v>683</v>
      </c>
      <c r="H3524" s="2">
        <v>48000</v>
      </c>
      <c r="I3524" t="s">
        <v>49</v>
      </c>
      <c r="J3524">
        <v>4</v>
      </c>
      <c r="K3524">
        <v>42615.64</v>
      </c>
      <c r="L3524" t="s">
        <v>902</v>
      </c>
      <c r="M3524">
        <v>34</v>
      </c>
      <c r="N3524" t="s">
        <v>21</v>
      </c>
      <c r="O3524" s="3" t="s">
        <v>55</v>
      </c>
      <c r="P3524" t="s">
        <v>59</v>
      </c>
      <c r="Q3524" t="s">
        <v>30</v>
      </c>
      <c r="R3524">
        <v>2</v>
      </c>
      <c r="S3524" t="s">
        <v>88</v>
      </c>
      <c r="T3524" s="4">
        <f t="shared" si="279"/>
        <v>170462.56</v>
      </c>
      <c r="U3524" s="4" t="str">
        <f t="shared" si="280"/>
        <v>Average</v>
      </c>
      <c r="V3524" s="4" t="str">
        <f t="shared" si="276"/>
        <v>Good</v>
      </c>
      <c r="W3524" s="4"/>
      <c r="X3524" s="4"/>
      <c r="AJ3524" s="4"/>
    </row>
    <row r="3525" spans="1:36">
      <c r="A3525" t="str">
        <f t="shared" si="277"/>
        <v>Bina333524</v>
      </c>
      <c r="B3525">
        <v>3524</v>
      </c>
      <c r="C3525">
        <v>9</v>
      </c>
      <c r="D3525">
        <v>7</v>
      </c>
      <c r="E3525">
        <v>2024</v>
      </c>
      <c r="F3525" s="1">
        <f t="shared" si="278"/>
        <v>45482</v>
      </c>
      <c r="G3525" s="1" t="s">
        <v>683</v>
      </c>
      <c r="H3525" s="2">
        <v>48001</v>
      </c>
      <c r="I3525" t="s">
        <v>49</v>
      </c>
      <c r="J3525">
        <v>5</v>
      </c>
      <c r="K3525">
        <v>38079.120000000003</v>
      </c>
      <c r="L3525" t="s">
        <v>1005</v>
      </c>
      <c r="M3525">
        <v>33</v>
      </c>
      <c r="N3525" t="s">
        <v>21</v>
      </c>
      <c r="O3525" s="3" t="s">
        <v>22</v>
      </c>
      <c r="P3525" t="s">
        <v>29</v>
      </c>
      <c r="Q3525" t="s">
        <v>24</v>
      </c>
      <c r="R3525">
        <v>5</v>
      </c>
      <c r="S3525" t="s">
        <v>88</v>
      </c>
      <c r="T3525" s="4">
        <f t="shared" si="279"/>
        <v>190395.6</v>
      </c>
      <c r="U3525" s="4" t="str">
        <f t="shared" si="280"/>
        <v>Good</v>
      </c>
      <c r="V3525" s="4" t="str">
        <f t="shared" si="276"/>
        <v>Good</v>
      </c>
      <c r="W3525" s="4"/>
      <c r="X3525" s="4"/>
      <c r="AJ3525" s="4"/>
    </row>
    <row r="3526" spans="1:36">
      <c r="A3526" t="str">
        <f t="shared" si="277"/>
        <v>Pras543525</v>
      </c>
      <c r="B3526">
        <v>3525</v>
      </c>
      <c r="C3526">
        <v>9</v>
      </c>
      <c r="D3526">
        <v>7</v>
      </c>
      <c r="E3526">
        <v>2024</v>
      </c>
      <c r="F3526" s="1">
        <f t="shared" si="278"/>
        <v>45482</v>
      </c>
      <c r="G3526" s="1" t="s">
        <v>683</v>
      </c>
      <c r="H3526" s="2">
        <v>48002</v>
      </c>
      <c r="I3526" t="s">
        <v>19</v>
      </c>
      <c r="J3526">
        <v>4</v>
      </c>
      <c r="K3526">
        <v>17637.55</v>
      </c>
      <c r="L3526" t="s">
        <v>713</v>
      </c>
      <c r="M3526">
        <v>54</v>
      </c>
      <c r="N3526" t="s">
        <v>61</v>
      </c>
      <c r="O3526" s="3" t="s">
        <v>28</v>
      </c>
      <c r="P3526" t="s">
        <v>33</v>
      </c>
      <c r="Q3526" t="s">
        <v>30</v>
      </c>
      <c r="R3526">
        <v>3</v>
      </c>
      <c r="S3526" t="s">
        <v>25</v>
      </c>
      <c r="T3526" s="4">
        <f t="shared" si="279"/>
        <v>70550.2</v>
      </c>
      <c r="U3526" s="4" t="str">
        <f t="shared" si="280"/>
        <v>Average</v>
      </c>
      <c r="V3526" s="4" t="str">
        <f t="shared" si="276"/>
        <v>Average</v>
      </c>
      <c r="W3526" s="4"/>
      <c r="X3526" s="4"/>
      <c r="AJ3526" s="4"/>
    </row>
    <row r="3527" spans="1:36">
      <c r="A3527" t="str">
        <f t="shared" si="277"/>
        <v>Gita273526</v>
      </c>
      <c r="B3527">
        <v>3526</v>
      </c>
      <c r="C3527">
        <v>9</v>
      </c>
      <c r="D3527">
        <v>7</v>
      </c>
      <c r="E3527">
        <v>2024</v>
      </c>
      <c r="F3527" s="1">
        <f t="shared" si="278"/>
        <v>45482</v>
      </c>
      <c r="G3527" s="1" t="s">
        <v>683</v>
      </c>
      <c r="H3527" s="2">
        <v>48003</v>
      </c>
      <c r="I3527" t="s">
        <v>38</v>
      </c>
      <c r="J3527">
        <v>9</v>
      </c>
      <c r="K3527">
        <v>48970.63</v>
      </c>
      <c r="L3527" t="s">
        <v>940</v>
      </c>
      <c r="M3527">
        <v>27</v>
      </c>
      <c r="N3527" t="s">
        <v>36</v>
      </c>
      <c r="O3527" s="3" t="s">
        <v>28</v>
      </c>
      <c r="P3527" t="s">
        <v>59</v>
      </c>
      <c r="Q3527" t="s">
        <v>30</v>
      </c>
      <c r="R3527">
        <v>3</v>
      </c>
      <c r="S3527" t="s">
        <v>42</v>
      </c>
      <c r="T3527" s="4">
        <f t="shared" si="279"/>
        <v>440735.67</v>
      </c>
      <c r="U3527" s="4" t="str">
        <f t="shared" si="280"/>
        <v>Average</v>
      </c>
      <c r="V3527" s="4" t="str">
        <f t="shared" si="276"/>
        <v>Excellent</v>
      </c>
      <c r="W3527" s="4"/>
      <c r="X3527" s="4"/>
      <c r="AJ3527" s="4"/>
    </row>
    <row r="3528" spans="1:36">
      <c r="A3528" t="str">
        <f t="shared" si="277"/>
        <v>Anit553527</v>
      </c>
      <c r="B3528">
        <v>3527</v>
      </c>
      <c r="C3528">
        <v>10</v>
      </c>
      <c r="D3528">
        <v>7</v>
      </c>
      <c r="E3528">
        <v>2024</v>
      </c>
      <c r="F3528" s="1">
        <f t="shared" si="278"/>
        <v>45483</v>
      </c>
      <c r="G3528" s="1" t="s">
        <v>683</v>
      </c>
      <c r="H3528" s="2">
        <v>48004</v>
      </c>
      <c r="I3528" t="s">
        <v>43</v>
      </c>
      <c r="J3528">
        <v>2</v>
      </c>
      <c r="K3528">
        <v>14383.11</v>
      </c>
      <c r="L3528" t="s">
        <v>829</v>
      </c>
      <c r="M3528">
        <v>55</v>
      </c>
      <c r="N3528" t="s">
        <v>61</v>
      </c>
      <c r="O3528" s="3" t="s">
        <v>22</v>
      </c>
      <c r="P3528" t="s">
        <v>33</v>
      </c>
      <c r="Q3528" t="s">
        <v>41</v>
      </c>
      <c r="R3528">
        <v>4</v>
      </c>
      <c r="S3528" t="s">
        <v>46</v>
      </c>
      <c r="T3528" s="4">
        <f t="shared" si="279"/>
        <v>28766.22</v>
      </c>
      <c r="U3528" s="4" t="str">
        <f t="shared" si="280"/>
        <v>Good</v>
      </c>
      <c r="V3528" s="4" t="str">
        <f t="shared" si="276"/>
        <v>Low</v>
      </c>
      <c r="W3528" s="4"/>
      <c r="X3528" s="4"/>
      <c r="AJ3528" s="4"/>
    </row>
    <row r="3529" spans="1:36">
      <c r="A3529" t="str">
        <f t="shared" si="277"/>
        <v>Sneh483528</v>
      </c>
      <c r="B3529">
        <v>3528</v>
      </c>
      <c r="C3529">
        <v>10</v>
      </c>
      <c r="D3529">
        <v>7</v>
      </c>
      <c r="E3529">
        <v>2024</v>
      </c>
      <c r="F3529" s="1">
        <f t="shared" si="278"/>
        <v>45483</v>
      </c>
      <c r="G3529" s="1" t="s">
        <v>683</v>
      </c>
      <c r="H3529" s="2">
        <v>48005</v>
      </c>
      <c r="I3529" t="s">
        <v>26</v>
      </c>
      <c r="J3529">
        <v>8</v>
      </c>
      <c r="K3529">
        <v>32691.68</v>
      </c>
      <c r="L3529" t="s">
        <v>400</v>
      </c>
      <c r="M3529">
        <v>48</v>
      </c>
      <c r="N3529" t="s">
        <v>61</v>
      </c>
      <c r="O3529" s="3" t="s">
        <v>28</v>
      </c>
      <c r="P3529" t="s">
        <v>29</v>
      </c>
      <c r="Q3529" t="s">
        <v>24</v>
      </c>
      <c r="R3529">
        <v>3</v>
      </c>
      <c r="S3529" t="s">
        <v>67</v>
      </c>
      <c r="T3529" s="4">
        <f t="shared" si="279"/>
        <v>261533.44</v>
      </c>
      <c r="U3529" s="4" t="str">
        <f t="shared" si="280"/>
        <v>Average</v>
      </c>
      <c r="V3529" s="4" t="str">
        <f t="shared" si="276"/>
        <v>Excellent</v>
      </c>
      <c r="W3529" s="4"/>
      <c r="X3529" s="4"/>
      <c r="AJ3529" s="4"/>
    </row>
    <row r="3530" spans="1:36">
      <c r="A3530" t="str">
        <f t="shared" si="277"/>
        <v>Reen273529</v>
      </c>
      <c r="B3530">
        <v>3529</v>
      </c>
      <c r="C3530">
        <v>10</v>
      </c>
      <c r="D3530">
        <v>7</v>
      </c>
      <c r="E3530">
        <v>2024</v>
      </c>
      <c r="F3530" s="1">
        <f t="shared" si="278"/>
        <v>45483</v>
      </c>
      <c r="G3530" s="1" t="s">
        <v>683</v>
      </c>
      <c r="H3530" s="2">
        <v>48006</v>
      </c>
      <c r="I3530" t="s">
        <v>49</v>
      </c>
      <c r="J3530">
        <v>2</v>
      </c>
      <c r="K3530">
        <v>52601.760000000002</v>
      </c>
      <c r="L3530" t="s">
        <v>651</v>
      </c>
      <c r="M3530">
        <v>27</v>
      </c>
      <c r="N3530" t="s">
        <v>36</v>
      </c>
      <c r="O3530" s="3" t="s">
        <v>22</v>
      </c>
      <c r="P3530" t="s">
        <v>110</v>
      </c>
      <c r="Q3530" t="s">
        <v>30</v>
      </c>
      <c r="R3530">
        <v>5</v>
      </c>
      <c r="S3530" t="s">
        <v>88</v>
      </c>
      <c r="T3530" s="4">
        <f t="shared" si="279"/>
        <v>105203.52</v>
      </c>
      <c r="U3530" s="4" t="str">
        <f t="shared" si="280"/>
        <v>Good</v>
      </c>
      <c r="V3530" s="4" t="str">
        <f t="shared" si="276"/>
        <v>Good</v>
      </c>
      <c r="W3530" s="4"/>
      <c r="X3530" s="4"/>
      <c r="AJ3530" s="4"/>
    </row>
    <row r="3531" spans="1:36">
      <c r="A3531" t="str">
        <f t="shared" si="277"/>
        <v>Reen513530</v>
      </c>
      <c r="B3531">
        <v>3530</v>
      </c>
      <c r="C3531">
        <v>11</v>
      </c>
      <c r="D3531">
        <v>7</v>
      </c>
      <c r="E3531">
        <v>2024</v>
      </c>
      <c r="F3531" s="1">
        <f t="shared" si="278"/>
        <v>45484</v>
      </c>
      <c r="G3531" s="1" t="s">
        <v>683</v>
      </c>
      <c r="H3531" s="2">
        <v>48007</v>
      </c>
      <c r="I3531" t="s">
        <v>26</v>
      </c>
      <c r="J3531">
        <v>1</v>
      </c>
      <c r="K3531">
        <v>11201.41</v>
      </c>
      <c r="L3531" t="s">
        <v>342</v>
      </c>
      <c r="M3531">
        <v>51</v>
      </c>
      <c r="N3531" t="s">
        <v>61</v>
      </c>
      <c r="O3531" s="3" t="s">
        <v>28</v>
      </c>
      <c r="P3531" t="s">
        <v>150</v>
      </c>
      <c r="Q3531" t="s">
        <v>24</v>
      </c>
      <c r="R3531">
        <v>3</v>
      </c>
      <c r="S3531" t="s">
        <v>67</v>
      </c>
      <c r="T3531" s="4">
        <f t="shared" si="279"/>
        <v>11201.41</v>
      </c>
      <c r="U3531" s="4" t="str">
        <f t="shared" si="280"/>
        <v>Average</v>
      </c>
      <c r="V3531" s="4" t="str">
        <f t="shared" si="276"/>
        <v>Low</v>
      </c>
      <c r="W3531" s="4"/>
      <c r="X3531" s="4"/>
      <c r="AJ3531" s="4"/>
    </row>
    <row r="3532" spans="1:36">
      <c r="A3532" t="str">
        <f t="shared" si="277"/>
        <v>Hari233531</v>
      </c>
      <c r="B3532">
        <v>3531</v>
      </c>
      <c r="C3532">
        <v>11</v>
      </c>
      <c r="D3532">
        <v>7</v>
      </c>
      <c r="E3532">
        <v>2024</v>
      </c>
      <c r="F3532" s="1">
        <f t="shared" si="278"/>
        <v>45484</v>
      </c>
      <c r="G3532" s="1" t="s">
        <v>683</v>
      </c>
      <c r="H3532" s="2">
        <v>48008</v>
      </c>
      <c r="I3532" t="s">
        <v>38</v>
      </c>
      <c r="J3532">
        <v>3</v>
      </c>
      <c r="K3532">
        <v>44198.97</v>
      </c>
      <c r="L3532" t="s">
        <v>704</v>
      </c>
      <c r="M3532">
        <v>23</v>
      </c>
      <c r="N3532" t="s">
        <v>36</v>
      </c>
      <c r="O3532" s="3" t="s">
        <v>28</v>
      </c>
      <c r="P3532" t="s">
        <v>70</v>
      </c>
      <c r="Q3532" t="s">
        <v>41</v>
      </c>
      <c r="R3532">
        <v>3</v>
      </c>
      <c r="S3532" t="s">
        <v>42</v>
      </c>
      <c r="T3532" s="4">
        <f t="shared" si="279"/>
        <v>132596.91</v>
      </c>
      <c r="U3532" s="4" t="str">
        <f t="shared" si="280"/>
        <v>Average</v>
      </c>
      <c r="V3532" s="4" t="str">
        <f t="shared" si="276"/>
        <v>Good</v>
      </c>
      <c r="W3532" s="4"/>
      <c r="X3532" s="4"/>
      <c r="AJ3532" s="4"/>
    </row>
    <row r="3533" spans="1:36">
      <c r="A3533" t="str">
        <f t="shared" si="277"/>
        <v>Nami453532</v>
      </c>
      <c r="B3533">
        <v>3532</v>
      </c>
      <c r="C3533">
        <v>11</v>
      </c>
      <c r="D3533">
        <v>7</v>
      </c>
      <c r="E3533">
        <v>2024</v>
      </c>
      <c r="F3533" s="1">
        <f t="shared" si="278"/>
        <v>45484</v>
      </c>
      <c r="G3533" s="1" t="s">
        <v>683</v>
      </c>
      <c r="H3533" s="2">
        <v>48009</v>
      </c>
      <c r="I3533" t="s">
        <v>49</v>
      </c>
      <c r="J3533">
        <v>9</v>
      </c>
      <c r="K3533">
        <v>30071.26</v>
      </c>
      <c r="L3533" t="s">
        <v>453</v>
      </c>
      <c r="M3533">
        <v>45</v>
      </c>
      <c r="N3533" t="s">
        <v>21</v>
      </c>
      <c r="O3533" s="3" t="s">
        <v>22</v>
      </c>
      <c r="P3533" t="s">
        <v>66</v>
      </c>
      <c r="Q3533" t="s">
        <v>41</v>
      </c>
      <c r="R3533">
        <v>5</v>
      </c>
      <c r="S3533" t="s">
        <v>52</v>
      </c>
      <c r="T3533" s="4">
        <f t="shared" si="279"/>
        <v>270641.33999999997</v>
      </c>
      <c r="U3533" s="4" t="str">
        <f t="shared" si="280"/>
        <v>Good</v>
      </c>
      <c r="V3533" s="4" t="str">
        <f t="shared" si="276"/>
        <v>Excellent</v>
      </c>
      <c r="W3533" s="4"/>
      <c r="X3533" s="4"/>
      <c r="AJ3533" s="4"/>
    </row>
    <row r="3534" spans="1:36">
      <c r="A3534" t="str">
        <f t="shared" si="277"/>
        <v>Radh453533</v>
      </c>
      <c r="B3534">
        <v>3533</v>
      </c>
      <c r="C3534">
        <v>11</v>
      </c>
      <c r="D3534">
        <v>7</v>
      </c>
      <c r="E3534">
        <v>2024</v>
      </c>
      <c r="F3534" s="1">
        <f t="shared" si="278"/>
        <v>45484</v>
      </c>
      <c r="G3534" s="1" t="s">
        <v>683</v>
      </c>
      <c r="H3534" s="2">
        <v>48010</v>
      </c>
      <c r="I3534" t="s">
        <v>26</v>
      </c>
      <c r="J3534">
        <v>3</v>
      </c>
      <c r="K3534">
        <v>10529.91</v>
      </c>
      <c r="L3534" t="s">
        <v>624</v>
      </c>
      <c r="M3534">
        <v>45</v>
      </c>
      <c r="N3534" t="s">
        <v>21</v>
      </c>
      <c r="O3534" s="3" t="s">
        <v>22</v>
      </c>
      <c r="P3534" t="s">
        <v>29</v>
      </c>
      <c r="Q3534" t="s">
        <v>24</v>
      </c>
      <c r="R3534">
        <v>5</v>
      </c>
      <c r="S3534" t="s">
        <v>67</v>
      </c>
      <c r="T3534" s="4">
        <f t="shared" si="279"/>
        <v>31589.73</v>
      </c>
      <c r="U3534" s="4" t="str">
        <f t="shared" si="280"/>
        <v>Good</v>
      </c>
      <c r="V3534" s="4" t="str">
        <f t="shared" si="276"/>
        <v>Low</v>
      </c>
      <c r="W3534" s="4"/>
      <c r="X3534" s="4"/>
      <c r="AJ3534" s="4"/>
    </row>
    <row r="3535" spans="1:36">
      <c r="A3535" t="str">
        <f t="shared" si="277"/>
        <v>Neet303534</v>
      </c>
      <c r="B3535">
        <v>3534</v>
      </c>
      <c r="C3535">
        <v>12</v>
      </c>
      <c r="D3535">
        <v>7</v>
      </c>
      <c r="E3535">
        <v>2024</v>
      </c>
      <c r="F3535" s="1">
        <f t="shared" si="278"/>
        <v>45485</v>
      </c>
      <c r="G3535" s="1" t="s">
        <v>683</v>
      </c>
      <c r="H3535" s="2">
        <v>48011</v>
      </c>
      <c r="I3535" t="s">
        <v>38</v>
      </c>
      <c r="J3535">
        <v>9</v>
      </c>
      <c r="K3535">
        <v>21423</v>
      </c>
      <c r="L3535" t="s">
        <v>252</v>
      </c>
      <c r="M3535">
        <v>30</v>
      </c>
      <c r="N3535" t="s">
        <v>36</v>
      </c>
      <c r="O3535" s="3" t="s">
        <v>28</v>
      </c>
      <c r="P3535" t="s">
        <v>90</v>
      </c>
      <c r="Q3535" t="s">
        <v>30</v>
      </c>
      <c r="R3535">
        <v>3</v>
      </c>
      <c r="S3535" t="s">
        <v>42</v>
      </c>
      <c r="T3535" s="4">
        <f t="shared" si="279"/>
        <v>192807</v>
      </c>
      <c r="U3535" s="4" t="str">
        <f t="shared" si="280"/>
        <v>Average</v>
      </c>
      <c r="V3535" s="4" t="str">
        <f t="shared" si="276"/>
        <v>Good</v>
      </c>
      <c r="W3535" s="4"/>
      <c r="X3535" s="4"/>
      <c r="AJ3535" s="4"/>
    </row>
    <row r="3536" spans="1:36">
      <c r="A3536" t="str">
        <f t="shared" si="277"/>
        <v>Sumi583535</v>
      </c>
      <c r="B3536">
        <v>3535</v>
      </c>
      <c r="C3536">
        <v>12</v>
      </c>
      <c r="D3536">
        <v>7</v>
      </c>
      <c r="E3536">
        <v>2024</v>
      </c>
      <c r="F3536" s="1">
        <f t="shared" si="278"/>
        <v>45485</v>
      </c>
      <c r="G3536" s="1" t="s">
        <v>683</v>
      </c>
      <c r="H3536" s="2">
        <v>48012</v>
      </c>
      <c r="I3536" t="s">
        <v>43</v>
      </c>
      <c r="J3536">
        <v>7</v>
      </c>
      <c r="K3536">
        <v>66456.77</v>
      </c>
      <c r="L3536" t="s">
        <v>417</v>
      </c>
      <c r="M3536">
        <v>58</v>
      </c>
      <c r="N3536" t="s">
        <v>61</v>
      </c>
      <c r="O3536" s="3" t="s">
        <v>22</v>
      </c>
      <c r="P3536" t="s">
        <v>29</v>
      </c>
      <c r="Q3536" t="s">
        <v>56</v>
      </c>
      <c r="R3536">
        <v>4</v>
      </c>
      <c r="S3536" t="s">
        <v>46</v>
      </c>
      <c r="T3536" s="4">
        <f t="shared" si="279"/>
        <v>465197.39</v>
      </c>
      <c r="U3536" s="4" t="str">
        <f t="shared" si="280"/>
        <v>Good</v>
      </c>
      <c r="V3536" s="4" t="str">
        <f t="shared" si="276"/>
        <v>Excellent</v>
      </c>
      <c r="W3536" s="4"/>
      <c r="X3536" s="4"/>
      <c r="AJ3536" s="4"/>
    </row>
    <row r="3537" spans="1:36">
      <c r="A3537" t="str">
        <f t="shared" si="277"/>
        <v>Vive293536</v>
      </c>
      <c r="B3537">
        <v>3536</v>
      </c>
      <c r="C3537">
        <v>12</v>
      </c>
      <c r="D3537">
        <v>7</v>
      </c>
      <c r="E3537">
        <v>2024</v>
      </c>
      <c r="F3537" s="1">
        <f t="shared" si="278"/>
        <v>45485</v>
      </c>
      <c r="G3537" s="1" t="s">
        <v>683</v>
      </c>
      <c r="H3537" s="2">
        <v>48013</v>
      </c>
      <c r="I3537" t="s">
        <v>38</v>
      </c>
      <c r="J3537">
        <v>1</v>
      </c>
      <c r="K3537">
        <v>41268.93</v>
      </c>
      <c r="L3537" t="s">
        <v>1064</v>
      </c>
      <c r="M3537">
        <v>29</v>
      </c>
      <c r="N3537" t="s">
        <v>36</v>
      </c>
      <c r="O3537" s="3" t="s">
        <v>28</v>
      </c>
      <c r="P3537" t="s">
        <v>114</v>
      </c>
      <c r="Q3537" t="s">
        <v>56</v>
      </c>
      <c r="R3537">
        <v>3</v>
      </c>
      <c r="S3537" t="s">
        <v>99</v>
      </c>
      <c r="T3537" s="4">
        <f t="shared" si="279"/>
        <v>41268.93</v>
      </c>
      <c r="U3537" s="4" t="str">
        <f t="shared" si="280"/>
        <v>Average</v>
      </c>
      <c r="V3537" s="4" t="str">
        <f t="shared" si="276"/>
        <v>Low</v>
      </c>
      <c r="W3537" s="4"/>
      <c r="X3537" s="4"/>
      <c r="AJ3537" s="4"/>
    </row>
    <row r="3538" spans="1:36">
      <c r="A3538" t="str">
        <f t="shared" si="277"/>
        <v>Raje573537</v>
      </c>
      <c r="B3538">
        <v>3537</v>
      </c>
      <c r="C3538">
        <v>13</v>
      </c>
      <c r="D3538">
        <v>7</v>
      </c>
      <c r="E3538">
        <v>2024</v>
      </c>
      <c r="F3538" s="1">
        <f t="shared" si="278"/>
        <v>45486</v>
      </c>
      <c r="G3538" s="1" t="s">
        <v>683</v>
      </c>
      <c r="H3538" s="2">
        <v>48014</v>
      </c>
      <c r="I3538" t="s">
        <v>49</v>
      </c>
      <c r="J3538">
        <v>5</v>
      </c>
      <c r="K3538">
        <v>69833.63</v>
      </c>
      <c r="L3538" t="s">
        <v>76</v>
      </c>
      <c r="M3538">
        <v>57</v>
      </c>
      <c r="N3538" t="s">
        <v>61</v>
      </c>
      <c r="O3538" s="3" t="s">
        <v>28</v>
      </c>
      <c r="P3538" t="s">
        <v>77</v>
      </c>
      <c r="Q3538" t="s">
        <v>41</v>
      </c>
      <c r="R3538">
        <v>3</v>
      </c>
      <c r="S3538" t="s">
        <v>88</v>
      </c>
      <c r="T3538" s="4">
        <f t="shared" si="279"/>
        <v>349168.15</v>
      </c>
      <c r="U3538" s="4" t="str">
        <f t="shared" si="280"/>
        <v>Average</v>
      </c>
      <c r="V3538" s="4" t="str">
        <f t="shared" si="276"/>
        <v>Excellent</v>
      </c>
      <c r="W3538" s="4"/>
      <c r="X3538" s="4"/>
      <c r="AJ3538" s="4"/>
    </row>
    <row r="3539" spans="1:36">
      <c r="A3539" t="str">
        <f t="shared" si="277"/>
        <v>Mano193538</v>
      </c>
      <c r="B3539">
        <v>3538</v>
      </c>
      <c r="C3539">
        <v>13</v>
      </c>
      <c r="D3539">
        <v>7</v>
      </c>
      <c r="E3539">
        <v>2024</v>
      </c>
      <c r="F3539" s="1">
        <f t="shared" si="278"/>
        <v>45486</v>
      </c>
      <c r="G3539" s="1" t="s">
        <v>683</v>
      </c>
      <c r="H3539" s="2">
        <v>48015</v>
      </c>
      <c r="I3539" t="s">
        <v>19</v>
      </c>
      <c r="J3539">
        <v>9</v>
      </c>
      <c r="K3539">
        <v>41489.01</v>
      </c>
      <c r="L3539" t="s">
        <v>279</v>
      </c>
      <c r="M3539">
        <v>19</v>
      </c>
      <c r="N3539" t="s">
        <v>36</v>
      </c>
      <c r="O3539" s="3" t="s">
        <v>22</v>
      </c>
      <c r="P3539" t="s">
        <v>51</v>
      </c>
      <c r="Q3539" t="s">
        <v>30</v>
      </c>
      <c r="R3539">
        <v>5</v>
      </c>
      <c r="S3539" t="s">
        <v>37</v>
      </c>
      <c r="T3539" s="4">
        <f t="shared" si="279"/>
        <v>373401.09</v>
      </c>
      <c r="U3539" s="4" t="str">
        <f t="shared" si="280"/>
        <v>Good</v>
      </c>
      <c r="V3539" s="4" t="str">
        <f t="shared" si="276"/>
        <v>Excellent</v>
      </c>
      <c r="W3539" s="4"/>
      <c r="X3539" s="4"/>
      <c r="AJ3539" s="4"/>
    </row>
    <row r="3540" spans="1:36">
      <c r="A3540" t="str">
        <f t="shared" si="277"/>
        <v>Yoge253539</v>
      </c>
      <c r="B3540">
        <v>3539</v>
      </c>
      <c r="C3540">
        <v>13</v>
      </c>
      <c r="D3540">
        <v>7</v>
      </c>
      <c r="E3540">
        <v>2024</v>
      </c>
      <c r="F3540" s="1">
        <f t="shared" si="278"/>
        <v>45486</v>
      </c>
      <c r="G3540" s="1" t="s">
        <v>683</v>
      </c>
      <c r="H3540" s="2">
        <v>48016</v>
      </c>
      <c r="I3540" t="s">
        <v>43</v>
      </c>
      <c r="J3540">
        <v>3</v>
      </c>
      <c r="K3540">
        <v>42636.18</v>
      </c>
      <c r="L3540" t="s">
        <v>652</v>
      </c>
      <c r="M3540">
        <v>25</v>
      </c>
      <c r="N3540" t="s">
        <v>36</v>
      </c>
      <c r="O3540" s="3" t="s">
        <v>22</v>
      </c>
      <c r="P3540" t="s">
        <v>66</v>
      </c>
      <c r="Q3540" t="s">
        <v>56</v>
      </c>
      <c r="R3540">
        <v>5</v>
      </c>
      <c r="S3540" t="s">
        <v>95</v>
      </c>
      <c r="T3540" s="4">
        <f t="shared" si="279"/>
        <v>127908.54000000001</v>
      </c>
      <c r="U3540" s="4" t="str">
        <f t="shared" si="280"/>
        <v>Good</v>
      </c>
      <c r="V3540" s="4" t="str">
        <f t="shared" si="276"/>
        <v>Good</v>
      </c>
      <c r="W3540" s="4"/>
      <c r="X3540" s="4"/>
      <c r="AJ3540" s="4"/>
    </row>
    <row r="3541" spans="1:36">
      <c r="A3541" t="str">
        <f t="shared" si="277"/>
        <v>Adit593540</v>
      </c>
      <c r="B3541">
        <v>3540</v>
      </c>
      <c r="C3541">
        <v>13</v>
      </c>
      <c r="D3541">
        <v>7</v>
      </c>
      <c r="E3541">
        <v>2024</v>
      </c>
      <c r="F3541" s="1">
        <f t="shared" si="278"/>
        <v>45486</v>
      </c>
      <c r="G3541" s="1" t="s">
        <v>683</v>
      </c>
      <c r="H3541" s="2">
        <v>48017</v>
      </c>
      <c r="I3541" t="s">
        <v>26</v>
      </c>
      <c r="J3541">
        <v>9</v>
      </c>
      <c r="K3541">
        <v>33510.58</v>
      </c>
      <c r="L3541" t="s">
        <v>642</v>
      </c>
      <c r="M3541">
        <v>59</v>
      </c>
      <c r="N3541" t="s">
        <v>61</v>
      </c>
      <c r="O3541" s="3" t="s">
        <v>22</v>
      </c>
      <c r="P3541" t="s">
        <v>29</v>
      </c>
      <c r="Q3541" t="s">
        <v>30</v>
      </c>
      <c r="R3541">
        <v>4</v>
      </c>
      <c r="S3541" t="s">
        <v>31</v>
      </c>
      <c r="T3541" s="4">
        <f t="shared" si="279"/>
        <v>301595.22000000003</v>
      </c>
      <c r="U3541" s="4" t="str">
        <f t="shared" si="280"/>
        <v>Good</v>
      </c>
      <c r="V3541" s="4" t="str">
        <f t="shared" si="276"/>
        <v>Excellent</v>
      </c>
      <c r="W3541" s="4"/>
      <c r="X3541" s="4"/>
      <c r="AJ3541" s="4"/>
    </row>
    <row r="3542" spans="1:36">
      <c r="A3542" t="str">
        <f t="shared" si="277"/>
        <v>Yoge263541</v>
      </c>
      <c r="B3542">
        <v>3541</v>
      </c>
      <c r="C3542">
        <v>14</v>
      </c>
      <c r="D3542">
        <v>7</v>
      </c>
      <c r="E3542">
        <v>2024</v>
      </c>
      <c r="F3542" s="1">
        <f t="shared" si="278"/>
        <v>45487</v>
      </c>
      <c r="G3542" s="1" t="s">
        <v>683</v>
      </c>
      <c r="H3542" s="2">
        <v>48018</v>
      </c>
      <c r="I3542" t="s">
        <v>49</v>
      </c>
      <c r="J3542">
        <v>5</v>
      </c>
      <c r="K3542">
        <v>28602.43</v>
      </c>
      <c r="L3542" t="s">
        <v>276</v>
      </c>
      <c r="M3542">
        <v>26</v>
      </c>
      <c r="N3542" t="s">
        <v>36</v>
      </c>
      <c r="O3542" s="3" t="s">
        <v>55</v>
      </c>
      <c r="P3542" t="s">
        <v>117</v>
      </c>
      <c r="Q3542" t="s">
        <v>24</v>
      </c>
      <c r="R3542">
        <v>2</v>
      </c>
      <c r="S3542" t="s">
        <v>88</v>
      </c>
      <c r="T3542" s="4">
        <f t="shared" si="279"/>
        <v>143012.15</v>
      </c>
      <c r="U3542" s="4" t="str">
        <f t="shared" si="280"/>
        <v>Average</v>
      </c>
      <c r="V3542" s="4" t="str">
        <f t="shared" si="276"/>
        <v>Good</v>
      </c>
      <c r="W3542" s="4"/>
      <c r="X3542" s="4"/>
      <c r="AJ3542" s="4"/>
    </row>
    <row r="3543" spans="1:36">
      <c r="A3543" t="str">
        <f t="shared" si="277"/>
        <v>Sneh253542</v>
      </c>
      <c r="B3543">
        <v>3542</v>
      </c>
      <c r="C3543">
        <v>14</v>
      </c>
      <c r="D3543">
        <v>7</v>
      </c>
      <c r="E3543">
        <v>2024</v>
      </c>
      <c r="F3543" s="1">
        <f t="shared" si="278"/>
        <v>45487</v>
      </c>
      <c r="G3543" s="1" t="s">
        <v>683</v>
      </c>
      <c r="H3543" s="2">
        <v>48019</v>
      </c>
      <c r="I3543" t="s">
        <v>19</v>
      </c>
      <c r="J3543">
        <v>9</v>
      </c>
      <c r="K3543">
        <v>25092.73</v>
      </c>
      <c r="L3543" t="s">
        <v>390</v>
      </c>
      <c r="M3543">
        <v>25</v>
      </c>
      <c r="N3543" t="s">
        <v>36</v>
      </c>
      <c r="O3543" s="3" t="s">
        <v>22</v>
      </c>
      <c r="P3543" t="s">
        <v>29</v>
      </c>
      <c r="Q3543" t="s">
        <v>41</v>
      </c>
      <c r="R3543">
        <v>5</v>
      </c>
      <c r="S3543" t="s">
        <v>37</v>
      </c>
      <c r="T3543" s="4">
        <f t="shared" si="279"/>
        <v>225834.57</v>
      </c>
      <c r="U3543" s="4" t="str">
        <f t="shared" si="280"/>
        <v>Good</v>
      </c>
      <c r="V3543" s="4" t="str">
        <f t="shared" si="276"/>
        <v>Excellent</v>
      </c>
      <c r="W3543" s="4"/>
      <c r="X3543" s="4"/>
      <c r="AJ3543" s="4"/>
    </row>
    <row r="3544" spans="1:36">
      <c r="A3544" t="str">
        <f t="shared" si="277"/>
        <v>Raje203543</v>
      </c>
      <c r="B3544">
        <v>3543</v>
      </c>
      <c r="C3544">
        <v>14</v>
      </c>
      <c r="D3544">
        <v>7</v>
      </c>
      <c r="E3544">
        <v>2024</v>
      </c>
      <c r="F3544" s="1">
        <f t="shared" si="278"/>
        <v>45487</v>
      </c>
      <c r="G3544" s="1" t="s">
        <v>683</v>
      </c>
      <c r="H3544" s="2">
        <v>48020</v>
      </c>
      <c r="I3544" t="s">
        <v>38</v>
      </c>
      <c r="J3544">
        <v>6</v>
      </c>
      <c r="K3544">
        <v>30605.24</v>
      </c>
      <c r="L3544" t="s">
        <v>1018</v>
      </c>
      <c r="M3544">
        <v>20</v>
      </c>
      <c r="N3544" t="s">
        <v>36</v>
      </c>
      <c r="O3544" s="3" t="s">
        <v>55</v>
      </c>
      <c r="P3544" t="s">
        <v>77</v>
      </c>
      <c r="Q3544" t="s">
        <v>24</v>
      </c>
      <c r="R3544">
        <v>2</v>
      </c>
      <c r="S3544" t="s">
        <v>48</v>
      </c>
      <c r="T3544" s="4">
        <f t="shared" si="279"/>
        <v>183631.44</v>
      </c>
      <c r="U3544" s="4" t="str">
        <f t="shared" si="280"/>
        <v>Average</v>
      </c>
      <c r="V3544" s="4" t="str">
        <f t="shared" si="276"/>
        <v>Good</v>
      </c>
      <c r="W3544" s="4"/>
      <c r="X3544" s="4"/>
      <c r="AJ3544" s="4"/>
    </row>
    <row r="3545" spans="1:36">
      <c r="A3545" t="str">
        <f t="shared" si="277"/>
        <v>Kira263544</v>
      </c>
      <c r="B3545">
        <v>3544</v>
      </c>
      <c r="C3545">
        <v>14</v>
      </c>
      <c r="D3545">
        <v>7</v>
      </c>
      <c r="E3545">
        <v>2024</v>
      </c>
      <c r="F3545" s="1">
        <f t="shared" si="278"/>
        <v>45487</v>
      </c>
      <c r="G3545" s="1" t="s">
        <v>683</v>
      </c>
      <c r="H3545" s="2">
        <v>48021</v>
      </c>
      <c r="I3545" t="s">
        <v>19</v>
      </c>
      <c r="J3545">
        <v>9</v>
      </c>
      <c r="K3545">
        <v>37591.06</v>
      </c>
      <c r="L3545" t="s">
        <v>973</v>
      </c>
      <c r="M3545">
        <v>26</v>
      </c>
      <c r="N3545" t="s">
        <v>36</v>
      </c>
      <c r="O3545" s="3" t="s">
        <v>22</v>
      </c>
      <c r="P3545" t="s">
        <v>77</v>
      </c>
      <c r="Q3545" t="s">
        <v>24</v>
      </c>
      <c r="R3545">
        <v>4</v>
      </c>
      <c r="S3545" t="s">
        <v>84</v>
      </c>
      <c r="T3545" s="4">
        <f t="shared" si="279"/>
        <v>338319.54</v>
      </c>
      <c r="U3545" s="4" t="str">
        <f t="shared" si="280"/>
        <v>Good</v>
      </c>
      <c r="V3545" s="4" t="str">
        <f t="shared" si="276"/>
        <v>Excellent</v>
      </c>
      <c r="W3545" s="4"/>
      <c r="X3545" s="4"/>
      <c r="AJ3545" s="4"/>
    </row>
    <row r="3546" spans="1:36">
      <c r="A3546" t="str">
        <f t="shared" si="277"/>
        <v>Sanj303545</v>
      </c>
      <c r="B3546">
        <v>3545</v>
      </c>
      <c r="C3546">
        <v>15</v>
      </c>
      <c r="D3546">
        <v>7</v>
      </c>
      <c r="E3546">
        <v>2024</v>
      </c>
      <c r="F3546" s="1">
        <f t="shared" si="278"/>
        <v>45488</v>
      </c>
      <c r="G3546" s="1" t="s">
        <v>683</v>
      </c>
      <c r="H3546" s="2">
        <v>48022</v>
      </c>
      <c r="I3546" t="s">
        <v>49</v>
      </c>
      <c r="J3546">
        <v>7</v>
      </c>
      <c r="K3546">
        <v>21519.52</v>
      </c>
      <c r="L3546" t="s">
        <v>216</v>
      </c>
      <c r="M3546">
        <v>30</v>
      </c>
      <c r="N3546" t="s">
        <v>36</v>
      </c>
      <c r="O3546" s="3" t="s">
        <v>28</v>
      </c>
      <c r="P3546" t="s">
        <v>23</v>
      </c>
      <c r="Q3546" t="s">
        <v>24</v>
      </c>
      <c r="R3546">
        <v>3</v>
      </c>
      <c r="S3546" t="s">
        <v>88</v>
      </c>
      <c r="T3546" s="4">
        <f t="shared" si="279"/>
        <v>150636.64000000001</v>
      </c>
      <c r="U3546" s="4" t="str">
        <f t="shared" si="280"/>
        <v>Average</v>
      </c>
      <c r="V3546" s="4" t="str">
        <f t="shared" si="276"/>
        <v>Good</v>
      </c>
      <c r="W3546" s="4"/>
      <c r="X3546" s="4"/>
      <c r="AJ3546" s="4"/>
    </row>
    <row r="3547" spans="1:36">
      <c r="A3547" t="str">
        <f t="shared" si="277"/>
        <v>Ravi263546</v>
      </c>
      <c r="B3547">
        <v>3546</v>
      </c>
      <c r="C3547">
        <v>15</v>
      </c>
      <c r="D3547">
        <v>7</v>
      </c>
      <c r="E3547">
        <v>2024</v>
      </c>
      <c r="F3547" s="1">
        <f t="shared" si="278"/>
        <v>45488</v>
      </c>
      <c r="G3547" s="1" t="s">
        <v>683</v>
      </c>
      <c r="H3547" s="2">
        <v>48023</v>
      </c>
      <c r="I3547" t="s">
        <v>49</v>
      </c>
      <c r="J3547">
        <v>7</v>
      </c>
      <c r="K3547">
        <v>23492.51</v>
      </c>
      <c r="L3547" t="s">
        <v>402</v>
      </c>
      <c r="M3547">
        <v>26</v>
      </c>
      <c r="N3547" t="s">
        <v>36</v>
      </c>
      <c r="O3547" s="3" t="s">
        <v>28</v>
      </c>
      <c r="P3547" t="s">
        <v>90</v>
      </c>
      <c r="Q3547" t="s">
        <v>30</v>
      </c>
      <c r="R3547">
        <v>3</v>
      </c>
      <c r="S3547" t="s">
        <v>52</v>
      </c>
      <c r="T3547" s="4">
        <f t="shared" si="279"/>
        <v>164447.56999999998</v>
      </c>
      <c r="U3547" s="4" t="str">
        <f t="shared" si="280"/>
        <v>Average</v>
      </c>
      <c r="V3547" s="4" t="str">
        <f t="shared" si="276"/>
        <v>Good</v>
      </c>
      <c r="W3547" s="4"/>
      <c r="X3547" s="4"/>
      <c r="AJ3547" s="4"/>
    </row>
    <row r="3548" spans="1:36">
      <c r="A3548" t="str">
        <f t="shared" si="277"/>
        <v>Mano483547</v>
      </c>
      <c r="B3548">
        <v>3547</v>
      </c>
      <c r="C3548">
        <v>15</v>
      </c>
      <c r="D3548">
        <v>7</v>
      </c>
      <c r="E3548">
        <v>2024</v>
      </c>
      <c r="F3548" s="1">
        <f t="shared" si="278"/>
        <v>45488</v>
      </c>
      <c r="G3548" s="1" t="s">
        <v>683</v>
      </c>
      <c r="H3548" s="2">
        <v>48024</v>
      </c>
      <c r="I3548" t="s">
        <v>19</v>
      </c>
      <c r="J3548">
        <v>8</v>
      </c>
      <c r="K3548">
        <v>26292.69</v>
      </c>
      <c r="L3548" t="s">
        <v>797</v>
      </c>
      <c r="M3548">
        <v>48</v>
      </c>
      <c r="N3548" t="s">
        <v>61</v>
      </c>
      <c r="O3548" s="3" t="s">
        <v>55</v>
      </c>
      <c r="P3548" t="s">
        <v>137</v>
      </c>
      <c r="Q3548" t="s">
        <v>56</v>
      </c>
      <c r="R3548">
        <v>2</v>
      </c>
      <c r="S3548" t="s">
        <v>84</v>
      </c>
      <c r="T3548" s="4">
        <f t="shared" si="279"/>
        <v>210341.52</v>
      </c>
      <c r="U3548" s="4" t="str">
        <f t="shared" si="280"/>
        <v>Average</v>
      </c>
      <c r="V3548" s="4" t="str">
        <f t="shared" si="276"/>
        <v>Excellent</v>
      </c>
      <c r="W3548" s="4"/>
      <c r="X3548" s="4"/>
      <c r="AJ3548" s="4"/>
    </row>
    <row r="3549" spans="1:36">
      <c r="A3549" t="str">
        <f t="shared" si="277"/>
        <v>Ravi423548</v>
      </c>
      <c r="B3549">
        <v>3548</v>
      </c>
      <c r="C3549">
        <v>16</v>
      </c>
      <c r="D3549">
        <v>7</v>
      </c>
      <c r="E3549">
        <v>2024</v>
      </c>
      <c r="F3549" s="1">
        <f t="shared" si="278"/>
        <v>45489</v>
      </c>
      <c r="G3549" s="1" t="s">
        <v>683</v>
      </c>
      <c r="H3549" s="2">
        <v>48025</v>
      </c>
      <c r="I3549" t="s">
        <v>38</v>
      </c>
      <c r="J3549">
        <v>7</v>
      </c>
      <c r="K3549">
        <v>36955.589999999997</v>
      </c>
      <c r="L3549" t="s">
        <v>622</v>
      </c>
      <c r="M3549">
        <v>42</v>
      </c>
      <c r="N3549" t="s">
        <v>21</v>
      </c>
      <c r="O3549" s="3" t="s">
        <v>22</v>
      </c>
      <c r="P3549" t="s">
        <v>51</v>
      </c>
      <c r="Q3549" t="s">
        <v>24</v>
      </c>
      <c r="R3549">
        <v>4</v>
      </c>
      <c r="S3549" t="s">
        <v>99</v>
      </c>
      <c r="T3549" s="4">
        <f t="shared" si="279"/>
        <v>258689.12999999998</v>
      </c>
      <c r="U3549" s="4" t="str">
        <f t="shared" si="280"/>
        <v>Good</v>
      </c>
      <c r="V3549" s="4" t="str">
        <f t="shared" si="276"/>
        <v>Excellent</v>
      </c>
      <c r="W3549" s="4"/>
      <c r="X3549" s="4"/>
      <c r="AJ3549" s="4"/>
    </row>
    <row r="3550" spans="1:36">
      <c r="A3550" t="str">
        <f t="shared" si="277"/>
        <v>Kavi253549</v>
      </c>
      <c r="B3550">
        <v>3549</v>
      </c>
      <c r="C3550">
        <v>16</v>
      </c>
      <c r="D3550">
        <v>7</v>
      </c>
      <c r="E3550">
        <v>2024</v>
      </c>
      <c r="F3550" s="1">
        <f t="shared" si="278"/>
        <v>45489</v>
      </c>
      <c r="G3550" s="1" t="s">
        <v>683</v>
      </c>
      <c r="H3550" s="2">
        <v>48026</v>
      </c>
      <c r="I3550" t="s">
        <v>19</v>
      </c>
      <c r="J3550">
        <v>9</v>
      </c>
      <c r="K3550">
        <v>49168.800000000003</v>
      </c>
      <c r="L3550" t="s">
        <v>736</v>
      </c>
      <c r="M3550">
        <v>25</v>
      </c>
      <c r="N3550" t="s">
        <v>36</v>
      </c>
      <c r="O3550" s="3" t="s">
        <v>22</v>
      </c>
      <c r="P3550" t="s">
        <v>90</v>
      </c>
      <c r="Q3550" t="s">
        <v>41</v>
      </c>
      <c r="R3550">
        <v>4</v>
      </c>
      <c r="S3550" t="s">
        <v>37</v>
      </c>
      <c r="T3550" s="4">
        <f t="shared" si="279"/>
        <v>442519.2</v>
      </c>
      <c r="U3550" s="4" t="str">
        <f t="shared" si="280"/>
        <v>Good</v>
      </c>
      <c r="V3550" s="4" t="str">
        <f t="shared" si="276"/>
        <v>Excellent</v>
      </c>
      <c r="W3550" s="4"/>
      <c r="X3550" s="4"/>
      <c r="AJ3550" s="4"/>
    </row>
    <row r="3551" spans="1:36">
      <c r="A3551" t="str">
        <f t="shared" si="277"/>
        <v>Anit483550</v>
      </c>
      <c r="B3551">
        <v>3550</v>
      </c>
      <c r="C3551">
        <v>16</v>
      </c>
      <c r="D3551">
        <v>7</v>
      </c>
      <c r="E3551">
        <v>2024</v>
      </c>
      <c r="F3551" s="1">
        <f t="shared" si="278"/>
        <v>45489</v>
      </c>
      <c r="G3551" s="1" t="s">
        <v>683</v>
      </c>
      <c r="H3551" s="2">
        <v>48027</v>
      </c>
      <c r="I3551" t="s">
        <v>49</v>
      </c>
      <c r="J3551">
        <v>9</v>
      </c>
      <c r="K3551">
        <v>61368.77</v>
      </c>
      <c r="L3551" t="s">
        <v>829</v>
      </c>
      <c r="M3551">
        <v>48</v>
      </c>
      <c r="N3551" t="s">
        <v>61</v>
      </c>
      <c r="O3551" s="3" t="s">
        <v>22</v>
      </c>
      <c r="P3551" t="s">
        <v>33</v>
      </c>
      <c r="Q3551" t="s">
        <v>30</v>
      </c>
      <c r="R3551">
        <v>5</v>
      </c>
      <c r="S3551" t="s">
        <v>102</v>
      </c>
      <c r="T3551" s="4">
        <f t="shared" si="279"/>
        <v>552318.92999999993</v>
      </c>
      <c r="U3551" s="4" t="str">
        <f t="shared" si="280"/>
        <v>Good</v>
      </c>
      <c r="V3551" s="4" t="str">
        <f t="shared" si="276"/>
        <v>Excellent</v>
      </c>
      <c r="W3551" s="4"/>
      <c r="X3551" s="4"/>
      <c r="AJ3551" s="4"/>
    </row>
    <row r="3552" spans="1:36">
      <c r="A3552" t="str">
        <f t="shared" si="277"/>
        <v>Anja483551</v>
      </c>
      <c r="B3552">
        <v>3551</v>
      </c>
      <c r="C3552">
        <v>17</v>
      </c>
      <c r="D3552">
        <v>7</v>
      </c>
      <c r="E3552">
        <v>2024</v>
      </c>
      <c r="F3552" s="1">
        <f t="shared" si="278"/>
        <v>45490</v>
      </c>
      <c r="G3552" s="1" t="s">
        <v>683</v>
      </c>
      <c r="H3552" s="2">
        <v>48028</v>
      </c>
      <c r="I3552" t="s">
        <v>49</v>
      </c>
      <c r="J3552">
        <v>6</v>
      </c>
      <c r="K3552">
        <v>27227.91</v>
      </c>
      <c r="L3552" t="s">
        <v>850</v>
      </c>
      <c r="M3552">
        <v>48</v>
      </c>
      <c r="N3552" t="s">
        <v>61</v>
      </c>
      <c r="O3552" s="3" t="s">
        <v>55</v>
      </c>
      <c r="P3552" t="s">
        <v>29</v>
      </c>
      <c r="Q3552" t="s">
        <v>56</v>
      </c>
      <c r="R3552">
        <v>2</v>
      </c>
      <c r="S3552" t="s">
        <v>88</v>
      </c>
      <c r="T3552" s="4">
        <f t="shared" si="279"/>
        <v>163367.46</v>
      </c>
      <c r="U3552" s="4" t="str">
        <f t="shared" si="280"/>
        <v>Average</v>
      </c>
      <c r="V3552" s="4" t="str">
        <f t="shared" si="276"/>
        <v>Good</v>
      </c>
      <c r="W3552" s="4"/>
      <c r="X3552" s="4"/>
      <c r="AJ3552" s="4"/>
    </row>
    <row r="3553" spans="1:36">
      <c r="A3553" t="str">
        <f t="shared" si="277"/>
        <v>Nami343552</v>
      </c>
      <c r="B3553">
        <v>3552</v>
      </c>
      <c r="C3553">
        <v>17</v>
      </c>
      <c r="D3553">
        <v>7</v>
      </c>
      <c r="E3553">
        <v>2024</v>
      </c>
      <c r="F3553" s="1">
        <f t="shared" si="278"/>
        <v>45490</v>
      </c>
      <c r="G3553" s="1" t="s">
        <v>683</v>
      </c>
      <c r="H3553" s="2">
        <v>48029</v>
      </c>
      <c r="I3553" t="s">
        <v>26</v>
      </c>
      <c r="J3553">
        <v>7</v>
      </c>
      <c r="K3553">
        <v>21023.7</v>
      </c>
      <c r="L3553" t="s">
        <v>697</v>
      </c>
      <c r="M3553">
        <v>34</v>
      </c>
      <c r="N3553" t="s">
        <v>21</v>
      </c>
      <c r="O3553" s="3" t="s">
        <v>22</v>
      </c>
      <c r="P3553" t="s">
        <v>77</v>
      </c>
      <c r="Q3553" t="s">
        <v>24</v>
      </c>
      <c r="R3553">
        <v>5</v>
      </c>
      <c r="S3553" t="s">
        <v>34</v>
      </c>
      <c r="T3553" s="4">
        <f t="shared" si="279"/>
        <v>147165.9</v>
      </c>
      <c r="U3553" s="4" t="str">
        <f t="shared" si="280"/>
        <v>Good</v>
      </c>
      <c r="V3553" s="4" t="str">
        <f t="shared" si="276"/>
        <v>Good</v>
      </c>
      <c r="W3553" s="4"/>
      <c r="X3553" s="4"/>
      <c r="AJ3553" s="4"/>
    </row>
    <row r="3554" spans="1:36">
      <c r="A3554" t="str">
        <f t="shared" si="277"/>
        <v>Vive363553</v>
      </c>
      <c r="B3554">
        <v>3553</v>
      </c>
      <c r="C3554">
        <v>17</v>
      </c>
      <c r="D3554">
        <v>7</v>
      </c>
      <c r="E3554">
        <v>2024</v>
      </c>
      <c r="F3554" s="1">
        <f t="shared" si="278"/>
        <v>45490</v>
      </c>
      <c r="G3554" s="1" t="s">
        <v>683</v>
      </c>
      <c r="H3554" s="2">
        <v>48030</v>
      </c>
      <c r="I3554" t="s">
        <v>26</v>
      </c>
      <c r="J3554">
        <v>2</v>
      </c>
      <c r="K3554">
        <v>32730.85</v>
      </c>
      <c r="L3554" t="s">
        <v>513</v>
      </c>
      <c r="M3554">
        <v>36</v>
      </c>
      <c r="N3554" t="s">
        <v>21</v>
      </c>
      <c r="O3554" s="3" t="s">
        <v>55</v>
      </c>
      <c r="P3554" t="s">
        <v>29</v>
      </c>
      <c r="Q3554" t="s">
        <v>41</v>
      </c>
      <c r="R3554">
        <v>2</v>
      </c>
      <c r="S3554" t="s">
        <v>67</v>
      </c>
      <c r="T3554" s="4">
        <f t="shared" si="279"/>
        <v>65461.7</v>
      </c>
      <c r="U3554" s="4" t="str">
        <f t="shared" si="280"/>
        <v>Average</v>
      </c>
      <c r="V3554" s="4" t="str">
        <f t="shared" si="276"/>
        <v>Average</v>
      </c>
      <c r="W3554" s="4"/>
      <c r="X3554" s="4"/>
      <c r="AJ3554" s="4"/>
    </row>
    <row r="3555" spans="1:36">
      <c r="A3555" t="str">
        <f t="shared" si="277"/>
        <v>Meen203554</v>
      </c>
      <c r="B3555">
        <v>3554</v>
      </c>
      <c r="C3555">
        <v>17</v>
      </c>
      <c r="D3555">
        <v>7</v>
      </c>
      <c r="E3555">
        <v>2024</v>
      </c>
      <c r="F3555" s="1">
        <f t="shared" si="278"/>
        <v>45490</v>
      </c>
      <c r="G3555" s="1" t="s">
        <v>683</v>
      </c>
      <c r="H3555" s="2">
        <v>48031</v>
      </c>
      <c r="I3555" t="s">
        <v>43</v>
      </c>
      <c r="J3555">
        <v>9</v>
      </c>
      <c r="K3555">
        <v>63662.98</v>
      </c>
      <c r="L3555" t="s">
        <v>755</v>
      </c>
      <c r="M3555">
        <v>20</v>
      </c>
      <c r="N3555" t="s">
        <v>36</v>
      </c>
      <c r="O3555" s="3" t="s">
        <v>22</v>
      </c>
      <c r="P3555" t="s">
        <v>110</v>
      </c>
      <c r="Q3555" t="s">
        <v>24</v>
      </c>
      <c r="R3555">
        <v>5</v>
      </c>
      <c r="S3555" t="s">
        <v>57</v>
      </c>
      <c r="T3555" s="4">
        <f t="shared" si="279"/>
        <v>572966.82000000007</v>
      </c>
      <c r="U3555" s="4" t="str">
        <f t="shared" si="280"/>
        <v>Good</v>
      </c>
      <c r="V3555" s="4" t="str">
        <f t="shared" si="276"/>
        <v>Excellent</v>
      </c>
      <c r="W3555" s="4"/>
      <c r="X3555" s="4"/>
      <c r="AJ3555" s="4"/>
    </row>
    <row r="3556" spans="1:36">
      <c r="A3556" t="str">
        <f t="shared" si="277"/>
        <v>Lali473555</v>
      </c>
      <c r="B3556">
        <v>3555</v>
      </c>
      <c r="C3556">
        <v>18</v>
      </c>
      <c r="D3556">
        <v>7</v>
      </c>
      <c r="E3556">
        <v>2024</v>
      </c>
      <c r="F3556" s="1">
        <f t="shared" si="278"/>
        <v>45491</v>
      </c>
      <c r="G3556" s="1" t="s">
        <v>683</v>
      </c>
      <c r="H3556" s="2">
        <v>48032</v>
      </c>
      <c r="I3556" t="s">
        <v>49</v>
      </c>
      <c r="J3556">
        <v>1</v>
      </c>
      <c r="K3556">
        <v>10591.64</v>
      </c>
      <c r="L3556" t="s">
        <v>709</v>
      </c>
      <c r="M3556">
        <v>47</v>
      </c>
      <c r="N3556" t="s">
        <v>61</v>
      </c>
      <c r="O3556" s="3" t="s">
        <v>22</v>
      </c>
      <c r="P3556" t="s">
        <v>29</v>
      </c>
      <c r="Q3556" t="s">
        <v>56</v>
      </c>
      <c r="R3556">
        <v>5</v>
      </c>
      <c r="S3556" t="s">
        <v>102</v>
      </c>
      <c r="T3556" s="4">
        <f t="shared" si="279"/>
        <v>10591.64</v>
      </c>
      <c r="U3556" s="4" t="str">
        <f t="shared" si="280"/>
        <v>Good</v>
      </c>
      <c r="V3556" s="4" t="str">
        <f t="shared" si="276"/>
        <v>Low</v>
      </c>
      <c r="W3556" s="4"/>
      <c r="X3556" s="4"/>
      <c r="AJ3556" s="4"/>
    </row>
    <row r="3557" spans="1:36">
      <c r="A3557" t="str">
        <f t="shared" si="277"/>
        <v>Rame273556</v>
      </c>
      <c r="B3557">
        <v>3556</v>
      </c>
      <c r="C3557">
        <v>18</v>
      </c>
      <c r="D3557">
        <v>7</v>
      </c>
      <c r="E3557">
        <v>2024</v>
      </c>
      <c r="F3557" s="1">
        <f t="shared" si="278"/>
        <v>45491</v>
      </c>
      <c r="G3557" s="1" t="s">
        <v>683</v>
      </c>
      <c r="H3557" s="2">
        <v>48033</v>
      </c>
      <c r="I3557" t="s">
        <v>26</v>
      </c>
      <c r="J3557">
        <v>1</v>
      </c>
      <c r="K3557">
        <v>50672.12</v>
      </c>
      <c r="L3557" t="s">
        <v>975</v>
      </c>
      <c r="M3557">
        <v>27</v>
      </c>
      <c r="N3557" t="s">
        <v>36</v>
      </c>
      <c r="O3557" s="3" t="s">
        <v>22</v>
      </c>
      <c r="P3557" t="s">
        <v>117</v>
      </c>
      <c r="Q3557" t="s">
        <v>56</v>
      </c>
      <c r="R3557">
        <v>4</v>
      </c>
      <c r="S3557" t="s">
        <v>67</v>
      </c>
      <c r="T3557" s="4">
        <f t="shared" si="279"/>
        <v>50672.12</v>
      </c>
      <c r="U3557" s="4" t="str">
        <f t="shared" si="280"/>
        <v>Good</v>
      </c>
      <c r="V3557" s="4" t="str">
        <f t="shared" si="276"/>
        <v>Average</v>
      </c>
      <c r="W3557" s="4"/>
      <c r="X3557" s="4"/>
      <c r="AJ3557" s="4"/>
    </row>
    <row r="3558" spans="1:36">
      <c r="A3558" t="str">
        <f t="shared" si="277"/>
        <v>Moni463557</v>
      </c>
      <c r="B3558">
        <v>3557</v>
      </c>
      <c r="C3558">
        <v>18</v>
      </c>
      <c r="D3558">
        <v>7</v>
      </c>
      <c r="E3558">
        <v>2024</v>
      </c>
      <c r="F3558" s="1">
        <f t="shared" si="278"/>
        <v>45491</v>
      </c>
      <c r="G3558" s="1" t="s">
        <v>683</v>
      </c>
      <c r="H3558" s="2">
        <v>48034</v>
      </c>
      <c r="I3558" t="s">
        <v>19</v>
      </c>
      <c r="J3558">
        <v>3</v>
      </c>
      <c r="K3558">
        <v>38629.599999999999</v>
      </c>
      <c r="L3558" t="s">
        <v>744</v>
      </c>
      <c r="M3558">
        <v>46</v>
      </c>
      <c r="N3558" t="s">
        <v>61</v>
      </c>
      <c r="O3558" s="3" t="s">
        <v>22</v>
      </c>
      <c r="P3558" t="s">
        <v>132</v>
      </c>
      <c r="Q3558" t="s">
        <v>24</v>
      </c>
      <c r="R3558">
        <v>4</v>
      </c>
      <c r="S3558" t="s">
        <v>37</v>
      </c>
      <c r="T3558" s="4">
        <f t="shared" si="279"/>
        <v>115888.79999999999</v>
      </c>
      <c r="U3558" s="4" t="str">
        <f t="shared" si="280"/>
        <v>Good</v>
      </c>
      <c r="V3558" s="4" t="str">
        <f t="shared" si="276"/>
        <v>Good</v>
      </c>
      <c r="W3558" s="4"/>
      <c r="X3558" s="4"/>
      <c r="AJ3558" s="4"/>
    </row>
    <row r="3559" spans="1:36">
      <c r="A3559" t="str">
        <f t="shared" si="277"/>
        <v>Anja573558</v>
      </c>
      <c r="B3559">
        <v>3558</v>
      </c>
      <c r="C3559">
        <v>19</v>
      </c>
      <c r="D3559">
        <v>7</v>
      </c>
      <c r="E3559">
        <v>2024</v>
      </c>
      <c r="F3559" s="1">
        <f t="shared" si="278"/>
        <v>45492</v>
      </c>
      <c r="G3559" s="1" t="s">
        <v>683</v>
      </c>
      <c r="H3559" s="2">
        <v>48035</v>
      </c>
      <c r="I3559" t="s">
        <v>38</v>
      </c>
      <c r="J3559">
        <v>6</v>
      </c>
      <c r="K3559">
        <v>19662.77</v>
      </c>
      <c r="L3559" t="s">
        <v>958</v>
      </c>
      <c r="M3559">
        <v>57</v>
      </c>
      <c r="N3559" t="s">
        <v>61</v>
      </c>
      <c r="O3559" s="3" t="s">
        <v>28</v>
      </c>
      <c r="P3559" t="s">
        <v>29</v>
      </c>
      <c r="Q3559" t="s">
        <v>24</v>
      </c>
      <c r="R3559">
        <v>3</v>
      </c>
      <c r="S3559" t="s">
        <v>42</v>
      </c>
      <c r="T3559" s="4">
        <f t="shared" si="279"/>
        <v>117976.62</v>
      </c>
      <c r="U3559" s="4" t="str">
        <f t="shared" si="280"/>
        <v>Average</v>
      </c>
      <c r="V3559" s="4" t="str">
        <f t="shared" si="276"/>
        <v>Good</v>
      </c>
      <c r="W3559" s="4"/>
      <c r="X3559" s="4"/>
      <c r="AJ3559" s="4"/>
    </row>
    <row r="3560" spans="1:36">
      <c r="A3560" t="str">
        <f t="shared" si="277"/>
        <v>Bhav353559</v>
      </c>
      <c r="B3560">
        <v>3559</v>
      </c>
      <c r="C3560">
        <v>19</v>
      </c>
      <c r="D3560">
        <v>7</v>
      </c>
      <c r="E3560">
        <v>2024</v>
      </c>
      <c r="F3560" s="1">
        <f t="shared" si="278"/>
        <v>45492</v>
      </c>
      <c r="G3560" s="1" t="s">
        <v>683</v>
      </c>
      <c r="H3560" s="2">
        <v>48036</v>
      </c>
      <c r="I3560" t="s">
        <v>19</v>
      </c>
      <c r="J3560">
        <v>5</v>
      </c>
      <c r="K3560">
        <v>29261.29</v>
      </c>
      <c r="L3560" t="s">
        <v>433</v>
      </c>
      <c r="M3560">
        <v>35</v>
      </c>
      <c r="N3560" t="s">
        <v>21</v>
      </c>
      <c r="O3560" s="3" t="s">
        <v>28</v>
      </c>
      <c r="P3560" t="s">
        <v>29</v>
      </c>
      <c r="Q3560" t="s">
        <v>30</v>
      </c>
      <c r="R3560">
        <v>3</v>
      </c>
      <c r="S3560" t="s">
        <v>84</v>
      </c>
      <c r="T3560" s="4">
        <f t="shared" si="279"/>
        <v>146306.45000000001</v>
      </c>
      <c r="U3560" s="4" t="str">
        <f t="shared" si="280"/>
        <v>Average</v>
      </c>
      <c r="V3560" s="4" t="str">
        <f t="shared" si="276"/>
        <v>Good</v>
      </c>
      <c r="W3560" s="4"/>
      <c r="X3560" s="4"/>
      <c r="AJ3560" s="4"/>
    </row>
    <row r="3561" spans="1:36">
      <c r="A3561" t="str">
        <f t="shared" si="277"/>
        <v>Vija293560</v>
      </c>
      <c r="B3561">
        <v>3560</v>
      </c>
      <c r="C3561">
        <v>19</v>
      </c>
      <c r="D3561">
        <v>7</v>
      </c>
      <c r="E3561">
        <v>2024</v>
      </c>
      <c r="F3561" s="1">
        <f t="shared" si="278"/>
        <v>45492</v>
      </c>
      <c r="G3561" s="1" t="s">
        <v>683</v>
      </c>
      <c r="H3561" s="2">
        <v>48037</v>
      </c>
      <c r="I3561" t="s">
        <v>38</v>
      </c>
      <c r="J3561">
        <v>2</v>
      </c>
      <c r="K3561">
        <v>23497</v>
      </c>
      <c r="L3561" t="s">
        <v>290</v>
      </c>
      <c r="M3561">
        <v>29</v>
      </c>
      <c r="N3561" t="s">
        <v>36</v>
      </c>
      <c r="O3561" s="3" t="s">
        <v>22</v>
      </c>
      <c r="P3561" t="s">
        <v>33</v>
      </c>
      <c r="Q3561" t="s">
        <v>56</v>
      </c>
      <c r="R3561">
        <v>4</v>
      </c>
      <c r="S3561" t="s">
        <v>42</v>
      </c>
      <c r="T3561" s="4">
        <f t="shared" si="279"/>
        <v>46994</v>
      </c>
      <c r="U3561" s="4" t="str">
        <f t="shared" si="280"/>
        <v>Good</v>
      </c>
      <c r="V3561" s="4" t="str">
        <f t="shared" si="276"/>
        <v>Low</v>
      </c>
      <c r="W3561" s="4"/>
      <c r="X3561" s="4"/>
      <c r="AJ3561" s="4"/>
    </row>
    <row r="3562" spans="1:36">
      <c r="A3562" t="str">
        <f t="shared" si="277"/>
        <v>Pooj403561</v>
      </c>
      <c r="B3562">
        <v>3561</v>
      </c>
      <c r="C3562">
        <v>20</v>
      </c>
      <c r="D3562">
        <v>7</v>
      </c>
      <c r="E3562">
        <v>2024</v>
      </c>
      <c r="F3562" s="1">
        <f t="shared" si="278"/>
        <v>45493</v>
      </c>
      <c r="G3562" s="1" t="s">
        <v>683</v>
      </c>
      <c r="H3562" s="2">
        <v>48038</v>
      </c>
      <c r="I3562" t="s">
        <v>26</v>
      </c>
      <c r="J3562">
        <v>9</v>
      </c>
      <c r="K3562">
        <v>62669.93</v>
      </c>
      <c r="L3562" t="s">
        <v>101</v>
      </c>
      <c r="M3562">
        <v>40</v>
      </c>
      <c r="N3562" t="s">
        <v>21</v>
      </c>
      <c r="O3562" s="3" t="s">
        <v>22</v>
      </c>
      <c r="P3562" t="s">
        <v>59</v>
      </c>
      <c r="Q3562" t="s">
        <v>56</v>
      </c>
      <c r="R3562">
        <v>4</v>
      </c>
      <c r="S3562" t="s">
        <v>34</v>
      </c>
      <c r="T3562" s="4">
        <f t="shared" si="279"/>
        <v>564029.37</v>
      </c>
      <c r="U3562" s="4" t="str">
        <f t="shared" si="280"/>
        <v>Good</v>
      </c>
      <c r="V3562" s="4" t="str">
        <f t="shared" si="276"/>
        <v>Excellent</v>
      </c>
      <c r="W3562" s="4"/>
      <c r="X3562" s="4"/>
      <c r="AJ3562" s="4"/>
    </row>
    <row r="3563" spans="1:36">
      <c r="A3563" t="str">
        <f t="shared" si="277"/>
        <v>Vive283562</v>
      </c>
      <c r="B3563">
        <v>3562</v>
      </c>
      <c r="C3563">
        <v>20</v>
      </c>
      <c r="D3563">
        <v>7</v>
      </c>
      <c r="E3563">
        <v>2024</v>
      </c>
      <c r="F3563" s="1">
        <f t="shared" si="278"/>
        <v>45493</v>
      </c>
      <c r="G3563" s="1" t="s">
        <v>683</v>
      </c>
      <c r="H3563" s="2">
        <v>48039</v>
      </c>
      <c r="I3563" t="s">
        <v>43</v>
      </c>
      <c r="J3563">
        <v>4</v>
      </c>
      <c r="K3563">
        <v>38912.400000000001</v>
      </c>
      <c r="L3563" t="s">
        <v>490</v>
      </c>
      <c r="M3563">
        <v>28</v>
      </c>
      <c r="N3563" t="s">
        <v>36</v>
      </c>
      <c r="O3563" s="3" t="s">
        <v>22</v>
      </c>
      <c r="P3563" t="s">
        <v>29</v>
      </c>
      <c r="Q3563" t="s">
        <v>24</v>
      </c>
      <c r="R3563">
        <v>5</v>
      </c>
      <c r="S3563" t="s">
        <v>57</v>
      </c>
      <c r="T3563" s="4">
        <f t="shared" si="279"/>
        <v>155649.60000000001</v>
      </c>
      <c r="U3563" s="4" t="str">
        <f t="shared" si="280"/>
        <v>Good</v>
      </c>
      <c r="V3563" s="4" t="str">
        <f t="shared" si="276"/>
        <v>Good</v>
      </c>
      <c r="W3563" s="4"/>
      <c r="X3563" s="4"/>
      <c r="AJ3563" s="4"/>
    </row>
    <row r="3564" spans="1:36">
      <c r="A3564" t="str">
        <f t="shared" si="277"/>
        <v>Adit263563</v>
      </c>
      <c r="B3564">
        <v>3563</v>
      </c>
      <c r="C3564">
        <v>20</v>
      </c>
      <c r="D3564">
        <v>7</v>
      </c>
      <c r="E3564">
        <v>2024</v>
      </c>
      <c r="F3564" s="1">
        <f t="shared" si="278"/>
        <v>45493</v>
      </c>
      <c r="G3564" s="1" t="s">
        <v>683</v>
      </c>
      <c r="H3564" s="2">
        <v>48040</v>
      </c>
      <c r="I3564" t="s">
        <v>19</v>
      </c>
      <c r="J3564">
        <v>4</v>
      </c>
      <c r="K3564">
        <v>43785.66</v>
      </c>
      <c r="L3564" t="s">
        <v>641</v>
      </c>
      <c r="M3564">
        <v>26</v>
      </c>
      <c r="N3564" t="s">
        <v>36</v>
      </c>
      <c r="O3564" s="3" t="s">
        <v>28</v>
      </c>
      <c r="P3564" t="s">
        <v>29</v>
      </c>
      <c r="Q3564" t="s">
        <v>41</v>
      </c>
      <c r="R3564">
        <v>3</v>
      </c>
      <c r="S3564" t="s">
        <v>37</v>
      </c>
      <c r="T3564" s="4">
        <f t="shared" si="279"/>
        <v>175142.64</v>
      </c>
      <c r="U3564" s="4" t="str">
        <f t="shared" si="280"/>
        <v>Average</v>
      </c>
      <c r="V3564" s="4" t="str">
        <f t="shared" si="276"/>
        <v>Good</v>
      </c>
      <c r="W3564" s="4"/>
      <c r="X3564" s="4"/>
      <c r="AJ3564" s="4"/>
    </row>
    <row r="3565" spans="1:36">
      <c r="A3565" t="str">
        <f t="shared" si="277"/>
        <v>Umes413564</v>
      </c>
      <c r="B3565">
        <v>3564</v>
      </c>
      <c r="C3565">
        <v>20</v>
      </c>
      <c r="D3565">
        <v>7</v>
      </c>
      <c r="E3565">
        <v>2024</v>
      </c>
      <c r="F3565" s="1">
        <f t="shared" si="278"/>
        <v>45493</v>
      </c>
      <c r="G3565" s="1" t="s">
        <v>683</v>
      </c>
      <c r="H3565" s="2">
        <v>48041</v>
      </c>
      <c r="I3565" t="s">
        <v>19</v>
      </c>
      <c r="J3565">
        <v>5</v>
      </c>
      <c r="K3565">
        <v>45621.26</v>
      </c>
      <c r="L3565" t="s">
        <v>721</v>
      </c>
      <c r="M3565">
        <v>41</v>
      </c>
      <c r="N3565" t="s">
        <v>21</v>
      </c>
      <c r="O3565" s="3" t="s">
        <v>22</v>
      </c>
      <c r="P3565" t="s">
        <v>33</v>
      </c>
      <c r="Q3565" t="s">
        <v>24</v>
      </c>
      <c r="R3565">
        <v>4</v>
      </c>
      <c r="S3565" t="s">
        <v>84</v>
      </c>
      <c r="T3565" s="4">
        <f t="shared" si="279"/>
        <v>228106.30000000002</v>
      </c>
      <c r="U3565" s="4" t="str">
        <f t="shared" si="280"/>
        <v>Good</v>
      </c>
      <c r="V3565" s="4" t="str">
        <f t="shared" si="276"/>
        <v>Excellent</v>
      </c>
      <c r="W3565" s="4"/>
      <c r="X3565" s="4"/>
      <c r="AJ3565" s="4"/>
    </row>
    <row r="3566" spans="1:36">
      <c r="A3566" t="str">
        <f t="shared" si="277"/>
        <v>Suni423565</v>
      </c>
      <c r="B3566">
        <v>3565</v>
      </c>
      <c r="C3566">
        <v>21</v>
      </c>
      <c r="D3566">
        <v>7</v>
      </c>
      <c r="E3566">
        <v>2024</v>
      </c>
      <c r="F3566" s="1">
        <f t="shared" si="278"/>
        <v>45494</v>
      </c>
      <c r="G3566" s="1" t="s">
        <v>683</v>
      </c>
      <c r="H3566" s="2">
        <v>48042</v>
      </c>
      <c r="I3566" t="s">
        <v>19</v>
      </c>
      <c r="J3566">
        <v>8</v>
      </c>
      <c r="K3566">
        <v>48377.03</v>
      </c>
      <c r="L3566" t="s">
        <v>932</v>
      </c>
      <c r="M3566">
        <v>42</v>
      </c>
      <c r="N3566" t="s">
        <v>21</v>
      </c>
      <c r="O3566" s="3" t="s">
        <v>55</v>
      </c>
      <c r="P3566" t="s">
        <v>33</v>
      </c>
      <c r="Q3566" t="s">
        <v>24</v>
      </c>
      <c r="R3566">
        <v>2</v>
      </c>
      <c r="S3566" t="s">
        <v>84</v>
      </c>
      <c r="T3566" s="4">
        <f t="shared" si="279"/>
        <v>387016.24</v>
      </c>
      <c r="U3566" s="4" t="str">
        <f t="shared" si="280"/>
        <v>Average</v>
      </c>
      <c r="V3566" s="4" t="str">
        <f t="shared" si="276"/>
        <v>Excellent</v>
      </c>
      <c r="W3566" s="4"/>
      <c r="X3566" s="4"/>
      <c r="AJ3566" s="4"/>
    </row>
    <row r="3567" spans="1:36">
      <c r="A3567" t="str">
        <f t="shared" si="277"/>
        <v>Hari423566</v>
      </c>
      <c r="B3567">
        <v>3566</v>
      </c>
      <c r="C3567">
        <v>21</v>
      </c>
      <c r="D3567">
        <v>7</v>
      </c>
      <c r="E3567">
        <v>2024</v>
      </c>
      <c r="F3567" s="1">
        <f t="shared" si="278"/>
        <v>45494</v>
      </c>
      <c r="G3567" s="1" t="s">
        <v>683</v>
      </c>
      <c r="H3567" s="2">
        <v>48043</v>
      </c>
      <c r="I3567" t="s">
        <v>38</v>
      </c>
      <c r="J3567">
        <v>4</v>
      </c>
      <c r="K3567">
        <v>39733.339999999997</v>
      </c>
      <c r="L3567" t="s">
        <v>429</v>
      </c>
      <c r="M3567">
        <v>42</v>
      </c>
      <c r="N3567" t="s">
        <v>21</v>
      </c>
      <c r="O3567" s="3" t="s">
        <v>55</v>
      </c>
      <c r="P3567" t="s">
        <v>77</v>
      </c>
      <c r="Q3567" t="s">
        <v>56</v>
      </c>
      <c r="R3567">
        <v>2</v>
      </c>
      <c r="S3567" t="s">
        <v>48</v>
      </c>
      <c r="T3567" s="4">
        <f t="shared" si="279"/>
        <v>158933.35999999999</v>
      </c>
      <c r="U3567" s="4" t="str">
        <f t="shared" si="280"/>
        <v>Average</v>
      </c>
      <c r="V3567" s="4" t="str">
        <f t="shared" si="276"/>
        <v>Good</v>
      </c>
      <c r="W3567" s="4"/>
      <c r="X3567" s="4"/>
      <c r="AJ3567" s="4"/>
    </row>
    <row r="3568" spans="1:36">
      <c r="A3568" t="str">
        <f t="shared" si="277"/>
        <v>Nami263567</v>
      </c>
      <c r="B3568">
        <v>3567</v>
      </c>
      <c r="C3568">
        <v>21</v>
      </c>
      <c r="D3568">
        <v>7</v>
      </c>
      <c r="E3568">
        <v>2024</v>
      </c>
      <c r="F3568" s="1">
        <f t="shared" si="278"/>
        <v>45494</v>
      </c>
      <c r="G3568" s="1" t="s">
        <v>683</v>
      </c>
      <c r="H3568" s="2">
        <v>48044</v>
      </c>
      <c r="I3568" t="s">
        <v>26</v>
      </c>
      <c r="J3568">
        <v>5</v>
      </c>
      <c r="K3568">
        <v>11072.41</v>
      </c>
      <c r="L3568" t="s">
        <v>214</v>
      </c>
      <c r="M3568">
        <v>26</v>
      </c>
      <c r="N3568" t="s">
        <v>36</v>
      </c>
      <c r="O3568" s="3" t="s">
        <v>28</v>
      </c>
      <c r="P3568" t="s">
        <v>29</v>
      </c>
      <c r="Q3568" t="s">
        <v>30</v>
      </c>
      <c r="R3568">
        <v>3</v>
      </c>
      <c r="S3568" t="s">
        <v>31</v>
      </c>
      <c r="T3568" s="4">
        <f t="shared" si="279"/>
        <v>55362.05</v>
      </c>
      <c r="U3568" s="4" t="str">
        <f t="shared" si="280"/>
        <v>Average</v>
      </c>
      <c r="V3568" s="4" t="str">
        <f t="shared" si="276"/>
        <v>Average</v>
      </c>
      <c r="W3568" s="4"/>
      <c r="X3568" s="4"/>
      <c r="AJ3568" s="4"/>
    </row>
    <row r="3569" spans="1:36">
      <c r="A3569" t="str">
        <f t="shared" si="277"/>
        <v>Vija293568</v>
      </c>
      <c r="B3569">
        <v>3568</v>
      </c>
      <c r="C3569">
        <v>21</v>
      </c>
      <c r="D3569">
        <v>7</v>
      </c>
      <c r="E3569">
        <v>2024</v>
      </c>
      <c r="F3569" s="1">
        <f t="shared" si="278"/>
        <v>45494</v>
      </c>
      <c r="G3569" s="1" t="s">
        <v>683</v>
      </c>
      <c r="H3569" s="2">
        <v>48045</v>
      </c>
      <c r="I3569" t="s">
        <v>19</v>
      </c>
      <c r="J3569">
        <v>4</v>
      </c>
      <c r="K3569">
        <v>30083.360000000001</v>
      </c>
      <c r="L3569" t="s">
        <v>427</v>
      </c>
      <c r="M3569">
        <v>29</v>
      </c>
      <c r="N3569" t="s">
        <v>36</v>
      </c>
      <c r="O3569" s="3" t="s">
        <v>55</v>
      </c>
      <c r="P3569" t="s">
        <v>114</v>
      </c>
      <c r="Q3569" t="s">
        <v>24</v>
      </c>
      <c r="R3569">
        <v>2</v>
      </c>
      <c r="S3569" t="s">
        <v>84</v>
      </c>
      <c r="T3569" s="4">
        <f t="shared" si="279"/>
        <v>120333.44</v>
      </c>
      <c r="U3569" s="4" t="str">
        <f t="shared" si="280"/>
        <v>Average</v>
      </c>
      <c r="V3569" s="4" t="str">
        <f t="shared" si="276"/>
        <v>Good</v>
      </c>
      <c r="W3569" s="4"/>
      <c r="X3569" s="4"/>
      <c r="AJ3569" s="4"/>
    </row>
    <row r="3570" spans="1:36">
      <c r="A3570" t="str">
        <f t="shared" si="277"/>
        <v>Lali283569</v>
      </c>
      <c r="B3570">
        <v>3569</v>
      </c>
      <c r="C3570">
        <v>22</v>
      </c>
      <c r="D3570">
        <v>7</v>
      </c>
      <c r="E3570">
        <v>2024</v>
      </c>
      <c r="F3570" s="1">
        <f t="shared" si="278"/>
        <v>45495</v>
      </c>
      <c r="G3570" s="1" t="s">
        <v>683</v>
      </c>
      <c r="H3570" s="2">
        <v>48046</v>
      </c>
      <c r="I3570" t="s">
        <v>19</v>
      </c>
      <c r="J3570">
        <v>6</v>
      </c>
      <c r="K3570">
        <v>21032.39</v>
      </c>
      <c r="L3570" t="s">
        <v>836</v>
      </c>
      <c r="M3570">
        <v>28</v>
      </c>
      <c r="N3570" t="s">
        <v>36</v>
      </c>
      <c r="O3570" s="3" t="s">
        <v>22</v>
      </c>
      <c r="P3570" t="s">
        <v>33</v>
      </c>
      <c r="Q3570" t="s">
        <v>41</v>
      </c>
      <c r="R3570">
        <v>5</v>
      </c>
      <c r="S3570" t="s">
        <v>37</v>
      </c>
      <c r="T3570" s="4">
        <f t="shared" si="279"/>
        <v>126194.34</v>
      </c>
      <c r="U3570" s="4" t="str">
        <f t="shared" si="280"/>
        <v>Good</v>
      </c>
      <c r="V3570" s="4" t="str">
        <f t="shared" si="276"/>
        <v>Good</v>
      </c>
      <c r="W3570" s="4"/>
      <c r="X3570" s="4"/>
      <c r="AJ3570" s="4"/>
    </row>
    <row r="3571" spans="1:36">
      <c r="A3571" t="str">
        <f t="shared" si="277"/>
        <v>Ayes553570</v>
      </c>
      <c r="B3571">
        <v>3570</v>
      </c>
      <c r="C3571">
        <v>22</v>
      </c>
      <c r="D3571">
        <v>7</v>
      </c>
      <c r="E3571">
        <v>2024</v>
      </c>
      <c r="F3571" s="1">
        <f t="shared" si="278"/>
        <v>45495</v>
      </c>
      <c r="G3571" s="1" t="s">
        <v>683</v>
      </c>
      <c r="H3571" s="2">
        <v>48047</v>
      </c>
      <c r="I3571" t="s">
        <v>43</v>
      </c>
      <c r="J3571">
        <v>3</v>
      </c>
      <c r="K3571">
        <v>50808.57</v>
      </c>
      <c r="L3571" t="s">
        <v>757</v>
      </c>
      <c r="M3571">
        <v>55</v>
      </c>
      <c r="N3571" t="s">
        <v>61</v>
      </c>
      <c r="O3571" s="3" t="s">
        <v>28</v>
      </c>
      <c r="P3571" t="s">
        <v>29</v>
      </c>
      <c r="Q3571" t="s">
        <v>41</v>
      </c>
      <c r="R3571">
        <v>3</v>
      </c>
      <c r="S3571" t="s">
        <v>95</v>
      </c>
      <c r="T3571" s="4">
        <f t="shared" si="279"/>
        <v>152425.71</v>
      </c>
      <c r="U3571" s="4" t="str">
        <f t="shared" si="280"/>
        <v>Average</v>
      </c>
      <c r="V3571" s="4" t="str">
        <f t="shared" si="276"/>
        <v>Good</v>
      </c>
      <c r="W3571" s="4"/>
      <c r="X3571" s="4"/>
      <c r="AJ3571" s="4"/>
    </row>
    <row r="3572" spans="1:36">
      <c r="A3572" t="str">
        <f t="shared" si="277"/>
        <v>Meen453571</v>
      </c>
      <c r="B3572">
        <v>3571</v>
      </c>
      <c r="C3572">
        <v>22</v>
      </c>
      <c r="D3572">
        <v>7</v>
      </c>
      <c r="E3572">
        <v>2024</v>
      </c>
      <c r="F3572" s="1">
        <f t="shared" si="278"/>
        <v>45495</v>
      </c>
      <c r="G3572" s="1" t="s">
        <v>683</v>
      </c>
      <c r="H3572" s="2">
        <v>48048</v>
      </c>
      <c r="I3572" t="s">
        <v>43</v>
      </c>
      <c r="J3572">
        <v>8</v>
      </c>
      <c r="K3572">
        <v>13402.28</v>
      </c>
      <c r="L3572" t="s">
        <v>953</v>
      </c>
      <c r="M3572">
        <v>45</v>
      </c>
      <c r="N3572" t="s">
        <v>21</v>
      </c>
      <c r="O3572" s="3" t="s">
        <v>22</v>
      </c>
      <c r="P3572" t="s">
        <v>45</v>
      </c>
      <c r="Q3572" t="s">
        <v>24</v>
      </c>
      <c r="R3572">
        <v>4</v>
      </c>
      <c r="S3572" t="s">
        <v>46</v>
      </c>
      <c r="T3572" s="4">
        <f t="shared" si="279"/>
        <v>107218.24000000001</v>
      </c>
      <c r="U3572" s="4" t="str">
        <f t="shared" si="280"/>
        <v>Good</v>
      </c>
      <c r="V3572" s="4" t="str">
        <f t="shared" si="276"/>
        <v>Good</v>
      </c>
      <c r="W3572" s="4"/>
      <c r="X3572" s="4"/>
      <c r="AJ3572" s="4"/>
    </row>
    <row r="3573" spans="1:36">
      <c r="A3573" t="str">
        <f t="shared" si="277"/>
        <v>Deep253572</v>
      </c>
      <c r="B3573">
        <v>3572</v>
      </c>
      <c r="C3573">
        <v>23</v>
      </c>
      <c r="D3573">
        <v>7</v>
      </c>
      <c r="E3573">
        <v>2024</v>
      </c>
      <c r="F3573" s="1">
        <f t="shared" si="278"/>
        <v>45496</v>
      </c>
      <c r="G3573" s="1" t="s">
        <v>683</v>
      </c>
      <c r="H3573" s="2">
        <v>48049</v>
      </c>
      <c r="I3573" t="s">
        <v>26</v>
      </c>
      <c r="J3573">
        <v>6</v>
      </c>
      <c r="K3573">
        <v>43828.2</v>
      </c>
      <c r="L3573" t="s">
        <v>478</v>
      </c>
      <c r="M3573">
        <v>25</v>
      </c>
      <c r="N3573" t="s">
        <v>36</v>
      </c>
      <c r="O3573" s="3" t="s">
        <v>55</v>
      </c>
      <c r="P3573" t="s">
        <v>29</v>
      </c>
      <c r="Q3573" t="s">
        <v>41</v>
      </c>
      <c r="R3573">
        <v>2</v>
      </c>
      <c r="S3573" t="s">
        <v>31</v>
      </c>
      <c r="T3573" s="4">
        <f t="shared" si="279"/>
        <v>262969.19999999995</v>
      </c>
      <c r="U3573" s="4" t="str">
        <f t="shared" si="280"/>
        <v>Average</v>
      </c>
      <c r="V3573" s="4" t="str">
        <f t="shared" si="276"/>
        <v>Excellent</v>
      </c>
      <c r="W3573" s="4"/>
      <c r="X3573" s="4"/>
      <c r="AJ3573" s="4"/>
    </row>
    <row r="3574" spans="1:36">
      <c r="A3574" t="str">
        <f t="shared" si="277"/>
        <v>Arun273573</v>
      </c>
      <c r="B3574">
        <v>3573</v>
      </c>
      <c r="C3574">
        <v>23</v>
      </c>
      <c r="D3574">
        <v>7</v>
      </c>
      <c r="E3574">
        <v>2024</v>
      </c>
      <c r="F3574" s="1">
        <f t="shared" si="278"/>
        <v>45496</v>
      </c>
      <c r="G3574" s="1" t="s">
        <v>683</v>
      </c>
      <c r="H3574" s="2">
        <v>48050</v>
      </c>
      <c r="I3574" t="s">
        <v>26</v>
      </c>
      <c r="J3574">
        <v>5</v>
      </c>
      <c r="K3574">
        <v>22637.9</v>
      </c>
      <c r="L3574" t="s">
        <v>1062</v>
      </c>
      <c r="M3574">
        <v>27</v>
      </c>
      <c r="N3574" t="s">
        <v>36</v>
      </c>
      <c r="O3574" s="3" t="s">
        <v>22</v>
      </c>
      <c r="P3574" t="s">
        <v>64</v>
      </c>
      <c r="Q3574" t="s">
        <v>41</v>
      </c>
      <c r="R3574">
        <v>5</v>
      </c>
      <c r="S3574" t="s">
        <v>34</v>
      </c>
      <c r="T3574" s="4">
        <f t="shared" si="279"/>
        <v>113189.5</v>
      </c>
      <c r="U3574" s="4" t="str">
        <f t="shared" si="280"/>
        <v>Good</v>
      </c>
      <c r="V3574" s="4" t="str">
        <f t="shared" si="276"/>
        <v>Good</v>
      </c>
      <c r="W3574" s="4"/>
      <c r="X3574" s="4"/>
      <c r="AJ3574" s="4"/>
    </row>
    <row r="3575" spans="1:36">
      <c r="A3575" t="str">
        <f t="shared" si="277"/>
        <v>Sanj423574</v>
      </c>
      <c r="B3575">
        <v>3574</v>
      </c>
      <c r="C3575">
        <v>23</v>
      </c>
      <c r="D3575">
        <v>7</v>
      </c>
      <c r="E3575">
        <v>2024</v>
      </c>
      <c r="F3575" s="1">
        <f t="shared" si="278"/>
        <v>45496</v>
      </c>
      <c r="G3575" s="1" t="s">
        <v>683</v>
      </c>
      <c r="H3575" s="2">
        <v>48051</v>
      </c>
      <c r="I3575" t="s">
        <v>49</v>
      </c>
      <c r="J3575">
        <v>2</v>
      </c>
      <c r="K3575">
        <v>66930.75</v>
      </c>
      <c r="L3575" t="s">
        <v>808</v>
      </c>
      <c r="M3575">
        <v>42</v>
      </c>
      <c r="N3575" t="s">
        <v>21</v>
      </c>
      <c r="O3575" s="3" t="s">
        <v>22</v>
      </c>
      <c r="P3575" t="s">
        <v>33</v>
      </c>
      <c r="Q3575" t="s">
        <v>24</v>
      </c>
      <c r="R3575">
        <v>4</v>
      </c>
      <c r="S3575" t="s">
        <v>102</v>
      </c>
      <c r="T3575" s="4">
        <f t="shared" si="279"/>
        <v>133861.5</v>
      </c>
      <c r="U3575" s="4" t="str">
        <f t="shared" si="280"/>
        <v>Good</v>
      </c>
      <c r="V3575" s="4" t="str">
        <f t="shared" si="276"/>
        <v>Good</v>
      </c>
      <c r="W3575" s="4"/>
      <c r="X3575" s="4"/>
      <c r="AJ3575" s="4"/>
    </row>
    <row r="3576" spans="1:36">
      <c r="A3576" t="str">
        <f t="shared" si="277"/>
        <v>Deve533575</v>
      </c>
      <c r="B3576">
        <v>3575</v>
      </c>
      <c r="C3576">
        <v>23</v>
      </c>
      <c r="D3576">
        <v>7</v>
      </c>
      <c r="E3576">
        <v>2024</v>
      </c>
      <c r="F3576" s="1">
        <f t="shared" si="278"/>
        <v>45496</v>
      </c>
      <c r="G3576" s="1" t="s">
        <v>683</v>
      </c>
      <c r="H3576" s="2">
        <v>48052</v>
      </c>
      <c r="I3576" t="s">
        <v>43</v>
      </c>
      <c r="J3576">
        <v>7</v>
      </c>
      <c r="K3576">
        <v>30132.46</v>
      </c>
      <c r="L3576" t="s">
        <v>384</v>
      </c>
      <c r="M3576">
        <v>53</v>
      </c>
      <c r="N3576" t="s">
        <v>61</v>
      </c>
      <c r="O3576" s="3" t="s">
        <v>22</v>
      </c>
      <c r="P3576" t="s">
        <v>29</v>
      </c>
      <c r="Q3576" t="s">
        <v>41</v>
      </c>
      <c r="R3576">
        <v>5</v>
      </c>
      <c r="S3576" t="s">
        <v>95</v>
      </c>
      <c r="T3576" s="4">
        <f t="shared" si="279"/>
        <v>210927.22</v>
      </c>
      <c r="U3576" s="4" t="str">
        <f t="shared" si="280"/>
        <v>Good</v>
      </c>
      <c r="V3576" s="4" t="str">
        <f t="shared" si="276"/>
        <v>Excellent</v>
      </c>
      <c r="W3576" s="4"/>
      <c r="X3576" s="4"/>
      <c r="AJ3576" s="4"/>
    </row>
    <row r="3577" spans="1:36">
      <c r="A3577" t="str">
        <f t="shared" si="277"/>
        <v>Yoge263576</v>
      </c>
      <c r="B3577">
        <v>3576</v>
      </c>
      <c r="C3577">
        <v>24</v>
      </c>
      <c r="D3577">
        <v>7</v>
      </c>
      <c r="E3577">
        <v>2024</v>
      </c>
      <c r="F3577" s="1">
        <f t="shared" si="278"/>
        <v>45497</v>
      </c>
      <c r="G3577" s="1" t="s">
        <v>683</v>
      </c>
      <c r="H3577" s="2">
        <v>48053</v>
      </c>
      <c r="I3577" t="s">
        <v>49</v>
      </c>
      <c r="J3577">
        <v>2</v>
      </c>
      <c r="K3577">
        <v>29513.27</v>
      </c>
      <c r="L3577" t="s">
        <v>81</v>
      </c>
      <c r="M3577">
        <v>26</v>
      </c>
      <c r="N3577" t="s">
        <v>36</v>
      </c>
      <c r="O3577" s="3" t="s">
        <v>22</v>
      </c>
      <c r="P3577" t="s">
        <v>132</v>
      </c>
      <c r="Q3577" t="s">
        <v>41</v>
      </c>
      <c r="R3577">
        <v>5</v>
      </c>
      <c r="S3577" t="s">
        <v>102</v>
      </c>
      <c r="T3577" s="4">
        <f t="shared" si="279"/>
        <v>59026.54</v>
      </c>
      <c r="U3577" s="4" t="str">
        <f t="shared" si="280"/>
        <v>Good</v>
      </c>
      <c r="V3577" s="4" t="str">
        <f t="shared" si="276"/>
        <v>Average</v>
      </c>
      <c r="W3577" s="4"/>
      <c r="X3577" s="4"/>
      <c r="AJ3577" s="4"/>
    </row>
    <row r="3578" spans="1:36">
      <c r="A3578" t="str">
        <f t="shared" si="277"/>
        <v>Mala583577</v>
      </c>
      <c r="B3578">
        <v>3577</v>
      </c>
      <c r="C3578">
        <v>24</v>
      </c>
      <c r="D3578">
        <v>7</v>
      </c>
      <c r="E3578">
        <v>2024</v>
      </c>
      <c r="F3578" s="1">
        <f t="shared" si="278"/>
        <v>45497</v>
      </c>
      <c r="G3578" s="1" t="s">
        <v>683</v>
      </c>
      <c r="H3578" s="2">
        <v>48054</v>
      </c>
      <c r="I3578" t="s">
        <v>38</v>
      </c>
      <c r="J3578">
        <v>1</v>
      </c>
      <c r="K3578">
        <v>65403.08</v>
      </c>
      <c r="L3578" t="s">
        <v>78</v>
      </c>
      <c r="M3578">
        <v>58</v>
      </c>
      <c r="N3578" t="s">
        <v>61</v>
      </c>
      <c r="O3578" s="3" t="s">
        <v>55</v>
      </c>
      <c r="P3578" t="s">
        <v>114</v>
      </c>
      <c r="Q3578" t="s">
        <v>24</v>
      </c>
      <c r="R3578">
        <v>2</v>
      </c>
      <c r="S3578" t="s">
        <v>48</v>
      </c>
      <c r="T3578" s="4">
        <f t="shared" si="279"/>
        <v>65403.08</v>
      </c>
      <c r="U3578" s="4" t="str">
        <f t="shared" si="280"/>
        <v>Average</v>
      </c>
      <c r="V3578" s="4" t="str">
        <f t="shared" si="276"/>
        <v>Average</v>
      </c>
      <c r="W3578" s="4"/>
      <c r="X3578" s="4"/>
      <c r="AJ3578" s="4"/>
    </row>
    <row r="3579" spans="1:36">
      <c r="A3579" t="str">
        <f t="shared" si="277"/>
        <v>Priy253578</v>
      </c>
      <c r="B3579">
        <v>3578</v>
      </c>
      <c r="C3579">
        <v>24</v>
      </c>
      <c r="D3579">
        <v>7</v>
      </c>
      <c r="E3579">
        <v>2024</v>
      </c>
      <c r="F3579" s="1">
        <f t="shared" si="278"/>
        <v>45497</v>
      </c>
      <c r="G3579" s="1" t="s">
        <v>683</v>
      </c>
      <c r="H3579" s="2">
        <v>48055</v>
      </c>
      <c r="I3579" t="s">
        <v>49</v>
      </c>
      <c r="J3579">
        <v>7</v>
      </c>
      <c r="K3579">
        <v>35040.879999999997</v>
      </c>
      <c r="L3579" t="s">
        <v>317</v>
      </c>
      <c r="M3579">
        <v>25</v>
      </c>
      <c r="N3579" t="s">
        <v>36</v>
      </c>
      <c r="O3579" s="3" t="s">
        <v>22</v>
      </c>
      <c r="P3579" t="s">
        <v>29</v>
      </c>
      <c r="Q3579" t="s">
        <v>56</v>
      </c>
      <c r="R3579">
        <v>5</v>
      </c>
      <c r="S3579" t="s">
        <v>52</v>
      </c>
      <c r="T3579" s="4">
        <f t="shared" si="279"/>
        <v>245286.15999999997</v>
      </c>
      <c r="U3579" s="4" t="str">
        <f t="shared" si="280"/>
        <v>Good</v>
      </c>
      <c r="V3579" s="4" t="str">
        <f t="shared" si="276"/>
        <v>Excellent</v>
      </c>
      <c r="W3579" s="4"/>
      <c r="X3579" s="4"/>
      <c r="AJ3579" s="4"/>
    </row>
    <row r="3580" spans="1:36">
      <c r="A3580" t="str">
        <f t="shared" si="277"/>
        <v>Vive203579</v>
      </c>
      <c r="B3580">
        <v>3579</v>
      </c>
      <c r="C3580">
        <v>25</v>
      </c>
      <c r="D3580">
        <v>7</v>
      </c>
      <c r="E3580">
        <v>2024</v>
      </c>
      <c r="F3580" s="1">
        <f t="shared" si="278"/>
        <v>45498</v>
      </c>
      <c r="G3580" s="1" t="s">
        <v>683</v>
      </c>
      <c r="H3580" s="2">
        <v>48056</v>
      </c>
      <c r="I3580" t="s">
        <v>19</v>
      </c>
      <c r="J3580">
        <v>5</v>
      </c>
      <c r="K3580">
        <v>67771.740000000005</v>
      </c>
      <c r="L3580" t="s">
        <v>942</v>
      </c>
      <c r="M3580">
        <v>20</v>
      </c>
      <c r="N3580" t="s">
        <v>36</v>
      </c>
      <c r="O3580" s="3" t="s">
        <v>22</v>
      </c>
      <c r="P3580" t="s">
        <v>29</v>
      </c>
      <c r="Q3580" t="s">
        <v>30</v>
      </c>
      <c r="R3580">
        <v>5</v>
      </c>
      <c r="S3580" t="s">
        <v>84</v>
      </c>
      <c r="T3580" s="4">
        <f t="shared" si="279"/>
        <v>338858.7</v>
      </c>
      <c r="U3580" s="4" t="str">
        <f t="shared" si="280"/>
        <v>Good</v>
      </c>
      <c r="V3580" s="4" t="str">
        <f t="shared" si="276"/>
        <v>Excellent</v>
      </c>
      <c r="W3580" s="4"/>
      <c r="X3580" s="4"/>
      <c r="AJ3580" s="4"/>
    </row>
    <row r="3581" spans="1:36">
      <c r="A3581" t="str">
        <f t="shared" si="277"/>
        <v>Meen353580</v>
      </c>
      <c r="B3581">
        <v>3580</v>
      </c>
      <c r="C3581">
        <v>25</v>
      </c>
      <c r="D3581">
        <v>7</v>
      </c>
      <c r="E3581">
        <v>2024</v>
      </c>
      <c r="F3581" s="1">
        <f t="shared" si="278"/>
        <v>45498</v>
      </c>
      <c r="G3581" s="1" t="s">
        <v>683</v>
      </c>
      <c r="H3581" s="2">
        <v>48057</v>
      </c>
      <c r="I3581" t="s">
        <v>49</v>
      </c>
      <c r="J3581">
        <v>1</v>
      </c>
      <c r="K3581">
        <v>11450.22</v>
      </c>
      <c r="L3581" t="s">
        <v>505</v>
      </c>
      <c r="M3581">
        <v>35</v>
      </c>
      <c r="N3581" t="s">
        <v>21</v>
      </c>
      <c r="O3581" s="3" t="s">
        <v>22</v>
      </c>
      <c r="P3581" t="s">
        <v>110</v>
      </c>
      <c r="Q3581" t="s">
        <v>30</v>
      </c>
      <c r="R3581">
        <v>5</v>
      </c>
      <c r="S3581" t="s">
        <v>88</v>
      </c>
      <c r="T3581" s="4">
        <f t="shared" si="279"/>
        <v>11450.22</v>
      </c>
      <c r="U3581" s="4" t="str">
        <f t="shared" si="280"/>
        <v>Good</v>
      </c>
      <c r="V3581" s="4" t="str">
        <f t="shared" si="276"/>
        <v>Low</v>
      </c>
      <c r="W3581" s="4"/>
      <c r="X3581" s="4"/>
      <c r="AJ3581" s="4"/>
    </row>
    <row r="3582" spans="1:36">
      <c r="A3582" t="str">
        <f t="shared" si="277"/>
        <v>Anit523581</v>
      </c>
      <c r="B3582">
        <v>3581</v>
      </c>
      <c r="C3582">
        <v>25</v>
      </c>
      <c r="D3582">
        <v>7</v>
      </c>
      <c r="E3582">
        <v>2024</v>
      </c>
      <c r="F3582" s="1">
        <f t="shared" si="278"/>
        <v>45498</v>
      </c>
      <c r="G3582" s="1" t="s">
        <v>683</v>
      </c>
      <c r="H3582" s="2">
        <v>48058</v>
      </c>
      <c r="I3582" t="s">
        <v>26</v>
      </c>
      <c r="J3582">
        <v>4</v>
      </c>
      <c r="K3582">
        <v>28380.67</v>
      </c>
      <c r="L3582" t="s">
        <v>662</v>
      </c>
      <c r="M3582">
        <v>52</v>
      </c>
      <c r="N3582" t="s">
        <v>61</v>
      </c>
      <c r="O3582" s="3" t="s">
        <v>22</v>
      </c>
      <c r="P3582" t="s">
        <v>33</v>
      </c>
      <c r="Q3582" t="s">
        <v>56</v>
      </c>
      <c r="R3582">
        <v>5</v>
      </c>
      <c r="S3582" t="s">
        <v>31</v>
      </c>
      <c r="T3582" s="4">
        <f t="shared" si="279"/>
        <v>113522.68</v>
      </c>
      <c r="U3582" s="4" t="str">
        <f t="shared" si="280"/>
        <v>Good</v>
      </c>
      <c r="V3582" s="4" t="str">
        <f t="shared" si="276"/>
        <v>Good</v>
      </c>
      <c r="W3582" s="4"/>
      <c r="X3582" s="4"/>
      <c r="AJ3582" s="4"/>
    </row>
    <row r="3583" spans="1:36">
      <c r="A3583" t="str">
        <f t="shared" si="277"/>
        <v>Priy343582</v>
      </c>
      <c r="B3583">
        <v>3582</v>
      </c>
      <c r="C3583">
        <v>26</v>
      </c>
      <c r="D3583">
        <v>7</v>
      </c>
      <c r="E3583">
        <v>2024</v>
      </c>
      <c r="F3583" s="1">
        <f t="shared" si="278"/>
        <v>45499</v>
      </c>
      <c r="G3583" s="1" t="s">
        <v>683</v>
      </c>
      <c r="H3583" s="2">
        <v>48059</v>
      </c>
      <c r="I3583" t="s">
        <v>38</v>
      </c>
      <c r="J3583">
        <v>4</v>
      </c>
      <c r="K3583">
        <v>49971.58</v>
      </c>
      <c r="L3583" t="s">
        <v>991</v>
      </c>
      <c r="M3583">
        <v>34</v>
      </c>
      <c r="N3583" t="s">
        <v>21</v>
      </c>
      <c r="O3583" s="3" t="s">
        <v>22</v>
      </c>
      <c r="P3583" t="s">
        <v>64</v>
      </c>
      <c r="Q3583" t="s">
        <v>24</v>
      </c>
      <c r="R3583">
        <v>4</v>
      </c>
      <c r="S3583" t="s">
        <v>48</v>
      </c>
      <c r="T3583" s="4">
        <f t="shared" si="279"/>
        <v>199886.32</v>
      </c>
      <c r="U3583" s="4" t="str">
        <f t="shared" si="280"/>
        <v>Good</v>
      </c>
      <c r="V3583" s="4" t="str">
        <f t="shared" si="276"/>
        <v>Good</v>
      </c>
      <c r="W3583" s="4"/>
      <c r="X3583" s="4"/>
      <c r="AJ3583" s="4"/>
    </row>
    <row r="3584" spans="1:36">
      <c r="A3584" t="str">
        <f t="shared" si="277"/>
        <v>Kira533583</v>
      </c>
      <c r="B3584">
        <v>3583</v>
      </c>
      <c r="C3584">
        <v>26</v>
      </c>
      <c r="D3584">
        <v>7</v>
      </c>
      <c r="E3584">
        <v>2024</v>
      </c>
      <c r="F3584" s="1">
        <f t="shared" si="278"/>
        <v>45499</v>
      </c>
      <c r="G3584" s="1" t="s">
        <v>683</v>
      </c>
      <c r="H3584" s="2">
        <v>48060</v>
      </c>
      <c r="I3584" t="s">
        <v>19</v>
      </c>
      <c r="J3584">
        <v>7</v>
      </c>
      <c r="K3584">
        <v>63451.42</v>
      </c>
      <c r="L3584" t="s">
        <v>994</v>
      </c>
      <c r="M3584">
        <v>53</v>
      </c>
      <c r="N3584" t="s">
        <v>61</v>
      </c>
      <c r="O3584" s="3" t="s">
        <v>22</v>
      </c>
      <c r="P3584" t="s">
        <v>33</v>
      </c>
      <c r="Q3584" t="s">
        <v>56</v>
      </c>
      <c r="R3584">
        <v>4</v>
      </c>
      <c r="S3584" t="s">
        <v>25</v>
      </c>
      <c r="T3584" s="4">
        <f t="shared" si="279"/>
        <v>444159.94</v>
      </c>
      <c r="U3584" s="4" t="str">
        <f t="shared" si="280"/>
        <v>Good</v>
      </c>
      <c r="V3584" s="4" t="str">
        <f t="shared" si="276"/>
        <v>Excellent</v>
      </c>
      <c r="W3584" s="4"/>
      <c r="X3584" s="4"/>
      <c r="AJ3584" s="4"/>
    </row>
    <row r="3585" spans="1:36">
      <c r="A3585" t="str">
        <f t="shared" si="277"/>
        <v>Radh453584</v>
      </c>
      <c r="B3585">
        <v>3584</v>
      </c>
      <c r="C3585">
        <v>26</v>
      </c>
      <c r="D3585">
        <v>7</v>
      </c>
      <c r="E3585">
        <v>2024</v>
      </c>
      <c r="F3585" s="1">
        <f t="shared" si="278"/>
        <v>45499</v>
      </c>
      <c r="G3585" s="1" t="s">
        <v>683</v>
      </c>
      <c r="H3585" s="2">
        <v>48061</v>
      </c>
      <c r="I3585" t="s">
        <v>49</v>
      </c>
      <c r="J3585">
        <v>9</v>
      </c>
      <c r="K3585">
        <v>25384.34</v>
      </c>
      <c r="L3585" t="s">
        <v>783</v>
      </c>
      <c r="M3585">
        <v>45</v>
      </c>
      <c r="N3585" t="s">
        <v>21</v>
      </c>
      <c r="O3585" s="3" t="s">
        <v>22</v>
      </c>
      <c r="P3585" t="s">
        <v>29</v>
      </c>
      <c r="Q3585" t="s">
        <v>30</v>
      </c>
      <c r="R3585">
        <v>5</v>
      </c>
      <c r="S3585" t="s">
        <v>52</v>
      </c>
      <c r="T3585" s="4">
        <f t="shared" si="279"/>
        <v>228459.06</v>
      </c>
      <c r="U3585" s="4" t="str">
        <f t="shared" si="280"/>
        <v>Good</v>
      </c>
      <c r="V3585" s="4" t="str">
        <f t="shared" ref="V3585:V3648" si="281">IF(T3585&gt;200000,"Excellent",IF(T3585&gt;100000,"Good",IF(T3585&gt;50000,"Average","Low")))</f>
        <v>Excellent</v>
      </c>
      <c r="W3585" s="4"/>
      <c r="X3585" s="4"/>
      <c r="AJ3585" s="4"/>
    </row>
    <row r="3586" spans="1:36">
      <c r="A3586" t="str">
        <f t="shared" ref="A3586:A3649" si="282">LEFT(L3586,4)&amp;M3586&amp;B3586</f>
        <v>Nami323585</v>
      </c>
      <c r="B3586">
        <v>3585</v>
      </c>
      <c r="C3586">
        <v>27</v>
      </c>
      <c r="D3586">
        <v>7</v>
      </c>
      <c r="E3586">
        <v>2024</v>
      </c>
      <c r="F3586" s="1">
        <f t="shared" si="278"/>
        <v>45500</v>
      </c>
      <c r="G3586" s="1" t="s">
        <v>683</v>
      </c>
      <c r="H3586" s="2">
        <v>48062</v>
      </c>
      <c r="I3586" t="s">
        <v>38</v>
      </c>
      <c r="J3586">
        <v>2</v>
      </c>
      <c r="K3586">
        <v>65828.66</v>
      </c>
      <c r="L3586" t="s">
        <v>453</v>
      </c>
      <c r="M3586">
        <v>32</v>
      </c>
      <c r="N3586" t="s">
        <v>21</v>
      </c>
      <c r="O3586" s="3" t="s">
        <v>28</v>
      </c>
      <c r="P3586" t="s">
        <v>117</v>
      </c>
      <c r="Q3586" t="s">
        <v>30</v>
      </c>
      <c r="R3586">
        <v>3</v>
      </c>
      <c r="S3586" t="s">
        <v>42</v>
      </c>
      <c r="T3586" s="4">
        <f t="shared" si="279"/>
        <v>131657.32</v>
      </c>
      <c r="U3586" s="4" t="str">
        <f t="shared" si="280"/>
        <v>Average</v>
      </c>
      <c r="V3586" s="4" t="str">
        <f t="shared" si="281"/>
        <v>Good</v>
      </c>
      <c r="W3586" s="4"/>
      <c r="X3586" s="4"/>
      <c r="AJ3586" s="4"/>
    </row>
    <row r="3587" spans="1:36">
      <c r="A3587" t="str">
        <f t="shared" si="282"/>
        <v>Anja363586</v>
      </c>
      <c r="B3587">
        <v>3586</v>
      </c>
      <c r="C3587">
        <v>27</v>
      </c>
      <c r="D3587">
        <v>7</v>
      </c>
      <c r="E3587">
        <v>2024</v>
      </c>
      <c r="F3587" s="1">
        <f t="shared" ref="F3587:F3650" si="283">DATE(E3587,D3587,C3587)</f>
        <v>45500</v>
      </c>
      <c r="G3587" s="1" t="s">
        <v>683</v>
      </c>
      <c r="H3587" s="2">
        <v>48063</v>
      </c>
      <c r="I3587" t="s">
        <v>38</v>
      </c>
      <c r="J3587">
        <v>1</v>
      </c>
      <c r="K3587">
        <v>45647.29</v>
      </c>
      <c r="L3587" t="s">
        <v>159</v>
      </c>
      <c r="M3587">
        <v>36</v>
      </c>
      <c r="N3587" t="s">
        <v>21</v>
      </c>
      <c r="O3587" s="3" t="s">
        <v>28</v>
      </c>
      <c r="P3587" t="s">
        <v>51</v>
      </c>
      <c r="Q3587" t="s">
        <v>30</v>
      </c>
      <c r="R3587">
        <v>3</v>
      </c>
      <c r="S3587" t="s">
        <v>42</v>
      </c>
      <c r="T3587" s="4">
        <f t="shared" ref="T3587:T3650" si="284">J3587*K3587</f>
        <v>45647.29</v>
      </c>
      <c r="U3587" s="4" t="str">
        <f t="shared" ref="U3587:U3650" si="285">IF(R3587&gt;=4,"Good","Average")</f>
        <v>Average</v>
      </c>
      <c r="V3587" s="4" t="str">
        <f t="shared" si="281"/>
        <v>Low</v>
      </c>
      <c r="W3587" s="4"/>
      <c r="X3587" s="4"/>
      <c r="AJ3587" s="4"/>
    </row>
    <row r="3588" spans="1:36">
      <c r="A3588" t="str">
        <f t="shared" si="282"/>
        <v>Ravi393587</v>
      </c>
      <c r="B3588">
        <v>3587</v>
      </c>
      <c r="C3588">
        <v>27</v>
      </c>
      <c r="D3588">
        <v>7</v>
      </c>
      <c r="E3588">
        <v>2024</v>
      </c>
      <c r="F3588" s="1">
        <f t="shared" si="283"/>
        <v>45500</v>
      </c>
      <c r="G3588" s="1" t="s">
        <v>683</v>
      </c>
      <c r="H3588" s="2">
        <v>48064</v>
      </c>
      <c r="I3588" t="s">
        <v>19</v>
      </c>
      <c r="J3588">
        <v>2</v>
      </c>
      <c r="K3588">
        <v>58060.49</v>
      </c>
      <c r="L3588" t="s">
        <v>402</v>
      </c>
      <c r="M3588">
        <v>39</v>
      </c>
      <c r="N3588" t="s">
        <v>21</v>
      </c>
      <c r="O3588" s="3" t="s">
        <v>22</v>
      </c>
      <c r="P3588" t="s">
        <v>117</v>
      </c>
      <c r="Q3588" t="s">
        <v>30</v>
      </c>
      <c r="R3588">
        <v>4</v>
      </c>
      <c r="S3588" t="s">
        <v>37</v>
      </c>
      <c r="T3588" s="4">
        <f t="shared" si="284"/>
        <v>116120.98</v>
      </c>
      <c r="U3588" s="4" t="str">
        <f t="shared" si="285"/>
        <v>Good</v>
      </c>
      <c r="V3588" s="4" t="str">
        <f t="shared" si="281"/>
        <v>Good</v>
      </c>
      <c r="W3588" s="4"/>
      <c r="X3588" s="4"/>
      <c r="AJ3588" s="4"/>
    </row>
    <row r="3589" spans="1:36">
      <c r="A3589" t="str">
        <f t="shared" si="282"/>
        <v>Bhav233588</v>
      </c>
      <c r="B3589">
        <v>3588</v>
      </c>
      <c r="C3589">
        <v>27</v>
      </c>
      <c r="D3589">
        <v>7</v>
      </c>
      <c r="E3589">
        <v>2024</v>
      </c>
      <c r="F3589" s="1">
        <f t="shared" si="283"/>
        <v>45500</v>
      </c>
      <c r="G3589" s="1" t="s">
        <v>683</v>
      </c>
      <c r="H3589" s="2">
        <v>48065</v>
      </c>
      <c r="I3589" t="s">
        <v>49</v>
      </c>
      <c r="J3589">
        <v>7</v>
      </c>
      <c r="K3589">
        <v>33832.44</v>
      </c>
      <c r="L3589" t="s">
        <v>504</v>
      </c>
      <c r="M3589">
        <v>23</v>
      </c>
      <c r="N3589" t="s">
        <v>36</v>
      </c>
      <c r="O3589" s="3" t="s">
        <v>28</v>
      </c>
      <c r="P3589" t="s">
        <v>29</v>
      </c>
      <c r="Q3589" t="s">
        <v>24</v>
      </c>
      <c r="R3589">
        <v>3</v>
      </c>
      <c r="S3589" t="s">
        <v>52</v>
      </c>
      <c r="T3589" s="4">
        <f t="shared" si="284"/>
        <v>236827.08000000002</v>
      </c>
      <c r="U3589" s="4" t="str">
        <f t="shared" si="285"/>
        <v>Average</v>
      </c>
      <c r="V3589" s="4" t="str">
        <f t="shared" si="281"/>
        <v>Excellent</v>
      </c>
      <c r="W3589" s="4"/>
      <c r="X3589" s="4"/>
      <c r="AJ3589" s="4"/>
    </row>
    <row r="3590" spans="1:36">
      <c r="A3590" t="str">
        <f t="shared" si="282"/>
        <v>Bina243589</v>
      </c>
      <c r="B3590">
        <v>3589</v>
      </c>
      <c r="C3590">
        <v>28</v>
      </c>
      <c r="D3590">
        <v>7</v>
      </c>
      <c r="E3590">
        <v>2024</v>
      </c>
      <c r="F3590" s="1">
        <f t="shared" si="283"/>
        <v>45501</v>
      </c>
      <c r="G3590" s="1" t="s">
        <v>683</v>
      </c>
      <c r="H3590" s="2">
        <v>48066</v>
      </c>
      <c r="I3590" t="s">
        <v>38</v>
      </c>
      <c r="J3590">
        <v>6</v>
      </c>
      <c r="K3590">
        <v>22730.82</v>
      </c>
      <c r="L3590" t="s">
        <v>931</v>
      </c>
      <c r="M3590">
        <v>24</v>
      </c>
      <c r="N3590" t="s">
        <v>36</v>
      </c>
      <c r="O3590" s="3" t="s">
        <v>22</v>
      </c>
      <c r="P3590" t="s">
        <v>64</v>
      </c>
      <c r="Q3590" t="s">
        <v>30</v>
      </c>
      <c r="R3590">
        <v>4</v>
      </c>
      <c r="S3590" t="s">
        <v>99</v>
      </c>
      <c r="T3590" s="4">
        <f t="shared" si="284"/>
        <v>136384.91999999998</v>
      </c>
      <c r="U3590" s="4" t="str">
        <f t="shared" si="285"/>
        <v>Good</v>
      </c>
      <c r="V3590" s="4" t="str">
        <f t="shared" si="281"/>
        <v>Good</v>
      </c>
      <c r="W3590" s="4"/>
      <c r="X3590" s="4"/>
      <c r="AJ3590" s="4"/>
    </row>
    <row r="3591" spans="1:36">
      <c r="A3591" t="str">
        <f t="shared" si="282"/>
        <v>Roha263590</v>
      </c>
      <c r="B3591">
        <v>3590</v>
      </c>
      <c r="C3591">
        <v>28</v>
      </c>
      <c r="D3591">
        <v>7</v>
      </c>
      <c r="E3591">
        <v>2024</v>
      </c>
      <c r="F3591" s="1">
        <f t="shared" si="283"/>
        <v>45501</v>
      </c>
      <c r="G3591" s="1" t="s">
        <v>683</v>
      </c>
      <c r="H3591" s="2">
        <v>48067</v>
      </c>
      <c r="I3591" t="s">
        <v>38</v>
      </c>
      <c r="J3591">
        <v>4</v>
      </c>
      <c r="K3591">
        <v>64674.12</v>
      </c>
      <c r="L3591" t="s">
        <v>1058</v>
      </c>
      <c r="M3591">
        <v>26</v>
      </c>
      <c r="N3591" t="s">
        <v>36</v>
      </c>
      <c r="O3591" s="3" t="s">
        <v>55</v>
      </c>
      <c r="P3591" t="s">
        <v>77</v>
      </c>
      <c r="Q3591" t="s">
        <v>30</v>
      </c>
      <c r="R3591">
        <v>2</v>
      </c>
      <c r="S3591" t="s">
        <v>48</v>
      </c>
      <c r="T3591" s="4">
        <f t="shared" si="284"/>
        <v>258696.48</v>
      </c>
      <c r="U3591" s="4" t="str">
        <f t="shared" si="285"/>
        <v>Average</v>
      </c>
      <c r="V3591" s="4" t="str">
        <f t="shared" si="281"/>
        <v>Excellent</v>
      </c>
      <c r="W3591" s="4"/>
      <c r="X3591" s="4"/>
      <c r="AJ3591" s="4"/>
    </row>
    <row r="3592" spans="1:36">
      <c r="A3592" t="str">
        <f t="shared" si="282"/>
        <v>Mala373591</v>
      </c>
      <c r="B3592">
        <v>3591</v>
      </c>
      <c r="C3592">
        <v>28</v>
      </c>
      <c r="D3592">
        <v>7</v>
      </c>
      <c r="E3592">
        <v>2024</v>
      </c>
      <c r="F3592" s="1">
        <f t="shared" si="283"/>
        <v>45501</v>
      </c>
      <c r="G3592" s="1" t="s">
        <v>683</v>
      </c>
      <c r="H3592" s="2">
        <v>48068</v>
      </c>
      <c r="I3592" t="s">
        <v>43</v>
      </c>
      <c r="J3592">
        <v>1</v>
      </c>
      <c r="K3592">
        <v>65988.149999999994</v>
      </c>
      <c r="L3592" t="s">
        <v>510</v>
      </c>
      <c r="M3592">
        <v>37</v>
      </c>
      <c r="N3592" t="s">
        <v>21</v>
      </c>
      <c r="O3592" s="3" t="s">
        <v>22</v>
      </c>
      <c r="P3592" t="s">
        <v>29</v>
      </c>
      <c r="Q3592" t="s">
        <v>24</v>
      </c>
      <c r="R3592">
        <v>4</v>
      </c>
      <c r="S3592" t="s">
        <v>57</v>
      </c>
      <c r="T3592" s="4">
        <f t="shared" si="284"/>
        <v>65988.149999999994</v>
      </c>
      <c r="U3592" s="4" t="str">
        <f t="shared" si="285"/>
        <v>Good</v>
      </c>
      <c r="V3592" s="4" t="str">
        <f t="shared" si="281"/>
        <v>Average</v>
      </c>
      <c r="W3592" s="4"/>
      <c r="X3592" s="4"/>
      <c r="AJ3592" s="4"/>
    </row>
    <row r="3593" spans="1:36">
      <c r="A3593" t="str">
        <f t="shared" si="282"/>
        <v>Pras543592</v>
      </c>
      <c r="B3593">
        <v>3592</v>
      </c>
      <c r="C3593">
        <v>28</v>
      </c>
      <c r="D3593">
        <v>7</v>
      </c>
      <c r="E3593">
        <v>2024</v>
      </c>
      <c r="F3593" s="1">
        <f t="shared" si="283"/>
        <v>45501</v>
      </c>
      <c r="G3593" s="1" t="s">
        <v>683</v>
      </c>
      <c r="H3593" s="2">
        <v>48069</v>
      </c>
      <c r="I3593" t="s">
        <v>38</v>
      </c>
      <c r="J3593">
        <v>1</v>
      </c>
      <c r="K3593">
        <v>39854.51</v>
      </c>
      <c r="L3593" t="s">
        <v>713</v>
      </c>
      <c r="M3593">
        <v>54</v>
      </c>
      <c r="N3593" t="s">
        <v>61</v>
      </c>
      <c r="O3593" s="3" t="s">
        <v>55</v>
      </c>
      <c r="P3593" t="s">
        <v>29</v>
      </c>
      <c r="Q3593" t="s">
        <v>56</v>
      </c>
      <c r="R3593">
        <v>2</v>
      </c>
      <c r="S3593" t="s">
        <v>99</v>
      </c>
      <c r="T3593" s="4">
        <f t="shared" si="284"/>
        <v>39854.51</v>
      </c>
      <c r="U3593" s="4" t="str">
        <f t="shared" si="285"/>
        <v>Average</v>
      </c>
      <c r="V3593" s="4" t="str">
        <f t="shared" si="281"/>
        <v>Low</v>
      </c>
      <c r="W3593" s="4"/>
      <c r="X3593" s="4"/>
      <c r="AJ3593" s="4"/>
    </row>
    <row r="3594" spans="1:36">
      <c r="A3594" t="str">
        <f t="shared" si="282"/>
        <v>Ayes283593</v>
      </c>
      <c r="B3594">
        <v>3593</v>
      </c>
      <c r="C3594">
        <v>29</v>
      </c>
      <c r="D3594">
        <v>7</v>
      </c>
      <c r="E3594">
        <v>2024</v>
      </c>
      <c r="F3594" s="1">
        <f t="shared" si="283"/>
        <v>45502</v>
      </c>
      <c r="G3594" s="1" t="s">
        <v>683</v>
      </c>
      <c r="H3594" s="2">
        <v>48070</v>
      </c>
      <c r="I3594" t="s">
        <v>43</v>
      </c>
      <c r="J3594">
        <v>5</v>
      </c>
      <c r="K3594">
        <v>10389.700000000001</v>
      </c>
      <c r="L3594" t="s">
        <v>1044</v>
      </c>
      <c r="M3594">
        <v>28</v>
      </c>
      <c r="N3594" t="s">
        <v>36</v>
      </c>
      <c r="O3594" s="3" t="s">
        <v>22</v>
      </c>
      <c r="P3594" t="s">
        <v>114</v>
      </c>
      <c r="Q3594" t="s">
        <v>24</v>
      </c>
      <c r="R3594">
        <v>5</v>
      </c>
      <c r="S3594" t="s">
        <v>57</v>
      </c>
      <c r="T3594" s="4">
        <f t="shared" si="284"/>
        <v>51948.5</v>
      </c>
      <c r="U3594" s="4" t="str">
        <f t="shared" si="285"/>
        <v>Good</v>
      </c>
      <c r="V3594" s="4" t="str">
        <f t="shared" si="281"/>
        <v>Average</v>
      </c>
      <c r="W3594" s="4"/>
      <c r="X3594" s="4"/>
      <c r="AJ3594" s="4"/>
    </row>
    <row r="3595" spans="1:36">
      <c r="A3595" t="str">
        <f t="shared" si="282"/>
        <v>Suni193594</v>
      </c>
      <c r="B3595">
        <v>3594</v>
      </c>
      <c r="C3595">
        <v>29</v>
      </c>
      <c r="D3595">
        <v>7</v>
      </c>
      <c r="E3595">
        <v>2024</v>
      </c>
      <c r="F3595" s="1">
        <f t="shared" si="283"/>
        <v>45502</v>
      </c>
      <c r="G3595" s="1" t="s">
        <v>683</v>
      </c>
      <c r="H3595" s="2">
        <v>48071</v>
      </c>
      <c r="I3595" t="s">
        <v>49</v>
      </c>
      <c r="J3595">
        <v>1</v>
      </c>
      <c r="K3595">
        <v>16586.98</v>
      </c>
      <c r="L3595" t="s">
        <v>844</v>
      </c>
      <c r="M3595">
        <v>19</v>
      </c>
      <c r="N3595" t="s">
        <v>36</v>
      </c>
      <c r="O3595" s="3" t="s">
        <v>28</v>
      </c>
      <c r="P3595" t="s">
        <v>110</v>
      </c>
      <c r="Q3595" t="s">
        <v>30</v>
      </c>
      <c r="R3595">
        <v>3</v>
      </c>
      <c r="S3595" t="s">
        <v>88</v>
      </c>
      <c r="T3595" s="4">
        <f t="shared" si="284"/>
        <v>16586.98</v>
      </c>
      <c r="U3595" s="4" t="str">
        <f t="shared" si="285"/>
        <v>Average</v>
      </c>
      <c r="V3595" s="4" t="str">
        <f t="shared" si="281"/>
        <v>Low</v>
      </c>
      <c r="W3595" s="4"/>
      <c r="X3595" s="4"/>
      <c r="AJ3595" s="4"/>
    </row>
    <row r="3596" spans="1:36">
      <c r="A3596" t="str">
        <f t="shared" si="282"/>
        <v>Kira393595</v>
      </c>
      <c r="B3596">
        <v>3595</v>
      </c>
      <c r="C3596">
        <v>29</v>
      </c>
      <c r="D3596">
        <v>7</v>
      </c>
      <c r="E3596">
        <v>2024</v>
      </c>
      <c r="F3596" s="1">
        <f t="shared" si="283"/>
        <v>45502</v>
      </c>
      <c r="G3596" s="1" t="s">
        <v>683</v>
      </c>
      <c r="H3596" s="2">
        <v>48072</v>
      </c>
      <c r="I3596" t="s">
        <v>49</v>
      </c>
      <c r="J3596">
        <v>7</v>
      </c>
      <c r="K3596">
        <v>44381.68</v>
      </c>
      <c r="L3596" t="s">
        <v>143</v>
      </c>
      <c r="M3596">
        <v>39</v>
      </c>
      <c r="N3596" t="s">
        <v>21</v>
      </c>
      <c r="O3596" s="3" t="s">
        <v>22</v>
      </c>
      <c r="P3596" t="s">
        <v>29</v>
      </c>
      <c r="Q3596" t="s">
        <v>41</v>
      </c>
      <c r="R3596">
        <v>5</v>
      </c>
      <c r="S3596" t="s">
        <v>52</v>
      </c>
      <c r="T3596" s="4">
        <f t="shared" si="284"/>
        <v>310671.76</v>
      </c>
      <c r="U3596" s="4" t="str">
        <f t="shared" si="285"/>
        <v>Good</v>
      </c>
      <c r="V3596" s="4" t="str">
        <f t="shared" si="281"/>
        <v>Excellent</v>
      </c>
      <c r="W3596" s="4"/>
      <c r="X3596" s="4"/>
      <c r="AJ3596" s="4"/>
    </row>
    <row r="3597" spans="1:36">
      <c r="A3597" t="str">
        <f t="shared" si="282"/>
        <v>Sach533596</v>
      </c>
      <c r="B3597">
        <v>3596</v>
      </c>
      <c r="C3597">
        <v>29</v>
      </c>
      <c r="D3597">
        <v>7</v>
      </c>
      <c r="E3597">
        <v>2024</v>
      </c>
      <c r="F3597" s="1">
        <f t="shared" si="283"/>
        <v>45502</v>
      </c>
      <c r="G3597" s="1" t="s">
        <v>683</v>
      </c>
      <c r="H3597" s="2">
        <v>48073</v>
      </c>
      <c r="I3597" t="s">
        <v>49</v>
      </c>
      <c r="J3597">
        <v>1</v>
      </c>
      <c r="K3597">
        <v>11426.6</v>
      </c>
      <c r="L3597" t="s">
        <v>904</v>
      </c>
      <c r="M3597">
        <v>53</v>
      </c>
      <c r="N3597" t="s">
        <v>61</v>
      </c>
      <c r="O3597" s="3" t="s">
        <v>22</v>
      </c>
      <c r="P3597" t="s">
        <v>93</v>
      </c>
      <c r="Q3597" t="s">
        <v>24</v>
      </c>
      <c r="R3597">
        <v>5</v>
      </c>
      <c r="S3597" t="s">
        <v>88</v>
      </c>
      <c r="T3597" s="4">
        <f t="shared" si="284"/>
        <v>11426.6</v>
      </c>
      <c r="U3597" s="4" t="str">
        <f t="shared" si="285"/>
        <v>Good</v>
      </c>
      <c r="V3597" s="4" t="str">
        <f t="shared" si="281"/>
        <v>Low</v>
      </c>
      <c r="W3597" s="4"/>
      <c r="X3597" s="4"/>
      <c r="AJ3597" s="4"/>
    </row>
    <row r="3598" spans="1:36">
      <c r="A3598" t="str">
        <f t="shared" si="282"/>
        <v>Anja223597</v>
      </c>
      <c r="B3598">
        <v>3597</v>
      </c>
      <c r="C3598">
        <v>30</v>
      </c>
      <c r="D3598">
        <v>7</v>
      </c>
      <c r="E3598">
        <v>2024</v>
      </c>
      <c r="F3598" s="1">
        <f t="shared" si="283"/>
        <v>45503</v>
      </c>
      <c r="G3598" s="1" t="s">
        <v>683</v>
      </c>
      <c r="H3598" s="2">
        <v>48074</v>
      </c>
      <c r="I3598" t="s">
        <v>26</v>
      </c>
      <c r="J3598">
        <v>1</v>
      </c>
      <c r="K3598">
        <v>33814.720000000001</v>
      </c>
      <c r="L3598" t="s">
        <v>528</v>
      </c>
      <c r="M3598">
        <v>22</v>
      </c>
      <c r="N3598" t="s">
        <v>36</v>
      </c>
      <c r="O3598" s="3" t="s">
        <v>22</v>
      </c>
      <c r="P3598" t="s">
        <v>66</v>
      </c>
      <c r="Q3598" t="s">
        <v>24</v>
      </c>
      <c r="R3598">
        <v>5</v>
      </c>
      <c r="S3598" t="s">
        <v>34</v>
      </c>
      <c r="T3598" s="4">
        <f t="shared" si="284"/>
        <v>33814.720000000001</v>
      </c>
      <c r="U3598" s="4" t="str">
        <f t="shared" si="285"/>
        <v>Good</v>
      </c>
      <c r="V3598" s="4" t="str">
        <f t="shared" si="281"/>
        <v>Low</v>
      </c>
      <c r="W3598" s="4"/>
      <c r="X3598" s="4"/>
      <c r="AJ3598" s="4"/>
    </row>
    <row r="3599" spans="1:36">
      <c r="A3599" t="str">
        <f t="shared" si="282"/>
        <v>Yoge243598</v>
      </c>
      <c r="B3599">
        <v>3598</v>
      </c>
      <c r="C3599">
        <v>30</v>
      </c>
      <c r="D3599">
        <v>7</v>
      </c>
      <c r="E3599">
        <v>2024</v>
      </c>
      <c r="F3599" s="1">
        <f t="shared" si="283"/>
        <v>45503</v>
      </c>
      <c r="G3599" s="1" t="s">
        <v>683</v>
      </c>
      <c r="H3599" s="2">
        <v>48075</v>
      </c>
      <c r="I3599" t="s">
        <v>49</v>
      </c>
      <c r="J3599">
        <v>2</v>
      </c>
      <c r="K3599">
        <v>28202.2</v>
      </c>
      <c r="L3599" t="s">
        <v>503</v>
      </c>
      <c r="M3599">
        <v>24</v>
      </c>
      <c r="N3599" t="s">
        <v>36</v>
      </c>
      <c r="O3599" s="3" t="s">
        <v>22</v>
      </c>
      <c r="P3599" t="s">
        <v>33</v>
      </c>
      <c r="Q3599" t="s">
        <v>56</v>
      </c>
      <c r="R3599">
        <v>5</v>
      </c>
      <c r="S3599" t="s">
        <v>102</v>
      </c>
      <c r="T3599" s="4">
        <f t="shared" si="284"/>
        <v>56404.4</v>
      </c>
      <c r="U3599" s="4" t="str">
        <f t="shared" si="285"/>
        <v>Good</v>
      </c>
      <c r="V3599" s="4" t="str">
        <f t="shared" si="281"/>
        <v>Average</v>
      </c>
      <c r="W3599" s="4"/>
      <c r="X3599" s="4"/>
      <c r="AJ3599" s="4"/>
    </row>
    <row r="3600" spans="1:36">
      <c r="A3600" t="str">
        <f t="shared" si="282"/>
        <v>Ravi233599</v>
      </c>
      <c r="B3600">
        <v>3599</v>
      </c>
      <c r="C3600">
        <v>30</v>
      </c>
      <c r="D3600">
        <v>7</v>
      </c>
      <c r="E3600">
        <v>2024</v>
      </c>
      <c r="F3600" s="1">
        <f t="shared" si="283"/>
        <v>45503</v>
      </c>
      <c r="G3600" s="1" t="s">
        <v>683</v>
      </c>
      <c r="H3600" s="2">
        <v>48076</v>
      </c>
      <c r="I3600" t="s">
        <v>38</v>
      </c>
      <c r="J3600">
        <v>3</v>
      </c>
      <c r="K3600">
        <v>52860.9</v>
      </c>
      <c r="L3600" t="s">
        <v>495</v>
      </c>
      <c r="M3600">
        <v>23</v>
      </c>
      <c r="N3600" t="s">
        <v>36</v>
      </c>
      <c r="O3600" s="3" t="s">
        <v>22</v>
      </c>
      <c r="P3600" t="s">
        <v>70</v>
      </c>
      <c r="Q3600" t="s">
        <v>30</v>
      </c>
      <c r="R3600">
        <v>4</v>
      </c>
      <c r="S3600" t="s">
        <v>42</v>
      </c>
      <c r="T3600" s="4">
        <f t="shared" si="284"/>
        <v>158582.70000000001</v>
      </c>
      <c r="U3600" s="4" t="str">
        <f t="shared" si="285"/>
        <v>Good</v>
      </c>
      <c r="V3600" s="4" t="str">
        <f t="shared" si="281"/>
        <v>Good</v>
      </c>
      <c r="W3600" s="4"/>
      <c r="X3600" s="4"/>
      <c r="AJ3600" s="4"/>
    </row>
    <row r="3601" spans="1:36">
      <c r="A3601" t="str">
        <f t="shared" si="282"/>
        <v>Pooj393600</v>
      </c>
      <c r="B3601">
        <v>3600</v>
      </c>
      <c r="C3601">
        <v>30</v>
      </c>
      <c r="D3601">
        <v>7</v>
      </c>
      <c r="E3601">
        <v>2024</v>
      </c>
      <c r="F3601" s="1">
        <f t="shared" si="283"/>
        <v>45503</v>
      </c>
      <c r="G3601" s="1" t="s">
        <v>683</v>
      </c>
      <c r="H3601" s="2">
        <v>48077</v>
      </c>
      <c r="I3601" t="s">
        <v>19</v>
      </c>
      <c r="J3601">
        <v>1</v>
      </c>
      <c r="K3601">
        <v>13334.72</v>
      </c>
      <c r="L3601" t="s">
        <v>108</v>
      </c>
      <c r="M3601">
        <v>39</v>
      </c>
      <c r="N3601" t="s">
        <v>21</v>
      </c>
      <c r="O3601" s="3" t="s">
        <v>22</v>
      </c>
      <c r="P3601" t="s">
        <v>51</v>
      </c>
      <c r="Q3601" t="s">
        <v>41</v>
      </c>
      <c r="R3601">
        <v>4</v>
      </c>
      <c r="S3601" t="s">
        <v>84</v>
      </c>
      <c r="T3601" s="4">
        <f t="shared" si="284"/>
        <v>13334.72</v>
      </c>
      <c r="U3601" s="4" t="str">
        <f t="shared" si="285"/>
        <v>Good</v>
      </c>
      <c r="V3601" s="4" t="str">
        <f t="shared" si="281"/>
        <v>Low</v>
      </c>
      <c r="W3601" s="4"/>
      <c r="X3601" s="4"/>
      <c r="AJ3601" s="4"/>
    </row>
    <row r="3602" spans="1:36">
      <c r="A3602" t="str">
        <f t="shared" si="282"/>
        <v>Radh273601</v>
      </c>
      <c r="B3602">
        <v>3601</v>
      </c>
      <c r="C3602">
        <v>31</v>
      </c>
      <c r="D3602">
        <v>7</v>
      </c>
      <c r="E3602">
        <v>2024</v>
      </c>
      <c r="F3602" s="1">
        <f t="shared" si="283"/>
        <v>45504</v>
      </c>
      <c r="G3602" s="1" t="s">
        <v>683</v>
      </c>
      <c r="H3602" s="2">
        <v>48078</v>
      </c>
      <c r="I3602" t="s">
        <v>43</v>
      </c>
      <c r="J3602">
        <v>9</v>
      </c>
      <c r="K3602">
        <v>39323.879999999997</v>
      </c>
      <c r="L3602" t="s">
        <v>58</v>
      </c>
      <c r="M3602">
        <v>27</v>
      </c>
      <c r="N3602" t="s">
        <v>36</v>
      </c>
      <c r="O3602" s="3" t="s">
        <v>28</v>
      </c>
      <c r="P3602" t="s">
        <v>29</v>
      </c>
      <c r="Q3602" t="s">
        <v>24</v>
      </c>
      <c r="R3602">
        <v>3</v>
      </c>
      <c r="S3602" t="s">
        <v>57</v>
      </c>
      <c r="T3602" s="4">
        <f t="shared" si="284"/>
        <v>353914.92</v>
      </c>
      <c r="U3602" s="4" t="str">
        <f t="shared" si="285"/>
        <v>Average</v>
      </c>
      <c r="V3602" s="4" t="str">
        <f t="shared" si="281"/>
        <v>Excellent</v>
      </c>
      <c r="W3602" s="4"/>
      <c r="X3602" s="4"/>
      <c r="AJ3602" s="4"/>
    </row>
    <row r="3603" spans="1:36">
      <c r="A3603" t="str">
        <f t="shared" si="282"/>
        <v>Bhav573602</v>
      </c>
      <c r="B3603">
        <v>3602</v>
      </c>
      <c r="C3603">
        <v>31</v>
      </c>
      <c r="D3603">
        <v>7</v>
      </c>
      <c r="E3603">
        <v>2024</v>
      </c>
      <c r="F3603" s="1">
        <f t="shared" si="283"/>
        <v>45504</v>
      </c>
      <c r="G3603" s="1" t="s">
        <v>683</v>
      </c>
      <c r="H3603" s="2">
        <v>48079</v>
      </c>
      <c r="I3603" t="s">
        <v>26</v>
      </c>
      <c r="J3603">
        <v>8</v>
      </c>
      <c r="K3603">
        <v>44746.86</v>
      </c>
      <c r="L3603" t="s">
        <v>368</v>
      </c>
      <c r="M3603">
        <v>57</v>
      </c>
      <c r="N3603" t="s">
        <v>61</v>
      </c>
      <c r="O3603" s="3" t="s">
        <v>22</v>
      </c>
      <c r="P3603" t="s">
        <v>64</v>
      </c>
      <c r="Q3603" t="s">
        <v>24</v>
      </c>
      <c r="R3603">
        <v>5</v>
      </c>
      <c r="S3603" t="s">
        <v>31</v>
      </c>
      <c r="T3603" s="4">
        <f t="shared" si="284"/>
        <v>357974.88</v>
      </c>
      <c r="U3603" s="4" t="str">
        <f t="shared" si="285"/>
        <v>Good</v>
      </c>
      <c r="V3603" s="4" t="str">
        <f t="shared" si="281"/>
        <v>Excellent</v>
      </c>
      <c r="W3603" s="4"/>
      <c r="X3603" s="4"/>
      <c r="AJ3603" s="4"/>
    </row>
    <row r="3604" spans="1:36">
      <c r="A3604" t="str">
        <f t="shared" si="282"/>
        <v>Anja373603</v>
      </c>
      <c r="B3604">
        <v>3603</v>
      </c>
      <c r="C3604">
        <v>31</v>
      </c>
      <c r="D3604">
        <v>7</v>
      </c>
      <c r="E3604">
        <v>2024</v>
      </c>
      <c r="F3604" s="1">
        <f t="shared" si="283"/>
        <v>45504</v>
      </c>
      <c r="G3604" s="1" t="s">
        <v>683</v>
      </c>
      <c r="H3604" s="2">
        <v>48080</v>
      </c>
      <c r="I3604" t="s">
        <v>49</v>
      </c>
      <c r="J3604">
        <v>5</v>
      </c>
      <c r="K3604">
        <v>47037.46</v>
      </c>
      <c r="L3604" t="s">
        <v>280</v>
      </c>
      <c r="M3604">
        <v>37</v>
      </c>
      <c r="N3604" t="s">
        <v>21</v>
      </c>
      <c r="O3604" s="3" t="s">
        <v>22</v>
      </c>
      <c r="P3604" t="s">
        <v>29</v>
      </c>
      <c r="Q3604" t="s">
        <v>24</v>
      </c>
      <c r="R3604">
        <v>5</v>
      </c>
      <c r="S3604" t="s">
        <v>88</v>
      </c>
      <c r="T3604" s="4">
        <f t="shared" si="284"/>
        <v>235187.3</v>
      </c>
      <c r="U3604" s="4" t="str">
        <f t="shared" si="285"/>
        <v>Good</v>
      </c>
      <c r="V3604" s="4" t="str">
        <f t="shared" si="281"/>
        <v>Excellent</v>
      </c>
      <c r="W3604" s="4"/>
      <c r="X3604" s="4"/>
      <c r="AJ3604" s="4"/>
    </row>
    <row r="3605" spans="1:36">
      <c r="A3605" t="str">
        <f t="shared" si="282"/>
        <v>Neet453604</v>
      </c>
      <c r="B3605">
        <v>3604</v>
      </c>
      <c r="C3605">
        <v>31</v>
      </c>
      <c r="D3605">
        <v>7</v>
      </c>
      <c r="E3605">
        <v>2024</v>
      </c>
      <c r="F3605" s="1">
        <f t="shared" si="283"/>
        <v>45504</v>
      </c>
      <c r="G3605" s="1" t="s">
        <v>683</v>
      </c>
      <c r="H3605" s="2">
        <v>48081</v>
      </c>
      <c r="I3605" t="s">
        <v>49</v>
      </c>
      <c r="J3605">
        <v>2</v>
      </c>
      <c r="K3605">
        <v>34309.46</v>
      </c>
      <c r="L3605" t="s">
        <v>834</v>
      </c>
      <c r="M3605">
        <v>45</v>
      </c>
      <c r="N3605" t="s">
        <v>21</v>
      </c>
      <c r="O3605" s="3" t="s">
        <v>22</v>
      </c>
      <c r="P3605" t="s">
        <v>33</v>
      </c>
      <c r="Q3605" t="s">
        <v>41</v>
      </c>
      <c r="R3605">
        <v>5</v>
      </c>
      <c r="S3605" t="s">
        <v>52</v>
      </c>
      <c r="T3605" s="4">
        <f t="shared" si="284"/>
        <v>68618.92</v>
      </c>
      <c r="U3605" s="4" t="str">
        <f t="shared" si="285"/>
        <v>Good</v>
      </c>
      <c r="V3605" s="4" t="str">
        <f t="shared" si="281"/>
        <v>Average</v>
      </c>
      <c r="W3605" s="4"/>
      <c r="X3605" s="4"/>
      <c r="AJ3605" s="4"/>
    </row>
    <row r="3606" spans="1:36">
      <c r="A3606" t="str">
        <f t="shared" si="282"/>
        <v>Anit403605</v>
      </c>
      <c r="B3606">
        <v>3605</v>
      </c>
      <c r="C3606">
        <v>1</v>
      </c>
      <c r="D3606">
        <v>8</v>
      </c>
      <c r="E3606">
        <v>2024</v>
      </c>
      <c r="F3606" s="1">
        <f t="shared" si="283"/>
        <v>45505</v>
      </c>
      <c r="G3606" s="1" t="s">
        <v>729</v>
      </c>
      <c r="H3606" s="2">
        <v>48082</v>
      </c>
      <c r="I3606" t="s">
        <v>19</v>
      </c>
      <c r="J3606">
        <v>5</v>
      </c>
      <c r="K3606">
        <v>28262.07</v>
      </c>
      <c r="L3606" t="s">
        <v>914</v>
      </c>
      <c r="M3606">
        <v>40</v>
      </c>
      <c r="N3606" t="s">
        <v>21</v>
      </c>
      <c r="O3606" s="3" t="s">
        <v>22</v>
      </c>
      <c r="P3606" t="s">
        <v>29</v>
      </c>
      <c r="Q3606" t="s">
        <v>24</v>
      </c>
      <c r="R3606">
        <v>5</v>
      </c>
      <c r="S3606" t="s">
        <v>25</v>
      </c>
      <c r="T3606" s="4">
        <f t="shared" si="284"/>
        <v>141310.35</v>
      </c>
      <c r="U3606" s="4" t="str">
        <f t="shared" si="285"/>
        <v>Good</v>
      </c>
      <c r="V3606" s="4" t="str">
        <f t="shared" si="281"/>
        <v>Good</v>
      </c>
      <c r="W3606" s="4"/>
      <c r="X3606" s="4"/>
      <c r="AJ3606" s="4"/>
    </row>
    <row r="3607" spans="1:36">
      <c r="A3607" t="str">
        <f t="shared" si="282"/>
        <v>Reen523606</v>
      </c>
      <c r="B3607">
        <v>3606</v>
      </c>
      <c r="C3607">
        <v>1</v>
      </c>
      <c r="D3607">
        <v>8</v>
      </c>
      <c r="E3607">
        <v>2024</v>
      </c>
      <c r="F3607" s="1">
        <f t="shared" si="283"/>
        <v>45505</v>
      </c>
      <c r="G3607" s="1" t="s">
        <v>729</v>
      </c>
      <c r="H3607" s="2">
        <v>48083</v>
      </c>
      <c r="I3607" t="s">
        <v>19</v>
      </c>
      <c r="J3607">
        <v>6</v>
      </c>
      <c r="K3607">
        <v>50949.58</v>
      </c>
      <c r="L3607" t="s">
        <v>44</v>
      </c>
      <c r="M3607">
        <v>52</v>
      </c>
      <c r="N3607" t="s">
        <v>61</v>
      </c>
      <c r="O3607" s="3" t="s">
        <v>28</v>
      </c>
      <c r="P3607" t="s">
        <v>90</v>
      </c>
      <c r="Q3607" t="s">
        <v>24</v>
      </c>
      <c r="R3607">
        <v>3</v>
      </c>
      <c r="S3607" t="s">
        <v>25</v>
      </c>
      <c r="T3607" s="4">
        <f t="shared" si="284"/>
        <v>305697.48</v>
      </c>
      <c r="U3607" s="4" t="str">
        <f t="shared" si="285"/>
        <v>Average</v>
      </c>
      <c r="V3607" s="4" t="str">
        <f t="shared" si="281"/>
        <v>Excellent</v>
      </c>
      <c r="W3607" s="4"/>
      <c r="X3607" s="4"/>
      <c r="AJ3607" s="4"/>
    </row>
    <row r="3608" spans="1:36">
      <c r="A3608" t="str">
        <f t="shared" si="282"/>
        <v>Lali183607</v>
      </c>
      <c r="B3608">
        <v>3607</v>
      </c>
      <c r="C3608">
        <v>1</v>
      </c>
      <c r="D3608">
        <v>8</v>
      </c>
      <c r="E3608">
        <v>2024</v>
      </c>
      <c r="F3608" s="1">
        <f t="shared" si="283"/>
        <v>45505</v>
      </c>
      <c r="G3608" s="1" t="s">
        <v>729</v>
      </c>
      <c r="H3608" s="2">
        <v>48084</v>
      </c>
      <c r="I3608" t="s">
        <v>26</v>
      </c>
      <c r="J3608">
        <v>1</v>
      </c>
      <c r="K3608">
        <v>60854.14</v>
      </c>
      <c r="L3608" t="s">
        <v>807</v>
      </c>
      <c r="M3608">
        <v>18</v>
      </c>
      <c r="N3608" t="s">
        <v>36</v>
      </c>
      <c r="O3608" s="3" t="s">
        <v>22</v>
      </c>
      <c r="P3608" t="s">
        <v>33</v>
      </c>
      <c r="Q3608" t="s">
        <v>41</v>
      </c>
      <c r="R3608">
        <v>4</v>
      </c>
      <c r="S3608" t="s">
        <v>31</v>
      </c>
      <c r="T3608" s="4">
        <f t="shared" si="284"/>
        <v>60854.14</v>
      </c>
      <c r="U3608" s="4" t="str">
        <f t="shared" si="285"/>
        <v>Good</v>
      </c>
      <c r="V3608" s="4" t="str">
        <f t="shared" si="281"/>
        <v>Average</v>
      </c>
      <c r="W3608" s="4"/>
      <c r="X3608" s="4"/>
      <c r="AJ3608" s="4"/>
    </row>
    <row r="3609" spans="1:36">
      <c r="A3609" t="str">
        <f t="shared" si="282"/>
        <v>Kavi463608</v>
      </c>
      <c r="B3609">
        <v>3608</v>
      </c>
      <c r="C3609">
        <v>2</v>
      </c>
      <c r="D3609">
        <v>8</v>
      </c>
      <c r="E3609">
        <v>2024</v>
      </c>
      <c r="F3609" s="1">
        <f t="shared" si="283"/>
        <v>45506</v>
      </c>
      <c r="G3609" s="1" t="s">
        <v>729</v>
      </c>
      <c r="H3609" s="2">
        <v>48085</v>
      </c>
      <c r="I3609" t="s">
        <v>43</v>
      </c>
      <c r="J3609">
        <v>4</v>
      </c>
      <c r="K3609">
        <v>51617.06</v>
      </c>
      <c r="L3609" t="s">
        <v>292</v>
      </c>
      <c r="M3609">
        <v>46</v>
      </c>
      <c r="N3609" t="s">
        <v>61</v>
      </c>
      <c r="O3609" s="3" t="s">
        <v>22</v>
      </c>
      <c r="P3609" t="s">
        <v>150</v>
      </c>
      <c r="Q3609" t="s">
        <v>24</v>
      </c>
      <c r="R3609">
        <v>5</v>
      </c>
      <c r="S3609" t="s">
        <v>95</v>
      </c>
      <c r="T3609" s="4">
        <f t="shared" si="284"/>
        <v>206468.24</v>
      </c>
      <c r="U3609" s="4" t="str">
        <f t="shared" si="285"/>
        <v>Good</v>
      </c>
      <c r="V3609" s="4" t="str">
        <f t="shared" si="281"/>
        <v>Excellent</v>
      </c>
      <c r="W3609" s="4"/>
      <c r="X3609" s="4"/>
      <c r="AJ3609" s="4"/>
    </row>
    <row r="3610" spans="1:36">
      <c r="A3610" t="str">
        <f t="shared" si="282"/>
        <v>Lata263609</v>
      </c>
      <c r="B3610">
        <v>3609</v>
      </c>
      <c r="C3610">
        <v>2</v>
      </c>
      <c r="D3610">
        <v>8</v>
      </c>
      <c r="E3610">
        <v>2024</v>
      </c>
      <c r="F3610" s="1">
        <f t="shared" si="283"/>
        <v>45506</v>
      </c>
      <c r="G3610" s="1" t="s">
        <v>729</v>
      </c>
      <c r="H3610" s="2">
        <v>48086</v>
      </c>
      <c r="I3610" t="s">
        <v>49</v>
      </c>
      <c r="J3610">
        <v>9</v>
      </c>
      <c r="K3610">
        <v>65926.14</v>
      </c>
      <c r="L3610" t="s">
        <v>238</v>
      </c>
      <c r="M3610">
        <v>26</v>
      </c>
      <c r="N3610" t="s">
        <v>36</v>
      </c>
      <c r="O3610" s="3" t="s">
        <v>28</v>
      </c>
      <c r="P3610" t="s">
        <v>93</v>
      </c>
      <c r="Q3610" t="s">
        <v>41</v>
      </c>
      <c r="R3610">
        <v>3</v>
      </c>
      <c r="S3610" t="s">
        <v>52</v>
      </c>
      <c r="T3610" s="4">
        <f t="shared" si="284"/>
        <v>593335.26</v>
      </c>
      <c r="U3610" s="4" t="str">
        <f t="shared" si="285"/>
        <v>Average</v>
      </c>
      <c r="V3610" s="4" t="str">
        <f t="shared" si="281"/>
        <v>Excellent</v>
      </c>
      <c r="W3610" s="4"/>
      <c r="X3610" s="4"/>
      <c r="AJ3610" s="4"/>
    </row>
    <row r="3611" spans="1:36">
      <c r="A3611" t="str">
        <f t="shared" si="282"/>
        <v>Pooj263610</v>
      </c>
      <c r="B3611">
        <v>3610</v>
      </c>
      <c r="C3611">
        <v>2</v>
      </c>
      <c r="D3611">
        <v>8</v>
      </c>
      <c r="E3611">
        <v>2024</v>
      </c>
      <c r="F3611" s="1">
        <f t="shared" si="283"/>
        <v>45506</v>
      </c>
      <c r="G3611" s="1" t="s">
        <v>729</v>
      </c>
      <c r="H3611" s="2">
        <v>48087</v>
      </c>
      <c r="I3611" t="s">
        <v>26</v>
      </c>
      <c r="J3611">
        <v>2</v>
      </c>
      <c r="K3611">
        <v>53035.81</v>
      </c>
      <c r="L3611" t="s">
        <v>986</v>
      </c>
      <c r="M3611">
        <v>26</v>
      </c>
      <c r="N3611" t="s">
        <v>36</v>
      </c>
      <c r="O3611" s="3" t="s">
        <v>22</v>
      </c>
      <c r="P3611" t="s">
        <v>33</v>
      </c>
      <c r="Q3611" t="s">
        <v>56</v>
      </c>
      <c r="R3611">
        <v>5</v>
      </c>
      <c r="S3611" t="s">
        <v>67</v>
      </c>
      <c r="T3611" s="4">
        <f t="shared" si="284"/>
        <v>106071.62</v>
      </c>
      <c r="U3611" s="4" t="str">
        <f t="shared" si="285"/>
        <v>Good</v>
      </c>
      <c r="V3611" s="4" t="str">
        <f t="shared" si="281"/>
        <v>Good</v>
      </c>
      <c r="W3611" s="4"/>
      <c r="X3611" s="4"/>
      <c r="AJ3611" s="4"/>
    </row>
    <row r="3612" spans="1:36">
      <c r="A3612" t="str">
        <f t="shared" si="282"/>
        <v>Navi393611</v>
      </c>
      <c r="B3612">
        <v>3611</v>
      </c>
      <c r="C3612">
        <v>3</v>
      </c>
      <c r="D3612">
        <v>8</v>
      </c>
      <c r="E3612">
        <v>2024</v>
      </c>
      <c r="F3612" s="1">
        <f t="shared" si="283"/>
        <v>45507</v>
      </c>
      <c r="G3612" s="1" t="s">
        <v>729</v>
      </c>
      <c r="H3612" s="2">
        <v>48088</v>
      </c>
      <c r="I3612" t="s">
        <v>38</v>
      </c>
      <c r="J3612">
        <v>5</v>
      </c>
      <c r="K3612">
        <v>55877.120000000003</v>
      </c>
      <c r="L3612" t="s">
        <v>608</v>
      </c>
      <c r="M3612">
        <v>39</v>
      </c>
      <c r="N3612" t="s">
        <v>21</v>
      </c>
      <c r="O3612" s="3" t="s">
        <v>22</v>
      </c>
      <c r="P3612" t="s">
        <v>93</v>
      </c>
      <c r="Q3612" t="s">
        <v>41</v>
      </c>
      <c r="R3612">
        <v>5</v>
      </c>
      <c r="S3612" t="s">
        <v>42</v>
      </c>
      <c r="T3612" s="4">
        <f t="shared" si="284"/>
        <v>279385.60000000003</v>
      </c>
      <c r="U3612" s="4" t="str">
        <f t="shared" si="285"/>
        <v>Good</v>
      </c>
      <c r="V3612" s="4" t="str">
        <f t="shared" si="281"/>
        <v>Excellent</v>
      </c>
      <c r="W3612" s="4"/>
      <c r="X3612" s="4"/>
      <c r="AJ3612" s="4"/>
    </row>
    <row r="3613" spans="1:36">
      <c r="A3613" t="str">
        <f t="shared" si="282"/>
        <v>Anit193612</v>
      </c>
      <c r="B3613">
        <v>3612</v>
      </c>
      <c r="C3613">
        <v>3</v>
      </c>
      <c r="D3613">
        <v>8</v>
      </c>
      <c r="E3613">
        <v>2024</v>
      </c>
      <c r="F3613" s="1">
        <f t="shared" si="283"/>
        <v>45507</v>
      </c>
      <c r="G3613" s="1" t="s">
        <v>729</v>
      </c>
      <c r="H3613" s="2">
        <v>48089</v>
      </c>
      <c r="I3613" t="s">
        <v>38</v>
      </c>
      <c r="J3613">
        <v>1</v>
      </c>
      <c r="K3613">
        <v>20074.189999999999</v>
      </c>
      <c r="L3613" t="s">
        <v>829</v>
      </c>
      <c r="M3613">
        <v>19</v>
      </c>
      <c r="N3613" t="s">
        <v>36</v>
      </c>
      <c r="O3613" s="3" t="s">
        <v>22</v>
      </c>
      <c r="P3613" t="s">
        <v>33</v>
      </c>
      <c r="Q3613" t="s">
        <v>56</v>
      </c>
      <c r="R3613">
        <v>4</v>
      </c>
      <c r="S3613" t="s">
        <v>42</v>
      </c>
      <c r="T3613" s="4">
        <f t="shared" si="284"/>
        <v>20074.189999999999</v>
      </c>
      <c r="U3613" s="4" t="str">
        <f t="shared" si="285"/>
        <v>Good</v>
      </c>
      <c r="V3613" s="4" t="str">
        <f t="shared" si="281"/>
        <v>Low</v>
      </c>
      <c r="W3613" s="4"/>
      <c r="X3613" s="4"/>
      <c r="AJ3613" s="4"/>
    </row>
    <row r="3614" spans="1:36">
      <c r="A3614" t="str">
        <f t="shared" si="282"/>
        <v>Reen333613</v>
      </c>
      <c r="B3614">
        <v>3613</v>
      </c>
      <c r="C3614">
        <v>3</v>
      </c>
      <c r="D3614">
        <v>8</v>
      </c>
      <c r="E3614">
        <v>2024</v>
      </c>
      <c r="F3614" s="1">
        <f t="shared" si="283"/>
        <v>45507</v>
      </c>
      <c r="G3614" s="1" t="s">
        <v>729</v>
      </c>
      <c r="H3614" s="2">
        <v>48090</v>
      </c>
      <c r="I3614" t="s">
        <v>26</v>
      </c>
      <c r="J3614">
        <v>4</v>
      </c>
      <c r="K3614">
        <v>35172.379999999997</v>
      </c>
      <c r="L3614" t="s">
        <v>1014</v>
      </c>
      <c r="M3614">
        <v>33</v>
      </c>
      <c r="N3614" t="s">
        <v>21</v>
      </c>
      <c r="O3614" s="3" t="s">
        <v>22</v>
      </c>
      <c r="P3614" t="s">
        <v>110</v>
      </c>
      <c r="Q3614" t="s">
        <v>41</v>
      </c>
      <c r="R3614">
        <v>4</v>
      </c>
      <c r="S3614" t="s">
        <v>67</v>
      </c>
      <c r="T3614" s="4">
        <f t="shared" si="284"/>
        <v>140689.51999999999</v>
      </c>
      <c r="U3614" s="4" t="str">
        <f t="shared" si="285"/>
        <v>Good</v>
      </c>
      <c r="V3614" s="4" t="str">
        <f t="shared" si="281"/>
        <v>Good</v>
      </c>
      <c r="W3614" s="4"/>
      <c r="X3614" s="4"/>
      <c r="AJ3614" s="4"/>
    </row>
    <row r="3615" spans="1:36">
      <c r="A3615" t="str">
        <f t="shared" si="282"/>
        <v>Tapa573614</v>
      </c>
      <c r="B3615">
        <v>3614</v>
      </c>
      <c r="C3615">
        <v>4</v>
      </c>
      <c r="D3615">
        <v>8</v>
      </c>
      <c r="E3615">
        <v>2024</v>
      </c>
      <c r="F3615" s="1">
        <f t="shared" si="283"/>
        <v>45508</v>
      </c>
      <c r="G3615" s="1" t="s">
        <v>729</v>
      </c>
      <c r="H3615" s="2">
        <v>48091</v>
      </c>
      <c r="I3615" t="s">
        <v>49</v>
      </c>
      <c r="J3615">
        <v>4</v>
      </c>
      <c r="K3615">
        <v>39103.32</v>
      </c>
      <c r="L3615" t="s">
        <v>594</v>
      </c>
      <c r="M3615">
        <v>57</v>
      </c>
      <c r="N3615" t="s">
        <v>61</v>
      </c>
      <c r="O3615" s="3" t="s">
        <v>28</v>
      </c>
      <c r="P3615" t="s">
        <v>29</v>
      </c>
      <c r="Q3615" t="s">
        <v>30</v>
      </c>
      <c r="R3615">
        <v>3</v>
      </c>
      <c r="S3615" t="s">
        <v>102</v>
      </c>
      <c r="T3615" s="4">
        <f t="shared" si="284"/>
        <v>156413.28</v>
      </c>
      <c r="U3615" s="4" t="str">
        <f t="shared" si="285"/>
        <v>Average</v>
      </c>
      <c r="V3615" s="4" t="str">
        <f t="shared" si="281"/>
        <v>Good</v>
      </c>
      <c r="W3615" s="4"/>
      <c r="X3615" s="4"/>
      <c r="AJ3615" s="4"/>
    </row>
    <row r="3616" spans="1:36">
      <c r="A3616" t="str">
        <f t="shared" si="282"/>
        <v>Deve233615</v>
      </c>
      <c r="B3616">
        <v>3615</v>
      </c>
      <c r="C3616">
        <v>4</v>
      </c>
      <c r="D3616">
        <v>8</v>
      </c>
      <c r="E3616">
        <v>2024</v>
      </c>
      <c r="F3616" s="1">
        <f t="shared" si="283"/>
        <v>45508</v>
      </c>
      <c r="G3616" s="1" t="s">
        <v>729</v>
      </c>
      <c r="H3616" s="2">
        <v>48092</v>
      </c>
      <c r="I3616" t="s">
        <v>26</v>
      </c>
      <c r="J3616">
        <v>6</v>
      </c>
      <c r="K3616">
        <v>25377.59</v>
      </c>
      <c r="L3616" t="s">
        <v>891</v>
      </c>
      <c r="M3616">
        <v>23</v>
      </c>
      <c r="N3616" t="s">
        <v>36</v>
      </c>
      <c r="O3616" s="3" t="s">
        <v>55</v>
      </c>
      <c r="P3616" t="s">
        <v>93</v>
      </c>
      <c r="Q3616" t="s">
        <v>24</v>
      </c>
      <c r="R3616">
        <v>2</v>
      </c>
      <c r="S3616" t="s">
        <v>67</v>
      </c>
      <c r="T3616" s="4">
        <f t="shared" si="284"/>
        <v>152265.54</v>
      </c>
      <c r="U3616" s="4" t="str">
        <f t="shared" si="285"/>
        <v>Average</v>
      </c>
      <c r="V3616" s="4" t="str">
        <f t="shared" si="281"/>
        <v>Good</v>
      </c>
      <c r="W3616" s="4"/>
      <c r="X3616" s="4"/>
      <c r="AJ3616" s="4"/>
    </row>
    <row r="3617" spans="1:36">
      <c r="A3617" t="str">
        <f t="shared" si="282"/>
        <v>Umes303616</v>
      </c>
      <c r="B3617">
        <v>3616</v>
      </c>
      <c r="C3617">
        <v>4</v>
      </c>
      <c r="D3617">
        <v>8</v>
      </c>
      <c r="E3617">
        <v>2024</v>
      </c>
      <c r="F3617" s="1">
        <f t="shared" si="283"/>
        <v>45508</v>
      </c>
      <c r="G3617" s="1" t="s">
        <v>729</v>
      </c>
      <c r="H3617" s="2">
        <v>48093</v>
      </c>
      <c r="I3617" t="s">
        <v>49</v>
      </c>
      <c r="J3617">
        <v>9</v>
      </c>
      <c r="K3617">
        <v>41712.39</v>
      </c>
      <c r="L3617" t="s">
        <v>840</v>
      </c>
      <c r="M3617">
        <v>30</v>
      </c>
      <c r="N3617" t="s">
        <v>36</v>
      </c>
      <c r="O3617" s="3" t="s">
        <v>28</v>
      </c>
      <c r="P3617" t="s">
        <v>114</v>
      </c>
      <c r="Q3617" t="s">
        <v>56</v>
      </c>
      <c r="R3617">
        <v>3</v>
      </c>
      <c r="S3617" t="s">
        <v>88</v>
      </c>
      <c r="T3617" s="4">
        <f t="shared" si="284"/>
        <v>375411.51</v>
      </c>
      <c r="U3617" s="4" t="str">
        <f t="shared" si="285"/>
        <v>Average</v>
      </c>
      <c r="V3617" s="4" t="str">
        <f t="shared" si="281"/>
        <v>Excellent</v>
      </c>
      <c r="W3617" s="4"/>
      <c r="X3617" s="4"/>
      <c r="AJ3617" s="4"/>
    </row>
    <row r="3618" spans="1:36">
      <c r="A3618" t="str">
        <f t="shared" si="282"/>
        <v>Anan503617</v>
      </c>
      <c r="B3618">
        <v>3617</v>
      </c>
      <c r="C3618">
        <v>5</v>
      </c>
      <c r="D3618">
        <v>8</v>
      </c>
      <c r="E3618">
        <v>2024</v>
      </c>
      <c r="F3618" s="1">
        <f t="shared" si="283"/>
        <v>45509</v>
      </c>
      <c r="G3618" s="1" t="s">
        <v>729</v>
      </c>
      <c r="H3618" s="2">
        <v>48094</v>
      </c>
      <c r="I3618" t="s">
        <v>19</v>
      </c>
      <c r="J3618">
        <v>3</v>
      </c>
      <c r="K3618">
        <v>27447.52</v>
      </c>
      <c r="L3618" t="s">
        <v>674</v>
      </c>
      <c r="M3618">
        <v>50</v>
      </c>
      <c r="N3618" t="s">
        <v>61</v>
      </c>
      <c r="O3618" s="3" t="s">
        <v>28</v>
      </c>
      <c r="P3618" t="s">
        <v>29</v>
      </c>
      <c r="Q3618" t="s">
        <v>24</v>
      </c>
      <c r="R3618">
        <v>3</v>
      </c>
      <c r="S3618" t="s">
        <v>37</v>
      </c>
      <c r="T3618" s="4">
        <f t="shared" si="284"/>
        <v>82342.559999999998</v>
      </c>
      <c r="U3618" s="4" t="str">
        <f t="shared" si="285"/>
        <v>Average</v>
      </c>
      <c r="V3618" s="4" t="str">
        <f t="shared" si="281"/>
        <v>Average</v>
      </c>
      <c r="W3618" s="4"/>
      <c r="X3618" s="4"/>
      <c r="AJ3618" s="4"/>
    </row>
    <row r="3619" spans="1:36">
      <c r="A3619" t="str">
        <f t="shared" si="282"/>
        <v>Anan363618</v>
      </c>
      <c r="B3619">
        <v>3618</v>
      </c>
      <c r="C3619">
        <v>5</v>
      </c>
      <c r="D3619">
        <v>8</v>
      </c>
      <c r="E3619">
        <v>2024</v>
      </c>
      <c r="F3619" s="1">
        <f t="shared" si="283"/>
        <v>45509</v>
      </c>
      <c r="G3619" s="1" t="s">
        <v>729</v>
      </c>
      <c r="H3619" s="2">
        <v>48095</v>
      </c>
      <c r="I3619" t="s">
        <v>26</v>
      </c>
      <c r="J3619">
        <v>9</v>
      </c>
      <c r="K3619">
        <v>51250.13</v>
      </c>
      <c r="L3619" t="s">
        <v>403</v>
      </c>
      <c r="M3619">
        <v>36</v>
      </c>
      <c r="N3619" t="s">
        <v>21</v>
      </c>
      <c r="O3619" s="3" t="s">
        <v>55</v>
      </c>
      <c r="P3619" t="s">
        <v>29</v>
      </c>
      <c r="Q3619" t="s">
        <v>24</v>
      </c>
      <c r="R3619">
        <v>2</v>
      </c>
      <c r="S3619" t="s">
        <v>34</v>
      </c>
      <c r="T3619" s="4">
        <f t="shared" si="284"/>
        <v>461251.17</v>
      </c>
      <c r="U3619" s="4" t="str">
        <f t="shared" si="285"/>
        <v>Average</v>
      </c>
      <c r="V3619" s="4" t="str">
        <f t="shared" si="281"/>
        <v>Excellent</v>
      </c>
      <c r="W3619" s="4"/>
      <c r="X3619" s="4"/>
      <c r="AJ3619" s="4"/>
    </row>
    <row r="3620" spans="1:36">
      <c r="A3620" t="str">
        <f t="shared" si="282"/>
        <v>Pras323619</v>
      </c>
      <c r="B3620">
        <v>3619</v>
      </c>
      <c r="C3620">
        <v>5</v>
      </c>
      <c r="D3620">
        <v>8</v>
      </c>
      <c r="E3620">
        <v>2024</v>
      </c>
      <c r="F3620" s="1">
        <f t="shared" si="283"/>
        <v>45509</v>
      </c>
      <c r="G3620" s="1" t="s">
        <v>729</v>
      </c>
      <c r="H3620" s="2">
        <v>48096</v>
      </c>
      <c r="I3620" t="s">
        <v>49</v>
      </c>
      <c r="J3620">
        <v>6</v>
      </c>
      <c r="K3620">
        <v>38217.31</v>
      </c>
      <c r="L3620" t="s">
        <v>1029</v>
      </c>
      <c r="M3620">
        <v>32</v>
      </c>
      <c r="N3620" t="s">
        <v>21</v>
      </c>
      <c r="O3620" s="3" t="s">
        <v>22</v>
      </c>
      <c r="P3620" t="s">
        <v>90</v>
      </c>
      <c r="Q3620" t="s">
        <v>41</v>
      </c>
      <c r="R3620">
        <v>5</v>
      </c>
      <c r="S3620" t="s">
        <v>88</v>
      </c>
      <c r="T3620" s="4">
        <f t="shared" si="284"/>
        <v>229303.86</v>
      </c>
      <c r="U3620" s="4" t="str">
        <f t="shared" si="285"/>
        <v>Good</v>
      </c>
      <c r="V3620" s="4" t="str">
        <f t="shared" si="281"/>
        <v>Excellent</v>
      </c>
      <c r="W3620" s="4"/>
      <c r="X3620" s="4"/>
      <c r="AJ3620" s="4"/>
    </row>
    <row r="3621" spans="1:36">
      <c r="A3621" t="str">
        <f t="shared" si="282"/>
        <v>Amit503620</v>
      </c>
      <c r="B3621">
        <v>3620</v>
      </c>
      <c r="C3621">
        <v>5</v>
      </c>
      <c r="D3621">
        <v>8</v>
      </c>
      <c r="E3621">
        <v>2024</v>
      </c>
      <c r="F3621" s="1">
        <f t="shared" si="283"/>
        <v>45509</v>
      </c>
      <c r="G3621" s="1" t="s">
        <v>729</v>
      </c>
      <c r="H3621" s="2">
        <v>48097</v>
      </c>
      <c r="I3621" t="s">
        <v>26</v>
      </c>
      <c r="J3621">
        <v>7</v>
      </c>
      <c r="K3621">
        <v>37528.42</v>
      </c>
      <c r="L3621" t="s">
        <v>591</v>
      </c>
      <c r="M3621">
        <v>50</v>
      </c>
      <c r="N3621" t="s">
        <v>61</v>
      </c>
      <c r="O3621" s="3" t="s">
        <v>22</v>
      </c>
      <c r="P3621" t="s">
        <v>132</v>
      </c>
      <c r="Q3621" t="s">
        <v>30</v>
      </c>
      <c r="R3621">
        <v>5</v>
      </c>
      <c r="S3621" t="s">
        <v>67</v>
      </c>
      <c r="T3621" s="4">
        <f t="shared" si="284"/>
        <v>262698.94</v>
      </c>
      <c r="U3621" s="4" t="str">
        <f t="shared" si="285"/>
        <v>Good</v>
      </c>
      <c r="V3621" s="4" t="str">
        <f t="shared" si="281"/>
        <v>Excellent</v>
      </c>
      <c r="W3621" s="4"/>
      <c r="X3621" s="4"/>
      <c r="AJ3621" s="4"/>
    </row>
    <row r="3622" spans="1:36">
      <c r="A3622" t="str">
        <f t="shared" si="282"/>
        <v>Kuna273621</v>
      </c>
      <c r="B3622">
        <v>3621</v>
      </c>
      <c r="C3622">
        <v>6</v>
      </c>
      <c r="D3622">
        <v>8</v>
      </c>
      <c r="E3622">
        <v>2024</v>
      </c>
      <c r="F3622" s="1">
        <f t="shared" si="283"/>
        <v>45510</v>
      </c>
      <c r="G3622" s="1" t="s">
        <v>729</v>
      </c>
      <c r="H3622" s="2">
        <v>48098</v>
      </c>
      <c r="I3622" t="s">
        <v>26</v>
      </c>
      <c r="J3622">
        <v>2</v>
      </c>
      <c r="K3622">
        <v>69018.55</v>
      </c>
      <c r="L3622" t="s">
        <v>275</v>
      </c>
      <c r="M3622">
        <v>27</v>
      </c>
      <c r="N3622" t="s">
        <v>36</v>
      </c>
      <c r="O3622" s="3" t="s">
        <v>55</v>
      </c>
      <c r="P3622" t="s">
        <v>29</v>
      </c>
      <c r="Q3622" t="s">
        <v>41</v>
      </c>
      <c r="R3622">
        <v>2</v>
      </c>
      <c r="S3622" t="s">
        <v>34</v>
      </c>
      <c r="T3622" s="4">
        <f t="shared" si="284"/>
        <v>138037.1</v>
      </c>
      <c r="U3622" s="4" t="str">
        <f t="shared" si="285"/>
        <v>Average</v>
      </c>
      <c r="V3622" s="4" t="str">
        <f t="shared" si="281"/>
        <v>Good</v>
      </c>
      <c r="W3622" s="4"/>
      <c r="X3622" s="4"/>
      <c r="AJ3622" s="4"/>
    </row>
    <row r="3623" spans="1:36">
      <c r="A3623" t="str">
        <f t="shared" si="282"/>
        <v>Bina183622</v>
      </c>
      <c r="B3623">
        <v>3622</v>
      </c>
      <c r="C3623">
        <v>6</v>
      </c>
      <c r="D3623">
        <v>8</v>
      </c>
      <c r="E3623">
        <v>2024</v>
      </c>
      <c r="F3623" s="1">
        <f t="shared" si="283"/>
        <v>45510</v>
      </c>
      <c r="G3623" s="1" t="s">
        <v>729</v>
      </c>
      <c r="H3623" s="2">
        <v>48099</v>
      </c>
      <c r="I3623" t="s">
        <v>49</v>
      </c>
      <c r="J3623">
        <v>6</v>
      </c>
      <c r="K3623">
        <v>33546.69</v>
      </c>
      <c r="L3623" t="s">
        <v>165</v>
      </c>
      <c r="M3623">
        <v>18</v>
      </c>
      <c r="N3623" t="s">
        <v>36</v>
      </c>
      <c r="O3623" s="3" t="s">
        <v>22</v>
      </c>
      <c r="P3623" t="s">
        <v>33</v>
      </c>
      <c r="Q3623" t="s">
        <v>24</v>
      </c>
      <c r="R3623">
        <v>5</v>
      </c>
      <c r="S3623" t="s">
        <v>88</v>
      </c>
      <c r="T3623" s="4">
        <f t="shared" si="284"/>
        <v>201280.14</v>
      </c>
      <c r="U3623" s="4" t="str">
        <f t="shared" si="285"/>
        <v>Good</v>
      </c>
      <c r="V3623" s="4" t="str">
        <f t="shared" si="281"/>
        <v>Excellent</v>
      </c>
      <c r="W3623" s="4"/>
      <c r="X3623" s="4"/>
      <c r="AJ3623" s="4"/>
    </row>
    <row r="3624" spans="1:36">
      <c r="A3624" t="str">
        <f t="shared" si="282"/>
        <v>Priy293623</v>
      </c>
      <c r="B3624">
        <v>3623</v>
      </c>
      <c r="C3624">
        <v>6</v>
      </c>
      <c r="D3624">
        <v>8</v>
      </c>
      <c r="E3624">
        <v>2024</v>
      </c>
      <c r="F3624" s="1">
        <f t="shared" si="283"/>
        <v>45510</v>
      </c>
      <c r="G3624" s="1" t="s">
        <v>729</v>
      </c>
      <c r="H3624" s="2">
        <v>48100</v>
      </c>
      <c r="I3624" t="s">
        <v>49</v>
      </c>
      <c r="J3624">
        <v>6</v>
      </c>
      <c r="K3624">
        <v>31737.73</v>
      </c>
      <c r="L3624" t="s">
        <v>1052</v>
      </c>
      <c r="M3624">
        <v>29</v>
      </c>
      <c r="N3624" t="s">
        <v>36</v>
      </c>
      <c r="O3624" s="3" t="s">
        <v>22</v>
      </c>
      <c r="P3624" t="s">
        <v>29</v>
      </c>
      <c r="Q3624" t="s">
        <v>41</v>
      </c>
      <c r="R3624">
        <v>5</v>
      </c>
      <c r="S3624" t="s">
        <v>88</v>
      </c>
      <c r="T3624" s="4">
        <f t="shared" si="284"/>
        <v>190426.38</v>
      </c>
      <c r="U3624" s="4" t="str">
        <f t="shared" si="285"/>
        <v>Good</v>
      </c>
      <c r="V3624" s="4" t="str">
        <f t="shared" si="281"/>
        <v>Good</v>
      </c>
      <c r="W3624" s="4"/>
      <c r="X3624" s="4"/>
      <c r="AJ3624" s="4"/>
    </row>
    <row r="3625" spans="1:36">
      <c r="A3625" t="str">
        <f t="shared" si="282"/>
        <v>Kuna463624</v>
      </c>
      <c r="B3625">
        <v>3624</v>
      </c>
      <c r="C3625">
        <v>7</v>
      </c>
      <c r="D3625">
        <v>8</v>
      </c>
      <c r="E3625">
        <v>2024</v>
      </c>
      <c r="F3625" s="1">
        <f t="shared" si="283"/>
        <v>45511</v>
      </c>
      <c r="G3625" s="1" t="s">
        <v>729</v>
      </c>
      <c r="H3625" s="2">
        <v>48101</v>
      </c>
      <c r="I3625" t="s">
        <v>43</v>
      </c>
      <c r="J3625">
        <v>2</v>
      </c>
      <c r="K3625">
        <v>29116.26</v>
      </c>
      <c r="L3625" t="s">
        <v>388</v>
      </c>
      <c r="M3625">
        <v>46</v>
      </c>
      <c r="N3625" t="s">
        <v>61</v>
      </c>
      <c r="O3625" s="3" t="s">
        <v>55</v>
      </c>
      <c r="P3625" t="s">
        <v>33</v>
      </c>
      <c r="Q3625" t="s">
        <v>56</v>
      </c>
      <c r="R3625">
        <v>2</v>
      </c>
      <c r="S3625" t="s">
        <v>95</v>
      </c>
      <c r="T3625" s="4">
        <f t="shared" si="284"/>
        <v>58232.52</v>
      </c>
      <c r="U3625" s="4" t="str">
        <f t="shared" si="285"/>
        <v>Average</v>
      </c>
      <c r="V3625" s="4" t="str">
        <f t="shared" si="281"/>
        <v>Average</v>
      </c>
      <c r="W3625" s="4"/>
      <c r="X3625" s="4"/>
      <c r="AJ3625" s="4"/>
    </row>
    <row r="3626" spans="1:36">
      <c r="A3626" t="str">
        <f t="shared" si="282"/>
        <v>Meen343625</v>
      </c>
      <c r="B3626">
        <v>3625</v>
      </c>
      <c r="C3626">
        <v>7</v>
      </c>
      <c r="D3626">
        <v>8</v>
      </c>
      <c r="E3626">
        <v>2024</v>
      </c>
      <c r="F3626" s="1">
        <f t="shared" si="283"/>
        <v>45511</v>
      </c>
      <c r="G3626" s="1" t="s">
        <v>729</v>
      </c>
      <c r="H3626" s="2">
        <v>48102</v>
      </c>
      <c r="I3626" t="s">
        <v>26</v>
      </c>
      <c r="J3626">
        <v>2</v>
      </c>
      <c r="K3626">
        <v>63684.95</v>
      </c>
      <c r="L3626" t="s">
        <v>890</v>
      </c>
      <c r="M3626">
        <v>34</v>
      </c>
      <c r="N3626" t="s">
        <v>21</v>
      </c>
      <c r="O3626" s="3" t="s">
        <v>22</v>
      </c>
      <c r="P3626" t="s">
        <v>90</v>
      </c>
      <c r="Q3626" t="s">
        <v>30</v>
      </c>
      <c r="R3626">
        <v>4</v>
      </c>
      <c r="S3626" t="s">
        <v>67</v>
      </c>
      <c r="T3626" s="4">
        <f t="shared" si="284"/>
        <v>127369.9</v>
      </c>
      <c r="U3626" s="4" t="str">
        <f t="shared" si="285"/>
        <v>Good</v>
      </c>
      <c r="V3626" s="4" t="str">
        <f t="shared" si="281"/>
        <v>Good</v>
      </c>
      <c r="W3626" s="4"/>
      <c r="X3626" s="4"/>
      <c r="AJ3626" s="4"/>
    </row>
    <row r="3627" spans="1:36">
      <c r="A3627" t="str">
        <f t="shared" si="282"/>
        <v>Arun213626</v>
      </c>
      <c r="B3627">
        <v>3626</v>
      </c>
      <c r="C3627">
        <v>7</v>
      </c>
      <c r="D3627">
        <v>8</v>
      </c>
      <c r="E3627">
        <v>2024</v>
      </c>
      <c r="F3627" s="1">
        <f t="shared" si="283"/>
        <v>45511</v>
      </c>
      <c r="G3627" s="1" t="s">
        <v>729</v>
      </c>
      <c r="H3627" s="2">
        <v>48103</v>
      </c>
      <c r="I3627" t="s">
        <v>38</v>
      </c>
      <c r="J3627">
        <v>2</v>
      </c>
      <c r="K3627">
        <v>39803.43</v>
      </c>
      <c r="L3627" t="s">
        <v>804</v>
      </c>
      <c r="M3627">
        <v>21</v>
      </c>
      <c r="N3627" t="s">
        <v>36</v>
      </c>
      <c r="O3627" s="3" t="s">
        <v>28</v>
      </c>
      <c r="P3627" t="s">
        <v>64</v>
      </c>
      <c r="Q3627" t="s">
        <v>24</v>
      </c>
      <c r="R3627">
        <v>3</v>
      </c>
      <c r="S3627" t="s">
        <v>42</v>
      </c>
      <c r="T3627" s="4">
        <f t="shared" si="284"/>
        <v>79606.86</v>
      </c>
      <c r="U3627" s="4" t="str">
        <f t="shared" si="285"/>
        <v>Average</v>
      </c>
      <c r="V3627" s="4" t="str">
        <f t="shared" si="281"/>
        <v>Average</v>
      </c>
      <c r="W3627" s="4"/>
      <c r="X3627" s="4"/>
      <c r="AJ3627" s="4"/>
    </row>
    <row r="3628" spans="1:36">
      <c r="A3628" t="str">
        <f t="shared" si="282"/>
        <v>Pras463627</v>
      </c>
      <c r="B3628">
        <v>3627</v>
      </c>
      <c r="C3628">
        <v>7</v>
      </c>
      <c r="D3628">
        <v>8</v>
      </c>
      <c r="E3628">
        <v>2024</v>
      </c>
      <c r="F3628" s="1">
        <f t="shared" si="283"/>
        <v>45511</v>
      </c>
      <c r="G3628" s="1" t="s">
        <v>729</v>
      </c>
      <c r="H3628" s="2">
        <v>48104</v>
      </c>
      <c r="I3628" t="s">
        <v>26</v>
      </c>
      <c r="J3628">
        <v>1</v>
      </c>
      <c r="K3628">
        <v>46000.87</v>
      </c>
      <c r="L3628" t="s">
        <v>203</v>
      </c>
      <c r="M3628">
        <v>46</v>
      </c>
      <c r="N3628" t="s">
        <v>61</v>
      </c>
      <c r="O3628" s="3" t="s">
        <v>55</v>
      </c>
      <c r="P3628" t="s">
        <v>150</v>
      </c>
      <c r="Q3628" t="s">
        <v>41</v>
      </c>
      <c r="R3628">
        <v>2</v>
      </c>
      <c r="S3628" t="s">
        <v>31</v>
      </c>
      <c r="T3628" s="4">
        <f t="shared" si="284"/>
        <v>46000.87</v>
      </c>
      <c r="U3628" s="4" t="str">
        <f t="shared" si="285"/>
        <v>Average</v>
      </c>
      <c r="V3628" s="4" t="str">
        <f t="shared" si="281"/>
        <v>Low</v>
      </c>
      <c r="W3628" s="4"/>
      <c r="X3628" s="4"/>
      <c r="AJ3628" s="4"/>
    </row>
    <row r="3629" spans="1:36">
      <c r="A3629" t="str">
        <f t="shared" si="282"/>
        <v>Roha243628</v>
      </c>
      <c r="B3629">
        <v>3628</v>
      </c>
      <c r="C3629">
        <v>8</v>
      </c>
      <c r="D3629">
        <v>8</v>
      </c>
      <c r="E3629">
        <v>2024</v>
      </c>
      <c r="F3629" s="1">
        <f t="shared" si="283"/>
        <v>45512</v>
      </c>
      <c r="G3629" s="1" t="s">
        <v>729</v>
      </c>
      <c r="H3629" s="2">
        <v>48105</v>
      </c>
      <c r="I3629" t="s">
        <v>26</v>
      </c>
      <c r="J3629">
        <v>5</v>
      </c>
      <c r="K3629">
        <v>20849.11</v>
      </c>
      <c r="L3629" t="s">
        <v>908</v>
      </c>
      <c r="M3629">
        <v>24</v>
      </c>
      <c r="N3629" t="s">
        <v>36</v>
      </c>
      <c r="O3629" s="3" t="s">
        <v>55</v>
      </c>
      <c r="P3629" t="s">
        <v>45</v>
      </c>
      <c r="Q3629" t="s">
        <v>56</v>
      </c>
      <c r="R3629">
        <v>2</v>
      </c>
      <c r="S3629" t="s">
        <v>67</v>
      </c>
      <c r="T3629" s="4">
        <f t="shared" si="284"/>
        <v>104245.55</v>
      </c>
      <c r="U3629" s="4" t="str">
        <f t="shared" si="285"/>
        <v>Average</v>
      </c>
      <c r="V3629" s="4" t="str">
        <f t="shared" si="281"/>
        <v>Good</v>
      </c>
      <c r="W3629" s="4"/>
      <c r="X3629" s="4"/>
      <c r="AJ3629" s="4"/>
    </row>
    <row r="3630" spans="1:36">
      <c r="A3630" t="str">
        <f t="shared" si="282"/>
        <v>Ayes303629</v>
      </c>
      <c r="B3630">
        <v>3629</v>
      </c>
      <c r="C3630">
        <v>8</v>
      </c>
      <c r="D3630">
        <v>8</v>
      </c>
      <c r="E3630">
        <v>2024</v>
      </c>
      <c r="F3630" s="1">
        <f t="shared" si="283"/>
        <v>45512</v>
      </c>
      <c r="G3630" s="1" t="s">
        <v>729</v>
      </c>
      <c r="H3630" s="2">
        <v>48106</v>
      </c>
      <c r="I3630" t="s">
        <v>49</v>
      </c>
      <c r="J3630">
        <v>8</v>
      </c>
      <c r="K3630">
        <v>42456.54</v>
      </c>
      <c r="L3630" t="s">
        <v>757</v>
      </c>
      <c r="M3630">
        <v>30</v>
      </c>
      <c r="N3630" t="s">
        <v>36</v>
      </c>
      <c r="O3630" s="3" t="s">
        <v>22</v>
      </c>
      <c r="P3630" t="s">
        <v>33</v>
      </c>
      <c r="Q3630" t="s">
        <v>30</v>
      </c>
      <c r="R3630">
        <v>5</v>
      </c>
      <c r="S3630" t="s">
        <v>52</v>
      </c>
      <c r="T3630" s="4">
        <f t="shared" si="284"/>
        <v>339652.32</v>
      </c>
      <c r="U3630" s="4" t="str">
        <f t="shared" si="285"/>
        <v>Good</v>
      </c>
      <c r="V3630" s="4" t="str">
        <f t="shared" si="281"/>
        <v>Excellent</v>
      </c>
      <c r="W3630" s="4"/>
      <c r="X3630" s="4"/>
      <c r="AJ3630" s="4"/>
    </row>
    <row r="3631" spans="1:36">
      <c r="A3631" t="str">
        <f t="shared" si="282"/>
        <v>Vija223630</v>
      </c>
      <c r="B3631">
        <v>3630</v>
      </c>
      <c r="C3631">
        <v>8</v>
      </c>
      <c r="D3631">
        <v>8</v>
      </c>
      <c r="E3631">
        <v>2024</v>
      </c>
      <c r="F3631" s="1">
        <f t="shared" si="283"/>
        <v>45512</v>
      </c>
      <c r="G3631" s="1" t="s">
        <v>729</v>
      </c>
      <c r="H3631" s="2">
        <v>48107</v>
      </c>
      <c r="I3631" t="s">
        <v>26</v>
      </c>
      <c r="J3631">
        <v>2</v>
      </c>
      <c r="K3631">
        <v>26478.89</v>
      </c>
      <c r="L3631" t="s">
        <v>290</v>
      </c>
      <c r="M3631">
        <v>22</v>
      </c>
      <c r="N3631" t="s">
        <v>36</v>
      </c>
      <c r="O3631" s="3" t="s">
        <v>22</v>
      </c>
      <c r="P3631" t="s">
        <v>23</v>
      </c>
      <c r="Q3631" t="s">
        <v>41</v>
      </c>
      <c r="R3631">
        <v>4</v>
      </c>
      <c r="S3631" t="s">
        <v>34</v>
      </c>
      <c r="T3631" s="4">
        <f t="shared" si="284"/>
        <v>52957.78</v>
      </c>
      <c r="U3631" s="4" t="str">
        <f t="shared" si="285"/>
        <v>Good</v>
      </c>
      <c r="V3631" s="4" t="str">
        <f t="shared" si="281"/>
        <v>Average</v>
      </c>
      <c r="W3631" s="4"/>
      <c r="X3631" s="4"/>
      <c r="AJ3631" s="4"/>
    </row>
    <row r="3632" spans="1:36">
      <c r="A3632" t="str">
        <f t="shared" si="282"/>
        <v>Anit233631</v>
      </c>
      <c r="B3632">
        <v>3631</v>
      </c>
      <c r="C3632">
        <v>9</v>
      </c>
      <c r="D3632">
        <v>8</v>
      </c>
      <c r="E3632">
        <v>2024</v>
      </c>
      <c r="F3632" s="1">
        <f t="shared" si="283"/>
        <v>45513</v>
      </c>
      <c r="G3632" s="1" t="s">
        <v>729</v>
      </c>
      <c r="H3632" s="2">
        <v>48108</v>
      </c>
      <c r="I3632" t="s">
        <v>26</v>
      </c>
      <c r="J3632">
        <v>5</v>
      </c>
      <c r="K3632">
        <v>53838.22</v>
      </c>
      <c r="L3632" t="s">
        <v>168</v>
      </c>
      <c r="M3632">
        <v>23</v>
      </c>
      <c r="N3632" t="s">
        <v>36</v>
      </c>
      <c r="O3632" s="3" t="s">
        <v>55</v>
      </c>
      <c r="P3632" t="s">
        <v>29</v>
      </c>
      <c r="Q3632" t="s">
        <v>41</v>
      </c>
      <c r="R3632">
        <v>2</v>
      </c>
      <c r="S3632" t="s">
        <v>67</v>
      </c>
      <c r="T3632" s="4">
        <f t="shared" si="284"/>
        <v>269191.09999999998</v>
      </c>
      <c r="U3632" s="4" t="str">
        <f t="shared" si="285"/>
        <v>Average</v>
      </c>
      <c r="V3632" s="4" t="str">
        <f t="shared" si="281"/>
        <v>Excellent</v>
      </c>
      <c r="W3632" s="4"/>
      <c r="X3632" s="4"/>
      <c r="AJ3632" s="4"/>
    </row>
    <row r="3633" spans="1:36">
      <c r="A3633" t="str">
        <f t="shared" si="282"/>
        <v>Lali513632</v>
      </c>
      <c r="B3633">
        <v>3632</v>
      </c>
      <c r="C3633">
        <v>9</v>
      </c>
      <c r="D3633">
        <v>8</v>
      </c>
      <c r="E3633">
        <v>2024</v>
      </c>
      <c r="F3633" s="1">
        <f t="shared" si="283"/>
        <v>45513</v>
      </c>
      <c r="G3633" s="1" t="s">
        <v>729</v>
      </c>
      <c r="H3633" s="2">
        <v>48109</v>
      </c>
      <c r="I3633" t="s">
        <v>38</v>
      </c>
      <c r="J3633">
        <v>8</v>
      </c>
      <c r="K3633">
        <v>59951.7</v>
      </c>
      <c r="L3633" t="s">
        <v>730</v>
      </c>
      <c r="M3633">
        <v>51</v>
      </c>
      <c r="N3633" t="s">
        <v>61</v>
      </c>
      <c r="O3633" s="3" t="s">
        <v>22</v>
      </c>
      <c r="P3633" t="s">
        <v>59</v>
      </c>
      <c r="Q3633" t="s">
        <v>24</v>
      </c>
      <c r="R3633">
        <v>4</v>
      </c>
      <c r="S3633" t="s">
        <v>48</v>
      </c>
      <c r="T3633" s="4">
        <f t="shared" si="284"/>
        <v>479613.6</v>
      </c>
      <c r="U3633" s="4" t="str">
        <f t="shared" si="285"/>
        <v>Good</v>
      </c>
      <c r="V3633" s="4" t="str">
        <f t="shared" si="281"/>
        <v>Excellent</v>
      </c>
      <c r="W3633" s="4"/>
      <c r="X3633" s="4"/>
      <c r="AJ3633" s="4"/>
    </row>
    <row r="3634" spans="1:36">
      <c r="A3634" t="str">
        <f t="shared" si="282"/>
        <v>Yoge243633</v>
      </c>
      <c r="B3634">
        <v>3633</v>
      </c>
      <c r="C3634">
        <v>9</v>
      </c>
      <c r="D3634">
        <v>8</v>
      </c>
      <c r="E3634">
        <v>2024</v>
      </c>
      <c r="F3634" s="1">
        <f t="shared" si="283"/>
        <v>45513</v>
      </c>
      <c r="G3634" s="1" t="s">
        <v>729</v>
      </c>
      <c r="H3634" s="2">
        <v>48110</v>
      </c>
      <c r="I3634" t="s">
        <v>49</v>
      </c>
      <c r="J3634">
        <v>5</v>
      </c>
      <c r="K3634">
        <v>52888.639999999999</v>
      </c>
      <c r="L3634" t="s">
        <v>978</v>
      </c>
      <c r="M3634">
        <v>24</v>
      </c>
      <c r="N3634" t="s">
        <v>36</v>
      </c>
      <c r="O3634" s="3" t="s">
        <v>22</v>
      </c>
      <c r="P3634" t="s">
        <v>59</v>
      </c>
      <c r="Q3634" t="s">
        <v>56</v>
      </c>
      <c r="R3634">
        <v>5</v>
      </c>
      <c r="S3634" t="s">
        <v>52</v>
      </c>
      <c r="T3634" s="4">
        <f t="shared" si="284"/>
        <v>264443.2</v>
      </c>
      <c r="U3634" s="4" t="str">
        <f t="shared" si="285"/>
        <v>Good</v>
      </c>
      <c r="V3634" s="4" t="str">
        <f t="shared" si="281"/>
        <v>Excellent</v>
      </c>
      <c r="W3634" s="4"/>
      <c r="X3634" s="4"/>
      <c r="AJ3634" s="4"/>
    </row>
    <row r="3635" spans="1:36">
      <c r="A3635" t="str">
        <f t="shared" si="282"/>
        <v>Kuna453634</v>
      </c>
      <c r="B3635">
        <v>3634</v>
      </c>
      <c r="C3635">
        <v>9</v>
      </c>
      <c r="D3635">
        <v>8</v>
      </c>
      <c r="E3635">
        <v>2024</v>
      </c>
      <c r="F3635" s="1">
        <f t="shared" si="283"/>
        <v>45513</v>
      </c>
      <c r="G3635" s="1" t="s">
        <v>729</v>
      </c>
      <c r="H3635" s="2">
        <v>48111</v>
      </c>
      <c r="I3635" t="s">
        <v>26</v>
      </c>
      <c r="J3635">
        <v>2</v>
      </c>
      <c r="K3635">
        <v>53814.65</v>
      </c>
      <c r="L3635" t="s">
        <v>494</v>
      </c>
      <c r="M3635">
        <v>45</v>
      </c>
      <c r="N3635" t="s">
        <v>21</v>
      </c>
      <c r="O3635" s="3" t="s">
        <v>55</v>
      </c>
      <c r="P3635" t="s">
        <v>77</v>
      </c>
      <c r="Q3635" t="s">
        <v>30</v>
      </c>
      <c r="R3635">
        <v>2</v>
      </c>
      <c r="S3635" t="s">
        <v>67</v>
      </c>
      <c r="T3635" s="4">
        <f t="shared" si="284"/>
        <v>107629.3</v>
      </c>
      <c r="U3635" s="4" t="str">
        <f t="shared" si="285"/>
        <v>Average</v>
      </c>
      <c r="V3635" s="4" t="str">
        <f t="shared" si="281"/>
        <v>Good</v>
      </c>
      <c r="W3635" s="4"/>
      <c r="X3635" s="4"/>
      <c r="AJ3635" s="4"/>
    </row>
    <row r="3636" spans="1:36">
      <c r="A3636" t="str">
        <f t="shared" si="282"/>
        <v>Adit273635</v>
      </c>
      <c r="B3636">
        <v>3635</v>
      </c>
      <c r="C3636">
        <v>10</v>
      </c>
      <c r="D3636">
        <v>8</v>
      </c>
      <c r="E3636">
        <v>2024</v>
      </c>
      <c r="F3636" s="1">
        <f t="shared" si="283"/>
        <v>45514</v>
      </c>
      <c r="G3636" s="1" t="s">
        <v>729</v>
      </c>
      <c r="H3636" s="2">
        <v>48112</v>
      </c>
      <c r="I3636" t="s">
        <v>19</v>
      </c>
      <c r="J3636">
        <v>3</v>
      </c>
      <c r="K3636">
        <v>40748.480000000003</v>
      </c>
      <c r="L3636" t="s">
        <v>641</v>
      </c>
      <c r="M3636">
        <v>27</v>
      </c>
      <c r="N3636" t="s">
        <v>36</v>
      </c>
      <c r="O3636" s="3" t="s">
        <v>22</v>
      </c>
      <c r="P3636" t="s">
        <v>90</v>
      </c>
      <c r="Q3636" t="s">
        <v>41</v>
      </c>
      <c r="R3636">
        <v>4</v>
      </c>
      <c r="S3636" t="s">
        <v>25</v>
      </c>
      <c r="T3636" s="4">
        <f t="shared" si="284"/>
        <v>122245.44</v>
      </c>
      <c r="U3636" s="4" t="str">
        <f t="shared" si="285"/>
        <v>Good</v>
      </c>
      <c r="V3636" s="4" t="str">
        <f t="shared" si="281"/>
        <v>Good</v>
      </c>
      <c r="W3636" s="4"/>
      <c r="X3636" s="4"/>
      <c r="AJ3636" s="4"/>
    </row>
    <row r="3637" spans="1:36">
      <c r="A3637" t="str">
        <f t="shared" si="282"/>
        <v>Amit213636</v>
      </c>
      <c r="B3637">
        <v>3636</v>
      </c>
      <c r="C3637">
        <v>10</v>
      </c>
      <c r="D3637">
        <v>8</v>
      </c>
      <c r="E3637">
        <v>2024</v>
      </c>
      <c r="F3637" s="1">
        <f t="shared" si="283"/>
        <v>45514</v>
      </c>
      <c r="G3637" s="1" t="s">
        <v>729</v>
      </c>
      <c r="H3637" s="2">
        <v>48113</v>
      </c>
      <c r="I3637" t="s">
        <v>43</v>
      </c>
      <c r="J3637">
        <v>6</v>
      </c>
      <c r="K3637">
        <v>52727.08</v>
      </c>
      <c r="L3637" t="s">
        <v>871</v>
      </c>
      <c r="M3637">
        <v>21</v>
      </c>
      <c r="N3637" t="s">
        <v>36</v>
      </c>
      <c r="O3637" s="3" t="s">
        <v>28</v>
      </c>
      <c r="P3637" t="s">
        <v>132</v>
      </c>
      <c r="Q3637" t="s">
        <v>30</v>
      </c>
      <c r="R3637">
        <v>3</v>
      </c>
      <c r="S3637" t="s">
        <v>95</v>
      </c>
      <c r="T3637" s="4">
        <f t="shared" si="284"/>
        <v>316362.48</v>
      </c>
      <c r="U3637" s="4" t="str">
        <f t="shared" si="285"/>
        <v>Average</v>
      </c>
      <c r="V3637" s="4" t="str">
        <f t="shared" si="281"/>
        <v>Excellent</v>
      </c>
      <c r="W3637" s="4"/>
      <c r="X3637" s="4"/>
      <c r="AJ3637" s="4"/>
    </row>
    <row r="3638" spans="1:36">
      <c r="A3638" t="str">
        <f t="shared" si="282"/>
        <v>Tanu203637</v>
      </c>
      <c r="B3638">
        <v>3637</v>
      </c>
      <c r="C3638">
        <v>10</v>
      </c>
      <c r="D3638">
        <v>8</v>
      </c>
      <c r="E3638">
        <v>2024</v>
      </c>
      <c r="F3638" s="1">
        <f t="shared" si="283"/>
        <v>45514</v>
      </c>
      <c r="G3638" s="1" t="s">
        <v>729</v>
      </c>
      <c r="H3638" s="2">
        <v>48114</v>
      </c>
      <c r="I3638" t="s">
        <v>38</v>
      </c>
      <c r="J3638">
        <v>5</v>
      </c>
      <c r="K3638">
        <v>35361.22</v>
      </c>
      <c r="L3638" t="s">
        <v>899</v>
      </c>
      <c r="M3638">
        <v>20</v>
      </c>
      <c r="N3638" t="s">
        <v>36</v>
      </c>
      <c r="O3638" s="3" t="s">
        <v>22</v>
      </c>
      <c r="P3638" t="s">
        <v>33</v>
      </c>
      <c r="Q3638" t="s">
        <v>56</v>
      </c>
      <c r="R3638">
        <v>5</v>
      </c>
      <c r="S3638" t="s">
        <v>42</v>
      </c>
      <c r="T3638" s="4">
        <f t="shared" si="284"/>
        <v>176806.1</v>
      </c>
      <c r="U3638" s="4" t="str">
        <f t="shared" si="285"/>
        <v>Good</v>
      </c>
      <c r="V3638" s="4" t="str">
        <f t="shared" si="281"/>
        <v>Good</v>
      </c>
      <c r="W3638" s="4"/>
      <c r="X3638" s="4"/>
      <c r="AJ3638" s="4"/>
    </row>
    <row r="3639" spans="1:36">
      <c r="A3639" t="str">
        <f t="shared" si="282"/>
        <v>Roha423638</v>
      </c>
      <c r="B3639">
        <v>3638</v>
      </c>
      <c r="C3639">
        <v>10</v>
      </c>
      <c r="D3639">
        <v>8</v>
      </c>
      <c r="E3639">
        <v>2024</v>
      </c>
      <c r="F3639" s="1">
        <f t="shared" si="283"/>
        <v>45514</v>
      </c>
      <c r="G3639" s="1" t="s">
        <v>729</v>
      </c>
      <c r="H3639" s="2">
        <v>48115</v>
      </c>
      <c r="I3639" t="s">
        <v>26</v>
      </c>
      <c r="J3639">
        <v>4</v>
      </c>
      <c r="K3639">
        <v>49089.35</v>
      </c>
      <c r="L3639" t="s">
        <v>590</v>
      </c>
      <c r="M3639">
        <v>42</v>
      </c>
      <c r="N3639" t="s">
        <v>21</v>
      </c>
      <c r="O3639" s="3" t="s">
        <v>22</v>
      </c>
      <c r="P3639" t="s">
        <v>33</v>
      </c>
      <c r="Q3639" t="s">
        <v>24</v>
      </c>
      <c r="R3639">
        <v>4</v>
      </c>
      <c r="S3639" t="s">
        <v>67</v>
      </c>
      <c r="T3639" s="4">
        <f t="shared" si="284"/>
        <v>196357.4</v>
      </c>
      <c r="U3639" s="4" t="str">
        <f t="shared" si="285"/>
        <v>Good</v>
      </c>
      <c r="V3639" s="4" t="str">
        <f t="shared" si="281"/>
        <v>Good</v>
      </c>
      <c r="W3639" s="4"/>
      <c r="X3639" s="4"/>
      <c r="AJ3639" s="4"/>
    </row>
    <row r="3640" spans="1:36">
      <c r="A3640" t="str">
        <f t="shared" si="282"/>
        <v>Anit403639</v>
      </c>
      <c r="B3640">
        <v>3639</v>
      </c>
      <c r="C3640">
        <v>11</v>
      </c>
      <c r="D3640">
        <v>8</v>
      </c>
      <c r="E3640">
        <v>2024</v>
      </c>
      <c r="F3640" s="1">
        <f t="shared" si="283"/>
        <v>45515</v>
      </c>
      <c r="G3640" s="1" t="s">
        <v>729</v>
      </c>
      <c r="H3640" s="2">
        <v>48116</v>
      </c>
      <c r="I3640" t="s">
        <v>19</v>
      </c>
      <c r="J3640">
        <v>4</v>
      </c>
      <c r="K3640">
        <v>25542.35</v>
      </c>
      <c r="L3640" t="s">
        <v>587</v>
      </c>
      <c r="M3640">
        <v>40</v>
      </c>
      <c r="N3640" t="s">
        <v>21</v>
      </c>
      <c r="O3640" s="3" t="s">
        <v>22</v>
      </c>
      <c r="P3640" t="s">
        <v>40</v>
      </c>
      <c r="Q3640" t="s">
        <v>24</v>
      </c>
      <c r="R3640">
        <v>5</v>
      </c>
      <c r="S3640" t="s">
        <v>25</v>
      </c>
      <c r="T3640" s="4">
        <f t="shared" si="284"/>
        <v>102169.4</v>
      </c>
      <c r="U3640" s="4" t="str">
        <f t="shared" si="285"/>
        <v>Good</v>
      </c>
      <c r="V3640" s="4" t="str">
        <f t="shared" si="281"/>
        <v>Good</v>
      </c>
      <c r="W3640" s="4"/>
      <c r="X3640" s="4"/>
      <c r="AJ3640" s="4"/>
    </row>
    <row r="3641" spans="1:36">
      <c r="A3641" t="str">
        <f t="shared" si="282"/>
        <v>Mano443640</v>
      </c>
      <c r="B3641">
        <v>3640</v>
      </c>
      <c r="C3641">
        <v>11</v>
      </c>
      <c r="D3641">
        <v>8</v>
      </c>
      <c r="E3641">
        <v>2024</v>
      </c>
      <c r="F3641" s="1">
        <f t="shared" si="283"/>
        <v>45515</v>
      </c>
      <c r="G3641" s="1" t="s">
        <v>729</v>
      </c>
      <c r="H3641" s="2">
        <v>48117</v>
      </c>
      <c r="I3641" t="s">
        <v>26</v>
      </c>
      <c r="J3641">
        <v>5</v>
      </c>
      <c r="K3641">
        <v>14185.42</v>
      </c>
      <c r="L3641" t="s">
        <v>293</v>
      </c>
      <c r="M3641">
        <v>44</v>
      </c>
      <c r="N3641" t="s">
        <v>21</v>
      </c>
      <c r="O3641" s="3" t="s">
        <v>55</v>
      </c>
      <c r="P3641" t="s">
        <v>150</v>
      </c>
      <c r="Q3641" t="s">
        <v>24</v>
      </c>
      <c r="R3641">
        <v>2</v>
      </c>
      <c r="S3641" t="s">
        <v>34</v>
      </c>
      <c r="T3641" s="4">
        <f t="shared" si="284"/>
        <v>70927.100000000006</v>
      </c>
      <c r="U3641" s="4" t="str">
        <f t="shared" si="285"/>
        <v>Average</v>
      </c>
      <c r="V3641" s="4" t="str">
        <f t="shared" si="281"/>
        <v>Average</v>
      </c>
      <c r="W3641" s="4"/>
      <c r="X3641" s="4"/>
      <c r="AJ3641" s="4"/>
    </row>
    <row r="3642" spans="1:36">
      <c r="A3642" t="str">
        <f t="shared" si="282"/>
        <v>Kavi313641</v>
      </c>
      <c r="B3642">
        <v>3641</v>
      </c>
      <c r="C3642">
        <v>11</v>
      </c>
      <c r="D3642">
        <v>8</v>
      </c>
      <c r="E3642">
        <v>2024</v>
      </c>
      <c r="F3642" s="1">
        <f t="shared" si="283"/>
        <v>45515</v>
      </c>
      <c r="G3642" s="1" t="s">
        <v>729</v>
      </c>
      <c r="H3642" s="2">
        <v>48118</v>
      </c>
      <c r="I3642" t="s">
        <v>26</v>
      </c>
      <c r="J3642">
        <v>2</v>
      </c>
      <c r="K3642">
        <v>34808.400000000001</v>
      </c>
      <c r="L3642" t="s">
        <v>211</v>
      </c>
      <c r="M3642">
        <v>31</v>
      </c>
      <c r="N3642" t="s">
        <v>21</v>
      </c>
      <c r="O3642" s="3" t="s">
        <v>55</v>
      </c>
      <c r="P3642" t="s">
        <v>51</v>
      </c>
      <c r="Q3642" t="s">
        <v>30</v>
      </c>
      <c r="R3642">
        <v>2</v>
      </c>
      <c r="S3642" t="s">
        <v>31</v>
      </c>
      <c r="T3642" s="4">
        <f t="shared" si="284"/>
        <v>69616.800000000003</v>
      </c>
      <c r="U3642" s="4" t="str">
        <f t="shared" si="285"/>
        <v>Average</v>
      </c>
      <c r="V3642" s="4" t="str">
        <f t="shared" si="281"/>
        <v>Average</v>
      </c>
      <c r="W3642" s="4"/>
      <c r="X3642" s="4"/>
      <c r="AJ3642" s="4"/>
    </row>
    <row r="3643" spans="1:36">
      <c r="A3643" t="str">
        <f t="shared" si="282"/>
        <v>Nikh553642</v>
      </c>
      <c r="B3643">
        <v>3642</v>
      </c>
      <c r="C3643">
        <v>12</v>
      </c>
      <c r="D3643">
        <v>8</v>
      </c>
      <c r="E3643">
        <v>2024</v>
      </c>
      <c r="F3643" s="1">
        <f t="shared" si="283"/>
        <v>45516</v>
      </c>
      <c r="G3643" s="1" t="s">
        <v>729</v>
      </c>
      <c r="H3643" s="2">
        <v>48119</v>
      </c>
      <c r="I3643" t="s">
        <v>49</v>
      </c>
      <c r="J3643">
        <v>9</v>
      </c>
      <c r="K3643">
        <v>37706.69</v>
      </c>
      <c r="L3643" t="s">
        <v>497</v>
      </c>
      <c r="M3643">
        <v>55</v>
      </c>
      <c r="N3643" t="s">
        <v>61</v>
      </c>
      <c r="O3643" s="3" t="s">
        <v>22</v>
      </c>
      <c r="P3643" t="s">
        <v>29</v>
      </c>
      <c r="Q3643" t="s">
        <v>30</v>
      </c>
      <c r="R3643">
        <v>5</v>
      </c>
      <c r="S3643" t="s">
        <v>102</v>
      </c>
      <c r="T3643" s="4">
        <f t="shared" si="284"/>
        <v>339360.21</v>
      </c>
      <c r="U3643" s="4" t="str">
        <f t="shared" si="285"/>
        <v>Good</v>
      </c>
      <c r="V3643" s="4" t="str">
        <f t="shared" si="281"/>
        <v>Excellent</v>
      </c>
      <c r="W3643" s="4"/>
      <c r="X3643" s="4"/>
      <c r="AJ3643" s="4"/>
    </row>
    <row r="3644" spans="1:36">
      <c r="A3644" t="str">
        <f t="shared" si="282"/>
        <v>Suni493643</v>
      </c>
      <c r="B3644">
        <v>3643</v>
      </c>
      <c r="C3644">
        <v>12</v>
      </c>
      <c r="D3644">
        <v>8</v>
      </c>
      <c r="E3644">
        <v>2024</v>
      </c>
      <c r="F3644" s="1">
        <f t="shared" si="283"/>
        <v>45516</v>
      </c>
      <c r="G3644" s="1" t="s">
        <v>729</v>
      </c>
      <c r="H3644" s="2">
        <v>48120</v>
      </c>
      <c r="I3644" t="s">
        <v>49</v>
      </c>
      <c r="J3644">
        <v>2</v>
      </c>
      <c r="K3644">
        <v>25384.43</v>
      </c>
      <c r="L3644" t="s">
        <v>615</v>
      </c>
      <c r="M3644">
        <v>49</v>
      </c>
      <c r="N3644" t="s">
        <v>61</v>
      </c>
      <c r="O3644" s="3" t="s">
        <v>22</v>
      </c>
      <c r="P3644" t="s">
        <v>33</v>
      </c>
      <c r="Q3644" t="s">
        <v>41</v>
      </c>
      <c r="R3644">
        <v>5</v>
      </c>
      <c r="S3644" t="s">
        <v>52</v>
      </c>
      <c r="T3644" s="4">
        <f t="shared" si="284"/>
        <v>50768.86</v>
      </c>
      <c r="U3644" s="4" t="str">
        <f t="shared" si="285"/>
        <v>Good</v>
      </c>
      <c r="V3644" s="4" t="str">
        <f t="shared" si="281"/>
        <v>Average</v>
      </c>
      <c r="W3644" s="4"/>
      <c r="X3644" s="4"/>
      <c r="AJ3644" s="4"/>
    </row>
    <row r="3645" spans="1:36">
      <c r="A3645" t="str">
        <f t="shared" si="282"/>
        <v>Umes403644</v>
      </c>
      <c r="B3645">
        <v>3644</v>
      </c>
      <c r="C3645">
        <v>12</v>
      </c>
      <c r="D3645">
        <v>8</v>
      </c>
      <c r="E3645">
        <v>2024</v>
      </c>
      <c r="F3645" s="1">
        <f t="shared" si="283"/>
        <v>45516</v>
      </c>
      <c r="G3645" s="1" t="s">
        <v>729</v>
      </c>
      <c r="H3645" s="2">
        <v>48121</v>
      </c>
      <c r="I3645" t="s">
        <v>49</v>
      </c>
      <c r="J3645">
        <v>2</v>
      </c>
      <c r="K3645">
        <v>53662.57</v>
      </c>
      <c r="L3645" t="s">
        <v>626</v>
      </c>
      <c r="M3645">
        <v>40</v>
      </c>
      <c r="N3645" t="s">
        <v>21</v>
      </c>
      <c r="O3645" s="3" t="s">
        <v>28</v>
      </c>
      <c r="P3645" t="s">
        <v>29</v>
      </c>
      <c r="Q3645" t="s">
        <v>56</v>
      </c>
      <c r="R3645">
        <v>3</v>
      </c>
      <c r="S3645" t="s">
        <v>102</v>
      </c>
      <c r="T3645" s="4">
        <f t="shared" si="284"/>
        <v>107325.14</v>
      </c>
      <c r="U3645" s="4" t="str">
        <f t="shared" si="285"/>
        <v>Average</v>
      </c>
      <c r="V3645" s="4" t="str">
        <f t="shared" si="281"/>
        <v>Good</v>
      </c>
      <c r="W3645" s="4"/>
      <c r="X3645" s="4"/>
      <c r="AJ3645" s="4"/>
    </row>
    <row r="3646" spans="1:36">
      <c r="A3646" t="str">
        <f t="shared" si="282"/>
        <v>Isha573645</v>
      </c>
      <c r="B3646">
        <v>3645</v>
      </c>
      <c r="C3646">
        <v>13</v>
      </c>
      <c r="D3646">
        <v>8</v>
      </c>
      <c r="E3646">
        <v>2024</v>
      </c>
      <c r="F3646" s="1">
        <f t="shared" si="283"/>
        <v>45517</v>
      </c>
      <c r="G3646" s="1" t="s">
        <v>729</v>
      </c>
      <c r="H3646" s="2">
        <v>48122</v>
      </c>
      <c r="I3646" t="s">
        <v>19</v>
      </c>
      <c r="J3646">
        <v>9</v>
      </c>
      <c r="K3646">
        <v>14413.03</v>
      </c>
      <c r="L3646" t="s">
        <v>423</v>
      </c>
      <c r="M3646">
        <v>57</v>
      </c>
      <c r="N3646" t="s">
        <v>61</v>
      </c>
      <c r="O3646" s="3" t="s">
        <v>28</v>
      </c>
      <c r="P3646" t="s">
        <v>33</v>
      </c>
      <c r="Q3646" t="s">
        <v>56</v>
      </c>
      <c r="R3646">
        <v>3</v>
      </c>
      <c r="S3646" t="s">
        <v>84</v>
      </c>
      <c r="T3646" s="4">
        <f t="shared" si="284"/>
        <v>129717.27</v>
      </c>
      <c r="U3646" s="4" t="str">
        <f t="shared" si="285"/>
        <v>Average</v>
      </c>
      <c r="V3646" s="4" t="str">
        <f t="shared" si="281"/>
        <v>Good</v>
      </c>
      <c r="W3646" s="4"/>
      <c r="X3646" s="4"/>
      <c r="AJ3646" s="4"/>
    </row>
    <row r="3647" spans="1:36">
      <c r="A3647" t="str">
        <f t="shared" si="282"/>
        <v>Neet543646</v>
      </c>
      <c r="B3647">
        <v>3646</v>
      </c>
      <c r="C3647">
        <v>13</v>
      </c>
      <c r="D3647">
        <v>8</v>
      </c>
      <c r="E3647">
        <v>2024</v>
      </c>
      <c r="F3647" s="1">
        <f t="shared" si="283"/>
        <v>45517</v>
      </c>
      <c r="G3647" s="1" t="s">
        <v>729</v>
      </c>
      <c r="H3647" s="2">
        <v>48123</v>
      </c>
      <c r="I3647" t="s">
        <v>26</v>
      </c>
      <c r="J3647">
        <v>3</v>
      </c>
      <c r="K3647">
        <v>23364.9</v>
      </c>
      <c r="L3647" t="s">
        <v>525</v>
      </c>
      <c r="M3647">
        <v>54</v>
      </c>
      <c r="N3647" t="s">
        <v>61</v>
      </c>
      <c r="O3647" s="3" t="s">
        <v>22</v>
      </c>
      <c r="P3647" t="s">
        <v>33</v>
      </c>
      <c r="Q3647" t="s">
        <v>56</v>
      </c>
      <c r="R3647">
        <v>4</v>
      </c>
      <c r="S3647" t="s">
        <v>34</v>
      </c>
      <c r="T3647" s="4">
        <f t="shared" si="284"/>
        <v>70094.700000000012</v>
      </c>
      <c r="U3647" s="4" t="str">
        <f t="shared" si="285"/>
        <v>Good</v>
      </c>
      <c r="V3647" s="4" t="str">
        <f t="shared" si="281"/>
        <v>Average</v>
      </c>
      <c r="W3647" s="4"/>
      <c r="X3647" s="4"/>
      <c r="AJ3647" s="4"/>
    </row>
    <row r="3648" spans="1:36">
      <c r="A3648" t="str">
        <f t="shared" si="282"/>
        <v>Lali203647</v>
      </c>
      <c r="B3648">
        <v>3647</v>
      </c>
      <c r="C3648">
        <v>13</v>
      </c>
      <c r="D3648">
        <v>8</v>
      </c>
      <c r="E3648">
        <v>2024</v>
      </c>
      <c r="F3648" s="1">
        <f t="shared" si="283"/>
        <v>45517</v>
      </c>
      <c r="G3648" s="1" t="s">
        <v>729</v>
      </c>
      <c r="H3648" s="2">
        <v>48124</v>
      </c>
      <c r="I3648" t="s">
        <v>43</v>
      </c>
      <c r="J3648">
        <v>7</v>
      </c>
      <c r="K3648">
        <v>54913.88</v>
      </c>
      <c r="L3648" t="s">
        <v>263</v>
      </c>
      <c r="M3648">
        <v>20</v>
      </c>
      <c r="N3648" t="s">
        <v>36</v>
      </c>
      <c r="O3648" s="3" t="s">
        <v>28</v>
      </c>
      <c r="P3648" t="s">
        <v>150</v>
      </c>
      <c r="Q3648" t="s">
        <v>30</v>
      </c>
      <c r="R3648">
        <v>3</v>
      </c>
      <c r="S3648" t="s">
        <v>57</v>
      </c>
      <c r="T3648" s="4">
        <f t="shared" si="284"/>
        <v>384397.16</v>
      </c>
      <c r="U3648" s="4" t="str">
        <f t="shared" si="285"/>
        <v>Average</v>
      </c>
      <c r="V3648" s="4" t="str">
        <f t="shared" si="281"/>
        <v>Excellent</v>
      </c>
      <c r="W3648" s="4"/>
      <c r="X3648" s="4"/>
      <c r="AJ3648" s="4"/>
    </row>
    <row r="3649" spans="1:36">
      <c r="A3649" t="str">
        <f t="shared" si="282"/>
        <v>Anan523648</v>
      </c>
      <c r="B3649">
        <v>3648</v>
      </c>
      <c r="C3649">
        <v>14</v>
      </c>
      <c r="D3649">
        <v>8</v>
      </c>
      <c r="E3649">
        <v>2024</v>
      </c>
      <c r="F3649" s="1">
        <f t="shared" si="283"/>
        <v>45518</v>
      </c>
      <c r="G3649" s="1" t="s">
        <v>729</v>
      </c>
      <c r="H3649" s="2">
        <v>48125</v>
      </c>
      <c r="I3649" t="s">
        <v>38</v>
      </c>
      <c r="J3649">
        <v>4</v>
      </c>
      <c r="K3649">
        <v>36227.46</v>
      </c>
      <c r="L3649" t="s">
        <v>674</v>
      </c>
      <c r="M3649">
        <v>52</v>
      </c>
      <c r="N3649" t="s">
        <v>61</v>
      </c>
      <c r="O3649" s="3" t="s">
        <v>22</v>
      </c>
      <c r="P3649" t="s">
        <v>110</v>
      </c>
      <c r="Q3649" t="s">
        <v>24</v>
      </c>
      <c r="R3649">
        <v>5</v>
      </c>
      <c r="S3649" t="s">
        <v>99</v>
      </c>
      <c r="T3649" s="4">
        <f t="shared" si="284"/>
        <v>144909.84</v>
      </c>
      <c r="U3649" s="4" t="str">
        <f t="shared" si="285"/>
        <v>Good</v>
      </c>
      <c r="V3649" s="4" t="str">
        <f t="shared" ref="V3649:V3712" si="286">IF(T3649&gt;200000,"Excellent",IF(T3649&gt;100000,"Good",IF(T3649&gt;50000,"Average","Low")))</f>
        <v>Good</v>
      </c>
      <c r="W3649" s="4"/>
      <c r="X3649" s="4"/>
      <c r="AJ3649" s="4"/>
    </row>
    <row r="3650" spans="1:36">
      <c r="A3650" t="str">
        <f t="shared" ref="A3650:A3713" si="287">LEFT(L3650,4)&amp;M3650&amp;B3650</f>
        <v>Vino303649</v>
      </c>
      <c r="B3650">
        <v>3649</v>
      </c>
      <c r="C3650">
        <v>14</v>
      </c>
      <c r="D3650">
        <v>8</v>
      </c>
      <c r="E3650">
        <v>2024</v>
      </c>
      <c r="F3650" s="1">
        <f t="shared" si="283"/>
        <v>45518</v>
      </c>
      <c r="G3650" s="1" t="s">
        <v>729</v>
      </c>
      <c r="H3650" s="2">
        <v>48126</v>
      </c>
      <c r="I3650" t="s">
        <v>49</v>
      </c>
      <c r="J3650">
        <v>6</v>
      </c>
      <c r="K3650">
        <v>52317.02</v>
      </c>
      <c r="L3650" t="s">
        <v>85</v>
      </c>
      <c r="M3650">
        <v>30</v>
      </c>
      <c r="N3650" t="s">
        <v>36</v>
      </c>
      <c r="O3650" s="3" t="s">
        <v>55</v>
      </c>
      <c r="P3650" t="s">
        <v>29</v>
      </c>
      <c r="Q3650" t="s">
        <v>56</v>
      </c>
      <c r="R3650">
        <v>2</v>
      </c>
      <c r="S3650" t="s">
        <v>102</v>
      </c>
      <c r="T3650" s="4">
        <f t="shared" si="284"/>
        <v>313902.12</v>
      </c>
      <c r="U3650" s="4" t="str">
        <f t="shared" si="285"/>
        <v>Average</v>
      </c>
      <c r="V3650" s="4" t="str">
        <f t="shared" si="286"/>
        <v>Excellent</v>
      </c>
      <c r="W3650" s="4"/>
      <c r="X3650" s="4"/>
      <c r="AJ3650" s="4"/>
    </row>
    <row r="3651" spans="1:36">
      <c r="A3651" t="str">
        <f t="shared" si="287"/>
        <v>Ravi513650</v>
      </c>
      <c r="B3651">
        <v>3650</v>
      </c>
      <c r="C3651">
        <v>14</v>
      </c>
      <c r="D3651">
        <v>8</v>
      </c>
      <c r="E3651">
        <v>2024</v>
      </c>
      <c r="F3651" s="1">
        <f t="shared" ref="F3651:F3714" si="288">DATE(E3651,D3651,C3651)</f>
        <v>45518</v>
      </c>
      <c r="G3651" s="1" t="s">
        <v>729</v>
      </c>
      <c r="H3651" s="2">
        <v>48127</v>
      </c>
      <c r="I3651" t="s">
        <v>49</v>
      </c>
      <c r="J3651">
        <v>4</v>
      </c>
      <c r="K3651">
        <v>44049.15</v>
      </c>
      <c r="L3651" t="s">
        <v>849</v>
      </c>
      <c r="M3651">
        <v>51</v>
      </c>
      <c r="N3651" t="s">
        <v>61</v>
      </c>
      <c r="O3651" s="3" t="s">
        <v>22</v>
      </c>
      <c r="P3651" t="s">
        <v>70</v>
      </c>
      <c r="Q3651" t="s">
        <v>41</v>
      </c>
      <c r="R3651">
        <v>5</v>
      </c>
      <c r="S3651" t="s">
        <v>102</v>
      </c>
      <c r="T3651" s="4">
        <f t="shared" ref="T3651:T3714" si="289">J3651*K3651</f>
        <v>176196.6</v>
      </c>
      <c r="U3651" s="4" t="str">
        <f t="shared" ref="U3651:U3714" si="290">IF(R3651&gt;=4,"Good","Average")</f>
        <v>Good</v>
      </c>
      <c r="V3651" s="4" t="str">
        <f t="shared" si="286"/>
        <v>Good</v>
      </c>
      <c r="W3651" s="4"/>
      <c r="X3651" s="4"/>
      <c r="AJ3651" s="4"/>
    </row>
    <row r="3652" spans="1:36">
      <c r="A3652" t="str">
        <f t="shared" si="287"/>
        <v>Lata413651</v>
      </c>
      <c r="B3652">
        <v>3651</v>
      </c>
      <c r="C3652">
        <v>15</v>
      </c>
      <c r="D3652">
        <v>8</v>
      </c>
      <c r="E3652">
        <v>2024</v>
      </c>
      <c r="F3652" s="1">
        <f t="shared" si="288"/>
        <v>45519</v>
      </c>
      <c r="G3652" s="1" t="s">
        <v>729</v>
      </c>
      <c r="H3652" s="2">
        <v>48128</v>
      </c>
      <c r="I3652" t="s">
        <v>26</v>
      </c>
      <c r="J3652">
        <v>7</v>
      </c>
      <c r="K3652">
        <v>67042.759999999995</v>
      </c>
      <c r="L3652" t="s">
        <v>787</v>
      </c>
      <c r="M3652">
        <v>41</v>
      </c>
      <c r="N3652" t="s">
        <v>21</v>
      </c>
      <c r="O3652" s="3" t="s">
        <v>22</v>
      </c>
      <c r="P3652" t="s">
        <v>33</v>
      </c>
      <c r="Q3652" t="s">
        <v>30</v>
      </c>
      <c r="R3652">
        <v>5</v>
      </c>
      <c r="S3652" t="s">
        <v>67</v>
      </c>
      <c r="T3652" s="4">
        <f t="shared" si="289"/>
        <v>469299.31999999995</v>
      </c>
      <c r="U3652" s="4" t="str">
        <f t="shared" si="290"/>
        <v>Good</v>
      </c>
      <c r="V3652" s="4" t="str">
        <f t="shared" si="286"/>
        <v>Excellent</v>
      </c>
      <c r="W3652" s="4"/>
      <c r="X3652" s="4"/>
      <c r="AJ3652" s="4"/>
    </row>
    <row r="3653" spans="1:36">
      <c r="A3653" t="str">
        <f t="shared" si="287"/>
        <v>Anan183652</v>
      </c>
      <c r="B3653">
        <v>3652</v>
      </c>
      <c r="C3653">
        <v>15</v>
      </c>
      <c r="D3653">
        <v>8</v>
      </c>
      <c r="E3653">
        <v>2024</v>
      </c>
      <c r="F3653" s="1">
        <f t="shared" si="288"/>
        <v>45519</v>
      </c>
      <c r="G3653" s="1" t="s">
        <v>729</v>
      </c>
      <c r="H3653" s="2">
        <v>48129</v>
      </c>
      <c r="I3653" t="s">
        <v>26</v>
      </c>
      <c r="J3653">
        <v>1</v>
      </c>
      <c r="K3653">
        <v>45867.75</v>
      </c>
      <c r="L3653" t="s">
        <v>335</v>
      </c>
      <c r="M3653">
        <v>18</v>
      </c>
      <c r="N3653" t="s">
        <v>36</v>
      </c>
      <c r="O3653" s="3" t="s">
        <v>55</v>
      </c>
      <c r="P3653" t="s">
        <v>90</v>
      </c>
      <c r="Q3653" t="s">
        <v>24</v>
      </c>
      <c r="R3653">
        <v>2</v>
      </c>
      <c r="S3653" t="s">
        <v>34</v>
      </c>
      <c r="T3653" s="4">
        <f t="shared" si="289"/>
        <v>45867.75</v>
      </c>
      <c r="U3653" s="4" t="str">
        <f t="shared" si="290"/>
        <v>Average</v>
      </c>
      <c r="V3653" s="4" t="str">
        <f t="shared" si="286"/>
        <v>Low</v>
      </c>
      <c r="W3653" s="4"/>
      <c r="X3653" s="4"/>
      <c r="AJ3653" s="4"/>
    </row>
    <row r="3654" spans="1:36">
      <c r="A3654" t="str">
        <f t="shared" si="287"/>
        <v>Meen293653</v>
      </c>
      <c r="B3654">
        <v>3653</v>
      </c>
      <c r="C3654">
        <v>15</v>
      </c>
      <c r="D3654">
        <v>8</v>
      </c>
      <c r="E3654">
        <v>2024</v>
      </c>
      <c r="F3654" s="1">
        <f t="shared" si="288"/>
        <v>45519</v>
      </c>
      <c r="G3654" s="1" t="s">
        <v>729</v>
      </c>
      <c r="H3654" s="2">
        <v>48130</v>
      </c>
      <c r="I3654" t="s">
        <v>19</v>
      </c>
      <c r="J3654">
        <v>3</v>
      </c>
      <c r="K3654">
        <v>10892.14</v>
      </c>
      <c r="L3654" t="s">
        <v>887</v>
      </c>
      <c r="M3654">
        <v>29</v>
      </c>
      <c r="N3654" t="s">
        <v>36</v>
      </c>
      <c r="O3654" s="3" t="s">
        <v>22</v>
      </c>
      <c r="P3654" t="s">
        <v>29</v>
      </c>
      <c r="Q3654" t="s">
        <v>56</v>
      </c>
      <c r="R3654">
        <v>5</v>
      </c>
      <c r="S3654" t="s">
        <v>84</v>
      </c>
      <c r="T3654" s="4">
        <f t="shared" si="289"/>
        <v>32676.42</v>
      </c>
      <c r="U3654" s="4" t="str">
        <f t="shared" si="290"/>
        <v>Good</v>
      </c>
      <c r="V3654" s="4" t="str">
        <f t="shared" si="286"/>
        <v>Low</v>
      </c>
      <c r="W3654" s="4"/>
      <c r="X3654" s="4"/>
      <c r="AJ3654" s="4"/>
    </row>
    <row r="3655" spans="1:36">
      <c r="A3655" t="str">
        <f t="shared" si="287"/>
        <v>Deve253654</v>
      </c>
      <c r="B3655">
        <v>3654</v>
      </c>
      <c r="C3655">
        <v>15</v>
      </c>
      <c r="D3655">
        <v>8</v>
      </c>
      <c r="E3655">
        <v>2024</v>
      </c>
      <c r="F3655" s="1">
        <f t="shared" si="288"/>
        <v>45519</v>
      </c>
      <c r="G3655" s="1" t="s">
        <v>729</v>
      </c>
      <c r="H3655" s="2">
        <v>48131</v>
      </c>
      <c r="I3655" t="s">
        <v>19</v>
      </c>
      <c r="J3655">
        <v>3</v>
      </c>
      <c r="K3655">
        <v>31172.639999999999</v>
      </c>
      <c r="L3655" t="s">
        <v>705</v>
      </c>
      <c r="M3655">
        <v>25</v>
      </c>
      <c r="N3655" t="s">
        <v>36</v>
      </c>
      <c r="O3655" s="3" t="s">
        <v>28</v>
      </c>
      <c r="P3655" t="s">
        <v>29</v>
      </c>
      <c r="Q3655" t="s">
        <v>24</v>
      </c>
      <c r="R3655">
        <v>3</v>
      </c>
      <c r="S3655" t="s">
        <v>25</v>
      </c>
      <c r="T3655" s="4">
        <f t="shared" si="289"/>
        <v>93517.92</v>
      </c>
      <c r="U3655" s="4" t="str">
        <f t="shared" si="290"/>
        <v>Average</v>
      </c>
      <c r="V3655" s="4" t="str">
        <f t="shared" si="286"/>
        <v>Average</v>
      </c>
      <c r="W3655" s="4"/>
      <c r="X3655" s="4"/>
      <c r="AJ3655" s="4"/>
    </row>
    <row r="3656" spans="1:36">
      <c r="A3656" t="str">
        <f t="shared" si="287"/>
        <v>Vive363655</v>
      </c>
      <c r="B3656">
        <v>3655</v>
      </c>
      <c r="C3656">
        <v>16</v>
      </c>
      <c r="D3656">
        <v>8</v>
      </c>
      <c r="E3656">
        <v>2024</v>
      </c>
      <c r="F3656" s="1">
        <f t="shared" si="288"/>
        <v>45520</v>
      </c>
      <c r="G3656" s="1" t="s">
        <v>729</v>
      </c>
      <c r="H3656" s="2">
        <v>48132</v>
      </c>
      <c r="I3656" t="s">
        <v>49</v>
      </c>
      <c r="J3656">
        <v>1</v>
      </c>
      <c r="K3656">
        <v>18583.64</v>
      </c>
      <c r="L3656" t="s">
        <v>229</v>
      </c>
      <c r="M3656">
        <v>36</v>
      </c>
      <c r="N3656" t="s">
        <v>21</v>
      </c>
      <c r="O3656" s="3" t="s">
        <v>22</v>
      </c>
      <c r="P3656" t="s">
        <v>29</v>
      </c>
      <c r="Q3656" t="s">
        <v>41</v>
      </c>
      <c r="R3656">
        <v>4</v>
      </c>
      <c r="S3656" t="s">
        <v>102</v>
      </c>
      <c r="T3656" s="4">
        <f t="shared" si="289"/>
        <v>18583.64</v>
      </c>
      <c r="U3656" s="4" t="str">
        <f t="shared" si="290"/>
        <v>Good</v>
      </c>
      <c r="V3656" s="4" t="str">
        <f t="shared" si="286"/>
        <v>Low</v>
      </c>
      <c r="W3656" s="4"/>
      <c r="X3656" s="4"/>
      <c r="AJ3656" s="4"/>
    </row>
    <row r="3657" spans="1:36">
      <c r="A3657" t="str">
        <f t="shared" si="287"/>
        <v>Bhav263656</v>
      </c>
      <c r="B3657">
        <v>3656</v>
      </c>
      <c r="C3657">
        <v>16</v>
      </c>
      <c r="D3657">
        <v>8</v>
      </c>
      <c r="E3657">
        <v>2024</v>
      </c>
      <c r="F3657" s="1">
        <f t="shared" si="288"/>
        <v>45520</v>
      </c>
      <c r="G3657" s="1" t="s">
        <v>729</v>
      </c>
      <c r="H3657" s="2">
        <v>48133</v>
      </c>
      <c r="I3657" t="s">
        <v>26</v>
      </c>
      <c r="J3657">
        <v>6</v>
      </c>
      <c r="K3657">
        <v>65478.02</v>
      </c>
      <c r="L3657" t="s">
        <v>223</v>
      </c>
      <c r="M3657">
        <v>26</v>
      </c>
      <c r="N3657" t="s">
        <v>36</v>
      </c>
      <c r="O3657" s="3" t="s">
        <v>22</v>
      </c>
      <c r="P3657" t="s">
        <v>40</v>
      </c>
      <c r="Q3657" t="s">
        <v>56</v>
      </c>
      <c r="R3657">
        <v>4</v>
      </c>
      <c r="S3657" t="s">
        <v>34</v>
      </c>
      <c r="T3657" s="4">
        <f t="shared" si="289"/>
        <v>392868.12</v>
      </c>
      <c r="U3657" s="4" t="str">
        <f t="shared" si="290"/>
        <v>Good</v>
      </c>
      <c r="V3657" s="4" t="str">
        <f t="shared" si="286"/>
        <v>Excellent</v>
      </c>
      <c r="W3657" s="4"/>
      <c r="X3657" s="4"/>
      <c r="AJ3657" s="4"/>
    </row>
    <row r="3658" spans="1:36">
      <c r="A3658" t="str">
        <f t="shared" si="287"/>
        <v>Tapa453657</v>
      </c>
      <c r="B3658">
        <v>3657</v>
      </c>
      <c r="C3658">
        <v>16</v>
      </c>
      <c r="D3658">
        <v>8</v>
      </c>
      <c r="E3658">
        <v>2024</v>
      </c>
      <c r="F3658" s="1">
        <f t="shared" si="288"/>
        <v>45520</v>
      </c>
      <c r="G3658" s="1" t="s">
        <v>729</v>
      </c>
      <c r="H3658" s="2">
        <v>48134</v>
      </c>
      <c r="I3658" t="s">
        <v>43</v>
      </c>
      <c r="J3658">
        <v>9</v>
      </c>
      <c r="K3658">
        <v>16240.75</v>
      </c>
      <c r="L3658" t="s">
        <v>312</v>
      </c>
      <c r="M3658">
        <v>45</v>
      </c>
      <c r="N3658" t="s">
        <v>21</v>
      </c>
      <c r="O3658" s="3" t="s">
        <v>22</v>
      </c>
      <c r="P3658" t="s">
        <v>33</v>
      </c>
      <c r="Q3658" t="s">
        <v>56</v>
      </c>
      <c r="R3658">
        <v>5</v>
      </c>
      <c r="S3658" t="s">
        <v>46</v>
      </c>
      <c r="T3658" s="4">
        <f t="shared" si="289"/>
        <v>146166.75</v>
      </c>
      <c r="U3658" s="4" t="str">
        <f t="shared" si="290"/>
        <v>Good</v>
      </c>
      <c r="V3658" s="4" t="str">
        <f t="shared" si="286"/>
        <v>Good</v>
      </c>
      <c r="W3658" s="4"/>
      <c r="X3658" s="4"/>
      <c r="AJ3658" s="4"/>
    </row>
    <row r="3659" spans="1:36">
      <c r="A3659" t="str">
        <f t="shared" si="287"/>
        <v>Lali313658</v>
      </c>
      <c r="B3659">
        <v>3658</v>
      </c>
      <c r="C3659">
        <v>17</v>
      </c>
      <c r="D3659">
        <v>8</v>
      </c>
      <c r="E3659">
        <v>2024</v>
      </c>
      <c r="F3659" s="1">
        <f t="shared" si="288"/>
        <v>45521</v>
      </c>
      <c r="G3659" s="1" t="s">
        <v>729</v>
      </c>
      <c r="H3659" s="2">
        <v>48135</v>
      </c>
      <c r="I3659" t="s">
        <v>38</v>
      </c>
      <c r="J3659">
        <v>8</v>
      </c>
      <c r="K3659">
        <v>33262.400000000001</v>
      </c>
      <c r="L3659" t="s">
        <v>263</v>
      </c>
      <c r="M3659">
        <v>31</v>
      </c>
      <c r="N3659" t="s">
        <v>21</v>
      </c>
      <c r="O3659" s="3" t="s">
        <v>55</v>
      </c>
      <c r="P3659" t="s">
        <v>59</v>
      </c>
      <c r="Q3659" t="s">
        <v>24</v>
      </c>
      <c r="R3659">
        <v>2</v>
      </c>
      <c r="S3659" t="s">
        <v>42</v>
      </c>
      <c r="T3659" s="4">
        <f t="shared" si="289"/>
        <v>266099.20000000001</v>
      </c>
      <c r="U3659" s="4" t="str">
        <f t="shared" si="290"/>
        <v>Average</v>
      </c>
      <c r="V3659" s="4" t="str">
        <f t="shared" si="286"/>
        <v>Excellent</v>
      </c>
      <c r="W3659" s="4"/>
      <c r="X3659" s="4"/>
      <c r="AJ3659" s="4"/>
    </row>
    <row r="3660" spans="1:36">
      <c r="A3660" t="str">
        <f t="shared" si="287"/>
        <v>Roha443659</v>
      </c>
      <c r="B3660">
        <v>3659</v>
      </c>
      <c r="C3660">
        <v>17</v>
      </c>
      <c r="D3660">
        <v>8</v>
      </c>
      <c r="E3660">
        <v>2024</v>
      </c>
      <c r="F3660" s="1">
        <f t="shared" si="288"/>
        <v>45521</v>
      </c>
      <c r="G3660" s="1" t="s">
        <v>729</v>
      </c>
      <c r="H3660" s="2">
        <v>48136</v>
      </c>
      <c r="I3660" t="s">
        <v>26</v>
      </c>
      <c r="J3660">
        <v>7</v>
      </c>
      <c r="K3660">
        <v>23565.95</v>
      </c>
      <c r="L3660" t="s">
        <v>620</v>
      </c>
      <c r="M3660">
        <v>44</v>
      </c>
      <c r="N3660" t="s">
        <v>21</v>
      </c>
      <c r="O3660" s="3" t="s">
        <v>22</v>
      </c>
      <c r="P3660" t="s">
        <v>132</v>
      </c>
      <c r="Q3660" t="s">
        <v>30</v>
      </c>
      <c r="R3660">
        <v>5</v>
      </c>
      <c r="S3660" t="s">
        <v>31</v>
      </c>
      <c r="T3660" s="4">
        <f t="shared" si="289"/>
        <v>164961.65</v>
      </c>
      <c r="U3660" s="4" t="str">
        <f t="shared" si="290"/>
        <v>Good</v>
      </c>
      <c r="V3660" s="4" t="str">
        <f t="shared" si="286"/>
        <v>Good</v>
      </c>
      <c r="W3660" s="4"/>
      <c r="X3660" s="4"/>
      <c r="AJ3660" s="4"/>
    </row>
    <row r="3661" spans="1:36">
      <c r="A3661" t="str">
        <f t="shared" si="287"/>
        <v>Ravi353660</v>
      </c>
      <c r="B3661">
        <v>3660</v>
      </c>
      <c r="C3661">
        <v>17</v>
      </c>
      <c r="D3661">
        <v>8</v>
      </c>
      <c r="E3661">
        <v>2024</v>
      </c>
      <c r="F3661" s="1">
        <f t="shared" si="288"/>
        <v>45521</v>
      </c>
      <c r="G3661" s="1" t="s">
        <v>729</v>
      </c>
      <c r="H3661" s="2">
        <v>48137</v>
      </c>
      <c r="I3661" t="s">
        <v>26</v>
      </c>
      <c r="J3661">
        <v>8</v>
      </c>
      <c r="K3661">
        <v>60803.32</v>
      </c>
      <c r="L3661" t="s">
        <v>977</v>
      </c>
      <c r="M3661">
        <v>35</v>
      </c>
      <c r="N3661" t="s">
        <v>21</v>
      </c>
      <c r="O3661" s="3" t="s">
        <v>22</v>
      </c>
      <c r="P3661" t="s">
        <v>45</v>
      </c>
      <c r="Q3661" t="s">
        <v>24</v>
      </c>
      <c r="R3661">
        <v>5</v>
      </c>
      <c r="S3661" t="s">
        <v>67</v>
      </c>
      <c r="T3661" s="4">
        <f t="shared" si="289"/>
        <v>486426.56</v>
      </c>
      <c r="U3661" s="4" t="str">
        <f t="shared" si="290"/>
        <v>Good</v>
      </c>
      <c r="V3661" s="4" t="str">
        <f t="shared" si="286"/>
        <v>Excellent</v>
      </c>
      <c r="W3661" s="4"/>
      <c r="X3661" s="4"/>
      <c r="AJ3661" s="4"/>
    </row>
    <row r="3662" spans="1:36">
      <c r="A3662" t="str">
        <f t="shared" si="287"/>
        <v>Pooj593661</v>
      </c>
      <c r="B3662">
        <v>3661</v>
      </c>
      <c r="C3662">
        <v>18</v>
      </c>
      <c r="D3662">
        <v>8</v>
      </c>
      <c r="E3662">
        <v>2024</v>
      </c>
      <c r="F3662" s="1">
        <f t="shared" si="288"/>
        <v>45522</v>
      </c>
      <c r="G3662" s="1" t="s">
        <v>729</v>
      </c>
      <c r="H3662" s="2">
        <v>48138</v>
      </c>
      <c r="I3662" t="s">
        <v>19</v>
      </c>
      <c r="J3662">
        <v>6</v>
      </c>
      <c r="K3662">
        <v>28513.99</v>
      </c>
      <c r="L3662" t="s">
        <v>680</v>
      </c>
      <c r="M3662">
        <v>59</v>
      </c>
      <c r="N3662" t="s">
        <v>61</v>
      </c>
      <c r="O3662" s="3" t="s">
        <v>22</v>
      </c>
      <c r="P3662" t="s">
        <v>29</v>
      </c>
      <c r="Q3662" t="s">
        <v>41</v>
      </c>
      <c r="R3662">
        <v>5</v>
      </c>
      <c r="S3662" t="s">
        <v>37</v>
      </c>
      <c r="T3662" s="4">
        <f t="shared" si="289"/>
        <v>171083.94</v>
      </c>
      <c r="U3662" s="4" t="str">
        <f t="shared" si="290"/>
        <v>Good</v>
      </c>
      <c r="V3662" s="4" t="str">
        <f t="shared" si="286"/>
        <v>Good</v>
      </c>
      <c r="W3662" s="4"/>
      <c r="X3662" s="4"/>
      <c r="AJ3662" s="4"/>
    </row>
    <row r="3663" spans="1:36">
      <c r="A3663" t="str">
        <f t="shared" si="287"/>
        <v>Sneh583662</v>
      </c>
      <c r="B3663">
        <v>3662</v>
      </c>
      <c r="C3663">
        <v>18</v>
      </c>
      <c r="D3663">
        <v>8</v>
      </c>
      <c r="E3663">
        <v>2024</v>
      </c>
      <c r="F3663" s="1">
        <f t="shared" si="288"/>
        <v>45522</v>
      </c>
      <c r="G3663" s="1" t="s">
        <v>729</v>
      </c>
      <c r="H3663" s="2">
        <v>48139</v>
      </c>
      <c r="I3663" t="s">
        <v>38</v>
      </c>
      <c r="J3663">
        <v>9</v>
      </c>
      <c r="K3663">
        <v>69513.61</v>
      </c>
      <c r="L3663" t="s">
        <v>336</v>
      </c>
      <c r="M3663">
        <v>58</v>
      </c>
      <c r="N3663" t="s">
        <v>61</v>
      </c>
      <c r="O3663" s="3" t="s">
        <v>22</v>
      </c>
      <c r="P3663" t="s">
        <v>29</v>
      </c>
      <c r="Q3663" t="s">
        <v>24</v>
      </c>
      <c r="R3663">
        <v>5</v>
      </c>
      <c r="S3663" t="s">
        <v>42</v>
      </c>
      <c r="T3663" s="4">
        <f t="shared" si="289"/>
        <v>625622.49</v>
      </c>
      <c r="U3663" s="4" t="str">
        <f t="shared" si="290"/>
        <v>Good</v>
      </c>
      <c r="V3663" s="4" t="str">
        <f t="shared" si="286"/>
        <v>Excellent</v>
      </c>
      <c r="W3663" s="4"/>
      <c r="X3663" s="4"/>
      <c r="AJ3663" s="4"/>
    </row>
    <row r="3664" spans="1:36">
      <c r="A3664" t="str">
        <f t="shared" si="287"/>
        <v>Adit233663</v>
      </c>
      <c r="B3664">
        <v>3663</v>
      </c>
      <c r="C3664">
        <v>18</v>
      </c>
      <c r="D3664">
        <v>8</v>
      </c>
      <c r="E3664">
        <v>2024</v>
      </c>
      <c r="F3664" s="1">
        <f t="shared" si="288"/>
        <v>45522</v>
      </c>
      <c r="G3664" s="1" t="s">
        <v>729</v>
      </c>
      <c r="H3664" s="2">
        <v>48140</v>
      </c>
      <c r="I3664" t="s">
        <v>49</v>
      </c>
      <c r="J3664">
        <v>3</v>
      </c>
      <c r="K3664">
        <v>12317</v>
      </c>
      <c r="L3664" t="s">
        <v>772</v>
      </c>
      <c r="M3664">
        <v>23</v>
      </c>
      <c r="N3664" t="s">
        <v>36</v>
      </c>
      <c r="O3664" s="3" t="s">
        <v>22</v>
      </c>
      <c r="P3664" t="s">
        <v>33</v>
      </c>
      <c r="Q3664" t="s">
        <v>24</v>
      </c>
      <c r="R3664">
        <v>4</v>
      </c>
      <c r="S3664" t="s">
        <v>88</v>
      </c>
      <c r="T3664" s="4">
        <f t="shared" si="289"/>
        <v>36951</v>
      </c>
      <c r="U3664" s="4" t="str">
        <f t="shared" si="290"/>
        <v>Good</v>
      </c>
      <c r="V3664" s="4" t="str">
        <f t="shared" si="286"/>
        <v>Low</v>
      </c>
      <c r="W3664" s="4"/>
      <c r="X3664" s="4"/>
      <c r="AJ3664" s="4"/>
    </row>
    <row r="3665" spans="1:36">
      <c r="A3665" t="str">
        <f t="shared" si="287"/>
        <v>Lata503664</v>
      </c>
      <c r="B3665">
        <v>3664</v>
      </c>
      <c r="C3665">
        <v>18</v>
      </c>
      <c r="D3665">
        <v>8</v>
      </c>
      <c r="E3665">
        <v>2024</v>
      </c>
      <c r="F3665" s="1">
        <f t="shared" si="288"/>
        <v>45522</v>
      </c>
      <c r="G3665" s="1" t="s">
        <v>729</v>
      </c>
      <c r="H3665" s="2">
        <v>48141</v>
      </c>
      <c r="I3665" t="s">
        <v>26</v>
      </c>
      <c r="J3665">
        <v>9</v>
      </c>
      <c r="K3665">
        <v>17696.61</v>
      </c>
      <c r="L3665" t="s">
        <v>127</v>
      </c>
      <c r="M3665">
        <v>50</v>
      </c>
      <c r="N3665" t="s">
        <v>61</v>
      </c>
      <c r="O3665" s="3" t="s">
        <v>22</v>
      </c>
      <c r="P3665" t="s">
        <v>114</v>
      </c>
      <c r="Q3665" t="s">
        <v>56</v>
      </c>
      <c r="R3665">
        <v>4</v>
      </c>
      <c r="S3665" t="s">
        <v>67</v>
      </c>
      <c r="T3665" s="4">
        <f t="shared" si="289"/>
        <v>159269.49</v>
      </c>
      <c r="U3665" s="4" t="str">
        <f t="shared" si="290"/>
        <v>Good</v>
      </c>
      <c r="V3665" s="4" t="str">
        <f t="shared" si="286"/>
        <v>Good</v>
      </c>
      <c r="W3665" s="4"/>
      <c r="X3665" s="4"/>
      <c r="AJ3665" s="4"/>
    </row>
    <row r="3666" spans="1:36">
      <c r="A3666" t="str">
        <f t="shared" si="287"/>
        <v>Priy543665</v>
      </c>
      <c r="B3666">
        <v>3665</v>
      </c>
      <c r="C3666">
        <v>19</v>
      </c>
      <c r="D3666">
        <v>8</v>
      </c>
      <c r="E3666">
        <v>2024</v>
      </c>
      <c r="F3666" s="1">
        <f t="shared" si="288"/>
        <v>45523</v>
      </c>
      <c r="G3666" s="1" t="s">
        <v>729</v>
      </c>
      <c r="H3666" s="2">
        <v>48142</v>
      </c>
      <c r="I3666" t="s">
        <v>49</v>
      </c>
      <c r="J3666">
        <v>4</v>
      </c>
      <c r="K3666">
        <v>23478.33</v>
      </c>
      <c r="L3666" t="s">
        <v>261</v>
      </c>
      <c r="M3666">
        <v>54</v>
      </c>
      <c r="N3666" t="s">
        <v>61</v>
      </c>
      <c r="O3666" s="3" t="s">
        <v>22</v>
      </c>
      <c r="P3666" t="s">
        <v>150</v>
      </c>
      <c r="Q3666" t="s">
        <v>30</v>
      </c>
      <c r="R3666">
        <v>5</v>
      </c>
      <c r="S3666" t="s">
        <v>102</v>
      </c>
      <c r="T3666" s="4">
        <f t="shared" si="289"/>
        <v>93913.32</v>
      </c>
      <c r="U3666" s="4" t="str">
        <f t="shared" si="290"/>
        <v>Good</v>
      </c>
      <c r="V3666" s="4" t="str">
        <f t="shared" si="286"/>
        <v>Average</v>
      </c>
      <c r="W3666" s="4"/>
      <c r="X3666" s="4"/>
      <c r="AJ3666" s="4"/>
    </row>
    <row r="3667" spans="1:36">
      <c r="A3667" t="str">
        <f t="shared" si="287"/>
        <v>Deep593666</v>
      </c>
      <c r="B3667">
        <v>3666</v>
      </c>
      <c r="C3667">
        <v>19</v>
      </c>
      <c r="D3667">
        <v>8</v>
      </c>
      <c r="E3667">
        <v>2024</v>
      </c>
      <c r="F3667" s="1">
        <f t="shared" si="288"/>
        <v>45523</v>
      </c>
      <c r="G3667" s="1" t="s">
        <v>729</v>
      </c>
      <c r="H3667" s="2">
        <v>48143</v>
      </c>
      <c r="I3667" t="s">
        <v>26</v>
      </c>
      <c r="J3667">
        <v>7</v>
      </c>
      <c r="K3667">
        <v>58666.36</v>
      </c>
      <c r="L3667" t="s">
        <v>142</v>
      </c>
      <c r="M3667">
        <v>59</v>
      </c>
      <c r="N3667" t="s">
        <v>61</v>
      </c>
      <c r="O3667" s="3" t="s">
        <v>55</v>
      </c>
      <c r="P3667" t="s">
        <v>64</v>
      </c>
      <c r="Q3667" t="s">
        <v>30</v>
      </c>
      <c r="R3667">
        <v>2</v>
      </c>
      <c r="S3667" t="s">
        <v>34</v>
      </c>
      <c r="T3667" s="4">
        <f t="shared" si="289"/>
        <v>410664.52</v>
      </c>
      <c r="U3667" s="4" t="str">
        <f t="shared" si="290"/>
        <v>Average</v>
      </c>
      <c r="V3667" s="4" t="str">
        <f t="shared" si="286"/>
        <v>Excellent</v>
      </c>
      <c r="W3667" s="4"/>
      <c r="X3667" s="4"/>
      <c r="AJ3667" s="4"/>
    </row>
    <row r="3668" spans="1:36">
      <c r="A3668" t="str">
        <f t="shared" si="287"/>
        <v>Umes423667</v>
      </c>
      <c r="B3668">
        <v>3667</v>
      </c>
      <c r="C3668">
        <v>19</v>
      </c>
      <c r="D3668">
        <v>8</v>
      </c>
      <c r="E3668">
        <v>2024</v>
      </c>
      <c r="F3668" s="1">
        <f t="shared" si="288"/>
        <v>45523</v>
      </c>
      <c r="G3668" s="1" t="s">
        <v>729</v>
      </c>
      <c r="H3668" s="2">
        <v>48144</v>
      </c>
      <c r="I3668" t="s">
        <v>49</v>
      </c>
      <c r="J3668">
        <v>9</v>
      </c>
      <c r="K3668">
        <v>62711.03</v>
      </c>
      <c r="L3668" t="s">
        <v>612</v>
      </c>
      <c r="M3668">
        <v>42</v>
      </c>
      <c r="N3668" t="s">
        <v>21</v>
      </c>
      <c r="O3668" s="3" t="s">
        <v>22</v>
      </c>
      <c r="P3668" t="s">
        <v>29</v>
      </c>
      <c r="Q3668" t="s">
        <v>30</v>
      </c>
      <c r="R3668">
        <v>5</v>
      </c>
      <c r="S3668" t="s">
        <v>102</v>
      </c>
      <c r="T3668" s="4">
        <f t="shared" si="289"/>
        <v>564399.27</v>
      </c>
      <c r="U3668" s="4" t="str">
        <f t="shared" si="290"/>
        <v>Good</v>
      </c>
      <c r="V3668" s="4" t="str">
        <f t="shared" si="286"/>
        <v>Excellent</v>
      </c>
      <c r="W3668" s="4"/>
      <c r="X3668" s="4"/>
      <c r="AJ3668" s="4"/>
    </row>
    <row r="3669" spans="1:36">
      <c r="A3669" t="str">
        <f t="shared" si="287"/>
        <v>Sach303668</v>
      </c>
      <c r="B3669">
        <v>3668</v>
      </c>
      <c r="C3669">
        <v>20</v>
      </c>
      <c r="D3669">
        <v>8</v>
      </c>
      <c r="E3669">
        <v>2024</v>
      </c>
      <c r="F3669" s="1">
        <f t="shared" si="288"/>
        <v>45524</v>
      </c>
      <c r="G3669" s="1" t="s">
        <v>729</v>
      </c>
      <c r="H3669" s="2">
        <v>48145</v>
      </c>
      <c r="I3669" t="s">
        <v>38</v>
      </c>
      <c r="J3669">
        <v>2</v>
      </c>
      <c r="K3669">
        <v>14287.08</v>
      </c>
      <c r="L3669" t="s">
        <v>483</v>
      </c>
      <c r="M3669">
        <v>30</v>
      </c>
      <c r="N3669" t="s">
        <v>36</v>
      </c>
      <c r="O3669" s="3" t="s">
        <v>28</v>
      </c>
      <c r="P3669" t="s">
        <v>33</v>
      </c>
      <c r="Q3669" t="s">
        <v>30</v>
      </c>
      <c r="R3669">
        <v>3</v>
      </c>
      <c r="S3669" t="s">
        <v>99</v>
      </c>
      <c r="T3669" s="4">
        <f t="shared" si="289"/>
        <v>28574.16</v>
      </c>
      <c r="U3669" s="4" t="str">
        <f t="shared" si="290"/>
        <v>Average</v>
      </c>
      <c r="V3669" s="4" t="str">
        <f t="shared" si="286"/>
        <v>Low</v>
      </c>
      <c r="W3669" s="4"/>
      <c r="X3669" s="4"/>
      <c r="AJ3669" s="4"/>
    </row>
    <row r="3670" spans="1:36">
      <c r="A3670" t="str">
        <f t="shared" si="287"/>
        <v>Umes403669</v>
      </c>
      <c r="B3670">
        <v>3669</v>
      </c>
      <c r="C3670">
        <v>20</v>
      </c>
      <c r="D3670">
        <v>8</v>
      </c>
      <c r="E3670">
        <v>2024</v>
      </c>
      <c r="F3670" s="1">
        <f t="shared" si="288"/>
        <v>45524</v>
      </c>
      <c r="G3670" s="1" t="s">
        <v>729</v>
      </c>
      <c r="H3670" s="2">
        <v>48146</v>
      </c>
      <c r="I3670" t="s">
        <v>19</v>
      </c>
      <c r="J3670">
        <v>2</v>
      </c>
      <c r="K3670">
        <v>11947.61</v>
      </c>
      <c r="L3670" t="s">
        <v>363</v>
      </c>
      <c r="M3670">
        <v>40</v>
      </c>
      <c r="N3670" t="s">
        <v>21</v>
      </c>
      <c r="O3670" s="3" t="s">
        <v>22</v>
      </c>
      <c r="P3670" t="s">
        <v>51</v>
      </c>
      <c r="Q3670" t="s">
        <v>24</v>
      </c>
      <c r="R3670">
        <v>4</v>
      </c>
      <c r="S3670" t="s">
        <v>25</v>
      </c>
      <c r="T3670" s="4">
        <f t="shared" si="289"/>
        <v>23895.22</v>
      </c>
      <c r="U3670" s="4" t="str">
        <f t="shared" si="290"/>
        <v>Good</v>
      </c>
      <c r="V3670" s="4" t="str">
        <f t="shared" si="286"/>
        <v>Low</v>
      </c>
      <c r="W3670" s="4"/>
      <c r="X3670" s="4"/>
      <c r="AJ3670" s="4"/>
    </row>
    <row r="3671" spans="1:36">
      <c r="A3671" t="str">
        <f t="shared" si="287"/>
        <v>Sumi533670</v>
      </c>
      <c r="B3671">
        <v>3670</v>
      </c>
      <c r="C3671">
        <v>20</v>
      </c>
      <c r="D3671">
        <v>8</v>
      </c>
      <c r="E3671">
        <v>2024</v>
      </c>
      <c r="F3671" s="1">
        <f t="shared" si="288"/>
        <v>45524</v>
      </c>
      <c r="G3671" s="1" t="s">
        <v>729</v>
      </c>
      <c r="H3671" s="2">
        <v>48147</v>
      </c>
      <c r="I3671" t="s">
        <v>38</v>
      </c>
      <c r="J3671">
        <v>9</v>
      </c>
      <c r="K3671">
        <v>54673.41</v>
      </c>
      <c r="L3671" t="s">
        <v>452</v>
      </c>
      <c r="M3671">
        <v>53</v>
      </c>
      <c r="N3671" t="s">
        <v>61</v>
      </c>
      <c r="O3671" s="3" t="s">
        <v>22</v>
      </c>
      <c r="P3671" t="s">
        <v>29</v>
      </c>
      <c r="Q3671" t="s">
        <v>56</v>
      </c>
      <c r="R3671">
        <v>4</v>
      </c>
      <c r="S3671" t="s">
        <v>42</v>
      </c>
      <c r="T3671" s="4">
        <f t="shared" si="289"/>
        <v>492060.69000000006</v>
      </c>
      <c r="U3671" s="4" t="str">
        <f t="shared" si="290"/>
        <v>Good</v>
      </c>
      <c r="V3671" s="4" t="str">
        <f t="shared" si="286"/>
        <v>Excellent</v>
      </c>
      <c r="W3671" s="4"/>
      <c r="X3671" s="4"/>
      <c r="AJ3671" s="4"/>
    </row>
    <row r="3672" spans="1:36">
      <c r="A3672" t="str">
        <f t="shared" si="287"/>
        <v>Vija503671</v>
      </c>
      <c r="B3672">
        <v>3671</v>
      </c>
      <c r="C3672">
        <v>21</v>
      </c>
      <c r="D3672">
        <v>8</v>
      </c>
      <c r="E3672">
        <v>2024</v>
      </c>
      <c r="F3672" s="1">
        <f t="shared" si="288"/>
        <v>45525</v>
      </c>
      <c r="G3672" s="1" t="s">
        <v>729</v>
      </c>
      <c r="H3672" s="2">
        <v>48148</v>
      </c>
      <c r="I3672" t="s">
        <v>43</v>
      </c>
      <c r="J3672">
        <v>3</v>
      </c>
      <c r="K3672">
        <v>18001.12</v>
      </c>
      <c r="L3672" t="s">
        <v>290</v>
      </c>
      <c r="M3672">
        <v>50</v>
      </c>
      <c r="N3672" t="s">
        <v>61</v>
      </c>
      <c r="O3672" s="3" t="s">
        <v>22</v>
      </c>
      <c r="P3672" t="s">
        <v>51</v>
      </c>
      <c r="Q3672" t="s">
        <v>56</v>
      </c>
      <c r="R3672">
        <v>4</v>
      </c>
      <c r="S3672" t="s">
        <v>46</v>
      </c>
      <c r="T3672" s="4">
        <f t="shared" si="289"/>
        <v>54003.360000000001</v>
      </c>
      <c r="U3672" s="4" t="str">
        <f t="shared" si="290"/>
        <v>Good</v>
      </c>
      <c r="V3672" s="4" t="str">
        <f t="shared" si="286"/>
        <v>Average</v>
      </c>
      <c r="W3672" s="4"/>
      <c r="X3672" s="4"/>
      <c r="AJ3672" s="4"/>
    </row>
    <row r="3673" spans="1:36">
      <c r="A3673" t="str">
        <f t="shared" si="287"/>
        <v>Priy383672</v>
      </c>
      <c r="B3673">
        <v>3672</v>
      </c>
      <c r="C3673">
        <v>21</v>
      </c>
      <c r="D3673">
        <v>8</v>
      </c>
      <c r="E3673">
        <v>2024</v>
      </c>
      <c r="F3673" s="1">
        <f t="shared" si="288"/>
        <v>45525</v>
      </c>
      <c r="G3673" s="1" t="s">
        <v>729</v>
      </c>
      <c r="H3673" s="2">
        <v>48149</v>
      </c>
      <c r="I3673" t="s">
        <v>19</v>
      </c>
      <c r="J3673">
        <v>9</v>
      </c>
      <c r="K3673">
        <v>17979.919999999998</v>
      </c>
      <c r="L3673" t="s">
        <v>924</v>
      </c>
      <c r="M3673">
        <v>38</v>
      </c>
      <c r="N3673" t="s">
        <v>21</v>
      </c>
      <c r="O3673" s="3" t="s">
        <v>55</v>
      </c>
      <c r="P3673" t="s">
        <v>33</v>
      </c>
      <c r="Q3673" t="s">
        <v>30</v>
      </c>
      <c r="R3673">
        <v>2</v>
      </c>
      <c r="S3673" t="s">
        <v>25</v>
      </c>
      <c r="T3673" s="4">
        <f t="shared" si="289"/>
        <v>161819.27999999997</v>
      </c>
      <c r="U3673" s="4" t="str">
        <f t="shared" si="290"/>
        <v>Average</v>
      </c>
      <c r="V3673" s="4" t="str">
        <f t="shared" si="286"/>
        <v>Good</v>
      </c>
      <c r="W3673" s="4"/>
      <c r="X3673" s="4"/>
      <c r="AJ3673" s="4"/>
    </row>
    <row r="3674" spans="1:36">
      <c r="A3674" t="str">
        <f t="shared" si="287"/>
        <v>Mano513673</v>
      </c>
      <c r="B3674">
        <v>3673</v>
      </c>
      <c r="C3674">
        <v>21</v>
      </c>
      <c r="D3674">
        <v>8</v>
      </c>
      <c r="E3674">
        <v>2024</v>
      </c>
      <c r="F3674" s="1">
        <f t="shared" si="288"/>
        <v>45525</v>
      </c>
      <c r="G3674" s="1" t="s">
        <v>729</v>
      </c>
      <c r="H3674" s="2">
        <v>48150</v>
      </c>
      <c r="I3674" t="s">
        <v>38</v>
      </c>
      <c r="J3674">
        <v>5</v>
      </c>
      <c r="K3674">
        <v>11341.99</v>
      </c>
      <c r="L3674" t="s">
        <v>235</v>
      </c>
      <c r="M3674">
        <v>51</v>
      </c>
      <c r="N3674" t="s">
        <v>61</v>
      </c>
      <c r="O3674" s="3" t="s">
        <v>22</v>
      </c>
      <c r="P3674" t="s">
        <v>137</v>
      </c>
      <c r="Q3674" t="s">
        <v>24</v>
      </c>
      <c r="R3674">
        <v>5</v>
      </c>
      <c r="S3674" t="s">
        <v>99</v>
      </c>
      <c r="T3674" s="4">
        <f t="shared" si="289"/>
        <v>56709.95</v>
      </c>
      <c r="U3674" s="4" t="str">
        <f t="shared" si="290"/>
        <v>Good</v>
      </c>
      <c r="V3674" s="4" t="str">
        <f t="shared" si="286"/>
        <v>Average</v>
      </c>
      <c r="W3674" s="4"/>
      <c r="X3674" s="4"/>
      <c r="AJ3674" s="4"/>
    </row>
    <row r="3675" spans="1:36">
      <c r="A3675" t="str">
        <f t="shared" si="287"/>
        <v>Pooj533674</v>
      </c>
      <c r="B3675">
        <v>3674</v>
      </c>
      <c r="C3675">
        <v>22</v>
      </c>
      <c r="D3675">
        <v>8</v>
      </c>
      <c r="E3675">
        <v>2024</v>
      </c>
      <c r="F3675" s="1">
        <f t="shared" si="288"/>
        <v>45526</v>
      </c>
      <c r="G3675" s="1" t="s">
        <v>729</v>
      </c>
      <c r="H3675" s="2">
        <v>48151</v>
      </c>
      <c r="I3675" t="s">
        <v>43</v>
      </c>
      <c r="J3675">
        <v>6</v>
      </c>
      <c r="K3675">
        <v>12988.47</v>
      </c>
      <c r="L3675" t="s">
        <v>101</v>
      </c>
      <c r="M3675">
        <v>53</v>
      </c>
      <c r="N3675" t="s">
        <v>61</v>
      </c>
      <c r="O3675" s="3" t="s">
        <v>55</v>
      </c>
      <c r="P3675" t="s">
        <v>33</v>
      </c>
      <c r="Q3675" t="s">
        <v>30</v>
      </c>
      <c r="R3675">
        <v>2</v>
      </c>
      <c r="S3675" t="s">
        <v>95</v>
      </c>
      <c r="T3675" s="4">
        <f t="shared" si="289"/>
        <v>77930.819999999992</v>
      </c>
      <c r="U3675" s="4" t="str">
        <f t="shared" si="290"/>
        <v>Average</v>
      </c>
      <c r="V3675" s="4" t="str">
        <f t="shared" si="286"/>
        <v>Average</v>
      </c>
      <c r="W3675" s="4"/>
      <c r="X3675" s="4"/>
      <c r="AJ3675" s="4"/>
    </row>
    <row r="3676" spans="1:36">
      <c r="A3676" t="str">
        <f t="shared" si="287"/>
        <v>Tanu343675</v>
      </c>
      <c r="B3676">
        <v>3675</v>
      </c>
      <c r="C3676">
        <v>22</v>
      </c>
      <c r="D3676">
        <v>8</v>
      </c>
      <c r="E3676">
        <v>2024</v>
      </c>
      <c r="F3676" s="1">
        <f t="shared" si="288"/>
        <v>45526</v>
      </c>
      <c r="G3676" s="1" t="s">
        <v>729</v>
      </c>
      <c r="H3676" s="2">
        <v>48152</v>
      </c>
      <c r="I3676" t="s">
        <v>26</v>
      </c>
      <c r="J3676">
        <v>2</v>
      </c>
      <c r="K3676">
        <v>25820.53</v>
      </c>
      <c r="L3676" t="s">
        <v>249</v>
      </c>
      <c r="M3676">
        <v>34</v>
      </c>
      <c r="N3676" t="s">
        <v>21</v>
      </c>
      <c r="O3676" s="3" t="s">
        <v>22</v>
      </c>
      <c r="P3676" t="s">
        <v>40</v>
      </c>
      <c r="Q3676" t="s">
        <v>30</v>
      </c>
      <c r="R3676">
        <v>4</v>
      </c>
      <c r="S3676" t="s">
        <v>67</v>
      </c>
      <c r="T3676" s="4">
        <f t="shared" si="289"/>
        <v>51641.06</v>
      </c>
      <c r="U3676" s="4" t="str">
        <f t="shared" si="290"/>
        <v>Good</v>
      </c>
      <c r="V3676" s="4" t="str">
        <f t="shared" si="286"/>
        <v>Average</v>
      </c>
      <c r="W3676" s="4"/>
      <c r="X3676" s="4"/>
      <c r="AJ3676" s="4"/>
    </row>
    <row r="3677" spans="1:36">
      <c r="A3677" t="str">
        <f t="shared" si="287"/>
        <v>Bhav273676</v>
      </c>
      <c r="B3677">
        <v>3676</v>
      </c>
      <c r="C3677">
        <v>22</v>
      </c>
      <c r="D3677">
        <v>8</v>
      </c>
      <c r="E3677">
        <v>2024</v>
      </c>
      <c r="F3677" s="1">
        <f t="shared" si="288"/>
        <v>45526</v>
      </c>
      <c r="G3677" s="1" t="s">
        <v>729</v>
      </c>
      <c r="H3677" s="2">
        <v>48153</v>
      </c>
      <c r="I3677" t="s">
        <v>26</v>
      </c>
      <c r="J3677">
        <v>8</v>
      </c>
      <c r="K3677">
        <v>13900.33</v>
      </c>
      <c r="L3677" t="s">
        <v>337</v>
      </c>
      <c r="M3677">
        <v>27</v>
      </c>
      <c r="N3677" t="s">
        <v>36</v>
      </c>
      <c r="O3677" s="3" t="s">
        <v>22</v>
      </c>
      <c r="P3677" t="s">
        <v>70</v>
      </c>
      <c r="Q3677" t="s">
        <v>56</v>
      </c>
      <c r="R3677">
        <v>5</v>
      </c>
      <c r="S3677" t="s">
        <v>31</v>
      </c>
      <c r="T3677" s="4">
        <f t="shared" si="289"/>
        <v>111202.64</v>
      </c>
      <c r="U3677" s="4" t="str">
        <f t="shared" si="290"/>
        <v>Good</v>
      </c>
      <c r="V3677" s="4" t="str">
        <f t="shared" si="286"/>
        <v>Good</v>
      </c>
      <c r="W3677" s="4"/>
      <c r="X3677" s="4"/>
      <c r="AJ3677" s="4"/>
    </row>
    <row r="3678" spans="1:36">
      <c r="A3678" t="str">
        <f t="shared" si="287"/>
        <v>Gita403677</v>
      </c>
      <c r="B3678">
        <v>3677</v>
      </c>
      <c r="C3678">
        <v>23</v>
      </c>
      <c r="D3678">
        <v>8</v>
      </c>
      <c r="E3678">
        <v>2024</v>
      </c>
      <c r="F3678" s="1">
        <f t="shared" si="288"/>
        <v>45527</v>
      </c>
      <c r="G3678" s="1" t="s">
        <v>729</v>
      </c>
      <c r="H3678" s="2">
        <v>48154</v>
      </c>
      <c r="I3678" t="s">
        <v>49</v>
      </c>
      <c r="J3678">
        <v>9</v>
      </c>
      <c r="K3678">
        <v>32132.75</v>
      </c>
      <c r="L3678" t="s">
        <v>758</v>
      </c>
      <c r="M3678">
        <v>40</v>
      </c>
      <c r="N3678" t="s">
        <v>21</v>
      </c>
      <c r="O3678" s="3" t="s">
        <v>22</v>
      </c>
      <c r="P3678" t="s">
        <v>29</v>
      </c>
      <c r="Q3678" t="s">
        <v>56</v>
      </c>
      <c r="R3678">
        <v>4</v>
      </c>
      <c r="S3678" t="s">
        <v>88</v>
      </c>
      <c r="T3678" s="4">
        <f t="shared" si="289"/>
        <v>289194.75</v>
      </c>
      <c r="U3678" s="4" t="str">
        <f t="shared" si="290"/>
        <v>Good</v>
      </c>
      <c r="V3678" s="4" t="str">
        <f t="shared" si="286"/>
        <v>Excellent</v>
      </c>
      <c r="W3678" s="4"/>
      <c r="X3678" s="4"/>
      <c r="AJ3678" s="4"/>
    </row>
    <row r="3679" spans="1:36">
      <c r="A3679" t="str">
        <f t="shared" si="287"/>
        <v>Umes193678</v>
      </c>
      <c r="B3679">
        <v>3678</v>
      </c>
      <c r="C3679">
        <v>23</v>
      </c>
      <c r="D3679">
        <v>8</v>
      </c>
      <c r="E3679">
        <v>2024</v>
      </c>
      <c r="F3679" s="1">
        <f t="shared" si="288"/>
        <v>45527</v>
      </c>
      <c r="G3679" s="1" t="s">
        <v>729</v>
      </c>
      <c r="H3679" s="2">
        <v>48155</v>
      </c>
      <c r="I3679" t="s">
        <v>19</v>
      </c>
      <c r="J3679">
        <v>2</v>
      </c>
      <c r="K3679">
        <v>59966.5</v>
      </c>
      <c r="L3679" t="s">
        <v>989</v>
      </c>
      <c r="M3679">
        <v>19</v>
      </c>
      <c r="N3679" t="s">
        <v>36</v>
      </c>
      <c r="O3679" s="3" t="s">
        <v>22</v>
      </c>
      <c r="P3679" t="s">
        <v>23</v>
      </c>
      <c r="Q3679" t="s">
        <v>30</v>
      </c>
      <c r="R3679">
        <v>5</v>
      </c>
      <c r="S3679" t="s">
        <v>25</v>
      </c>
      <c r="T3679" s="4">
        <f t="shared" si="289"/>
        <v>119933</v>
      </c>
      <c r="U3679" s="4" t="str">
        <f t="shared" si="290"/>
        <v>Good</v>
      </c>
      <c r="V3679" s="4" t="str">
        <f t="shared" si="286"/>
        <v>Good</v>
      </c>
      <c r="W3679" s="4"/>
      <c r="X3679" s="4"/>
      <c r="AJ3679" s="4"/>
    </row>
    <row r="3680" spans="1:36">
      <c r="A3680" t="str">
        <f t="shared" si="287"/>
        <v>Arun523679</v>
      </c>
      <c r="B3680">
        <v>3679</v>
      </c>
      <c r="C3680">
        <v>23</v>
      </c>
      <c r="D3680">
        <v>8</v>
      </c>
      <c r="E3680">
        <v>2024</v>
      </c>
      <c r="F3680" s="1">
        <f t="shared" si="288"/>
        <v>45527</v>
      </c>
      <c r="G3680" s="1" t="s">
        <v>729</v>
      </c>
      <c r="H3680" s="2">
        <v>48156</v>
      </c>
      <c r="I3680" t="s">
        <v>26</v>
      </c>
      <c r="J3680">
        <v>6</v>
      </c>
      <c r="K3680">
        <v>29579.22</v>
      </c>
      <c r="L3680" t="s">
        <v>720</v>
      </c>
      <c r="M3680">
        <v>52</v>
      </c>
      <c r="N3680" t="s">
        <v>61</v>
      </c>
      <c r="O3680" s="3" t="s">
        <v>22</v>
      </c>
      <c r="P3680" t="s">
        <v>137</v>
      </c>
      <c r="Q3680" t="s">
        <v>24</v>
      </c>
      <c r="R3680">
        <v>5</v>
      </c>
      <c r="S3680" t="s">
        <v>31</v>
      </c>
      <c r="T3680" s="4">
        <f t="shared" si="289"/>
        <v>177475.32</v>
      </c>
      <c r="U3680" s="4" t="str">
        <f t="shared" si="290"/>
        <v>Good</v>
      </c>
      <c r="V3680" s="4" t="str">
        <f t="shared" si="286"/>
        <v>Good</v>
      </c>
      <c r="W3680" s="4"/>
      <c r="X3680" s="4"/>
      <c r="AJ3680" s="4"/>
    </row>
    <row r="3681" spans="1:36">
      <c r="A3681" t="str">
        <f t="shared" si="287"/>
        <v>Kuna313680</v>
      </c>
      <c r="B3681">
        <v>3680</v>
      </c>
      <c r="C3681">
        <v>24</v>
      </c>
      <c r="D3681">
        <v>8</v>
      </c>
      <c r="E3681">
        <v>2024</v>
      </c>
      <c r="F3681" s="1">
        <f t="shared" si="288"/>
        <v>45528</v>
      </c>
      <c r="G3681" s="1" t="s">
        <v>729</v>
      </c>
      <c r="H3681" s="2">
        <v>48157</v>
      </c>
      <c r="I3681" t="s">
        <v>19</v>
      </c>
      <c r="J3681">
        <v>6</v>
      </c>
      <c r="K3681">
        <v>53670.05</v>
      </c>
      <c r="L3681" t="s">
        <v>604</v>
      </c>
      <c r="M3681">
        <v>31</v>
      </c>
      <c r="N3681" t="s">
        <v>21</v>
      </c>
      <c r="O3681" s="3" t="s">
        <v>22</v>
      </c>
      <c r="P3681" t="s">
        <v>93</v>
      </c>
      <c r="Q3681" t="s">
        <v>30</v>
      </c>
      <c r="R3681">
        <v>4</v>
      </c>
      <c r="S3681" t="s">
        <v>84</v>
      </c>
      <c r="T3681" s="4">
        <f t="shared" si="289"/>
        <v>322020.30000000005</v>
      </c>
      <c r="U3681" s="4" t="str">
        <f t="shared" si="290"/>
        <v>Good</v>
      </c>
      <c r="V3681" s="4" t="str">
        <f t="shared" si="286"/>
        <v>Excellent</v>
      </c>
      <c r="W3681" s="4"/>
      <c r="X3681" s="4"/>
      <c r="AJ3681" s="4"/>
    </row>
    <row r="3682" spans="1:36">
      <c r="A3682" t="str">
        <f t="shared" si="287"/>
        <v>Roha583681</v>
      </c>
      <c r="B3682">
        <v>3681</v>
      </c>
      <c r="C3682">
        <v>24</v>
      </c>
      <c r="D3682">
        <v>8</v>
      </c>
      <c r="E3682">
        <v>2024</v>
      </c>
      <c r="F3682" s="1">
        <f t="shared" si="288"/>
        <v>45528</v>
      </c>
      <c r="G3682" s="1" t="s">
        <v>729</v>
      </c>
      <c r="H3682" s="2">
        <v>48158</v>
      </c>
      <c r="I3682" t="s">
        <v>26</v>
      </c>
      <c r="J3682">
        <v>8</v>
      </c>
      <c r="K3682">
        <v>15634.6</v>
      </c>
      <c r="L3682" t="s">
        <v>502</v>
      </c>
      <c r="M3682">
        <v>58</v>
      </c>
      <c r="N3682" t="s">
        <v>61</v>
      </c>
      <c r="O3682" s="3" t="s">
        <v>22</v>
      </c>
      <c r="P3682" t="s">
        <v>29</v>
      </c>
      <c r="Q3682" t="s">
        <v>56</v>
      </c>
      <c r="R3682">
        <v>4</v>
      </c>
      <c r="S3682" t="s">
        <v>67</v>
      </c>
      <c r="T3682" s="4">
        <f t="shared" si="289"/>
        <v>125076.8</v>
      </c>
      <c r="U3682" s="4" t="str">
        <f t="shared" si="290"/>
        <v>Good</v>
      </c>
      <c r="V3682" s="4" t="str">
        <f t="shared" si="286"/>
        <v>Good</v>
      </c>
      <c r="W3682" s="4"/>
      <c r="X3682" s="4"/>
      <c r="AJ3682" s="4"/>
    </row>
    <row r="3683" spans="1:36">
      <c r="A3683" t="str">
        <f t="shared" si="287"/>
        <v>Radh193682</v>
      </c>
      <c r="B3683">
        <v>3682</v>
      </c>
      <c r="C3683">
        <v>24</v>
      </c>
      <c r="D3683">
        <v>8</v>
      </c>
      <c r="E3683">
        <v>2024</v>
      </c>
      <c r="F3683" s="1">
        <f t="shared" si="288"/>
        <v>45528</v>
      </c>
      <c r="G3683" s="1" t="s">
        <v>729</v>
      </c>
      <c r="H3683" s="2">
        <v>48159</v>
      </c>
      <c r="I3683" t="s">
        <v>49</v>
      </c>
      <c r="J3683">
        <v>5</v>
      </c>
      <c r="K3683">
        <v>49562.51</v>
      </c>
      <c r="L3683" t="s">
        <v>841</v>
      </c>
      <c r="M3683">
        <v>19</v>
      </c>
      <c r="N3683" t="s">
        <v>36</v>
      </c>
      <c r="O3683" s="3" t="s">
        <v>22</v>
      </c>
      <c r="P3683" t="s">
        <v>150</v>
      </c>
      <c r="Q3683" t="s">
        <v>56</v>
      </c>
      <c r="R3683">
        <v>5</v>
      </c>
      <c r="S3683" t="s">
        <v>52</v>
      </c>
      <c r="T3683" s="4">
        <f t="shared" si="289"/>
        <v>247812.55000000002</v>
      </c>
      <c r="U3683" s="4" t="str">
        <f t="shared" si="290"/>
        <v>Good</v>
      </c>
      <c r="V3683" s="4" t="str">
        <f t="shared" si="286"/>
        <v>Excellent</v>
      </c>
      <c r="W3683" s="4"/>
      <c r="X3683" s="4"/>
      <c r="AJ3683" s="4"/>
    </row>
    <row r="3684" spans="1:36">
      <c r="A3684" t="str">
        <f t="shared" si="287"/>
        <v>Raje363683</v>
      </c>
      <c r="B3684">
        <v>3683</v>
      </c>
      <c r="C3684">
        <v>24</v>
      </c>
      <c r="D3684">
        <v>8</v>
      </c>
      <c r="E3684">
        <v>2024</v>
      </c>
      <c r="F3684" s="1">
        <f t="shared" si="288"/>
        <v>45528</v>
      </c>
      <c r="G3684" s="1" t="s">
        <v>729</v>
      </c>
      <c r="H3684" s="2">
        <v>48160</v>
      </c>
      <c r="I3684" t="s">
        <v>38</v>
      </c>
      <c r="J3684">
        <v>9</v>
      </c>
      <c r="K3684">
        <v>29004.83</v>
      </c>
      <c r="L3684" t="s">
        <v>1018</v>
      </c>
      <c r="M3684">
        <v>36</v>
      </c>
      <c r="N3684" t="s">
        <v>21</v>
      </c>
      <c r="O3684" s="3" t="s">
        <v>55</v>
      </c>
      <c r="P3684" t="s">
        <v>33</v>
      </c>
      <c r="Q3684" t="s">
        <v>24</v>
      </c>
      <c r="R3684">
        <v>2</v>
      </c>
      <c r="S3684" t="s">
        <v>99</v>
      </c>
      <c r="T3684" s="4">
        <f t="shared" si="289"/>
        <v>261043.47000000003</v>
      </c>
      <c r="U3684" s="4" t="str">
        <f t="shared" si="290"/>
        <v>Average</v>
      </c>
      <c r="V3684" s="4" t="str">
        <f t="shared" si="286"/>
        <v>Excellent</v>
      </c>
      <c r="W3684" s="4"/>
      <c r="X3684" s="4"/>
      <c r="AJ3684" s="4"/>
    </row>
    <row r="3685" spans="1:36">
      <c r="A3685" t="str">
        <f t="shared" si="287"/>
        <v>Nikh333684</v>
      </c>
      <c r="B3685">
        <v>3684</v>
      </c>
      <c r="C3685">
        <v>25</v>
      </c>
      <c r="D3685">
        <v>8</v>
      </c>
      <c r="E3685">
        <v>2024</v>
      </c>
      <c r="F3685" s="1">
        <f t="shared" si="288"/>
        <v>45529</v>
      </c>
      <c r="G3685" s="1" t="s">
        <v>729</v>
      </c>
      <c r="H3685" s="2">
        <v>48161</v>
      </c>
      <c r="I3685" t="s">
        <v>49</v>
      </c>
      <c r="J3685">
        <v>1</v>
      </c>
      <c r="K3685">
        <v>54985.17</v>
      </c>
      <c r="L3685" t="s">
        <v>138</v>
      </c>
      <c r="M3685">
        <v>33</v>
      </c>
      <c r="N3685" t="s">
        <v>21</v>
      </c>
      <c r="O3685" s="3" t="s">
        <v>55</v>
      </c>
      <c r="P3685" t="s">
        <v>64</v>
      </c>
      <c r="Q3685" t="s">
        <v>30</v>
      </c>
      <c r="R3685">
        <v>2</v>
      </c>
      <c r="S3685" t="s">
        <v>52</v>
      </c>
      <c r="T3685" s="4">
        <f t="shared" si="289"/>
        <v>54985.17</v>
      </c>
      <c r="U3685" s="4" t="str">
        <f t="shared" si="290"/>
        <v>Average</v>
      </c>
      <c r="V3685" s="4" t="str">
        <f t="shared" si="286"/>
        <v>Average</v>
      </c>
      <c r="W3685" s="4"/>
      <c r="X3685" s="4"/>
      <c r="AJ3685" s="4"/>
    </row>
    <row r="3686" spans="1:36">
      <c r="A3686" t="str">
        <f t="shared" si="287"/>
        <v>Roha423685</v>
      </c>
      <c r="B3686">
        <v>3685</v>
      </c>
      <c r="C3686">
        <v>25</v>
      </c>
      <c r="D3686">
        <v>8</v>
      </c>
      <c r="E3686">
        <v>2024</v>
      </c>
      <c r="F3686" s="1">
        <f t="shared" si="288"/>
        <v>45529</v>
      </c>
      <c r="G3686" s="1" t="s">
        <v>729</v>
      </c>
      <c r="H3686" s="2">
        <v>48162</v>
      </c>
      <c r="I3686" t="s">
        <v>43</v>
      </c>
      <c r="J3686">
        <v>9</v>
      </c>
      <c r="K3686">
        <v>18175.12</v>
      </c>
      <c r="L3686" t="s">
        <v>888</v>
      </c>
      <c r="M3686">
        <v>42</v>
      </c>
      <c r="N3686" t="s">
        <v>21</v>
      </c>
      <c r="O3686" s="3" t="s">
        <v>55</v>
      </c>
      <c r="P3686" t="s">
        <v>33</v>
      </c>
      <c r="Q3686" t="s">
        <v>30</v>
      </c>
      <c r="R3686">
        <v>2</v>
      </c>
      <c r="S3686" t="s">
        <v>46</v>
      </c>
      <c r="T3686" s="4">
        <f t="shared" si="289"/>
        <v>163576.07999999999</v>
      </c>
      <c r="U3686" s="4" t="str">
        <f t="shared" si="290"/>
        <v>Average</v>
      </c>
      <c r="V3686" s="4" t="str">
        <f t="shared" si="286"/>
        <v>Good</v>
      </c>
      <c r="W3686" s="4"/>
      <c r="X3686" s="4"/>
      <c r="AJ3686" s="4"/>
    </row>
    <row r="3687" spans="1:36">
      <c r="A3687" t="str">
        <f t="shared" si="287"/>
        <v>Anan183686</v>
      </c>
      <c r="B3687">
        <v>3686</v>
      </c>
      <c r="C3687">
        <v>25</v>
      </c>
      <c r="D3687">
        <v>8</v>
      </c>
      <c r="E3687">
        <v>2024</v>
      </c>
      <c r="F3687" s="1">
        <f t="shared" si="288"/>
        <v>45529</v>
      </c>
      <c r="G3687" s="1" t="s">
        <v>729</v>
      </c>
      <c r="H3687" s="2">
        <v>48163</v>
      </c>
      <c r="I3687" t="s">
        <v>26</v>
      </c>
      <c r="J3687">
        <v>7</v>
      </c>
      <c r="K3687">
        <v>63873</v>
      </c>
      <c r="L3687" t="s">
        <v>674</v>
      </c>
      <c r="M3687">
        <v>18</v>
      </c>
      <c r="N3687" t="s">
        <v>36</v>
      </c>
      <c r="O3687" s="3" t="s">
        <v>28</v>
      </c>
      <c r="P3687" t="s">
        <v>137</v>
      </c>
      <c r="Q3687" t="s">
        <v>41</v>
      </c>
      <c r="R3687">
        <v>3</v>
      </c>
      <c r="S3687" t="s">
        <v>31</v>
      </c>
      <c r="T3687" s="4">
        <f t="shared" si="289"/>
        <v>447111</v>
      </c>
      <c r="U3687" s="4" t="str">
        <f t="shared" si="290"/>
        <v>Average</v>
      </c>
      <c r="V3687" s="4" t="str">
        <f t="shared" si="286"/>
        <v>Excellent</v>
      </c>
      <c r="W3687" s="4"/>
      <c r="X3687" s="4"/>
      <c r="AJ3687" s="4"/>
    </row>
    <row r="3688" spans="1:36">
      <c r="A3688" t="str">
        <f t="shared" si="287"/>
        <v>Sneh193687</v>
      </c>
      <c r="B3688">
        <v>3687</v>
      </c>
      <c r="C3688">
        <v>26</v>
      </c>
      <c r="D3688">
        <v>8</v>
      </c>
      <c r="E3688">
        <v>2024</v>
      </c>
      <c r="F3688" s="1">
        <f t="shared" si="288"/>
        <v>45530</v>
      </c>
      <c r="G3688" s="1" t="s">
        <v>729</v>
      </c>
      <c r="H3688" s="2">
        <v>48164</v>
      </c>
      <c r="I3688" t="s">
        <v>43</v>
      </c>
      <c r="J3688">
        <v>4</v>
      </c>
      <c r="K3688">
        <v>24554.63</v>
      </c>
      <c r="L3688" t="s">
        <v>533</v>
      </c>
      <c r="M3688">
        <v>19</v>
      </c>
      <c r="N3688" t="s">
        <v>36</v>
      </c>
      <c r="O3688" s="3" t="s">
        <v>22</v>
      </c>
      <c r="P3688" t="s">
        <v>29</v>
      </c>
      <c r="Q3688" t="s">
        <v>30</v>
      </c>
      <c r="R3688">
        <v>5</v>
      </c>
      <c r="S3688" t="s">
        <v>95</v>
      </c>
      <c r="T3688" s="4">
        <f t="shared" si="289"/>
        <v>98218.52</v>
      </c>
      <c r="U3688" s="4" t="str">
        <f t="shared" si="290"/>
        <v>Good</v>
      </c>
      <c r="V3688" s="4" t="str">
        <f t="shared" si="286"/>
        <v>Average</v>
      </c>
      <c r="W3688" s="4"/>
      <c r="X3688" s="4"/>
      <c r="AJ3688" s="4"/>
    </row>
    <row r="3689" spans="1:36">
      <c r="A3689" t="str">
        <f t="shared" si="287"/>
        <v>Raje443688</v>
      </c>
      <c r="B3689">
        <v>3688</v>
      </c>
      <c r="C3689">
        <v>26</v>
      </c>
      <c r="D3689">
        <v>8</v>
      </c>
      <c r="E3689">
        <v>2024</v>
      </c>
      <c r="F3689" s="1">
        <f t="shared" si="288"/>
        <v>45530</v>
      </c>
      <c r="G3689" s="1" t="s">
        <v>729</v>
      </c>
      <c r="H3689" s="2">
        <v>48165</v>
      </c>
      <c r="I3689" t="s">
        <v>43</v>
      </c>
      <c r="J3689">
        <v>3</v>
      </c>
      <c r="K3689">
        <v>31188.27</v>
      </c>
      <c r="L3689" t="s">
        <v>1034</v>
      </c>
      <c r="M3689">
        <v>44</v>
      </c>
      <c r="N3689" t="s">
        <v>21</v>
      </c>
      <c r="O3689" s="3" t="s">
        <v>28</v>
      </c>
      <c r="P3689" t="s">
        <v>29</v>
      </c>
      <c r="Q3689" t="s">
        <v>24</v>
      </c>
      <c r="R3689">
        <v>3</v>
      </c>
      <c r="S3689" t="s">
        <v>57</v>
      </c>
      <c r="T3689" s="4">
        <f t="shared" si="289"/>
        <v>93564.81</v>
      </c>
      <c r="U3689" s="4" t="str">
        <f t="shared" si="290"/>
        <v>Average</v>
      </c>
      <c r="V3689" s="4" t="str">
        <f t="shared" si="286"/>
        <v>Average</v>
      </c>
      <c r="W3689" s="4"/>
      <c r="X3689" s="4"/>
      <c r="AJ3689" s="4"/>
    </row>
    <row r="3690" spans="1:36">
      <c r="A3690" t="str">
        <f t="shared" si="287"/>
        <v>Amit193689</v>
      </c>
      <c r="B3690">
        <v>3689</v>
      </c>
      <c r="C3690">
        <v>26</v>
      </c>
      <c r="D3690">
        <v>8</v>
      </c>
      <c r="E3690">
        <v>2024</v>
      </c>
      <c r="F3690" s="1">
        <f t="shared" si="288"/>
        <v>45530</v>
      </c>
      <c r="G3690" s="1" t="s">
        <v>729</v>
      </c>
      <c r="H3690" s="2">
        <v>48166</v>
      </c>
      <c r="I3690" t="s">
        <v>19</v>
      </c>
      <c r="J3690">
        <v>6</v>
      </c>
      <c r="K3690">
        <v>67010.84</v>
      </c>
      <c r="L3690" t="s">
        <v>895</v>
      </c>
      <c r="M3690">
        <v>19</v>
      </c>
      <c r="N3690" t="s">
        <v>36</v>
      </c>
      <c r="O3690" s="3" t="s">
        <v>28</v>
      </c>
      <c r="P3690" t="s">
        <v>29</v>
      </c>
      <c r="Q3690" t="s">
        <v>56</v>
      </c>
      <c r="R3690">
        <v>3</v>
      </c>
      <c r="S3690" t="s">
        <v>25</v>
      </c>
      <c r="T3690" s="4">
        <f t="shared" si="289"/>
        <v>402065.04</v>
      </c>
      <c r="U3690" s="4" t="str">
        <f t="shared" si="290"/>
        <v>Average</v>
      </c>
      <c r="V3690" s="4" t="str">
        <f t="shared" si="286"/>
        <v>Excellent</v>
      </c>
      <c r="W3690" s="4"/>
      <c r="X3690" s="4"/>
      <c r="AJ3690" s="4"/>
    </row>
    <row r="3691" spans="1:36">
      <c r="A3691" t="str">
        <f t="shared" si="287"/>
        <v>Pank473690</v>
      </c>
      <c r="B3691">
        <v>3690</v>
      </c>
      <c r="C3691">
        <v>27</v>
      </c>
      <c r="D3691">
        <v>8</v>
      </c>
      <c r="E3691">
        <v>2024</v>
      </c>
      <c r="F3691" s="1">
        <f t="shared" si="288"/>
        <v>45531</v>
      </c>
      <c r="G3691" s="1" t="s">
        <v>729</v>
      </c>
      <c r="H3691" s="2">
        <v>48167</v>
      </c>
      <c r="I3691" t="s">
        <v>26</v>
      </c>
      <c r="J3691">
        <v>1</v>
      </c>
      <c r="K3691">
        <v>44708.94</v>
      </c>
      <c r="L3691" t="s">
        <v>53</v>
      </c>
      <c r="M3691">
        <v>47</v>
      </c>
      <c r="N3691" t="s">
        <v>61</v>
      </c>
      <c r="O3691" s="3" t="s">
        <v>22</v>
      </c>
      <c r="P3691" t="s">
        <v>33</v>
      </c>
      <c r="Q3691" t="s">
        <v>41</v>
      </c>
      <c r="R3691">
        <v>5</v>
      </c>
      <c r="S3691" t="s">
        <v>34</v>
      </c>
      <c r="T3691" s="4">
        <f t="shared" si="289"/>
        <v>44708.94</v>
      </c>
      <c r="U3691" s="4" t="str">
        <f t="shared" si="290"/>
        <v>Good</v>
      </c>
      <c r="V3691" s="4" t="str">
        <f t="shared" si="286"/>
        <v>Low</v>
      </c>
      <c r="W3691" s="4"/>
      <c r="X3691" s="4"/>
      <c r="AJ3691" s="4"/>
    </row>
    <row r="3692" spans="1:36">
      <c r="A3692" t="str">
        <f t="shared" si="287"/>
        <v>Pank273691</v>
      </c>
      <c r="B3692">
        <v>3691</v>
      </c>
      <c r="C3692">
        <v>27</v>
      </c>
      <c r="D3692">
        <v>8</v>
      </c>
      <c r="E3692">
        <v>2024</v>
      </c>
      <c r="F3692" s="1">
        <f t="shared" si="288"/>
        <v>45531</v>
      </c>
      <c r="G3692" s="1" t="s">
        <v>729</v>
      </c>
      <c r="H3692" s="2">
        <v>48168</v>
      </c>
      <c r="I3692" t="s">
        <v>43</v>
      </c>
      <c r="J3692">
        <v>3</v>
      </c>
      <c r="K3692">
        <v>31946.29</v>
      </c>
      <c r="L3692" t="s">
        <v>796</v>
      </c>
      <c r="M3692">
        <v>27</v>
      </c>
      <c r="N3692" t="s">
        <v>36</v>
      </c>
      <c r="O3692" s="3" t="s">
        <v>28</v>
      </c>
      <c r="P3692" t="s">
        <v>137</v>
      </c>
      <c r="Q3692" t="s">
        <v>24</v>
      </c>
      <c r="R3692">
        <v>3</v>
      </c>
      <c r="S3692" t="s">
        <v>95</v>
      </c>
      <c r="T3692" s="4">
        <f t="shared" si="289"/>
        <v>95838.87</v>
      </c>
      <c r="U3692" s="4" t="str">
        <f t="shared" si="290"/>
        <v>Average</v>
      </c>
      <c r="V3692" s="4" t="str">
        <f t="shared" si="286"/>
        <v>Average</v>
      </c>
      <c r="W3692" s="4"/>
      <c r="X3692" s="4"/>
      <c r="AJ3692" s="4"/>
    </row>
    <row r="3693" spans="1:36">
      <c r="A3693" t="str">
        <f t="shared" si="287"/>
        <v>Anan363692</v>
      </c>
      <c r="B3693">
        <v>3692</v>
      </c>
      <c r="C3693">
        <v>27</v>
      </c>
      <c r="D3693">
        <v>8</v>
      </c>
      <c r="E3693">
        <v>2024</v>
      </c>
      <c r="F3693" s="1">
        <f t="shared" si="288"/>
        <v>45531</v>
      </c>
      <c r="G3693" s="1" t="s">
        <v>729</v>
      </c>
      <c r="H3693" s="2">
        <v>48169</v>
      </c>
      <c r="I3693" t="s">
        <v>38</v>
      </c>
      <c r="J3693">
        <v>2</v>
      </c>
      <c r="K3693">
        <v>66976.13</v>
      </c>
      <c r="L3693" t="s">
        <v>379</v>
      </c>
      <c r="M3693">
        <v>36</v>
      </c>
      <c r="N3693" t="s">
        <v>21</v>
      </c>
      <c r="O3693" s="3" t="s">
        <v>22</v>
      </c>
      <c r="P3693" t="s">
        <v>23</v>
      </c>
      <c r="Q3693" t="s">
        <v>24</v>
      </c>
      <c r="R3693">
        <v>5</v>
      </c>
      <c r="S3693" t="s">
        <v>48</v>
      </c>
      <c r="T3693" s="4">
        <f t="shared" si="289"/>
        <v>133952.26</v>
      </c>
      <c r="U3693" s="4" t="str">
        <f t="shared" si="290"/>
        <v>Good</v>
      </c>
      <c r="V3693" s="4" t="str">
        <f t="shared" si="286"/>
        <v>Good</v>
      </c>
      <c r="W3693" s="4"/>
      <c r="X3693" s="4"/>
      <c r="AJ3693" s="4"/>
    </row>
    <row r="3694" spans="1:36">
      <c r="A3694" t="str">
        <f t="shared" si="287"/>
        <v>Roha593693</v>
      </c>
      <c r="B3694">
        <v>3693</v>
      </c>
      <c r="C3694">
        <v>28</v>
      </c>
      <c r="D3694">
        <v>8</v>
      </c>
      <c r="E3694">
        <v>2024</v>
      </c>
      <c r="F3694" s="1">
        <f t="shared" si="288"/>
        <v>45532</v>
      </c>
      <c r="G3694" s="1" t="s">
        <v>729</v>
      </c>
      <c r="H3694" s="2">
        <v>48170</v>
      </c>
      <c r="I3694" t="s">
        <v>43</v>
      </c>
      <c r="J3694">
        <v>9</v>
      </c>
      <c r="K3694">
        <v>29744.65</v>
      </c>
      <c r="L3694" t="s">
        <v>963</v>
      </c>
      <c r="M3694">
        <v>59</v>
      </c>
      <c r="N3694" t="s">
        <v>61</v>
      </c>
      <c r="O3694" s="3" t="s">
        <v>22</v>
      </c>
      <c r="P3694" t="s">
        <v>70</v>
      </c>
      <c r="Q3694" t="s">
        <v>41</v>
      </c>
      <c r="R3694">
        <v>5</v>
      </c>
      <c r="S3694" t="s">
        <v>95</v>
      </c>
      <c r="T3694" s="4">
        <f t="shared" si="289"/>
        <v>267701.85000000003</v>
      </c>
      <c r="U3694" s="4" t="str">
        <f t="shared" si="290"/>
        <v>Good</v>
      </c>
      <c r="V3694" s="4" t="str">
        <f t="shared" si="286"/>
        <v>Excellent</v>
      </c>
      <c r="W3694" s="4"/>
      <c r="X3694" s="4"/>
      <c r="AJ3694" s="4"/>
    </row>
    <row r="3695" spans="1:36">
      <c r="A3695" t="str">
        <f t="shared" si="287"/>
        <v>Tanu333694</v>
      </c>
      <c r="B3695">
        <v>3694</v>
      </c>
      <c r="C3695">
        <v>28</v>
      </c>
      <c r="D3695">
        <v>8</v>
      </c>
      <c r="E3695">
        <v>2024</v>
      </c>
      <c r="F3695" s="1">
        <f t="shared" si="288"/>
        <v>45532</v>
      </c>
      <c r="G3695" s="1" t="s">
        <v>729</v>
      </c>
      <c r="H3695" s="2">
        <v>48171</v>
      </c>
      <c r="I3695" t="s">
        <v>38</v>
      </c>
      <c r="J3695">
        <v>3</v>
      </c>
      <c r="K3695">
        <v>15692.24</v>
      </c>
      <c r="L3695" t="s">
        <v>1065</v>
      </c>
      <c r="M3695">
        <v>33</v>
      </c>
      <c r="N3695" t="s">
        <v>21</v>
      </c>
      <c r="O3695" s="3" t="s">
        <v>22</v>
      </c>
      <c r="P3695" t="s">
        <v>29</v>
      </c>
      <c r="Q3695" t="s">
        <v>30</v>
      </c>
      <c r="R3695">
        <v>5</v>
      </c>
      <c r="S3695" t="s">
        <v>48</v>
      </c>
      <c r="T3695" s="4">
        <f t="shared" si="289"/>
        <v>47076.72</v>
      </c>
      <c r="U3695" s="4" t="str">
        <f t="shared" si="290"/>
        <v>Good</v>
      </c>
      <c r="V3695" s="4" t="str">
        <f t="shared" si="286"/>
        <v>Low</v>
      </c>
      <c r="W3695" s="4"/>
      <c r="X3695" s="4"/>
      <c r="AJ3695" s="4"/>
    </row>
    <row r="3696" spans="1:36">
      <c r="A3696" t="str">
        <f t="shared" si="287"/>
        <v>Adit303695</v>
      </c>
      <c r="B3696">
        <v>3695</v>
      </c>
      <c r="C3696">
        <v>28</v>
      </c>
      <c r="D3696">
        <v>8</v>
      </c>
      <c r="E3696">
        <v>2024</v>
      </c>
      <c r="F3696" s="1">
        <f t="shared" si="288"/>
        <v>45532</v>
      </c>
      <c r="G3696" s="1" t="s">
        <v>729</v>
      </c>
      <c r="H3696" s="2">
        <v>48172</v>
      </c>
      <c r="I3696" t="s">
        <v>19</v>
      </c>
      <c r="J3696">
        <v>2</v>
      </c>
      <c r="K3696">
        <v>69810.929999999993</v>
      </c>
      <c r="L3696" t="s">
        <v>264</v>
      </c>
      <c r="M3696">
        <v>30</v>
      </c>
      <c r="N3696" t="s">
        <v>36</v>
      </c>
      <c r="O3696" s="3" t="s">
        <v>22</v>
      </c>
      <c r="P3696" t="s">
        <v>66</v>
      </c>
      <c r="Q3696" t="s">
        <v>41</v>
      </c>
      <c r="R3696">
        <v>5</v>
      </c>
      <c r="S3696" t="s">
        <v>84</v>
      </c>
      <c r="T3696" s="4">
        <f t="shared" si="289"/>
        <v>139621.85999999999</v>
      </c>
      <c r="U3696" s="4" t="str">
        <f t="shared" si="290"/>
        <v>Good</v>
      </c>
      <c r="V3696" s="4" t="str">
        <f t="shared" si="286"/>
        <v>Good</v>
      </c>
      <c r="W3696" s="4"/>
      <c r="X3696" s="4"/>
      <c r="AJ3696" s="4"/>
    </row>
    <row r="3697" spans="1:36">
      <c r="A3697" t="str">
        <f t="shared" si="287"/>
        <v>Shru253696</v>
      </c>
      <c r="B3697">
        <v>3696</v>
      </c>
      <c r="C3697">
        <v>29</v>
      </c>
      <c r="D3697">
        <v>8</v>
      </c>
      <c r="E3697">
        <v>2024</v>
      </c>
      <c r="F3697" s="1">
        <f t="shared" si="288"/>
        <v>45533</v>
      </c>
      <c r="G3697" s="1" t="s">
        <v>729</v>
      </c>
      <c r="H3697" s="2">
        <v>48173</v>
      </c>
      <c r="I3697" t="s">
        <v>43</v>
      </c>
      <c r="J3697">
        <v>4</v>
      </c>
      <c r="K3697">
        <v>26070.7</v>
      </c>
      <c r="L3697" t="s">
        <v>551</v>
      </c>
      <c r="M3697">
        <v>25</v>
      </c>
      <c r="N3697" t="s">
        <v>36</v>
      </c>
      <c r="O3697" s="3" t="s">
        <v>22</v>
      </c>
      <c r="P3697" t="s">
        <v>33</v>
      </c>
      <c r="Q3697" t="s">
        <v>24</v>
      </c>
      <c r="R3697">
        <v>5</v>
      </c>
      <c r="S3697" t="s">
        <v>95</v>
      </c>
      <c r="T3697" s="4">
        <f t="shared" si="289"/>
        <v>104282.8</v>
      </c>
      <c r="U3697" s="4" t="str">
        <f t="shared" si="290"/>
        <v>Good</v>
      </c>
      <c r="V3697" s="4" t="str">
        <f t="shared" si="286"/>
        <v>Good</v>
      </c>
      <c r="W3697" s="4"/>
      <c r="X3697" s="4"/>
      <c r="AJ3697" s="4"/>
    </row>
    <row r="3698" spans="1:36">
      <c r="A3698" t="str">
        <f t="shared" si="287"/>
        <v>Sumi483697</v>
      </c>
      <c r="B3698">
        <v>3697</v>
      </c>
      <c r="C3698">
        <v>29</v>
      </c>
      <c r="D3698">
        <v>8</v>
      </c>
      <c r="E3698">
        <v>2024</v>
      </c>
      <c r="F3698" s="1">
        <f t="shared" si="288"/>
        <v>45533</v>
      </c>
      <c r="G3698" s="1" t="s">
        <v>729</v>
      </c>
      <c r="H3698" s="2">
        <v>48174</v>
      </c>
      <c r="I3698" t="s">
        <v>49</v>
      </c>
      <c r="J3698">
        <v>2</v>
      </c>
      <c r="K3698">
        <v>61075.47</v>
      </c>
      <c r="L3698" t="s">
        <v>596</v>
      </c>
      <c r="M3698">
        <v>48</v>
      </c>
      <c r="N3698" t="s">
        <v>61</v>
      </c>
      <c r="O3698" s="3" t="s">
        <v>22</v>
      </c>
      <c r="P3698" t="s">
        <v>33</v>
      </c>
      <c r="Q3698" t="s">
        <v>30</v>
      </c>
      <c r="R3698">
        <v>5</v>
      </c>
      <c r="S3698" t="s">
        <v>52</v>
      </c>
      <c r="T3698" s="4">
        <f t="shared" si="289"/>
        <v>122150.94</v>
      </c>
      <c r="U3698" s="4" t="str">
        <f t="shared" si="290"/>
        <v>Good</v>
      </c>
      <c r="V3698" s="4" t="str">
        <f t="shared" si="286"/>
        <v>Good</v>
      </c>
      <c r="W3698" s="4"/>
      <c r="X3698" s="4"/>
      <c r="AJ3698" s="4"/>
    </row>
    <row r="3699" spans="1:36">
      <c r="A3699" t="str">
        <f t="shared" si="287"/>
        <v>Nami423698</v>
      </c>
      <c r="B3699">
        <v>3698</v>
      </c>
      <c r="C3699">
        <v>29</v>
      </c>
      <c r="D3699">
        <v>8</v>
      </c>
      <c r="E3699">
        <v>2024</v>
      </c>
      <c r="F3699" s="1">
        <f t="shared" si="288"/>
        <v>45533</v>
      </c>
      <c r="G3699" s="1" t="s">
        <v>729</v>
      </c>
      <c r="H3699" s="2">
        <v>48175</v>
      </c>
      <c r="I3699" t="s">
        <v>19</v>
      </c>
      <c r="J3699">
        <v>1</v>
      </c>
      <c r="K3699">
        <v>19932.45</v>
      </c>
      <c r="L3699" t="s">
        <v>219</v>
      </c>
      <c r="M3699">
        <v>42</v>
      </c>
      <c r="N3699" t="s">
        <v>21</v>
      </c>
      <c r="O3699" s="3" t="s">
        <v>55</v>
      </c>
      <c r="P3699" t="s">
        <v>33</v>
      </c>
      <c r="Q3699" t="s">
        <v>56</v>
      </c>
      <c r="R3699">
        <v>2</v>
      </c>
      <c r="S3699" t="s">
        <v>37</v>
      </c>
      <c r="T3699" s="4">
        <f t="shared" si="289"/>
        <v>19932.45</v>
      </c>
      <c r="U3699" s="4" t="str">
        <f t="shared" si="290"/>
        <v>Average</v>
      </c>
      <c r="V3699" s="4" t="str">
        <f t="shared" si="286"/>
        <v>Low</v>
      </c>
      <c r="W3699" s="4"/>
      <c r="X3699" s="4"/>
      <c r="AJ3699" s="4"/>
    </row>
    <row r="3700" spans="1:36">
      <c r="A3700" t="str">
        <f t="shared" si="287"/>
        <v>Ravi563699</v>
      </c>
      <c r="B3700">
        <v>3699</v>
      </c>
      <c r="C3700">
        <v>30</v>
      </c>
      <c r="D3700">
        <v>8</v>
      </c>
      <c r="E3700">
        <v>2024</v>
      </c>
      <c r="F3700" s="1">
        <f t="shared" si="288"/>
        <v>45534</v>
      </c>
      <c r="G3700" s="1" t="s">
        <v>729</v>
      </c>
      <c r="H3700" s="2">
        <v>48176</v>
      </c>
      <c r="I3700" t="s">
        <v>38</v>
      </c>
      <c r="J3700">
        <v>6</v>
      </c>
      <c r="K3700">
        <v>53881.24</v>
      </c>
      <c r="L3700" t="s">
        <v>937</v>
      </c>
      <c r="M3700">
        <v>56</v>
      </c>
      <c r="N3700" t="s">
        <v>61</v>
      </c>
      <c r="O3700" s="3" t="s">
        <v>22</v>
      </c>
      <c r="P3700" t="s">
        <v>40</v>
      </c>
      <c r="Q3700" t="s">
        <v>41</v>
      </c>
      <c r="R3700">
        <v>5</v>
      </c>
      <c r="S3700" t="s">
        <v>48</v>
      </c>
      <c r="T3700" s="4">
        <f t="shared" si="289"/>
        <v>323287.44</v>
      </c>
      <c r="U3700" s="4" t="str">
        <f t="shared" si="290"/>
        <v>Good</v>
      </c>
      <c r="V3700" s="4" t="str">
        <f t="shared" si="286"/>
        <v>Excellent</v>
      </c>
      <c r="W3700" s="4"/>
      <c r="X3700" s="4"/>
      <c r="AJ3700" s="4"/>
    </row>
    <row r="3701" spans="1:36">
      <c r="A3701" t="str">
        <f t="shared" si="287"/>
        <v>Nikh383700</v>
      </c>
      <c r="B3701">
        <v>3700</v>
      </c>
      <c r="C3701">
        <v>30</v>
      </c>
      <c r="D3701">
        <v>8</v>
      </c>
      <c r="E3701">
        <v>2024</v>
      </c>
      <c r="F3701" s="1">
        <f t="shared" si="288"/>
        <v>45534</v>
      </c>
      <c r="G3701" s="1" t="s">
        <v>729</v>
      </c>
      <c r="H3701" s="2">
        <v>48177</v>
      </c>
      <c r="I3701" t="s">
        <v>19</v>
      </c>
      <c r="J3701">
        <v>8</v>
      </c>
      <c r="K3701">
        <v>41466.959999999999</v>
      </c>
      <c r="L3701" t="s">
        <v>447</v>
      </c>
      <c r="M3701">
        <v>38</v>
      </c>
      <c r="N3701" t="s">
        <v>21</v>
      </c>
      <c r="O3701" s="3" t="s">
        <v>22</v>
      </c>
      <c r="P3701" t="s">
        <v>132</v>
      </c>
      <c r="Q3701" t="s">
        <v>24</v>
      </c>
      <c r="R3701">
        <v>4</v>
      </c>
      <c r="S3701" t="s">
        <v>25</v>
      </c>
      <c r="T3701" s="4">
        <f t="shared" si="289"/>
        <v>331735.67999999999</v>
      </c>
      <c r="U3701" s="4" t="str">
        <f t="shared" si="290"/>
        <v>Good</v>
      </c>
      <c r="V3701" s="4" t="str">
        <f t="shared" si="286"/>
        <v>Excellent</v>
      </c>
      <c r="W3701" s="4"/>
      <c r="X3701" s="4"/>
      <c r="AJ3701" s="4"/>
    </row>
    <row r="3702" spans="1:36">
      <c r="A3702" t="str">
        <f t="shared" si="287"/>
        <v>Arun553701</v>
      </c>
      <c r="B3702">
        <v>3701</v>
      </c>
      <c r="C3702">
        <v>30</v>
      </c>
      <c r="D3702">
        <v>8</v>
      </c>
      <c r="E3702">
        <v>2024</v>
      </c>
      <c r="F3702" s="1">
        <f t="shared" si="288"/>
        <v>45534</v>
      </c>
      <c r="G3702" s="1" t="s">
        <v>729</v>
      </c>
      <c r="H3702" s="2">
        <v>48178</v>
      </c>
      <c r="I3702" t="s">
        <v>43</v>
      </c>
      <c r="J3702">
        <v>2</v>
      </c>
      <c r="K3702">
        <v>68854.39</v>
      </c>
      <c r="L3702" t="s">
        <v>681</v>
      </c>
      <c r="M3702">
        <v>55</v>
      </c>
      <c r="N3702" t="s">
        <v>61</v>
      </c>
      <c r="O3702" s="3" t="s">
        <v>22</v>
      </c>
      <c r="P3702" t="s">
        <v>29</v>
      </c>
      <c r="Q3702" t="s">
        <v>30</v>
      </c>
      <c r="R3702">
        <v>5</v>
      </c>
      <c r="S3702" t="s">
        <v>46</v>
      </c>
      <c r="T3702" s="4">
        <f t="shared" si="289"/>
        <v>137708.78</v>
      </c>
      <c r="U3702" s="4" t="str">
        <f t="shared" si="290"/>
        <v>Good</v>
      </c>
      <c r="V3702" s="4" t="str">
        <f t="shared" si="286"/>
        <v>Good</v>
      </c>
      <c r="W3702" s="4"/>
      <c r="X3702" s="4"/>
      <c r="AJ3702" s="4"/>
    </row>
    <row r="3703" spans="1:36">
      <c r="A3703" t="str">
        <f t="shared" si="287"/>
        <v>Lali583702</v>
      </c>
      <c r="B3703">
        <v>3702</v>
      </c>
      <c r="C3703">
        <v>30</v>
      </c>
      <c r="D3703">
        <v>8</v>
      </c>
      <c r="E3703">
        <v>2024</v>
      </c>
      <c r="F3703" s="1">
        <f t="shared" si="288"/>
        <v>45534</v>
      </c>
      <c r="G3703" s="1" t="s">
        <v>729</v>
      </c>
      <c r="H3703" s="2">
        <v>48179</v>
      </c>
      <c r="I3703" t="s">
        <v>26</v>
      </c>
      <c r="J3703">
        <v>9</v>
      </c>
      <c r="K3703">
        <v>43169.82</v>
      </c>
      <c r="L3703" t="s">
        <v>730</v>
      </c>
      <c r="M3703">
        <v>58</v>
      </c>
      <c r="N3703" t="s">
        <v>61</v>
      </c>
      <c r="O3703" s="3" t="s">
        <v>22</v>
      </c>
      <c r="P3703" t="s">
        <v>29</v>
      </c>
      <c r="Q3703" t="s">
        <v>24</v>
      </c>
      <c r="R3703">
        <v>5</v>
      </c>
      <c r="S3703" t="s">
        <v>67</v>
      </c>
      <c r="T3703" s="4">
        <f t="shared" si="289"/>
        <v>388528.38</v>
      </c>
      <c r="U3703" s="4" t="str">
        <f t="shared" si="290"/>
        <v>Good</v>
      </c>
      <c r="V3703" s="4" t="str">
        <f t="shared" si="286"/>
        <v>Excellent</v>
      </c>
      <c r="W3703" s="4"/>
      <c r="X3703" s="4"/>
      <c r="AJ3703" s="4"/>
    </row>
    <row r="3704" spans="1:36">
      <c r="A3704" t="str">
        <f t="shared" si="287"/>
        <v>Pank463703</v>
      </c>
      <c r="B3704">
        <v>3703</v>
      </c>
      <c r="C3704">
        <v>31</v>
      </c>
      <c r="D3704">
        <v>8</v>
      </c>
      <c r="E3704">
        <v>2024</v>
      </c>
      <c r="F3704" s="1">
        <f t="shared" si="288"/>
        <v>45535</v>
      </c>
      <c r="G3704" s="1" t="s">
        <v>729</v>
      </c>
      <c r="H3704" s="2">
        <v>48180</v>
      </c>
      <c r="I3704" t="s">
        <v>26</v>
      </c>
      <c r="J3704">
        <v>3</v>
      </c>
      <c r="K3704">
        <v>11500.91</v>
      </c>
      <c r="L3704" t="s">
        <v>1020</v>
      </c>
      <c r="M3704">
        <v>46</v>
      </c>
      <c r="N3704" t="s">
        <v>61</v>
      </c>
      <c r="O3704" s="3" t="s">
        <v>22</v>
      </c>
      <c r="P3704" t="s">
        <v>51</v>
      </c>
      <c r="Q3704" t="s">
        <v>30</v>
      </c>
      <c r="R3704">
        <v>5</v>
      </c>
      <c r="S3704" t="s">
        <v>34</v>
      </c>
      <c r="T3704" s="4">
        <f t="shared" si="289"/>
        <v>34502.729999999996</v>
      </c>
      <c r="U3704" s="4" t="str">
        <f t="shared" si="290"/>
        <v>Good</v>
      </c>
      <c r="V3704" s="4" t="str">
        <f t="shared" si="286"/>
        <v>Low</v>
      </c>
      <c r="W3704" s="4"/>
      <c r="X3704" s="4"/>
      <c r="AJ3704" s="4"/>
    </row>
    <row r="3705" spans="1:36">
      <c r="A3705" t="str">
        <f t="shared" si="287"/>
        <v>Kavi233704</v>
      </c>
      <c r="B3705">
        <v>3704</v>
      </c>
      <c r="C3705">
        <v>31</v>
      </c>
      <c r="D3705">
        <v>8</v>
      </c>
      <c r="E3705">
        <v>2024</v>
      </c>
      <c r="F3705" s="1">
        <f t="shared" si="288"/>
        <v>45535</v>
      </c>
      <c r="G3705" s="1" t="s">
        <v>729</v>
      </c>
      <c r="H3705" s="2">
        <v>48181</v>
      </c>
      <c r="I3705" t="s">
        <v>38</v>
      </c>
      <c r="J3705">
        <v>8</v>
      </c>
      <c r="K3705">
        <v>46232.68</v>
      </c>
      <c r="L3705" t="s">
        <v>230</v>
      </c>
      <c r="M3705">
        <v>23</v>
      </c>
      <c r="N3705" t="s">
        <v>36</v>
      </c>
      <c r="O3705" s="3" t="s">
        <v>22</v>
      </c>
      <c r="P3705" t="s">
        <v>110</v>
      </c>
      <c r="Q3705" t="s">
        <v>30</v>
      </c>
      <c r="R3705">
        <v>5</v>
      </c>
      <c r="S3705" t="s">
        <v>42</v>
      </c>
      <c r="T3705" s="4">
        <f t="shared" si="289"/>
        <v>369861.44</v>
      </c>
      <c r="U3705" s="4" t="str">
        <f t="shared" si="290"/>
        <v>Good</v>
      </c>
      <c r="V3705" s="4" t="str">
        <f t="shared" si="286"/>
        <v>Excellent</v>
      </c>
      <c r="W3705" s="4"/>
      <c r="X3705" s="4"/>
      <c r="AJ3705" s="4"/>
    </row>
    <row r="3706" spans="1:36">
      <c r="A3706" t="str">
        <f t="shared" si="287"/>
        <v>Anja353705</v>
      </c>
      <c r="B3706">
        <v>3705</v>
      </c>
      <c r="C3706">
        <v>31</v>
      </c>
      <c r="D3706">
        <v>8</v>
      </c>
      <c r="E3706">
        <v>2024</v>
      </c>
      <c r="F3706" s="1">
        <f t="shared" si="288"/>
        <v>45535</v>
      </c>
      <c r="G3706" s="1" t="s">
        <v>729</v>
      </c>
      <c r="H3706" s="2">
        <v>48182</v>
      </c>
      <c r="I3706" t="s">
        <v>38</v>
      </c>
      <c r="J3706">
        <v>8</v>
      </c>
      <c r="K3706">
        <v>18718.990000000002</v>
      </c>
      <c r="L3706" t="s">
        <v>68</v>
      </c>
      <c r="M3706">
        <v>35</v>
      </c>
      <c r="N3706" t="s">
        <v>21</v>
      </c>
      <c r="O3706" s="3" t="s">
        <v>22</v>
      </c>
      <c r="P3706" t="s">
        <v>29</v>
      </c>
      <c r="Q3706" t="s">
        <v>41</v>
      </c>
      <c r="R3706">
        <v>5</v>
      </c>
      <c r="S3706" t="s">
        <v>42</v>
      </c>
      <c r="T3706" s="4">
        <f t="shared" si="289"/>
        <v>149751.92000000001</v>
      </c>
      <c r="U3706" s="4" t="str">
        <f t="shared" si="290"/>
        <v>Good</v>
      </c>
      <c r="V3706" s="4" t="str">
        <f t="shared" si="286"/>
        <v>Good</v>
      </c>
      <c r="W3706" s="4"/>
      <c r="X3706" s="4"/>
      <c r="AJ3706" s="4"/>
    </row>
    <row r="3707" spans="1:36">
      <c r="A3707" t="str">
        <f t="shared" si="287"/>
        <v>Anit523706</v>
      </c>
      <c r="B3707">
        <v>3706</v>
      </c>
      <c r="C3707">
        <v>1</v>
      </c>
      <c r="D3707">
        <v>9</v>
      </c>
      <c r="E3707">
        <v>2024</v>
      </c>
      <c r="F3707" s="1">
        <f t="shared" si="288"/>
        <v>45536</v>
      </c>
      <c r="G3707" s="1" t="s">
        <v>770</v>
      </c>
      <c r="H3707" s="2">
        <v>48183</v>
      </c>
      <c r="I3707" t="s">
        <v>26</v>
      </c>
      <c r="J3707">
        <v>3</v>
      </c>
      <c r="K3707">
        <v>57912.45</v>
      </c>
      <c r="L3707" t="s">
        <v>168</v>
      </c>
      <c r="M3707">
        <v>52</v>
      </c>
      <c r="N3707" t="s">
        <v>61</v>
      </c>
      <c r="O3707" s="3" t="s">
        <v>22</v>
      </c>
      <c r="P3707" t="s">
        <v>29</v>
      </c>
      <c r="Q3707" t="s">
        <v>56</v>
      </c>
      <c r="R3707">
        <v>5</v>
      </c>
      <c r="S3707" t="s">
        <v>31</v>
      </c>
      <c r="T3707" s="4">
        <f t="shared" si="289"/>
        <v>173737.34999999998</v>
      </c>
      <c r="U3707" s="4" t="str">
        <f t="shared" si="290"/>
        <v>Good</v>
      </c>
      <c r="V3707" s="4" t="str">
        <f t="shared" si="286"/>
        <v>Good</v>
      </c>
      <c r="W3707" s="4"/>
      <c r="X3707" s="4"/>
      <c r="AJ3707" s="4"/>
    </row>
    <row r="3708" spans="1:36">
      <c r="A3708" t="str">
        <f t="shared" si="287"/>
        <v>Bhav443707</v>
      </c>
      <c r="B3708">
        <v>3707</v>
      </c>
      <c r="C3708">
        <v>1</v>
      </c>
      <c r="D3708">
        <v>9</v>
      </c>
      <c r="E3708">
        <v>2024</v>
      </c>
      <c r="F3708" s="1">
        <f t="shared" si="288"/>
        <v>45536</v>
      </c>
      <c r="G3708" s="1" t="s">
        <v>770</v>
      </c>
      <c r="H3708" s="2">
        <v>48184</v>
      </c>
      <c r="I3708" t="s">
        <v>38</v>
      </c>
      <c r="J3708">
        <v>3</v>
      </c>
      <c r="K3708">
        <v>61394.09</v>
      </c>
      <c r="L3708" t="s">
        <v>822</v>
      </c>
      <c r="M3708">
        <v>44</v>
      </c>
      <c r="N3708" t="s">
        <v>21</v>
      </c>
      <c r="O3708" s="3" t="s">
        <v>22</v>
      </c>
      <c r="P3708" t="s">
        <v>110</v>
      </c>
      <c r="Q3708" t="s">
        <v>30</v>
      </c>
      <c r="R3708">
        <v>5</v>
      </c>
      <c r="S3708" t="s">
        <v>42</v>
      </c>
      <c r="T3708" s="4">
        <f t="shared" si="289"/>
        <v>184182.27</v>
      </c>
      <c r="U3708" s="4" t="str">
        <f t="shared" si="290"/>
        <v>Good</v>
      </c>
      <c r="V3708" s="4" t="str">
        <f t="shared" si="286"/>
        <v>Good</v>
      </c>
      <c r="W3708" s="4"/>
      <c r="X3708" s="4"/>
      <c r="AJ3708" s="4"/>
    </row>
    <row r="3709" spans="1:36">
      <c r="A3709" t="str">
        <f t="shared" si="287"/>
        <v>Meen223708</v>
      </c>
      <c r="B3709">
        <v>3708</v>
      </c>
      <c r="C3709">
        <v>1</v>
      </c>
      <c r="D3709">
        <v>9</v>
      </c>
      <c r="E3709">
        <v>2024</v>
      </c>
      <c r="F3709" s="1">
        <f t="shared" si="288"/>
        <v>45536</v>
      </c>
      <c r="G3709" s="1" t="s">
        <v>770</v>
      </c>
      <c r="H3709" s="2">
        <v>48185</v>
      </c>
      <c r="I3709" t="s">
        <v>19</v>
      </c>
      <c r="J3709">
        <v>6</v>
      </c>
      <c r="K3709">
        <v>38925.61</v>
      </c>
      <c r="L3709" t="s">
        <v>432</v>
      </c>
      <c r="M3709">
        <v>22</v>
      </c>
      <c r="N3709" t="s">
        <v>36</v>
      </c>
      <c r="O3709" s="3" t="s">
        <v>22</v>
      </c>
      <c r="P3709" t="s">
        <v>33</v>
      </c>
      <c r="Q3709" t="s">
        <v>24</v>
      </c>
      <c r="R3709">
        <v>5</v>
      </c>
      <c r="S3709" t="s">
        <v>37</v>
      </c>
      <c r="T3709" s="4">
        <f t="shared" si="289"/>
        <v>233553.66</v>
      </c>
      <c r="U3709" s="4" t="str">
        <f t="shared" si="290"/>
        <v>Good</v>
      </c>
      <c r="V3709" s="4" t="str">
        <f t="shared" si="286"/>
        <v>Excellent</v>
      </c>
      <c r="W3709" s="4"/>
      <c r="X3709" s="4"/>
      <c r="AJ3709" s="4"/>
    </row>
    <row r="3710" spans="1:36">
      <c r="A3710" t="str">
        <f t="shared" si="287"/>
        <v>Roha243709</v>
      </c>
      <c r="B3710">
        <v>3709</v>
      </c>
      <c r="C3710">
        <v>1</v>
      </c>
      <c r="D3710">
        <v>9</v>
      </c>
      <c r="E3710">
        <v>2024</v>
      </c>
      <c r="F3710" s="1">
        <f t="shared" si="288"/>
        <v>45536</v>
      </c>
      <c r="G3710" s="1" t="s">
        <v>770</v>
      </c>
      <c r="H3710" s="2">
        <v>48186</v>
      </c>
      <c r="I3710" t="s">
        <v>49</v>
      </c>
      <c r="J3710">
        <v>1</v>
      </c>
      <c r="K3710">
        <v>56993.29</v>
      </c>
      <c r="L3710" t="s">
        <v>1015</v>
      </c>
      <c r="M3710">
        <v>24</v>
      </c>
      <c r="N3710" t="s">
        <v>36</v>
      </c>
      <c r="O3710" s="3" t="s">
        <v>22</v>
      </c>
      <c r="P3710" t="s">
        <v>29</v>
      </c>
      <c r="Q3710" t="s">
        <v>30</v>
      </c>
      <c r="R3710">
        <v>4</v>
      </c>
      <c r="S3710" t="s">
        <v>88</v>
      </c>
      <c r="T3710" s="4">
        <f t="shared" si="289"/>
        <v>56993.29</v>
      </c>
      <c r="U3710" s="4" t="str">
        <f t="shared" si="290"/>
        <v>Good</v>
      </c>
      <c r="V3710" s="4" t="str">
        <f t="shared" si="286"/>
        <v>Average</v>
      </c>
      <c r="W3710" s="4"/>
      <c r="X3710" s="4"/>
      <c r="AJ3710" s="4"/>
    </row>
    <row r="3711" spans="1:36">
      <c r="A3711" t="str">
        <f t="shared" si="287"/>
        <v>Jyot273710</v>
      </c>
      <c r="B3711">
        <v>3710</v>
      </c>
      <c r="C3711">
        <v>2</v>
      </c>
      <c r="D3711">
        <v>9</v>
      </c>
      <c r="E3711">
        <v>2024</v>
      </c>
      <c r="F3711" s="1">
        <f t="shared" si="288"/>
        <v>45537</v>
      </c>
      <c r="G3711" s="1" t="s">
        <v>770</v>
      </c>
      <c r="H3711" s="2">
        <v>48187</v>
      </c>
      <c r="I3711" t="s">
        <v>49</v>
      </c>
      <c r="J3711">
        <v>4</v>
      </c>
      <c r="K3711">
        <v>18706.64</v>
      </c>
      <c r="L3711" t="s">
        <v>526</v>
      </c>
      <c r="M3711">
        <v>27</v>
      </c>
      <c r="N3711" t="s">
        <v>36</v>
      </c>
      <c r="O3711" s="3" t="s">
        <v>28</v>
      </c>
      <c r="P3711" t="s">
        <v>29</v>
      </c>
      <c r="Q3711" t="s">
        <v>56</v>
      </c>
      <c r="R3711">
        <v>3</v>
      </c>
      <c r="S3711" t="s">
        <v>88</v>
      </c>
      <c r="T3711" s="4">
        <f t="shared" si="289"/>
        <v>74826.559999999998</v>
      </c>
      <c r="U3711" s="4" t="str">
        <f t="shared" si="290"/>
        <v>Average</v>
      </c>
      <c r="V3711" s="4" t="str">
        <f t="shared" si="286"/>
        <v>Average</v>
      </c>
      <c r="W3711" s="4"/>
      <c r="X3711" s="4"/>
      <c r="AJ3711" s="4"/>
    </row>
    <row r="3712" spans="1:36">
      <c r="A3712" t="str">
        <f t="shared" si="287"/>
        <v>Isha273711</v>
      </c>
      <c r="B3712">
        <v>3711</v>
      </c>
      <c r="C3712">
        <v>2</v>
      </c>
      <c r="D3712">
        <v>9</v>
      </c>
      <c r="E3712">
        <v>2024</v>
      </c>
      <c r="F3712" s="1">
        <f t="shared" si="288"/>
        <v>45537</v>
      </c>
      <c r="G3712" s="1" t="s">
        <v>770</v>
      </c>
      <c r="H3712" s="2">
        <v>48188</v>
      </c>
      <c r="I3712" t="s">
        <v>19</v>
      </c>
      <c r="J3712">
        <v>1</v>
      </c>
      <c r="K3712">
        <v>39524.69</v>
      </c>
      <c r="L3712" t="s">
        <v>584</v>
      </c>
      <c r="M3712">
        <v>27</v>
      </c>
      <c r="N3712" t="s">
        <v>36</v>
      </c>
      <c r="O3712" s="3" t="s">
        <v>22</v>
      </c>
      <c r="P3712" t="s">
        <v>33</v>
      </c>
      <c r="Q3712" t="s">
        <v>24</v>
      </c>
      <c r="R3712">
        <v>4</v>
      </c>
      <c r="S3712" t="s">
        <v>25</v>
      </c>
      <c r="T3712" s="4">
        <f t="shared" si="289"/>
        <v>39524.69</v>
      </c>
      <c r="U3712" s="4" t="str">
        <f t="shared" si="290"/>
        <v>Good</v>
      </c>
      <c r="V3712" s="4" t="str">
        <f t="shared" si="286"/>
        <v>Low</v>
      </c>
      <c r="W3712" s="4"/>
      <c r="X3712" s="4"/>
      <c r="AJ3712" s="4"/>
    </row>
    <row r="3713" spans="1:36">
      <c r="A3713" t="str">
        <f t="shared" si="287"/>
        <v>Pooj453712</v>
      </c>
      <c r="B3713">
        <v>3712</v>
      </c>
      <c r="C3713">
        <v>2</v>
      </c>
      <c r="D3713">
        <v>9</v>
      </c>
      <c r="E3713">
        <v>2024</v>
      </c>
      <c r="F3713" s="1">
        <f t="shared" si="288"/>
        <v>45537</v>
      </c>
      <c r="G3713" s="1" t="s">
        <v>770</v>
      </c>
      <c r="H3713" s="2">
        <v>48189</v>
      </c>
      <c r="I3713" t="s">
        <v>49</v>
      </c>
      <c r="J3713">
        <v>3</v>
      </c>
      <c r="K3713">
        <v>33636.660000000003</v>
      </c>
      <c r="L3713" t="s">
        <v>816</v>
      </c>
      <c r="M3713">
        <v>45</v>
      </c>
      <c r="N3713" t="s">
        <v>21</v>
      </c>
      <c r="O3713" s="3" t="s">
        <v>22</v>
      </c>
      <c r="P3713" t="s">
        <v>110</v>
      </c>
      <c r="Q3713" t="s">
        <v>30</v>
      </c>
      <c r="R3713">
        <v>4</v>
      </c>
      <c r="S3713" t="s">
        <v>102</v>
      </c>
      <c r="T3713" s="4">
        <f t="shared" si="289"/>
        <v>100909.98000000001</v>
      </c>
      <c r="U3713" s="4" t="str">
        <f t="shared" si="290"/>
        <v>Good</v>
      </c>
      <c r="V3713" s="4" t="str">
        <f t="shared" ref="V3713:V3776" si="291">IF(T3713&gt;200000,"Excellent",IF(T3713&gt;100000,"Good",IF(T3713&gt;50000,"Average","Low")))</f>
        <v>Good</v>
      </c>
      <c r="W3713" s="4"/>
      <c r="X3713" s="4"/>
      <c r="AJ3713" s="4"/>
    </row>
    <row r="3714" spans="1:36">
      <c r="A3714" t="str">
        <f t="shared" ref="A3714:A3777" si="292">LEFT(L3714,4)&amp;M3714&amp;B3714</f>
        <v>Meen533713</v>
      </c>
      <c r="B3714">
        <v>3713</v>
      </c>
      <c r="C3714">
        <v>2</v>
      </c>
      <c r="D3714">
        <v>9</v>
      </c>
      <c r="E3714">
        <v>2024</v>
      </c>
      <c r="F3714" s="1">
        <f t="shared" si="288"/>
        <v>45537</v>
      </c>
      <c r="G3714" s="1" t="s">
        <v>770</v>
      </c>
      <c r="H3714" s="2">
        <v>48190</v>
      </c>
      <c r="I3714" t="s">
        <v>43</v>
      </c>
      <c r="J3714">
        <v>9</v>
      </c>
      <c r="K3714">
        <v>46679.040000000001</v>
      </c>
      <c r="L3714" t="s">
        <v>771</v>
      </c>
      <c r="M3714">
        <v>53</v>
      </c>
      <c r="N3714" t="s">
        <v>61</v>
      </c>
      <c r="O3714" s="3" t="s">
        <v>22</v>
      </c>
      <c r="P3714" t="s">
        <v>51</v>
      </c>
      <c r="Q3714" t="s">
        <v>30</v>
      </c>
      <c r="R3714">
        <v>5</v>
      </c>
      <c r="S3714" t="s">
        <v>57</v>
      </c>
      <c r="T3714" s="4">
        <f t="shared" si="289"/>
        <v>420111.35999999999</v>
      </c>
      <c r="U3714" s="4" t="str">
        <f t="shared" si="290"/>
        <v>Good</v>
      </c>
      <c r="V3714" s="4" t="str">
        <f t="shared" si="291"/>
        <v>Excellent</v>
      </c>
      <c r="W3714" s="4"/>
      <c r="X3714" s="4"/>
      <c r="AJ3714" s="4"/>
    </row>
    <row r="3715" spans="1:36">
      <c r="A3715" t="str">
        <f t="shared" si="292"/>
        <v>Tapa273714</v>
      </c>
      <c r="B3715">
        <v>3714</v>
      </c>
      <c r="C3715">
        <v>3</v>
      </c>
      <c r="D3715">
        <v>9</v>
      </c>
      <c r="E3715">
        <v>2024</v>
      </c>
      <c r="F3715" s="1">
        <f t="shared" ref="F3715:F3778" si="293">DATE(E3715,D3715,C3715)</f>
        <v>45538</v>
      </c>
      <c r="G3715" s="1" t="s">
        <v>770</v>
      </c>
      <c r="H3715" s="2">
        <v>48191</v>
      </c>
      <c r="I3715" t="s">
        <v>19</v>
      </c>
      <c r="J3715">
        <v>5</v>
      </c>
      <c r="K3715">
        <v>12668.63</v>
      </c>
      <c r="L3715" t="s">
        <v>282</v>
      </c>
      <c r="M3715">
        <v>27</v>
      </c>
      <c r="N3715" t="s">
        <v>36</v>
      </c>
      <c r="O3715" s="3" t="s">
        <v>22</v>
      </c>
      <c r="P3715" t="s">
        <v>114</v>
      </c>
      <c r="Q3715" t="s">
        <v>41</v>
      </c>
      <c r="R3715">
        <v>4</v>
      </c>
      <c r="S3715" t="s">
        <v>25</v>
      </c>
      <c r="T3715" s="4">
        <f t="shared" ref="T3715:T3778" si="294">J3715*K3715</f>
        <v>63343.149999999994</v>
      </c>
      <c r="U3715" s="4" t="str">
        <f t="shared" ref="U3715:U3778" si="295">IF(R3715&gt;=4,"Good","Average")</f>
        <v>Good</v>
      </c>
      <c r="V3715" s="4" t="str">
        <f t="shared" si="291"/>
        <v>Average</v>
      </c>
      <c r="W3715" s="4"/>
      <c r="X3715" s="4"/>
      <c r="AJ3715" s="4"/>
    </row>
    <row r="3716" spans="1:36">
      <c r="A3716" t="str">
        <f t="shared" si="292"/>
        <v>Mala523715</v>
      </c>
      <c r="B3716">
        <v>3715</v>
      </c>
      <c r="C3716">
        <v>3</v>
      </c>
      <c r="D3716">
        <v>9</v>
      </c>
      <c r="E3716">
        <v>2024</v>
      </c>
      <c r="F3716" s="1">
        <f t="shared" si="293"/>
        <v>45538</v>
      </c>
      <c r="G3716" s="1" t="s">
        <v>770</v>
      </c>
      <c r="H3716" s="2">
        <v>48192</v>
      </c>
      <c r="I3716" t="s">
        <v>38</v>
      </c>
      <c r="J3716">
        <v>5</v>
      </c>
      <c r="K3716">
        <v>55127.37</v>
      </c>
      <c r="L3716" t="s">
        <v>794</v>
      </c>
      <c r="M3716">
        <v>52</v>
      </c>
      <c r="N3716" t="s">
        <v>61</v>
      </c>
      <c r="O3716" s="3" t="s">
        <v>22</v>
      </c>
      <c r="P3716" t="s">
        <v>59</v>
      </c>
      <c r="Q3716" t="s">
        <v>56</v>
      </c>
      <c r="R3716">
        <v>5</v>
      </c>
      <c r="S3716" t="s">
        <v>42</v>
      </c>
      <c r="T3716" s="4">
        <f t="shared" si="294"/>
        <v>275636.85000000003</v>
      </c>
      <c r="U3716" s="4" t="str">
        <f t="shared" si="295"/>
        <v>Good</v>
      </c>
      <c r="V3716" s="4" t="str">
        <f t="shared" si="291"/>
        <v>Excellent</v>
      </c>
      <c r="W3716" s="4"/>
      <c r="X3716" s="4"/>
      <c r="AJ3716" s="4"/>
    </row>
    <row r="3717" spans="1:36">
      <c r="A3717" t="str">
        <f t="shared" si="292"/>
        <v>Anja523716</v>
      </c>
      <c r="B3717">
        <v>3716</v>
      </c>
      <c r="C3717">
        <v>3</v>
      </c>
      <c r="D3717">
        <v>9</v>
      </c>
      <c r="E3717">
        <v>2024</v>
      </c>
      <c r="F3717" s="1">
        <f t="shared" si="293"/>
        <v>45538</v>
      </c>
      <c r="G3717" s="1" t="s">
        <v>770</v>
      </c>
      <c r="H3717" s="2">
        <v>48193</v>
      </c>
      <c r="I3717" t="s">
        <v>19</v>
      </c>
      <c r="J3717">
        <v>4</v>
      </c>
      <c r="K3717">
        <v>14747.76</v>
      </c>
      <c r="L3717" t="s">
        <v>121</v>
      </c>
      <c r="M3717">
        <v>52</v>
      </c>
      <c r="N3717" t="s">
        <v>61</v>
      </c>
      <c r="O3717" s="3" t="s">
        <v>55</v>
      </c>
      <c r="P3717" t="s">
        <v>132</v>
      </c>
      <c r="Q3717" t="s">
        <v>30</v>
      </c>
      <c r="R3717">
        <v>2</v>
      </c>
      <c r="S3717" t="s">
        <v>25</v>
      </c>
      <c r="T3717" s="4">
        <f t="shared" si="294"/>
        <v>58991.040000000001</v>
      </c>
      <c r="U3717" s="4" t="str">
        <f t="shared" si="295"/>
        <v>Average</v>
      </c>
      <c r="V3717" s="4" t="str">
        <f t="shared" si="291"/>
        <v>Average</v>
      </c>
      <c r="W3717" s="4"/>
      <c r="X3717" s="4"/>
      <c r="AJ3717" s="4"/>
    </row>
    <row r="3718" spans="1:36">
      <c r="A3718" t="str">
        <f t="shared" si="292"/>
        <v>Pooj543717</v>
      </c>
      <c r="B3718">
        <v>3717</v>
      </c>
      <c r="C3718">
        <v>4</v>
      </c>
      <c r="D3718">
        <v>9</v>
      </c>
      <c r="E3718">
        <v>2024</v>
      </c>
      <c r="F3718" s="1">
        <f t="shared" si="293"/>
        <v>45539</v>
      </c>
      <c r="G3718" s="1" t="s">
        <v>770</v>
      </c>
      <c r="H3718" s="2">
        <v>48194</v>
      </c>
      <c r="I3718" t="s">
        <v>26</v>
      </c>
      <c r="J3718">
        <v>3</v>
      </c>
      <c r="K3718">
        <v>49388.29</v>
      </c>
      <c r="L3718" t="s">
        <v>101</v>
      </c>
      <c r="M3718">
        <v>54</v>
      </c>
      <c r="N3718" t="s">
        <v>61</v>
      </c>
      <c r="O3718" s="3" t="s">
        <v>22</v>
      </c>
      <c r="P3718" t="s">
        <v>45</v>
      </c>
      <c r="Q3718" t="s">
        <v>56</v>
      </c>
      <c r="R3718">
        <v>5</v>
      </c>
      <c r="S3718" t="s">
        <v>67</v>
      </c>
      <c r="T3718" s="4">
        <f t="shared" si="294"/>
        <v>148164.87</v>
      </c>
      <c r="U3718" s="4" t="str">
        <f t="shared" si="295"/>
        <v>Good</v>
      </c>
      <c r="V3718" s="4" t="str">
        <f t="shared" si="291"/>
        <v>Good</v>
      </c>
      <c r="W3718" s="4"/>
      <c r="X3718" s="4"/>
      <c r="AJ3718" s="4"/>
    </row>
    <row r="3719" spans="1:36">
      <c r="A3719" t="str">
        <f t="shared" si="292"/>
        <v>Meen373718</v>
      </c>
      <c r="B3719">
        <v>3718</v>
      </c>
      <c r="C3719">
        <v>4</v>
      </c>
      <c r="D3719">
        <v>9</v>
      </c>
      <c r="E3719">
        <v>2024</v>
      </c>
      <c r="F3719" s="1">
        <f t="shared" si="293"/>
        <v>45539</v>
      </c>
      <c r="G3719" s="1" t="s">
        <v>770</v>
      </c>
      <c r="H3719" s="2">
        <v>48195</v>
      </c>
      <c r="I3719" t="s">
        <v>38</v>
      </c>
      <c r="J3719">
        <v>5</v>
      </c>
      <c r="K3719">
        <v>11107.43</v>
      </c>
      <c r="L3719" t="s">
        <v>633</v>
      </c>
      <c r="M3719">
        <v>37</v>
      </c>
      <c r="N3719" t="s">
        <v>21</v>
      </c>
      <c r="O3719" s="3" t="s">
        <v>28</v>
      </c>
      <c r="P3719" t="s">
        <v>114</v>
      </c>
      <c r="Q3719" t="s">
        <v>30</v>
      </c>
      <c r="R3719">
        <v>3</v>
      </c>
      <c r="S3719" t="s">
        <v>42</v>
      </c>
      <c r="T3719" s="4">
        <f t="shared" si="294"/>
        <v>55537.15</v>
      </c>
      <c r="U3719" s="4" t="str">
        <f t="shared" si="295"/>
        <v>Average</v>
      </c>
      <c r="V3719" s="4" t="str">
        <f t="shared" si="291"/>
        <v>Average</v>
      </c>
      <c r="W3719" s="4"/>
      <c r="X3719" s="4"/>
      <c r="AJ3719" s="4"/>
    </row>
    <row r="3720" spans="1:36">
      <c r="A3720" t="str">
        <f t="shared" si="292"/>
        <v>Ayes303719</v>
      </c>
      <c r="B3720">
        <v>3719</v>
      </c>
      <c r="C3720">
        <v>4</v>
      </c>
      <c r="D3720">
        <v>9</v>
      </c>
      <c r="E3720">
        <v>2024</v>
      </c>
      <c r="F3720" s="1">
        <f t="shared" si="293"/>
        <v>45539</v>
      </c>
      <c r="G3720" s="1" t="s">
        <v>770</v>
      </c>
      <c r="H3720" s="2">
        <v>48196</v>
      </c>
      <c r="I3720" t="s">
        <v>26</v>
      </c>
      <c r="J3720">
        <v>4</v>
      </c>
      <c r="K3720">
        <v>59913.279999999999</v>
      </c>
      <c r="L3720" t="s">
        <v>1044</v>
      </c>
      <c r="M3720">
        <v>30</v>
      </c>
      <c r="N3720" t="s">
        <v>36</v>
      </c>
      <c r="O3720" s="3" t="s">
        <v>55</v>
      </c>
      <c r="P3720" t="s">
        <v>93</v>
      </c>
      <c r="Q3720" t="s">
        <v>24</v>
      </c>
      <c r="R3720">
        <v>2</v>
      </c>
      <c r="S3720" t="s">
        <v>31</v>
      </c>
      <c r="T3720" s="4">
        <f t="shared" si="294"/>
        <v>239653.12</v>
      </c>
      <c r="U3720" s="4" t="str">
        <f t="shared" si="295"/>
        <v>Average</v>
      </c>
      <c r="V3720" s="4" t="str">
        <f t="shared" si="291"/>
        <v>Excellent</v>
      </c>
      <c r="W3720" s="4"/>
      <c r="X3720" s="4"/>
      <c r="AJ3720" s="4"/>
    </row>
    <row r="3721" spans="1:36">
      <c r="A3721" t="str">
        <f t="shared" si="292"/>
        <v>Deep283720</v>
      </c>
      <c r="B3721">
        <v>3720</v>
      </c>
      <c r="C3721">
        <v>5</v>
      </c>
      <c r="D3721">
        <v>9</v>
      </c>
      <c r="E3721">
        <v>2024</v>
      </c>
      <c r="F3721" s="1">
        <f t="shared" si="293"/>
        <v>45540</v>
      </c>
      <c r="G3721" s="1" t="s">
        <v>770</v>
      </c>
      <c r="H3721" s="2">
        <v>48197</v>
      </c>
      <c r="I3721" t="s">
        <v>38</v>
      </c>
      <c r="J3721">
        <v>8</v>
      </c>
      <c r="K3721">
        <v>20481.98</v>
      </c>
      <c r="L3721" t="s">
        <v>767</v>
      </c>
      <c r="M3721">
        <v>28</v>
      </c>
      <c r="N3721" t="s">
        <v>36</v>
      </c>
      <c r="O3721" s="3" t="s">
        <v>22</v>
      </c>
      <c r="P3721" t="s">
        <v>33</v>
      </c>
      <c r="Q3721" t="s">
        <v>56</v>
      </c>
      <c r="R3721">
        <v>5</v>
      </c>
      <c r="S3721" t="s">
        <v>42</v>
      </c>
      <c r="T3721" s="4">
        <f t="shared" si="294"/>
        <v>163855.84</v>
      </c>
      <c r="U3721" s="4" t="str">
        <f t="shared" si="295"/>
        <v>Good</v>
      </c>
      <c r="V3721" s="4" t="str">
        <f t="shared" si="291"/>
        <v>Good</v>
      </c>
      <c r="W3721" s="4"/>
      <c r="X3721" s="4"/>
      <c r="AJ3721" s="4"/>
    </row>
    <row r="3722" spans="1:36">
      <c r="A3722" t="str">
        <f t="shared" si="292"/>
        <v>Deep363721</v>
      </c>
      <c r="B3722">
        <v>3721</v>
      </c>
      <c r="C3722">
        <v>5</v>
      </c>
      <c r="D3722">
        <v>9</v>
      </c>
      <c r="E3722">
        <v>2024</v>
      </c>
      <c r="F3722" s="1">
        <f t="shared" si="293"/>
        <v>45540</v>
      </c>
      <c r="G3722" s="1" t="s">
        <v>770</v>
      </c>
      <c r="H3722" s="2">
        <v>48198</v>
      </c>
      <c r="I3722" t="s">
        <v>49</v>
      </c>
      <c r="J3722">
        <v>4</v>
      </c>
      <c r="K3722">
        <v>40929.85</v>
      </c>
      <c r="L3722" t="s">
        <v>1027</v>
      </c>
      <c r="M3722">
        <v>36</v>
      </c>
      <c r="N3722" t="s">
        <v>21</v>
      </c>
      <c r="O3722" s="3" t="s">
        <v>22</v>
      </c>
      <c r="P3722" t="s">
        <v>29</v>
      </c>
      <c r="Q3722" t="s">
        <v>24</v>
      </c>
      <c r="R3722">
        <v>5</v>
      </c>
      <c r="S3722" t="s">
        <v>52</v>
      </c>
      <c r="T3722" s="4">
        <f t="shared" si="294"/>
        <v>163719.4</v>
      </c>
      <c r="U3722" s="4" t="str">
        <f t="shared" si="295"/>
        <v>Good</v>
      </c>
      <c r="V3722" s="4" t="str">
        <f t="shared" si="291"/>
        <v>Good</v>
      </c>
      <c r="W3722" s="4"/>
      <c r="X3722" s="4"/>
      <c r="AJ3722" s="4"/>
    </row>
    <row r="3723" spans="1:36">
      <c r="A3723" t="str">
        <f t="shared" si="292"/>
        <v>Vive453722</v>
      </c>
      <c r="B3723">
        <v>3722</v>
      </c>
      <c r="C3723">
        <v>5</v>
      </c>
      <c r="D3723">
        <v>9</v>
      </c>
      <c r="E3723">
        <v>2024</v>
      </c>
      <c r="F3723" s="1">
        <f t="shared" si="293"/>
        <v>45540</v>
      </c>
      <c r="G3723" s="1" t="s">
        <v>770</v>
      </c>
      <c r="H3723" s="2">
        <v>48199</v>
      </c>
      <c r="I3723" t="s">
        <v>19</v>
      </c>
      <c r="J3723">
        <v>8</v>
      </c>
      <c r="K3723">
        <v>25689.57</v>
      </c>
      <c r="L3723" t="s">
        <v>585</v>
      </c>
      <c r="M3723">
        <v>45</v>
      </c>
      <c r="N3723" t="s">
        <v>21</v>
      </c>
      <c r="O3723" s="3" t="s">
        <v>28</v>
      </c>
      <c r="P3723" t="s">
        <v>33</v>
      </c>
      <c r="Q3723" t="s">
        <v>56</v>
      </c>
      <c r="R3723">
        <v>3</v>
      </c>
      <c r="S3723" t="s">
        <v>25</v>
      </c>
      <c r="T3723" s="4">
        <f t="shared" si="294"/>
        <v>205516.56</v>
      </c>
      <c r="U3723" s="4" t="str">
        <f t="shared" si="295"/>
        <v>Average</v>
      </c>
      <c r="V3723" s="4" t="str">
        <f t="shared" si="291"/>
        <v>Excellent</v>
      </c>
      <c r="W3723" s="4"/>
      <c r="X3723" s="4"/>
      <c r="AJ3723" s="4"/>
    </row>
    <row r="3724" spans="1:36">
      <c r="A3724" t="str">
        <f t="shared" si="292"/>
        <v>Raje553723</v>
      </c>
      <c r="B3724">
        <v>3723</v>
      </c>
      <c r="C3724">
        <v>6</v>
      </c>
      <c r="D3724">
        <v>9</v>
      </c>
      <c r="E3724">
        <v>2024</v>
      </c>
      <c r="F3724" s="1">
        <f t="shared" si="293"/>
        <v>45541</v>
      </c>
      <c r="G3724" s="1" t="s">
        <v>770</v>
      </c>
      <c r="H3724" s="2">
        <v>48200</v>
      </c>
      <c r="I3724" t="s">
        <v>43</v>
      </c>
      <c r="J3724">
        <v>6</v>
      </c>
      <c r="K3724">
        <v>53358.83</v>
      </c>
      <c r="L3724" t="s">
        <v>784</v>
      </c>
      <c r="M3724">
        <v>55</v>
      </c>
      <c r="N3724" t="s">
        <v>61</v>
      </c>
      <c r="O3724" s="3" t="s">
        <v>22</v>
      </c>
      <c r="P3724" t="s">
        <v>29</v>
      </c>
      <c r="Q3724" t="s">
        <v>24</v>
      </c>
      <c r="R3724">
        <v>4</v>
      </c>
      <c r="S3724" t="s">
        <v>95</v>
      </c>
      <c r="T3724" s="4">
        <f t="shared" si="294"/>
        <v>320152.98</v>
      </c>
      <c r="U3724" s="4" t="str">
        <f t="shared" si="295"/>
        <v>Good</v>
      </c>
      <c r="V3724" s="4" t="str">
        <f t="shared" si="291"/>
        <v>Excellent</v>
      </c>
      <c r="W3724" s="4"/>
      <c r="X3724" s="4"/>
      <c r="AJ3724" s="4"/>
    </row>
    <row r="3725" spans="1:36">
      <c r="A3725" t="str">
        <f t="shared" si="292"/>
        <v>Hari213724</v>
      </c>
      <c r="B3725">
        <v>3724</v>
      </c>
      <c r="C3725">
        <v>6</v>
      </c>
      <c r="D3725">
        <v>9</v>
      </c>
      <c r="E3725">
        <v>2024</v>
      </c>
      <c r="F3725" s="1">
        <f t="shared" si="293"/>
        <v>45541</v>
      </c>
      <c r="G3725" s="1" t="s">
        <v>770</v>
      </c>
      <c r="H3725" s="2">
        <v>48201</v>
      </c>
      <c r="I3725" t="s">
        <v>38</v>
      </c>
      <c r="J3725">
        <v>5</v>
      </c>
      <c r="K3725">
        <v>29281.07</v>
      </c>
      <c r="L3725" t="s">
        <v>691</v>
      </c>
      <c r="M3725">
        <v>21</v>
      </c>
      <c r="N3725" t="s">
        <v>36</v>
      </c>
      <c r="O3725" s="3" t="s">
        <v>22</v>
      </c>
      <c r="P3725" t="s">
        <v>40</v>
      </c>
      <c r="Q3725" t="s">
        <v>30</v>
      </c>
      <c r="R3725">
        <v>5</v>
      </c>
      <c r="S3725" t="s">
        <v>42</v>
      </c>
      <c r="T3725" s="4">
        <f t="shared" si="294"/>
        <v>146405.35</v>
      </c>
      <c r="U3725" s="4" t="str">
        <f t="shared" si="295"/>
        <v>Good</v>
      </c>
      <c r="V3725" s="4" t="str">
        <f t="shared" si="291"/>
        <v>Good</v>
      </c>
      <c r="W3725" s="4"/>
      <c r="X3725" s="4"/>
      <c r="AJ3725" s="4"/>
    </row>
    <row r="3726" spans="1:36">
      <c r="A3726" t="str">
        <f t="shared" si="292"/>
        <v>Mala543725</v>
      </c>
      <c r="B3726">
        <v>3725</v>
      </c>
      <c r="C3726">
        <v>6</v>
      </c>
      <c r="D3726">
        <v>9</v>
      </c>
      <c r="E3726">
        <v>2024</v>
      </c>
      <c r="F3726" s="1">
        <f t="shared" si="293"/>
        <v>45541</v>
      </c>
      <c r="G3726" s="1" t="s">
        <v>770</v>
      </c>
      <c r="H3726" s="2">
        <v>48202</v>
      </c>
      <c r="I3726" t="s">
        <v>38</v>
      </c>
      <c r="J3726">
        <v>4</v>
      </c>
      <c r="K3726">
        <v>53476.55</v>
      </c>
      <c r="L3726" t="s">
        <v>206</v>
      </c>
      <c r="M3726">
        <v>54</v>
      </c>
      <c r="N3726" t="s">
        <v>61</v>
      </c>
      <c r="O3726" s="3" t="s">
        <v>28</v>
      </c>
      <c r="P3726" t="s">
        <v>29</v>
      </c>
      <c r="Q3726" t="s">
        <v>24</v>
      </c>
      <c r="R3726">
        <v>3</v>
      </c>
      <c r="S3726" t="s">
        <v>42</v>
      </c>
      <c r="T3726" s="4">
        <f t="shared" si="294"/>
        <v>213906.2</v>
      </c>
      <c r="U3726" s="4" t="str">
        <f t="shared" si="295"/>
        <v>Average</v>
      </c>
      <c r="V3726" s="4" t="str">
        <f t="shared" si="291"/>
        <v>Excellent</v>
      </c>
      <c r="W3726" s="4"/>
      <c r="X3726" s="4"/>
      <c r="AJ3726" s="4"/>
    </row>
    <row r="3727" spans="1:36">
      <c r="A3727" t="str">
        <f t="shared" si="292"/>
        <v>Amit363726</v>
      </c>
      <c r="B3727">
        <v>3726</v>
      </c>
      <c r="C3727">
        <v>7</v>
      </c>
      <c r="D3727">
        <v>9</v>
      </c>
      <c r="E3727">
        <v>2024</v>
      </c>
      <c r="F3727" s="1">
        <f t="shared" si="293"/>
        <v>45542</v>
      </c>
      <c r="G3727" s="1" t="s">
        <v>770</v>
      </c>
      <c r="H3727" s="2">
        <v>48203</v>
      </c>
      <c r="I3727" t="s">
        <v>26</v>
      </c>
      <c r="J3727">
        <v>4</v>
      </c>
      <c r="K3727">
        <v>27092.27</v>
      </c>
      <c r="L3727" t="s">
        <v>871</v>
      </c>
      <c r="M3727">
        <v>36</v>
      </c>
      <c r="N3727" t="s">
        <v>21</v>
      </c>
      <c r="O3727" s="3" t="s">
        <v>22</v>
      </c>
      <c r="P3727" t="s">
        <v>29</v>
      </c>
      <c r="Q3727" t="s">
        <v>24</v>
      </c>
      <c r="R3727">
        <v>5</v>
      </c>
      <c r="S3727" t="s">
        <v>67</v>
      </c>
      <c r="T3727" s="4">
        <f t="shared" si="294"/>
        <v>108369.08</v>
      </c>
      <c r="U3727" s="4" t="str">
        <f t="shared" si="295"/>
        <v>Good</v>
      </c>
      <c r="V3727" s="4" t="str">
        <f t="shared" si="291"/>
        <v>Good</v>
      </c>
      <c r="W3727" s="4"/>
      <c r="X3727" s="4"/>
      <c r="AJ3727" s="4"/>
    </row>
    <row r="3728" spans="1:36">
      <c r="A3728" t="str">
        <f t="shared" si="292"/>
        <v>Mala543727</v>
      </c>
      <c r="B3728">
        <v>3727</v>
      </c>
      <c r="C3728">
        <v>7</v>
      </c>
      <c r="D3728">
        <v>9</v>
      </c>
      <c r="E3728">
        <v>2024</v>
      </c>
      <c r="F3728" s="1">
        <f t="shared" si="293"/>
        <v>45542</v>
      </c>
      <c r="G3728" s="1" t="s">
        <v>770</v>
      </c>
      <c r="H3728" s="2">
        <v>48204</v>
      </c>
      <c r="I3728" t="s">
        <v>49</v>
      </c>
      <c r="J3728">
        <v>4</v>
      </c>
      <c r="K3728">
        <v>55148.39</v>
      </c>
      <c r="L3728" t="s">
        <v>794</v>
      </c>
      <c r="M3728">
        <v>54</v>
      </c>
      <c r="N3728" t="s">
        <v>61</v>
      </c>
      <c r="O3728" s="3" t="s">
        <v>22</v>
      </c>
      <c r="P3728" t="s">
        <v>40</v>
      </c>
      <c r="Q3728" t="s">
        <v>30</v>
      </c>
      <c r="R3728">
        <v>5</v>
      </c>
      <c r="S3728" t="s">
        <v>88</v>
      </c>
      <c r="T3728" s="4">
        <f t="shared" si="294"/>
        <v>220593.56</v>
      </c>
      <c r="U3728" s="4" t="str">
        <f t="shared" si="295"/>
        <v>Good</v>
      </c>
      <c r="V3728" s="4" t="str">
        <f t="shared" si="291"/>
        <v>Excellent</v>
      </c>
      <c r="W3728" s="4"/>
      <c r="X3728" s="4"/>
      <c r="AJ3728" s="4"/>
    </row>
    <row r="3729" spans="1:36">
      <c r="A3729" t="str">
        <f t="shared" si="292"/>
        <v>Ayes313728</v>
      </c>
      <c r="B3729">
        <v>3728</v>
      </c>
      <c r="C3729">
        <v>7</v>
      </c>
      <c r="D3729">
        <v>9</v>
      </c>
      <c r="E3729">
        <v>2024</v>
      </c>
      <c r="F3729" s="1">
        <f t="shared" si="293"/>
        <v>45542</v>
      </c>
      <c r="G3729" s="1" t="s">
        <v>770</v>
      </c>
      <c r="H3729" s="2">
        <v>48205</v>
      </c>
      <c r="I3729" t="s">
        <v>26</v>
      </c>
      <c r="J3729">
        <v>9</v>
      </c>
      <c r="K3729">
        <v>11836.33</v>
      </c>
      <c r="L3729" t="s">
        <v>1044</v>
      </c>
      <c r="M3729">
        <v>31</v>
      </c>
      <c r="N3729" t="s">
        <v>21</v>
      </c>
      <c r="O3729" s="3" t="s">
        <v>22</v>
      </c>
      <c r="P3729" t="s">
        <v>114</v>
      </c>
      <c r="Q3729" t="s">
        <v>56</v>
      </c>
      <c r="R3729">
        <v>5</v>
      </c>
      <c r="S3729" t="s">
        <v>34</v>
      </c>
      <c r="T3729" s="4">
        <f t="shared" si="294"/>
        <v>106526.97</v>
      </c>
      <c r="U3729" s="4" t="str">
        <f t="shared" si="295"/>
        <v>Good</v>
      </c>
      <c r="V3729" s="4" t="str">
        <f t="shared" si="291"/>
        <v>Good</v>
      </c>
      <c r="W3729" s="4"/>
      <c r="X3729" s="4"/>
      <c r="AJ3729" s="4"/>
    </row>
    <row r="3730" spans="1:36">
      <c r="A3730" t="str">
        <f t="shared" si="292"/>
        <v>Mala483729</v>
      </c>
      <c r="B3730">
        <v>3729</v>
      </c>
      <c r="C3730">
        <v>7</v>
      </c>
      <c r="D3730">
        <v>9</v>
      </c>
      <c r="E3730">
        <v>2024</v>
      </c>
      <c r="F3730" s="1">
        <f t="shared" si="293"/>
        <v>45542</v>
      </c>
      <c r="G3730" s="1" t="s">
        <v>770</v>
      </c>
      <c r="H3730" s="2">
        <v>48206</v>
      </c>
      <c r="I3730" t="s">
        <v>26</v>
      </c>
      <c r="J3730">
        <v>4</v>
      </c>
      <c r="K3730">
        <v>26998.68</v>
      </c>
      <c r="L3730" t="s">
        <v>923</v>
      </c>
      <c r="M3730">
        <v>48</v>
      </c>
      <c r="N3730" t="s">
        <v>61</v>
      </c>
      <c r="O3730" s="3" t="s">
        <v>22</v>
      </c>
      <c r="P3730" t="s">
        <v>150</v>
      </c>
      <c r="Q3730" t="s">
        <v>24</v>
      </c>
      <c r="R3730">
        <v>4</v>
      </c>
      <c r="S3730" t="s">
        <v>67</v>
      </c>
      <c r="T3730" s="4">
        <f t="shared" si="294"/>
        <v>107994.72</v>
      </c>
      <c r="U3730" s="4" t="str">
        <f t="shared" si="295"/>
        <v>Good</v>
      </c>
      <c r="V3730" s="4" t="str">
        <f t="shared" si="291"/>
        <v>Good</v>
      </c>
      <c r="W3730" s="4"/>
      <c r="X3730" s="4"/>
      <c r="AJ3730" s="4"/>
    </row>
    <row r="3731" spans="1:36">
      <c r="A3731" t="str">
        <f t="shared" si="292"/>
        <v>Jyot453730</v>
      </c>
      <c r="B3731">
        <v>3730</v>
      </c>
      <c r="C3731">
        <v>8</v>
      </c>
      <c r="D3731">
        <v>9</v>
      </c>
      <c r="E3731">
        <v>2024</v>
      </c>
      <c r="F3731" s="1">
        <f t="shared" si="293"/>
        <v>45543</v>
      </c>
      <c r="G3731" s="1" t="s">
        <v>770</v>
      </c>
      <c r="H3731" s="2">
        <v>48207</v>
      </c>
      <c r="I3731" t="s">
        <v>49</v>
      </c>
      <c r="J3731">
        <v>9</v>
      </c>
      <c r="K3731">
        <v>39918.01</v>
      </c>
      <c r="L3731" t="s">
        <v>281</v>
      </c>
      <c r="M3731">
        <v>45</v>
      </c>
      <c r="N3731" t="s">
        <v>21</v>
      </c>
      <c r="O3731" s="3" t="s">
        <v>22</v>
      </c>
      <c r="P3731" t="s">
        <v>64</v>
      </c>
      <c r="Q3731" t="s">
        <v>41</v>
      </c>
      <c r="R3731">
        <v>4</v>
      </c>
      <c r="S3731" t="s">
        <v>102</v>
      </c>
      <c r="T3731" s="4">
        <f t="shared" si="294"/>
        <v>359262.09</v>
      </c>
      <c r="U3731" s="4" t="str">
        <f t="shared" si="295"/>
        <v>Good</v>
      </c>
      <c r="V3731" s="4" t="str">
        <f t="shared" si="291"/>
        <v>Excellent</v>
      </c>
      <c r="W3731" s="4"/>
      <c r="X3731" s="4"/>
      <c r="AJ3731" s="4"/>
    </row>
    <row r="3732" spans="1:36">
      <c r="A3732" t="str">
        <f t="shared" si="292"/>
        <v>Suni533731</v>
      </c>
      <c r="B3732">
        <v>3731</v>
      </c>
      <c r="C3732">
        <v>8</v>
      </c>
      <c r="D3732">
        <v>9</v>
      </c>
      <c r="E3732">
        <v>2024</v>
      </c>
      <c r="F3732" s="1">
        <f t="shared" si="293"/>
        <v>45543</v>
      </c>
      <c r="G3732" s="1" t="s">
        <v>770</v>
      </c>
      <c r="H3732" s="2">
        <v>48208</v>
      </c>
      <c r="I3732" t="s">
        <v>43</v>
      </c>
      <c r="J3732">
        <v>6</v>
      </c>
      <c r="K3732">
        <v>12703.57</v>
      </c>
      <c r="L3732" t="s">
        <v>884</v>
      </c>
      <c r="M3732">
        <v>53</v>
      </c>
      <c r="N3732" t="s">
        <v>61</v>
      </c>
      <c r="O3732" s="3" t="s">
        <v>22</v>
      </c>
      <c r="P3732" t="s">
        <v>33</v>
      </c>
      <c r="Q3732" t="s">
        <v>41</v>
      </c>
      <c r="R3732">
        <v>5</v>
      </c>
      <c r="S3732" t="s">
        <v>95</v>
      </c>
      <c r="T3732" s="4">
        <f t="shared" si="294"/>
        <v>76221.42</v>
      </c>
      <c r="U3732" s="4" t="str">
        <f t="shared" si="295"/>
        <v>Good</v>
      </c>
      <c r="V3732" s="4" t="str">
        <f t="shared" si="291"/>
        <v>Average</v>
      </c>
      <c r="W3732" s="4"/>
      <c r="X3732" s="4"/>
      <c r="AJ3732" s="4"/>
    </row>
    <row r="3733" spans="1:36">
      <c r="A3733" t="str">
        <f t="shared" si="292"/>
        <v>Sach553732</v>
      </c>
      <c r="B3733">
        <v>3732</v>
      </c>
      <c r="C3733">
        <v>8</v>
      </c>
      <c r="D3733">
        <v>9</v>
      </c>
      <c r="E3733">
        <v>2024</v>
      </c>
      <c r="F3733" s="1">
        <f t="shared" si="293"/>
        <v>45543</v>
      </c>
      <c r="G3733" s="1" t="s">
        <v>770</v>
      </c>
      <c r="H3733" s="2">
        <v>48209</v>
      </c>
      <c r="I3733" t="s">
        <v>26</v>
      </c>
      <c r="J3733">
        <v>7</v>
      </c>
      <c r="K3733">
        <v>21162.04</v>
      </c>
      <c r="L3733" t="s">
        <v>183</v>
      </c>
      <c r="M3733">
        <v>55</v>
      </c>
      <c r="N3733" t="s">
        <v>61</v>
      </c>
      <c r="O3733" s="3" t="s">
        <v>22</v>
      </c>
      <c r="P3733" t="s">
        <v>29</v>
      </c>
      <c r="Q3733" t="s">
        <v>24</v>
      </c>
      <c r="R3733">
        <v>5</v>
      </c>
      <c r="S3733" t="s">
        <v>31</v>
      </c>
      <c r="T3733" s="4">
        <f t="shared" si="294"/>
        <v>148134.28</v>
      </c>
      <c r="U3733" s="4" t="str">
        <f t="shared" si="295"/>
        <v>Good</v>
      </c>
      <c r="V3733" s="4" t="str">
        <f t="shared" si="291"/>
        <v>Good</v>
      </c>
      <c r="W3733" s="4"/>
      <c r="X3733" s="4"/>
      <c r="AJ3733" s="4"/>
    </row>
    <row r="3734" spans="1:36">
      <c r="A3734" t="str">
        <f t="shared" si="292"/>
        <v>Lali363733</v>
      </c>
      <c r="B3734">
        <v>3733</v>
      </c>
      <c r="C3734">
        <v>9</v>
      </c>
      <c r="D3734">
        <v>9</v>
      </c>
      <c r="E3734">
        <v>2024</v>
      </c>
      <c r="F3734" s="1">
        <f t="shared" si="293"/>
        <v>45544</v>
      </c>
      <c r="G3734" s="1" t="s">
        <v>770</v>
      </c>
      <c r="H3734" s="2">
        <v>48210</v>
      </c>
      <c r="I3734" t="s">
        <v>26</v>
      </c>
      <c r="J3734">
        <v>3</v>
      </c>
      <c r="K3734">
        <v>66072.22</v>
      </c>
      <c r="L3734" t="s">
        <v>583</v>
      </c>
      <c r="M3734">
        <v>36</v>
      </c>
      <c r="N3734" t="s">
        <v>21</v>
      </c>
      <c r="O3734" s="3" t="s">
        <v>22</v>
      </c>
      <c r="P3734" t="s">
        <v>114</v>
      </c>
      <c r="Q3734" t="s">
        <v>24</v>
      </c>
      <c r="R3734">
        <v>4</v>
      </c>
      <c r="S3734" t="s">
        <v>31</v>
      </c>
      <c r="T3734" s="4">
        <f t="shared" si="294"/>
        <v>198216.66</v>
      </c>
      <c r="U3734" s="4" t="str">
        <f t="shared" si="295"/>
        <v>Good</v>
      </c>
      <c r="V3734" s="4" t="str">
        <f t="shared" si="291"/>
        <v>Good</v>
      </c>
      <c r="W3734" s="4"/>
      <c r="X3734" s="4"/>
      <c r="AJ3734" s="4"/>
    </row>
    <row r="3735" spans="1:36">
      <c r="A3735" t="str">
        <f t="shared" si="292"/>
        <v>Radh593734</v>
      </c>
      <c r="B3735">
        <v>3734</v>
      </c>
      <c r="C3735">
        <v>9</v>
      </c>
      <c r="D3735">
        <v>9</v>
      </c>
      <c r="E3735">
        <v>2024</v>
      </c>
      <c r="F3735" s="1">
        <f t="shared" si="293"/>
        <v>45544</v>
      </c>
      <c r="G3735" s="1" t="s">
        <v>770</v>
      </c>
      <c r="H3735" s="2">
        <v>48211</v>
      </c>
      <c r="I3735" t="s">
        <v>38</v>
      </c>
      <c r="J3735">
        <v>8</v>
      </c>
      <c r="K3735">
        <v>68610.06</v>
      </c>
      <c r="L3735" t="s">
        <v>328</v>
      </c>
      <c r="M3735">
        <v>59</v>
      </c>
      <c r="N3735" t="s">
        <v>61</v>
      </c>
      <c r="O3735" s="3" t="s">
        <v>28</v>
      </c>
      <c r="P3735" t="s">
        <v>90</v>
      </c>
      <c r="Q3735" t="s">
        <v>24</v>
      </c>
      <c r="R3735">
        <v>3</v>
      </c>
      <c r="S3735" t="s">
        <v>99</v>
      </c>
      <c r="T3735" s="4">
        <f t="shared" si="294"/>
        <v>548880.48</v>
      </c>
      <c r="U3735" s="4" t="str">
        <f t="shared" si="295"/>
        <v>Average</v>
      </c>
      <c r="V3735" s="4" t="str">
        <f t="shared" si="291"/>
        <v>Excellent</v>
      </c>
      <c r="W3735" s="4"/>
      <c r="X3735" s="4"/>
      <c r="AJ3735" s="4"/>
    </row>
    <row r="3736" spans="1:36">
      <c r="A3736" t="str">
        <f t="shared" si="292"/>
        <v>Priy183735</v>
      </c>
      <c r="B3736">
        <v>3735</v>
      </c>
      <c r="C3736">
        <v>9</v>
      </c>
      <c r="D3736">
        <v>9</v>
      </c>
      <c r="E3736">
        <v>2024</v>
      </c>
      <c r="F3736" s="1">
        <f t="shared" si="293"/>
        <v>45544</v>
      </c>
      <c r="G3736" s="1" t="s">
        <v>770</v>
      </c>
      <c r="H3736" s="2">
        <v>48212</v>
      </c>
      <c r="I3736" t="s">
        <v>49</v>
      </c>
      <c r="J3736">
        <v>3</v>
      </c>
      <c r="K3736">
        <v>54385</v>
      </c>
      <c r="L3736" t="s">
        <v>107</v>
      </c>
      <c r="M3736">
        <v>18</v>
      </c>
      <c r="N3736" t="s">
        <v>36</v>
      </c>
      <c r="O3736" s="3" t="s">
        <v>22</v>
      </c>
      <c r="P3736" t="s">
        <v>33</v>
      </c>
      <c r="Q3736" t="s">
        <v>56</v>
      </c>
      <c r="R3736">
        <v>5</v>
      </c>
      <c r="S3736" t="s">
        <v>102</v>
      </c>
      <c r="T3736" s="4">
        <f t="shared" si="294"/>
        <v>163155</v>
      </c>
      <c r="U3736" s="4" t="str">
        <f t="shared" si="295"/>
        <v>Good</v>
      </c>
      <c r="V3736" s="4" t="str">
        <f t="shared" si="291"/>
        <v>Good</v>
      </c>
      <c r="W3736" s="4"/>
      <c r="X3736" s="4"/>
      <c r="AJ3736" s="4"/>
    </row>
    <row r="3737" spans="1:36">
      <c r="A3737" t="str">
        <f t="shared" si="292"/>
        <v>Hari403736</v>
      </c>
      <c r="B3737">
        <v>3736</v>
      </c>
      <c r="C3737">
        <v>10</v>
      </c>
      <c r="D3737">
        <v>9</v>
      </c>
      <c r="E3737">
        <v>2024</v>
      </c>
      <c r="F3737" s="1">
        <f t="shared" si="293"/>
        <v>45545</v>
      </c>
      <c r="G3737" s="1" t="s">
        <v>770</v>
      </c>
      <c r="H3737" s="2">
        <v>48213</v>
      </c>
      <c r="I3737" t="s">
        <v>19</v>
      </c>
      <c r="J3737">
        <v>1</v>
      </c>
      <c r="K3737">
        <v>25132</v>
      </c>
      <c r="L3737" t="s">
        <v>73</v>
      </c>
      <c r="M3737">
        <v>40</v>
      </c>
      <c r="N3737" t="s">
        <v>21</v>
      </c>
      <c r="O3737" s="3" t="s">
        <v>28</v>
      </c>
      <c r="P3737" t="s">
        <v>29</v>
      </c>
      <c r="Q3737" t="s">
        <v>30</v>
      </c>
      <c r="R3737">
        <v>3</v>
      </c>
      <c r="S3737" t="s">
        <v>37</v>
      </c>
      <c r="T3737" s="4">
        <f t="shared" si="294"/>
        <v>25132</v>
      </c>
      <c r="U3737" s="4" t="str">
        <f t="shared" si="295"/>
        <v>Average</v>
      </c>
      <c r="V3737" s="4" t="str">
        <f t="shared" si="291"/>
        <v>Low</v>
      </c>
      <c r="W3737" s="4"/>
      <c r="X3737" s="4"/>
      <c r="AJ3737" s="4"/>
    </row>
    <row r="3738" spans="1:36">
      <c r="A3738" t="str">
        <f t="shared" si="292"/>
        <v>Lata453737</v>
      </c>
      <c r="B3738">
        <v>3737</v>
      </c>
      <c r="C3738">
        <v>10</v>
      </c>
      <c r="D3738">
        <v>9</v>
      </c>
      <c r="E3738">
        <v>2024</v>
      </c>
      <c r="F3738" s="1">
        <f t="shared" si="293"/>
        <v>45545</v>
      </c>
      <c r="G3738" s="1" t="s">
        <v>770</v>
      </c>
      <c r="H3738" s="2">
        <v>48214</v>
      </c>
      <c r="I3738" t="s">
        <v>43</v>
      </c>
      <c r="J3738">
        <v>5</v>
      </c>
      <c r="K3738">
        <v>25631.05</v>
      </c>
      <c r="L3738" t="s">
        <v>127</v>
      </c>
      <c r="M3738">
        <v>45</v>
      </c>
      <c r="N3738" t="s">
        <v>21</v>
      </c>
      <c r="O3738" s="3" t="s">
        <v>55</v>
      </c>
      <c r="P3738" t="s">
        <v>29</v>
      </c>
      <c r="Q3738" t="s">
        <v>41</v>
      </c>
      <c r="R3738">
        <v>2</v>
      </c>
      <c r="S3738" t="s">
        <v>57</v>
      </c>
      <c r="T3738" s="4">
        <f t="shared" si="294"/>
        <v>128155.25</v>
      </c>
      <c r="U3738" s="4" t="str">
        <f t="shared" si="295"/>
        <v>Average</v>
      </c>
      <c r="V3738" s="4" t="str">
        <f t="shared" si="291"/>
        <v>Good</v>
      </c>
      <c r="W3738" s="4"/>
      <c r="X3738" s="4"/>
      <c r="AJ3738" s="4"/>
    </row>
    <row r="3739" spans="1:36">
      <c r="A3739" t="str">
        <f t="shared" si="292"/>
        <v>Mala213738</v>
      </c>
      <c r="B3739">
        <v>3738</v>
      </c>
      <c r="C3739">
        <v>10</v>
      </c>
      <c r="D3739">
        <v>9</v>
      </c>
      <c r="E3739">
        <v>2024</v>
      </c>
      <c r="F3739" s="1">
        <f t="shared" si="293"/>
        <v>45545</v>
      </c>
      <c r="G3739" s="1" t="s">
        <v>770</v>
      </c>
      <c r="H3739" s="2">
        <v>48215</v>
      </c>
      <c r="I3739" t="s">
        <v>43</v>
      </c>
      <c r="J3739">
        <v>2</v>
      </c>
      <c r="K3739">
        <v>48747.42</v>
      </c>
      <c r="L3739" t="s">
        <v>383</v>
      </c>
      <c r="M3739">
        <v>21</v>
      </c>
      <c r="N3739" t="s">
        <v>36</v>
      </c>
      <c r="O3739" s="3" t="s">
        <v>22</v>
      </c>
      <c r="P3739" t="s">
        <v>150</v>
      </c>
      <c r="Q3739" t="s">
        <v>41</v>
      </c>
      <c r="R3739">
        <v>5</v>
      </c>
      <c r="S3739" t="s">
        <v>95</v>
      </c>
      <c r="T3739" s="4">
        <f t="shared" si="294"/>
        <v>97494.84</v>
      </c>
      <c r="U3739" s="4" t="str">
        <f t="shared" si="295"/>
        <v>Good</v>
      </c>
      <c r="V3739" s="4" t="str">
        <f t="shared" si="291"/>
        <v>Average</v>
      </c>
      <c r="W3739" s="4"/>
      <c r="X3739" s="4"/>
      <c r="AJ3739" s="4"/>
    </row>
    <row r="3740" spans="1:36">
      <c r="A3740" t="str">
        <f t="shared" si="292"/>
        <v>Radh583739</v>
      </c>
      <c r="B3740">
        <v>3739</v>
      </c>
      <c r="C3740">
        <v>11</v>
      </c>
      <c r="D3740">
        <v>9</v>
      </c>
      <c r="E3740">
        <v>2024</v>
      </c>
      <c r="F3740" s="1">
        <f t="shared" si="293"/>
        <v>45546</v>
      </c>
      <c r="G3740" s="1" t="s">
        <v>770</v>
      </c>
      <c r="H3740" s="2">
        <v>48216</v>
      </c>
      <c r="I3740" t="s">
        <v>49</v>
      </c>
      <c r="J3740">
        <v>6</v>
      </c>
      <c r="K3740">
        <v>17055.98</v>
      </c>
      <c r="L3740" t="s">
        <v>328</v>
      </c>
      <c r="M3740">
        <v>58</v>
      </c>
      <c r="N3740" t="s">
        <v>61</v>
      </c>
      <c r="O3740" s="3" t="s">
        <v>22</v>
      </c>
      <c r="P3740" t="s">
        <v>40</v>
      </c>
      <c r="Q3740" t="s">
        <v>56</v>
      </c>
      <c r="R3740">
        <v>4</v>
      </c>
      <c r="S3740" t="s">
        <v>88</v>
      </c>
      <c r="T3740" s="4">
        <f t="shared" si="294"/>
        <v>102335.88</v>
      </c>
      <c r="U3740" s="4" t="str">
        <f t="shared" si="295"/>
        <v>Good</v>
      </c>
      <c r="V3740" s="4" t="str">
        <f t="shared" si="291"/>
        <v>Good</v>
      </c>
      <c r="W3740" s="4"/>
      <c r="X3740" s="4"/>
      <c r="AJ3740" s="4"/>
    </row>
    <row r="3741" spans="1:36">
      <c r="A3741" t="str">
        <f t="shared" si="292"/>
        <v>Rame353740</v>
      </c>
      <c r="B3741">
        <v>3740</v>
      </c>
      <c r="C3741">
        <v>11</v>
      </c>
      <c r="D3741">
        <v>9</v>
      </c>
      <c r="E3741">
        <v>2024</v>
      </c>
      <c r="F3741" s="1">
        <f t="shared" si="293"/>
        <v>45546</v>
      </c>
      <c r="G3741" s="1" t="s">
        <v>770</v>
      </c>
      <c r="H3741" s="2">
        <v>48217</v>
      </c>
      <c r="I3741" t="s">
        <v>38</v>
      </c>
      <c r="J3741">
        <v>9</v>
      </c>
      <c r="K3741">
        <v>66898.559999999998</v>
      </c>
      <c r="L3741" t="s">
        <v>269</v>
      </c>
      <c r="M3741">
        <v>35</v>
      </c>
      <c r="N3741" t="s">
        <v>21</v>
      </c>
      <c r="O3741" s="3" t="s">
        <v>55</v>
      </c>
      <c r="P3741" t="s">
        <v>29</v>
      </c>
      <c r="Q3741" t="s">
        <v>24</v>
      </c>
      <c r="R3741">
        <v>2</v>
      </c>
      <c r="S3741" t="s">
        <v>48</v>
      </c>
      <c r="T3741" s="4">
        <f t="shared" si="294"/>
        <v>602087.04</v>
      </c>
      <c r="U3741" s="4" t="str">
        <f t="shared" si="295"/>
        <v>Average</v>
      </c>
      <c r="V3741" s="4" t="str">
        <f t="shared" si="291"/>
        <v>Excellent</v>
      </c>
      <c r="W3741" s="4"/>
      <c r="X3741" s="4"/>
      <c r="AJ3741" s="4"/>
    </row>
    <row r="3742" spans="1:36">
      <c r="A3742" t="str">
        <f t="shared" si="292"/>
        <v>Arun563741</v>
      </c>
      <c r="B3742">
        <v>3741</v>
      </c>
      <c r="C3742">
        <v>11</v>
      </c>
      <c r="D3742">
        <v>9</v>
      </c>
      <c r="E3742">
        <v>2024</v>
      </c>
      <c r="F3742" s="1">
        <f t="shared" si="293"/>
        <v>45546</v>
      </c>
      <c r="G3742" s="1" t="s">
        <v>770</v>
      </c>
      <c r="H3742" s="2">
        <v>48218</v>
      </c>
      <c r="I3742" t="s">
        <v>38</v>
      </c>
      <c r="J3742">
        <v>1</v>
      </c>
      <c r="K3742">
        <v>23488.77</v>
      </c>
      <c r="L3742" t="s">
        <v>917</v>
      </c>
      <c r="M3742">
        <v>56</v>
      </c>
      <c r="N3742" t="s">
        <v>61</v>
      </c>
      <c r="O3742" s="3" t="s">
        <v>22</v>
      </c>
      <c r="P3742" t="s">
        <v>132</v>
      </c>
      <c r="Q3742" t="s">
        <v>24</v>
      </c>
      <c r="R3742">
        <v>4</v>
      </c>
      <c r="S3742" t="s">
        <v>42</v>
      </c>
      <c r="T3742" s="4">
        <f t="shared" si="294"/>
        <v>23488.77</v>
      </c>
      <c r="U3742" s="4" t="str">
        <f t="shared" si="295"/>
        <v>Good</v>
      </c>
      <c r="V3742" s="4" t="str">
        <f t="shared" si="291"/>
        <v>Low</v>
      </c>
      <c r="W3742" s="4"/>
      <c r="X3742" s="4"/>
      <c r="AJ3742" s="4"/>
    </row>
    <row r="3743" spans="1:36">
      <c r="A3743" t="str">
        <f t="shared" si="292"/>
        <v>Sach423742</v>
      </c>
      <c r="B3743">
        <v>3742</v>
      </c>
      <c r="C3743">
        <v>12</v>
      </c>
      <c r="D3743">
        <v>9</v>
      </c>
      <c r="E3743">
        <v>2024</v>
      </c>
      <c r="F3743" s="1">
        <f t="shared" si="293"/>
        <v>45547</v>
      </c>
      <c r="G3743" s="1" t="s">
        <v>770</v>
      </c>
      <c r="H3743" s="2">
        <v>48219</v>
      </c>
      <c r="I3743" t="s">
        <v>49</v>
      </c>
      <c r="J3743">
        <v>4</v>
      </c>
      <c r="K3743">
        <v>69978.14</v>
      </c>
      <c r="L3743" t="s">
        <v>563</v>
      </c>
      <c r="M3743">
        <v>42</v>
      </c>
      <c r="N3743" t="s">
        <v>21</v>
      </c>
      <c r="O3743" s="3" t="s">
        <v>55</v>
      </c>
      <c r="P3743" t="s">
        <v>132</v>
      </c>
      <c r="Q3743" t="s">
        <v>30</v>
      </c>
      <c r="R3743">
        <v>2</v>
      </c>
      <c r="S3743" t="s">
        <v>88</v>
      </c>
      <c r="T3743" s="4">
        <f t="shared" si="294"/>
        <v>279912.56</v>
      </c>
      <c r="U3743" s="4" t="str">
        <f t="shared" si="295"/>
        <v>Average</v>
      </c>
      <c r="V3743" s="4" t="str">
        <f t="shared" si="291"/>
        <v>Excellent</v>
      </c>
      <c r="W3743" s="4"/>
      <c r="X3743" s="4"/>
      <c r="AJ3743" s="4"/>
    </row>
    <row r="3744" spans="1:36">
      <c r="A3744" t="str">
        <f t="shared" si="292"/>
        <v>Suni353743</v>
      </c>
      <c r="B3744">
        <v>3743</v>
      </c>
      <c r="C3744">
        <v>12</v>
      </c>
      <c r="D3744">
        <v>9</v>
      </c>
      <c r="E3744">
        <v>2024</v>
      </c>
      <c r="F3744" s="1">
        <f t="shared" si="293"/>
        <v>45547</v>
      </c>
      <c r="G3744" s="1" t="s">
        <v>770</v>
      </c>
      <c r="H3744" s="2">
        <v>48220</v>
      </c>
      <c r="I3744" t="s">
        <v>38</v>
      </c>
      <c r="J3744">
        <v>1</v>
      </c>
      <c r="K3744">
        <v>39744.03</v>
      </c>
      <c r="L3744" t="s">
        <v>244</v>
      </c>
      <c r="M3744">
        <v>35</v>
      </c>
      <c r="N3744" t="s">
        <v>21</v>
      </c>
      <c r="O3744" s="3" t="s">
        <v>22</v>
      </c>
      <c r="P3744" t="s">
        <v>33</v>
      </c>
      <c r="Q3744" t="s">
        <v>30</v>
      </c>
      <c r="R3744">
        <v>4</v>
      </c>
      <c r="S3744" t="s">
        <v>42</v>
      </c>
      <c r="T3744" s="4">
        <f t="shared" si="294"/>
        <v>39744.03</v>
      </c>
      <c r="U3744" s="4" t="str">
        <f t="shared" si="295"/>
        <v>Good</v>
      </c>
      <c r="V3744" s="4" t="str">
        <f t="shared" si="291"/>
        <v>Low</v>
      </c>
      <c r="W3744" s="4"/>
      <c r="X3744" s="4"/>
      <c r="AJ3744" s="4"/>
    </row>
    <row r="3745" spans="1:36">
      <c r="A3745" t="str">
        <f t="shared" si="292"/>
        <v>Sach233744</v>
      </c>
      <c r="B3745">
        <v>3744</v>
      </c>
      <c r="C3745">
        <v>12</v>
      </c>
      <c r="D3745">
        <v>9</v>
      </c>
      <c r="E3745">
        <v>2024</v>
      </c>
      <c r="F3745" s="1">
        <f t="shared" si="293"/>
        <v>45547</v>
      </c>
      <c r="G3745" s="1" t="s">
        <v>770</v>
      </c>
      <c r="H3745" s="2">
        <v>48221</v>
      </c>
      <c r="I3745" t="s">
        <v>43</v>
      </c>
      <c r="J3745">
        <v>1</v>
      </c>
      <c r="K3745">
        <v>56285.8</v>
      </c>
      <c r="L3745" t="s">
        <v>877</v>
      </c>
      <c r="M3745">
        <v>23</v>
      </c>
      <c r="N3745" t="s">
        <v>36</v>
      </c>
      <c r="O3745" s="3" t="s">
        <v>22</v>
      </c>
      <c r="P3745" t="s">
        <v>64</v>
      </c>
      <c r="Q3745" t="s">
        <v>41</v>
      </c>
      <c r="R3745">
        <v>5</v>
      </c>
      <c r="S3745" t="s">
        <v>95</v>
      </c>
      <c r="T3745" s="4">
        <f t="shared" si="294"/>
        <v>56285.8</v>
      </c>
      <c r="U3745" s="4" t="str">
        <f t="shared" si="295"/>
        <v>Good</v>
      </c>
      <c r="V3745" s="4" t="str">
        <f t="shared" si="291"/>
        <v>Average</v>
      </c>
      <c r="W3745" s="4"/>
      <c r="X3745" s="4"/>
      <c r="AJ3745" s="4"/>
    </row>
    <row r="3746" spans="1:36">
      <c r="A3746" t="str">
        <f t="shared" si="292"/>
        <v>Vive363745</v>
      </c>
      <c r="B3746">
        <v>3745</v>
      </c>
      <c r="C3746">
        <v>13</v>
      </c>
      <c r="D3746">
        <v>9</v>
      </c>
      <c r="E3746">
        <v>2024</v>
      </c>
      <c r="F3746" s="1">
        <f t="shared" si="293"/>
        <v>45548</v>
      </c>
      <c r="G3746" s="1" t="s">
        <v>770</v>
      </c>
      <c r="H3746" s="2">
        <v>48222</v>
      </c>
      <c r="I3746" t="s">
        <v>43</v>
      </c>
      <c r="J3746">
        <v>8</v>
      </c>
      <c r="K3746">
        <v>10131.049999999999</v>
      </c>
      <c r="L3746" t="s">
        <v>413</v>
      </c>
      <c r="M3746">
        <v>36</v>
      </c>
      <c r="N3746" t="s">
        <v>21</v>
      </c>
      <c r="O3746" s="3" t="s">
        <v>22</v>
      </c>
      <c r="P3746" t="s">
        <v>33</v>
      </c>
      <c r="Q3746" t="s">
        <v>30</v>
      </c>
      <c r="R3746">
        <v>5</v>
      </c>
      <c r="S3746" t="s">
        <v>95</v>
      </c>
      <c r="T3746" s="4">
        <f t="shared" si="294"/>
        <v>81048.399999999994</v>
      </c>
      <c r="U3746" s="4" t="str">
        <f t="shared" si="295"/>
        <v>Good</v>
      </c>
      <c r="V3746" s="4" t="str">
        <f t="shared" si="291"/>
        <v>Average</v>
      </c>
      <c r="W3746" s="4"/>
      <c r="X3746" s="4"/>
      <c r="AJ3746" s="4"/>
    </row>
    <row r="3747" spans="1:36">
      <c r="A3747" t="str">
        <f t="shared" si="292"/>
        <v>Anit293746</v>
      </c>
      <c r="B3747">
        <v>3746</v>
      </c>
      <c r="C3747">
        <v>13</v>
      </c>
      <c r="D3747">
        <v>9</v>
      </c>
      <c r="E3747">
        <v>2024</v>
      </c>
      <c r="F3747" s="1">
        <f t="shared" si="293"/>
        <v>45548</v>
      </c>
      <c r="G3747" s="1" t="s">
        <v>770</v>
      </c>
      <c r="H3747" s="2">
        <v>48223</v>
      </c>
      <c r="I3747" t="s">
        <v>19</v>
      </c>
      <c r="J3747">
        <v>2</v>
      </c>
      <c r="K3747">
        <v>63324.78</v>
      </c>
      <c r="L3747" t="s">
        <v>461</v>
      </c>
      <c r="M3747">
        <v>29</v>
      </c>
      <c r="N3747" t="s">
        <v>36</v>
      </c>
      <c r="O3747" s="3" t="s">
        <v>28</v>
      </c>
      <c r="P3747" t="s">
        <v>29</v>
      </c>
      <c r="Q3747" t="s">
        <v>41</v>
      </c>
      <c r="R3747">
        <v>3</v>
      </c>
      <c r="S3747" t="s">
        <v>25</v>
      </c>
      <c r="T3747" s="4">
        <f t="shared" si="294"/>
        <v>126649.56</v>
      </c>
      <c r="U3747" s="4" t="str">
        <f t="shared" si="295"/>
        <v>Average</v>
      </c>
      <c r="V3747" s="4" t="str">
        <f t="shared" si="291"/>
        <v>Good</v>
      </c>
      <c r="W3747" s="4"/>
      <c r="X3747" s="4"/>
      <c r="AJ3747" s="4"/>
    </row>
    <row r="3748" spans="1:36">
      <c r="A3748" t="str">
        <f t="shared" si="292"/>
        <v>Gita423747</v>
      </c>
      <c r="B3748">
        <v>3747</v>
      </c>
      <c r="C3748">
        <v>13</v>
      </c>
      <c r="D3748">
        <v>9</v>
      </c>
      <c r="E3748">
        <v>2024</v>
      </c>
      <c r="F3748" s="1">
        <f t="shared" si="293"/>
        <v>45548</v>
      </c>
      <c r="G3748" s="1" t="s">
        <v>770</v>
      </c>
      <c r="H3748" s="2">
        <v>48224</v>
      </c>
      <c r="I3748" t="s">
        <v>49</v>
      </c>
      <c r="J3748">
        <v>1</v>
      </c>
      <c r="K3748">
        <v>26200.12</v>
      </c>
      <c r="L3748" t="s">
        <v>397</v>
      </c>
      <c r="M3748">
        <v>42</v>
      </c>
      <c r="N3748" t="s">
        <v>21</v>
      </c>
      <c r="O3748" s="3" t="s">
        <v>55</v>
      </c>
      <c r="P3748" t="s">
        <v>117</v>
      </c>
      <c r="Q3748" t="s">
        <v>56</v>
      </c>
      <c r="R3748">
        <v>2</v>
      </c>
      <c r="S3748" t="s">
        <v>102</v>
      </c>
      <c r="T3748" s="4">
        <f t="shared" si="294"/>
        <v>26200.12</v>
      </c>
      <c r="U3748" s="4" t="str">
        <f t="shared" si="295"/>
        <v>Average</v>
      </c>
      <c r="V3748" s="4" t="str">
        <f t="shared" si="291"/>
        <v>Low</v>
      </c>
      <c r="W3748" s="4"/>
      <c r="X3748" s="4"/>
      <c r="AJ3748" s="4"/>
    </row>
    <row r="3749" spans="1:36">
      <c r="A3749" t="str">
        <f t="shared" si="292"/>
        <v>Bhav523748</v>
      </c>
      <c r="B3749">
        <v>3748</v>
      </c>
      <c r="C3749">
        <v>14</v>
      </c>
      <c r="D3749">
        <v>9</v>
      </c>
      <c r="E3749">
        <v>2024</v>
      </c>
      <c r="F3749" s="1">
        <f t="shared" si="293"/>
        <v>45549</v>
      </c>
      <c r="G3749" s="1" t="s">
        <v>770</v>
      </c>
      <c r="H3749" s="2">
        <v>48225</v>
      </c>
      <c r="I3749" t="s">
        <v>26</v>
      </c>
      <c r="J3749">
        <v>8</v>
      </c>
      <c r="K3749">
        <v>50076.2</v>
      </c>
      <c r="L3749" t="s">
        <v>35</v>
      </c>
      <c r="M3749">
        <v>52</v>
      </c>
      <c r="N3749" t="s">
        <v>61</v>
      </c>
      <c r="O3749" s="3" t="s">
        <v>28</v>
      </c>
      <c r="P3749" t="s">
        <v>29</v>
      </c>
      <c r="Q3749" t="s">
        <v>24</v>
      </c>
      <c r="R3749">
        <v>3</v>
      </c>
      <c r="S3749" t="s">
        <v>31</v>
      </c>
      <c r="T3749" s="4">
        <f t="shared" si="294"/>
        <v>400609.6</v>
      </c>
      <c r="U3749" s="4" t="str">
        <f t="shared" si="295"/>
        <v>Average</v>
      </c>
      <c r="V3749" s="4" t="str">
        <f t="shared" si="291"/>
        <v>Excellent</v>
      </c>
      <c r="W3749" s="4"/>
      <c r="X3749" s="4"/>
      <c r="AJ3749" s="4"/>
    </row>
    <row r="3750" spans="1:36">
      <c r="A3750" t="str">
        <f t="shared" si="292"/>
        <v>Sneh183749</v>
      </c>
      <c r="B3750">
        <v>3749</v>
      </c>
      <c r="C3750">
        <v>14</v>
      </c>
      <c r="D3750">
        <v>9</v>
      </c>
      <c r="E3750">
        <v>2024</v>
      </c>
      <c r="F3750" s="1">
        <f t="shared" si="293"/>
        <v>45549</v>
      </c>
      <c r="G3750" s="1" t="s">
        <v>770</v>
      </c>
      <c r="H3750" s="2">
        <v>48226</v>
      </c>
      <c r="I3750" t="s">
        <v>26</v>
      </c>
      <c r="J3750">
        <v>4</v>
      </c>
      <c r="K3750">
        <v>58381.32</v>
      </c>
      <c r="L3750" t="s">
        <v>1047</v>
      </c>
      <c r="M3750">
        <v>18</v>
      </c>
      <c r="N3750" t="s">
        <v>36</v>
      </c>
      <c r="O3750" s="3" t="s">
        <v>28</v>
      </c>
      <c r="P3750" t="s">
        <v>150</v>
      </c>
      <c r="Q3750" t="s">
        <v>24</v>
      </c>
      <c r="R3750">
        <v>3</v>
      </c>
      <c r="S3750" t="s">
        <v>34</v>
      </c>
      <c r="T3750" s="4">
        <f t="shared" si="294"/>
        <v>233525.28</v>
      </c>
      <c r="U3750" s="4" t="str">
        <f t="shared" si="295"/>
        <v>Average</v>
      </c>
      <c r="V3750" s="4" t="str">
        <f t="shared" si="291"/>
        <v>Excellent</v>
      </c>
      <c r="W3750" s="4"/>
      <c r="X3750" s="4"/>
      <c r="AJ3750" s="4"/>
    </row>
    <row r="3751" spans="1:36">
      <c r="A3751" t="str">
        <f t="shared" si="292"/>
        <v>Pank223750</v>
      </c>
      <c r="B3751">
        <v>3750</v>
      </c>
      <c r="C3751">
        <v>14</v>
      </c>
      <c r="D3751">
        <v>9</v>
      </c>
      <c r="E3751">
        <v>2024</v>
      </c>
      <c r="F3751" s="1">
        <f t="shared" si="293"/>
        <v>45549</v>
      </c>
      <c r="G3751" s="1" t="s">
        <v>770</v>
      </c>
      <c r="H3751" s="2">
        <v>48227</v>
      </c>
      <c r="I3751" t="s">
        <v>19</v>
      </c>
      <c r="J3751">
        <v>3</v>
      </c>
      <c r="K3751">
        <v>19848.86</v>
      </c>
      <c r="L3751" t="s">
        <v>805</v>
      </c>
      <c r="M3751">
        <v>22</v>
      </c>
      <c r="N3751" t="s">
        <v>36</v>
      </c>
      <c r="O3751" s="3" t="s">
        <v>22</v>
      </c>
      <c r="P3751" t="s">
        <v>29</v>
      </c>
      <c r="Q3751" t="s">
        <v>41</v>
      </c>
      <c r="R3751">
        <v>4</v>
      </c>
      <c r="S3751" t="s">
        <v>25</v>
      </c>
      <c r="T3751" s="4">
        <f t="shared" si="294"/>
        <v>59546.58</v>
      </c>
      <c r="U3751" s="4" t="str">
        <f t="shared" si="295"/>
        <v>Good</v>
      </c>
      <c r="V3751" s="4" t="str">
        <f t="shared" si="291"/>
        <v>Average</v>
      </c>
      <c r="W3751" s="4"/>
      <c r="X3751" s="4"/>
      <c r="AJ3751" s="4"/>
    </row>
    <row r="3752" spans="1:36">
      <c r="A3752" t="str">
        <f t="shared" si="292"/>
        <v>Priy183751</v>
      </c>
      <c r="B3752">
        <v>3751</v>
      </c>
      <c r="C3752">
        <v>14</v>
      </c>
      <c r="D3752">
        <v>9</v>
      </c>
      <c r="E3752">
        <v>2024</v>
      </c>
      <c r="F3752" s="1">
        <f t="shared" si="293"/>
        <v>45549</v>
      </c>
      <c r="G3752" s="1" t="s">
        <v>770</v>
      </c>
      <c r="H3752" s="2">
        <v>48228</v>
      </c>
      <c r="I3752" t="s">
        <v>19</v>
      </c>
      <c r="J3752">
        <v>4</v>
      </c>
      <c r="K3752">
        <v>36550.57</v>
      </c>
      <c r="L3752" t="s">
        <v>740</v>
      </c>
      <c r="M3752">
        <v>18</v>
      </c>
      <c r="N3752" t="s">
        <v>36</v>
      </c>
      <c r="O3752" s="3" t="s">
        <v>22</v>
      </c>
      <c r="P3752" t="s">
        <v>45</v>
      </c>
      <c r="Q3752" t="s">
        <v>24</v>
      </c>
      <c r="R3752">
        <v>5</v>
      </c>
      <c r="S3752" t="s">
        <v>25</v>
      </c>
      <c r="T3752" s="4">
        <f t="shared" si="294"/>
        <v>146202.28</v>
      </c>
      <c r="U3752" s="4" t="str">
        <f t="shared" si="295"/>
        <v>Good</v>
      </c>
      <c r="V3752" s="4" t="str">
        <f t="shared" si="291"/>
        <v>Good</v>
      </c>
      <c r="W3752" s="4"/>
      <c r="X3752" s="4"/>
      <c r="AJ3752" s="4"/>
    </row>
    <row r="3753" spans="1:36">
      <c r="A3753" t="str">
        <f t="shared" si="292"/>
        <v>Tapa253752</v>
      </c>
      <c r="B3753">
        <v>3752</v>
      </c>
      <c r="C3753">
        <v>15</v>
      </c>
      <c r="D3753">
        <v>9</v>
      </c>
      <c r="E3753">
        <v>2024</v>
      </c>
      <c r="F3753" s="1">
        <f t="shared" si="293"/>
        <v>45550</v>
      </c>
      <c r="G3753" s="1" t="s">
        <v>770</v>
      </c>
      <c r="H3753" s="2">
        <v>48229</v>
      </c>
      <c r="I3753" t="s">
        <v>38</v>
      </c>
      <c r="J3753">
        <v>5</v>
      </c>
      <c r="K3753">
        <v>39630.160000000003</v>
      </c>
      <c r="L3753" t="s">
        <v>918</v>
      </c>
      <c r="M3753">
        <v>25</v>
      </c>
      <c r="N3753" t="s">
        <v>36</v>
      </c>
      <c r="O3753" s="3" t="s">
        <v>22</v>
      </c>
      <c r="P3753" t="s">
        <v>29</v>
      </c>
      <c r="Q3753" t="s">
        <v>56</v>
      </c>
      <c r="R3753">
        <v>4</v>
      </c>
      <c r="S3753" t="s">
        <v>42</v>
      </c>
      <c r="T3753" s="4">
        <f t="shared" si="294"/>
        <v>198150.80000000002</v>
      </c>
      <c r="U3753" s="4" t="str">
        <f t="shared" si="295"/>
        <v>Good</v>
      </c>
      <c r="V3753" s="4" t="str">
        <f t="shared" si="291"/>
        <v>Good</v>
      </c>
      <c r="W3753" s="4"/>
      <c r="X3753" s="4"/>
      <c r="AJ3753" s="4"/>
    </row>
    <row r="3754" spans="1:36">
      <c r="A3754" t="str">
        <f t="shared" si="292"/>
        <v>Nami563753</v>
      </c>
      <c r="B3754">
        <v>3753</v>
      </c>
      <c r="C3754">
        <v>15</v>
      </c>
      <c r="D3754">
        <v>9</v>
      </c>
      <c r="E3754">
        <v>2024</v>
      </c>
      <c r="F3754" s="1">
        <f t="shared" si="293"/>
        <v>45550</v>
      </c>
      <c r="G3754" s="1" t="s">
        <v>770</v>
      </c>
      <c r="H3754" s="2">
        <v>48230</v>
      </c>
      <c r="I3754" t="s">
        <v>19</v>
      </c>
      <c r="J3754">
        <v>1</v>
      </c>
      <c r="K3754">
        <v>28727.17</v>
      </c>
      <c r="L3754" t="s">
        <v>687</v>
      </c>
      <c r="M3754">
        <v>56</v>
      </c>
      <c r="N3754" t="s">
        <v>61</v>
      </c>
      <c r="O3754" s="3" t="s">
        <v>28</v>
      </c>
      <c r="P3754" t="s">
        <v>33</v>
      </c>
      <c r="Q3754" t="s">
        <v>30</v>
      </c>
      <c r="R3754">
        <v>3</v>
      </c>
      <c r="S3754" t="s">
        <v>25</v>
      </c>
      <c r="T3754" s="4">
        <f t="shared" si="294"/>
        <v>28727.17</v>
      </c>
      <c r="U3754" s="4" t="str">
        <f t="shared" si="295"/>
        <v>Average</v>
      </c>
      <c r="V3754" s="4" t="str">
        <f t="shared" si="291"/>
        <v>Low</v>
      </c>
      <c r="W3754" s="4"/>
      <c r="X3754" s="4"/>
      <c r="AJ3754" s="4"/>
    </row>
    <row r="3755" spans="1:36">
      <c r="A3755" t="str">
        <f t="shared" si="292"/>
        <v>Anja353754</v>
      </c>
      <c r="B3755">
        <v>3754</v>
      </c>
      <c r="C3755">
        <v>15</v>
      </c>
      <c r="D3755">
        <v>9</v>
      </c>
      <c r="E3755">
        <v>2024</v>
      </c>
      <c r="F3755" s="1">
        <f t="shared" si="293"/>
        <v>45550</v>
      </c>
      <c r="G3755" s="1" t="s">
        <v>770</v>
      </c>
      <c r="H3755" s="2">
        <v>48231</v>
      </c>
      <c r="I3755" t="s">
        <v>19</v>
      </c>
      <c r="J3755">
        <v>1</v>
      </c>
      <c r="K3755">
        <v>38905.35</v>
      </c>
      <c r="L3755" t="s">
        <v>202</v>
      </c>
      <c r="M3755">
        <v>35</v>
      </c>
      <c r="N3755" t="s">
        <v>21</v>
      </c>
      <c r="O3755" s="3" t="s">
        <v>22</v>
      </c>
      <c r="P3755" t="s">
        <v>77</v>
      </c>
      <c r="Q3755" t="s">
        <v>56</v>
      </c>
      <c r="R3755">
        <v>5</v>
      </c>
      <c r="S3755" t="s">
        <v>37</v>
      </c>
      <c r="T3755" s="4">
        <f t="shared" si="294"/>
        <v>38905.35</v>
      </c>
      <c r="U3755" s="4" t="str">
        <f t="shared" si="295"/>
        <v>Good</v>
      </c>
      <c r="V3755" s="4" t="str">
        <f t="shared" si="291"/>
        <v>Low</v>
      </c>
      <c r="W3755" s="4"/>
      <c r="X3755" s="4"/>
      <c r="AJ3755" s="4"/>
    </row>
    <row r="3756" spans="1:36">
      <c r="A3756" t="str">
        <f t="shared" si="292"/>
        <v>Sumi263755</v>
      </c>
      <c r="B3756">
        <v>3755</v>
      </c>
      <c r="C3756">
        <v>15</v>
      </c>
      <c r="D3756">
        <v>9</v>
      </c>
      <c r="E3756">
        <v>2024</v>
      </c>
      <c r="F3756" s="1">
        <f t="shared" si="293"/>
        <v>45550</v>
      </c>
      <c r="G3756" s="1" t="s">
        <v>770</v>
      </c>
      <c r="H3756" s="2">
        <v>48232</v>
      </c>
      <c r="I3756" t="s">
        <v>26</v>
      </c>
      <c r="J3756">
        <v>3</v>
      </c>
      <c r="K3756">
        <v>29052.74</v>
      </c>
      <c r="L3756" t="s">
        <v>417</v>
      </c>
      <c r="M3756">
        <v>26</v>
      </c>
      <c r="N3756" t="s">
        <v>36</v>
      </c>
      <c r="O3756" s="3" t="s">
        <v>22</v>
      </c>
      <c r="P3756" t="s">
        <v>45</v>
      </c>
      <c r="Q3756" t="s">
        <v>24</v>
      </c>
      <c r="R3756">
        <v>5</v>
      </c>
      <c r="S3756" t="s">
        <v>31</v>
      </c>
      <c r="T3756" s="4">
        <f t="shared" si="294"/>
        <v>87158.22</v>
      </c>
      <c r="U3756" s="4" t="str">
        <f t="shared" si="295"/>
        <v>Good</v>
      </c>
      <c r="V3756" s="4" t="str">
        <f t="shared" si="291"/>
        <v>Average</v>
      </c>
      <c r="W3756" s="4"/>
      <c r="X3756" s="4"/>
      <c r="AJ3756" s="4"/>
    </row>
    <row r="3757" spans="1:36">
      <c r="A3757" t="str">
        <f t="shared" si="292"/>
        <v>Yoge223756</v>
      </c>
      <c r="B3757">
        <v>3756</v>
      </c>
      <c r="C3757">
        <v>16</v>
      </c>
      <c r="D3757">
        <v>9</v>
      </c>
      <c r="E3757">
        <v>2024</v>
      </c>
      <c r="F3757" s="1">
        <f t="shared" si="293"/>
        <v>45551</v>
      </c>
      <c r="G3757" s="1" t="s">
        <v>770</v>
      </c>
      <c r="H3757" s="2">
        <v>48233</v>
      </c>
      <c r="I3757" t="s">
        <v>38</v>
      </c>
      <c r="J3757">
        <v>6</v>
      </c>
      <c r="K3757">
        <v>31644.86</v>
      </c>
      <c r="L3757" t="s">
        <v>753</v>
      </c>
      <c r="M3757">
        <v>22</v>
      </c>
      <c r="N3757" t="s">
        <v>36</v>
      </c>
      <c r="O3757" s="3" t="s">
        <v>22</v>
      </c>
      <c r="P3757" t="s">
        <v>77</v>
      </c>
      <c r="Q3757" t="s">
        <v>56</v>
      </c>
      <c r="R3757">
        <v>5</v>
      </c>
      <c r="S3757" t="s">
        <v>99</v>
      </c>
      <c r="T3757" s="4">
        <f t="shared" si="294"/>
        <v>189869.16</v>
      </c>
      <c r="U3757" s="4" t="str">
        <f t="shared" si="295"/>
        <v>Good</v>
      </c>
      <c r="V3757" s="4" t="str">
        <f t="shared" si="291"/>
        <v>Good</v>
      </c>
      <c r="W3757" s="4"/>
      <c r="X3757" s="4"/>
      <c r="AJ3757" s="4"/>
    </row>
    <row r="3758" spans="1:36">
      <c r="A3758" t="str">
        <f t="shared" si="292"/>
        <v>Sanj213757</v>
      </c>
      <c r="B3758">
        <v>3757</v>
      </c>
      <c r="C3758">
        <v>16</v>
      </c>
      <c r="D3758">
        <v>9</v>
      </c>
      <c r="E3758">
        <v>2024</v>
      </c>
      <c r="F3758" s="1">
        <f t="shared" si="293"/>
        <v>45551</v>
      </c>
      <c r="G3758" s="1" t="s">
        <v>770</v>
      </c>
      <c r="H3758" s="2">
        <v>48234</v>
      </c>
      <c r="I3758" t="s">
        <v>19</v>
      </c>
      <c r="J3758">
        <v>1</v>
      </c>
      <c r="K3758">
        <v>50159.87</v>
      </c>
      <c r="L3758" t="s">
        <v>151</v>
      </c>
      <c r="M3758">
        <v>21</v>
      </c>
      <c r="N3758" t="s">
        <v>36</v>
      </c>
      <c r="O3758" s="3" t="s">
        <v>28</v>
      </c>
      <c r="P3758" t="s">
        <v>29</v>
      </c>
      <c r="Q3758" t="s">
        <v>24</v>
      </c>
      <c r="R3758">
        <v>3</v>
      </c>
      <c r="S3758" t="s">
        <v>84</v>
      </c>
      <c r="T3758" s="4">
        <f t="shared" si="294"/>
        <v>50159.87</v>
      </c>
      <c r="U3758" s="4" t="str">
        <f t="shared" si="295"/>
        <v>Average</v>
      </c>
      <c r="V3758" s="4" t="str">
        <f t="shared" si="291"/>
        <v>Average</v>
      </c>
      <c r="W3758" s="4"/>
      <c r="X3758" s="4"/>
      <c r="AJ3758" s="4"/>
    </row>
    <row r="3759" spans="1:36">
      <c r="A3759" t="str">
        <f t="shared" si="292"/>
        <v>Kuna463758</v>
      </c>
      <c r="B3759">
        <v>3758</v>
      </c>
      <c r="C3759">
        <v>16</v>
      </c>
      <c r="D3759">
        <v>9</v>
      </c>
      <c r="E3759">
        <v>2024</v>
      </c>
      <c r="F3759" s="1">
        <f t="shared" si="293"/>
        <v>45551</v>
      </c>
      <c r="G3759" s="1" t="s">
        <v>770</v>
      </c>
      <c r="H3759" s="2">
        <v>48235</v>
      </c>
      <c r="I3759" t="s">
        <v>19</v>
      </c>
      <c r="J3759">
        <v>2</v>
      </c>
      <c r="K3759">
        <v>47955.6</v>
      </c>
      <c r="L3759" t="s">
        <v>604</v>
      </c>
      <c r="M3759">
        <v>46</v>
      </c>
      <c r="N3759" t="s">
        <v>61</v>
      </c>
      <c r="O3759" s="3" t="s">
        <v>22</v>
      </c>
      <c r="P3759" t="s">
        <v>70</v>
      </c>
      <c r="Q3759" t="s">
        <v>41</v>
      </c>
      <c r="R3759">
        <v>4</v>
      </c>
      <c r="S3759" t="s">
        <v>25</v>
      </c>
      <c r="T3759" s="4">
        <f t="shared" si="294"/>
        <v>95911.2</v>
      </c>
      <c r="U3759" s="4" t="str">
        <f t="shared" si="295"/>
        <v>Good</v>
      </c>
      <c r="V3759" s="4" t="str">
        <f t="shared" si="291"/>
        <v>Average</v>
      </c>
      <c r="W3759" s="4"/>
      <c r="X3759" s="4"/>
      <c r="AJ3759" s="4"/>
    </row>
    <row r="3760" spans="1:36">
      <c r="A3760" t="str">
        <f t="shared" si="292"/>
        <v>Lali183759</v>
      </c>
      <c r="B3760">
        <v>3759</v>
      </c>
      <c r="C3760">
        <v>17</v>
      </c>
      <c r="D3760">
        <v>9</v>
      </c>
      <c r="E3760">
        <v>2024</v>
      </c>
      <c r="F3760" s="1">
        <f t="shared" si="293"/>
        <v>45552</v>
      </c>
      <c r="G3760" s="1" t="s">
        <v>770</v>
      </c>
      <c r="H3760" s="2">
        <v>48236</v>
      </c>
      <c r="I3760" t="s">
        <v>38</v>
      </c>
      <c r="J3760">
        <v>7</v>
      </c>
      <c r="K3760">
        <v>23935.94</v>
      </c>
      <c r="L3760" t="s">
        <v>730</v>
      </c>
      <c r="M3760">
        <v>18</v>
      </c>
      <c r="N3760" t="s">
        <v>36</v>
      </c>
      <c r="O3760" s="3" t="s">
        <v>22</v>
      </c>
      <c r="P3760" t="s">
        <v>29</v>
      </c>
      <c r="Q3760" t="s">
        <v>30</v>
      </c>
      <c r="R3760">
        <v>5</v>
      </c>
      <c r="S3760" t="s">
        <v>99</v>
      </c>
      <c r="T3760" s="4">
        <f t="shared" si="294"/>
        <v>167551.57999999999</v>
      </c>
      <c r="U3760" s="4" t="str">
        <f t="shared" si="295"/>
        <v>Good</v>
      </c>
      <c r="V3760" s="4" t="str">
        <f t="shared" si="291"/>
        <v>Good</v>
      </c>
      <c r="W3760" s="4"/>
      <c r="X3760" s="4"/>
      <c r="AJ3760" s="4"/>
    </row>
    <row r="3761" spans="1:36">
      <c r="A3761" t="str">
        <f t="shared" si="292"/>
        <v>Neet473760</v>
      </c>
      <c r="B3761">
        <v>3760</v>
      </c>
      <c r="C3761">
        <v>17</v>
      </c>
      <c r="D3761">
        <v>9</v>
      </c>
      <c r="E3761">
        <v>2024</v>
      </c>
      <c r="F3761" s="1">
        <f t="shared" si="293"/>
        <v>45552</v>
      </c>
      <c r="G3761" s="1" t="s">
        <v>770</v>
      </c>
      <c r="H3761" s="2">
        <v>48237</v>
      </c>
      <c r="I3761" t="s">
        <v>49</v>
      </c>
      <c r="J3761">
        <v>1</v>
      </c>
      <c r="K3761">
        <v>63848.97</v>
      </c>
      <c r="L3761" t="s">
        <v>341</v>
      </c>
      <c r="M3761">
        <v>47</v>
      </c>
      <c r="N3761" t="s">
        <v>61</v>
      </c>
      <c r="O3761" s="3" t="s">
        <v>55</v>
      </c>
      <c r="P3761" t="s">
        <v>64</v>
      </c>
      <c r="Q3761" t="s">
        <v>30</v>
      </c>
      <c r="R3761">
        <v>2</v>
      </c>
      <c r="S3761" t="s">
        <v>102</v>
      </c>
      <c r="T3761" s="4">
        <f t="shared" si="294"/>
        <v>63848.97</v>
      </c>
      <c r="U3761" s="4" t="str">
        <f t="shared" si="295"/>
        <v>Average</v>
      </c>
      <c r="V3761" s="4" t="str">
        <f t="shared" si="291"/>
        <v>Average</v>
      </c>
      <c r="W3761" s="4"/>
      <c r="X3761" s="4"/>
      <c r="AJ3761" s="4"/>
    </row>
    <row r="3762" spans="1:36">
      <c r="A3762" t="str">
        <f t="shared" si="292"/>
        <v>Raje183761</v>
      </c>
      <c r="B3762">
        <v>3761</v>
      </c>
      <c r="C3762">
        <v>17</v>
      </c>
      <c r="D3762">
        <v>9</v>
      </c>
      <c r="E3762">
        <v>2024</v>
      </c>
      <c r="F3762" s="1">
        <f t="shared" si="293"/>
        <v>45552</v>
      </c>
      <c r="G3762" s="1" t="s">
        <v>770</v>
      </c>
      <c r="H3762" s="2">
        <v>48238</v>
      </c>
      <c r="I3762" t="s">
        <v>38</v>
      </c>
      <c r="J3762">
        <v>7</v>
      </c>
      <c r="K3762">
        <v>61767.31</v>
      </c>
      <c r="L3762" t="s">
        <v>1034</v>
      </c>
      <c r="M3762">
        <v>18</v>
      </c>
      <c r="N3762" t="s">
        <v>36</v>
      </c>
      <c r="O3762" s="3" t="s">
        <v>22</v>
      </c>
      <c r="P3762" t="s">
        <v>29</v>
      </c>
      <c r="Q3762" t="s">
        <v>24</v>
      </c>
      <c r="R3762">
        <v>4</v>
      </c>
      <c r="S3762" t="s">
        <v>42</v>
      </c>
      <c r="T3762" s="4">
        <f t="shared" si="294"/>
        <v>432371.17</v>
      </c>
      <c r="U3762" s="4" t="str">
        <f t="shared" si="295"/>
        <v>Good</v>
      </c>
      <c r="V3762" s="4" t="str">
        <f t="shared" si="291"/>
        <v>Excellent</v>
      </c>
      <c r="W3762" s="4"/>
      <c r="X3762" s="4"/>
      <c r="AJ3762" s="4"/>
    </row>
    <row r="3763" spans="1:36">
      <c r="A3763" t="str">
        <f t="shared" si="292"/>
        <v>Mano203762</v>
      </c>
      <c r="B3763">
        <v>3762</v>
      </c>
      <c r="C3763">
        <v>18</v>
      </c>
      <c r="D3763">
        <v>9</v>
      </c>
      <c r="E3763">
        <v>2024</v>
      </c>
      <c r="F3763" s="1">
        <f t="shared" si="293"/>
        <v>45553</v>
      </c>
      <c r="G3763" s="1" t="s">
        <v>770</v>
      </c>
      <c r="H3763" s="2">
        <v>48239</v>
      </c>
      <c r="I3763" t="s">
        <v>26</v>
      </c>
      <c r="J3763">
        <v>4</v>
      </c>
      <c r="K3763">
        <v>40545</v>
      </c>
      <c r="L3763" t="s">
        <v>364</v>
      </c>
      <c r="M3763">
        <v>20</v>
      </c>
      <c r="N3763" t="s">
        <v>36</v>
      </c>
      <c r="O3763" s="3" t="s">
        <v>22</v>
      </c>
      <c r="P3763" t="s">
        <v>29</v>
      </c>
      <c r="Q3763" t="s">
        <v>24</v>
      </c>
      <c r="R3763">
        <v>5</v>
      </c>
      <c r="S3763" t="s">
        <v>31</v>
      </c>
      <c r="T3763" s="4">
        <f t="shared" si="294"/>
        <v>162180</v>
      </c>
      <c r="U3763" s="4" t="str">
        <f t="shared" si="295"/>
        <v>Good</v>
      </c>
      <c r="V3763" s="4" t="str">
        <f t="shared" si="291"/>
        <v>Good</v>
      </c>
      <c r="W3763" s="4"/>
      <c r="X3763" s="4"/>
      <c r="AJ3763" s="4"/>
    </row>
    <row r="3764" spans="1:36">
      <c r="A3764" t="str">
        <f t="shared" si="292"/>
        <v>Neet393763</v>
      </c>
      <c r="B3764">
        <v>3763</v>
      </c>
      <c r="C3764">
        <v>18</v>
      </c>
      <c r="D3764">
        <v>9</v>
      </c>
      <c r="E3764">
        <v>2024</v>
      </c>
      <c r="F3764" s="1">
        <f t="shared" si="293"/>
        <v>45553</v>
      </c>
      <c r="G3764" s="1" t="s">
        <v>770</v>
      </c>
      <c r="H3764" s="2">
        <v>48240</v>
      </c>
      <c r="I3764" t="s">
        <v>49</v>
      </c>
      <c r="J3764">
        <v>6</v>
      </c>
      <c r="K3764">
        <v>35995.040000000001</v>
      </c>
      <c r="L3764" t="s">
        <v>155</v>
      </c>
      <c r="M3764">
        <v>39</v>
      </c>
      <c r="N3764" t="s">
        <v>21</v>
      </c>
      <c r="O3764" s="3" t="s">
        <v>22</v>
      </c>
      <c r="P3764" t="s">
        <v>90</v>
      </c>
      <c r="Q3764" t="s">
        <v>30</v>
      </c>
      <c r="R3764">
        <v>4</v>
      </c>
      <c r="S3764" t="s">
        <v>52</v>
      </c>
      <c r="T3764" s="4">
        <f t="shared" si="294"/>
        <v>215970.24</v>
      </c>
      <c r="U3764" s="4" t="str">
        <f t="shared" si="295"/>
        <v>Good</v>
      </c>
      <c r="V3764" s="4" t="str">
        <f t="shared" si="291"/>
        <v>Excellent</v>
      </c>
      <c r="W3764" s="4"/>
      <c r="X3764" s="4"/>
      <c r="AJ3764" s="4"/>
    </row>
    <row r="3765" spans="1:36">
      <c r="A3765" t="str">
        <f t="shared" si="292"/>
        <v>Sach253764</v>
      </c>
      <c r="B3765">
        <v>3764</v>
      </c>
      <c r="C3765">
        <v>18</v>
      </c>
      <c r="D3765">
        <v>9</v>
      </c>
      <c r="E3765">
        <v>2024</v>
      </c>
      <c r="F3765" s="1">
        <f t="shared" si="293"/>
        <v>45553</v>
      </c>
      <c r="G3765" s="1" t="s">
        <v>770</v>
      </c>
      <c r="H3765" s="2">
        <v>48241</v>
      </c>
      <c r="I3765" t="s">
        <v>43</v>
      </c>
      <c r="J3765">
        <v>8</v>
      </c>
      <c r="K3765">
        <v>32611.360000000001</v>
      </c>
      <c r="L3765" t="s">
        <v>631</v>
      </c>
      <c r="M3765">
        <v>25</v>
      </c>
      <c r="N3765" t="s">
        <v>36</v>
      </c>
      <c r="O3765" s="3" t="s">
        <v>55</v>
      </c>
      <c r="P3765" t="s">
        <v>29</v>
      </c>
      <c r="Q3765" t="s">
        <v>56</v>
      </c>
      <c r="R3765">
        <v>2</v>
      </c>
      <c r="S3765" t="s">
        <v>95</v>
      </c>
      <c r="T3765" s="4">
        <f t="shared" si="294"/>
        <v>260890.88</v>
      </c>
      <c r="U3765" s="4" t="str">
        <f t="shared" si="295"/>
        <v>Average</v>
      </c>
      <c r="V3765" s="4" t="str">
        <f t="shared" si="291"/>
        <v>Excellent</v>
      </c>
      <c r="W3765" s="4"/>
      <c r="X3765" s="4"/>
      <c r="AJ3765" s="4"/>
    </row>
    <row r="3766" spans="1:36">
      <c r="A3766" t="str">
        <f t="shared" si="292"/>
        <v>Deep353765</v>
      </c>
      <c r="B3766">
        <v>3765</v>
      </c>
      <c r="C3766">
        <v>19</v>
      </c>
      <c r="D3766">
        <v>9</v>
      </c>
      <c r="E3766">
        <v>2024</v>
      </c>
      <c r="F3766" s="1">
        <f t="shared" si="293"/>
        <v>45554</v>
      </c>
      <c r="G3766" s="1" t="s">
        <v>770</v>
      </c>
      <c r="H3766" s="2">
        <v>48242</v>
      </c>
      <c r="I3766" t="s">
        <v>38</v>
      </c>
      <c r="J3766">
        <v>9</v>
      </c>
      <c r="K3766">
        <v>52436.08</v>
      </c>
      <c r="L3766" t="s">
        <v>793</v>
      </c>
      <c r="M3766">
        <v>35</v>
      </c>
      <c r="N3766" t="s">
        <v>21</v>
      </c>
      <c r="O3766" s="3" t="s">
        <v>22</v>
      </c>
      <c r="P3766" t="s">
        <v>110</v>
      </c>
      <c r="Q3766" t="s">
        <v>56</v>
      </c>
      <c r="R3766">
        <v>5</v>
      </c>
      <c r="S3766" t="s">
        <v>99</v>
      </c>
      <c r="T3766" s="4">
        <f t="shared" si="294"/>
        <v>471924.72000000003</v>
      </c>
      <c r="U3766" s="4" t="str">
        <f t="shared" si="295"/>
        <v>Good</v>
      </c>
      <c r="V3766" s="4" t="str">
        <f t="shared" si="291"/>
        <v>Excellent</v>
      </c>
      <c r="W3766" s="4"/>
      <c r="X3766" s="4"/>
      <c r="AJ3766" s="4"/>
    </row>
    <row r="3767" spans="1:36">
      <c r="A3767" t="str">
        <f t="shared" si="292"/>
        <v>Vija423766</v>
      </c>
      <c r="B3767">
        <v>3766</v>
      </c>
      <c r="C3767">
        <v>19</v>
      </c>
      <c r="D3767">
        <v>9</v>
      </c>
      <c r="E3767">
        <v>2024</v>
      </c>
      <c r="F3767" s="1">
        <f t="shared" si="293"/>
        <v>45554</v>
      </c>
      <c r="G3767" s="1" t="s">
        <v>770</v>
      </c>
      <c r="H3767" s="2">
        <v>48243</v>
      </c>
      <c r="I3767" t="s">
        <v>26</v>
      </c>
      <c r="J3767">
        <v>6</v>
      </c>
      <c r="K3767">
        <v>50299.96</v>
      </c>
      <c r="L3767" t="s">
        <v>565</v>
      </c>
      <c r="M3767">
        <v>42</v>
      </c>
      <c r="N3767" t="s">
        <v>21</v>
      </c>
      <c r="O3767" s="3" t="s">
        <v>22</v>
      </c>
      <c r="P3767" t="s">
        <v>29</v>
      </c>
      <c r="Q3767" t="s">
        <v>56</v>
      </c>
      <c r="R3767">
        <v>5</v>
      </c>
      <c r="S3767" t="s">
        <v>34</v>
      </c>
      <c r="T3767" s="4">
        <f t="shared" si="294"/>
        <v>301799.76</v>
      </c>
      <c r="U3767" s="4" t="str">
        <f t="shared" si="295"/>
        <v>Good</v>
      </c>
      <c r="V3767" s="4" t="str">
        <f t="shared" si="291"/>
        <v>Excellent</v>
      </c>
      <c r="W3767" s="4"/>
      <c r="X3767" s="4"/>
      <c r="AJ3767" s="4"/>
    </row>
    <row r="3768" spans="1:36">
      <c r="A3768" t="str">
        <f t="shared" si="292"/>
        <v>Isha373767</v>
      </c>
      <c r="B3768">
        <v>3767</v>
      </c>
      <c r="C3768">
        <v>19</v>
      </c>
      <c r="D3768">
        <v>9</v>
      </c>
      <c r="E3768">
        <v>2024</v>
      </c>
      <c r="F3768" s="1">
        <f t="shared" si="293"/>
        <v>45554</v>
      </c>
      <c r="G3768" s="1" t="s">
        <v>770</v>
      </c>
      <c r="H3768" s="2">
        <v>48244</v>
      </c>
      <c r="I3768" t="s">
        <v>49</v>
      </c>
      <c r="J3768">
        <v>9</v>
      </c>
      <c r="K3768">
        <v>21770.84</v>
      </c>
      <c r="L3768" t="s">
        <v>821</v>
      </c>
      <c r="M3768">
        <v>37</v>
      </c>
      <c r="N3768" t="s">
        <v>21</v>
      </c>
      <c r="O3768" s="3" t="s">
        <v>55</v>
      </c>
      <c r="P3768" t="s">
        <v>51</v>
      </c>
      <c r="Q3768" t="s">
        <v>30</v>
      </c>
      <c r="R3768">
        <v>2</v>
      </c>
      <c r="S3768" t="s">
        <v>52</v>
      </c>
      <c r="T3768" s="4">
        <f t="shared" si="294"/>
        <v>195937.56</v>
      </c>
      <c r="U3768" s="4" t="str">
        <f t="shared" si="295"/>
        <v>Average</v>
      </c>
      <c r="V3768" s="4" t="str">
        <f t="shared" si="291"/>
        <v>Good</v>
      </c>
      <c r="W3768" s="4"/>
      <c r="X3768" s="4"/>
      <c r="AJ3768" s="4"/>
    </row>
    <row r="3769" spans="1:36">
      <c r="A3769" t="str">
        <f t="shared" si="292"/>
        <v>Mano483768</v>
      </c>
      <c r="B3769">
        <v>3768</v>
      </c>
      <c r="C3769">
        <v>19</v>
      </c>
      <c r="D3769">
        <v>9</v>
      </c>
      <c r="E3769">
        <v>2024</v>
      </c>
      <c r="F3769" s="1">
        <f t="shared" si="293"/>
        <v>45554</v>
      </c>
      <c r="G3769" s="1" t="s">
        <v>770</v>
      </c>
      <c r="H3769" s="2">
        <v>48245</v>
      </c>
      <c r="I3769" t="s">
        <v>38</v>
      </c>
      <c r="J3769">
        <v>4</v>
      </c>
      <c r="K3769">
        <v>50287.48</v>
      </c>
      <c r="L3769" t="s">
        <v>798</v>
      </c>
      <c r="M3769">
        <v>48</v>
      </c>
      <c r="N3769" t="s">
        <v>61</v>
      </c>
      <c r="O3769" s="3" t="s">
        <v>55</v>
      </c>
      <c r="P3769" t="s">
        <v>45</v>
      </c>
      <c r="Q3769" t="s">
        <v>41</v>
      </c>
      <c r="R3769">
        <v>2</v>
      </c>
      <c r="S3769" t="s">
        <v>48</v>
      </c>
      <c r="T3769" s="4">
        <f t="shared" si="294"/>
        <v>201149.92</v>
      </c>
      <c r="U3769" s="4" t="str">
        <f t="shared" si="295"/>
        <v>Average</v>
      </c>
      <c r="V3769" s="4" t="str">
        <f t="shared" si="291"/>
        <v>Excellent</v>
      </c>
      <c r="W3769" s="4"/>
      <c r="X3769" s="4"/>
      <c r="AJ3769" s="4"/>
    </row>
    <row r="3770" spans="1:36">
      <c r="A3770" t="str">
        <f t="shared" si="292"/>
        <v>Ayes473769</v>
      </c>
      <c r="B3770">
        <v>3769</v>
      </c>
      <c r="C3770">
        <v>20</v>
      </c>
      <c r="D3770">
        <v>9</v>
      </c>
      <c r="E3770">
        <v>2024</v>
      </c>
      <c r="F3770" s="1">
        <f t="shared" si="293"/>
        <v>45555</v>
      </c>
      <c r="G3770" s="1" t="s">
        <v>770</v>
      </c>
      <c r="H3770" s="2">
        <v>48246</v>
      </c>
      <c r="I3770" t="s">
        <v>19</v>
      </c>
      <c r="J3770">
        <v>6</v>
      </c>
      <c r="K3770">
        <v>25145.87</v>
      </c>
      <c r="L3770" t="s">
        <v>136</v>
      </c>
      <c r="M3770">
        <v>47</v>
      </c>
      <c r="N3770" t="s">
        <v>61</v>
      </c>
      <c r="O3770" s="3" t="s">
        <v>28</v>
      </c>
      <c r="P3770" t="s">
        <v>70</v>
      </c>
      <c r="Q3770" t="s">
        <v>24</v>
      </c>
      <c r="R3770">
        <v>3</v>
      </c>
      <c r="S3770" t="s">
        <v>37</v>
      </c>
      <c r="T3770" s="4">
        <f t="shared" si="294"/>
        <v>150875.22</v>
      </c>
      <c r="U3770" s="4" t="str">
        <f t="shared" si="295"/>
        <v>Average</v>
      </c>
      <c r="V3770" s="4" t="str">
        <f t="shared" si="291"/>
        <v>Good</v>
      </c>
      <c r="W3770" s="4"/>
      <c r="X3770" s="4"/>
      <c r="AJ3770" s="4"/>
    </row>
    <row r="3771" spans="1:36">
      <c r="A3771" t="str">
        <f t="shared" si="292"/>
        <v>Tapa333770</v>
      </c>
      <c r="B3771">
        <v>3770</v>
      </c>
      <c r="C3771">
        <v>20</v>
      </c>
      <c r="D3771">
        <v>9</v>
      </c>
      <c r="E3771">
        <v>2024</v>
      </c>
      <c r="F3771" s="1">
        <f t="shared" si="293"/>
        <v>45555</v>
      </c>
      <c r="G3771" s="1" t="s">
        <v>770</v>
      </c>
      <c r="H3771" s="2">
        <v>48247</v>
      </c>
      <c r="I3771" t="s">
        <v>38</v>
      </c>
      <c r="J3771">
        <v>8</v>
      </c>
      <c r="K3771">
        <v>11113.5</v>
      </c>
      <c r="L3771" t="s">
        <v>446</v>
      </c>
      <c r="M3771">
        <v>33</v>
      </c>
      <c r="N3771" t="s">
        <v>21</v>
      </c>
      <c r="O3771" s="3" t="s">
        <v>22</v>
      </c>
      <c r="P3771" t="s">
        <v>64</v>
      </c>
      <c r="Q3771" t="s">
        <v>24</v>
      </c>
      <c r="R3771">
        <v>5</v>
      </c>
      <c r="S3771" t="s">
        <v>42</v>
      </c>
      <c r="T3771" s="4">
        <f t="shared" si="294"/>
        <v>88908</v>
      </c>
      <c r="U3771" s="4" t="str">
        <f t="shared" si="295"/>
        <v>Good</v>
      </c>
      <c r="V3771" s="4" t="str">
        <f t="shared" si="291"/>
        <v>Average</v>
      </c>
      <c r="W3771" s="4"/>
      <c r="X3771" s="4"/>
      <c r="AJ3771" s="4"/>
    </row>
    <row r="3772" spans="1:36">
      <c r="A3772" t="str">
        <f t="shared" si="292"/>
        <v>Navi193771</v>
      </c>
      <c r="B3772">
        <v>3771</v>
      </c>
      <c r="C3772">
        <v>20</v>
      </c>
      <c r="D3772">
        <v>9</v>
      </c>
      <c r="E3772">
        <v>2024</v>
      </c>
      <c r="F3772" s="1">
        <f t="shared" si="293"/>
        <v>45555</v>
      </c>
      <c r="G3772" s="1" t="s">
        <v>770</v>
      </c>
      <c r="H3772" s="2">
        <v>48248</v>
      </c>
      <c r="I3772" t="s">
        <v>43</v>
      </c>
      <c r="J3772">
        <v>9</v>
      </c>
      <c r="K3772">
        <v>51952.52</v>
      </c>
      <c r="L3772" t="s">
        <v>347</v>
      </c>
      <c r="M3772">
        <v>19</v>
      </c>
      <c r="N3772" t="s">
        <v>36</v>
      </c>
      <c r="O3772" s="3" t="s">
        <v>28</v>
      </c>
      <c r="P3772" t="s">
        <v>132</v>
      </c>
      <c r="Q3772" t="s">
        <v>30</v>
      </c>
      <c r="R3772">
        <v>3</v>
      </c>
      <c r="S3772" t="s">
        <v>95</v>
      </c>
      <c r="T3772" s="4">
        <f t="shared" si="294"/>
        <v>467572.68</v>
      </c>
      <c r="U3772" s="4" t="str">
        <f t="shared" si="295"/>
        <v>Average</v>
      </c>
      <c r="V3772" s="4" t="str">
        <f t="shared" si="291"/>
        <v>Excellent</v>
      </c>
      <c r="W3772" s="4"/>
      <c r="X3772" s="4"/>
      <c r="AJ3772" s="4"/>
    </row>
    <row r="3773" spans="1:36">
      <c r="A3773" t="str">
        <f t="shared" si="292"/>
        <v>Pras343772</v>
      </c>
      <c r="B3773">
        <v>3772</v>
      </c>
      <c r="C3773">
        <v>21</v>
      </c>
      <c r="D3773">
        <v>9</v>
      </c>
      <c r="E3773">
        <v>2024</v>
      </c>
      <c r="F3773" s="1">
        <f t="shared" si="293"/>
        <v>45556</v>
      </c>
      <c r="G3773" s="1" t="s">
        <v>770</v>
      </c>
      <c r="H3773" s="2">
        <v>48249</v>
      </c>
      <c r="I3773" t="s">
        <v>38</v>
      </c>
      <c r="J3773">
        <v>3</v>
      </c>
      <c r="K3773">
        <v>48687.62</v>
      </c>
      <c r="L3773" t="s">
        <v>878</v>
      </c>
      <c r="M3773">
        <v>34</v>
      </c>
      <c r="N3773" t="s">
        <v>21</v>
      </c>
      <c r="O3773" s="3" t="s">
        <v>22</v>
      </c>
      <c r="P3773" t="s">
        <v>29</v>
      </c>
      <c r="Q3773" t="s">
        <v>41</v>
      </c>
      <c r="R3773">
        <v>4</v>
      </c>
      <c r="S3773" t="s">
        <v>99</v>
      </c>
      <c r="T3773" s="4">
        <f t="shared" si="294"/>
        <v>146062.86000000002</v>
      </c>
      <c r="U3773" s="4" t="str">
        <f t="shared" si="295"/>
        <v>Good</v>
      </c>
      <c r="V3773" s="4" t="str">
        <f t="shared" si="291"/>
        <v>Good</v>
      </c>
      <c r="W3773" s="4"/>
      <c r="X3773" s="4"/>
      <c r="AJ3773" s="4"/>
    </row>
    <row r="3774" spans="1:36">
      <c r="A3774" t="str">
        <f t="shared" si="292"/>
        <v>Sneh273773</v>
      </c>
      <c r="B3774">
        <v>3773</v>
      </c>
      <c r="C3774">
        <v>21</v>
      </c>
      <c r="D3774">
        <v>9</v>
      </c>
      <c r="E3774">
        <v>2024</v>
      </c>
      <c r="F3774" s="1">
        <f t="shared" si="293"/>
        <v>45556</v>
      </c>
      <c r="G3774" s="1" t="s">
        <v>770</v>
      </c>
      <c r="H3774" s="2">
        <v>48250</v>
      </c>
      <c r="I3774" t="s">
        <v>49</v>
      </c>
      <c r="J3774">
        <v>2</v>
      </c>
      <c r="K3774">
        <v>34648.559999999998</v>
      </c>
      <c r="L3774" t="s">
        <v>533</v>
      </c>
      <c r="M3774">
        <v>27</v>
      </c>
      <c r="N3774" t="s">
        <v>36</v>
      </c>
      <c r="O3774" s="3" t="s">
        <v>55</v>
      </c>
      <c r="P3774" t="s">
        <v>33</v>
      </c>
      <c r="Q3774" t="s">
        <v>30</v>
      </c>
      <c r="R3774">
        <v>2</v>
      </c>
      <c r="S3774" t="s">
        <v>88</v>
      </c>
      <c r="T3774" s="4">
        <f t="shared" si="294"/>
        <v>69297.119999999995</v>
      </c>
      <c r="U3774" s="4" t="str">
        <f t="shared" si="295"/>
        <v>Average</v>
      </c>
      <c r="V3774" s="4" t="str">
        <f t="shared" si="291"/>
        <v>Average</v>
      </c>
      <c r="W3774" s="4"/>
      <c r="X3774" s="4"/>
      <c r="AJ3774" s="4"/>
    </row>
    <row r="3775" spans="1:36">
      <c r="A3775" t="str">
        <f t="shared" si="292"/>
        <v>Priy243774</v>
      </c>
      <c r="B3775">
        <v>3774</v>
      </c>
      <c r="C3775">
        <v>21</v>
      </c>
      <c r="D3775">
        <v>9</v>
      </c>
      <c r="E3775">
        <v>2024</v>
      </c>
      <c r="F3775" s="1">
        <f t="shared" si="293"/>
        <v>45556</v>
      </c>
      <c r="G3775" s="1" t="s">
        <v>770</v>
      </c>
      <c r="H3775" s="2">
        <v>48251</v>
      </c>
      <c r="I3775" t="s">
        <v>49</v>
      </c>
      <c r="J3775">
        <v>6</v>
      </c>
      <c r="K3775">
        <v>41541.160000000003</v>
      </c>
      <c r="L3775" t="s">
        <v>1061</v>
      </c>
      <c r="M3775">
        <v>24</v>
      </c>
      <c r="N3775" t="s">
        <v>36</v>
      </c>
      <c r="O3775" s="3" t="s">
        <v>28</v>
      </c>
      <c r="P3775" t="s">
        <v>23</v>
      </c>
      <c r="Q3775" t="s">
        <v>56</v>
      </c>
      <c r="R3775">
        <v>3</v>
      </c>
      <c r="S3775" t="s">
        <v>102</v>
      </c>
      <c r="T3775" s="4">
        <f t="shared" si="294"/>
        <v>249246.96000000002</v>
      </c>
      <c r="U3775" s="4" t="str">
        <f t="shared" si="295"/>
        <v>Average</v>
      </c>
      <c r="V3775" s="4" t="str">
        <f t="shared" si="291"/>
        <v>Excellent</v>
      </c>
      <c r="W3775" s="4"/>
      <c r="X3775" s="4"/>
      <c r="AJ3775" s="4"/>
    </row>
    <row r="3776" spans="1:36">
      <c r="A3776" t="str">
        <f t="shared" si="292"/>
        <v>Suni593775</v>
      </c>
      <c r="B3776">
        <v>3775</v>
      </c>
      <c r="C3776">
        <v>21</v>
      </c>
      <c r="D3776">
        <v>9</v>
      </c>
      <c r="E3776">
        <v>2024</v>
      </c>
      <c r="F3776" s="1">
        <f t="shared" si="293"/>
        <v>45556</v>
      </c>
      <c r="G3776" s="1" t="s">
        <v>770</v>
      </c>
      <c r="H3776" s="2">
        <v>48252</v>
      </c>
      <c r="I3776" t="s">
        <v>38</v>
      </c>
      <c r="J3776">
        <v>4</v>
      </c>
      <c r="K3776">
        <v>66830.149999999994</v>
      </c>
      <c r="L3776" t="s">
        <v>820</v>
      </c>
      <c r="M3776">
        <v>59</v>
      </c>
      <c r="N3776" t="s">
        <v>61</v>
      </c>
      <c r="O3776" s="3" t="s">
        <v>22</v>
      </c>
      <c r="P3776" t="s">
        <v>110</v>
      </c>
      <c r="Q3776" t="s">
        <v>56</v>
      </c>
      <c r="R3776">
        <v>5</v>
      </c>
      <c r="S3776" t="s">
        <v>99</v>
      </c>
      <c r="T3776" s="4">
        <f t="shared" si="294"/>
        <v>267320.59999999998</v>
      </c>
      <c r="U3776" s="4" t="str">
        <f t="shared" si="295"/>
        <v>Good</v>
      </c>
      <c r="V3776" s="4" t="str">
        <f t="shared" si="291"/>
        <v>Excellent</v>
      </c>
      <c r="W3776" s="4"/>
      <c r="X3776" s="4"/>
      <c r="AJ3776" s="4"/>
    </row>
    <row r="3777" spans="1:36">
      <c r="A3777" t="str">
        <f t="shared" si="292"/>
        <v>Priy263776</v>
      </c>
      <c r="B3777">
        <v>3776</v>
      </c>
      <c r="C3777">
        <v>22</v>
      </c>
      <c r="D3777">
        <v>9</v>
      </c>
      <c r="E3777">
        <v>2024</v>
      </c>
      <c r="F3777" s="1">
        <f t="shared" si="293"/>
        <v>45557</v>
      </c>
      <c r="G3777" s="1" t="s">
        <v>770</v>
      </c>
      <c r="H3777" s="2">
        <v>48253</v>
      </c>
      <c r="I3777" t="s">
        <v>49</v>
      </c>
      <c r="J3777">
        <v>1</v>
      </c>
      <c r="K3777">
        <v>45712.01</v>
      </c>
      <c r="L3777" t="s">
        <v>673</v>
      </c>
      <c r="M3777">
        <v>26</v>
      </c>
      <c r="N3777" t="s">
        <v>36</v>
      </c>
      <c r="O3777" s="3" t="s">
        <v>22</v>
      </c>
      <c r="P3777" t="s">
        <v>110</v>
      </c>
      <c r="Q3777" t="s">
        <v>24</v>
      </c>
      <c r="R3777">
        <v>5</v>
      </c>
      <c r="S3777" t="s">
        <v>102</v>
      </c>
      <c r="T3777" s="4">
        <f t="shared" si="294"/>
        <v>45712.01</v>
      </c>
      <c r="U3777" s="4" t="str">
        <f t="shared" si="295"/>
        <v>Good</v>
      </c>
      <c r="V3777" s="4" t="str">
        <f t="shared" ref="V3777:V3836" si="296">IF(T3777&gt;200000,"Excellent",IF(T3777&gt;100000,"Good",IF(T3777&gt;50000,"Average","Low")))</f>
        <v>Low</v>
      </c>
      <c r="W3777" s="4"/>
      <c r="X3777" s="4"/>
      <c r="AJ3777" s="4"/>
    </row>
    <row r="3778" spans="1:36">
      <c r="A3778" t="str">
        <f t="shared" ref="A3778:A3836" si="297">LEFT(L3778,4)&amp;M3778&amp;B3778</f>
        <v>Kavi343777</v>
      </c>
      <c r="B3778">
        <v>3777</v>
      </c>
      <c r="C3778">
        <v>22</v>
      </c>
      <c r="D3778">
        <v>9</v>
      </c>
      <c r="E3778">
        <v>2024</v>
      </c>
      <c r="F3778" s="1">
        <f t="shared" si="293"/>
        <v>45557</v>
      </c>
      <c r="G3778" s="1" t="s">
        <v>770</v>
      </c>
      <c r="H3778" s="2">
        <v>48254</v>
      </c>
      <c r="I3778" t="s">
        <v>19</v>
      </c>
      <c r="J3778">
        <v>8</v>
      </c>
      <c r="K3778">
        <v>49473.04</v>
      </c>
      <c r="L3778" t="s">
        <v>318</v>
      </c>
      <c r="M3778">
        <v>34</v>
      </c>
      <c r="N3778" t="s">
        <v>21</v>
      </c>
      <c r="O3778" s="3" t="s">
        <v>55</v>
      </c>
      <c r="P3778" t="s">
        <v>33</v>
      </c>
      <c r="Q3778" t="s">
        <v>24</v>
      </c>
      <c r="R3778">
        <v>2</v>
      </c>
      <c r="S3778" t="s">
        <v>84</v>
      </c>
      <c r="T3778" s="4">
        <f t="shared" si="294"/>
        <v>395784.32</v>
      </c>
      <c r="U3778" s="4" t="str">
        <f t="shared" si="295"/>
        <v>Average</v>
      </c>
      <c r="V3778" s="4" t="str">
        <f t="shared" si="296"/>
        <v>Excellent</v>
      </c>
      <c r="W3778" s="4"/>
      <c r="X3778" s="4"/>
      <c r="AJ3778" s="4"/>
    </row>
    <row r="3779" spans="1:36">
      <c r="A3779" t="str">
        <f t="shared" si="297"/>
        <v>Lali263778</v>
      </c>
      <c r="B3779">
        <v>3778</v>
      </c>
      <c r="C3779">
        <v>22</v>
      </c>
      <c r="D3779">
        <v>9</v>
      </c>
      <c r="E3779">
        <v>2024</v>
      </c>
      <c r="F3779" s="1">
        <f t="shared" ref="F3779:F3836" si="298">DATE(E3779,D3779,C3779)</f>
        <v>45557</v>
      </c>
      <c r="G3779" s="1" t="s">
        <v>770</v>
      </c>
      <c r="H3779" s="2">
        <v>48255</v>
      </c>
      <c r="I3779" t="s">
        <v>38</v>
      </c>
      <c r="J3779">
        <v>9</v>
      </c>
      <c r="K3779">
        <v>13834.68</v>
      </c>
      <c r="L3779" t="s">
        <v>263</v>
      </c>
      <c r="M3779">
        <v>26</v>
      </c>
      <c r="N3779" t="s">
        <v>36</v>
      </c>
      <c r="O3779" s="3" t="s">
        <v>28</v>
      </c>
      <c r="P3779" t="s">
        <v>33</v>
      </c>
      <c r="Q3779" t="s">
        <v>24</v>
      </c>
      <c r="R3779">
        <v>3</v>
      </c>
      <c r="S3779" t="s">
        <v>42</v>
      </c>
      <c r="T3779" s="4">
        <f t="shared" ref="T3779:T3836" si="299">J3779*K3779</f>
        <v>124512.12</v>
      </c>
      <c r="U3779" s="4" t="str">
        <f t="shared" ref="U3779:U3836" si="300">IF(R3779&gt;=4,"Good","Average")</f>
        <v>Average</v>
      </c>
      <c r="V3779" s="4" t="str">
        <f t="shared" si="296"/>
        <v>Good</v>
      </c>
      <c r="W3779" s="4"/>
      <c r="X3779" s="4"/>
      <c r="AJ3779" s="4"/>
    </row>
    <row r="3780" spans="1:36">
      <c r="A3780" t="str">
        <f t="shared" si="297"/>
        <v>Roha263779</v>
      </c>
      <c r="B3780">
        <v>3779</v>
      </c>
      <c r="C3780">
        <v>23</v>
      </c>
      <c r="D3780">
        <v>9</v>
      </c>
      <c r="E3780">
        <v>2024</v>
      </c>
      <c r="F3780" s="1">
        <f t="shared" si="298"/>
        <v>45558</v>
      </c>
      <c r="G3780" s="1" t="s">
        <v>770</v>
      </c>
      <c r="H3780" s="2">
        <v>48256</v>
      </c>
      <c r="I3780" t="s">
        <v>19</v>
      </c>
      <c r="J3780">
        <v>9</v>
      </c>
      <c r="K3780">
        <v>19959.669999999998</v>
      </c>
      <c r="L3780" t="s">
        <v>620</v>
      </c>
      <c r="M3780">
        <v>26</v>
      </c>
      <c r="N3780" t="s">
        <v>36</v>
      </c>
      <c r="O3780" s="3" t="s">
        <v>22</v>
      </c>
      <c r="P3780" t="s">
        <v>70</v>
      </c>
      <c r="Q3780" t="s">
        <v>24</v>
      </c>
      <c r="R3780">
        <v>5</v>
      </c>
      <c r="S3780" t="s">
        <v>25</v>
      </c>
      <c r="T3780" s="4">
        <f t="shared" si="299"/>
        <v>179637.02999999997</v>
      </c>
      <c r="U3780" s="4" t="str">
        <f t="shared" si="300"/>
        <v>Good</v>
      </c>
      <c r="V3780" s="4" t="str">
        <f t="shared" si="296"/>
        <v>Good</v>
      </c>
      <c r="W3780" s="4"/>
      <c r="X3780" s="4"/>
      <c r="AJ3780" s="4"/>
    </row>
    <row r="3781" spans="1:36">
      <c r="A3781" t="str">
        <f t="shared" si="297"/>
        <v>Sach543780</v>
      </c>
      <c r="B3781">
        <v>3780</v>
      </c>
      <c r="C3781">
        <v>23</v>
      </c>
      <c r="D3781">
        <v>9</v>
      </c>
      <c r="E3781">
        <v>2024</v>
      </c>
      <c r="F3781" s="1">
        <f t="shared" si="298"/>
        <v>45558</v>
      </c>
      <c r="G3781" s="1" t="s">
        <v>770</v>
      </c>
      <c r="H3781" s="2">
        <v>48257</v>
      </c>
      <c r="I3781" t="s">
        <v>19</v>
      </c>
      <c r="J3781">
        <v>2</v>
      </c>
      <c r="K3781">
        <v>28057.14</v>
      </c>
      <c r="L3781" t="s">
        <v>104</v>
      </c>
      <c r="M3781">
        <v>54</v>
      </c>
      <c r="N3781" t="s">
        <v>61</v>
      </c>
      <c r="O3781" s="3" t="s">
        <v>55</v>
      </c>
      <c r="P3781" t="s">
        <v>29</v>
      </c>
      <c r="Q3781" t="s">
        <v>56</v>
      </c>
      <c r="R3781">
        <v>2</v>
      </c>
      <c r="S3781" t="s">
        <v>37</v>
      </c>
      <c r="T3781" s="4">
        <f t="shared" si="299"/>
        <v>56114.28</v>
      </c>
      <c r="U3781" s="4" t="str">
        <f t="shared" si="300"/>
        <v>Average</v>
      </c>
      <c r="V3781" s="4" t="str">
        <f t="shared" si="296"/>
        <v>Average</v>
      </c>
      <c r="W3781" s="4"/>
      <c r="X3781" s="4"/>
      <c r="AJ3781" s="4"/>
    </row>
    <row r="3782" spans="1:36">
      <c r="A3782" t="str">
        <f t="shared" si="297"/>
        <v>Bina413781</v>
      </c>
      <c r="B3782">
        <v>3781</v>
      </c>
      <c r="C3782">
        <v>23</v>
      </c>
      <c r="D3782">
        <v>9</v>
      </c>
      <c r="E3782">
        <v>2024</v>
      </c>
      <c r="F3782" s="1">
        <f t="shared" si="298"/>
        <v>45558</v>
      </c>
      <c r="G3782" s="1" t="s">
        <v>770</v>
      </c>
      <c r="H3782" s="2">
        <v>48258</v>
      </c>
      <c r="I3782" t="s">
        <v>26</v>
      </c>
      <c r="J3782">
        <v>9</v>
      </c>
      <c r="K3782">
        <v>42362.76</v>
      </c>
      <c r="L3782" t="s">
        <v>145</v>
      </c>
      <c r="M3782">
        <v>41</v>
      </c>
      <c r="N3782" t="s">
        <v>21</v>
      </c>
      <c r="O3782" s="3" t="s">
        <v>22</v>
      </c>
      <c r="P3782" t="s">
        <v>70</v>
      </c>
      <c r="Q3782" t="s">
        <v>56</v>
      </c>
      <c r="R3782">
        <v>4</v>
      </c>
      <c r="S3782" t="s">
        <v>31</v>
      </c>
      <c r="T3782" s="4">
        <f t="shared" si="299"/>
        <v>381264.84</v>
      </c>
      <c r="U3782" s="4" t="str">
        <f t="shared" si="300"/>
        <v>Good</v>
      </c>
      <c r="V3782" s="4" t="str">
        <f t="shared" si="296"/>
        <v>Excellent</v>
      </c>
      <c r="W3782" s="4"/>
      <c r="X3782" s="4"/>
      <c r="AJ3782" s="4"/>
    </row>
    <row r="3783" spans="1:36">
      <c r="A3783" t="str">
        <f t="shared" si="297"/>
        <v>Rame563782</v>
      </c>
      <c r="B3783">
        <v>3782</v>
      </c>
      <c r="C3783">
        <v>24</v>
      </c>
      <c r="D3783">
        <v>9</v>
      </c>
      <c r="E3783">
        <v>2024</v>
      </c>
      <c r="F3783" s="1">
        <f t="shared" si="298"/>
        <v>45559</v>
      </c>
      <c r="G3783" s="1" t="s">
        <v>770</v>
      </c>
      <c r="H3783" s="2">
        <v>48259</v>
      </c>
      <c r="I3783" t="s">
        <v>38</v>
      </c>
      <c r="J3783">
        <v>7</v>
      </c>
      <c r="K3783">
        <v>56595.45</v>
      </c>
      <c r="L3783" t="s">
        <v>882</v>
      </c>
      <c r="M3783">
        <v>56</v>
      </c>
      <c r="N3783" t="s">
        <v>61</v>
      </c>
      <c r="O3783" s="3" t="s">
        <v>28</v>
      </c>
      <c r="P3783" t="s">
        <v>64</v>
      </c>
      <c r="Q3783" t="s">
        <v>41</v>
      </c>
      <c r="R3783">
        <v>3</v>
      </c>
      <c r="S3783" t="s">
        <v>48</v>
      </c>
      <c r="T3783" s="4">
        <f t="shared" si="299"/>
        <v>396168.14999999997</v>
      </c>
      <c r="U3783" s="4" t="str">
        <f t="shared" si="300"/>
        <v>Average</v>
      </c>
      <c r="V3783" s="4" t="str">
        <f t="shared" si="296"/>
        <v>Excellent</v>
      </c>
      <c r="W3783" s="4"/>
      <c r="X3783" s="4"/>
      <c r="AJ3783" s="4"/>
    </row>
    <row r="3784" spans="1:36">
      <c r="A3784" t="str">
        <f t="shared" si="297"/>
        <v>Moni283783</v>
      </c>
      <c r="B3784">
        <v>3783</v>
      </c>
      <c r="C3784">
        <v>24</v>
      </c>
      <c r="D3784">
        <v>9</v>
      </c>
      <c r="E3784">
        <v>2024</v>
      </c>
      <c r="F3784" s="1">
        <f t="shared" si="298"/>
        <v>45559</v>
      </c>
      <c r="G3784" s="1" t="s">
        <v>770</v>
      </c>
      <c r="H3784" s="2">
        <v>48260</v>
      </c>
      <c r="I3784" t="s">
        <v>49</v>
      </c>
      <c r="J3784">
        <v>5</v>
      </c>
      <c r="K3784">
        <v>29274.45</v>
      </c>
      <c r="L3784" t="s">
        <v>508</v>
      </c>
      <c r="M3784">
        <v>28</v>
      </c>
      <c r="N3784" t="s">
        <v>36</v>
      </c>
      <c r="O3784" s="3" t="s">
        <v>28</v>
      </c>
      <c r="P3784" t="s">
        <v>77</v>
      </c>
      <c r="Q3784" t="s">
        <v>24</v>
      </c>
      <c r="R3784">
        <v>3</v>
      </c>
      <c r="S3784" t="s">
        <v>102</v>
      </c>
      <c r="T3784" s="4">
        <f t="shared" si="299"/>
        <v>146372.25</v>
      </c>
      <c r="U3784" s="4" t="str">
        <f t="shared" si="300"/>
        <v>Average</v>
      </c>
      <c r="V3784" s="4" t="str">
        <f t="shared" si="296"/>
        <v>Good</v>
      </c>
      <c r="W3784" s="4"/>
      <c r="X3784" s="4"/>
      <c r="AJ3784" s="4"/>
    </row>
    <row r="3785" spans="1:36">
      <c r="A3785" t="str">
        <f t="shared" si="297"/>
        <v>Moni253784</v>
      </c>
      <c r="B3785">
        <v>3784</v>
      </c>
      <c r="C3785">
        <v>24</v>
      </c>
      <c r="D3785">
        <v>9</v>
      </c>
      <c r="E3785">
        <v>2024</v>
      </c>
      <c r="F3785" s="1">
        <f t="shared" si="298"/>
        <v>45559</v>
      </c>
      <c r="G3785" s="1" t="s">
        <v>770</v>
      </c>
      <c r="H3785" s="2">
        <v>48261</v>
      </c>
      <c r="I3785" t="s">
        <v>19</v>
      </c>
      <c r="J3785">
        <v>7</v>
      </c>
      <c r="K3785">
        <v>31382.95</v>
      </c>
      <c r="L3785" t="s">
        <v>865</v>
      </c>
      <c r="M3785">
        <v>25</v>
      </c>
      <c r="N3785" t="s">
        <v>36</v>
      </c>
      <c r="O3785" s="3" t="s">
        <v>55</v>
      </c>
      <c r="P3785" t="s">
        <v>77</v>
      </c>
      <c r="Q3785" t="s">
        <v>30</v>
      </c>
      <c r="R3785">
        <v>2</v>
      </c>
      <c r="S3785" t="s">
        <v>84</v>
      </c>
      <c r="T3785" s="4">
        <f t="shared" si="299"/>
        <v>219680.65</v>
      </c>
      <c r="U3785" s="4" t="str">
        <f t="shared" si="300"/>
        <v>Average</v>
      </c>
      <c r="V3785" s="4" t="str">
        <f t="shared" si="296"/>
        <v>Excellent</v>
      </c>
      <c r="W3785" s="4"/>
      <c r="X3785" s="4"/>
      <c r="AJ3785" s="4"/>
    </row>
    <row r="3786" spans="1:36">
      <c r="A3786" t="str">
        <f t="shared" si="297"/>
        <v>Deep423785</v>
      </c>
      <c r="B3786">
        <v>3785</v>
      </c>
      <c r="C3786">
        <v>25</v>
      </c>
      <c r="D3786">
        <v>9</v>
      </c>
      <c r="E3786">
        <v>2024</v>
      </c>
      <c r="F3786" s="1">
        <f t="shared" si="298"/>
        <v>45560</v>
      </c>
      <c r="G3786" s="1" t="s">
        <v>770</v>
      </c>
      <c r="H3786" s="2">
        <v>48262</v>
      </c>
      <c r="I3786" t="s">
        <v>26</v>
      </c>
      <c r="J3786">
        <v>9</v>
      </c>
      <c r="K3786">
        <v>25369.05</v>
      </c>
      <c r="L3786" t="s">
        <v>321</v>
      </c>
      <c r="M3786">
        <v>42</v>
      </c>
      <c r="N3786" t="s">
        <v>21</v>
      </c>
      <c r="O3786" s="3" t="s">
        <v>28</v>
      </c>
      <c r="P3786" t="s">
        <v>29</v>
      </c>
      <c r="Q3786" t="s">
        <v>41</v>
      </c>
      <c r="R3786">
        <v>3</v>
      </c>
      <c r="S3786" t="s">
        <v>34</v>
      </c>
      <c r="T3786" s="4">
        <f t="shared" si="299"/>
        <v>228321.44999999998</v>
      </c>
      <c r="U3786" s="4" t="str">
        <f t="shared" si="300"/>
        <v>Average</v>
      </c>
      <c r="V3786" s="4" t="str">
        <f t="shared" si="296"/>
        <v>Excellent</v>
      </c>
      <c r="W3786" s="4"/>
      <c r="X3786" s="4"/>
      <c r="AJ3786" s="4"/>
    </row>
    <row r="3787" spans="1:36">
      <c r="A3787" t="str">
        <f t="shared" si="297"/>
        <v>Sumi193786</v>
      </c>
      <c r="B3787">
        <v>3786</v>
      </c>
      <c r="C3787">
        <v>25</v>
      </c>
      <c r="D3787">
        <v>9</v>
      </c>
      <c r="E3787">
        <v>2024</v>
      </c>
      <c r="F3787" s="1">
        <f t="shared" si="298"/>
        <v>45560</v>
      </c>
      <c r="G3787" s="1" t="s">
        <v>770</v>
      </c>
      <c r="H3787" s="2">
        <v>48263</v>
      </c>
      <c r="I3787" t="s">
        <v>38</v>
      </c>
      <c r="J3787">
        <v>8</v>
      </c>
      <c r="K3787">
        <v>25276.560000000001</v>
      </c>
      <c r="L3787" t="s">
        <v>367</v>
      </c>
      <c r="M3787">
        <v>19</v>
      </c>
      <c r="N3787" t="s">
        <v>36</v>
      </c>
      <c r="O3787" s="3" t="s">
        <v>28</v>
      </c>
      <c r="P3787" t="s">
        <v>29</v>
      </c>
      <c r="Q3787" t="s">
        <v>41</v>
      </c>
      <c r="R3787">
        <v>3</v>
      </c>
      <c r="S3787" t="s">
        <v>48</v>
      </c>
      <c r="T3787" s="4">
        <f t="shared" si="299"/>
        <v>202212.48000000001</v>
      </c>
      <c r="U3787" s="4" t="str">
        <f t="shared" si="300"/>
        <v>Average</v>
      </c>
      <c r="V3787" s="4" t="str">
        <f t="shared" si="296"/>
        <v>Excellent</v>
      </c>
      <c r="W3787" s="4"/>
      <c r="X3787" s="4"/>
      <c r="AJ3787" s="4"/>
    </row>
    <row r="3788" spans="1:36">
      <c r="A3788" t="str">
        <f t="shared" si="297"/>
        <v>Shru273787</v>
      </c>
      <c r="B3788">
        <v>3787</v>
      </c>
      <c r="C3788">
        <v>25</v>
      </c>
      <c r="D3788">
        <v>9</v>
      </c>
      <c r="E3788">
        <v>2024</v>
      </c>
      <c r="F3788" s="1">
        <f t="shared" si="298"/>
        <v>45560</v>
      </c>
      <c r="G3788" s="1" t="s">
        <v>770</v>
      </c>
      <c r="H3788" s="2">
        <v>48264</v>
      </c>
      <c r="I3788" t="s">
        <v>38</v>
      </c>
      <c r="J3788">
        <v>6</v>
      </c>
      <c r="K3788">
        <v>66931.83</v>
      </c>
      <c r="L3788" t="s">
        <v>122</v>
      </c>
      <c r="M3788">
        <v>27</v>
      </c>
      <c r="N3788" t="s">
        <v>36</v>
      </c>
      <c r="O3788" s="3" t="s">
        <v>22</v>
      </c>
      <c r="P3788" t="s">
        <v>29</v>
      </c>
      <c r="Q3788" t="s">
        <v>56</v>
      </c>
      <c r="R3788">
        <v>4</v>
      </c>
      <c r="S3788" t="s">
        <v>99</v>
      </c>
      <c r="T3788" s="4">
        <f t="shared" si="299"/>
        <v>401590.98</v>
      </c>
      <c r="U3788" s="4" t="str">
        <f t="shared" si="300"/>
        <v>Good</v>
      </c>
      <c r="V3788" s="4" t="str">
        <f t="shared" si="296"/>
        <v>Excellent</v>
      </c>
      <c r="W3788" s="4"/>
      <c r="X3788" s="4"/>
      <c r="AJ3788" s="4"/>
    </row>
    <row r="3789" spans="1:36">
      <c r="A3789" t="str">
        <f t="shared" si="297"/>
        <v>Bhav413788</v>
      </c>
      <c r="B3789">
        <v>3788</v>
      </c>
      <c r="C3789">
        <v>26</v>
      </c>
      <c r="D3789">
        <v>9</v>
      </c>
      <c r="E3789">
        <v>2024</v>
      </c>
      <c r="F3789" s="1">
        <f t="shared" si="298"/>
        <v>45561</v>
      </c>
      <c r="G3789" s="1" t="s">
        <v>770</v>
      </c>
      <c r="H3789" s="2">
        <v>48265</v>
      </c>
      <c r="I3789" t="s">
        <v>43</v>
      </c>
      <c r="J3789">
        <v>4</v>
      </c>
      <c r="K3789">
        <v>48127.43</v>
      </c>
      <c r="L3789" t="s">
        <v>706</v>
      </c>
      <c r="M3789">
        <v>41</v>
      </c>
      <c r="N3789" t="s">
        <v>21</v>
      </c>
      <c r="O3789" s="3" t="s">
        <v>22</v>
      </c>
      <c r="P3789" t="s">
        <v>33</v>
      </c>
      <c r="Q3789" t="s">
        <v>24</v>
      </c>
      <c r="R3789">
        <v>4</v>
      </c>
      <c r="S3789" t="s">
        <v>95</v>
      </c>
      <c r="T3789" s="4">
        <f t="shared" si="299"/>
        <v>192509.72</v>
      </c>
      <c r="U3789" s="4" t="str">
        <f t="shared" si="300"/>
        <v>Good</v>
      </c>
      <c r="V3789" s="4" t="str">
        <f t="shared" si="296"/>
        <v>Good</v>
      </c>
      <c r="W3789" s="4"/>
      <c r="X3789" s="4"/>
      <c r="AJ3789" s="4"/>
    </row>
    <row r="3790" spans="1:36">
      <c r="A3790" t="str">
        <f t="shared" si="297"/>
        <v>Sanj333789</v>
      </c>
      <c r="B3790">
        <v>3789</v>
      </c>
      <c r="C3790">
        <v>26</v>
      </c>
      <c r="D3790">
        <v>9</v>
      </c>
      <c r="E3790">
        <v>2024</v>
      </c>
      <c r="F3790" s="1">
        <f t="shared" si="298"/>
        <v>45561</v>
      </c>
      <c r="G3790" s="1" t="s">
        <v>770</v>
      </c>
      <c r="H3790" s="2">
        <v>48266</v>
      </c>
      <c r="I3790" t="s">
        <v>43</v>
      </c>
      <c r="J3790">
        <v>1</v>
      </c>
      <c r="K3790">
        <v>19354.07</v>
      </c>
      <c r="L3790" t="s">
        <v>886</v>
      </c>
      <c r="M3790">
        <v>33</v>
      </c>
      <c r="N3790" t="s">
        <v>21</v>
      </c>
      <c r="O3790" s="3" t="s">
        <v>22</v>
      </c>
      <c r="P3790" t="s">
        <v>33</v>
      </c>
      <c r="Q3790" t="s">
        <v>41</v>
      </c>
      <c r="R3790">
        <v>5</v>
      </c>
      <c r="S3790" t="s">
        <v>57</v>
      </c>
      <c r="T3790" s="4">
        <f t="shared" si="299"/>
        <v>19354.07</v>
      </c>
      <c r="U3790" s="4" t="str">
        <f t="shared" si="300"/>
        <v>Good</v>
      </c>
      <c r="V3790" s="4" t="str">
        <f t="shared" si="296"/>
        <v>Low</v>
      </c>
      <c r="W3790" s="4"/>
      <c r="X3790" s="4"/>
      <c r="AJ3790" s="4"/>
    </row>
    <row r="3791" spans="1:36">
      <c r="A3791" t="str">
        <f t="shared" si="297"/>
        <v>Vino363790</v>
      </c>
      <c r="B3791">
        <v>3790</v>
      </c>
      <c r="C3791">
        <v>26</v>
      </c>
      <c r="D3791">
        <v>9</v>
      </c>
      <c r="E3791">
        <v>2024</v>
      </c>
      <c r="F3791" s="1">
        <f t="shared" si="298"/>
        <v>45561</v>
      </c>
      <c r="G3791" s="1" t="s">
        <v>770</v>
      </c>
      <c r="H3791" s="2">
        <v>48267</v>
      </c>
      <c r="I3791" t="s">
        <v>19</v>
      </c>
      <c r="J3791">
        <v>6</v>
      </c>
      <c r="K3791">
        <v>53334.91</v>
      </c>
      <c r="L3791" t="s">
        <v>448</v>
      </c>
      <c r="M3791">
        <v>36</v>
      </c>
      <c r="N3791" t="s">
        <v>21</v>
      </c>
      <c r="O3791" s="3" t="s">
        <v>22</v>
      </c>
      <c r="P3791" t="s">
        <v>33</v>
      </c>
      <c r="Q3791" t="s">
        <v>24</v>
      </c>
      <c r="R3791">
        <v>4</v>
      </c>
      <c r="S3791" t="s">
        <v>25</v>
      </c>
      <c r="T3791" s="4">
        <f t="shared" si="299"/>
        <v>320009.46000000002</v>
      </c>
      <c r="U3791" s="4" t="str">
        <f t="shared" si="300"/>
        <v>Good</v>
      </c>
      <c r="V3791" s="4" t="str">
        <f t="shared" si="296"/>
        <v>Excellent</v>
      </c>
      <c r="W3791" s="4"/>
      <c r="X3791" s="4"/>
      <c r="AJ3791" s="4"/>
    </row>
    <row r="3792" spans="1:36">
      <c r="A3792" t="str">
        <f t="shared" si="297"/>
        <v>Lali483791</v>
      </c>
      <c r="B3792">
        <v>3791</v>
      </c>
      <c r="C3792">
        <v>26</v>
      </c>
      <c r="D3792">
        <v>9</v>
      </c>
      <c r="E3792">
        <v>2024</v>
      </c>
      <c r="F3792" s="1">
        <f t="shared" si="298"/>
        <v>45561</v>
      </c>
      <c r="G3792" s="1" t="s">
        <v>770</v>
      </c>
      <c r="H3792" s="2">
        <v>48268</v>
      </c>
      <c r="I3792" t="s">
        <v>43</v>
      </c>
      <c r="J3792">
        <v>3</v>
      </c>
      <c r="K3792">
        <v>53321.27</v>
      </c>
      <c r="L3792" t="s">
        <v>730</v>
      </c>
      <c r="M3792">
        <v>48</v>
      </c>
      <c r="N3792" t="s">
        <v>61</v>
      </c>
      <c r="O3792" s="3" t="s">
        <v>22</v>
      </c>
      <c r="P3792" t="s">
        <v>59</v>
      </c>
      <c r="Q3792" t="s">
        <v>56</v>
      </c>
      <c r="R3792">
        <v>5</v>
      </c>
      <c r="S3792" t="s">
        <v>57</v>
      </c>
      <c r="T3792" s="4">
        <f t="shared" si="299"/>
        <v>159963.81</v>
      </c>
      <c r="U3792" s="4" t="str">
        <f t="shared" si="300"/>
        <v>Good</v>
      </c>
      <c r="V3792" s="4" t="str">
        <f t="shared" si="296"/>
        <v>Good</v>
      </c>
      <c r="W3792" s="4"/>
      <c r="X3792" s="4"/>
      <c r="AJ3792" s="4"/>
    </row>
    <row r="3793" spans="1:36">
      <c r="A3793" t="str">
        <f t="shared" si="297"/>
        <v>Moni283792</v>
      </c>
      <c r="B3793">
        <v>3792</v>
      </c>
      <c r="C3793">
        <v>27</v>
      </c>
      <c r="D3793">
        <v>9</v>
      </c>
      <c r="E3793">
        <v>2024</v>
      </c>
      <c r="F3793" s="1">
        <f t="shared" si="298"/>
        <v>45562</v>
      </c>
      <c r="G3793" s="1" t="s">
        <v>770</v>
      </c>
      <c r="H3793" s="2">
        <v>48269</v>
      </c>
      <c r="I3793" t="s">
        <v>19</v>
      </c>
      <c r="J3793">
        <v>6</v>
      </c>
      <c r="K3793">
        <v>49988.21</v>
      </c>
      <c r="L3793" t="s">
        <v>985</v>
      </c>
      <c r="M3793">
        <v>28</v>
      </c>
      <c r="N3793" t="s">
        <v>36</v>
      </c>
      <c r="O3793" s="3" t="s">
        <v>22</v>
      </c>
      <c r="P3793" t="s">
        <v>29</v>
      </c>
      <c r="Q3793" t="s">
        <v>41</v>
      </c>
      <c r="R3793">
        <v>4</v>
      </c>
      <c r="S3793" t="s">
        <v>37</v>
      </c>
      <c r="T3793" s="4">
        <f t="shared" si="299"/>
        <v>299929.26</v>
      </c>
      <c r="U3793" s="4" t="str">
        <f t="shared" si="300"/>
        <v>Good</v>
      </c>
      <c r="V3793" s="4" t="str">
        <f t="shared" si="296"/>
        <v>Excellent</v>
      </c>
      <c r="W3793" s="4"/>
      <c r="X3793" s="4"/>
      <c r="AJ3793" s="4"/>
    </row>
    <row r="3794" spans="1:36">
      <c r="A3794" t="str">
        <f t="shared" si="297"/>
        <v>Anit233793</v>
      </c>
      <c r="B3794">
        <v>3793</v>
      </c>
      <c r="C3794">
        <v>27</v>
      </c>
      <c r="D3794">
        <v>9</v>
      </c>
      <c r="E3794">
        <v>2024</v>
      </c>
      <c r="F3794" s="1">
        <f t="shared" si="298"/>
        <v>45562</v>
      </c>
      <c r="G3794" s="1" t="s">
        <v>770</v>
      </c>
      <c r="H3794" s="2">
        <v>48270</v>
      </c>
      <c r="I3794" t="s">
        <v>49</v>
      </c>
      <c r="J3794">
        <v>6</v>
      </c>
      <c r="K3794">
        <v>18083.23</v>
      </c>
      <c r="L3794" t="s">
        <v>561</v>
      </c>
      <c r="M3794">
        <v>23</v>
      </c>
      <c r="N3794" t="s">
        <v>36</v>
      </c>
      <c r="O3794" s="3" t="s">
        <v>22</v>
      </c>
      <c r="P3794" t="s">
        <v>29</v>
      </c>
      <c r="Q3794" t="s">
        <v>41</v>
      </c>
      <c r="R3794">
        <v>5</v>
      </c>
      <c r="S3794" t="s">
        <v>88</v>
      </c>
      <c r="T3794" s="4">
        <f t="shared" si="299"/>
        <v>108499.38</v>
      </c>
      <c r="U3794" s="4" t="str">
        <f t="shared" si="300"/>
        <v>Good</v>
      </c>
      <c r="V3794" s="4" t="str">
        <f t="shared" si="296"/>
        <v>Good</v>
      </c>
      <c r="W3794" s="4"/>
      <c r="X3794" s="4"/>
      <c r="AJ3794" s="4"/>
    </row>
    <row r="3795" spans="1:36">
      <c r="A3795" t="str">
        <f t="shared" si="297"/>
        <v>Sumi233794</v>
      </c>
      <c r="B3795">
        <v>3794</v>
      </c>
      <c r="C3795">
        <v>27</v>
      </c>
      <c r="D3795">
        <v>9</v>
      </c>
      <c r="E3795">
        <v>2024</v>
      </c>
      <c r="F3795" s="1">
        <f t="shared" si="298"/>
        <v>45562</v>
      </c>
      <c r="G3795" s="1" t="s">
        <v>770</v>
      </c>
      <c r="H3795" s="2">
        <v>48271</v>
      </c>
      <c r="I3795" t="s">
        <v>19</v>
      </c>
      <c r="J3795">
        <v>4</v>
      </c>
      <c r="K3795">
        <v>34479.49</v>
      </c>
      <c r="L3795" t="s">
        <v>256</v>
      </c>
      <c r="M3795">
        <v>23</v>
      </c>
      <c r="N3795" t="s">
        <v>36</v>
      </c>
      <c r="O3795" s="3" t="s">
        <v>22</v>
      </c>
      <c r="P3795" t="s">
        <v>137</v>
      </c>
      <c r="Q3795" t="s">
        <v>30</v>
      </c>
      <c r="R3795">
        <v>4</v>
      </c>
      <c r="S3795" t="s">
        <v>84</v>
      </c>
      <c r="T3795" s="4">
        <f t="shared" si="299"/>
        <v>137917.96</v>
      </c>
      <c r="U3795" s="4" t="str">
        <f t="shared" si="300"/>
        <v>Good</v>
      </c>
      <c r="V3795" s="4" t="str">
        <f t="shared" si="296"/>
        <v>Good</v>
      </c>
      <c r="W3795" s="4"/>
      <c r="X3795" s="4"/>
      <c r="AJ3795" s="4"/>
    </row>
    <row r="3796" spans="1:36">
      <c r="A3796" t="str">
        <f t="shared" si="297"/>
        <v>Hari493795</v>
      </c>
      <c r="B3796">
        <v>3795</v>
      </c>
      <c r="C3796">
        <v>27</v>
      </c>
      <c r="D3796">
        <v>9</v>
      </c>
      <c r="E3796">
        <v>2024</v>
      </c>
      <c r="F3796" s="1">
        <f t="shared" si="298"/>
        <v>45562</v>
      </c>
      <c r="G3796" s="1" t="s">
        <v>770</v>
      </c>
      <c r="H3796" s="2">
        <v>48272</v>
      </c>
      <c r="I3796" t="s">
        <v>43</v>
      </c>
      <c r="J3796">
        <v>2</v>
      </c>
      <c r="K3796">
        <v>16405.38</v>
      </c>
      <c r="L3796" t="s">
        <v>529</v>
      </c>
      <c r="M3796">
        <v>49</v>
      </c>
      <c r="N3796" t="s">
        <v>61</v>
      </c>
      <c r="O3796" s="3" t="s">
        <v>22</v>
      </c>
      <c r="P3796" t="s">
        <v>51</v>
      </c>
      <c r="Q3796" t="s">
        <v>56</v>
      </c>
      <c r="R3796">
        <v>4</v>
      </c>
      <c r="S3796" t="s">
        <v>95</v>
      </c>
      <c r="T3796" s="4">
        <f t="shared" si="299"/>
        <v>32810.76</v>
      </c>
      <c r="U3796" s="4" t="str">
        <f t="shared" si="300"/>
        <v>Good</v>
      </c>
      <c r="V3796" s="4" t="str">
        <f t="shared" si="296"/>
        <v>Low</v>
      </c>
      <c r="W3796" s="4"/>
      <c r="X3796" s="4"/>
      <c r="AJ3796" s="4"/>
    </row>
    <row r="3797" spans="1:36">
      <c r="A3797" t="str">
        <f t="shared" si="297"/>
        <v>Gita563796</v>
      </c>
      <c r="B3797">
        <v>3796</v>
      </c>
      <c r="C3797">
        <v>28</v>
      </c>
      <c r="D3797">
        <v>9</v>
      </c>
      <c r="E3797">
        <v>2024</v>
      </c>
      <c r="F3797" s="1">
        <f t="shared" si="298"/>
        <v>45563</v>
      </c>
      <c r="G3797" s="1" t="s">
        <v>770</v>
      </c>
      <c r="H3797" s="2">
        <v>48273</v>
      </c>
      <c r="I3797" t="s">
        <v>49</v>
      </c>
      <c r="J3797">
        <v>9</v>
      </c>
      <c r="K3797">
        <v>58997.23</v>
      </c>
      <c r="L3797" t="s">
        <v>758</v>
      </c>
      <c r="M3797">
        <v>56</v>
      </c>
      <c r="N3797" t="s">
        <v>61</v>
      </c>
      <c r="O3797" s="3" t="s">
        <v>55</v>
      </c>
      <c r="P3797" t="s">
        <v>90</v>
      </c>
      <c r="Q3797" t="s">
        <v>30</v>
      </c>
      <c r="R3797">
        <v>2</v>
      </c>
      <c r="S3797" t="s">
        <v>102</v>
      </c>
      <c r="T3797" s="4">
        <f t="shared" si="299"/>
        <v>530975.07000000007</v>
      </c>
      <c r="U3797" s="4" t="str">
        <f t="shared" si="300"/>
        <v>Average</v>
      </c>
      <c r="V3797" s="4" t="str">
        <f t="shared" si="296"/>
        <v>Excellent</v>
      </c>
      <c r="W3797" s="4"/>
      <c r="X3797" s="4"/>
      <c r="AJ3797" s="4"/>
    </row>
    <row r="3798" spans="1:36">
      <c r="A3798" t="str">
        <f t="shared" si="297"/>
        <v>Sumi303797</v>
      </c>
      <c r="B3798">
        <v>3797</v>
      </c>
      <c r="C3798">
        <v>28</v>
      </c>
      <c r="D3798">
        <v>9</v>
      </c>
      <c r="E3798">
        <v>2024</v>
      </c>
      <c r="F3798" s="1">
        <f t="shared" si="298"/>
        <v>45563</v>
      </c>
      <c r="G3798" s="1" t="s">
        <v>770</v>
      </c>
      <c r="H3798" s="2">
        <v>48274</v>
      </c>
      <c r="I3798" t="s">
        <v>43</v>
      </c>
      <c r="J3798">
        <v>2</v>
      </c>
      <c r="K3798">
        <v>49310.33</v>
      </c>
      <c r="L3798" t="s">
        <v>226</v>
      </c>
      <c r="M3798">
        <v>30</v>
      </c>
      <c r="N3798" t="s">
        <v>36</v>
      </c>
      <c r="O3798" s="3" t="s">
        <v>22</v>
      </c>
      <c r="P3798" t="s">
        <v>29</v>
      </c>
      <c r="Q3798" t="s">
        <v>56</v>
      </c>
      <c r="R3798">
        <v>4</v>
      </c>
      <c r="S3798" t="s">
        <v>57</v>
      </c>
      <c r="T3798" s="4">
        <f t="shared" si="299"/>
        <v>98620.66</v>
      </c>
      <c r="U3798" s="4" t="str">
        <f t="shared" si="300"/>
        <v>Good</v>
      </c>
      <c r="V3798" s="4" t="str">
        <f t="shared" si="296"/>
        <v>Average</v>
      </c>
      <c r="W3798" s="4"/>
      <c r="X3798" s="4"/>
      <c r="AJ3798" s="4"/>
    </row>
    <row r="3799" spans="1:36">
      <c r="A3799" t="str">
        <f t="shared" si="297"/>
        <v>Hari203798</v>
      </c>
      <c r="B3799">
        <v>3798</v>
      </c>
      <c r="C3799">
        <v>28</v>
      </c>
      <c r="D3799">
        <v>9</v>
      </c>
      <c r="E3799">
        <v>2024</v>
      </c>
      <c r="F3799" s="1">
        <f t="shared" si="298"/>
        <v>45563</v>
      </c>
      <c r="G3799" s="1" t="s">
        <v>770</v>
      </c>
      <c r="H3799" s="2">
        <v>48275</v>
      </c>
      <c r="I3799" t="s">
        <v>19</v>
      </c>
      <c r="J3799">
        <v>3</v>
      </c>
      <c r="K3799">
        <v>40432.239999999998</v>
      </c>
      <c r="L3799" t="s">
        <v>472</v>
      </c>
      <c r="M3799">
        <v>20</v>
      </c>
      <c r="N3799" t="s">
        <v>36</v>
      </c>
      <c r="O3799" s="3" t="s">
        <v>22</v>
      </c>
      <c r="P3799" t="s">
        <v>29</v>
      </c>
      <c r="Q3799" t="s">
        <v>30</v>
      </c>
      <c r="R3799">
        <v>5</v>
      </c>
      <c r="S3799" t="s">
        <v>37</v>
      </c>
      <c r="T3799" s="4">
        <f t="shared" si="299"/>
        <v>121296.72</v>
      </c>
      <c r="U3799" s="4" t="str">
        <f t="shared" si="300"/>
        <v>Good</v>
      </c>
      <c r="V3799" s="4" t="str">
        <f t="shared" si="296"/>
        <v>Good</v>
      </c>
      <c r="W3799" s="4"/>
      <c r="X3799" s="4"/>
      <c r="AJ3799" s="4"/>
    </row>
    <row r="3800" spans="1:36">
      <c r="A3800" t="str">
        <f t="shared" si="297"/>
        <v>Yoge583799</v>
      </c>
      <c r="B3800">
        <v>3799</v>
      </c>
      <c r="C3800">
        <v>29</v>
      </c>
      <c r="D3800">
        <v>9</v>
      </c>
      <c r="E3800">
        <v>2024</v>
      </c>
      <c r="F3800" s="1">
        <f t="shared" si="298"/>
        <v>45564</v>
      </c>
      <c r="G3800" s="1" t="s">
        <v>770</v>
      </c>
      <c r="H3800" s="2">
        <v>48276</v>
      </c>
      <c r="I3800" t="s">
        <v>26</v>
      </c>
      <c r="J3800">
        <v>1</v>
      </c>
      <c r="K3800">
        <v>30580.93</v>
      </c>
      <c r="L3800" t="s">
        <v>81</v>
      </c>
      <c r="M3800">
        <v>58</v>
      </c>
      <c r="N3800" t="s">
        <v>61</v>
      </c>
      <c r="O3800" s="3" t="s">
        <v>55</v>
      </c>
      <c r="P3800" t="s">
        <v>40</v>
      </c>
      <c r="Q3800" t="s">
        <v>56</v>
      </c>
      <c r="R3800">
        <v>2</v>
      </c>
      <c r="S3800" t="s">
        <v>67</v>
      </c>
      <c r="T3800" s="4">
        <f t="shared" si="299"/>
        <v>30580.93</v>
      </c>
      <c r="U3800" s="4" t="str">
        <f t="shared" si="300"/>
        <v>Average</v>
      </c>
      <c r="V3800" s="4" t="str">
        <f t="shared" si="296"/>
        <v>Low</v>
      </c>
      <c r="W3800" s="4"/>
      <c r="X3800" s="4"/>
      <c r="AJ3800" s="4"/>
    </row>
    <row r="3801" spans="1:36">
      <c r="A3801" t="str">
        <f t="shared" si="297"/>
        <v>Priy523800</v>
      </c>
      <c r="B3801">
        <v>3800</v>
      </c>
      <c r="C3801">
        <v>29</v>
      </c>
      <c r="D3801">
        <v>9</v>
      </c>
      <c r="E3801">
        <v>2024</v>
      </c>
      <c r="F3801" s="1">
        <f t="shared" si="298"/>
        <v>45564</v>
      </c>
      <c r="G3801" s="1" t="s">
        <v>770</v>
      </c>
      <c r="H3801" s="2">
        <v>48277</v>
      </c>
      <c r="I3801" t="s">
        <v>38</v>
      </c>
      <c r="J3801">
        <v>7</v>
      </c>
      <c r="K3801">
        <v>21054.97</v>
      </c>
      <c r="L3801" t="s">
        <v>588</v>
      </c>
      <c r="M3801">
        <v>52</v>
      </c>
      <c r="N3801" t="s">
        <v>61</v>
      </c>
      <c r="O3801" s="3" t="s">
        <v>22</v>
      </c>
      <c r="P3801" t="s">
        <v>77</v>
      </c>
      <c r="Q3801" t="s">
        <v>56</v>
      </c>
      <c r="R3801">
        <v>5</v>
      </c>
      <c r="S3801" t="s">
        <v>99</v>
      </c>
      <c r="T3801" s="4">
        <f t="shared" si="299"/>
        <v>147384.79</v>
      </c>
      <c r="U3801" s="4" t="str">
        <f t="shared" si="300"/>
        <v>Good</v>
      </c>
      <c r="V3801" s="4" t="str">
        <f t="shared" si="296"/>
        <v>Good</v>
      </c>
      <c r="W3801" s="4"/>
      <c r="X3801" s="4"/>
      <c r="AJ3801" s="4"/>
    </row>
    <row r="3802" spans="1:36">
      <c r="A3802" t="str">
        <f t="shared" si="297"/>
        <v>Anan553801</v>
      </c>
      <c r="B3802">
        <v>3801</v>
      </c>
      <c r="C3802">
        <v>29</v>
      </c>
      <c r="D3802">
        <v>9</v>
      </c>
      <c r="E3802">
        <v>2024</v>
      </c>
      <c r="F3802" s="1">
        <f t="shared" si="298"/>
        <v>45564</v>
      </c>
      <c r="G3802" s="1" t="s">
        <v>770</v>
      </c>
      <c r="H3802" s="2">
        <v>48278</v>
      </c>
      <c r="I3802" t="s">
        <v>43</v>
      </c>
      <c r="J3802">
        <v>1</v>
      </c>
      <c r="K3802">
        <v>16386.86</v>
      </c>
      <c r="L3802" t="s">
        <v>248</v>
      </c>
      <c r="M3802">
        <v>55</v>
      </c>
      <c r="N3802" t="s">
        <v>61</v>
      </c>
      <c r="O3802" s="3" t="s">
        <v>22</v>
      </c>
      <c r="P3802" t="s">
        <v>33</v>
      </c>
      <c r="Q3802" t="s">
        <v>41</v>
      </c>
      <c r="R3802">
        <v>4</v>
      </c>
      <c r="S3802" t="s">
        <v>46</v>
      </c>
      <c r="T3802" s="4">
        <f t="shared" si="299"/>
        <v>16386.86</v>
      </c>
      <c r="U3802" s="4" t="str">
        <f t="shared" si="300"/>
        <v>Good</v>
      </c>
      <c r="V3802" s="4" t="str">
        <f t="shared" si="296"/>
        <v>Low</v>
      </c>
      <c r="W3802" s="4"/>
      <c r="X3802" s="4"/>
      <c r="AJ3802" s="4"/>
    </row>
    <row r="3803" spans="1:36">
      <c r="A3803" t="str">
        <f t="shared" si="297"/>
        <v>Moni343802</v>
      </c>
      <c r="B3803">
        <v>3802</v>
      </c>
      <c r="C3803">
        <v>30</v>
      </c>
      <c r="D3803">
        <v>9</v>
      </c>
      <c r="E3803">
        <v>2024</v>
      </c>
      <c r="F3803" s="1">
        <f t="shared" si="298"/>
        <v>45565</v>
      </c>
      <c r="G3803" s="1" t="s">
        <v>770</v>
      </c>
      <c r="H3803" s="2">
        <v>48279</v>
      </c>
      <c r="I3803" t="s">
        <v>19</v>
      </c>
      <c r="J3803">
        <v>9</v>
      </c>
      <c r="K3803">
        <v>68154.44</v>
      </c>
      <c r="L3803" t="s">
        <v>586</v>
      </c>
      <c r="M3803">
        <v>34</v>
      </c>
      <c r="N3803" t="s">
        <v>21</v>
      </c>
      <c r="O3803" s="3" t="s">
        <v>22</v>
      </c>
      <c r="P3803" t="s">
        <v>93</v>
      </c>
      <c r="Q3803" t="s">
        <v>30</v>
      </c>
      <c r="R3803">
        <v>4</v>
      </c>
      <c r="S3803" t="s">
        <v>25</v>
      </c>
      <c r="T3803" s="4">
        <f t="shared" si="299"/>
        <v>613389.96</v>
      </c>
      <c r="U3803" s="4" t="str">
        <f t="shared" si="300"/>
        <v>Good</v>
      </c>
      <c r="V3803" s="4" t="str">
        <f t="shared" si="296"/>
        <v>Excellent</v>
      </c>
      <c r="W3803" s="4"/>
      <c r="X3803" s="4"/>
      <c r="AJ3803" s="4"/>
    </row>
    <row r="3804" spans="1:36">
      <c r="A3804" t="str">
        <f t="shared" si="297"/>
        <v>Sach203803</v>
      </c>
      <c r="B3804">
        <v>3803</v>
      </c>
      <c r="C3804">
        <v>30</v>
      </c>
      <c r="D3804">
        <v>9</v>
      </c>
      <c r="E3804">
        <v>2024</v>
      </c>
      <c r="F3804" s="1">
        <f t="shared" si="298"/>
        <v>45565</v>
      </c>
      <c r="G3804" s="1" t="s">
        <v>770</v>
      </c>
      <c r="H3804" s="2">
        <v>48280</v>
      </c>
      <c r="I3804" t="s">
        <v>49</v>
      </c>
      <c r="J3804">
        <v>1</v>
      </c>
      <c r="K3804">
        <v>21978.92</v>
      </c>
      <c r="L3804" t="s">
        <v>536</v>
      </c>
      <c r="M3804">
        <v>20</v>
      </c>
      <c r="N3804" t="s">
        <v>36</v>
      </c>
      <c r="O3804" s="3" t="s">
        <v>22</v>
      </c>
      <c r="P3804" t="s">
        <v>29</v>
      </c>
      <c r="Q3804" t="s">
        <v>30</v>
      </c>
      <c r="R3804">
        <v>5</v>
      </c>
      <c r="S3804" t="s">
        <v>88</v>
      </c>
      <c r="T3804" s="4">
        <f t="shared" si="299"/>
        <v>21978.92</v>
      </c>
      <c r="U3804" s="4" t="str">
        <f t="shared" si="300"/>
        <v>Good</v>
      </c>
      <c r="V3804" s="4" t="str">
        <f t="shared" si="296"/>
        <v>Low</v>
      </c>
      <c r="W3804" s="4"/>
      <c r="X3804" s="4"/>
      <c r="AJ3804" s="4"/>
    </row>
    <row r="3805" spans="1:36">
      <c r="A3805" t="str">
        <f t="shared" si="297"/>
        <v>Kira513804</v>
      </c>
      <c r="B3805">
        <v>3804</v>
      </c>
      <c r="C3805">
        <v>30</v>
      </c>
      <c r="D3805">
        <v>9</v>
      </c>
      <c r="E3805">
        <v>2024</v>
      </c>
      <c r="F3805" s="1">
        <f t="shared" si="298"/>
        <v>45565</v>
      </c>
      <c r="G3805" s="1" t="s">
        <v>770</v>
      </c>
      <c r="H3805" s="2">
        <v>48281</v>
      </c>
      <c r="I3805" t="s">
        <v>43</v>
      </c>
      <c r="J3805">
        <v>5</v>
      </c>
      <c r="K3805">
        <v>13592.48</v>
      </c>
      <c r="L3805" t="s">
        <v>1025</v>
      </c>
      <c r="M3805">
        <v>51</v>
      </c>
      <c r="N3805" t="s">
        <v>61</v>
      </c>
      <c r="O3805" s="3" t="s">
        <v>28</v>
      </c>
      <c r="P3805" t="s">
        <v>51</v>
      </c>
      <c r="Q3805" t="s">
        <v>30</v>
      </c>
      <c r="R3805">
        <v>3</v>
      </c>
      <c r="S3805" t="s">
        <v>57</v>
      </c>
      <c r="T3805" s="4">
        <f t="shared" si="299"/>
        <v>67962.399999999994</v>
      </c>
      <c r="U3805" s="4" t="str">
        <f t="shared" si="300"/>
        <v>Average</v>
      </c>
      <c r="V3805" s="4" t="str">
        <f t="shared" si="296"/>
        <v>Average</v>
      </c>
      <c r="W3805" s="4"/>
      <c r="X3805" s="4"/>
      <c r="AJ3805" s="4"/>
    </row>
    <row r="3806" spans="1:36">
      <c r="A3806" t="str">
        <f t="shared" si="297"/>
        <v>Priy293805</v>
      </c>
      <c r="B3806">
        <v>3805</v>
      </c>
      <c r="C3806">
        <v>30</v>
      </c>
      <c r="D3806">
        <v>9</v>
      </c>
      <c r="E3806">
        <v>2024</v>
      </c>
      <c r="F3806" s="1">
        <f t="shared" si="298"/>
        <v>45565</v>
      </c>
      <c r="G3806" s="1" t="s">
        <v>770</v>
      </c>
      <c r="H3806" s="2">
        <v>48282</v>
      </c>
      <c r="I3806" t="s">
        <v>43</v>
      </c>
      <c r="J3806">
        <v>7</v>
      </c>
      <c r="K3806">
        <v>67700.009999999995</v>
      </c>
      <c r="L3806" t="s">
        <v>467</v>
      </c>
      <c r="M3806">
        <v>29</v>
      </c>
      <c r="N3806" t="s">
        <v>36</v>
      </c>
      <c r="O3806" s="3" t="s">
        <v>55</v>
      </c>
      <c r="P3806" t="s">
        <v>33</v>
      </c>
      <c r="Q3806" t="s">
        <v>41</v>
      </c>
      <c r="R3806">
        <v>2</v>
      </c>
      <c r="S3806" t="s">
        <v>46</v>
      </c>
      <c r="T3806" s="4">
        <f t="shared" si="299"/>
        <v>473900.06999999995</v>
      </c>
      <c r="U3806" s="4" t="str">
        <f t="shared" si="300"/>
        <v>Average</v>
      </c>
      <c r="V3806" s="4" t="str">
        <f t="shared" si="296"/>
        <v>Excellent</v>
      </c>
      <c r="W3806" s="4"/>
      <c r="X3806" s="4"/>
      <c r="AJ3806" s="4"/>
    </row>
    <row r="3807" spans="1:36">
      <c r="A3807" t="str">
        <f t="shared" si="297"/>
        <v>Lata413806</v>
      </c>
      <c r="B3807">
        <v>3806</v>
      </c>
      <c r="C3807">
        <v>1</v>
      </c>
      <c r="D3807">
        <v>10</v>
      </c>
      <c r="E3807">
        <v>2024</v>
      </c>
      <c r="F3807" s="1">
        <f t="shared" si="298"/>
        <v>45566</v>
      </c>
      <c r="G3807" s="1" t="s">
        <v>18</v>
      </c>
      <c r="H3807" s="2">
        <v>48283</v>
      </c>
      <c r="I3807" t="s">
        <v>38</v>
      </c>
      <c r="J3807">
        <v>3</v>
      </c>
      <c r="K3807">
        <v>42937.1</v>
      </c>
      <c r="L3807" t="s">
        <v>1001</v>
      </c>
      <c r="M3807">
        <v>41</v>
      </c>
      <c r="N3807" t="s">
        <v>21</v>
      </c>
      <c r="O3807" s="3" t="s">
        <v>55</v>
      </c>
      <c r="P3807" t="s">
        <v>137</v>
      </c>
      <c r="Q3807" t="s">
        <v>24</v>
      </c>
      <c r="R3807">
        <v>2</v>
      </c>
      <c r="S3807" t="s">
        <v>48</v>
      </c>
      <c r="T3807" s="4">
        <f t="shared" si="299"/>
        <v>128811.29999999999</v>
      </c>
      <c r="U3807" s="4" t="str">
        <f t="shared" si="300"/>
        <v>Average</v>
      </c>
      <c r="V3807" s="4" t="str">
        <f t="shared" si="296"/>
        <v>Good</v>
      </c>
      <c r="W3807" s="4"/>
      <c r="X3807" s="4"/>
      <c r="AJ3807" s="4"/>
    </row>
    <row r="3808" spans="1:36">
      <c r="A3808" t="str">
        <f t="shared" si="297"/>
        <v>Jyot233807</v>
      </c>
      <c r="B3808">
        <v>3807</v>
      </c>
      <c r="C3808">
        <v>1</v>
      </c>
      <c r="D3808">
        <v>10</v>
      </c>
      <c r="E3808">
        <v>2024</v>
      </c>
      <c r="F3808" s="1">
        <f t="shared" si="298"/>
        <v>45566</v>
      </c>
      <c r="G3808" s="1" t="s">
        <v>18</v>
      </c>
      <c r="H3808" s="2">
        <v>48284</v>
      </c>
      <c r="I3808" t="s">
        <v>19</v>
      </c>
      <c r="J3808">
        <v>9</v>
      </c>
      <c r="K3808">
        <v>57799.4</v>
      </c>
      <c r="L3808" t="s">
        <v>950</v>
      </c>
      <c r="M3808">
        <v>23</v>
      </c>
      <c r="N3808" t="s">
        <v>36</v>
      </c>
      <c r="O3808" s="3" t="s">
        <v>22</v>
      </c>
      <c r="P3808" t="s">
        <v>150</v>
      </c>
      <c r="Q3808" t="s">
        <v>56</v>
      </c>
      <c r="R3808">
        <v>4</v>
      </c>
      <c r="S3808" t="s">
        <v>25</v>
      </c>
      <c r="T3808" s="4">
        <f t="shared" si="299"/>
        <v>520194.60000000003</v>
      </c>
      <c r="U3808" s="4" t="str">
        <f t="shared" si="300"/>
        <v>Good</v>
      </c>
      <c r="V3808" s="4" t="str">
        <f t="shared" si="296"/>
        <v>Excellent</v>
      </c>
      <c r="W3808" s="4"/>
      <c r="X3808" s="4"/>
      <c r="AJ3808" s="4"/>
    </row>
    <row r="3809" spans="1:24">
      <c r="A3809" t="str">
        <f t="shared" si="297"/>
        <v>Anan593808</v>
      </c>
      <c r="B3809">
        <v>3808</v>
      </c>
      <c r="C3809">
        <v>1</v>
      </c>
      <c r="D3809">
        <v>10</v>
      </c>
      <c r="E3809">
        <v>2024</v>
      </c>
      <c r="F3809" s="1">
        <f t="shared" si="298"/>
        <v>45566</v>
      </c>
      <c r="G3809" s="1" t="s">
        <v>18</v>
      </c>
      <c r="H3809" s="2">
        <v>48285</v>
      </c>
      <c r="I3809" t="s">
        <v>26</v>
      </c>
      <c r="J3809">
        <v>8</v>
      </c>
      <c r="K3809">
        <v>12625.95</v>
      </c>
      <c r="L3809" t="s">
        <v>1066</v>
      </c>
      <c r="M3809">
        <v>59</v>
      </c>
      <c r="N3809" t="s">
        <v>61</v>
      </c>
      <c r="O3809" s="3" t="s">
        <v>55</v>
      </c>
      <c r="P3809" t="s">
        <v>29</v>
      </c>
      <c r="Q3809" t="s">
        <v>30</v>
      </c>
      <c r="R3809">
        <v>2</v>
      </c>
      <c r="S3809" t="s">
        <v>31</v>
      </c>
      <c r="T3809" s="4">
        <f t="shared" si="299"/>
        <v>101007.6</v>
      </c>
      <c r="U3809" s="4" t="str">
        <f t="shared" si="300"/>
        <v>Average</v>
      </c>
      <c r="V3809" s="4" t="str">
        <f t="shared" si="296"/>
        <v>Good</v>
      </c>
      <c r="W3809" s="4"/>
      <c r="X3809" s="4"/>
    </row>
    <row r="3810" spans="1:24">
      <c r="A3810" t="str">
        <f t="shared" si="297"/>
        <v>Suni283809</v>
      </c>
      <c r="B3810">
        <v>3809</v>
      </c>
      <c r="C3810">
        <v>1</v>
      </c>
      <c r="D3810">
        <v>10</v>
      </c>
      <c r="E3810">
        <v>2024</v>
      </c>
      <c r="F3810" s="1">
        <f t="shared" si="298"/>
        <v>45566</v>
      </c>
      <c r="G3810" s="1" t="s">
        <v>18</v>
      </c>
      <c r="H3810" s="2">
        <v>48286</v>
      </c>
      <c r="I3810" t="s">
        <v>49</v>
      </c>
      <c r="J3810">
        <v>3</v>
      </c>
      <c r="K3810">
        <v>44016.75</v>
      </c>
      <c r="L3810" t="s">
        <v>430</v>
      </c>
      <c r="M3810">
        <v>28</v>
      </c>
      <c r="N3810" t="s">
        <v>36</v>
      </c>
      <c r="O3810" s="3" t="s">
        <v>22</v>
      </c>
      <c r="P3810" t="s">
        <v>29</v>
      </c>
      <c r="Q3810" t="s">
        <v>56</v>
      </c>
      <c r="R3810">
        <v>5</v>
      </c>
      <c r="S3810" t="s">
        <v>102</v>
      </c>
      <c r="T3810" s="4">
        <f t="shared" si="299"/>
        <v>132050.25</v>
      </c>
      <c r="U3810" s="4" t="str">
        <f t="shared" si="300"/>
        <v>Good</v>
      </c>
      <c r="V3810" s="4" t="str">
        <f t="shared" si="296"/>
        <v>Good</v>
      </c>
      <c r="W3810" s="4"/>
      <c r="X3810" s="4"/>
    </row>
    <row r="3811" spans="1:24">
      <c r="A3811" t="str">
        <f t="shared" si="297"/>
        <v>Reen443810</v>
      </c>
      <c r="B3811">
        <v>3810</v>
      </c>
      <c r="C3811">
        <v>2</v>
      </c>
      <c r="D3811">
        <v>10</v>
      </c>
      <c r="E3811">
        <v>2024</v>
      </c>
      <c r="F3811" s="1">
        <f t="shared" si="298"/>
        <v>45567</v>
      </c>
      <c r="G3811" s="1" t="s">
        <v>18</v>
      </c>
      <c r="H3811" s="2">
        <v>48287</v>
      </c>
      <c r="I3811" t="s">
        <v>19</v>
      </c>
      <c r="J3811">
        <v>5</v>
      </c>
      <c r="K3811">
        <v>33892.6</v>
      </c>
      <c r="L3811" t="s">
        <v>651</v>
      </c>
      <c r="M3811">
        <v>44</v>
      </c>
      <c r="N3811" t="s">
        <v>21</v>
      </c>
      <c r="O3811" s="3" t="s">
        <v>22</v>
      </c>
      <c r="P3811" t="s">
        <v>45</v>
      </c>
      <c r="Q3811" t="s">
        <v>41</v>
      </c>
      <c r="R3811">
        <v>4</v>
      </c>
      <c r="S3811" t="s">
        <v>84</v>
      </c>
      <c r="T3811" s="4">
        <f t="shared" si="299"/>
        <v>169463</v>
      </c>
      <c r="U3811" s="4" t="str">
        <f t="shared" si="300"/>
        <v>Good</v>
      </c>
      <c r="V3811" s="4" t="str">
        <f t="shared" si="296"/>
        <v>Good</v>
      </c>
      <c r="W3811" s="4"/>
      <c r="X3811" s="4"/>
    </row>
    <row r="3812" spans="1:24">
      <c r="A3812" t="str">
        <f t="shared" si="297"/>
        <v>Rame413811</v>
      </c>
      <c r="B3812">
        <v>3811</v>
      </c>
      <c r="C3812">
        <v>2</v>
      </c>
      <c r="D3812">
        <v>10</v>
      </c>
      <c r="E3812">
        <v>2024</v>
      </c>
      <c r="F3812" s="1">
        <f t="shared" si="298"/>
        <v>45567</v>
      </c>
      <c r="G3812" s="1" t="s">
        <v>18</v>
      </c>
      <c r="H3812" s="2">
        <v>48288</v>
      </c>
      <c r="I3812" t="s">
        <v>49</v>
      </c>
      <c r="J3812">
        <v>7</v>
      </c>
      <c r="K3812">
        <v>56317.87</v>
      </c>
      <c r="L3812" t="s">
        <v>458</v>
      </c>
      <c r="M3812">
        <v>41</v>
      </c>
      <c r="N3812" t="s">
        <v>21</v>
      </c>
      <c r="O3812" s="3" t="s">
        <v>55</v>
      </c>
      <c r="P3812" t="s">
        <v>70</v>
      </c>
      <c r="Q3812" t="s">
        <v>56</v>
      </c>
      <c r="R3812">
        <v>2</v>
      </c>
      <c r="S3812" t="s">
        <v>88</v>
      </c>
      <c r="T3812" s="4">
        <f t="shared" si="299"/>
        <v>394225.09</v>
      </c>
      <c r="U3812" s="4" t="str">
        <f t="shared" si="300"/>
        <v>Average</v>
      </c>
      <c r="V3812" s="4" t="str">
        <f t="shared" si="296"/>
        <v>Excellent</v>
      </c>
      <c r="W3812" s="4"/>
      <c r="X3812" s="4"/>
    </row>
    <row r="3813" spans="1:24">
      <c r="A3813" t="str">
        <f t="shared" si="297"/>
        <v>Rame353812</v>
      </c>
      <c r="B3813">
        <v>3812</v>
      </c>
      <c r="C3813">
        <v>2</v>
      </c>
      <c r="D3813">
        <v>10</v>
      </c>
      <c r="E3813">
        <v>2024</v>
      </c>
      <c r="F3813" s="1">
        <f t="shared" si="298"/>
        <v>45567</v>
      </c>
      <c r="G3813" s="1" t="s">
        <v>18</v>
      </c>
      <c r="H3813" s="2">
        <v>48289</v>
      </c>
      <c r="I3813" t="s">
        <v>43</v>
      </c>
      <c r="J3813">
        <v>4</v>
      </c>
      <c r="K3813">
        <v>12305.54</v>
      </c>
      <c r="L3813" t="s">
        <v>130</v>
      </c>
      <c r="M3813">
        <v>35</v>
      </c>
      <c r="N3813" t="s">
        <v>21</v>
      </c>
      <c r="O3813" s="3" t="s">
        <v>22</v>
      </c>
      <c r="P3813" t="s">
        <v>93</v>
      </c>
      <c r="Q3813" t="s">
        <v>41</v>
      </c>
      <c r="R3813">
        <v>5</v>
      </c>
      <c r="S3813" t="s">
        <v>57</v>
      </c>
      <c r="T3813" s="4">
        <f t="shared" si="299"/>
        <v>49222.16</v>
      </c>
      <c r="U3813" s="4" t="str">
        <f t="shared" si="300"/>
        <v>Good</v>
      </c>
      <c r="V3813" s="4" t="str">
        <f t="shared" si="296"/>
        <v>Low</v>
      </c>
      <c r="W3813" s="4"/>
      <c r="X3813" s="4"/>
    </row>
    <row r="3814" spans="1:24">
      <c r="A3814" t="str">
        <f t="shared" si="297"/>
        <v>Arun443813</v>
      </c>
      <c r="B3814">
        <v>3813</v>
      </c>
      <c r="C3814">
        <v>2</v>
      </c>
      <c r="D3814">
        <v>10</v>
      </c>
      <c r="E3814">
        <v>2024</v>
      </c>
      <c r="F3814" s="1">
        <f t="shared" si="298"/>
        <v>45567</v>
      </c>
      <c r="G3814" s="1" t="s">
        <v>18</v>
      </c>
      <c r="H3814" s="2">
        <v>48290</v>
      </c>
      <c r="I3814" t="s">
        <v>38</v>
      </c>
      <c r="J3814">
        <v>5</v>
      </c>
      <c r="K3814">
        <v>34101.43</v>
      </c>
      <c r="L3814" t="s">
        <v>804</v>
      </c>
      <c r="M3814">
        <v>44</v>
      </c>
      <c r="N3814" t="s">
        <v>21</v>
      </c>
      <c r="O3814" s="3" t="s">
        <v>55</v>
      </c>
      <c r="P3814" t="s">
        <v>29</v>
      </c>
      <c r="Q3814" t="s">
        <v>24</v>
      </c>
      <c r="R3814">
        <v>2</v>
      </c>
      <c r="S3814" t="s">
        <v>99</v>
      </c>
      <c r="T3814" s="4">
        <f t="shared" si="299"/>
        <v>170507.15</v>
      </c>
      <c r="U3814" s="4" t="str">
        <f t="shared" si="300"/>
        <v>Average</v>
      </c>
      <c r="V3814" s="4" t="str">
        <f t="shared" si="296"/>
        <v>Good</v>
      </c>
      <c r="W3814" s="4"/>
      <c r="X3814" s="4"/>
    </row>
    <row r="3815" spans="1:24">
      <c r="A3815" t="str">
        <f t="shared" si="297"/>
        <v>Kira583814</v>
      </c>
      <c r="B3815">
        <v>3814</v>
      </c>
      <c r="C3815">
        <v>3</v>
      </c>
      <c r="D3815">
        <v>10</v>
      </c>
      <c r="E3815">
        <v>2024</v>
      </c>
      <c r="F3815" s="1">
        <f t="shared" si="298"/>
        <v>45568</v>
      </c>
      <c r="G3815" s="1" t="s">
        <v>18</v>
      </c>
      <c r="H3815" s="2">
        <v>48291</v>
      </c>
      <c r="I3815" t="s">
        <v>38</v>
      </c>
      <c r="J3815">
        <v>3</v>
      </c>
      <c r="K3815">
        <v>57944.41</v>
      </c>
      <c r="L3815" t="s">
        <v>501</v>
      </c>
      <c r="M3815">
        <v>58</v>
      </c>
      <c r="N3815" t="s">
        <v>61</v>
      </c>
      <c r="O3815" s="3" t="s">
        <v>22</v>
      </c>
      <c r="P3815" t="s">
        <v>93</v>
      </c>
      <c r="Q3815" t="s">
        <v>30</v>
      </c>
      <c r="R3815">
        <v>5</v>
      </c>
      <c r="S3815" t="s">
        <v>48</v>
      </c>
      <c r="T3815" s="4">
        <f t="shared" si="299"/>
        <v>173833.23</v>
      </c>
      <c r="U3815" s="4" t="str">
        <f t="shared" si="300"/>
        <v>Good</v>
      </c>
      <c r="V3815" s="4" t="str">
        <f t="shared" si="296"/>
        <v>Good</v>
      </c>
      <c r="W3815" s="4"/>
      <c r="X3815" s="4"/>
    </row>
    <row r="3816" spans="1:24">
      <c r="A3816" t="str">
        <f t="shared" si="297"/>
        <v>Sumi383815</v>
      </c>
      <c r="B3816">
        <v>3815</v>
      </c>
      <c r="C3816">
        <v>3</v>
      </c>
      <c r="D3816">
        <v>10</v>
      </c>
      <c r="E3816">
        <v>2024</v>
      </c>
      <c r="F3816" s="1">
        <f t="shared" si="298"/>
        <v>45568</v>
      </c>
      <c r="G3816" s="1" t="s">
        <v>18</v>
      </c>
      <c r="H3816" s="2">
        <v>48292</v>
      </c>
      <c r="I3816" t="s">
        <v>26</v>
      </c>
      <c r="J3816">
        <v>9</v>
      </c>
      <c r="K3816">
        <v>41361.839999999997</v>
      </c>
      <c r="L3816" t="s">
        <v>156</v>
      </c>
      <c r="M3816">
        <v>38</v>
      </c>
      <c r="N3816" t="s">
        <v>21</v>
      </c>
      <c r="O3816" s="3" t="s">
        <v>55</v>
      </c>
      <c r="P3816" t="s">
        <v>29</v>
      </c>
      <c r="Q3816" t="s">
        <v>41</v>
      </c>
      <c r="R3816">
        <v>2</v>
      </c>
      <c r="S3816" t="s">
        <v>31</v>
      </c>
      <c r="T3816" s="4">
        <f t="shared" si="299"/>
        <v>372256.55999999994</v>
      </c>
      <c r="U3816" s="4" t="str">
        <f t="shared" si="300"/>
        <v>Average</v>
      </c>
      <c r="V3816" s="4" t="str">
        <f t="shared" si="296"/>
        <v>Excellent</v>
      </c>
      <c r="W3816" s="4"/>
      <c r="X3816" s="4"/>
    </row>
    <row r="3817" spans="1:24">
      <c r="A3817" t="str">
        <f t="shared" si="297"/>
        <v>Kira513816</v>
      </c>
      <c r="B3817">
        <v>3816</v>
      </c>
      <c r="C3817">
        <v>3</v>
      </c>
      <c r="D3817">
        <v>10</v>
      </c>
      <c r="E3817">
        <v>2024</v>
      </c>
      <c r="F3817" s="1">
        <f t="shared" si="298"/>
        <v>45568</v>
      </c>
      <c r="G3817" s="1" t="s">
        <v>18</v>
      </c>
      <c r="H3817" s="2">
        <v>48293</v>
      </c>
      <c r="I3817" t="s">
        <v>38</v>
      </c>
      <c r="J3817">
        <v>9</v>
      </c>
      <c r="K3817">
        <v>43002.32</v>
      </c>
      <c r="L3817" t="s">
        <v>265</v>
      </c>
      <c r="M3817">
        <v>51</v>
      </c>
      <c r="N3817" t="s">
        <v>61</v>
      </c>
      <c r="O3817" s="3" t="s">
        <v>28</v>
      </c>
      <c r="P3817" t="s">
        <v>29</v>
      </c>
      <c r="Q3817" t="s">
        <v>56</v>
      </c>
      <c r="R3817">
        <v>3</v>
      </c>
      <c r="S3817" t="s">
        <v>48</v>
      </c>
      <c r="T3817" s="4">
        <f t="shared" si="299"/>
        <v>387020.88</v>
      </c>
      <c r="U3817" s="4" t="str">
        <f t="shared" si="300"/>
        <v>Average</v>
      </c>
      <c r="V3817" s="4" t="str">
        <f t="shared" si="296"/>
        <v>Excellent</v>
      </c>
      <c r="W3817" s="4"/>
      <c r="X3817" s="4"/>
    </row>
    <row r="3818" spans="1:24">
      <c r="A3818" t="str">
        <f t="shared" si="297"/>
        <v>Pank503817</v>
      </c>
      <c r="B3818">
        <v>3817</v>
      </c>
      <c r="C3818">
        <v>3</v>
      </c>
      <c r="D3818">
        <v>10</v>
      </c>
      <c r="E3818">
        <v>2024</v>
      </c>
      <c r="F3818" s="1">
        <f t="shared" si="298"/>
        <v>45568</v>
      </c>
      <c r="G3818" s="1" t="s">
        <v>18</v>
      </c>
      <c r="H3818" s="2">
        <v>48294</v>
      </c>
      <c r="I3818" t="s">
        <v>43</v>
      </c>
      <c r="J3818">
        <v>7</v>
      </c>
      <c r="K3818">
        <v>15829.88</v>
      </c>
      <c r="L3818" t="s">
        <v>47</v>
      </c>
      <c r="M3818">
        <v>50</v>
      </c>
      <c r="N3818" t="s">
        <v>61</v>
      </c>
      <c r="O3818" s="3" t="s">
        <v>28</v>
      </c>
      <c r="P3818" t="s">
        <v>64</v>
      </c>
      <c r="Q3818" t="s">
        <v>41</v>
      </c>
      <c r="R3818">
        <v>3</v>
      </c>
      <c r="S3818" t="s">
        <v>46</v>
      </c>
      <c r="T3818" s="4">
        <f t="shared" si="299"/>
        <v>110809.15999999999</v>
      </c>
      <c r="U3818" s="4" t="str">
        <f t="shared" si="300"/>
        <v>Average</v>
      </c>
      <c r="V3818" s="4" t="str">
        <f t="shared" si="296"/>
        <v>Good</v>
      </c>
      <c r="W3818" s="4"/>
      <c r="X3818" s="4"/>
    </row>
    <row r="3819" spans="1:24">
      <c r="A3819" t="str">
        <f t="shared" si="297"/>
        <v>Tanu353818</v>
      </c>
      <c r="B3819">
        <v>3818</v>
      </c>
      <c r="C3819">
        <v>4</v>
      </c>
      <c r="D3819">
        <v>10</v>
      </c>
      <c r="E3819">
        <v>2024</v>
      </c>
      <c r="F3819" s="1">
        <f t="shared" si="298"/>
        <v>45569</v>
      </c>
      <c r="G3819" s="1" t="s">
        <v>18</v>
      </c>
      <c r="H3819" s="2">
        <v>48295</v>
      </c>
      <c r="I3819" t="s">
        <v>26</v>
      </c>
      <c r="J3819">
        <v>2</v>
      </c>
      <c r="K3819">
        <v>17939.830000000002</v>
      </c>
      <c r="L3819" t="s">
        <v>920</v>
      </c>
      <c r="M3819">
        <v>35</v>
      </c>
      <c r="N3819" t="s">
        <v>21</v>
      </c>
      <c r="O3819" s="3" t="s">
        <v>22</v>
      </c>
      <c r="P3819" t="s">
        <v>29</v>
      </c>
      <c r="Q3819" t="s">
        <v>41</v>
      </c>
      <c r="R3819">
        <v>4</v>
      </c>
      <c r="S3819" t="s">
        <v>31</v>
      </c>
      <c r="T3819" s="4">
        <f t="shared" si="299"/>
        <v>35879.660000000003</v>
      </c>
      <c r="U3819" s="4" t="str">
        <f t="shared" si="300"/>
        <v>Good</v>
      </c>
      <c r="V3819" s="4" t="str">
        <f t="shared" si="296"/>
        <v>Low</v>
      </c>
      <c r="W3819" s="4"/>
      <c r="X3819" s="4"/>
    </row>
    <row r="3820" spans="1:24">
      <c r="A3820" t="str">
        <f t="shared" si="297"/>
        <v>Arun203819</v>
      </c>
      <c r="B3820">
        <v>3819</v>
      </c>
      <c r="C3820">
        <v>4</v>
      </c>
      <c r="D3820">
        <v>10</v>
      </c>
      <c r="E3820">
        <v>2024</v>
      </c>
      <c r="F3820" s="1">
        <f t="shared" si="298"/>
        <v>45569</v>
      </c>
      <c r="G3820" s="1" t="s">
        <v>18</v>
      </c>
      <c r="H3820" s="2">
        <v>48296</v>
      </c>
      <c r="I3820" t="s">
        <v>19</v>
      </c>
      <c r="J3820">
        <v>7</v>
      </c>
      <c r="K3820">
        <v>50619.98</v>
      </c>
      <c r="L3820" t="s">
        <v>720</v>
      </c>
      <c r="M3820">
        <v>20</v>
      </c>
      <c r="N3820" t="s">
        <v>36</v>
      </c>
      <c r="O3820" s="3" t="s">
        <v>28</v>
      </c>
      <c r="P3820" t="s">
        <v>33</v>
      </c>
      <c r="Q3820" t="s">
        <v>24</v>
      </c>
      <c r="R3820">
        <v>3</v>
      </c>
      <c r="S3820" t="s">
        <v>37</v>
      </c>
      <c r="T3820" s="4">
        <f t="shared" si="299"/>
        <v>354339.86000000004</v>
      </c>
      <c r="U3820" s="4" t="str">
        <f t="shared" si="300"/>
        <v>Average</v>
      </c>
      <c r="V3820" s="4" t="str">
        <f t="shared" si="296"/>
        <v>Excellent</v>
      </c>
      <c r="W3820" s="4"/>
      <c r="X3820" s="4"/>
    </row>
    <row r="3821" spans="1:24">
      <c r="A3821" t="str">
        <f t="shared" si="297"/>
        <v>Lali413820</v>
      </c>
      <c r="B3821">
        <v>3820</v>
      </c>
      <c r="C3821">
        <v>4</v>
      </c>
      <c r="D3821">
        <v>10</v>
      </c>
      <c r="E3821">
        <v>2024</v>
      </c>
      <c r="F3821" s="1">
        <f t="shared" si="298"/>
        <v>45569</v>
      </c>
      <c r="G3821" s="1" t="s">
        <v>18</v>
      </c>
      <c r="H3821" s="2">
        <v>48297</v>
      </c>
      <c r="I3821" t="s">
        <v>38</v>
      </c>
      <c r="J3821">
        <v>7</v>
      </c>
      <c r="K3821">
        <v>50502.8</v>
      </c>
      <c r="L3821" t="s">
        <v>709</v>
      </c>
      <c r="M3821">
        <v>41</v>
      </c>
      <c r="N3821" t="s">
        <v>21</v>
      </c>
      <c r="O3821" s="3" t="s">
        <v>22</v>
      </c>
      <c r="P3821" t="s">
        <v>66</v>
      </c>
      <c r="Q3821" t="s">
        <v>30</v>
      </c>
      <c r="R3821">
        <v>5</v>
      </c>
      <c r="S3821" t="s">
        <v>48</v>
      </c>
      <c r="T3821" s="4">
        <f t="shared" si="299"/>
        <v>353519.60000000003</v>
      </c>
      <c r="U3821" s="4" t="str">
        <f t="shared" si="300"/>
        <v>Good</v>
      </c>
      <c r="V3821" s="4" t="str">
        <f t="shared" si="296"/>
        <v>Excellent</v>
      </c>
      <c r="W3821" s="4"/>
      <c r="X3821" s="4"/>
    </row>
    <row r="3822" spans="1:24">
      <c r="A3822" t="str">
        <f t="shared" si="297"/>
        <v>Vive183821</v>
      </c>
      <c r="B3822">
        <v>3821</v>
      </c>
      <c r="C3822">
        <v>5</v>
      </c>
      <c r="D3822">
        <v>10</v>
      </c>
      <c r="E3822">
        <v>2024</v>
      </c>
      <c r="F3822" s="1">
        <f t="shared" si="298"/>
        <v>45570</v>
      </c>
      <c r="G3822" s="1" t="s">
        <v>18</v>
      </c>
      <c r="H3822" s="2">
        <v>48298</v>
      </c>
      <c r="I3822" t="s">
        <v>26</v>
      </c>
      <c r="J3822">
        <v>5</v>
      </c>
      <c r="K3822">
        <v>68746.2</v>
      </c>
      <c r="L3822" t="s">
        <v>893</v>
      </c>
      <c r="M3822">
        <v>18</v>
      </c>
      <c r="N3822" t="s">
        <v>36</v>
      </c>
      <c r="O3822" s="3" t="s">
        <v>22</v>
      </c>
      <c r="P3822" t="s">
        <v>29</v>
      </c>
      <c r="Q3822" t="s">
        <v>41</v>
      </c>
      <c r="R3822">
        <v>5</v>
      </c>
      <c r="S3822" t="s">
        <v>34</v>
      </c>
      <c r="T3822" s="4">
        <f t="shared" si="299"/>
        <v>343731</v>
      </c>
      <c r="U3822" s="4" t="str">
        <f t="shared" si="300"/>
        <v>Good</v>
      </c>
      <c r="V3822" s="4" t="str">
        <f t="shared" si="296"/>
        <v>Excellent</v>
      </c>
      <c r="W3822" s="4"/>
      <c r="X3822" s="4"/>
    </row>
    <row r="3823" spans="1:24">
      <c r="A3823" t="str">
        <f t="shared" si="297"/>
        <v>Lata233822</v>
      </c>
      <c r="B3823">
        <v>3822</v>
      </c>
      <c r="C3823">
        <v>5</v>
      </c>
      <c r="D3823">
        <v>10</v>
      </c>
      <c r="E3823">
        <v>2024</v>
      </c>
      <c r="F3823" s="1">
        <f t="shared" si="298"/>
        <v>45570</v>
      </c>
      <c r="G3823" s="1" t="s">
        <v>18</v>
      </c>
      <c r="H3823" s="2">
        <v>48299</v>
      </c>
      <c r="I3823" t="s">
        <v>43</v>
      </c>
      <c r="J3823">
        <v>9</v>
      </c>
      <c r="K3823">
        <v>52717.18</v>
      </c>
      <c r="L3823" t="s">
        <v>715</v>
      </c>
      <c r="M3823">
        <v>23</v>
      </c>
      <c r="N3823" t="s">
        <v>36</v>
      </c>
      <c r="O3823" s="3" t="s">
        <v>22</v>
      </c>
      <c r="P3823" t="s">
        <v>110</v>
      </c>
      <c r="Q3823" t="s">
        <v>41</v>
      </c>
      <c r="R3823">
        <v>5</v>
      </c>
      <c r="S3823" t="s">
        <v>95</v>
      </c>
      <c r="T3823" s="4">
        <f t="shared" si="299"/>
        <v>474454.62</v>
      </c>
      <c r="U3823" s="4" t="str">
        <f t="shared" si="300"/>
        <v>Good</v>
      </c>
      <c r="V3823" s="4" t="str">
        <f t="shared" si="296"/>
        <v>Excellent</v>
      </c>
      <c r="W3823" s="4"/>
      <c r="X3823" s="4"/>
    </row>
    <row r="3824" spans="1:24">
      <c r="A3824" t="str">
        <f t="shared" si="297"/>
        <v>Raje363823</v>
      </c>
      <c r="B3824">
        <v>3823</v>
      </c>
      <c r="C3824">
        <v>5</v>
      </c>
      <c r="D3824">
        <v>10</v>
      </c>
      <c r="E3824">
        <v>2024</v>
      </c>
      <c r="F3824" s="1">
        <f t="shared" si="298"/>
        <v>45570</v>
      </c>
      <c r="G3824" s="1" t="s">
        <v>18</v>
      </c>
      <c r="H3824" s="2">
        <v>48300</v>
      </c>
      <c r="I3824" t="s">
        <v>49</v>
      </c>
      <c r="J3824">
        <v>3</v>
      </c>
      <c r="K3824">
        <v>39594.61</v>
      </c>
      <c r="L3824" t="s">
        <v>466</v>
      </c>
      <c r="M3824">
        <v>36</v>
      </c>
      <c r="N3824" t="s">
        <v>21</v>
      </c>
      <c r="O3824" s="3" t="s">
        <v>22</v>
      </c>
      <c r="P3824" t="s">
        <v>64</v>
      </c>
      <c r="Q3824" t="s">
        <v>56</v>
      </c>
      <c r="R3824">
        <v>4</v>
      </c>
      <c r="S3824" t="s">
        <v>102</v>
      </c>
      <c r="T3824" s="4">
        <f t="shared" si="299"/>
        <v>118783.83</v>
      </c>
      <c r="U3824" s="4" t="str">
        <f t="shared" si="300"/>
        <v>Good</v>
      </c>
      <c r="V3824" s="4" t="str">
        <f t="shared" si="296"/>
        <v>Good</v>
      </c>
      <c r="W3824" s="4"/>
      <c r="X3824" s="4"/>
    </row>
    <row r="3825" spans="1:24">
      <c r="A3825" t="str">
        <f t="shared" si="297"/>
        <v>Nami393824</v>
      </c>
      <c r="B3825">
        <v>3824</v>
      </c>
      <c r="C3825">
        <v>5</v>
      </c>
      <c r="D3825">
        <v>10</v>
      </c>
      <c r="E3825">
        <v>2024</v>
      </c>
      <c r="F3825" s="1">
        <f t="shared" si="298"/>
        <v>45570</v>
      </c>
      <c r="G3825" s="1" t="s">
        <v>18</v>
      </c>
      <c r="H3825" s="2">
        <v>48301</v>
      </c>
      <c r="I3825" t="s">
        <v>49</v>
      </c>
      <c r="J3825">
        <v>4</v>
      </c>
      <c r="K3825">
        <v>61439.67</v>
      </c>
      <c r="L3825" t="s">
        <v>453</v>
      </c>
      <c r="M3825">
        <v>39</v>
      </c>
      <c r="N3825" t="s">
        <v>21</v>
      </c>
      <c r="O3825" s="3" t="s">
        <v>22</v>
      </c>
      <c r="P3825" t="s">
        <v>93</v>
      </c>
      <c r="Q3825" t="s">
        <v>41</v>
      </c>
      <c r="R3825">
        <v>4</v>
      </c>
      <c r="S3825" t="s">
        <v>88</v>
      </c>
      <c r="T3825" s="4">
        <f t="shared" si="299"/>
        <v>245758.68</v>
      </c>
      <c r="U3825" s="4" t="str">
        <f t="shared" si="300"/>
        <v>Good</v>
      </c>
      <c r="V3825" s="4" t="str">
        <f t="shared" si="296"/>
        <v>Excellent</v>
      </c>
      <c r="W3825" s="4"/>
      <c r="X3825" s="4"/>
    </row>
    <row r="3826" spans="1:24">
      <c r="A3826" t="str">
        <f t="shared" si="297"/>
        <v>Tapa253825</v>
      </c>
      <c r="B3826">
        <v>3825</v>
      </c>
      <c r="C3826">
        <v>6</v>
      </c>
      <c r="D3826">
        <v>10</v>
      </c>
      <c r="E3826">
        <v>2024</v>
      </c>
      <c r="F3826" s="1">
        <f t="shared" si="298"/>
        <v>45571</v>
      </c>
      <c r="G3826" s="1" t="s">
        <v>18</v>
      </c>
      <c r="H3826" s="2">
        <v>48302</v>
      </c>
      <c r="I3826" t="s">
        <v>43</v>
      </c>
      <c r="J3826">
        <v>1</v>
      </c>
      <c r="K3826">
        <v>16268.38</v>
      </c>
      <c r="L3826" t="s">
        <v>304</v>
      </c>
      <c r="M3826">
        <v>25</v>
      </c>
      <c r="N3826" t="s">
        <v>36</v>
      </c>
      <c r="O3826" s="3" t="s">
        <v>28</v>
      </c>
      <c r="P3826" t="s">
        <v>93</v>
      </c>
      <c r="Q3826" t="s">
        <v>41</v>
      </c>
      <c r="R3826">
        <v>3</v>
      </c>
      <c r="S3826" t="s">
        <v>95</v>
      </c>
      <c r="T3826" s="4">
        <f t="shared" si="299"/>
        <v>16268.38</v>
      </c>
      <c r="U3826" s="4" t="str">
        <f t="shared" si="300"/>
        <v>Average</v>
      </c>
      <c r="V3826" s="4" t="str">
        <f t="shared" si="296"/>
        <v>Low</v>
      </c>
      <c r="W3826" s="4"/>
      <c r="X3826" s="4"/>
    </row>
    <row r="3827" spans="1:24">
      <c r="A3827" t="str">
        <f t="shared" si="297"/>
        <v>Radh223826</v>
      </c>
      <c r="B3827">
        <v>3826</v>
      </c>
      <c r="C3827">
        <v>6</v>
      </c>
      <c r="D3827">
        <v>10</v>
      </c>
      <c r="E3827">
        <v>2024</v>
      </c>
      <c r="F3827" s="1">
        <f t="shared" si="298"/>
        <v>45571</v>
      </c>
      <c r="G3827" s="1" t="s">
        <v>18</v>
      </c>
      <c r="H3827" s="2">
        <v>48303</v>
      </c>
      <c r="I3827" t="s">
        <v>43</v>
      </c>
      <c r="J3827">
        <v>6</v>
      </c>
      <c r="K3827">
        <v>36957.75</v>
      </c>
      <c r="L3827" t="s">
        <v>999</v>
      </c>
      <c r="M3827">
        <v>22</v>
      </c>
      <c r="N3827" t="s">
        <v>36</v>
      </c>
      <c r="O3827" s="3" t="s">
        <v>22</v>
      </c>
      <c r="P3827" t="s">
        <v>29</v>
      </c>
      <c r="Q3827" t="s">
        <v>30</v>
      </c>
      <c r="R3827">
        <v>5</v>
      </c>
      <c r="S3827" t="s">
        <v>95</v>
      </c>
      <c r="T3827" s="4">
        <f t="shared" si="299"/>
        <v>221746.5</v>
      </c>
      <c r="U3827" s="4" t="str">
        <f t="shared" si="300"/>
        <v>Good</v>
      </c>
      <c r="V3827" s="4" t="str">
        <f t="shared" si="296"/>
        <v>Excellent</v>
      </c>
      <c r="W3827" s="4"/>
      <c r="X3827" s="4"/>
    </row>
    <row r="3828" spans="1:24">
      <c r="A3828" t="str">
        <f t="shared" si="297"/>
        <v>Navi263827</v>
      </c>
      <c r="B3828">
        <v>3827</v>
      </c>
      <c r="C3828">
        <v>6</v>
      </c>
      <c r="D3828">
        <v>10</v>
      </c>
      <c r="E3828">
        <v>2024</v>
      </c>
      <c r="F3828" s="1">
        <f t="shared" si="298"/>
        <v>45571</v>
      </c>
      <c r="G3828" s="1" t="s">
        <v>18</v>
      </c>
      <c r="H3828" s="2">
        <v>48304</v>
      </c>
      <c r="I3828" t="s">
        <v>49</v>
      </c>
      <c r="J3828">
        <v>4</v>
      </c>
      <c r="K3828">
        <v>27226.55</v>
      </c>
      <c r="L3828" t="s">
        <v>347</v>
      </c>
      <c r="M3828">
        <v>26</v>
      </c>
      <c r="N3828" t="s">
        <v>36</v>
      </c>
      <c r="O3828" s="3" t="s">
        <v>28</v>
      </c>
      <c r="P3828" t="s">
        <v>117</v>
      </c>
      <c r="Q3828" t="s">
        <v>30</v>
      </c>
      <c r="R3828">
        <v>3</v>
      </c>
      <c r="S3828" t="s">
        <v>88</v>
      </c>
      <c r="T3828" s="4">
        <f t="shared" si="299"/>
        <v>108906.2</v>
      </c>
      <c r="U3828" s="4" t="str">
        <f t="shared" si="300"/>
        <v>Average</v>
      </c>
      <c r="V3828" s="4" t="str">
        <f t="shared" si="296"/>
        <v>Good</v>
      </c>
      <c r="W3828" s="4"/>
      <c r="X3828" s="4"/>
    </row>
    <row r="3829" spans="1:24">
      <c r="A3829" t="str">
        <f t="shared" si="297"/>
        <v>Sumi383828</v>
      </c>
      <c r="B3829">
        <v>3828</v>
      </c>
      <c r="C3829">
        <v>7</v>
      </c>
      <c r="D3829">
        <v>10</v>
      </c>
      <c r="E3829">
        <v>2024</v>
      </c>
      <c r="F3829" s="1">
        <f t="shared" si="298"/>
        <v>45572</v>
      </c>
      <c r="G3829" s="1" t="s">
        <v>18</v>
      </c>
      <c r="H3829" s="2">
        <v>48305</v>
      </c>
      <c r="I3829" t="s">
        <v>26</v>
      </c>
      <c r="J3829">
        <v>1</v>
      </c>
      <c r="K3829">
        <v>16278.27</v>
      </c>
      <c r="L3829" t="s">
        <v>128</v>
      </c>
      <c r="M3829">
        <v>38</v>
      </c>
      <c r="N3829" t="s">
        <v>21</v>
      </c>
      <c r="O3829" s="3" t="s">
        <v>22</v>
      </c>
      <c r="P3829" t="s">
        <v>114</v>
      </c>
      <c r="Q3829" t="s">
        <v>56</v>
      </c>
      <c r="R3829">
        <v>5</v>
      </c>
      <c r="S3829" t="s">
        <v>31</v>
      </c>
      <c r="T3829" s="4">
        <f t="shared" si="299"/>
        <v>16278.27</v>
      </c>
      <c r="U3829" s="4" t="str">
        <f t="shared" si="300"/>
        <v>Good</v>
      </c>
      <c r="V3829" s="4" t="str">
        <f t="shared" si="296"/>
        <v>Low</v>
      </c>
      <c r="W3829" s="4"/>
      <c r="X3829" s="4"/>
    </row>
    <row r="3830" spans="1:24">
      <c r="A3830" t="str">
        <f t="shared" si="297"/>
        <v>Raje453829</v>
      </c>
      <c r="B3830">
        <v>3829</v>
      </c>
      <c r="C3830">
        <v>7</v>
      </c>
      <c r="D3830">
        <v>10</v>
      </c>
      <c r="E3830">
        <v>2024</v>
      </c>
      <c r="F3830" s="1">
        <f t="shared" si="298"/>
        <v>45572</v>
      </c>
      <c r="G3830" s="1" t="s">
        <v>18</v>
      </c>
      <c r="H3830" s="2">
        <v>48306</v>
      </c>
      <c r="I3830" t="s">
        <v>49</v>
      </c>
      <c r="J3830">
        <v>2</v>
      </c>
      <c r="K3830">
        <v>55810.13</v>
      </c>
      <c r="L3830" t="s">
        <v>1032</v>
      </c>
      <c r="M3830">
        <v>45</v>
      </c>
      <c r="N3830" t="s">
        <v>21</v>
      </c>
      <c r="O3830" s="3" t="s">
        <v>22</v>
      </c>
      <c r="P3830" t="s">
        <v>90</v>
      </c>
      <c r="Q3830" t="s">
        <v>41</v>
      </c>
      <c r="R3830">
        <v>5</v>
      </c>
      <c r="S3830" t="s">
        <v>52</v>
      </c>
      <c r="T3830" s="4">
        <f t="shared" si="299"/>
        <v>111620.26</v>
      </c>
      <c r="U3830" s="4" t="str">
        <f t="shared" si="300"/>
        <v>Good</v>
      </c>
      <c r="V3830" s="4" t="str">
        <f t="shared" si="296"/>
        <v>Good</v>
      </c>
      <c r="W3830" s="4"/>
      <c r="X3830" s="4"/>
    </row>
    <row r="3831" spans="1:24">
      <c r="A3831" t="str">
        <f t="shared" si="297"/>
        <v>Meen213830</v>
      </c>
      <c r="B3831">
        <v>3830</v>
      </c>
      <c r="C3831">
        <v>7</v>
      </c>
      <c r="D3831">
        <v>10</v>
      </c>
      <c r="E3831">
        <v>2024</v>
      </c>
      <c r="F3831" s="1">
        <f t="shared" si="298"/>
        <v>45572</v>
      </c>
      <c r="G3831" s="1" t="s">
        <v>18</v>
      </c>
      <c r="H3831" s="2">
        <v>48307</v>
      </c>
      <c r="I3831" t="s">
        <v>43</v>
      </c>
      <c r="J3831">
        <v>3</v>
      </c>
      <c r="K3831">
        <v>40647.519999999997</v>
      </c>
      <c r="L3831" t="s">
        <v>887</v>
      </c>
      <c r="M3831">
        <v>21</v>
      </c>
      <c r="N3831" t="s">
        <v>36</v>
      </c>
      <c r="O3831" s="3" t="s">
        <v>22</v>
      </c>
      <c r="P3831" t="s">
        <v>29</v>
      </c>
      <c r="Q3831" t="s">
        <v>41</v>
      </c>
      <c r="R3831">
        <v>5</v>
      </c>
      <c r="S3831" t="s">
        <v>95</v>
      </c>
      <c r="T3831" s="4">
        <f t="shared" si="299"/>
        <v>121942.56</v>
      </c>
      <c r="U3831" s="4" t="str">
        <f t="shared" si="300"/>
        <v>Good</v>
      </c>
      <c r="V3831" s="4" t="str">
        <f t="shared" si="296"/>
        <v>Good</v>
      </c>
      <c r="W3831" s="4"/>
      <c r="X3831" s="4"/>
    </row>
    <row r="3832" spans="1:24">
      <c r="A3832" t="str">
        <f t="shared" si="297"/>
        <v>Kavi413831</v>
      </c>
      <c r="B3832">
        <v>3831</v>
      </c>
      <c r="C3832">
        <v>7</v>
      </c>
      <c r="D3832">
        <v>10</v>
      </c>
      <c r="E3832">
        <v>2024</v>
      </c>
      <c r="F3832" s="1">
        <f t="shared" si="298"/>
        <v>45572</v>
      </c>
      <c r="G3832" s="1" t="s">
        <v>18</v>
      </c>
      <c r="H3832" s="2">
        <v>48308</v>
      </c>
      <c r="I3832" t="s">
        <v>38</v>
      </c>
      <c r="J3832">
        <v>9</v>
      </c>
      <c r="K3832">
        <v>43406.12</v>
      </c>
      <c r="L3832" t="s">
        <v>524</v>
      </c>
      <c r="M3832">
        <v>41</v>
      </c>
      <c r="N3832" t="s">
        <v>21</v>
      </c>
      <c r="O3832" s="3" t="s">
        <v>22</v>
      </c>
      <c r="P3832" t="s">
        <v>33</v>
      </c>
      <c r="Q3832" t="s">
        <v>41</v>
      </c>
      <c r="R3832">
        <v>5</v>
      </c>
      <c r="S3832" t="s">
        <v>99</v>
      </c>
      <c r="T3832" s="4">
        <f t="shared" si="299"/>
        <v>390655.08</v>
      </c>
      <c r="U3832" s="4" t="str">
        <f t="shared" si="300"/>
        <v>Good</v>
      </c>
      <c r="V3832" s="4" t="str">
        <f t="shared" si="296"/>
        <v>Excellent</v>
      </c>
      <c r="W3832" s="4"/>
      <c r="X3832" s="4"/>
    </row>
    <row r="3833" spans="1:24">
      <c r="A3833" t="str">
        <f t="shared" si="297"/>
        <v>Vive253832</v>
      </c>
      <c r="B3833">
        <v>3832</v>
      </c>
      <c r="C3833">
        <v>8</v>
      </c>
      <c r="D3833">
        <v>10</v>
      </c>
      <c r="E3833">
        <v>2024</v>
      </c>
      <c r="F3833" s="1">
        <f t="shared" si="298"/>
        <v>45573</v>
      </c>
      <c r="G3833" s="1" t="s">
        <v>18</v>
      </c>
      <c r="H3833" s="2">
        <v>48309</v>
      </c>
      <c r="I3833" t="s">
        <v>19</v>
      </c>
      <c r="J3833">
        <v>8</v>
      </c>
      <c r="K3833">
        <v>34675.31</v>
      </c>
      <c r="L3833" t="s">
        <v>413</v>
      </c>
      <c r="M3833">
        <v>25</v>
      </c>
      <c r="N3833" t="s">
        <v>36</v>
      </c>
      <c r="O3833" s="3" t="s">
        <v>55</v>
      </c>
      <c r="P3833" t="s">
        <v>45</v>
      </c>
      <c r="Q3833" t="s">
        <v>24</v>
      </c>
      <c r="R3833">
        <v>2</v>
      </c>
      <c r="S3833" t="s">
        <v>84</v>
      </c>
      <c r="T3833" s="4">
        <f t="shared" si="299"/>
        <v>277402.48</v>
      </c>
      <c r="U3833" s="4" t="str">
        <f t="shared" si="300"/>
        <v>Average</v>
      </c>
      <c r="V3833" s="4" t="str">
        <f t="shared" si="296"/>
        <v>Excellent</v>
      </c>
      <c r="W3833" s="4"/>
      <c r="X3833" s="4"/>
    </row>
    <row r="3834" spans="1:24">
      <c r="A3834" t="str">
        <f t="shared" si="297"/>
        <v>Anit343833</v>
      </c>
      <c r="B3834">
        <v>3833</v>
      </c>
      <c r="C3834">
        <v>8</v>
      </c>
      <c r="D3834">
        <v>10</v>
      </c>
      <c r="E3834">
        <v>2024</v>
      </c>
      <c r="F3834" s="1">
        <f t="shared" si="298"/>
        <v>45573</v>
      </c>
      <c r="G3834" s="1" t="s">
        <v>18</v>
      </c>
      <c r="H3834" s="2">
        <v>48310</v>
      </c>
      <c r="I3834" t="s">
        <v>38</v>
      </c>
      <c r="J3834">
        <v>7</v>
      </c>
      <c r="K3834">
        <v>37620.230000000003</v>
      </c>
      <c r="L3834" t="s">
        <v>461</v>
      </c>
      <c r="M3834">
        <v>34</v>
      </c>
      <c r="N3834" t="s">
        <v>21</v>
      </c>
      <c r="O3834" s="3" t="s">
        <v>22</v>
      </c>
      <c r="P3834" t="s">
        <v>51</v>
      </c>
      <c r="Q3834" t="s">
        <v>24</v>
      </c>
      <c r="R3834">
        <v>5</v>
      </c>
      <c r="S3834" t="s">
        <v>99</v>
      </c>
      <c r="T3834" s="4">
        <f t="shared" si="299"/>
        <v>263341.61000000004</v>
      </c>
      <c r="U3834" s="4" t="str">
        <f t="shared" si="300"/>
        <v>Good</v>
      </c>
      <c r="V3834" s="4" t="str">
        <f t="shared" si="296"/>
        <v>Excellent</v>
      </c>
      <c r="W3834" s="4"/>
      <c r="X3834" s="4"/>
    </row>
    <row r="3835" spans="1:24">
      <c r="A3835" t="str">
        <f t="shared" si="297"/>
        <v>Ayes513834</v>
      </c>
      <c r="B3835">
        <v>3834</v>
      </c>
      <c r="C3835">
        <v>8</v>
      </c>
      <c r="D3835">
        <v>10</v>
      </c>
      <c r="E3835">
        <v>2024</v>
      </c>
      <c r="F3835" s="1">
        <f t="shared" si="298"/>
        <v>45573</v>
      </c>
      <c r="G3835" s="1" t="s">
        <v>18</v>
      </c>
      <c r="H3835" s="2">
        <v>48311</v>
      </c>
      <c r="I3835" t="s">
        <v>38</v>
      </c>
      <c r="J3835">
        <v>4</v>
      </c>
      <c r="K3835">
        <v>16961.04</v>
      </c>
      <c r="L3835" t="s">
        <v>1044</v>
      </c>
      <c r="M3835">
        <v>51</v>
      </c>
      <c r="N3835" t="s">
        <v>61</v>
      </c>
      <c r="O3835" s="3" t="s">
        <v>22</v>
      </c>
      <c r="P3835" t="s">
        <v>33</v>
      </c>
      <c r="Q3835" t="s">
        <v>56</v>
      </c>
      <c r="R3835">
        <v>5</v>
      </c>
      <c r="S3835" t="s">
        <v>99</v>
      </c>
      <c r="T3835" s="4">
        <f t="shared" si="299"/>
        <v>67844.160000000003</v>
      </c>
      <c r="U3835" s="4" t="str">
        <f t="shared" si="300"/>
        <v>Good</v>
      </c>
      <c r="V3835" s="4" t="str">
        <f t="shared" si="296"/>
        <v>Average</v>
      </c>
      <c r="W3835" s="4"/>
      <c r="X3835" s="4"/>
    </row>
    <row r="3836" spans="1:24">
      <c r="A3836" t="str">
        <f t="shared" si="297"/>
        <v>Sanj373835</v>
      </c>
      <c r="B3836">
        <v>3835</v>
      </c>
      <c r="C3836">
        <v>8</v>
      </c>
      <c r="D3836">
        <v>10</v>
      </c>
      <c r="E3836">
        <v>2024</v>
      </c>
      <c r="F3836" s="1">
        <f t="shared" si="298"/>
        <v>45573</v>
      </c>
      <c r="G3836" s="1" t="s">
        <v>18</v>
      </c>
      <c r="H3836" s="2">
        <v>48312</v>
      </c>
      <c r="I3836" t="s">
        <v>43</v>
      </c>
      <c r="J3836">
        <v>1</v>
      </c>
      <c r="K3836">
        <v>50375.07</v>
      </c>
      <c r="L3836" t="s">
        <v>864</v>
      </c>
      <c r="M3836">
        <v>37</v>
      </c>
      <c r="N3836" t="s">
        <v>21</v>
      </c>
      <c r="O3836" s="3" t="s">
        <v>28</v>
      </c>
      <c r="P3836" t="s">
        <v>137</v>
      </c>
      <c r="Q3836" t="s">
        <v>24</v>
      </c>
      <c r="R3836">
        <v>3</v>
      </c>
      <c r="S3836" t="s">
        <v>57</v>
      </c>
      <c r="T3836" s="4">
        <f t="shared" si="299"/>
        <v>50375.07</v>
      </c>
      <c r="U3836" s="4" t="str">
        <f t="shared" si="300"/>
        <v>Average</v>
      </c>
      <c r="V3836" s="4" t="str">
        <f t="shared" si="296"/>
        <v>Average</v>
      </c>
      <c r="W3836" s="4"/>
      <c r="X3836" s="4"/>
    </row>
  </sheetData>
  <conditionalFormatting sqref="U2:X3836 L7:T7 I2:T6 I8:T17 I7:J7 B2:H17 B18:T3836">
    <cfRule type="top10" dxfId="8" priority="10" rank="50"/>
  </conditionalFormatting>
  <conditionalFormatting sqref="I1:I1048576">
    <cfRule type="top10" dxfId="7" priority="4" rank="50"/>
    <cfRule type="top10" dxfId="6" priority="5" rank="10"/>
    <cfRule type="top10" dxfId="5" priority="11" rank="10"/>
  </conditionalFormatting>
  <conditionalFormatting sqref="AK1">
    <cfRule type="top10" dxfId="4" priority="12" rank="10"/>
  </conditionalFormatting>
  <conditionalFormatting sqref="AK1:AK1048576">
    <cfRule type="top10" dxfId="3" priority="6" rank="50"/>
    <cfRule type="top10" dxfId="2" priority="7" rank="50"/>
    <cfRule type="cellIs" priority="8" operator="between">
      <formula>2</formula>
      <formula>51</formula>
    </cfRule>
    <cfRule type="top10" dxfId="1" priority="14" rank="10"/>
    <cfRule type="top10" priority="17" rank="50"/>
  </conditionalFormatting>
  <conditionalFormatting sqref="AK2:AK3784">
    <cfRule type="top10" dxfId="0" priority="13" rank="10"/>
    <cfRule type="top10" priority="16" rank="5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Sheet10</vt: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gupta</dc:creator>
  <cp:lastModifiedBy>HP</cp:lastModifiedBy>
  <dcterms:created xsi:type="dcterms:W3CDTF">2026-06-13T22:19:12Z</dcterms:created>
  <dcterms:modified xsi:type="dcterms:W3CDTF">2026-08-07T13:50:00Z</dcterms:modified>
</cp:coreProperties>
</file>